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ede013533779f48/PhD/PhD Programe UofC/LCA/Paper 01/Model Used/"/>
    </mc:Choice>
  </mc:AlternateContent>
  <xr:revisionPtr revIDLastSave="20" documentId="8_{96519B34-C40C-467A-A193-5C0F4679B3F8}" xr6:coauthVersionLast="47" xr6:coauthVersionMax="47" xr10:uidLastSave="{BE14ED9F-86E3-4F8F-B4BC-3D1B9F188C16}"/>
  <bookViews>
    <workbookView xWindow="28680" yWindow="-45" windowWidth="16440" windowHeight="28320" firstSheet="7" activeTab="8" xr2:uid="{797D7D02-86B6-4DE6-B477-F38D429D9F32}"/>
  </bookViews>
  <sheets>
    <sheet name="Nelson Factor_2019" sheetId="2" r:id="rId1"/>
    <sheet name="Refinery Summary" sheetId="1" r:id="rId2"/>
    <sheet name="Avg CI Index" sheetId="3" r:id="rId3"/>
    <sheet name="RefCapacity" sheetId="4" r:id="rId4"/>
    <sheet name="MultiRegModel Validation" sheetId="6" r:id="rId5"/>
    <sheet name="MultiReg Model" sheetId="7" r:id="rId6"/>
    <sheet name="Ref Pro&amp;Input_RAW" sheetId="17" r:id="rId7"/>
    <sheet name="LinearReg Model" sheetId="25" r:id="rId8"/>
    <sheet name="RefCapacityProj" sheetId="8" r:id="rId9"/>
    <sheet name="Results" sheetId="36" r:id="rId10"/>
    <sheet name="Sheet1" sheetId="35" r:id="rId11"/>
    <sheet name="GHG Emission" sheetId="33" r:id="rId12"/>
  </sheets>
  <functionGroups builtInGroupCount="19"/>
  <definedNames>
    <definedName name="_xlnm._FilterDatabase" localSheetId="6" hidden="1">'Ref Pro&amp;Input_RAW'!$I$1:$N$93</definedName>
    <definedName name="_xlnm._FilterDatabase" localSheetId="8" hidden="1">RefCapacityProj!$A$1:$BM$166</definedName>
    <definedName name="_xlnm._FilterDatabase" localSheetId="1" hidden="1">'Refinery Summary'!$A$1:$AA$1899</definedName>
    <definedName name="ExternalData_1" localSheetId="9" hidden="1">Results!$P$1:$V$1156</definedName>
    <definedName name="solver_adj" localSheetId="8" hidden="1">RefCapacityProj!$AG$161:$AM$161</definedName>
    <definedName name="solver_cvg" localSheetId="8" hidden="1">0.0001</definedName>
    <definedName name="solver_drv" localSheetId="8" hidden="1">2</definedName>
    <definedName name="solver_eng" localSheetId="8" hidden="1">1</definedName>
    <definedName name="solver_est" localSheetId="8" hidden="1">1</definedName>
    <definedName name="solver_itr" localSheetId="8" hidden="1">100</definedName>
    <definedName name="solver_lhs1" localSheetId="8" hidden="1">RefCapacityProj!$AG$161</definedName>
    <definedName name="solver_lhs10" localSheetId="8" hidden="1">RefCapacityProj!$AK$161</definedName>
    <definedName name="solver_lhs11" localSheetId="8" hidden="1">RefCapacityProj!$AL$161</definedName>
    <definedName name="solver_lhs12" localSheetId="8" hidden="1">RefCapacityProj!$AL$161</definedName>
    <definedName name="solver_lhs13" localSheetId="8" hidden="1">RefCapacityProj!$AM$161</definedName>
    <definedName name="solver_lhs14" localSheetId="8" hidden="1">RefCapacityProj!$AM$161</definedName>
    <definedName name="solver_lhs15" localSheetId="8" hidden="1">RefCapacityProj!$BJ$161</definedName>
    <definedName name="solver_lhs16" localSheetId="8" hidden="1">RefCapacityProj!$BK$161</definedName>
    <definedName name="solver_lhs2" localSheetId="8" hidden="1">RefCapacityProj!$AG$161</definedName>
    <definedName name="solver_lhs3" localSheetId="8" hidden="1">RefCapacityProj!$AH$161</definedName>
    <definedName name="solver_lhs4" localSheetId="8" hidden="1">RefCapacityProj!$AH$161</definedName>
    <definedName name="solver_lhs5" localSheetId="8" hidden="1">RefCapacityProj!$AI$161</definedName>
    <definedName name="solver_lhs6" localSheetId="8" hidden="1">RefCapacityProj!$AI$161</definedName>
    <definedName name="solver_lhs7" localSheetId="8" hidden="1">RefCapacityProj!$AJ$161</definedName>
    <definedName name="solver_lhs8" localSheetId="8" hidden="1">RefCapacityProj!$AJ$161</definedName>
    <definedName name="solver_lhs9" localSheetId="8" hidden="1">RefCapacityProj!$AK$161</definedName>
    <definedName name="solver_mip" localSheetId="8" hidden="1">2147483647</definedName>
    <definedName name="solver_mni" localSheetId="8" hidden="1">30</definedName>
    <definedName name="solver_mrt" localSheetId="8" hidden="1">0.075</definedName>
    <definedName name="solver_msl" localSheetId="8" hidden="1">2</definedName>
    <definedName name="solver_neg" localSheetId="8" hidden="1">1</definedName>
    <definedName name="solver_nod" localSheetId="8" hidden="1">2147483647</definedName>
    <definedName name="solver_num" localSheetId="8" hidden="1">16</definedName>
    <definedName name="solver_nwt" localSheetId="8" hidden="1">1</definedName>
    <definedName name="solver_opt" localSheetId="8" hidden="1">RefCapacityProj!$BL$161</definedName>
    <definedName name="solver_pre" localSheetId="8" hidden="1">0.000001</definedName>
    <definedName name="solver_rbv" localSheetId="8" hidden="1">1</definedName>
    <definedName name="solver_rel1" localSheetId="8" hidden="1">1</definedName>
    <definedName name="solver_rel10" localSheetId="8" hidden="1">3</definedName>
    <definedName name="solver_rel11" localSheetId="8" hidden="1">1</definedName>
    <definedName name="solver_rel12" localSheetId="8" hidden="1">3</definedName>
    <definedName name="solver_rel13" localSheetId="8" hidden="1">1</definedName>
    <definedName name="solver_rel14" localSheetId="8" hidden="1">3</definedName>
    <definedName name="solver_rel15" localSheetId="8" hidden="1">2</definedName>
    <definedName name="solver_rel16" localSheetId="8" hidden="1">2</definedName>
    <definedName name="solver_rel2" localSheetId="8" hidden="1">3</definedName>
    <definedName name="solver_rel3" localSheetId="8" hidden="1">1</definedName>
    <definedName name="solver_rel4" localSheetId="8" hidden="1">3</definedName>
    <definedName name="solver_rel5" localSheetId="8" hidden="1">1</definedName>
    <definedName name="solver_rel6" localSheetId="8" hidden="1">3</definedName>
    <definedName name="solver_rel7" localSheetId="8" hidden="1">1</definedName>
    <definedName name="solver_rel8" localSheetId="8" hidden="1">3</definedName>
    <definedName name="solver_rel9" localSheetId="8" hidden="1">1</definedName>
    <definedName name="solver_rhs1" localSheetId="8" hidden="1">RefCapacityProj!$AU$161</definedName>
    <definedName name="solver_rhs10" localSheetId="8" hidden="1">RefCapacityProj!$BF$161</definedName>
    <definedName name="solver_rhs11" localSheetId="8" hidden="1">RefCapacityProj!$AZ$161</definedName>
    <definedName name="solver_rhs12" localSheetId="8" hidden="1">RefCapacityProj!$BG$161</definedName>
    <definedName name="solver_rhs13" localSheetId="8" hidden="1">RefCapacityProj!$BA$161</definedName>
    <definedName name="solver_rhs14" localSheetId="8" hidden="1">RefCapacityProj!$BH$161</definedName>
    <definedName name="solver_rhs15" localSheetId="8" hidden="1">0</definedName>
    <definedName name="solver_rhs16" localSheetId="8" hidden="1">0</definedName>
    <definedName name="solver_rhs2" localSheetId="8" hidden="1">RefCapacityProj!$BB$161</definedName>
    <definedName name="solver_rhs3" localSheetId="8" hidden="1">RefCapacityProj!$AV$161</definedName>
    <definedName name="solver_rhs4" localSheetId="8" hidden="1">RefCapacityProj!$BC$161</definedName>
    <definedName name="solver_rhs5" localSheetId="8" hidden="1">RefCapacityProj!$AW$161</definedName>
    <definedName name="solver_rhs6" localSheetId="8" hidden="1">RefCapacityProj!$BD$161</definedName>
    <definedName name="solver_rhs7" localSheetId="8" hidden="1">RefCapacityProj!$AX$161</definedName>
    <definedName name="solver_rhs8" localSheetId="8" hidden="1">RefCapacityProj!$BE$161</definedName>
    <definedName name="solver_rhs9" localSheetId="8" hidden="1">RefCapacityProj!$AY$161</definedName>
    <definedName name="solver_rlx" localSheetId="8" hidden="1">1</definedName>
    <definedName name="solver_rsd" localSheetId="8" hidden="1">1000</definedName>
    <definedName name="solver_scl" localSheetId="8" hidden="1">1</definedName>
    <definedName name="solver_sho" localSheetId="8" hidden="1">2</definedName>
    <definedName name="solver_ssz" localSheetId="8" hidden="1">100</definedName>
    <definedName name="solver_tim" localSheetId="8" hidden="1">2147483647</definedName>
    <definedName name="solver_tol" localSheetId="8" hidden="1">0.01</definedName>
    <definedName name="solver_typ" localSheetId="8" hidden="1">2</definedName>
    <definedName name="solver_val" localSheetId="8" hidden="1">0</definedName>
    <definedName name="solver_ver" localSheetId="8" hidden="1">3</definedName>
  </definedNames>
  <calcPr calcId="191029"/>
  <pivotCaches>
    <pivotCache cacheId="0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36" l="1"/>
  <c r="H3" i="36"/>
  <c r="I3" i="36"/>
  <c r="J3" i="36"/>
  <c r="K3" i="36"/>
  <c r="L3" i="36"/>
  <c r="M3" i="36"/>
  <c r="G4" i="36"/>
  <c r="H4" i="36"/>
  <c r="I4" i="36"/>
  <c r="J4" i="36"/>
  <c r="K4" i="36"/>
  <c r="L4" i="36"/>
  <c r="M4" i="36"/>
  <c r="G5" i="36"/>
  <c r="H5" i="36"/>
  <c r="I5" i="36"/>
  <c r="J5" i="36"/>
  <c r="K5" i="36"/>
  <c r="L5" i="36"/>
  <c r="M5" i="36"/>
  <c r="G6" i="36"/>
  <c r="H6" i="36"/>
  <c r="I6" i="36"/>
  <c r="J6" i="36"/>
  <c r="K6" i="36"/>
  <c r="L6" i="36"/>
  <c r="M6" i="36"/>
  <c r="G7" i="36"/>
  <c r="H7" i="36"/>
  <c r="I7" i="36"/>
  <c r="J7" i="36"/>
  <c r="K7" i="36"/>
  <c r="L7" i="36"/>
  <c r="M7" i="36"/>
  <c r="G8" i="36"/>
  <c r="H8" i="36"/>
  <c r="I8" i="36"/>
  <c r="J8" i="36"/>
  <c r="K8" i="36"/>
  <c r="L8" i="36"/>
  <c r="M8" i="36"/>
  <c r="G9" i="36"/>
  <c r="H9" i="36"/>
  <c r="I9" i="36"/>
  <c r="J9" i="36"/>
  <c r="K9" i="36"/>
  <c r="L9" i="36"/>
  <c r="M9" i="36"/>
  <c r="G10" i="36"/>
  <c r="H10" i="36"/>
  <c r="I10" i="36"/>
  <c r="J10" i="36"/>
  <c r="K10" i="36"/>
  <c r="L10" i="36"/>
  <c r="M10" i="36"/>
  <c r="G11" i="36"/>
  <c r="H11" i="36"/>
  <c r="I11" i="36"/>
  <c r="J11" i="36"/>
  <c r="K11" i="36"/>
  <c r="L11" i="36"/>
  <c r="M11" i="36"/>
  <c r="G12" i="36"/>
  <c r="H12" i="36"/>
  <c r="I12" i="36"/>
  <c r="J12" i="36"/>
  <c r="K12" i="36"/>
  <c r="L12" i="36"/>
  <c r="M12" i="36"/>
  <c r="G13" i="36"/>
  <c r="H13" i="36"/>
  <c r="I13" i="36"/>
  <c r="J13" i="36"/>
  <c r="K13" i="36"/>
  <c r="L13" i="36"/>
  <c r="M13" i="36"/>
  <c r="G14" i="36"/>
  <c r="H14" i="36"/>
  <c r="I14" i="36"/>
  <c r="J14" i="36"/>
  <c r="K14" i="36"/>
  <c r="L14" i="36"/>
  <c r="M14" i="36"/>
  <c r="G15" i="36"/>
  <c r="H15" i="36"/>
  <c r="I15" i="36"/>
  <c r="J15" i="36"/>
  <c r="K15" i="36"/>
  <c r="L15" i="36"/>
  <c r="M15" i="36"/>
  <c r="G16" i="36"/>
  <c r="H16" i="36"/>
  <c r="I16" i="36"/>
  <c r="J16" i="36"/>
  <c r="K16" i="36"/>
  <c r="L16" i="36"/>
  <c r="M16" i="36"/>
  <c r="G17" i="36"/>
  <c r="H17" i="36"/>
  <c r="I17" i="36"/>
  <c r="J17" i="36"/>
  <c r="K17" i="36"/>
  <c r="L17" i="36"/>
  <c r="M17" i="36"/>
  <c r="G18" i="36"/>
  <c r="H18" i="36"/>
  <c r="I18" i="36"/>
  <c r="J18" i="36"/>
  <c r="K18" i="36"/>
  <c r="L18" i="36"/>
  <c r="M18" i="36"/>
  <c r="G19" i="36"/>
  <c r="H19" i="36"/>
  <c r="I19" i="36"/>
  <c r="J19" i="36"/>
  <c r="K19" i="36"/>
  <c r="L19" i="36"/>
  <c r="M19" i="36"/>
  <c r="G20" i="36"/>
  <c r="H20" i="36"/>
  <c r="I20" i="36"/>
  <c r="J20" i="36"/>
  <c r="K20" i="36"/>
  <c r="L20" i="36"/>
  <c r="M20" i="36"/>
  <c r="G21" i="36"/>
  <c r="H21" i="36"/>
  <c r="I21" i="36"/>
  <c r="J21" i="36"/>
  <c r="K21" i="36"/>
  <c r="L21" i="36"/>
  <c r="M21" i="36"/>
  <c r="G22" i="36"/>
  <c r="H22" i="36"/>
  <c r="I22" i="36"/>
  <c r="J22" i="36"/>
  <c r="K22" i="36"/>
  <c r="L22" i="36"/>
  <c r="M22" i="36"/>
  <c r="G23" i="36"/>
  <c r="H23" i="36"/>
  <c r="I23" i="36"/>
  <c r="J23" i="36"/>
  <c r="K23" i="36"/>
  <c r="L23" i="36"/>
  <c r="M23" i="36"/>
  <c r="G24" i="36"/>
  <c r="H24" i="36"/>
  <c r="I24" i="36"/>
  <c r="J24" i="36"/>
  <c r="K24" i="36"/>
  <c r="L24" i="36"/>
  <c r="M24" i="36"/>
  <c r="G25" i="36"/>
  <c r="H25" i="36"/>
  <c r="I25" i="36"/>
  <c r="J25" i="36"/>
  <c r="K25" i="36"/>
  <c r="L25" i="36"/>
  <c r="M25" i="36"/>
  <c r="G26" i="36"/>
  <c r="H26" i="36"/>
  <c r="I26" i="36"/>
  <c r="J26" i="36"/>
  <c r="K26" i="36"/>
  <c r="L26" i="36"/>
  <c r="M26" i="36"/>
  <c r="G27" i="36"/>
  <c r="H27" i="36"/>
  <c r="I27" i="36"/>
  <c r="J27" i="36"/>
  <c r="K27" i="36"/>
  <c r="L27" i="36"/>
  <c r="M27" i="36"/>
  <c r="G28" i="36"/>
  <c r="H28" i="36"/>
  <c r="I28" i="36"/>
  <c r="J28" i="36"/>
  <c r="K28" i="36"/>
  <c r="L28" i="36"/>
  <c r="M28" i="36"/>
  <c r="G29" i="36"/>
  <c r="H29" i="36"/>
  <c r="I29" i="36"/>
  <c r="J29" i="36"/>
  <c r="K29" i="36"/>
  <c r="L29" i="36"/>
  <c r="M29" i="36"/>
  <c r="G30" i="36"/>
  <c r="H30" i="36"/>
  <c r="I30" i="36"/>
  <c r="J30" i="36"/>
  <c r="K30" i="36"/>
  <c r="L30" i="36"/>
  <c r="M30" i="36"/>
  <c r="G31" i="36"/>
  <c r="H31" i="36"/>
  <c r="I31" i="36"/>
  <c r="J31" i="36"/>
  <c r="K31" i="36"/>
  <c r="L31" i="36"/>
  <c r="M31" i="36"/>
  <c r="G32" i="36"/>
  <c r="H32" i="36"/>
  <c r="I32" i="36"/>
  <c r="J32" i="36"/>
  <c r="K32" i="36"/>
  <c r="L32" i="36"/>
  <c r="M32" i="36"/>
  <c r="G33" i="36"/>
  <c r="H33" i="36"/>
  <c r="I33" i="36"/>
  <c r="J33" i="36"/>
  <c r="K33" i="36"/>
  <c r="L33" i="36"/>
  <c r="M33" i="36"/>
  <c r="G34" i="36"/>
  <c r="H34" i="36"/>
  <c r="I34" i="36"/>
  <c r="J34" i="36"/>
  <c r="K34" i="36"/>
  <c r="L34" i="36"/>
  <c r="M34" i="36"/>
  <c r="G35" i="36"/>
  <c r="H35" i="36"/>
  <c r="I35" i="36"/>
  <c r="J35" i="36"/>
  <c r="K35" i="36"/>
  <c r="L35" i="36"/>
  <c r="M35" i="36"/>
  <c r="G36" i="36"/>
  <c r="H36" i="36"/>
  <c r="I36" i="36"/>
  <c r="J36" i="36"/>
  <c r="K36" i="36"/>
  <c r="L36" i="36"/>
  <c r="M36" i="36"/>
  <c r="G37" i="36"/>
  <c r="H37" i="36"/>
  <c r="I37" i="36"/>
  <c r="J37" i="36"/>
  <c r="K37" i="36"/>
  <c r="L37" i="36"/>
  <c r="M37" i="36"/>
  <c r="G38" i="36"/>
  <c r="H38" i="36"/>
  <c r="I38" i="36"/>
  <c r="J38" i="36"/>
  <c r="K38" i="36"/>
  <c r="L38" i="36"/>
  <c r="M38" i="36"/>
  <c r="G39" i="36"/>
  <c r="H39" i="36"/>
  <c r="I39" i="36"/>
  <c r="J39" i="36"/>
  <c r="K39" i="36"/>
  <c r="L39" i="36"/>
  <c r="M39" i="36"/>
  <c r="G40" i="36"/>
  <c r="H40" i="36"/>
  <c r="I40" i="36"/>
  <c r="J40" i="36"/>
  <c r="K40" i="36"/>
  <c r="L40" i="36"/>
  <c r="M40" i="36"/>
  <c r="G41" i="36"/>
  <c r="H41" i="36"/>
  <c r="I41" i="36"/>
  <c r="J41" i="36"/>
  <c r="K41" i="36"/>
  <c r="L41" i="36"/>
  <c r="M41" i="36"/>
  <c r="G42" i="36"/>
  <c r="H42" i="36"/>
  <c r="I42" i="36"/>
  <c r="J42" i="36"/>
  <c r="K42" i="36"/>
  <c r="L42" i="36"/>
  <c r="M42" i="36"/>
  <c r="G43" i="36"/>
  <c r="H43" i="36"/>
  <c r="I43" i="36"/>
  <c r="J43" i="36"/>
  <c r="K43" i="36"/>
  <c r="L43" i="36"/>
  <c r="M43" i="36"/>
  <c r="G44" i="36"/>
  <c r="H44" i="36"/>
  <c r="I44" i="36"/>
  <c r="J44" i="36"/>
  <c r="K44" i="36"/>
  <c r="L44" i="36"/>
  <c r="M44" i="36"/>
  <c r="G45" i="36"/>
  <c r="H45" i="36"/>
  <c r="I45" i="36"/>
  <c r="J45" i="36"/>
  <c r="K45" i="36"/>
  <c r="L45" i="36"/>
  <c r="M45" i="36"/>
  <c r="G46" i="36"/>
  <c r="H46" i="36"/>
  <c r="I46" i="36"/>
  <c r="J46" i="36"/>
  <c r="K46" i="36"/>
  <c r="L46" i="36"/>
  <c r="M46" i="36"/>
  <c r="G47" i="36"/>
  <c r="H47" i="36"/>
  <c r="I47" i="36"/>
  <c r="J47" i="36"/>
  <c r="K47" i="36"/>
  <c r="L47" i="36"/>
  <c r="M47" i="36"/>
  <c r="G48" i="36"/>
  <c r="H48" i="36"/>
  <c r="I48" i="36"/>
  <c r="J48" i="36"/>
  <c r="K48" i="36"/>
  <c r="L48" i="36"/>
  <c r="M48" i="36"/>
  <c r="G49" i="36"/>
  <c r="H49" i="36"/>
  <c r="I49" i="36"/>
  <c r="J49" i="36"/>
  <c r="K49" i="36"/>
  <c r="L49" i="36"/>
  <c r="M49" i="36"/>
  <c r="G50" i="36"/>
  <c r="H50" i="36"/>
  <c r="I50" i="36"/>
  <c r="J50" i="36"/>
  <c r="K50" i="36"/>
  <c r="L50" i="36"/>
  <c r="M50" i="36"/>
  <c r="G51" i="36"/>
  <c r="H51" i="36"/>
  <c r="I51" i="36"/>
  <c r="J51" i="36"/>
  <c r="K51" i="36"/>
  <c r="L51" i="36"/>
  <c r="M51" i="36"/>
  <c r="G52" i="36"/>
  <c r="H52" i="36"/>
  <c r="I52" i="36"/>
  <c r="J52" i="36"/>
  <c r="K52" i="36"/>
  <c r="L52" i="36"/>
  <c r="M52" i="36"/>
  <c r="G53" i="36"/>
  <c r="H53" i="36"/>
  <c r="I53" i="36"/>
  <c r="J53" i="36"/>
  <c r="K53" i="36"/>
  <c r="L53" i="36"/>
  <c r="M53" i="36"/>
  <c r="G54" i="36"/>
  <c r="H54" i="36"/>
  <c r="I54" i="36"/>
  <c r="J54" i="36"/>
  <c r="K54" i="36"/>
  <c r="L54" i="36"/>
  <c r="M54" i="36"/>
  <c r="G55" i="36"/>
  <c r="H55" i="36"/>
  <c r="I55" i="36"/>
  <c r="J55" i="36"/>
  <c r="K55" i="36"/>
  <c r="L55" i="36"/>
  <c r="M55" i="36"/>
  <c r="G56" i="36"/>
  <c r="H56" i="36"/>
  <c r="I56" i="36"/>
  <c r="J56" i="36"/>
  <c r="K56" i="36"/>
  <c r="L56" i="36"/>
  <c r="M56" i="36"/>
  <c r="G57" i="36"/>
  <c r="H57" i="36"/>
  <c r="I57" i="36"/>
  <c r="J57" i="36"/>
  <c r="K57" i="36"/>
  <c r="L57" i="36"/>
  <c r="M57" i="36"/>
  <c r="G58" i="36"/>
  <c r="H58" i="36"/>
  <c r="I58" i="36"/>
  <c r="J58" i="36"/>
  <c r="K58" i="36"/>
  <c r="L58" i="36"/>
  <c r="M58" i="36"/>
  <c r="G59" i="36"/>
  <c r="H59" i="36"/>
  <c r="I59" i="36"/>
  <c r="J59" i="36"/>
  <c r="K59" i="36"/>
  <c r="L59" i="36"/>
  <c r="M59" i="36"/>
  <c r="G60" i="36"/>
  <c r="H60" i="36"/>
  <c r="I60" i="36"/>
  <c r="J60" i="36"/>
  <c r="K60" i="36"/>
  <c r="L60" i="36"/>
  <c r="M60" i="36"/>
  <c r="G61" i="36"/>
  <c r="H61" i="36"/>
  <c r="I61" i="36"/>
  <c r="J61" i="36"/>
  <c r="K61" i="36"/>
  <c r="L61" i="36"/>
  <c r="M61" i="36"/>
  <c r="G62" i="36"/>
  <c r="H62" i="36"/>
  <c r="I62" i="36"/>
  <c r="J62" i="36"/>
  <c r="K62" i="36"/>
  <c r="L62" i="36"/>
  <c r="M62" i="36"/>
  <c r="G63" i="36"/>
  <c r="H63" i="36"/>
  <c r="I63" i="36"/>
  <c r="J63" i="36"/>
  <c r="K63" i="36"/>
  <c r="L63" i="36"/>
  <c r="M63" i="36"/>
  <c r="G64" i="36"/>
  <c r="H64" i="36"/>
  <c r="I64" i="36"/>
  <c r="J64" i="36"/>
  <c r="K64" i="36"/>
  <c r="L64" i="36"/>
  <c r="M64" i="36"/>
  <c r="G65" i="36"/>
  <c r="H65" i="36"/>
  <c r="I65" i="36"/>
  <c r="J65" i="36"/>
  <c r="K65" i="36"/>
  <c r="L65" i="36"/>
  <c r="M65" i="36"/>
  <c r="G66" i="36"/>
  <c r="H66" i="36"/>
  <c r="I66" i="36"/>
  <c r="J66" i="36"/>
  <c r="K66" i="36"/>
  <c r="L66" i="36"/>
  <c r="M66" i="36"/>
  <c r="G67" i="36"/>
  <c r="H67" i="36"/>
  <c r="I67" i="36"/>
  <c r="J67" i="36"/>
  <c r="K67" i="36"/>
  <c r="L67" i="36"/>
  <c r="M67" i="36"/>
  <c r="G68" i="36"/>
  <c r="H68" i="36"/>
  <c r="I68" i="36"/>
  <c r="J68" i="36"/>
  <c r="K68" i="36"/>
  <c r="L68" i="36"/>
  <c r="M68" i="36"/>
  <c r="G69" i="36"/>
  <c r="H69" i="36"/>
  <c r="I69" i="36"/>
  <c r="J69" i="36"/>
  <c r="K69" i="36"/>
  <c r="L69" i="36"/>
  <c r="M69" i="36"/>
  <c r="G70" i="36"/>
  <c r="H70" i="36"/>
  <c r="I70" i="36"/>
  <c r="J70" i="36"/>
  <c r="K70" i="36"/>
  <c r="L70" i="36"/>
  <c r="M70" i="36"/>
  <c r="G71" i="36"/>
  <c r="H71" i="36"/>
  <c r="I71" i="36"/>
  <c r="J71" i="36"/>
  <c r="K71" i="36"/>
  <c r="L71" i="36"/>
  <c r="M71" i="36"/>
  <c r="G72" i="36"/>
  <c r="H72" i="36"/>
  <c r="I72" i="36"/>
  <c r="J72" i="36"/>
  <c r="K72" i="36"/>
  <c r="L72" i="36"/>
  <c r="M72" i="36"/>
  <c r="G73" i="36"/>
  <c r="H73" i="36"/>
  <c r="I73" i="36"/>
  <c r="J73" i="36"/>
  <c r="K73" i="36"/>
  <c r="L73" i="36"/>
  <c r="M73" i="36"/>
  <c r="G74" i="36"/>
  <c r="H74" i="36"/>
  <c r="I74" i="36"/>
  <c r="J74" i="36"/>
  <c r="K74" i="36"/>
  <c r="L74" i="36"/>
  <c r="M74" i="36"/>
  <c r="G75" i="36"/>
  <c r="H75" i="36"/>
  <c r="I75" i="36"/>
  <c r="J75" i="36"/>
  <c r="K75" i="36"/>
  <c r="L75" i="36"/>
  <c r="M75" i="36"/>
  <c r="G76" i="36"/>
  <c r="H76" i="36"/>
  <c r="I76" i="36"/>
  <c r="J76" i="36"/>
  <c r="K76" i="36"/>
  <c r="L76" i="36"/>
  <c r="M76" i="36"/>
  <c r="G77" i="36"/>
  <c r="H77" i="36"/>
  <c r="I77" i="36"/>
  <c r="J77" i="36"/>
  <c r="K77" i="36"/>
  <c r="L77" i="36"/>
  <c r="M77" i="36"/>
  <c r="G78" i="36"/>
  <c r="H78" i="36"/>
  <c r="I78" i="36"/>
  <c r="J78" i="36"/>
  <c r="K78" i="36"/>
  <c r="L78" i="36"/>
  <c r="M78" i="36"/>
  <c r="G79" i="36"/>
  <c r="H79" i="36"/>
  <c r="I79" i="36"/>
  <c r="J79" i="36"/>
  <c r="K79" i="36"/>
  <c r="L79" i="36"/>
  <c r="M79" i="36"/>
  <c r="G80" i="36"/>
  <c r="H80" i="36"/>
  <c r="I80" i="36"/>
  <c r="J80" i="36"/>
  <c r="K80" i="36"/>
  <c r="L80" i="36"/>
  <c r="M80" i="36"/>
  <c r="G81" i="36"/>
  <c r="H81" i="36"/>
  <c r="I81" i="36"/>
  <c r="J81" i="36"/>
  <c r="K81" i="36"/>
  <c r="L81" i="36"/>
  <c r="M81" i="36"/>
  <c r="G82" i="36"/>
  <c r="H82" i="36"/>
  <c r="I82" i="36"/>
  <c r="J82" i="36"/>
  <c r="K82" i="36"/>
  <c r="L82" i="36"/>
  <c r="M82" i="36"/>
  <c r="G83" i="36"/>
  <c r="H83" i="36"/>
  <c r="I83" i="36"/>
  <c r="J83" i="36"/>
  <c r="K83" i="36"/>
  <c r="L83" i="36"/>
  <c r="M83" i="36"/>
  <c r="G84" i="36"/>
  <c r="H84" i="36"/>
  <c r="I84" i="36"/>
  <c r="J84" i="36"/>
  <c r="K84" i="36"/>
  <c r="L84" i="36"/>
  <c r="M84" i="36"/>
  <c r="G85" i="36"/>
  <c r="H85" i="36"/>
  <c r="I85" i="36"/>
  <c r="J85" i="36"/>
  <c r="K85" i="36"/>
  <c r="L85" i="36"/>
  <c r="M85" i="36"/>
  <c r="G86" i="36"/>
  <c r="H86" i="36"/>
  <c r="I86" i="36"/>
  <c r="J86" i="36"/>
  <c r="K86" i="36"/>
  <c r="L86" i="36"/>
  <c r="M86" i="36"/>
  <c r="G87" i="36"/>
  <c r="H87" i="36"/>
  <c r="I87" i="36"/>
  <c r="J87" i="36"/>
  <c r="K87" i="36"/>
  <c r="L87" i="36"/>
  <c r="M87" i="36"/>
  <c r="G88" i="36"/>
  <c r="H88" i="36"/>
  <c r="I88" i="36"/>
  <c r="J88" i="36"/>
  <c r="K88" i="36"/>
  <c r="L88" i="36"/>
  <c r="M88" i="36"/>
  <c r="G89" i="36"/>
  <c r="H89" i="36"/>
  <c r="I89" i="36"/>
  <c r="J89" i="36"/>
  <c r="K89" i="36"/>
  <c r="L89" i="36"/>
  <c r="M89" i="36"/>
  <c r="G90" i="36"/>
  <c r="H90" i="36"/>
  <c r="I90" i="36"/>
  <c r="J90" i="36"/>
  <c r="K90" i="36"/>
  <c r="L90" i="36"/>
  <c r="M90" i="36"/>
  <c r="G91" i="36"/>
  <c r="H91" i="36"/>
  <c r="I91" i="36"/>
  <c r="J91" i="36"/>
  <c r="K91" i="36"/>
  <c r="L91" i="36"/>
  <c r="M91" i="36"/>
  <c r="G92" i="36"/>
  <c r="H92" i="36"/>
  <c r="I92" i="36"/>
  <c r="J92" i="36"/>
  <c r="K92" i="36"/>
  <c r="L92" i="36"/>
  <c r="M92" i="36"/>
  <c r="G93" i="36"/>
  <c r="H93" i="36"/>
  <c r="I93" i="36"/>
  <c r="J93" i="36"/>
  <c r="K93" i="36"/>
  <c r="L93" i="36"/>
  <c r="M93" i="36"/>
  <c r="G94" i="36"/>
  <c r="H94" i="36"/>
  <c r="I94" i="36"/>
  <c r="J94" i="36"/>
  <c r="K94" i="36"/>
  <c r="L94" i="36"/>
  <c r="M94" i="36"/>
  <c r="G95" i="36"/>
  <c r="H95" i="36"/>
  <c r="I95" i="36"/>
  <c r="J95" i="36"/>
  <c r="K95" i="36"/>
  <c r="L95" i="36"/>
  <c r="M95" i="36"/>
  <c r="G96" i="36"/>
  <c r="H96" i="36"/>
  <c r="I96" i="36"/>
  <c r="J96" i="36"/>
  <c r="K96" i="36"/>
  <c r="L96" i="36"/>
  <c r="M96" i="36"/>
  <c r="G97" i="36"/>
  <c r="H97" i="36"/>
  <c r="I97" i="36"/>
  <c r="J97" i="36"/>
  <c r="K97" i="36"/>
  <c r="L97" i="36"/>
  <c r="M97" i="36"/>
  <c r="G98" i="36"/>
  <c r="H98" i="36"/>
  <c r="I98" i="36"/>
  <c r="J98" i="36"/>
  <c r="K98" i="36"/>
  <c r="L98" i="36"/>
  <c r="M98" i="36"/>
  <c r="G99" i="36"/>
  <c r="H99" i="36"/>
  <c r="I99" i="36"/>
  <c r="J99" i="36"/>
  <c r="K99" i="36"/>
  <c r="L99" i="36"/>
  <c r="M99" i="36"/>
  <c r="G100" i="36"/>
  <c r="H100" i="36"/>
  <c r="I100" i="36"/>
  <c r="J100" i="36"/>
  <c r="K100" i="36"/>
  <c r="L100" i="36"/>
  <c r="M100" i="36"/>
  <c r="G101" i="36"/>
  <c r="H101" i="36"/>
  <c r="I101" i="36"/>
  <c r="J101" i="36"/>
  <c r="K101" i="36"/>
  <c r="L101" i="36"/>
  <c r="M101" i="36"/>
  <c r="G102" i="36"/>
  <c r="H102" i="36"/>
  <c r="I102" i="36"/>
  <c r="J102" i="36"/>
  <c r="K102" i="36"/>
  <c r="L102" i="36"/>
  <c r="M102" i="36"/>
  <c r="G103" i="36"/>
  <c r="H103" i="36"/>
  <c r="I103" i="36"/>
  <c r="J103" i="36"/>
  <c r="K103" i="36"/>
  <c r="L103" i="36"/>
  <c r="M103" i="36"/>
  <c r="G104" i="36"/>
  <c r="H104" i="36"/>
  <c r="I104" i="36"/>
  <c r="J104" i="36"/>
  <c r="K104" i="36"/>
  <c r="L104" i="36"/>
  <c r="M104" i="36"/>
  <c r="G105" i="36"/>
  <c r="H105" i="36"/>
  <c r="I105" i="36"/>
  <c r="J105" i="36"/>
  <c r="K105" i="36"/>
  <c r="L105" i="36"/>
  <c r="M105" i="36"/>
  <c r="G106" i="36"/>
  <c r="H106" i="36"/>
  <c r="I106" i="36"/>
  <c r="J106" i="36"/>
  <c r="K106" i="36"/>
  <c r="L106" i="36"/>
  <c r="M106" i="36"/>
  <c r="G107" i="36"/>
  <c r="H107" i="36"/>
  <c r="I107" i="36"/>
  <c r="J107" i="36"/>
  <c r="K107" i="36"/>
  <c r="L107" i="36"/>
  <c r="M107" i="36"/>
  <c r="G108" i="36"/>
  <c r="H108" i="36"/>
  <c r="I108" i="36"/>
  <c r="J108" i="36"/>
  <c r="K108" i="36"/>
  <c r="L108" i="36"/>
  <c r="M108" i="36"/>
  <c r="G109" i="36"/>
  <c r="H109" i="36"/>
  <c r="I109" i="36"/>
  <c r="J109" i="36"/>
  <c r="K109" i="36"/>
  <c r="L109" i="36"/>
  <c r="M109" i="36"/>
  <c r="G110" i="36"/>
  <c r="H110" i="36"/>
  <c r="I110" i="36"/>
  <c r="J110" i="36"/>
  <c r="K110" i="36"/>
  <c r="L110" i="36"/>
  <c r="M110" i="36"/>
  <c r="G111" i="36"/>
  <c r="H111" i="36"/>
  <c r="I111" i="36"/>
  <c r="J111" i="36"/>
  <c r="K111" i="36"/>
  <c r="L111" i="36"/>
  <c r="M111" i="36"/>
  <c r="G112" i="36"/>
  <c r="H112" i="36"/>
  <c r="I112" i="36"/>
  <c r="J112" i="36"/>
  <c r="K112" i="36"/>
  <c r="L112" i="36"/>
  <c r="M112" i="36"/>
  <c r="G113" i="36"/>
  <c r="H113" i="36"/>
  <c r="I113" i="36"/>
  <c r="J113" i="36"/>
  <c r="K113" i="36"/>
  <c r="L113" i="36"/>
  <c r="M113" i="36"/>
  <c r="G114" i="36"/>
  <c r="H114" i="36"/>
  <c r="I114" i="36"/>
  <c r="J114" i="36"/>
  <c r="K114" i="36"/>
  <c r="L114" i="36"/>
  <c r="M114" i="36"/>
  <c r="G115" i="36"/>
  <c r="H115" i="36"/>
  <c r="I115" i="36"/>
  <c r="J115" i="36"/>
  <c r="K115" i="36"/>
  <c r="L115" i="36"/>
  <c r="M115" i="36"/>
  <c r="G116" i="36"/>
  <c r="H116" i="36"/>
  <c r="I116" i="36"/>
  <c r="J116" i="36"/>
  <c r="K116" i="36"/>
  <c r="L116" i="36"/>
  <c r="M116" i="36"/>
  <c r="G117" i="36"/>
  <c r="H117" i="36"/>
  <c r="I117" i="36"/>
  <c r="J117" i="36"/>
  <c r="K117" i="36"/>
  <c r="L117" i="36"/>
  <c r="M117" i="36"/>
  <c r="G118" i="36"/>
  <c r="H118" i="36"/>
  <c r="I118" i="36"/>
  <c r="J118" i="36"/>
  <c r="K118" i="36"/>
  <c r="L118" i="36"/>
  <c r="M118" i="36"/>
  <c r="G119" i="36"/>
  <c r="H119" i="36"/>
  <c r="I119" i="36"/>
  <c r="J119" i="36"/>
  <c r="K119" i="36"/>
  <c r="L119" i="36"/>
  <c r="M119" i="36"/>
  <c r="G120" i="36"/>
  <c r="H120" i="36"/>
  <c r="I120" i="36"/>
  <c r="J120" i="36"/>
  <c r="K120" i="36"/>
  <c r="L120" i="36"/>
  <c r="M120" i="36"/>
  <c r="G121" i="36"/>
  <c r="H121" i="36"/>
  <c r="I121" i="36"/>
  <c r="J121" i="36"/>
  <c r="K121" i="36"/>
  <c r="L121" i="36"/>
  <c r="M121" i="36"/>
  <c r="G122" i="36"/>
  <c r="H122" i="36"/>
  <c r="I122" i="36"/>
  <c r="J122" i="36"/>
  <c r="K122" i="36"/>
  <c r="L122" i="36"/>
  <c r="M122" i="36"/>
  <c r="G123" i="36"/>
  <c r="H123" i="36"/>
  <c r="I123" i="36"/>
  <c r="J123" i="36"/>
  <c r="K123" i="36"/>
  <c r="L123" i="36"/>
  <c r="M123" i="36"/>
  <c r="G124" i="36"/>
  <c r="H124" i="36"/>
  <c r="I124" i="36"/>
  <c r="J124" i="36"/>
  <c r="K124" i="36"/>
  <c r="L124" i="36"/>
  <c r="M124" i="36"/>
  <c r="G125" i="36"/>
  <c r="H125" i="36"/>
  <c r="I125" i="36"/>
  <c r="J125" i="36"/>
  <c r="K125" i="36"/>
  <c r="L125" i="36"/>
  <c r="M125" i="36"/>
  <c r="G126" i="36"/>
  <c r="H126" i="36"/>
  <c r="I126" i="36"/>
  <c r="J126" i="36"/>
  <c r="K126" i="36"/>
  <c r="L126" i="36"/>
  <c r="M126" i="36"/>
  <c r="G127" i="36"/>
  <c r="H127" i="36"/>
  <c r="I127" i="36"/>
  <c r="J127" i="36"/>
  <c r="K127" i="36"/>
  <c r="L127" i="36"/>
  <c r="M127" i="36"/>
  <c r="G128" i="36"/>
  <c r="H128" i="36"/>
  <c r="I128" i="36"/>
  <c r="J128" i="36"/>
  <c r="K128" i="36"/>
  <c r="L128" i="36"/>
  <c r="M128" i="36"/>
  <c r="G129" i="36"/>
  <c r="H129" i="36"/>
  <c r="I129" i="36"/>
  <c r="J129" i="36"/>
  <c r="K129" i="36"/>
  <c r="L129" i="36"/>
  <c r="M129" i="36"/>
  <c r="G130" i="36"/>
  <c r="H130" i="36"/>
  <c r="I130" i="36"/>
  <c r="J130" i="36"/>
  <c r="K130" i="36"/>
  <c r="L130" i="36"/>
  <c r="M130" i="36"/>
  <c r="G131" i="36"/>
  <c r="H131" i="36"/>
  <c r="I131" i="36"/>
  <c r="J131" i="36"/>
  <c r="K131" i="36"/>
  <c r="L131" i="36"/>
  <c r="M131" i="36"/>
  <c r="G132" i="36"/>
  <c r="H132" i="36"/>
  <c r="I132" i="36"/>
  <c r="J132" i="36"/>
  <c r="K132" i="36"/>
  <c r="L132" i="36"/>
  <c r="M132" i="36"/>
  <c r="G133" i="36"/>
  <c r="H133" i="36"/>
  <c r="I133" i="36"/>
  <c r="J133" i="36"/>
  <c r="K133" i="36"/>
  <c r="L133" i="36"/>
  <c r="M133" i="36"/>
  <c r="G134" i="36"/>
  <c r="H134" i="36"/>
  <c r="I134" i="36"/>
  <c r="J134" i="36"/>
  <c r="K134" i="36"/>
  <c r="L134" i="36"/>
  <c r="M134" i="36"/>
  <c r="G135" i="36"/>
  <c r="H135" i="36"/>
  <c r="I135" i="36"/>
  <c r="J135" i="36"/>
  <c r="K135" i="36"/>
  <c r="L135" i="36"/>
  <c r="M135" i="36"/>
  <c r="G136" i="36"/>
  <c r="H136" i="36"/>
  <c r="I136" i="36"/>
  <c r="J136" i="36"/>
  <c r="K136" i="36"/>
  <c r="L136" i="36"/>
  <c r="M136" i="36"/>
  <c r="G137" i="36"/>
  <c r="H137" i="36"/>
  <c r="I137" i="36"/>
  <c r="J137" i="36"/>
  <c r="K137" i="36"/>
  <c r="L137" i="36"/>
  <c r="M137" i="36"/>
  <c r="G138" i="36"/>
  <c r="H138" i="36"/>
  <c r="I138" i="36"/>
  <c r="J138" i="36"/>
  <c r="K138" i="36"/>
  <c r="L138" i="36"/>
  <c r="M138" i="36"/>
  <c r="G139" i="36"/>
  <c r="H139" i="36"/>
  <c r="I139" i="36"/>
  <c r="J139" i="36"/>
  <c r="K139" i="36"/>
  <c r="L139" i="36"/>
  <c r="M139" i="36"/>
  <c r="G140" i="36"/>
  <c r="H140" i="36"/>
  <c r="I140" i="36"/>
  <c r="J140" i="36"/>
  <c r="K140" i="36"/>
  <c r="L140" i="36"/>
  <c r="M140" i="36"/>
  <c r="G141" i="36"/>
  <c r="H141" i="36"/>
  <c r="I141" i="36"/>
  <c r="J141" i="36"/>
  <c r="K141" i="36"/>
  <c r="L141" i="36"/>
  <c r="M141" i="36"/>
  <c r="G142" i="36"/>
  <c r="H142" i="36"/>
  <c r="I142" i="36"/>
  <c r="J142" i="36"/>
  <c r="K142" i="36"/>
  <c r="L142" i="36"/>
  <c r="M142" i="36"/>
  <c r="G143" i="36"/>
  <c r="H143" i="36"/>
  <c r="I143" i="36"/>
  <c r="J143" i="36"/>
  <c r="K143" i="36"/>
  <c r="L143" i="36"/>
  <c r="M143" i="36"/>
  <c r="G144" i="36"/>
  <c r="H144" i="36"/>
  <c r="I144" i="36"/>
  <c r="J144" i="36"/>
  <c r="K144" i="36"/>
  <c r="L144" i="36"/>
  <c r="M144" i="36"/>
  <c r="G145" i="36"/>
  <c r="H145" i="36"/>
  <c r="I145" i="36"/>
  <c r="J145" i="36"/>
  <c r="K145" i="36"/>
  <c r="L145" i="36"/>
  <c r="M145" i="36"/>
  <c r="G146" i="36"/>
  <c r="H146" i="36"/>
  <c r="I146" i="36"/>
  <c r="J146" i="36"/>
  <c r="K146" i="36"/>
  <c r="L146" i="36"/>
  <c r="M146" i="36"/>
  <c r="G147" i="36"/>
  <c r="H147" i="36"/>
  <c r="I147" i="36"/>
  <c r="J147" i="36"/>
  <c r="K147" i="36"/>
  <c r="L147" i="36"/>
  <c r="M147" i="36"/>
  <c r="G148" i="36"/>
  <c r="H148" i="36"/>
  <c r="I148" i="36"/>
  <c r="J148" i="36"/>
  <c r="K148" i="36"/>
  <c r="L148" i="36"/>
  <c r="M148" i="36"/>
  <c r="G149" i="36"/>
  <c r="H149" i="36"/>
  <c r="I149" i="36"/>
  <c r="J149" i="36"/>
  <c r="K149" i="36"/>
  <c r="L149" i="36"/>
  <c r="M149" i="36"/>
  <c r="G150" i="36"/>
  <c r="H150" i="36"/>
  <c r="I150" i="36"/>
  <c r="J150" i="36"/>
  <c r="K150" i="36"/>
  <c r="L150" i="36"/>
  <c r="M150" i="36"/>
  <c r="G151" i="36"/>
  <c r="H151" i="36"/>
  <c r="I151" i="36"/>
  <c r="J151" i="36"/>
  <c r="K151" i="36"/>
  <c r="L151" i="36"/>
  <c r="M151" i="36"/>
  <c r="G152" i="36"/>
  <c r="H152" i="36"/>
  <c r="I152" i="36"/>
  <c r="J152" i="36"/>
  <c r="K152" i="36"/>
  <c r="L152" i="36"/>
  <c r="M152" i="36"/>
  <c r="G153" i="36"/>
  <c r="H153" i="36"/>
  <c r="I153" i="36"/>
  <c r="J153" i="36"/>
  <c r="K153" i="36"/>
  <c r="L153" i="36"/>
  <c r="M153" i="36"/>
  <c r="G154" i="36"/>
  <c r="H154" i="36"/>
  <c r="I154" i="36"/>
  <c r="J154" i="36"/>
  <c r="K154" i="36"/>
  <c r="L154" i="36"/>
  <c r="M154" i="36"/>
  <c r="G155" i="36"/>
  <c r="H155" i="36"/>
  <c r="I155" i="36"/>
  <c r="J155" i="36"/>
  <c r="K155" i="36"/>
  <c r="L155" i="36"/>
  <c r="M155" i="36"/>
  <c r="G156" i="36"/>
  <c r="H156" i="36"/>
  <c r="I156" i="36"/>
  <c r="J156" i="36"/>
  <c r="K156" i="36"/>
  <c r="L156" i="36"/>
  <c r="M156" i="36"/>
  <c r="G157" i="36"/>
  <c r="H157" i="36"/>
  <c r="I157" i="36"/>
  <c r="J157" i="36"/>
  <c r="K157" i="36"/>
  <c r="L157" i="36"/>
  <c r="M157" i="36"/>
  <c r="G158" i="36"/>
  <c r="H158" i="36"/>
  <c r="I158" i="36"/>
  <c r="J158" i="36"/>
  <c r="K158" i="36"/>
  <c r="L158" i="36"/>
  <c r="M158" i="36"/>
  <c r="G159" i="36"/>
  <c r="H159" i="36"/>
  <c r="I159" i="36"/>
  <c r="J159" i="36"/>
  <c r="K159" i="36"/>
  <c r="L159" i="36"/>
  <c r="M159" i="36"/>
  <c r="G160" i="36"/>
  <c r="H160" i="36"/>
  <c r="I160" i="36"/>
  <c r="J160" i="36"/>
  <c r="K160" i="36"/>
  <c r="L160" i="36"/>
  <c r="M160" i="36"/>
  <c r="G161" i="36"/>
  <c r="H161" i="36"/>
  <c r="I161" i="36"/>
  <c r="J161" i="36"/>
  <c r="K161" i="36"/>
  <c r="L161" i="36"/>
  <c r="M161" i="36"/>
  <c r="G162" i="36"/>
  <c r="H162" i="36"/>
  <c r="I162" i="36"/>
  <c r="J162" i="36"/>
  <c r="K162" i="36"/>
  <c r="L162" i="36"/>
  <c r="M162" i="36"/>
  <c r="G163" i="36"/>
  <c r="H163" i="36"/>
  <c r="I163" i="36"/>
  <c r="J163" i="36"/>
  <c r="K163" i="36"/>
  <c r="L163" i="36"/>
  <c r="M163" i="36"/>
  <c r="G164" i="36"/>
  <c r="H164" i="36"/>
  <c r="I164" i="36"/>
  <c r="J164" i="36"/>
  <c r="K164" i="36"/>
  <c r="L164" i="36"/>
  <c r="M164" i="36"/>
  <c r="G165" i="36"/>
  <c r="H165" i="36"/>
  <c r="I165" i="36"/>
  <c r="J165" i="36"/>
  <c r="K165" i="36"/>
  <c r="L165" i="36"/>
  <c r="M165" i="36"/>
  <c r="G166" i="36"/>
  <c r="H166" i="36"/>
  <c r="I166" i="36"/>
  <c r="J166" i="36"/>
  <c r="K166" i="36"/>
  <c r="L166" i="36"/>
  <c r="M166" i="36"/>
  <c r="H2" i="36"/>
  <c r="I2" i="36"/>
  <c r="J2" i="36"/>
  <c r="K2" i="36"/>
  <c r="L2" i="36"/>
  <c r="M2" i="36"/>
  <c r="G2" i="36"/>
  <c r="B3" i="36"/>
  <c r="C3" i="36"/>
  <c r="D3" i="36"/>
  <c r="E3" i="36"/>
  <c r="F3" i="36"/>
  <c r="B4" i="36"/>
  <c r="C4" i="36"/>
  <c r="D4" i="36"/>
  <c r="E4" i="36"/>
  <c r="F4" i="36"/>
  <c r="B5" i="36"/>
  <c r="C5" i="36"/>
  <c r="D5" i="36"/>
  <c r="E5" i="36"/>
  <c r="F5" i="36"/>
  <c r="B6" i="36"/>
  <c r="C6" i="36"/>
  <c r="D6" i="36"/>
  <c r="E6" i="36"/>
  <c r="F6" i="36"/>
  <c r="B7" i="36"/>
  <c r="C7" i="36"/>
  <c r="D7" i="36"/>
  <c r="E7" i="36"/>
  <c r="F7" i="36"/>
  <c r="B8" i="36"/>
  <c r="C8" i="36"/>
  <c r="D8" i="36"/>
  <c r="E8" i="36"/>
  <c r="F8" i="36"/>
  <c r="B9" i="36"/>
  <c r="C9" i="36"/>
  <c r="D9" i="36"/>
  <c r="E9" i="36"/>
  <c r="F9" i="36"/>
  <c r="B10" i="36"/>
  <c r="C10" i="36"/>
  <c r="D10" i="36"/>
  <c r="E10" i="36"/>
  <c r="F10" i="36"/>
  <c r="B11" i="36"/>
  <c r="C11" i="36"/>
  <c r="D11" i="36"/>
  <c r="E11" i="36"/>
  <c r="F11" i="36"/>
  <c r="B12" i="36"/>
  <c r="C12" i="36"/>
  <c r="D12" i="36"/>
  <c r="E12" i="36"/>
  <c r="F12" i="36"/>
  <c r="B13" i="36"/>
  <c r="C13" i="36"/>
  <c r="D13" i="36"/>
  <c r="E13" i="36"/>
  <c r="F13" i="36"/>
  <c r="B14" i="36"/>
  <c r="C14" i="36"/>
  <c r="D14" i="36"/>
  <c r="E14" i="36"/>
  <c r="F14" i="36"/>
  <c r="B15" i="36"/>
  <c r="C15" i="36"/>
  <c r="D15" i="36"/>
  <c r="E15" i="36"/>
  <c r="F15" i="36"/>
  <c r="B16" i="36"/>
  <c r="C16" i="36"/>
  <c r="D16" i="36"/>
  <c r="E16" i="36"/>
  <c r="F16" i="36"/>
  <c r="B17" i="36"/>
  <c r="C17" i="36"/>
  <c r="D17" i="36"/>
  <c r="E17" i="36"/>
  <c r="F17" i="36"/>
  <c r="B18" i="36"/>
  <c r="C18" i="36"/>
  <c r="D18" i="36"/>
  <c r="E18" i="36"/>
  <c r="F18" i="36"/>
  <c r="B19" i="36"/>
  <c r="C19" i="36"/>
  <c r="D19" i="36"/>
  <c r="E19" i="36"/>
  <c r="F19" i="36"/>
  <c r="B20" i="36"/>
  <c r="C20" i="36"/>
  <c r="D20" i="36"/>
  <c r="E20" i="36"/>
  <c r="F20" i="36"/>
  <c r="B21" i="36"/>
  <c r="C21" i="36"/>
  <c r="D21" i="36"/>
  <c r="E21" i="36"/>
  <c r="F21" i="36"/>
  <c r="B22" i="36"/>
  <c r="C22" i="36"/>
  <c r="D22" i="36"/>
  <c r="E22" i="36"/>
  <c r="F22" i="36"/>
  <c r="B23" i="36"/>
  <c r="C23" i="36"/>
  <c r="D23" i="36"/>
  <c r="E23" i="36"/>
  <c r="F23" i="36"/>
  <c r="B24" i="36"/>
  <c r="C24" i="36"/>
  <c r="D24" i="36"/>
  <c r="E24" i="36"/>
  <c r="F24" i="36"/>
  <c r="B25" i="36"/>
  <c r="C25" i="36"/>
  <c r="D25" i="36"/>
  <c r="E25" i="36"/>
  <c r="F25" i="36"/>
  <c r="B26" i="36"/>
  <c r="C26" i="36"/>
  <c r="D26" i="36"/>
  <c r="E26" i="36"/>
  <c r="F26" i="36"/>
  <c r="B27" i="36"/>
  <c r="C27" i="36"/>
  <c r="D27" i="36"/>
  <c r="E27" i="36"/>
  <c r="F27" i="36"/>
  <c r="B28" i="36"/>
  <c r="C28" i="36"/>
  <c r="D28" i="36"/>
  <c r="E28" i="36"/>
  <c r="F28" i="36"/>
  <c r="B29" i="36"/>
  <c r="C29" i="36"/>
  <c r="D29" i="36"/>
  <c r="E29" i="36"/>
  <c r="F29" i="36"/>
  <c r="B30" i="36"/>
  <c r="C30" i="36"/>
  <c r="D30" i="36"/>
  <c r="E30" i="36"/>
  <c r="F30" i="36"/>
  <c r="B31" i="36"/>
  <c r="C31" i="36"/>
  <c r="D31" i="36"/>
  <c r="E31" i="36"/>
  <c r="F31" i="36"/>
  <c r="B32" i="36"/>
  <c r="C32" i="36"/>
  <c r="D32" i="36"/>
  <c r="E32" i="36"/>
  <c r="F32" i="36"/>
  <c r="B33" i="36"/>
  <c r="C33" i="36"/>
  <c r="D33" i="36"/>
  <c r="E33" i="36"/>
  <c r="F33" i="36"/>
  <c r="B34" i="36"/>
  <c r="C34" i="36"/>
  <c r="D34" i="36"/>
  <c r="E34" i="36"/>
  <c r="F34" i="36"/>
  <c r="B35" i="36"/>
  <c r="C35" i="36"/>
  <c r="D35" i="36"/>
  <c r="E35" i="36"/>
  <c r="F35" i="36"/>
  <c r="B36" i="36"/>
  <c r="C36" i="36"/>
  <c r="D36" i="36"/>
  <c r="E36" i="36"/>
  <c r="F36" i="36"/>
  <c r="B37" i="36"/>
  <c r="C37" i="36"/>
  <c r="D37" i="36"/>
  <c r="E37" i="36"/>
  <c r="F37" i="36"/>
  <c r="B38" i="36"/>
  <c r="C38" i="36"/>
  <c r="D38" i="36"/>
  <c r="E38" i="36"/>
  <c r="F38" i="36"/>
  <c r="B39" i="36"/>
  <c r="C39" i="36"/>
  <c r="D39" i="36"/>
  <c r="E39" i="36"/>
  <c r="F39" i="36"/>
  <c r="B40" i="36"/>
  <c r="C40" i="36"/>
  <c r="D40" i="36"/>
  <c r="E40" i="36"/>
  <c r="F40" i="36"/>
  <c r="B41" i="36"/>
  <c r="C41" i="36"/>
  <c r="D41" i="36"/>
  <c r="E41" i="36"/>
  <c r="F41" i="36"/>
  <c r="B42" i="36"/>
  <c r="C42" i="36"/>
  <c r="D42" i="36"/>
  <c r="E42" i="36"/>
  <c r="F42" i="36"/>
  <c r="B43" i="36"/>
  <c r="C43" i="36"/>
  <c r="D43" i="36"/>
  <c r="E43" i="36"/>
  <c r="F43" i="36"/>
  <c r="B44" i="36"/>
  <c r="C44" i="36"/>
  <c r="D44" i="36"/>
  <c r="E44" i="36"/>
  <c r="F44" i="36"/>
  <c r="B45" i="36"/>
  <c r="C45" i="36"/>
  <c r="D45" i="36"/>
  <c r="E45" i="36"/>
  <c r="F45" i="36"/>
  <c r="B46" i="36"/>
  <c r="C46" i="36"/>
  <c r="D46" i="36"/>
  <c r="E46" i="36"/>
  <c r="F46" i="36"/>
  <c r="B47" i="36"/>
  <c r="C47" i="36"/>
  <c r="D47" i="36"/>
  <c r="E47" i="36"/>
  <c r="F47" i="36"/>
  <c r="B48" i="36"/>
  <c r="C48" i="36"/>
  <c r="D48" i="36"/>
  <c r="E48" i="36"/>
  <c r="F48" i="36"/>
  <c r="B49" i="36"/>
  <c r="C49" i="36"/>
  <c r="D49" i="36"/>
  <c r="E49" i="36"/>
  <c r="F49" i="36"/>
  <c r="B50" i="36"/>
  <c r="C50" i="36"/>
  <c r="D50" i="36"/>
  <c r="E50" i="36"/>
  <c r="F50" i="36"/>
  <c r="B51" i="36"/>
  <c r="C51" i="36"/>
  <c r="D51" i="36"/>
  <c r="E51" i="36"/>
  <c r="F51" i="36"/>
  <c r="B52" i="36"/>
  <c r="C52" i="36"/>
  <c r="D52" i="36"/>
  <c r="E52" i="36"/>
  <c r="F52" i="36"/>
  <c r="B53" i="36"/>
  <c r="C53" i="36"/>
  <c r="D53" i="36"/>
  <c r="E53" i="36"/>
  <c r="F53" i="36"/>
  <c r="B54" i="36"/>
  <c r="C54" i="36"/>
  <c r="D54" i="36"/>
  <c r="E54" i="36"/>
  <c r="F54" i="36"/>
  <c r="B55" i="36"/>
  <c r="C55" i="36"/>
  <c r="D55" i="36"/>
  <c r="E55" i="36"/>
  <c r="F55" i="36"/>
  <c r="B56" i="36"/>
  <c r="C56" i="36"/>
  <c r="D56" i="36"/>
  <c r="E56" i="36"/>
  <c r="F56" i="36"/>
  <c r="B57" i="36"/>
  <c r="C57" i="36"/>
  <c r="D57" i="36"/>
  <c r="E57" i="36"/>
  <c r="F57" i="36"/>
  <c r="B58" i="36"/>
  <c r="C58" i="36"/>
  <c r="D58" i="36"/>
  <c r="E58" i="36"/>
  <c r="F58" i="36"/>
  <c r="B59" i="36"/>
  <c r="C59" i="36"/>
  <c r="D59" i="36"/>
  <c r="E59" i="36"/>
  <c r="F59" i="36"/>
  <c r="B60" i="36"/>
  <c r="C60" i="36"/>
  <c r="D60" i="36"/>
  <c r="E60" i="36"/>
  <c r="F60" i="36"/>
  <c r="B61" i="36"/>
  <c r="C61" i="36"/>
  <c r="D61" i="36"/>
  <c r="E61" i="36"/>
  <c r="F61" i="36"/>
  <c r="B62" i="36"/>
  <c r="C62" i="36"/>
  <c r="D62" i="36"/>
  <c r="E62" i="36"/>
  <c r="F62" i="36"/>
  <c r="B63" i="36"/>
  <c r="C63" i="36"/>
  <c r="D63" i="36"/>
  <c r="E63" i="36"/>
  <c r="F63" i="36"/>
  <c r="B64" i="36"/>
  <c r="C64" i="36"/>
  <c r="D64" i="36"/>
  <c r="E64" i="36"/>
  <c r="F64" i="36"/>
  <c r="B65" i="36"/>
  <c r="C65" i="36"/>
  <c r="D65" i="36"/>
  <c r="E65" i="36"/>
  <c r="F65" i="36"/>
  <c r="B66" i="36"/>
  <c r="C66" i="36"/>
  <c r="D66" i="36"/>
  <c r="E66" i="36"/>
  <c r="F66" i="36"/>
  <c r="B67" i="36"/>
  <c r="C67" i="36"/>
  <c r="D67" i="36"/>
  <c r="E67" i="36"/>
  <c r="F67" i="36"/>
  <c r="B68" i="36"/>
  <c r="C68" i="36"/>
  <c r="D68" i="36"/>
  <c r="E68" i="36"/>
  <c r="F68" i="36"/>
  <c r="B69" i="36"/>
  <c r="C69" i="36"/>
  <c r="D69" i="36"/>
  <c r="E69" i="36"/>
  <c r="F69" i="36"/>
  <c r="B70" i="36"/>
  <c r="C70" i="36"/>
  <c r="D70" i="36"/>
  <c r="E70" i="36"/>
  <c r="F70" i="36"/>
  <c r="B71" i="36"/>
  <c r="C71" i="36"/>
  <c r="D71" i="36"/>
  <c r="E71" i="36"/>
  <c r="F71" i="36"/>
  <c r="B72" i="36"/>
  <c r="C72" i="36"/>
  <c r="D72" i="36"/>
  <c r="E72" i="36"/>
  <c r="F72" i="36"/>
  <c r="B73" i="36"/>
  <c r="C73" i="36"/>
  <c r="D73" i="36"/>
  <c r="E73" i="36"/>
  <c r="F73" i="36"/>
  <c r="B74" i="36"/>
  <c r="C74" i="36"/>
  <c r="D74" i="36"/>
  <c r="E74" i="36"/>
  <c r="F74" i="36"/>
  <c r="B75" i="36"/>
  <c r="C75" i="36"/>
  <c r="D75" i="36"/>
  <c r="E75" i="36"/>
  <c r="F75" i="36"/>
  <c r="B76" i="36"/>
  <c r="C76" i="36"/>
  <c r="D76" i="36"/>
  <c r="E76" i="36"/>
  <c r="F76" i="36"/>
  <c r="B77" i="36"/>
  <c r="C77" i="36"/>
  <c r="D77" i="36"/>
  <c r="E77" i="36"/>
  <c r="F77" i="36"/>
  <c r="B78" i="36"/>
  <c r="C78" i="36"/>
  <c r="D78" i="36"/>
  <c r="E78" i="36"/>
  <c r="F78" i="36"/>
  <c r="B79" i="36"/>
  <c r="C79" i="36"/>
  <c r="D79" i="36"/>
  <c r="E79" i="36"/>
  <c r="F79" i="36"/>
  <c r="B80" i="36"/>
  <c r="C80" i="36"/>
  <c r="D80" i="36"/>
  <c r="E80" i="36"/>
  <c r="F80" i="36"/>
  <c r="B81" i="36"/>
  <c r="C81" i="36"/>
  <c r="D81" i="36"/>
  <c r="E81" i="36"/>
  <c r="F81" i="36"/>
  <c r="B82" i="36"/>
  <c r="C82" i="36"/>
  <c r="D82" i="36"/>
  <c r="E82" i="36"/>
  <c r="F82" i="36"/>
  <c r="B83" i="36"/>
  <c r="C83" i="36"/>
  <c r="D83" i="36"/>
  <c r="E83" i="36"/>
  <c r="F83" i="36"/>
  <c r="B84" i="36"/>
  <c r="C84" i="36"/>
  <c r="D84" i="36"/>
  <c r="E84" i="36"/>
  <c r="F84" i="36"/>
  <c r="B85" i="36"/>
  <c r="C85" i="36"/>
  <c r="D85" i="36"/>
  <c r="E85" i="36"/>
  <c r="F85" i="36"/>
  <c r="B86" i="36"/>
  <c r="C86" i="36"/>
  <c r="D86" i="36"/>
  <c r="E86" i="36"/>
  <c r="F86" i="36"/>
  <c r="B87" i="36"/>
  <c r="C87" i="36"/>
  <c r="D87" i="36"/>
  <c r="E87" i="36"/>
  <c r="F87" i="36"/>
  <c r="B88" i="36"/>
  <c r="C88" i="36"/>
  <c r="D88" i="36"/>
  <c r="E88" i="36"/>
  <c r="F88" i="36"/>
  <c r="B89" i="36"/>
  <c r="C89" i="36"/>
  <c r="D89" i="36"/>
  <c r="E89" i="36"/>
  <c r="F89" i="36"/>
  <c r="B90" i="36"/>
  <c r="C90" i="36"/>
  <c r="D90" i="36"/>
  <c r="E90" i="36"/>
  <c r="F90" i="36"/>
  <c r="B91" i="36"/>
  <c r="C91" i="36"/>
  <c r="D91" i="36"/>
  <c r="E91" i="36"/>
  <c r="F91" i="36"/>
  <c r="B92" i="36"/>
  <c r="C92" i="36"/>
  <c r="D92" i="36"/>
  <c r="E92" i="36"/>
  <c r="F92" i="36"/>
  <c r="B93" i="36"/>
  <c r="C93" i="36"/>
  <c r="D93" i="36"/>
  <c r="E93" i="36"/>
  <c r="F93" i="36"/>
  <c r="B94" i="36"/>
  <c r="C94" i="36"/>
  <c r="D94" i="36"/>
  <c r="E94" i="36"/>
  <c r="F94" i="36"/>
  <c r="B95" i="36"/>
  <c r="C95" i="36"/>
  <c r="D95" i="36"/>
  <c r="E95" i="36"/>
  <c r="F95" i="36"/>
  <c r="B96" i="36"/>
  <c r="C96" i="36"/>
  <c r="D96" i="36"/>
  <c r="E96" i="36"/>
  <c r="F96" i="36"/>
  <c r="B97" i="36"/>
  <c r="C97" i="36"/>
  <c r="D97" i="36"/>
  <c r="E97" i="36"/>
  <c r="F97" i="36"/>
  <c r="B98" i="36"/>
  <c r="C98" i="36"/>
  <c r="D98" i="36"/>
  <c r="E98" i="36"/>
  <c r="F98" i="36"/>
  <c r="B99" i="36"/>
  <c r="C99" i="36"/>
  <c r="D99" i="36"/>
  <c r="E99" i="36"/>
  <c r="F99" i="36"/>
  <c r="B100" i="36"/>
  <c r="C100" i="36"/>
  <c r="D100" i="36"/>
  <c r="E100" i="36"/>
  <c r="F100" i="36"/>
  <c r="B101" i="36"/>
  <c r="C101" i="36"/>
  <c r="D101" i="36"/>
  <c r="E101" i="36"/>
  <c r="F101" i="36"/>
  <c r="B102" i="36"/>
  <c r="C102" i="36"/>
  <c r="D102" i="36"/>
  <c r="E102" i="36"/>
  <c r="F102" i="36"/>
  <c r="B103" i="36"/>
  <c r="C103" i="36"/>
  <c r="D103" i="36"/>
  <c r="E103" i="36"/>
  <c r="F103" i="36"/>
  <c r="B104" i="36"/>
  <c r="C104" i="36"/>
  <c r="D104" i="36"/>
  <c r="E104" i="36"/>
  <c r="F104" i="36"/>
  <c r="B105" i="36"/>
  <c r="C105" i="36"/>
  <c r="D105" i="36"/>
  <c r="E105" i="36"/>
  <c r="F105" i="36"/>
  <c r="B106" i="36"/>
  <c r="C106" i="36"/>
  <c r="D106" i="36"/>
  <c r="E106" i="36"/>
  <c r="F106" i="36"/>
  <c r="B107" i="36"/>
  <c r="C107" i="36"/>
  <c r="D107" i="36"/>
  <c r="E107" i="36"/>
  <c r="F107" i="36"/>
  <c r="B108" i="36"/>
  <c r="C108" i="36"/>
  <c r="D108" i="36"/>
  <c r="E108" i="36"/>
  <c r="F108" i="36"/>
  <c r="B109" i="36"/>
  <c r="C109" i="36"/>
  <c r="D109" i="36"/>
  <c r="E109" i="36"/>
  <c r="F109" i="36"/>
  <c r="B110" i="36"/>
  <c r="C110" i="36"/>
  <c r="D110" i="36"/>
  <c r="E110" i="36"/>
  <c r="F110" i="36"/>
  <c r="B111" i="36"/>
  <c r="C111" i="36"/>
  <c r="D111" i="36"/>
  <c r="E111" i="36"/>
  <c r="F111" i="36"/>
  <c r="B112" i="36"/>
  <c r="C112" i="36"/>
  <c r="D112" i="36"/>
  <c r="E112" i="36"/>
  <c r="F112" i="36"/>
  <c r="B113" i="36"/>
  <c r="C113" i="36"/>
  <c r="D113" i="36"/>
  <c r="E113" i="36"/>
  <c r="F113" i="36"/>
  <c r="B114" i="36"/>
  <c r="C114" i="36"/>
  <c r="D114" i="36"/>
  <c r="E114" i="36"/>
  <c r="F114" i="36"/>
  <c r="B115" i="36"/>
  <c r="C115" i="36"/>
  <c r="D115" i="36"/>
  <c r="E115" i="36"/>
  <c r="F115" i="36"/>
  <c r="B116" i="36"/>
  <c r="C116" i="36"/>
  <c r="D116" i="36"/>
  <c r="E116" i="36"/>
  <c r="F116" i="36"/>
  <c r="B117" i="36"/>
  <c r="C117" i="36"/>
  <c r="D117" i="36"/>
  <c r="E117" i="36"/>
  <c r="F117" i="36"/>
  <c r="B118" i="36"/>
  <c r="C118" i="36"/>
  <c r="D118" i="36"/>
  <c r="E118" i="36"/>
  <c r="F118" i="36"/>
  <c r="B119" i="36"/>
  <c r="C119" i="36"/>
  <c r="D119" i="36"/>
  <c r="E119" i="36"/>
  <c r="F119" i="36"/>
  <c r="B120" i="36"/>
  <c r="C120" i="36"/>
  <c r="D120" i="36"/>
  <c r="E120" i="36"/>
  <c r="F120" i="36"/>
  <c r="B121" i="36"/>
  <c r="C121" i="36"/>
  <c r="D121" i="36"/>
  <c r="E121" i="36"/>
  <c r="F121" i="36"/>
  <c r="B122" i="36"/>
  <c r="C122" i="36"/>
  <c r="D122" i="36"/>
  <c r="E122" i="36"/>
  <c r="F122" i="36"/>
  <c r="B123" i="36"/>
  <c r="C123" i="36"/>
  <c r="D123" i="36"/>
  <c r="E123" i="36"/>
  <c r="F123" i="36"/>
  <c r="B124" i="36"/>
  <c r="C124" i="36"/>
  <c r="D124" i="36"/>
  <c r="E124" i="36"/>
  <c r="F124" i="36"/>
  <c r="B125" i="36"/>
  <c r="C125" i="36"/>
  <c r="D125" i="36"/>
  <c r="E125" i="36"/>
  <c r="F125" i="36"/>
  <c r="B126" i="36"/>
  <c r="C126" i="36"/>
  <c r="D126" i="36"/>
  <c r="E126" i="36"/>
  <c r="F126" i="36"/>
  <c r="B127" i="36"/>
  <c r="C127" i="36"/>
  <c r="D127" i="36"/>
  <c r="E127" i="36"/>
  <c r="F127" i="36"/>
  <c r="B128" i="36"/>
  <c r="C128" i="36"/>
  <c r="D128" i="36"/>
  <c r="E128" i="36"/>
  <c r="F128" i="36"/>
  <c r="B129" i="36"/>
  <c r="C129" i="36"/>
  <c r="D129" i="36"/>
  <c r="E129" i="36"/>
  <c r="F129" i="36"/>
  <c r="B130" i="36"/>
  <c r="C130" i="36"/>
  <c r="D130" i="36"/>
  <c r="E130" i="36"/>
  <c r="F130" i="36"/>
  <c r="B131" i="36"/>
  <c r="C131" i="36"/>
  <c r="D131" i="36"/>
  <c r="E131" i="36"/>
  <c r="F131" i="36"/>
  <c r="B132" i="36"/>
  <c r="C132" i="36"/>
  <c r="D132" i="36"/>
  <c r="E132" i="36"/>
  <c r="F132" i="36"/>
  <c r="B133" i="36"/>
  <c r="C133" i="36"/>
  <c r="D133" i="36"/>
  <c r="E133" i="36"/>
  <c r="F133" i="36"/>
  <c r="B134" i="36"/>
  <c r="C134" i="36"/>
  <c r="D134" i="36"/>
  <c r="E134" i="36"/>
  <c r="F134" i="36"/>
  <c r="B135" i="36"/>
  <c r="C135" i="36"/>
  <c r="D135" i="36"/>
  <c r="E135" i="36"/>
  <c r="F135" i="36"/>
  <c r="B136" i="36"/>
  <c r="C136" i="36"/>
  <c r="D136" i="36"/>
  <c r="E136" i="36"/>
  <c r="F136" i="36"/>
  <c r="B137" i="36"/>
  <c r="C137" i="36"/>
  <c r="D137" i="36"/>
  <c r="E137" i="36"/>
  <c r="F137" i="36"/>
  <c r="B138" i="36"/>
  <c r="C138" i="36"/>
  <c r="D138" i="36"/>
  <c r="E138" i="36"/>
  <c r="F138" i="36"/>
  <c r="B139" i="36"/>
  <c r="C139" i="36"/>
  <c r="D139" i="36"/>
  <c r="E139" i="36"/>
  <c r="F139" i="36"/>
  <c r="B140" i="36"/>
  <c r="C140" i="36"/>
  <c r="D140" i="36"/>
  <c r="E140" i="36"/>
  <c r="F140" i="36"/>
  <c r="B141" i="36"/>
  <c r="C141" i="36"/>
  <c r="D141" i="36"/>
  <c r="E141" i="36"/>
  <c r="F141" i="36"/>
  <c r="B142" i="36"/>
  <c r="C142" i="36"/>
  <c r="D142" i="36"/>
  <c r="E142" i="36"/>
  <c r="F142" i="36"/>
  <c r="B143" i="36"/>
  <c r="C143" i="36"/>
  <c r="D143" i="36"/>
  <c r="E143" i="36"/>
  <c r="F143" i="36"/>
  <c r="B144" i="36"/>
  <c r="C144" i="36"/>
  <c r="D144" i="36"/>
  <c r="E144" i="36"/>
  <c r="F144" i="36"/>
  <c r="B145" i="36"/>
  <c r="C145" i="36"/>
  <c r="D145" i="36"/>
  <c r="E145" i="36"/>
  <c r="F145" i="36"/>
  <c r="B146" i="36"/>
  <c r="C146" i="36"/>
  <c r="D146" i="36"/>
  <c r="E146" i="36"/>
  <c r="F146" i="36"/>
  <c r="B147" i="36"/>
  <c r="C147" i="36"/>
  <c r="D147" i="36"/>
  <c r="E147" i="36"/>
  <c r="F147" i="36"/>
  <c r="B148" i="36"/>
  <c r="C148" i="36"/>
  <c r="D148" i="36"/>
  <c r="E148" i="36"/>
  <c r="F148" i="36"/>
  <c r="B149" i="36"/>
  <c r="C149" i="36"/>
  <c r="D149" i="36"/>
  <c r="E149" i="36"/>
  <c r="F149" i="36"/>
  <c r="B150" i="36"/>
  <c r="C150" i="36"/>
  <c r="D150" i="36"/>
  <c r="E150" i="36"/>
  <c r="F150" i="36"/>
  <c r="B151" i="36"/>
  <c r="C151" i="36"/>
  <c r="D151" i="36"/>
  <c r="E151" i="36"/>
  <c r="F151" i="36"/>
  <c r="B152" i="36"/>
  <c r="C152" i="36"/>
  <c r="D152" i="36"/>
  <c r="E152" i="36"/>
  <c r="F152" i="36"/>
  <c r="B153" i="36"/>
  <c r="C153" i="36"/>
  <c r="D153" i="36"/>
  <c r="E153" i="36"/>
  <c r="F153" i="36"/>
  <c r="B154" i="36"/>
  <c r="C154" i="36"/>
  <c r="D154" i="36"/>
  <c r="E154" i="36"/>
  <c r="F154" i="36"/>
  <c r="B155" i="36"/>
  <c r="C155" i="36"/>
  <c r="D155" i="36"/>
  <c r="E155" i="36"/>
  <c r="F155" i="36"/>
  <c r="B156" i="36"/>
  <c r="C156" i="36"/>
  <c r="D156" i="36"/>
  <c r="E156" i="36"/>
  <c r="F156" i="36"/>
  <c r="B157" i="36"/>
  <c r="C157" i="36"/>
  <c r="D157" i="36"/>
  <c r="E157" i="36"/>
  <c r="F157" i="36"/>
  <c r="B158" i="36"/>
  <c r="C158" i="36"/>
  <c r="D158" i="36"/>
  <c r="E158" i="36"/>
  <c r="F158" i="36"/>
  <c r="B159" i="36"/>
  <c r="C159" i="36"/>
  <c r="D159" i="36"/>
  <c r="E159" i="36"/>
  <c r="F159" i="36"/>
  <c r="B160" i="36"/>
  <c r="C160" i="36"/>
  <c r="D160" i="36"/>
  <c r="E160" i="36"/>
  <c r="F160" i="36"/>
  <c r="B161" i="36"/>
  <c r="C161" i="36"/>
  <c r="D161" i="36"/>
  <c r="E161" i="36"/>
  <c r="F161" i="36"/>
  <c r="B162" i="36"/>
  <c r="C162" i="36"/>
  <c r="D162" i="36"/>
  <c r="E162" i="36"/>
  <c r="F162" i="36"/>
  <c r="B163" i="36"/>
  <c r="C163" i="36"/>
  <c r="D163" i="36"/>
  <c r="E163" i="36"/>
  <c r="F163" i="36"/>
  <c r="B164" i="36"/>
  <c r="C164" i="36"/>
  <c r="D164" i="36"/>
  <c r="E164" i="36"/>
  <c r="F164" i="36"/>
  <c r="B165" i="36"/>
  <c r="C165" i="36"/>
  <c r="D165" i="36"/>
  <c r="E165" i="36"/>
  <c r="F165" i="36"/>
  <c r="B166" i="36"/>
  <c r="C166" i="36"/>
  <c r="D166" i="36"/>
  <c r="E166" i="36"/>
  <c r="F166" i="36"/>
  <c r="C2" i="36"/>
  <c r="D2" i="36"/>
  <c r="E2" i="36"/>
  <c r="F2" i="36"/>
  <c r="B2" i="36"/>
  <c r="BM3" i="8"/>
  <c r="BM4" i="8"/>
  <c r="BM5" i="8"/>
  <c r="BM6" i="8"/>
  <c r="BM7" i="8"/>
  <c r="BM8" i="8"/>
  <c r="BM9" i="8"/>
  <c r="BM10" i="8"/>
  <c r="BM11" i="8"/>
  <c r="BM12" i="8"/>
  <c r="BM13" i="8"/>
  <c r="BM14" i="8"/>
  <c r="BM15" i="8"/>
  <c r="BM16" i="8"/>
  <c r="BM17" i="8"/>
  <c r="BM18" i="8"/>
  <c r="BM19" i="8"/>
  <c r="BM20" i="8"/>
  <c r="BM21" i="8"/>
  <c r="BM22" i="8"/>
  <c r="BM23" i="8"/>
  <c r="BM24" i="8"/>
  <c r="BM25" i="8"/>
  <c r="BM26" i="8"/>
  <c r="BM27" i="8"/>
  <c r="BM28" i="8"/>
  <c r="BM29" i="8"/>
  <c r="BM30" i="8"/>
  <c r="BM31" i="8"/>
  <c r="BM32" i="8"/>
  <c r="BM33" i="8"/>
  <c r="BM34" i="8"/>
  <c r="BM35" i="8"/>
  <c r="BM36" i="8"/>
  <c r="BM37" i="8"/>
  <c r="BM38" i="8"/>
  <c r="BM39" i="8"/>
  <c r="BM40" i="8"/>
  <c r="BM41" i="8"/>
  <c r="BM42" i="8"/>
  <c r="BM43" i="8"/>
  <c r="BM44" i="8"/>
  <c r="BM45" i="8"/>
  <c r="BM46" i="8"/>
  <c r="BM47" i="8"/>
  <c r="BM48" i="8"/>
  <c r="BM49" i="8"/>
  <c r="BM50" i="8"/>
  <c r="BM51" i="8"/>
  <c r="BM52" i="8"/>
  <c r="BM53" i="8"/>
  <c r="BM54" i="8"/>
  <c r="BM55" i="8"/>
  <c r="BM56" i="8"/>
  <c r="BM57" i="8"/>
  <c r="BM58" i="8"/>
  <c r="BM59" i="8"/>
  <c r="BM60" i="8"/>
  <c r="BM61" i="8"/>
  <c r="BM62" i="8"/>
  <c r="BM63" i="8"/>
  <c r="BM64" i="8"/>
  <c r="BM65" i="8"/>
  <c r="BM66" i="8"/>
  <c r="BM67" i="8"/>
  <c r="BM68" i="8"/>
  <c r="BM69" i="8"/>
  <c r="BM70" i="8"/>
  <c r="BM71" i="8"/>
  <c r="BM72" i="8"/>
  <c r="BM73" i="8"/>
  <c r="BM74" i="8"/>
  <c r="BM75" i="8"/>
  <c r="BM76" i="8"/>
  <c r="BM77" i="8"/>
  <c r="BM78" i="8"/>
  <c r="BM79" i="8"/>
  <c r="BM80" i="8"/>
  <c r="BM81" i="8"/>
  <c r="BM82" i="8"/>
  <c r="BM83" i="8"/>
  <c r="BM84" i="8"/>
  <c r="BM85" i="8"/>
  <c r="BM86" i="8"/>
  <c r="BM87" i="8"/>
  <c r="BM88" i="8"/>
  <c r="BM89" i="8"/>
  <c r="BM90" i="8"/>
  <c r="BM91" i="8"/>
  <c r="BM92" i="8"/>
  <c r="BM93" i="8"/>
  <c r="BM94" i="8"/>
  <c r="BM95" i="8"/>
  <c r="BM96" i="8"/>
  <c r="BM97" i="8"/>
  <c r="BM98" i="8"/>
  <c r="BM99" i="8"/>
  <c r="BM100" i="8"/>
  <c r="BM101" i="8"/>
  <c r="BM102" i="8"/>
  <c r="BM103" i="8"/>
  <c r="BM104" i="8"/>
  <c r="BM105" i="8"/>
  <c r="BM106" i="8"/>
  <c r="BM107" i="8"/>
  <c r="BM108" i="8"/>
  <c r="BM109" i="8"/>
  <c r="BM110" i="8"/>
  <c r="BM111" i="8"/>
  <c r="BM112" i="8"/>
  <c r="BM113" i="8"/>
  <c r="BM114" i="8"/>
  <c r="BM115" i="8"/>
  <c r="BM116" i="8"/>
  <c r="BM117" i="8"/>
  <c r="BM118" i="8"/>
  <c r="BM119" i="8"/>
  <c r="BM120" i="8"/>
  <c r="BM121" i="8"/>
  <c r="BM122" i="8"/>
  <c r="BM123" i="8"/>
  <c r="BM124" i="8"/>
  <c r="BM125" i="8"/>
  <c r="BM126" i="8"/>
  <c r="BM127" i="8"/>
  <c r="BM128" i="8"/>
  <c r="BM129" i="8"/>
  <c r="BM130" i="8"/>
  <c r="BM131" i="8"/>
  <c r="BM132" i="8"/>
  <c r="BM133" i="8"/>
  <c r="BM134" i="8"/>
  <c r="BM135" i="8"/>
  <c r="BM136" i="8"/>
  <c r="BM137" i="8"/>
  <c r="BM138" i="8"/>
  <c r="BM139" i="8"/>
  <c r="BM140" i="8"/>
  <c r="BM141" i="8"/>
  <c r="BM142" i="8"/>
  <c r="BM143" i="8"/>
  <c r="BM144" i="8"/>
  <c r="BM145" i="8"/>
  <c r="BM146" i="8"/>
  <c r="BM147" i="8"/>
  <c r="BM148" i="8"/>
  <c r="BM149" i="8"/>
  <c r="BM150" i="8"/>
  <c r="BM151" i="8"/>
  <c r="BM152" i="8"/>
  <c r="BM153" i="8"/>
  <c r="BM154" i="8"/>
  <c r="BM155" i="8"/>
  <c r="BM156" i="8"/>
  <c r="BM157" i="8"/>
  <c r="BM158" i="8"/>
  <c r="BM159" i="8"/>
  <c r="BM160" i="8"/>
  <c r="BM161" i="8"/>
  <c r="BM162" i="8"/>
  <c r="BM163" i="8"/>
  <c r="BM164" i="8"/>
  <c r="BM165" i="8"/>
  <c r="BM166" i="8"/>
  <c r="BM2" i="8"/>
  <c r="AU3" i="8" a="1"/>
  <c r="AU3" i="8" s="1"/>
  <c r="AV3" i="8" a="1"/>
  <c r="AV3" i="8" s="1"/>
  <c r="AW3" i="8" a="1"/>
  <c r="AW3" i="8" s="1"/>
  <c r="AX3" i="8" a="1"/>
  <c r="AX3" i="8" s="1"/>
  <c r="AY3" i="8" a="1"/>
  <c r="AY3" i="8" s="1"/>
  <c r="AZ3" i="8" a="1"/>
  <c r="AZ3" i="8" s="1"/>
  <c r="BA3" i="8" a="1"/>
  <c r="BA3" i="8" s="1"/>
  <c r="AU4" i="8" a="1"/>
  <c r="AU4" i="8" s="1"/>
  <c r="AV4" i="8" a="1"/>
  <c r="AV4" i="8" s="1"/>
  <c r="AW4" i="8" a="1"/>
  <c r="AW4" i="8" s="1"/>
  <c r="AX4" i="8" a="1"/>
  <c r="AX4" i="8" s="1"/>
  <c r="AY4" i="8" a="1"/>
  <c r="AY4" i="8" s="1"/>
  <c r="AZ4" i="8" a="1"/>
  <c r="AZ4" i="8" s="1"/>
  <c r="BA4" i="8" a="1"/>
  <c r="BA4" i="8" s="1"/>
  <c r="AU5" i="8" a="1"/>
  <c r="AU5" i="8" s="1"/>
  <c r="AV5" i="8" a="1"/>
  <c r="AV5" i="8" s="1"/>
  <c r="AW5" i="8" a="1"/>
  <c r="AW5" i="8" s="1"/>
  <c r="AX5" i="8" a="1"/>
  <c r="AX5" i="8" s="1"/>
  <c r="AY5" i="8" a="1"/>
  <c r="AY5" i="8" s="1"/>
  <c r="AZ5" i="8" a="1"/>
  <c r="AZ5" i="8" s="1"/>
  <c r="BA5" i="8" a="1"/>
  <c r="BA5" i="8" s="1"/>
  <c r="AU6" i="8" a="1"/>
  <c r="AU6" i="8" s="1"/>
  <c r="AV6" i="8" a="1"/>
  <c r="AV6" i="8" s="1"/>
  <c r="AW6" i="8" a="1"/>
  <c r="AW6" i="8" s="1"/>
  <c r="AX6" i="8" a="1"/>
  <c r="AX6" i="8" s="1"/>
  <c r="AY6" i="8" a="1"/>
  <c r="AY6" i="8" s="1"/>
  <c r="AZ6" i="8" a="1"/>
  <c r="AZ6" i="8" s="1"/>
  <c r="BA6" i="8" a="1"/>
  <c r="BA6" i="8" s="1"/>
  <c r="AU7" i="8" a="1"/>
  <c r="AU7" i="8" s="1"/>
  <c r="AV7" i="8" a="1"/>
  <c r="AV7" i="8" s="1"/>
  <c r="AW7" i="8" a="1"/>
  <c r="AW7" i="8" s="1"/>
  <c r="AX7" i="8" a="1"/>
  <c r="AX7" i="8" s="1"/>
  <c r="AY7" i="8" a="1"/>
  <c r="AY7" i="8" s="1"/>
  <c r="AZ7" i="8" a="1"/>
  <c r="AZ7" i="8" s="1"/>
  <c r="BA7" i="8" a="1"/>
  <c r="BA7" i="8" s="1"/>
  <c r="AU8" i="8" a="1"/>
  <c r="AU8" i="8" s="1"/>
  <c r="AV8" i="8" a="1"/>
  <c r="AV8" i="8" s="1"/>
  <c r="AW8" i="8" a="1"/>
  <c r="AW8" i="8" s="1"/>
  <c r="AX8" i="8" a="1"/>
  <c r="AX8" i="8" s="1"/>
  <c r="AY8" i="8" a="1"/>
  <c r="AY8" i="8" s="1"/>
  <c r="AZ8" i="8" a="1"/>
  <c r="AZ8" i="8" s="1"/>
  <c r="BA8" i="8" a="1"/>
  <c r="BA8" i="8" s="1"/>
  <c r="AU9" i="8" a="1"/>
  <c r="AU9" i="8" s="1"/>
  <c r="AV9" i="8" a="1"/>
  <c r="AV9" i="8" s="1"/>
  <c r="AW9" i="8" a="1"/>
  <c r="AW9" i="8" s="1"/>
  <c r="AX9" i="8" a="1"/>
  <c r="AX9" i="8" s="1"/>
  <c r="AY9" i="8" a="1"/>
  <c r="AY9" i="8" s="1"/>
  <c r="AZ9" i="8" a="1"/>
  <c r="AZ9" i="8" s="1"/>
  <c r="BA9" i="8" a="1"/>
  <c r="BA9" i="8" s="1"/>
  <c r="AU10" i="8" a="1"/>
  <c r="AU10" i="8" s="1"/>
  <c r="AV10" i="8" a="1"/>
  <c r="AV10" i="8" s="1"/>
  <c r="AW10" i="8" a="1"/>
  <c r="AW10" i="8" s="1"/>
  <c r="AX10" i="8" a="1"/>
  <c r="AX10" i="8" s="1"/>
  <c r="AY10" i="8" a="1"/>
  <c r="AY10" i="8" s="1"/>
  <c r="AZ10" i="8" a="1"/>
  <c r="AZ10" i="8" s="1"/>
  <c r="BA10" i="8" a="1"/>
  <c r="BA10" i="8" s="1"/>
  <c r="AU11" i="8" a="1"/>
  <c r="AU11" i="8" s="1"/>
  <c r="AV11" i="8" a="1"/>
  <c r="AV11" i="8" s="1"/>
  <c r="AW11" i="8" a="1"/>
  <c r="AW11" i="8" s="1"/>
  <c r="AX11" i="8" a="1"/>
  <c r="AX11" i="8" s="1"/>
  <c r="AY11" i="8" a="1"/>
  <c r="AY11" i="8" s="1"/>
  <c r="AZ11" i="8" a="1"/>
  <c r="AZ11" i="8" s="1"/>
  <c r="BA11" i="8" a="1"/>
  <c r="BA11" i="8" s="1"/>
  <c r="AU12" i="8" a="1"/>
  <c r="AU12" i="8" s="1"/>
  <c r="AV12" i="8" a="1"/>
  <c r="AV12" i="8" s="1"/>
  <c r="AW12" i="8" a="1"/>
  <c r="AW12" i="8" s="1"/>
  <c r="AX12" i="8" a="1"/>
  <c r="AX12" i="8" s="1"/>
  <c r="AY12" i="8" a="1"/>
  <c r="AY12" i="8" s="1"/>
  <c r="AZ12" i="8" a="1"/>
  <c r="AZ12" i="8" s="1"/>
  <c r="BA12" i="8" a="1"/>
  <c r="BA12" i="8" s="1"/>
  <c r="AU13" i="8" a="1"/>
  <c r="AU13" i="8" s="1"/>
  <c r="AV13" i="8" a="1"/>
  <c r="AV13" i="8" s="1"/>
  <c r="AW13" i="8" a="1"/>
  <c r="AW13" i="8" s="1"/>
  <c r="AX13" i="8" a="1"/>
  <c r="AX13" i="8" s="1"/>
  <c r="AY13" i="8" a="1"/>
  <c r="AY13" i="8" s="1"/>
  <c r="AZ13" i="8" a="1"/>
  <c r="AZ13" i="8" s="1"/>
  <c r="BA13" i="8" a="1"/>
  <c r="BA13" i="8" s="1"/>
  <c r="AU14" i="8" a="1"/>
  <c r="AU14" i="8" s="1"/>
  <c r="AV14" i="8" a="1"/>
  <c r="AV14" i="8" s="1"/>
  <c r="AW14" i="8" a="1"/>
  <c r="AW14" i="8" s="1"/>
  <c r="AX14" i="8" a="1"/>
  <c r="AX14" i="8" s="1"/>
  <c r="AY14" i="8" a="1"/>
  <c r="AY14" i="8" s="1"/>
  <c r="AZ14" i="8" a="1"/>
  <c r="AZ14" i="8" s="1"/>
  <c r="BA14" i="8" a="1"/>
  <c r="BA14" i="8" s="1"/>
  <c r="AU15" i="8" a="1"/>
  <c r="AU15" i="8" s="1"/>
  <c r="AV15" i="8" a="1"/>
  <c r="AV15" i="8" s="1"/>
  <c r="AW15" i="8" a="1"/>
  <c r="AW15" i="8" s="1"/>
  <c r="AX15" i="8" a="1"/>
  <c r="AX15" i="8" s="1"/>
  <c r="AY15" i="8" a="1"/>
  <c r="AY15" i="8" s="1"/>
  <c r="AZ15" i="8" a="1"/>
  <c r="AZ15" i="8" s="1"/>
  <c r="BA15" i="8" a="1"/>
  <c r="BA15" i="8" s="1"/>
  <c r="AU16" i="8" a="1"/>
  <c r="AU16" i="8" s="1"/>
  <c r="AV16" i="8" a="1"/>
  <c r="AV16" i="8" s="1"/>
  <c r="AW16" i="8" a="1"/>
  <c r="AW16" i="8" s="1"/>
  <c r="AX16" i="8" a="1"/>
  <c r="AX16" i="8" s="1"/>
  <c r="AY16" i="8" a="1"/>
  <c r="AY16" i="8" s="1"/>
  <c r="AZ16" i="8" a="1"/>
  <c r="AZ16" i="8" s="1"/>
  <c r="BA16" i="8" a="1"/>
  <c r="BA16" i="8" s="1"/>
  <c r="AU17" i="8" a="1"/>
  <c r="AU17" i="8" s="1"/>
  <c r="AV17" i="8" a="1"/>
  <c r="AV17" i="8" s="1"/>
  <c r="AW17" i="8" a="1"/>
  <c r="AW17" i="8" s="1"/>
  <c r="AX17" i="8" a="1"/>
  <c r="AX17" i="8" s="1"/>
  <c r="AY17" i="8" a="1"/>
  <c r="AY17" i="8" s="1"/>
  <c r="AZ17" i="8" a="1"/>
  <c r="AZ17" i="8" s="1"/>
  <c r="BA17" i="8" a="1"/>
  <c r="BA17" i="8" s="1"/>
  <c r="AU18" i="8" a="1"/>
  <c r="AU18" i="8" s="1"/>
  <c r="AV18" i="8" a="1"/>
  <c r="AV18" i="8" s="1"/>
  <c r="AW18" i="8" a="1"/>
  <c r="AW18" i="8" s="1"/>
  <c r="AX18" i="8" a="1"/>
  <c r="AX18" i="8" s="1"/>
  <c r="AY18" i="8" a="1"/>
  <c r="AY18" i="8" s="1"/>
  <c r="AZ18" i="8" a="1"/>
  <c r="AZ18" i="8" s="1"/>
  <c r="BA18" i="8" a="1"/>
  <c r="BA18" i="8" s="1"/>
  <c r="AU19" i="8" a="1"/>
  <c r="AU19" i="8" s="1"/>
  <c r="AV19" i="8" a="1"/>
  <c r="AV19" i="8" s="1"/>
  <c r="AW19" i="8" a="1"/>
  <c r="AW19" i="8" s="1"/>
  <c r="AX19" i="8" a="1"/>
  <c r="AX19" i="8" s="1"/>
  <c r="AY19" i="8" a="1"/>
  <c r="AY19" i="8" s="1"/>
  <c r="AZ19" i="8" a="1"/>
  <c r="AZ19" i="8" s="1"/>
  <c r="BA19" i="8" a="1"/>
  <c r="BA19" i="8" s="1"/>
  <c r="AU20" i="8" a="1"/>
  <c r="AU20" i="8" s="1"/>
  <c r="AV20" i="8" a="1"/>
  <c r="AV20" i="8" s="1"/>
  <c r="AW20" i="8" a="1"/>
  <c r="AW20" i="8" s="1"/>
  <c r="AX20" i="8" a="1"/>
  <c r="AX20" i="8" s="1"/>
  <c r="AY20" i="8" a="1"/>
  <c r="AY20" i="8" s="1"/>
  <c r="AZ20" i="8" a="1"/>
  <c r="AZ20" i="8" s="1"/>
  <c r="BA20" i="8" a="1"/>
  <c r="BA20" i="8" s="1"/>
  <c r="AU21" i="8" a="1"/>
  <c r="AU21" i="8" s="1"/>
  <c r="AV21" i="8" a="1"/>
  <c r="AV21" i="8" s="1"/>
  <c r="AW21" i="8" a="1"/>
  <c r="AW21" i="8" s="1"/>
  <c r="AX21" i="8" a="1"/>
  <c r="AX21" i="8" s="1"/>
  <c r="AY21" i="8" a="1"/>
  <c r="AY21" i="8" s="1"/>
  <c r="AZ21" i="8" a="1"/>
  <c r="AZ21" i="8" s="1"/>
  <c r="BA21" i="8" a="1"/>
  <c r="BA21" i="8" s="1"/>
  <c r="AU22" i="8" a="1"/>
  <c r="AU22" i="8" s="1"/>
  <c r="AV22" i="8" a="1"/>
  <c r="AV22" i="8" s="1"/>
  <c r="AW22" i="8" a="1"/>
  <c r="AW22" i="8" s="1"/>
  <c r="AX22" i="8" a="1"/>
  <c r="AX22" i="8" s="1"/>
  <c r="AY22" i="8" a="1"/>
  <c r="AY22" i="8" s="1"/>
  <c r="AZ22" i="8" a="1"/>
  <c r="AZ22" i="8" s="1"/>
  <c r="BA22" i="8" a="1"/>
  <c r="BA22" i="8" s="1"/>
  <c r="AU23" i="8" a="1"/>
  <c r="AU23" i="8" s="1"/>
  <c r="AV23" i="8" a="1"/>
  <c r="AV23" i="8" s="1"/>
  <c r="AW23" i="8" a="1"/>
  <c r="AW23" i="8" s="1"/>
  <c r="AX23" i="8" a="1"/>
  <c r="AX23" i="8" s="1"/>
  <c r="AY23" i="8" a="1"/>
  <c r="AY23" i="8" s="1"/>
  <c r="AZ23" i="8" a="1"/>
  <c r="AZ23" i="8" s="1"/>
  <c r="BA23" i="8" a="1"/>
  <c r="BA23" i="8" s="1"/>
  <c r="AU24" i="8" a="1"/>
  <c r="AU24" i="8" s="1"/>
  <c r="AV24" i="8" a="1"/>
  <c r="AV24" i="8" s="1"/>
  <c r="AW24" i="8" a="1"/>
  <c r="AW24" i="8" s="1"/>
  <c r="AX24" i="8" a="1"/>
  <c r="AX24" i="8" s="1"/>
  <c r="AY24" i="8" a="1"/>
  <c r="AY24" i="8" s="1"/>
  <c r="AZ24" i="8" a="1"/>
  <c r="AZ24" i="8" s="1"/>
  <c r="BA24" i="8" a="1"/>
  <c r="BA24" i="8" s="1"/>
  <c r="AU25" i="8" a="1"/>
  <c r="AU25" i="8" s="1"/>
  <c r="AV25" i="8" a="1"/>
  <c r="AV25" i="8" s="1"/>
  <c r="AW25" i="8" a="1"/>
  <c r="AW25" i="8" s="1"/>
  <c r="AX25" i="8" a="1"/>
  <c r="AX25" i="8" s="1"/>
  <c r="AY25" i="8" a="1"/>
  <c r="AY25" i="8" s="1"/>
  <c r="AZ25" i="8" a="1"/>
  <c r="AZ25" i="8" s="1"/>
  <c r="BA25" i="8" a="1"/>
  <c r="BA25" i="8" s="1"/>
  <c r="AU26" i="8" a="1"/>
  <c r="AU26" i="8" s="1"/>
  <c r="AV26" i="8" a="1"/>
  <c r="AV26" i="8" s="1"/>
  <c r="AW26" i="8" a="1"/>
  <c r="AW26" i="8" s="1"/>
  <c r="AX26" i="8" a="1"/>
  <c r="AX26" i="8" s="1"/>
  <c r="AY26" i="8" a="1"/>
  <c r="AY26" i="8" s="1"/>
  <c r="AZ26" i="8" a="1"/>
  <c r="AZ26" i="8" s="1"/>
  <c r="BA26" i="8" a="1"/>
  <c r="BA26" i="8" s="1"/>
  <c r="AU27" i="8" a="1"/>
  <c r="AU27" i="8" s="1"/>
  <c r="AV27" i="8" a="1"/>
  <c r="AV27" i="8" s="1"/>
  <c r="AW27" i="8" a="1"/>
  <c r="AW27" i="8" s="1"/>
  <c r="AX27" i="8" a="1"/>
  <c r="AX27" i="8" s="1"/>
  <c r="AY27" i="8" a="1"/>
  <c r="AY27" i="8" s="1"/>
  <c r="AZ27" i="8" a="1"/>
  <c r="AZ27" i="8" s="1"/>
  <c r="BA27" i="8" a="1"/>
  <c r="BA27" i="8" s="1"/>
  <c r="AU28" i="8" a="1"/>
  <c r="AU28" i="8" s="1"/>
  <c r="AV28" i="8" a="1"/>
  <c r="AV28" i="8" s="1"/>
  <c r="AW28" i="8" a="1"/>
  <c r="AW28" i="8" s="1"/>
  <c r="AX28" i="8" a="1"/>
  <c r="AX28" i="8" s="1"/>
  <c r="AY28" i="8" a="1"/>
  <c r="AY28" i="8" s="1"/>
  <c r="AZ28" i="8" a="1"/>
  <c r="AZ28" i="8" s="1"/>
  <c r="BA28" i="8" a="1"/>
  <c r="BA28" i="8" s="1"/>
  <c r="AU29" i="8" a="1"/>
  <c r="AU29" i="8" s="1"/>
  <c r="AV29" i="8" a="1"/>
  <c r="AV29" i="8" s="1"/>
  <c r="AW29" i="8" a="1"/>
  <c r="AW29" i="8" s="1"/>
  <c r="AX29" i="8" a="1"/>
  <c r="AX29" i="8" s="1"/>
  <c r="AY29" i="8" a="1"/>
  <c r="AY29" i="8" s="1"/>
  <c r="AZ29" i="8" a="1"/>
  <c r="AZ29" i="8" s="1"/>
  <c r="BA29" i="8" a="1"/>
  <c r="BA29" i="8" s="1"/>
  <c r="AU30" i="8" a="1"/>
  <c r="AU30" i="8" s="1"/>
  <c r="AV30" i="8" a="1"/>
  <c r="AV30" i="8" s="1"/>
  <c r="AW30" i="8" a="1"/>
  <c r="AW30" i="8" s="1"/>
  <c r="AX30" i="8" a="1"/>
  <c r="AX30" i="8" s="1"/>
  <c r="AY30" i="8" a="1"/>
  <c r="AY30" i="8" s="1"/>
  <c r="AZ30" i="8" a="1"/>
  <c r="AZ30" i="8" s="1"/>
  <c r="BA30" i="8" a="1"/>
  <c r="BA30" i="8" s="1"/>
  <c r="AU31" i="8" a="1"/>
  <c r="AU31" i="8" s="1"/>
  <c r="AV31" i="8" a="1"/>
  <c r="AV31" i="8" s="1"/>
  <c r="AW31" i="8" a="1"/>
  <c r="AW31" i="8" s="1"/>
  <c r="AX31" i="8" a="1"/>
  <c r="AX31" i="8" s="1"/>
  <c r="AY31" i="8" a="1"/>
  <c r="AY31" i="8" s="1"/>
  <c r="AZ31" i="8" a="1"/>
  <c r="AZ31" i="8" s="1"/>
  <c r="BA31" i="8" a="1"/>
  <c r="BA31" i="8" s="1"/>
  <c r="AU32" i="8" a="1"/>
  <c r="AU32" i="8" s="1"/>
  <c r="AV32" i="8" a="1"/>
  <c r="AV32" i="8" s="1"/>
  <c r="AW32" i="8" a="1"/>
  <c r="AW32" i="8" s="1"/>
  <c r="AX32" i="8" a="1"/>
  <c r="AX32" i="8" s="1"/>
  <c r="AY32" i="8" a="1"/>
  <c r="AY32" i="8" s="1"/>
  <c r="AZ32" i="8" a="1"/>
  <c r="AZ32" i="8" s="1"/>
  <c r="BA32" i="8" a="1"/>
  <c r="BA32" i="8" s="1"/>
  <c r="AU33" i="8" a="1"/>
  <c r="AU33" i="8" s="1"/>
  <c r="AV33" i="8" a="1"/>
  <c r="AV33" i="8" s="1"/>
  <c r="AW33" i="8" a="1"/>
  <c r="AW33" i="8" s="1"/>
  <c r="AX33" i="8" a="1"/>
  <c r="AX33" i="8" s="1"/>
  <c r="AY33" i="8" a="1"/>
  <c r="AY33" i="8" s="1"/>
  <c r="AZ33" i="8" a="1"/>
  <c r="AZ33" i="8" s="1"/>
  <c r="BA33" i="8" a="1"/>
  <c r="BA33" i="8" s="1"/>
  <c r="AU34" i="8" a="1"/>
  <c r="AU34" i="8" s="1"/>
  <c r="AV34" i="8" a="1"/>
  <c r="AV34" i="8" s="1"/>
  <c r="AW34" i="8" a="1"/>
  <c r="AW34" i="8" s="1"/>
  <c r="AX34" i="8" a="1"/>
  <c r="AX34" i="8" s="1"/>
  <c r="AY34" i="8" a="1"/>
  <c r="AY34" i="8" s="1"/>
  <c r="AZ34" i="8" a="1"/>
  <c r="AZ34" i="8" s="1"/>
  <c r="BA34" i="8" a="1"/>
  <c r="BA34" i="8" s="1"/>
  <c r="AU35" i="8" a="1"/>
  <c r="AU35" i="8" s="1"/>
  <c r="AV35" i="8" a="1"/>
  <c r="AV35" i="8" s="1"/>
  <c r="AW35" i="8" a="1"/>
  <c r="AW35" i="8" s="1"/>
  <c r="AX35" i="8" a="1"/>
  <c r="AX35" i="8" s="1"/>
  <c r="AY35" i="8" a="1"/>
  <c r="AY35" i="8" s="1"/>
  <c r="AZ35" i="8" a="1"/>
  <c r="AZ35" i="8" s="1"/>
  <c r="BA35" i="8" a="1"/>
  <c r="BA35" i="8" s="1"/>
  <c r="AU36" i="8" a="1"/>
  <c r="AU36" i="8" s="1"/>
  <c r="AV36" i="8" a="1"/>
  <c r="AV36" i="8" s="1"/>
  <c r="AW36" i="8" a="1"/>
  <c r="AW36" i="8" s="1"/>
  <c r="AX36" i="8" a="1"/>
  <c r="AX36" i="8" s="1"/>
  <c r="AY36" i="8" a="1"/>
  <c r="AY36" i="8" s="1"/>
  <c r="AZ36" i="8" a="1"/>
  <c r="AZ36" i="8" s="1"/>
  <c r="BA36" i="8" a="1"/>
  <c r="BA36" i="8" s="1"/>
  <c r="AU37" i="8" a="1"/>
  <c r="AU37" i="8" s="1"/>
  <c r="AV37" i="8" a="1"/>
  <c r="AV37" i="8" s="1"/>
  <c r="AW37" i="8" a="1"/>
  <c r="AW37" i="8" s="1"/>
  <c r="AX37" i="8" a="1"/>
  <c r="AX37" i="8" s="1"/>
  <c r="AY37" i="8" a="1"/>
  <c r="AY37" i="8" s="1"/>
  <c r="AZ37" i="8" a="1"/>
  <c r="AZ37" i="8" s="1"/>
  <c r="BA37" i="8" a="1"/>
  <c r="BA37" i="8" s="1"/>
  <c r="AU38" i="8" a="1"/>
  <c r="AU38" i="8" s="1"/>
  <c r="AV38" i="8" a="1"/>
  <c r="AV38" i="8" s="1"/>
  <c r="AW38" i="8" a="1"/>
  <c r="AW38" i="8" s="1"/>
  <c r="AX38" i="8" a="1"/>
  <c r="AX38" i="8" s="1"/>
  <c r="AY38" i="8" a="1"/>
  <c r="AY38" i="8" s="1"/>
  <c r="AZ38" i="8" a="1"/>
  <c r="AZ38" i="8" s="1"/>
  <c r="BA38" i="8" a="1"/>
  <c r="BA38" i="8" s="1"/>
  <c r="AU39" i="8" a="1"/>
  <c r="AU39" i="8" s="1"/>
  <c r="AV39" i="8" a="1"/>
  <c r="AV39" i="8" s="1"/>
  <c r="AW39" i="8" a="1"/>
  <c r="AW39" i="8" s="1"/>
  <c r="AX39" i="8" a="1"/>
  <c r="AX39" i="8" s="1"/>
  <c r="AY39" i="8" a="1"/>
  <c r="AY39" i="8" s="1"/>
  <c r="AZ39" i="8" a="1"/>
  <c r="AZ39" i="8" s="1"/>
  <c r="BA39" i="8" a="1"/>
  <c r="BA39" i="8" s="1"/>
  <c r="AU40" i="8" a="1"/>
  <c r="AU40" i="8" s="1"/>
  <c r="AV40" i="8" a="1"/>
  <c r="AV40" i="8" s="1"/>
  <c r="AW40" i="8" a="1"/>
  <c r="AW40" i="8" s="1"/>
  <c r="AX40" i="8" a="1"/>
  <c r="AX40" i="8" s="1"/>
  <c r="AY40" i="8" a="1"/>
  <c r="AY40" i="8" s="1"/>
  <c r="AZ40" i="8" a="1"/>
  <c r="AZ40" i="8" s="1"/>
  <c r="BA40" i="8" a="1"/>
  <c r="BA40" i="8" s="1"/>
  <c r="AU41" i="8" a="1"/>
  <c r="AU41" i="8" s="1"/>
  <c r="AV41" i="8" a="1"/>
  <c r="AV41" i="8" s="1"/>
  <c r="AW41" i="8" a="1"/>
  <c r="AW41" i="8" s="1"/>
  <c r="AX41" i="8" a="1"/>
  <c r="AX41" i="8" s="1"/>
  <c r="AY41" i="8" a="1"/>
  <c r="AY41" i="8" s="1"/>
  <c r="AZ41" i="8" a="1"/>
  <c r="AZ41" i="8" s="1"/>
  <c r="BA41" i="8" a="1"/>
  <c r="BA41" i="8" s="1"/>
  <c r="AU42" i="8" a="1"/>
  <c r="AU42" i="8" s="1"/>
  <c r="AV42" i="8" a="1"/>
  <c r="AV42" i="8" s="1"/>
  <c r="AW42" i="8" a="1"/>
  <c r="AW42" i="8" s="1"/>
  <c r="AX42" i="8" a="1"/>
  <c r="AX42" i="8" s="1"/>
  <c r="AY42" i="8" a="1"/>
  <c r="AY42" i="8" s="1"/>
  <c r="AZ42" i="8" a="1"/>
  <c r="AZ42" i="8" s="1"/>
  <c r="BA42" i="8" a="1"/>
  <c r="BA42" i="8" s="1"/>
  <c r="AU43" i="8" a="1"/>
  <c r="AU43" i="8" s="1"/>
  <c r="AV43" i="8" a="1"/>
  <c r="AV43" i="8" s="1"/>
  <c r="AW43" i="8" a="1"/>
  <c r="AW43" i="8" s="1"/>
  <c r="AX43" i="8" a="1"/>
  <c r="AX43" i="8" s="1"/>
  <c r="AY43" i="8" a="1"/>
  <c r="AY43" i="8" s="1"/>
  <c r="AZ43" i="8" a="1"/>
  <c r="AZ43" i="8" s="1"/>
  <c r="BA43" i="8" a="1"/>
  <c r="BA43" i="8" s="1"/>
  <c r="AU44" i="8" a="1"/>
  <c r="AU44" i="8" s="1"/>
  <c r="AV44" i="8" a="1"/>
  <c r="AV44" i="8" s="1"/>
  <c r="AW44" i="8" a="1"/>
  <c r="AW44" i="8" s="1"/>
  <c r="AX44" i="8" a="1"/>
  <c r="AX44" i="8" s="1"/>
  <c r="AY44" i="8" a="1"/>
  <c r="AY44" i="8" s="1"/>
  <c r="AZ44" i="8" a="1"/>
  <c r="AZ44" i="8" s="1"/>
  <c r="BA44" i="8" a="1"/>
  <c r="BA44" i="8" s="1"/>
  <c r="AU45" i="8" a="1"/>
  <c r="AU45" i="8" s="1"/>
  <c r="AV45" i="8" a="1"/>
  <c r="AV45" i="8" s="1"/>
  <c r="AW45" i="8" a="1"/>
  <c r="AW45" i="8" s="1"/>
  <c r="AX45" i="8" a="1"/>
  <c r="AX45" i="8" s="1"/>
  <c r="AY45" i="8" a="1"/>
  <c r="AY45" i="8" s="1"/>
  <c r="AZ45" i="8" a="1"/>
  <c r="AZ45" i="8" s="1"/>
  <c r="BA45" i="8" a="1"/>
  <c r="BA45" i="8" s="1"/>
  <c r="AU46" i="8" a="1"/>
  <c r="AU46" i="8" s="1"/>
  <c r="AV46" i="8" a="1"/>
  <c r="AV46" i="8" s="1"/>
  <c r="AW46" i="8" a="1"/>
  <c r="AW46" i="8" s="1"/>
  <c r="AX46" i="8" a="1"/>
  <c r="AX46" i="8" s="1"/>
  <c r="AY46" i="8" a="1"/>
  <c r="AY46" i="8" s="1"/>
  <c r="AZ46" i="8" a="1"/>
  <c r="AZ46" i="8" s="1"/>
  <c r="BA46" i="8" a="1"/>
  <c r="BA46" i="8" s="1"/>
  <c r="AU47" i="8" a="1"/>
  <c r="AU47" i="8" s="1"/>
  <c r="AV47" i="8" a="1"/>
  <c r="AV47" i="8" s="1"/>
  <c r="AW47" i="8" a="1"/>
  <c r="AW47" i="8" s="1"/>
  <c r="AX47" i="8" a="1"/>
  <c r="AX47" i="8" s="1"/>
  <c r="AY47" i="8" a="1"/>
  <c r="AY47" i="8" s="1"/>
  <c r="AZ47" i="8" a="1"/>
  <c r="AZ47" i="8" s="1"/>
  <c r="BA47" i="8" a="1"/>
  <c r="BA47" i="8" s="1"/>
  <c r="AU48" i="8" a="1"/>
  <c r="AU48" i="8" s="1"/>
  <c r="AV48" i="8" a="1"/>
  <c r="AV48" i="8" s="1"/>
  <c r="AW48" i="8" a="1"/>
  <c r="AW48" i="8" s="1"/>
  <c r="AX48" i="8" a="1"/>
  <c r="AX48" i="8" s="1"/>
  <c r="AY48" i="8" a="1"/>
  <c r="AY48" i="8" s="1"/>
  <c r="AZ48" i="8" a="1"/>
  <c r="AZ48" i="8" s="1"/>
  <c r="BA48" i="8" a="1"/>
  <c r="BA48" i="8" s="1"/>
  <c r="AU49" i="8" a="1"/>
  <c r="AU49" i="8" s="1"/>
  <c r="AV49" i="8" a="1"/>
  <c r="AV49" i="8" s="1"/>
  <c r="AW49" i="8" a="1"/>
  <c r="AW49" i="8" s="1"/>
  <c r="AX49" i="8" a="1"/>
  <c r="AX49" i="8" s="1"/>
  <c r="AY49" i="8" a="1"/>
  <c r="AY49" i="8" s="1"/>
  <c r="AZ49" i="8" a="1"/>
  <c r="AZ49" i="8" s="1"/>
  <c r="BA49" i="8" a="1"/>
  <c r="BA49" i="8" s="1"/>
  <c r="AU50" i="8" a="1"/>
  <c r="AU50" i="8" s="1"/>
  <c r="AV50" i="8" a="1"/>
  <c r="AV50" i="8" s="1"/>
  <c r="AW50" i="8" a="1"/>
  <c r="AW50" i="8" s="1"/>
  <c r="AX50" i="8" a="1"/>
  <c r="AX50" i="8" s="1"/>
  <c r="AY50" i="8" a="1"/>
  <c r="AY50" i="8" s="1"/>
  <c r="AZ50" i="8" a="1"/>
  <c r="AZ50" i="8" s="1"/>
  <c r="BA50" i="8" a="1"/>
  <c r="BA50" i="8" s="1"/>
  <c r="AU51" i="8" a="1"/>
  <c r="AU51" i="8" s="1"/>
  <c r="AV51" i="8" a="1"/>
  <c r="AV51" i="8" s="1"/>
  <c r="AW51" i="8" a="1"/>
  <c r="AW51" i="8" s="1"/>
  <c r="AX51" i="8" a="1"/>
  <c r="AX51" i="8" s="1"/>
  <c r="AY51" i="8" a="1"/>
  <c r="AY51" i="8" s="1"/>
  <c r="AZ51" i="8" a="1"/>
  <c r="AZ51" i="8" s="1"/>
  <c r="BA51" i="8" a="1"/>
  <c r="BA51" i="8" s="1"/>
  <c r="AU52" i="8" a="1"/>
  <c r="AU52" i="8" s="1"/>
  <c r="AV52" i="8" a="1"/>
  <c r="AV52" i="8" s="1"/>
  <c r="AW52" i="8" a="1"/>
  <c r="AW52" i="8" s="1"/>
  <c r="AX52" i="8" a="1"/>
  <c r="AX52" i="8" s="1"/>
  <c r="AY52" i="8" a="1"/>
  <c r="AY52" i="8" s="1"/>
  <c r="AZ52" i="8" a="1"/>
  <c r="AZ52" i="8" s="1"/>
  <c r="BA52" i="8" a="1"/>
  <c r="BA52" i="8" s="1"/>
  <c r="AU53" i="8" a="1"/>
  <c r="AU53" i="8" s="1"/>
  <c r="AV53" i="8" a="1"/>
  <c r="AV53" i="8" s="1"/>
  <c r="AW53" i="8" a="1"/>
  <c r="AW53" i="8" s="1"/>
  <c r="AX53" i="8" a="1"/>
  <c r="AX53" i="8" s="1"/>
  <c r="AY53" i="8" a="1"/>
  <c r="AY53" i="8" s="1"/>
  <c r="AZ53" i="8" a="1"/>
  <c r="AZ53" i="8" s="1"/>
  <c r="BA53" i="8" a="1"/>
  <c r="BA53" i="8" s="1"/>
  <c r="AU54" i="8" a="1"/>
  <c r="AU54" i="8" s="1"/>
  <c r="AV54" i="8" a="1"/>
  <c r="AV54" i="8" s="1"/>
  <c r="AW54" i="8" a="1"/>
  <c r="AW54" i="8" s="1"/>
  <c r="AX54" i="8" a="1"/>
  <c r="AX54" i="8" s="1"/>
  <c r="AY54" i="8" a="1"/>
  <c r="AY54" i="8" s="1"/>
  <c r="AZ54" i="8" a="1"/>
  <c r="AZ54" i="8" s="1"/>
  <c r="BA54" i="8" a="1"/>
  <c r="BA54" i="8" s="1"/>
  <c r="AU55" i="8" a="1"/>
  <c r="AU55" i="8" s="1"/>
  <c r="AV55" i="8" a="1"/>
  <c r="AV55" i="8" s="1"/>
  <c r="AW55" i="8" a="1"/>
  <c r="AW55" i="8" s="1"/>
  <c r="AX55" i="8" a="1"/>
  <c r="AX55" i="8" s="1"/>
  <c r="AY55" i="8" a="1"/>
  <c r="AY55" i="8" s="1"/>
  <c r="AZ55" i="8" a="1"/>
  <c r="AZ55" i="8" s="1"/>
  <c r="BA55" i="8" a="1"/>
  <c r="BA55" i="8" s="1"/>
  <c r="AU56" i="8" a="1"/>
  <c r="AU56" i="8" s="1"/>
  <c r="AV56" i="8" a="1"/>
  <c r="AV56" i="8" s="1"/>
  <c r="AW56" i="8" a="1"/>
  <c r="AW56" i="8" s="1"/>
  <c r="AX56" i="8" a="1"/>
  <c r="AX56" i="8" s="1"/>
  <c r="AY56" i="8" a="1"/>
  <c r="AY56" i="8" s="1"/>
  <c r="AZ56" i="8" a="1"/>
  <c r="AZ56" i="8" s="1"/>
  <c r="BA56" i="8" a="1"/>
  <c r="BA56" i="8" s="1"/>
  <c r="AU57" i="8" a="1"/>
  <c r="AU57" i="8" s="1"/>
  <c r="AV57" i="8" a="1"/>
  <c r="AV57" i="8" s="1"/>
  <c r="AW57" i="8" a="1"/>
  <c r="AW57" i="8" s="1"/>
  <c r="AX57" i="8" a="1"/>
  <c r="AX57" i="8" s="1"/>
  <c r="AY57" i="8" a="1"/>
  <c r="AY57" i="8" s="1"/>
  <c r="AZ57" i="8" a="1"/>
  <c r="AZ57" i="8" s="1"/>
  <c r="BA57" i="8" a="1"/>
  <c r="BA57" i="8" s="1"/>
  <c r="AU58" i="8" a="1"/>
  <c r="AU58" i="8" s="1"/>
  <c r="AV58" i="8" a="1"/>
  <c r="AV58" i="8" s="1"/>
  <c r="AW58" i="8" a="1"/>
  <c r="AW58" i="8" s="1"/>
  <c r="AX58" i="8" a="1"/>
  <c r="AX58" i="8" s="1"/>
  <c r="AY58" i="8" a="1"/>
  <c r="AY58" i="8" s="1"/>
  <c r="AZ58" i="8" a="1"/>
  <c r="AZ58" i="8" s="1"/>
  <c r="BA58" i="8" a="1"/>
  <c r="BA58" i="8" s="1"/>
  <c r="AU59" i="8" a="1"/>
  <c r="AU59" i="8" s="1"/>
  <c r="AV59" i="8" a="1"/>
  <c r="AV59" i="8" s="1"/>
  <c r="AW59" i="8" a="1"/>
  <c r="AW59" i="8" s="1"/>
  <c r="AX59" i="8" a="1"/>
  <c r="AX59" i="8" s="1"/>
  <c r="AY59" i="8" a="1"/>
  <c r="AY59" i="8" s="1"/>
  <c r="AZ59" i="8" a="1"/>
  <c r="AZ59" i="8" s="1"/>
  <c r="BA59" i="8" a="1"/>
  <c r="BA59" i="8" s="1"/>
  <c r="AU60" i="8" a="1"/>
  <c r="AU60" i="8" s="1"/>
  <c r="AV60" i="8" a="1"/>
  <c r="AV60" i="8" s="1"/>
  <c r="AW60" i="8" a="1"/>
  <c r="AW60" i="8" s="1"/>
  <c r="AX60" i="8" a="1"/>
  <c r="AX60" i="8" s="1"/>
  <c r="AY60" i="8" a="1"/>
  <c r="AY60" i="8" s="1"/>
  <c r="AZ60" i="8" a="1"/>
  <c r="AZ60" i="8" s="1"/>
  <c r="BA60" i="8" a="1"/>
  <c r="BA60" i="8" s="1"/>
  <c r="AU61" i="8" a="1"/>
  <c r="AU61" i="8" s="1"/>
  <c r="AV61" i="8" a="1"/>
  <c r="AV61" i="8" s="1"/>
  <c r="AW61" i="8" a="1"/>
  <c r="AW61" i="8" s="1"/>
  <c r="AX61" i="8" a="1"/>
  <c r="AX61" i="8" s="1"/>
  <c r="AY61" i="8" a="1"/>
  <c r="AY61" i="8" s="1"/>
  <c r="AZ61" i="8" a="1"/>
  <c r="AZ61" i="8" s="1"/>
  <c r="BA61" i="8" a="1"/>
  <c r="BA61" i="8" s="1"/>
  <c r="AU62" i="8" a="1"/>
  <c r="AU62" i="8" s="1"/>
  <c r="AV62" i="8" a="1"/>
  <c r="AV62" i="8" s="1"/>
  <c r="AW62" i="8" a="1"/>
  <c r="AW62" i="8" s="1"/>
  <c r="AX62" i="8" a="1"/>
  <c r="AX62" i="8" s="1"/>
  <c r="AY62" i="8" a="1"/>
  <c r="AY62" i="8" s="1"/>
  <c r="AZ62" i="8" a="1"/>
  <c r="AZ62" i="8" s="1"/>
  <c r="BA62" i="8" a="1"/>
  <c r="BA62" i="8" s="1"/>
  <c r="AU63" i="8" a="1"/>
  <c r="AU63" i="8" s="1"/>
  <c r="AV63" i="8" a="1"/>
  <c r="AV63" i="8" s="1"/>
  <c r="AW63" i="8" a="1"/>
  <c r="AW63" i="8" s="1"/>
  <c r="AX63" i="8" a="1"/>
  <c r="AX63" i="8" s="1"/>
  <c r="AY63" i="8" a="1"/>
  <c r="AY63" i="8" s="1"/>
  <c r="AZ63" i="8" a="1"/>
  <c r="AZ63" i="8" s="1"/>
  <c r="BA63" i="8" a="1"/>
  <c r="BA63" i="8" s="1"/>
  <c r="AU64" i="8" a="1"/>
  <c r="AU64" i="8" s="1"/>
  <c r="AV64" i="8" a="1"/>
  <c r="AV64" i="8" s="1"/>
  <c r="AW64" i="8" a="1"/>
  <c r="AW64" i="8" s="1"/>
  <c r="AX64" i="8" a="1"/>
  <c r="AX64" i="8" s="1"/>
  <c r="AY64" i="8" a="1"/>
  <c r="AY64" i="8" s="1"/>
  <c r="AZ64" i="8" a="1"/>
  <c r="AZ64" i="8" s="1"/>
  <c r="BA64" i="8" a="1"/>
  <c r="BA64" i="8" s="1"/>
  <c r="AU65" i="8" a="1"/>
  <c r="AU65" i="8" s="1"/>
  <c r="AV65" i="8" a="1"/>
  <c r="AV65" i="8" s="1"/>
  <c r="AW65" i="8" a="1"/>
  <c r="AW65" i="8" s="1"/>
  <c r="AX65" i="8" a="1"/>
  <c r="AX65" i="8" s="1"/>
  <c r="AY65" i="8" a="1"/>
  <c r="AY65" i="8" s="1"/>
  <c r="AZ65" i="8" a="1"/>
  <c r="AZ65" i="8" s="1"/>
  <c r="BA65" i="8" a="1"/>
  <c r="BA65" i="8" s="1"/>
  <c r="AU66" i="8" a="1"/>
  <c r="AU66" i="8" s="1"/>
  <c r="AV66" i="8" a="1"/>
  <c r="AV66" i="8" s="1"/>
  <c r="AW66" i="8" a="1"/>
  <c r="AW66" i="8" s="1"/>
  <c r="AX66" i="8" a="1"/>
  <c r="AX66" i="8" s="1"/>
  <c r="AY66" i="8" a="1"/>
  <c r="AY66" i="8" s="1"/>
  <c r="AZ66" i="8" a="1"/>
  <c r="AZ66" i="8" s="1"/>
  <c r="BA66" i="8" a="1"/>
  <c r="BA66" i="8" s="1"/>
  <c r="AU67" i="8" a="1"/>
  <c r="AU67" i="8" s="1"/>
  <c r="AV67" i="8" a="1"/>
  <c r="AV67" i="8" s="1"/>
  <c r="AW67" i="8" a="1"/>
  <c r="AW67" i="8" s="1"/>
  <c r="AX67" i="8" a="1"/>
  <c r="AX67" i="8" s="1"/>
  <c r="AY67" i="8" a="1"/>
  <c r="AY67" i="8" s="1"/>
  <c r="AZ67" i="8" a="1"/>
  <c r="AZ67" i="8" s="1"/>
  <c r="BA67" i="8" a="1"/>
  <c r="BA67" i="8" s="1"/>
  <c r="AU68" i="8" a="1"/>
  <c r="AU68" i="8" s="1"/>
  <c r="AV68" i="8" a="1"/>
  <c r="AV68" i="8" s="1"/>
  <c r="AW68" i="8" a="1"/>
  <c r="AW68" i="8" s="1"/>
  <c r="AX68" i="8" a="1"/>
  <c r="AX68" i="8" s="1"/>
  <c r="AY68" i="8" a="1"/>
  <c r="AY68" i="8" s="1"/>
  <c r="AZ68" i="8" a="1"/>
  <c r="AZ68" i="8" s="1"/>
  <c r="BA68" i="8" a="1"/>
  <c r="BA68" i="8" s="1"/>
  <c r="AU69" i="8" a="1"/>
  <c r="AU69" i="8" s="1"/>
  <c r="AV69" i="8" a="1"/>
  <c r="AV69" i="8" s="1"/>
  <c r="AW69" i="8" a="1"/>
  <c r="AW69" i="8" s="1"/>
  <c r="AX69" i="8" a="1"/>
  <c r="AX69" i="8" s="1"/>
  <c r="AY69" i="8" a="1"/>
  <c r="AY69" i="8" s="1"/>
  <c r="AZ69" i="8" a="1"/>
  <c r="AZ69" i="8" s="1"/>
  <c r="BA69" i="8" a="1"/>
  <c r="BA69" i="8" s="1"/>
  <c r="AU70" i="8" a="1"/>
  <c r="AU70" i="8" s="1"/>
  <c r="AV70" i="8" a="1"/>
  <c r="AV70" i="8" s="1"/>
  <c r="AW70" i="8" a="1"/>
  <c r="AW70" i="8" s="1"/>
  <c r="AX70" i="8" a="1"/>
  <c r="AX70" i="8" s="1"/>
  <c r="AY70" i="8" a="1"/>
  <c r="AY70" i="8" s="1"/>
  <c r="AZ70" i="8" a="1"/>
  <c r="AZ70" i="8" s="1"/>
  <c r="BA70" i="8" a="1"/>
  <c r="BA70" i="8" s="1"/>
  <c r="AU71" i="8" a="1"/>
  <c r="AU71" i="8" s="1"/>
  <c r="AV71" i="8" a="1"/>
  <c r="AV71" i="8" s="1"/>
  <c r="AW71" i="8" a="1"/>
  <c r="AW71" i="8" s="1"/>
  <c r="AX71" i="8" a="1"/>
  <c r="AX71" i="8" s="1"/>
  <c r="AY71" i="8" a="1"/>
  <c r="AY71" i="8" s="1"/>
  <c r="AZ71" i="8" a="1"/>
  <c r="AZ71" i="8" s="1"/>
  <c r="BA71" i="8" a="1"/>
  <c r="BA71" i="8" s="1"/>
  <c r="AU72" i="8" a="1"/>
  <c r="AU72" i="8" s="1"/>
  <c r="AV72" i="8" a="1"/>
  <c r="AV72" i="8" s="1"/>
  <c r="AW72" i="8" a="1"/>
  <c r="AW72" i="8" s="1"/>
  <c r="AX72" i="8" a="1"/>
  <c r="AX72" i="8" s="1"/>
  <c r="AY72" i="8" a="1"/>
  <c r="AY72" i="8" s="1"/>
  <c r="AZ72" i="8" a="1"/>
  <c r="AZ72" i="8" s="1"/>
  <c r="BA72" i="8" a="1"/>
  <c r="BA72" i="8" s="1"/>
  <c r="AU73" i="8" a="1"/>
  <c r="AU73" i="8" s="1"/>
  <c r="AV73" i="8" a="1"/>
  <c r="AV73" i="8" s="1"/>
  <c r="AW73" i="8" a="1"/>
  <c r="AW73" i="8" s="1"/>
  <c r="AX73" i="8" a="1"/>
  <c r="AX73" i="8" s="1"/>
  <c r="AY73" i="8" a="1"/>
  <c r="AY73" i="8" s="1"/>
  <c r="AZ73" i="8" a="1"/>
  <c r="AZ73" i="8" s="1"/>
  <c r="BA73" i="8" a="1"/>
  <c r="BA73" i="8" s="1"/>
  <c r="AU74" i="8" a="1"/>
  <c r="AU74" i="8" s="1"/>
  <c r="AV74" i="8" a="1"/>
  <c r="AV74" i="8" s="1"/>
  <c r="AW74" i="8" a="1"/>
  <c r="AW74" i="8" s="1"/>
  <c r="AX74" i="8" a="1"/>
  <c r="AX74" i="8" s="1"/>
  <c r="AY74" i="8" a="1"/>
  <c r="AY74" i="8" s="1"/>
  <c r="AZ74" i="8" a="1"/>
  <c r="AZ74" i="8" s="1"/>
  <c r="BA74" i="8" a="1"/>
  <c r="BA74" i="8" s="1"/>
  <c r="AU75" i="8" a="1"/>
  <c r="AU75" i="8" s="1"/>
  <c r="AV75" i="8" a="1"/>
  <c r="AV75" i="8" s="1"/>
  <c r="AW75" i="8" a="1"/>
  <c r="AW75" i="8" s="1"/>
  <c r="AX75" i="8" a="1"/>
  <c r="AX75" i="8" s="1"/>
  <c r="AY75" i="8" a="1"/>
  <c r="AY75" i="8" s="1"/>
  <c r="AZ75" i="8" a="1"/>
  <c r="AZ75" i="8" s="1"/>
  <c r="BA75" i="8" a="1"/>
  <c r="BA75" i="8" s="1"/>
  <c r="AU76" i="8" a="1"/>
  <c r="AU76" i="8" s="1"/>
  <c r="AV76" i="8" a="1"/>
  <c r="AV76" i="8" s="1"/>
  <c r="AW76" i="8" a="1"/>
  <c r="AW76" i="8" s="1"/>
  <c r="AX76" i="8" a="1"/>
  <c r="AX76" i="8" s="1"/>
  <c r="AY76" i="8" a="1"/>
  <c r="AY76" i="8" s="1"/>
  <c r="AZ76" i="8" a="1"/>
  <c r="AZ76" i="8" s="1"/>
  <c r="BA76" i="8" a="1"/>
  <c r="BA76" i="8" s="1"/>
  <c r="AU77" i="8" a="1"/>
  <c r="AU77" i="8" s="1"/>
  <c r="AV77" i="8" a="1"/>
  <c r="AV77" i="8" s="1"/>
  <c r="AW77" i="8" a="1"/>
  <c r="AW77" i="8" s="1"/>
  <c r="AX77" i="8" a="1"/>
  <c r="AX77" i="8" s="1"/>
  <c r="AY77" i="8" a="1"/>
  <c r="AY77" i="8" s="1"/>
  <c r="AZ77" i="8" a="1"/>
  <c r="AZ77" i="8" s="1"/>
  <c r="BA77" i="8" a="1"/>
  <c r="BA77" i="8" s="1"/>
  <c r="AU78" i="8" a="1"/>
  <c r="AU78" i="8" s="1"/>
  <c r="AV78" i="8" a="1"/>
  <c r="AV78" i="8" s="1"/>
  <c r="AW78" i="8" a="1"/>
  <c r="AW78" i="8" s="1"/>
  <c r="AX78" i="8" a="1"/>
  <c r="AX78" i="8" s="1"/>
  <c r="AY78" i="8" a="1"/>
  <c r="AY78" i="8" s="1"/>
  <c r="AZ78" i="8" a="1"/>
  <c r="AZ78" i="8" s="1"/>
  <c r="BA78" i="8" a="1"/>
  <c r="BA78" i="8" s="1"/>
  <c r="AU79" i="8" a="1"/>
  <c r="AU79" i="8" s="1"/>
  <c r="AV79" i="8" a="1"/>
  <c r="AV79" i="8" s="1"/>
  <c r="AW79" i="8" a="1"/>
  <c r="AW79" i="8" s="1"/>
  <c r="AX79" i="8" a="1"/>
  <c r="AX79" i="8" s="1"/>
  <c r="AY79" i="8" a="1"/>
  <c r="AY79" i="8" s="1"/>
  <c r="AZ79" i="8" a="1"/>
  <c r="AZ79" i="8" s="1"/>
  <c r="BA79" i="8" a="1"/>
  <c r="BA79" i="8" s="1"/>
  <c r="AU80" i="8" a="1"/>
  <c r="AU80" i="8" s="1"/>
  <c r="AV80" i="8" a="1"/>
  <c r="AV80" i="8" s="1"/>
  <c r="AW80" i="8" a="1"/>
  <c r="AW80" i="8" s="1"/>
  <c r="AX80" i="8" a="1"/>
  <c r="AX80" i="8" s="1"/>
  <c r="AY80" i="8" a="1"/>
  <c r="AY80" i="8" s="1"/>
  <c r="AZ80" i="8" a="1"/>
  <c r="AZ80" i="8" s="1"/>
  <c r="BA80" i="8" a="1"/>
  <c r="BA80" i="8" s="1"/>
  <c r="AU81" i="8" a="1"/>
  <c r="AU81" i="8" s="1"/>
  <c r="AV81" i="8" a="1"/>
  <c r="AV81" i="8" s="1"/>
  <c r="AW81" i="8" a="1"/>
  <c r="AW81" i="8" s="1"/>
  <c r="AX81" i="8" a="1"/>
  <c r="AX81" i="8" s="1"/>
  <c r="AY81" i="8" a="1"/>
  <c r="AY81" i="8" s="1"/>
  <c r="AZ81" i="8" a="1"/>
  <c r="AZ81" i="8" s="1"/>
  <c r="BA81" i="8" a="1"/>
  <c r="BA81" i="8" s="1"/>
  <c r="AU82" i="8" a="1"/>
  <c r="AU82" i="8" s="1"/>
  <c r="AV82" i="8" a="1"/>
  <c r="AV82" i="8" s="1"/>
  <c r="AW82" i="8" a="1"/>
  <c r="AW82" i="8" s="1"/>
  <c r="AX82" i="8" a="1"/>
  <c r="AX82" i="8" s="1"/>
  <c r="AY82" i="8" a="1"/>
  <c r="AY82" i="8" s="1"/>
  <c r="AZ82" i="8" a="1"/>
  <c r="AZ82" i="8" s="1"/>
  <c r="BA82" i="8" a="1"/>
  <c r="BA82" i="8" s="1"/>
  <c r="AU83" i="8" a="1"/>
  <c r="AU83" i="8" s="1"/>
  <c r="AV83" i="8" a="1"/>
  <c r="AV83" i="8" s="1"/>
  <c r="AW83" i="8" a="1"/>
  <c r="AW83" i="8" s="1"/>
  <c r="AX83" i="8" a="1"/>
  <c r="AX83" i="8" s="1"/>
  <c r="AY83" i="8" a="1"/>
  <c r="AY83" i="8" s="1"/>
  <c r="AZ83" i="8" a="1"/>
  <c r="AZ83" i="8" s="1"/>
  <c r="BA83" i="8" a="1"/>
  <c r="BA83" i="8" s="1"/>
  <c r="AU84" i="8" a="1"/>
  <c r="AU84" i="8" s="1"/>
  <c r="AV84" i="8" a="1"/>
  <c r="AV84" i="8" s="1"/>
  <c r="AW84" i="8" a="1"/>
  <c r="AW84" i="8" s="1"/>
  <c r="AX84" i="8" a="1"/>
  <c r="AX84" i="8" s="1"/>
  <c r="AY84" i="8" a="1"/>
  <c r="AY84" i="8" s="1"/>
  <c r="AZ84" i="8" a="1"/>
  <c r="AZ84" i="8" s="1"/>
  <c r="BA84" i="8" a="1"/>
  <c r="BA84" i="8" s="1"/>
  <c r="AU85" i="8" a="1"/>
  <c r="AU85" i="8" s="1"/>
  <c r="AV85" i="8" a="1"/>
  <c r="AV85" i="8" s="1"/>
  <c r="AW85" i="8" a="1"/>
  <c r="AW85" i="8" s="1"/>
  <c r="AX85" i="8" a="1"/>
  <c r="AX85" i="8" s="1"/>
  <c r="AY85" i="8" a="1"/>
  <c r="AY85" i="8" s="1"/>
  <c r="AZ85" i="8" a="1"/>
  <c r="AZ85" i="8" s="1"/>
  <c r="BA85" i="8" a="1"/>
  <c r="BA85" i="8" s="1"/>
  <c r="AU86" i="8" a="1"/>
  <c r="AU86" i="8" s="1"/>
  <c r="AV86" i="8" a="1"/>
  <c r="AV86" i="8" s="1"/>
  <c r="AW86" i="8" a="1"/>
  <c r="AW86" i="8" s="1"/>
  <c r="AX86" i="8" a="1"/>
  <c r="AX86" i="8" s="1"/>
  <c r="AY86" i="8" a="1"/>
  <c r="AY86" i="8" s="1"/>
  <c r="AZ86" i="8" a="1"/>
  <c r="AZ86" i="8" s="1"/>
  <c r="BA86" i="8" a="1"/>
  <c r="BA86" i="8" s="1"/>
  <c r="AU87" i="8" a="1"/>
  <c r="AU87" i="8" s="1"/>
  <c r="AV87" i="8" a="1"/>
  <c r="AV87" i="8" s="1"/>
  <c r="AW87" i="8" a="1"/>
  <c r="AW87" i="8" s="1"/>
  <c r="AX87" i="8" a="1"/>
  <c r="AX87" i="8" s="1"/>
  <c r="AY87" i="8" a="1"/>
  <c r="AY87" i="8" s="1"/>
  <c r="AZ87" i="8" a="1"/>
  <c r="AZ87" i="8" s="1"/>
  <c r="BA87" i="8" a="1"/>
  <c r="BA87" i="8" s="1"/>
  <c r="AU88" i="8" a="1"/>
  <c r="AU88" i="8" s="1"/>
  <c r="AV88" i="8" a="1"/>
  <c r="AV88" i="8" s="1"/>
  <c r="AW88" i="8" a="1"/>
  <c r="AW88" i="8" s="1"/>
  <c r="AX88" i="8" a="1"/>
  <c r="AX88" i="8" s="1"/>
  <c r="AY88" i="8" a="1"/>
  <c r="AY88" i="8" s="1"/>
  <c r="AZ88" i="8" a="1"/>
  <c r="AZ88" i="8" s="1"/>
  <c r="BA88" i="8" a="1"/>
  <c r="BA88" i="8" s="1"/>
  <c r="AU89" i="8" a="1"/>
  <c r="AU89" i="8" s="1"/>
  <c r="AV89" i="8" a="1"/>
  <c r="AV89" i="8" s="1"/>
  <c r="AW89" i="8" a="1"/>
  <c r="AW89" i="8" s="1"/>
  <c r="AX89" i="8" a="1"/>
  <c r="AX89" i="8" s="1"/>
  <c r="AY89" i="8" a="1"/>
  <c r="AY89" i="8" s="1"/>
  <c r="AZ89" i="8" a="1"/>
  <c r="AZ89" i="8" s="1"/>
  <c r="BA89" i="8" a="1"/>
  <c r="BA89" i="8" s="1"/>
  <c r="AU90" i="8" a="1"/>
  <c r="AU90" i="8" s="1"/>
  <c r="AV90" i="8" a="1"/>
  <c r="AV90" i="8" s="1"/>
  <c r="AW90" i="8" a="1"/>
  <c r="AW90" i="8" s="1"/>
  <c r="AX90" i="8" a="1"/>
  <c r="AX90" i="8" s="1"/>
  <c r="AY90" i="8" a="1"/>
  <c r="AY90" i="8" s="1"/>
  <c r="AZ90" i="8" a="1"/>
  <c r="AZ90" i="8" s="1"/>
  <c r="BA90" i="8" a="1"/>
  <c r="BA90" i="8" s="1"/>
  <c r="AU91" i="8" a="1"/>
  <c r="AU91" i="8" s="1"/>
  <c r="AV91" i="8" a="1"/>
  <c r="AV91" i="8" s="1"/>
  <c r="AW91" i="8" a="1"/>
  <c r="AW91" i="8" s="1"/>
  <c r="AX91" i="8" a="1"/>
  <c r="AX91" i="8" s="1"/>
  <c r="AY91" i="8" a="1"/>
  <c r="AY91" i="8" s="1"/>
  <c r="AZ91" i="8" a="1"/>
  <c r="AZ91" i="8" s="1"/>
  <c r="BA91" i="8" a="1"/>
  <c r="BA91" i="8" s="1"/>
  <c r="AU92" i="8" a="1"/>
  <c r="AU92" i="8" s="1"/>
  <c r="AV92" i="8" a="1"/>
  <c r="AV92" i="8" s="1"/>
  <c r="AW92" i="8" a="1"/>
  <c r="AW92" i="8" s="1"/>
  <c r="AX92" i="8" a="1"/>
  <c r="AX92" i="8" s="1"/>
  <c r="AY92" i="8" a="1"/>
  <c r="AY92" i="8" s="1"/>
  <c r="AZ92" i="8" a="1"/>
  <c r="AZ92" i="8" s="1"/>
  <c r="BA92" i="8" a="1"/>
  <c r="BA92" i="8" s="1"/>
  <c r="AU93" i="8" a="1"/>
  <c r="AU93" i="8" s="1"/>
  <c r="AV93" i="8" a="1"/>
  <c r="AV93" i="8" s="1"/>
  <c r="AW93" i="8" a="1"/>
  <c r="AW93" i="8" s="1"/>
  <c r="AX93" i="8" a="1"/>
  <c r="AX93" i="8" s="1"/>
  <c r="AY93" i="8" a="1"/>
  <c r="AY93" i="8" s="1"/>
  <c r="AZ93" i="8" a="1"/>
  <c r="AZ93" i="8" s="1"/>
  <c r="BA93" i="8" a="1"/>
  <c r="BA93" i="8" s="1"/>
  <c r="AU94" i="8" a="1"/>
  <c r="AU94" i="8" s="1"/>
  <c r="AV94" i="8" a="1"/>
  <c r="AV94" i="8" s="1"/>
  <c r="AW94" i="8" a="1"/>
  <c r="AW94" i="8" s="1"/>
  <c r="AX94" i="8" a="1"/>
  <c r="AX94" i="8" s="1"/>
  <c r="AY94" i="8" a="1"/>
  <c r="AY94" i="8" s="1"/>
  <c r="AZ94" i="8" a="1"/>
  <c r="AZ94" i="8" s="1"/>
  <c r="BA94" i="8" a="1"/>
  <c r="BA94" i="8" s="1"/>
  <c r="AU95" i="8" a="1"/>
  <c r="AU95" i="8" s="1"/>
  <c r="AV95" i="8" a="1"/>
  <c r="AV95" i="8" s="1"/>
  <c r="AW95" i="8" a="1"/>
  <c r="AW95" i="8" s="1"/>
  <c r="AX95" i="8" a="1"/>
  <c r="AX95" i="8" s="1"/>
  <c r="AY95" i="8" a="1"/>
  <c r="AY95" i="8" s="1"/>
  <c r="AZ95" i="8" a="1"/>
  <c r="AZ95" i="8" s="1"/>
  <c r="BA95" i="8" a="1"/>
  <c r="BA95" i="8" s="1"/>
  <c r="AU96" i="8" a="1"/>
  <c r="AU96" i="8" s="1"/>
  <c r="AV96" i="8" a="1"/>
  <c r="AV96" i="8" s="1"/>
  <c r="AW96" i="8" a="1"/>
  <c r="AW96" i="8" s="1"/>
  <c r="AX96" i="8" a="1"/>
  <c r="AX96" i="8" s="1"/>
  <c r="AY96" i="8" a="1"/>
  <c r="AY96" i="8" s="1"/>
  <c r="AZ96" i="8" a="1"/>
  <c r="AZ96" i="8" s="1"/>
  <c r="BA96" i="8" a="1"/>
  <c r="BA96" i="8" s="1"/>
  <c r="AU97" i="8" a="1"/>
  <c r="AU97" i="8" s="1"/>
  <c r="AV97" i="8" a="1"/>
  <c r="AV97" i="8" s="1"/>
  <c r="AW97" i="8" a="1"/>
  <c r="AW97" i="8" s="1"/>
  <c r="AX97" i="8" a="1"/>
  <c r="AX97" i="8" s="1"/>
  <c r="AY97" i="8" a="1"/>
  <c r="AY97" i="8" s="1"/>
  <c r="AZ97" i="8" a="1"/>
  <c r="AZ97" i="8" s="1"/>
  <c r="BA97" i="8" a="1"/>
  <c r="BA97" i="8" s="1"/>
  <c r="AU98" i="8" a="1"/>
  <c r="AU98" i="8" s="1"/>
  <c r="AV98" i="8" a="1"/>
  <c r="AV98" i="8" s="1"/>
  <c r="AW98" i="8" a="1"/>
  <c r="AW98" i="8" s="1"/>
  <c r="AX98" i="8" a="1"/>
  <c r="AX98" i="8" s="1"/>
  <c r="AY98" i="8" a="1"/>
  <c r="AY98" i="8" s="1"/>
  <c r="AZ98" i="8" a="1"/>
  <c r="AZ98" i="8" s="1"/>
  <c r="BA98" i="8" a="1"/>
  <c r="BA98" i="8" s="1"/>
  <c r="AU99" i="8" a="1"/>
  <c r="AU99" i="8" s="1"/>
  <c r="AV99" i="8" a="1"/>
  <c r="AV99" i="8" s="1"/>
  <c r="AW99" i="8" a="1"/>
  <c r="AW99" i="8" s="1"/>
  <c r="AX99" i="8" a="1"/>
  <c r="AX99" i="8" s="1"/>
  <c r="AY99" i="8" a="1"/>
  <c r="AY99" i="8" s="1"/>
  <c r="AZ99" i="8" a="1"/>
  <c r="AZ99" i="8" s="1"/>
  <c r="BA99" i="8" a="1"/>
  <c r="BA99" i="8" s="1"/>
  <c r="AU100" i="8" a="1"/>
  <c r="AU100" i="8" s="1"/>
  <c r="AV100" i="8" a="1"/>
  <c r="AV100" i="8" s="1"/>
  <c r="AW100" i="8" a="1"/>
  <c r="AW100" i="8" s="1"/>
  <c r="AX100" i="8" a="1"/>
  <c r="AX100" i="8" s="1"/>
  <c r="AY100" i="8" a="1"/>
  <c r="AY100" i="8" s="1"/>
  <c r="AZ100" i="8" a="1"/>
  <c r="AZ100" i="8" s="1"/>
  <c r="BA100" i="8" a="1"/>
  <c r="BA100" i="8" s="1"/>
  <c r="AU101" i="8" a="1"/>
  <c r="AU101" i="8" s="1"/>
  <c r="AV101" i="8" a="1"/>
  <c r="AV101" i="8" s="1"/>
  <c r="AW101" i="8" a="1"/>
  <c r="AW101" i="8" s="1"/>
  <c r="AX101" i="8" a="1"/>
  <c r="AX101" i="8" s="1"/>
  <c r="AY101" i="8" a="1"/>
  <c r="AY101" i="8" s="1"/>
  <c r="AZ101" i="8" a="1"/>
  <c r="AZ101" i="8" s="1"/>
  <c r="BA101" i="8" a="1"/>
  <c r="BA101" i="8" s="1"/>
  <c r="AU102" i="8" a="1"/>
  <c r="AU102" i="8" s="1"/>
  <c r="AV102" i="8" a="1"/>
  <c r="AV102" i="8" s="1"/>
  <c r="AW102" i="8" a="1"/>
  <c r="AW102" i="8" s="1"/>
  <c r="AX102" i="8" a="1"/>
  <c r="AX102" i="8" s="1"/>
  <c r="AY102" i="8" a="1"/>
  <c r="AY102" i="8" s="1"/>
  <c r="AZ102" i="8" a="1"/>
  <c r="AZ102" i="8" s="1"/>
  <c r="BA102" i="8" a="1"/>
  <c r="BA102" i="8" s="1"/>
  <c r="AU103" i="8" a="1"/>
  <c r="AU103" i="8" s="1"/>
  <c r="AV103" i="8" a="1"/>
  <c r="AV103" i="8" s="1"/>
  <c r="AW103" i="8" a="1"/>
  <c r="AW103" i="8" s="1"/>
  <c r="AX103" i="8" a="1"/>
  <c r="AX103" i="8" s="1"/>
  <c r="AY103" i="8" a="1"/>
  <c r="AY103" i="8" s="1"/>
  <c r="AZ103" i="8" a="1"/>
  <c r="AZ103" i="8" s="1"/>
  <c r="BA103" i="8" a="1"/>
  <c r="BA103" i="8" s="1"/>
  <c r="AU104" i="8" a="1"/>
  <c r="AU104" i="8" s="1"/>
  <c r="AV104" i="8" a="1"/>
  <c r="AV104" i="8" s="1"/>
  <c r="AW104" i="8" a="1"/>
  <c r="AW104" i="8" s="1"/>
  <c r="AX104" i="8" a="1"/>
  <c r="AX104" i="8" s="1"/>
  <c r="AY104" i="8" a="1"/>
  <c r="AY104" i="8" s="1"/>
  <c r="AZ104" i="8" a="1"/>
  <c r="AZ104" i="8" s="1"/>
  <c r="BA104" i="8" a="1"/>
  <c r="BA104" i="8" s="1"/>
  <c r="AU105" i="8" a="1"/>
  <c r="AU105" i="8" s="1"/>
  <c r="AV105" i="8" a="1"/>
  <c r="AV105" i="8" s="1"/>
  <c r="AW105" i="8" a="1"/>
  <c r="AW105" i="8" s="1"/>
  <c r="AX105" i="8" a="1"/>
  <c r="AX105" i="8" s="1"/>
  <c r="AY105" i="8" a="1"/>
  <c r="AY105" i="8" s="1"/>
  <c r="AZ105" i="8" a="1"/>
  <c r="AZ105" i="8" s="1"/>
  <c r="BA105" i="8" a="1"/>
  <c r="BA105" i="8" s="1"/>
  <c r="AU106" i="8" a="1"/>
  <c r="AU106" i="8" s="1"/>
  <c r="AV106" i="8" a="1"/>
  <c r="AV106" i="8" s="1"/>
  <c r="AW106" i="8" a="1"/>
  <c r="AW106" i="8" s="1"/>
  <c r="AX106" i="8" a="1"/>
  <c r="AX106" i="8" s="1"/>
  <c r="AY106" i="8" a="1"/>
  <c r="AY106" i="8" s="1"/>
  <c r="AZ106" i="8" a="1"/>
  <c r="AZ106" i="8" s="1"/>
  <c r="BA106" i="8" a="1"/>
  <c r="BA106" i="8" s="1"/>
  <c r="AU107" i="8" a="1"/>
  <c r="AU107" i="8" s="1"/>
  <c r="AV107" i="8" a="1"/>
  <c r="AV107" i="8" s="1"/>
  <c r="AW107" i="8" a="1"/>
  <c r="AW107" i="8" s="1"/>
  <c r="AX107" i="8" a="1"/>
  <c r="AX107" i="8" s="1"/>
  <c r="AY107" i="8" a="1"/>
  <c r="AY107" i="8" s="1"/>
  <c r="AZ107" i="8" a="1"/>
  <c r="AZ107" i="8" s="1"/>
  <c r="BA107" i="8" a="1"/>
  <c r="BA107" i="8" s="1"/>
  <c r="AU108" i="8" a="1"/>
  <c r="AU108" i="8" s="1"/>
  <c r="AV108" i="8" a="1"/>
  <c r="AV108" i="8" s="1"/>
  <c r="AW108" i="8" a="1"/>
  <c r="AW108" i="8" s="1"/>
  <c r="AX108" i="8" a="1"/>
  <c r="AX108" i="8" s="1"/>
  <c r="AY108" i="8" a="1"/>
  <c r="AY108" i="8" s="1"/>
  <c r="AZ108" i="8" a="1"/>
  <c r="AZ108" i="8" s="1"/>
  <c r="BA108" i="8" a="1"/>
  <c r="BA108" i="8" s="1"/>
  <c r="AU109" i="8" a="1"/>
  <c r="AU109" i="8" s="1"/>
  <c r="AV109" i="8" a="1"/>
  <c r="AV109" i="8" s="1"/>
  <c r="AW109" i="8" a="1"/>
  <c r="AW109" i="8" s="1"/>
  <c r="AX109" i="8" a="1"/>
  <c r="AX109" i="8" s="1"/>
  <c r="AY109" i="8" a="1"/>
  <c r="AY109" i="8" s="1"/>
  <c r="AZ109" i="8" a="1"/>
  <c r="AZ109" i="8" s="1"/>
  <c r="BA109" i="8" a="1"/>
  <c r="BA109" i="8" s="1"/>
  <c r="AU110" i="8" a="1"/>
  <c r="AU110" i="8" s="1"/>
  <c r="AV110" i="8" a="1"/>
  <c r="AV110" i="8" s="1"/>
  <c r="AW110" i="8" a="1"/>
  <c r="AW110" i="8" s="1"/>
  <c r="AX110" i="8" a="1"/>
  <c r="AX110" i="8" s="1"/>
  <c r="AY110" i="8" a="1"/>
  <c r="AY110" i="8" s="1"/>
  <c r="AZ110" i="8" a="1"/>
  <c r="AZ110" i="8" s="1"/>
  <c r="BA110" i="8" a="1"/>
  <c r="BA110" i="8" s="1"/>
  <c r="AU111" i="8" a="1"/>
  <c r="AU111" i="8" s="1"/>
  <c r="AV111" i="8" a="1"/>
  <c r="AV111" i="8" s="1"/>
  <c r="AW111" i="8" a="1"/>
  <c r="AW111" i="8" s="1"/>
  <c r="AX111" i="8" a="1"/>
  <c r="AX111" i="8" s="1"/>
  <c r="AY111" i="8" a="1"/>
  <c r="AY111" i="8" s="1"/>
  <c r="AZ111" i="8" a="1"/>
  <c r="AZ111" i="8" s="1"/>
  <c r="BA111" i="8" a="1"/>
  <c r="BA111" i="8" s="1"/>
  <c r="AU112" i="8" a="1"/>
  <c r="AU112" i="8" s="1"/>
  <c r="AV112" i="8" a="1"/>
  <c r="AV112" i="8" s="1"/>
  <c r="AW112" i="8" a="1"/>
  <c r="AW112" i="8" s="1"/>
  <c r="AX112" i="8" a="1"/>
  <c r="AX112" i="8" s="1"/>
  <c r="AY112" i="8" a="1"/>
  <c r="AY112" i="8" s="1"/>
  <c r="AZ112" i="8" a="1"/>
  <c r="AZ112" i="8" s="1"/>
  <c r="BA112" i="8" a="1"/>
  <c r="BA112" i="8" s="1"/>
  <c r="AU113" i="8" a="1"/>
  <c r="AU113" i="8" s="1"/>
  <c r="AV113" i="8" a="1"/>
  <c r="AV113" i="8" s="1"/>
  <c r="AW113" i="8" a="1"/>
  <c r="AW113" i="8" s="1"/>
  <c r="AX113" i="8" a="1"/>
  <c r="AX113" i="8" s="1"/>
  <c r="AY113" i="8" a="1"/>
  <c r="AY113" i="8" s="1"/>
  <c r="AZ113" i="8" a="1"/>
  <c r="AZ113" i="8" s="1"/>
  <c r="BA113" i="8" a="1"/>
  <c r="BA113" i="8" s="1"/>
  <c r="AU114" i="8" a="1"/>
  <c r="AU114" i="8" s="1"/>
  <c r="AV114" i="8" a="1"/>
  <c r="AV114" i="8" s="1"/>
  <c r="AW114" i="8" a="1"/>
  <c r="AW114" i="8" s="1"/>
  <c r="AX114" i="8" a="1"/>
  <c r="AX114" i="8" s="1"/>
  <c r="AY114" i="8" a="1"/>
  <c r="AY114" i="8" s="1"/>
  <c r="AZ114" i="8" a="1"/>
  <c r="AZ114" i="8" s="1"/>
  <c r="BA114" i="8" a="1"/>
  <c r="BA114" i="8" s="1"/>
  <c r="AU115" i="8" a="1"/>
  <c r="AU115" i="8" s="1"/>
  <c r="AV115" i="8" a="1"/>
  <c r="AV115" i="8" s="1"/>
  <c r="AW115" i="8" a="1"/>
  <c r="AW115" i="8" s="1"/>
  <c r="AX115" i="8" a="1"/>
  <c r="AX115" i="8" s="1"/>
  <c r="AY115" i="8" a="1"/>
  <c r="AY115" i="8" s="1"/>
  <c r="AZ115" i="8" a="1"/>
  <c r="AZ115" i="8" s="1"/>
  <c r="BA115" i="8" a="1"/>
  <c r="BA115" i="8" s="1"/>
  <c r="AU116" i="8" a="1"/>
  <c r="AU116" i="8" s="1"/>
  <c r="AV116" i="8" a="1"/>
  <c r="AV116" i="8" s="1"/>
  <c r="AW116" i="8" a="1"/>
  <c r="AW116" i="8" s="1"/>
  <c r="AX116" i="8" a="1"/>
  <c r="AX116" i="8" s="1"/>
  <c r="AY116" i="8" a="1"/>
  <c r="AY116" i="8" s="1"/>
  <c r="AZ116" i="8" a="1"/>
  <c r="AZ116" i="8" s="1"/>
  <c r="BA116" i="8" a="1"/>
  <c r="BA116" i="8" s="1"/>
  <c r="AU117" i="8" a="1"/>
  <c r="AU117" i="8" s="1"/>
  <c r="AV117" i="8" a="1"/>
  <c r="AV117" i="8" s="1"/>
  <c r="AW117" i="8" a="1"/>
  <c r="AW117" i="8" s="1"/>
  <c r="AX117" i="8" a="1"/>
  <c r="AX117" i="8" s="1"/>
  <c r="AY117" i="8" a="1"/>
  <c r="AY117" i="8" s="1"/>
  <c r="AZ117" i="8" a="1"/>
  <c r="AZ117" i="8" s="1"/>
  <c r="BA117" i="8" a="1"/>
  <c r="BA117" i="8" s="1"/>
  <c r="AU118" i="8" a="1"/>
  <c r="AU118" i="8" s="1"/>
  <c r="AV118" i="8" a="1"/>
  <c r="AV118" i="8" s="1"/>
  <c r="AW118" i="8" a="1"/>
  <c r="AW118" i="8" s="1"/>
  <c r="AX118" i="8" a="1"/>
  <c r="AX118" i="8" s="1"/>
  <c r="AY118" i="8" a="1"/>
  <c r="AY118" i="8" s="1"/>
  <c r="AZ118" i="8" a="1"/>
  <c r="AZ118" i="8" s="1"/>
  <c r="BA118" i="8" a="1"/>
  <c r="BA118" i="8" s="1"/>
  <c r="AU119" i="8" a="1"/>
  <c r="AU119" i="8" s="1"/>
  <c r="AV119" i="8" a="1"/>
  <c r="AV119" i="8" s="1"/>
  <c r="AW119" i="8" a="1"/>
  <c r="AW119" i="8" s="1"/>
  <c r="AX119" i="8" a="1"/>
  <c r="AX119" i="8" s="1"/>
  <c r="AY119" i="8" a="1"/>
  <c r="AY119" i="8" s="1"/>
  <c r="AZ119" i="8" a="1"/>
  <c r="AZ119" i="8" s="1"/>
  <c r="BA119" i="8" a="1"/>
  <c r="BA119" i="8" s="1"/>
  <c r="AU120" i="8" a="1"/>
  <c r="AU120" i="8" s="1"/>
  <c r="AV120" i="8" a="1"/>
  <c r="AV120" i="8" s="1"/>
  <c r="AW120" i="8" a="1"/>
  <c r="AW120" i="8" s="1"/>
  <c r="AX120" i="8" a="1"/>
  <c r="AX120" i="8" s="1"/>
  <c r="AY120" i="8" a="1"/>
  <c r="AY120" i="8" s="1"/>
  <c r="AZ120" i="8" a="1"/>
  <c r="AZ120" i="8" s="1"/>
  <c r="BA120" i="8" a="1"/>
  <c r="BA120" i="8" s="1"/>
  <c r="AU121" i="8" a="1"/>
  <c r="AU121" i="8" s="1"/>
  <c r="AV121" i="8" a="1"/>
  <c r="AV121" i="8" s="1"/>
  <c r="AW121" i="8" a="1"/>
  <c r="AW121" i="8" s="1"/>
  <c r="AX121" i="8" a="1"/>
  <c r="AX121" i="8" s="1"/>
  <c r="AY121" i="8" a="1"/>
  <c r="AY121" i="8" s="1"/>
  <c r="AZ121" i="8" a="1"/>
  <c r="AZ121" i="8" s="1"/>
  <c r="BA121" i="8" a="1"/>
  <c r="BA121" i="8" s="1"/>
  <c r="AU122" i="8" a="1"/>
  <c r="AU122" i="8" s="1"/>
  <c r="AV122" i="8" a="1"/>
  <c r="AV122" i="8" s="1"/>
  <c r="AW122" i="8" a="1"/>
  <c r="AW122" i="8" s="1"/>
  <c r="AX122" i="8" a="1"/>
  <c r="AX122" i="8" s="1"/>
  <c r="AY122" i="8" a="1"/>
  <c r="AY122" i="8" s="1"/>
  <c r="AZ122" i="8" a="1"/>
  <c r="AZ122" i="8" s="1"/>
  <c r="BA122" i="8" a="1"/>
  <c r="BA122" i="8" s="1"/>
  <c r="AU123" i="8" a="1"/>
  <c r="AU123" i="8" s="1"/>
  <c r="AV123" i="8" a="1"/>
  <c r="AV123" i="8" s="1"/>
  <c r="AW123" i="8" a="1"/>
  <c r="AW123" i="8" s="1"/>
  <c r="AX123" i="8" a="1"/>
  <c r="AX123" i="8" s="1"/>
  <c r="AY123" i="8" a="1"/>
  <c r="AY123" i="8" s="1"/>
  <c r="AZ123" i="8" a="1"/>
  <c r="AZ123" i="8" s="1"/>
  <c r="BA123" i="8" a="1"/>
  <c r="BA123" i="8" s="1"/>
  <c r="AU124" i="8" a="1"/>
  <c r="AU124" i="8" s="1"/>
  <c r="AV124" i="8" a="1"/>
  <c r="AV124" i="8" s="1"/>
  <c r="AW124" i="8" a="1"/>
  <c r="AW124" i="8" s="1"/>
  <c r="AX124" i="8" a="1"/>
  <c r="AX124" i="8" s="1"/>
  <c r="AY124" i="8" a="1"/>
  <c r="AY124" i="8" s="1"/>
  <c r="AZ124" i="8" a="1"/>
  <c r="AZ124" i="8" s="1"/>
  <c r="BA124" i="8" a="1"/>
  <c r="BA124" i="8" s="1"/>
  <c r="AU125" i="8" a="1"/>
  <c r="AU125" i="8" s="1"/>
  <c r="AV125" i="8" a="1"/>
  <c r="AV125" i="8" s="1"/>
  <c r="AW125" i="8" a="1"/>
  <c r="AW125" i="8" s="1"/>
  <c r="AX125" i="8" a="1"/>
  <c r="AX125" i="8" s="1"/>
  <c r="AY125" i="8" a="1"/>
  <c r="AY125" i="8" s="1"/>
  <c r="AZ125" i="8" a="1"/>
  <c r="AZ125" i="8" s="1"/>
  <c r="BA125" i="8" a="1"/>
  <c r="BA125" i="8" s="1"/>
  <c r="AU126" i="8" a="1"/>
  <c r="AU126" i="8" s="1"/>
  <c r="AV126" i="8" a="1"/>
  <c r="AV126" i="8" s="1"/>
  <c r="AW126" i="8" a="1"/>
  <c r="AW126" i="8" s="1"/>
  <c r="AX126" i="8" a="1"/>
  <c r="AX126" i="8" s="1"/>
  <c r="AY126" i="8" a="1"/>
  <c r="AY126" i="8" s="1"/>
  <c r="AZ126" i="8" a="1"/>
  <c r="AZ126" i="8" s="1"/>
  <c r="BA126" i="8" a="1"/>
  <c r="BA126" i="8" s="1"/>
  <c r="AU127" i="8" a="1"/>
  <c r="AU127" i="8" s="1"/>
  <c r="AV127" i="8" a="1"/>
  <c r="AV127" i="8" s="1"/>
  <c r="AW127" i="8" a="1"/>
  <c r="AW127" i="8" s="1"/>
  <c r="AX127" i="8" a="1"/>
  <c r="AX127" i="8" s="1"/>
  <c r="AY127" i="8" a="1"/>
  <c r="AY127" i="8" s="1"/>
  <c r="AZ127" i="8" a="1"/>
  <c r="AZ127" i="8" s="1"/>
  <c r="BA127" i="8" a="1"/>
  <c r="BA127" i="8" s="1"/>
  <c r="AU128" i="8" a="1"/>
  <c r="AU128" i="8" s="1"/>
  <c r="AV128" i="8" a="1"/>
  <c r="AV128" i="8" s="1"/>
  <c r="AW128" i="8" a="1"/>
  <c r="AW128" i="8" s="1"/>
  <c r="AX128" i="8" a="1"/>
  <c r="AX128" i="8" s="1"/>
  <c r="AY128" i="8" a="1"/>
  <c r="AY128" i="8" s="1"/>
  <c r="AZ128" i="8" a="1"/>
  <c r="AZ128" i="8" s="1"/>
  <c r="BA128" i="8" a="1"/>
  <c r="BA128" i="8" s="1"/>
  <c r="AU129" i="8" a="1"/>
  <c r="AU129" i="8" s="1"/>
  <c r="AV129" i="8" a="1"/>
  <c r="AV129" i="8" s="1"/>
  <c r="AW129" i="8" a="1"/>
  <c r="AW129" i="8" s="1"/>
  <c r="AX129" i="8" a="1"/>
  <c r="AX129" i="8" s="1"/>
  <c r="AY129" i="8" a="1"/>
  <c r="AY129" i="8" s="1"/>
  <c r="AZ129" i="8" a="1"/>
  <c r="AZ129" i="8" s="1"/>
  <c r="BA129" i="8" a="1"/>
  <c r="BA129" i="8" s="1"/>
  <c r="AU130" i="8" a="1"/>
  <c r="AU130" i="8" s="1"/>
  <c r="AV130" i="8" a="1"/>
  <c r="AV130" i="8" s="1"/>
  <c r="AW130" i="8" a="1"/>
  <c r="AW130" i="8" s="1"/>
  <c r="AX130" i="8" a="1"/>
  <c r="AX130" i="8" s="1"/>
  <c r="AY130" i="8" a="1"/>
  <c r="AY130" i="8" s="1"/>
  <c r="AZ130" i="8" a="1"/>
  <c r="AZ130" i="8" s="1"/>
  <c r="BA130" i="8" a="1"/>
  <c r="BA130" i="8" s="1"/>
  <c r="AU131" i="8" a="1"/>
  <c r="AU131" i="8" s="1"/>
  <c r="AV131" i="8" a="1"/>
  <c r="AV131" i="8" s="1"/>
  <c r="AW131" i="8" a="1"/>
  <c r="AW131" i="8" s="1"/>
  <c r="AX131" i="8" a="1"/>
  <c r="AX131" i="8" s="1"/>
  <c r="AY131" i="8" a="1"/>
  <c r="AY131" i="8" s="1"/>
  <c r="AZ131" i="8" a="1"/>
  <c r="AZ131" i="8" s="1"/>
  <c r="BA131" i="8" a="1"/>
  <c r="BA131" i="8" s="1"/>
  <c r="AU132" i="8" a="1"/>
  <c r="AU132" i="8" s="1"/>
  <c r="AV132" i="8" a="1"/>
  <c r="AV132" i="8" s="1"/>
  <c r="AW132" i="8" a="1"/>
  <c r="AW132" i="8" s="1"/>
  <c r="AX132" i="8" a="1"/>
  <c r="AX132" i="8" s="1"/>
  <c r="AY132" i="8" a="1"/>
  <c r="AY132" i="8" s="1"/>
  <c r="AZ132" i="8" a="1"/>
  <c r="AZ132" i="8" s="1"/>
  <c r="BA132" i="8" a="1"/>
  <c r="BA132" i="8" s="1"/>
  <c r="AU133" i="8" a="1"/>
  <c r="AU133" i="8" s="1"/>
  <c r="AV133" i="8" a="1"/>
  <c r="AV133" i="8" s="1"/>
  <c r="AW133" i="8" a="1"/>
  <c r="AW133" i="8" s="1"/>
  <c r="AX133" i="8" a="1"/>
  <c r="AX133" i="8" s="1"/>
  <c r="AY133" i="8" a="1"/>
  <c r="AY133" i="8" s="1"/>
  <c r="AZ133" i="8" a="1"/>
  <c r="AZ133" i="8" s="1"/>
  <c r="BA133" i="8" a="1"/>
  <c r="BA133" i="8" s="1"/>
  <c r="AU134" i="8" a="1"/>
  <c r="AU134" i="8" s="1"/>
  <c r="AV134" i="8" a="1"/>
  <c r="AV134" i="8" s="1"/>
  <c r="AW134" i="8" a="1"/>
  <c r="AW134" i="8" s="1"/>
  <c r="AX134" i="8" a="1"/>
  <c r="AX134" i="8" s="1"/>
  <c r="AY134" i="8" a="1"/>
  <c r="AY134" i="8" s="1"/>
  <c r="AZ134" i="8" a="1"/>
  <c r="AZ134" i="8" s="1"/>
  <c r="BA134" i="8" a="1"/>
  <c r="BA134" i="8" s="1"/>
  <c r="AU135" i="8" a="1"/>
  <c r="AU135" i="8" s="1"/>
  <c r="AV135" i="8" a="1"/>
  <c r="AV135" i="8" s="1"/>
  <c r="AW135" i="8" a="1"/>
  <c r="AW135" i="8" s="1"/>
  <c r="AX135" i="8" a="1"/>
  <c r="AX135" i="8" s="1"/>
  <c r="AY135" i="8" a="1"/>
  <c r="AY135" i="8" s="1"/>
  <c r="AZ135" i="8" a="1"/>
  <c r="AZ135" i="8" s="1"/>
  <c r="BA135" i="8" a="1"/>
  <c r="BA135" i="8" s="1"/>
  <c r="AU136" i="8" a="1"/>
  <c r="AU136" i="8" s="1"/>
  <c r="AV136" i="8" a="1"/>
  <c r="AV136" i="8" s="1"/>
  <c r="AW136" i="8" a="1"/>
  <c r="AW136" i="8" s="1"/>
  <c r="AX136" i="8" a="1"/>
  <c r="AX136" i="8" s="1"/>
  <c r="AY136" i="8" a="1"/>
  <c r="AY136" i="8" s="1"/>
  <c r="AZ136" i="8" a="1"/>
  <c r="AZ136" i="8" s="1"/>
  <c r="BA136" i="8" a="1"/>
  <c r="BA136" i="8" s="1"/>
  <c r="AU137" i="8" a="1"/>
  <c r="AU137" i="8" s="1"/>
  <c r="AV137" i="8" a="1"/>
  <c r="AV137" i="8" s="1"/>
  <c r="AW137" i="8" a="1"/>
  <c r="AW137" i="8" s="1"/>
  <c r="AX137" i="8" a="1"/>
  <c r="AX137" i="8" s="1"/>
  <c r="AY137" i="8" a="1"/>
  <c r="AY137" i="8" s="1"/>
  <c r="AZ137" i="8" a="1"/>
  <c r="AZ137" i="8" s="1"/>
  <c r="BA137" i="8" a="1"/>
  <c r="BA137" i="8" s="1"/>
  <c r="AU138" i="8" a="1"/>
  <c r="AU138" i="8" s="1"/>
  <c r="AV138" i="8" a="1"/>
  <c r="AV138" i="8" s="1"/>
  <c r="AW138" i="8" a="1"/>
  <c r="AW138" i="8" s="1"/>
  <c r="AX138" i="8" a="1"/>
  <c r="AX138" i="8" s="1"/>
  <c r="AY138" i="8" a="1"/>
  <c r="AY138" i="8" s="1"/>
  <c r="AZ138" i="8" a="1"/>
  <c r="AZ138" i="8" s="1"/>
  <c r="BA138" i="8" a="1"/>
  <c r="BA138" i="8" s="1"/>
  <c r="AU139" i="8" a="1"/>
  <c r="AU139" i="8" s="1"/>
  <c r="AV139" i="8" a="1"/>
  <c r="AV139" i="8" s="1"/>
  <c r="AW139" i="8" a="1"/>
  <c r="AW139" i="8" s="1"/>
  <c r="AX139" i="8" a="1"/>
  <c r="AX139" i="8" s="1"/>
  <c r="AY139" i="8" a="1"/>
  <c r="AY139" i="8" s="1"/>
  <c r="AZ139" i="8" a="1"/>
  <c r="AZ139" i="8" s="1"/>
  <c r="BA139" i="8" a="1"/>
  <c r="BA139" i="8" s="1"/>
  <c r="AU140" i="8" a="1"/>
  <c r="AU140" i="8" s="1"/>
  <c r="AV140" i="8" a="1"/>
  <c r="AV140" i="8" s="1"/>
  <c r="AW140" i="8" a="1"/>
  <c r="AW140" i="8" s="1"/>
  <c r="AX140" i="8" a="1"/>
  <c r="AX140" i="8" s="1"/>
  <c r="AY140" i="8" a="1"/>
  <c r="AY140" i="8" s="1"/>
  <c r="AZ140" i="8" a="1"/>
  <c r="AZ140" i="8" s="1"/>
  <c r="BA140" i="8" a="1"/>
  <c r="BA140" i="8" s="1"/>
  <c r="AU141" i="8" a="1"/>
  <c r="AU141" i="8" s="1"/>
  <c r="AV141" i="8" a="1"/>
  <c r="AV141" i="8" s="1"/>
  <c r="AW141" i="8" a="1"/>
  <c r="AW141" i="8" s="1"/>
  <c r="AX141" i="8" a="1"/>
  <c r="AX141" i="8" s="1"/>
  <c r="AY141" i="8" a="1"/>
  <c r="AY141" i="8" s="1"/>
  <c r="AZ141" i="8" a="1"/>
  <c r="AZ141" i="8" s="1"/>
  <c r="BA141" i="8" a="1"/>
  <c r="BA141" i="8" s="1"/>
  <c r="AU142" i="8" a="1"/>
  <c r="AU142" i="8" s="1"/>
  <c r="AV142" i="8" a="1"/>
  <c r="AV142" i="8" s="1"/>
  <c r="AW142" i="8" a="1"/>
  <c r="AW142" i="8" s="1"/>
  <c r="AX142" i="8" a="1"/>
  <c r="AX142" i="8" s="1"/>
  <c r="AY142" i="8" a="1"/>
  <c r="AY142" i="8" s="1"/>
  <c r="AZ142" i="8" a="1"/>
  <c r="AZ142" i="8" s="1"/>
  <c r="BA142" i="8" a="1"/>
  <c r="BA142" i="8" s="1"/>
  <c r="AU143" i="8" a="1"/>
  <c r="AU143" i="8" s="1"/>
  <c r="AV143" i="8" a="1"/>
  <c r="AV143" i="8" s="1"/>
  <c r="AW143" i="8" a="1"/>
  <c r="AW143" i="8" s="1"/>
  <c r="AX143" i="8" a="1"/>
  <c r="AX143" i="8" s="1"/>
  <c r="AY143" i="8" a="1"/>
  <c r="AY143" i="8" s="1"/>
  <c r="AZ143" i="8" a="1"/>
  <c r="AZ143" i="8" s="1"/>
  <c r="BA143" i="8" a="1"/>
  <c r="BA143" i="8" s="1"/>
  <c r="AU144" i="8" a="1"/>
  <c r="AU144" i="8" s="1"/>
  <c r="AV144" i="8" a="1"/>
  <c r="AV144" i="8" s="1"/>
  <c r="AW144" i="8" a="1"/>
  <c r="AW144" i="8" s="1"/>
  <c r="AX144" i="8" a="1"/>
  <c r="AX144" i="8" s="1"/>
  <c r="AY144" i="8" a="1"/>
  <c r="AY144" i="8" s="1"/>
  <c r="AZ144" i="8" a="1"/>
  <c r="AZ144" i="8" s="1"/>
  <c r="BA144" i="8" a="1"/>
  <c r="BA144" i="8" s="1"/>
  <c r="AU145" i="8" a="1"/>
  <c r="AU145" i="8" s="1"/>
  <c r="AV145" i="8" a="1"/>
  <c r="AV145" i="8" s="1"/>
  <c r="AW145" i="8" a="1"/>
  <c r="AW145" i="8" s="1"/>
  <c r="AX145" i="8" a="1"/>
  <c r="AX145" i="8" s="1"/>
  <c r="AY145" i="8" a="1"/>
  <c r="AY145" i="8" s="1"/>
  <c r="AZ145" i="8" a="1"/>
  <c r="AZ145" i="8" s="1"/>
  <c r="BA145" i="8" a="1"/>
  <c r="BA145" i="8" s="1"/>
  <c r="AU146" i="8" a="1"/>
  <c r="AU146" i="8" s="1"/>
  <c r="AV146" i="8" a="1"/>
  <c r="AV146" i="8" s="1"/>
  <c r="AW146" i="8" a="1"/>
  <c r="AW146" i="8" s="1"/>
  <c r="AX146" i="8" a="1"/>
  <c r="AX146" i="8" s="1"/>
  <c r="AY146" i="8" a="1"/>
  <c r="AY146" i="8" s="1"/>
  <c r="AZ146" i="8" a="1"/>
  <c r="AZ146" i="8" s="1"/>
  <c r="BA146" i="8" a="1"/>
  <c r="BA146" i="8" s="1"/>
  <c r="AU147" i="8" a="1"/>
  <c r="AU147" i="8" s="1"/>
  <c r="AV147" i="8" a="1"/>
  <c r="AV147" i="8" s="1"/>
  <c r="AW147" i="8" a="1"/>
  <c r="AW147" i="8" s="1"/>
  <c r="AX147" i="8" a="1"/>
  <c r="AX147" i="8" s="1"/>
  <c r="AY147" i="8" a="1"/>
  <c r="AY147" i="8" s="1"/>
  <c r="AZ147" i="8" a="1"/>
  <c r="AZ147" i="8" s="1"/>
  <c r="BA147" i="8" a="1"/>
  <c r="BA147" i="8" s="1"/>
  <c r="AU148" i="8" a="1"/>
  <c r="AU148" i="8" s="1"/>
  <c r="AV148" i="8" a="1"/>
  <c r="AV148" i="8" s="1"/>
  <c r="AW148" i="8" a="1"/>
  <c r="AW148" i="8" s="1"/>
  <c r="AX148" i="8" a="1"/>
  <c r="AX148" i="8" s="1"/>
  <c r="AY148" i="8" a="1"/>
  <c r="AY148" i="8" s="1"/>
  <c r="AZ148" i="8" a="1"/>
  <c r="AZ148" i="8" s="1"/>
  <c r="BA148" i="8" a="1"/>
  <c r="BA148" i="8" s="1"/>
  <c r="AU149" i="8" a="1"/>
  <c r="AU149" i="8" s="1"/>
  <c r="AV149" i="8" a="1"/>
  <c r="AV149" i="8" s="1"/>
  <c r="AW149" i="8" a="1"/>
  <c r="AW149" i="8" s="1"/>
  <c r="AX149" i="8" a="1"/>
  <c r="AX149" i="8" s="1"/>
  <c r="AY149" i="8" a="1"/>
  <c r="AY149" i="8" s="1"/>
  <c r="AZ149" i="8" a="1"/>
  <c r="AZ149" i="8" s="1"/>
  <c r="BA149" i="8" a="1"/>
  <c r="BA149" i="8" s="1"/>
  <c r="AU150" i="8" a="1"/>
  <c r="AU150" i="8" s="1"/>
  <c r="AV150" i="8" a="1"/>
  <c r="AV150" i="8" s="1"/>
  <c r="AW150" i="8" a="1"/>
  <c r="AW150" i="8" s="1"/>
  <c r="AX150" i="8" a="1"/>
  <c r="AX150" i="8" s="1"/>
  <c r="AY150" i="8" a="1"/>
  <c r="AY150" i="8" s="1"/>
  <c r="AZ150" i="8" a="1"/>
  <c r="AZ150" i="8" s="1"/>
  <c r="BA150" i="8" a="1"/>
  <c r="BA150" i="8" s="1"/>
  <c r="AU151" i="8" a="1"/>
  <c r="AU151" i="8" s="1"/>
  <c r="AV151" i="8" a="1"/>
  <c r="AV151" i="8" s="1"/>
  <c r="AW151" i="8" a="1"/>
  <c r="AW151" i="8" s="1"/>
  <c r="AX151" i="8" a="1"/>
  <c r="AX151" i="8" s="1"/>
  <c r="AY151" i="8" a="1"/>
  <c r="AY151" i="8" s="1"/>
  <c r="AZ151" i="8" a="1"/>
  <c r="AZ151" i="8" s="1"/>
  <c r="BA151" i="8" a="1"/>
  <c r="BA151" i="8" s="1"/>
  <c r="AU152" i="8" a="1"/>
  <c r="AU152" i="8" s="1"/>
  <c r="AV152" i="8" a="1"/>
  <c r="AV152" i="8" s="1"/>
  <c r="AW152" i="8" a="1"/>
  <c r="AW152" i="8" s="1"/>
  <c r="AX152" i="8" a="1"/>
  <c r="AX152" i="8" s="1"/>
  <c r="AY152" i="8" a="1"/>
  <c r="AY152" i="8" s="1"/>
  <c r="AZ152" i="8" a="1"/>
  <c r="AZ152" i="8" s="1"/>
  <c r="BA152" i="8" a="1"/>
  <c r="BA152" i="8" s="1"/>
  <c r="AU153" i="8" a="1"/>
  <c r="AU153" i="8" s="1"/>
  <c r="AV153" i="8" a="1"/>
  <c r="AV153" i="8" s="1"/>
  <c r="AW153" i="8" a="1"/>
  <c r="AW153" i="8" s="1"/>
  <c r="AX153" i="8" a="1"/>
  <c r="AX153" i="8" s="1"/>
  <c r="AY153" i="8" a="1"/>
  <c r="AY153" i="8" s="1"/>
  <c r="AZ153" i="8" a="1"/>
  <c r="AZ153" i="8" s="1"/>
  <c r="BA153" i="8" a="1"/>
  <c r="BA153" i="8" s="1"/>
  <c r="AU154" i="8" a="1"/>
  <c r="AU154" i="8" s="1"/>
  <c r="AV154" i="8" a="1"/>
  <c r="AV154" i="8" s="1"/>
  <c r="AW154" i="8" a="1"/>
  <c r="AW154" i="8" s="1"/>
  <c r="AX154" i="8" a="1"/>
  <c r="AX154" i="8" s="1"/>
  <c r="AY154" i="8" a="1"/>
  <c r="AY154" i="8" s="1"/>
  <c r="AZ154" i="8" a="1"/>
  <c r="AZ154" i="8" s="1"/>
  <c r="BA154" i="8" a="1"/>
  <c r="BA154" i="8" s="1"/>
  <c r="AU155" i="8" a="1"/>
  <c r="AU155" i="8" s="1"/>
  <c r="AV155" i="8" a="1"/>
  <c r="AV155" i="8" s="1"/>
  <c r="AW155" i="8" a="1"/>
  <c r="AW155" i="8" s="1"/>
  <c r="AX155" i="8" a="1"/>
  <c r="AX155" i="8" s="1"/>
  <c r="AY155" i="8" a="1"/>
  <c r="AY155" i="8" s="1"/>
  <c r="AZ155" i="8" a="1"/>
  <c r="AZ155" i="8" s="1"/>
  <c r="BA155" i="8" a="1"/>
  <c r="BA155" i="8" s="1"/>
  <c r="AU156" i="8" a="1"/>
  <c r="AU156" i="8" s="1"/>
  <c r="AV156" i="8" a="1"/>
  <c r="AV156" i="8" s="1"/>
  <c r="AW156" i="8" a="1"/>
  <c r="AW156" i="8" s="1"/>
  <c r="AX156" i="8" a="1"/>
  <c r="AX156" i="8" s="1"/>
  <c r="AY156" i="8" a="1"/>
  <c r="AY156" i="8" s="1"/>
  <c r="AZ156" i="8" a="1"/>
  <c r="AZ156" i="8" s="1"/>
  <c r="BA156" i="8" a="1"/>
  <c r="BA156" i="8" s="1"/>
  <c r="AU157" i="8" a="1"/>
  <c r="AU157" i="8" s="1"/>
  <c r="AV157" i="8" a="1"/>
  <c r="AV157" i="8" s="1"/>
  <c r="AW157" i="8" a="1"/>
  <c r="AW157" i="8" s="1"/>
  <c r="AX157" i="8" a="1"/>
  <c r="AX157" i="8" s="1"/>
  <c r="AY157" i="8" a="1"/>
  <c r="AY157" i="8" s="1"/>
  <c r="AZ157" i="8" a="1"/>
  <c r="AZ157" i="8" s="1"/>
  <c r="BA157" i="8" a="1"/>
  <c r="BA157" i="8" s="1"/>
  <c r="AU158" i="8" a="1"/>
  <c r="AU158" i="8" s="1"/>
  <c r="AV158" i="8" a="1"/>
  <c r="AV158" i="8" s="1"/>
  <c r="AW158" i="8" a="1"/>
  <c r="AW158" i="8" s="1"/>
  <c r="AX158" i="8" a="1"/>
  <c r="AX158" i="8" s="1"/>
  <c r="AY158" i="8" a="1"/>
  <c r="AY158" i="8" s="1"/>
  <c r="AZ158" i="8" a="1"/>
  <c r="AZ158" i="8" s="1"/>
  <c r="BA158" i="8" a="1"/>
  <c r="BA158" i="8" s="1"/>
  <c r="AU159" i="8" a="1"/>
  <c r="AU159" i="8" s="1"/>
  <c r="AV159" i="8" a="1"/>
  <c r="AV159" i="8" s="1"/>
  <c r="AW159" i="8" a="1"/>
  <c r="AW159" i="8" s="1"/>
  <c r="AX159" i="8" a="1"/>
  <c r="AX159" i="8" s="1"/>
  <c r="AY159" i="8" a="1"/>
  <c r="AY159" i="8" s="1"/>
  <c r="AZ159" i="8" a="1"/>
  <c r="AZ159" i="8" s="1"/>
  <c r="BA159" i="8" a="1"/>
  <c r="BA159" i="8" s="1"/>
  <c r="AU160" i="8" a="1"/>
  <c r="AU160" i="8" s="1"/>
  <c r="AV160" i="8" a="1"/>
  <c r="AV160" i="8" s="1"/>
  <c r="AW160" i="8" a="1"/>
  <c r="AW160" i="8" s="1"/>
  <c r="AX160" i="8" a="1"/>
  <c r="AX160" i="8" s="1"/>
  <c r="AY160" i="8" a="1"/>
  <c r="AY160" i="8" s="1"/>
  <c r="AZ160" i="8" a="1"/>
  <c r="AZ160" i="8" s="1"/>
  <c r="BA160" i="8" a="1"/>
  <c r="BA160" i="8" s="1"/>
  <c r="AU161" i="8" a="1"/>
  <c r="AU161" i="8" s="1"/>
  <c r="AV161" i="8" a="1"/>
  <c r="AV161" i="8" s="1"/>
  <c r="AW161" i="8" a="1"/>
  <c r="AW161" i="8" s="1"/>
  <c r="AX161" i="8" a="1"/>
  <c r="AX161" i="8" s="1"/>
  <c r="AY161" i="8" a="1"/>
  <c r="AY161" i="8" s="1"/>
  <c r="AZ161" i="8" a="1"/>
  <c r="AZ161" i="8" s="1"/>
  <c r="BA161" i="8" a="1"/>
  <c r="BA161" i="8" s="1"/>
  <c r="AU162" i="8" a="1"/>
  <c r="AU162" i="8" s="1"/>
  <c r="AV162" i="8" a="1"/>
  <c r="AV162" i="8" s="1"/>
  <c r="AW162" i="8" a="1"/>
  <c r="AW162" i="8" s="1"/>
  <c r="AX162" i="8" a="1"/>
  <c r="AX162" i="8" s="1"/>
  <c r="AY162" i="8" a="1"/>
  <c r="AY162" i="8" s="1"/>
  <c r="AZ162" i="8" a="1"/>
  <c r="AZ162" i="8" s="1"/>
  <c r="BA162" i="8" a="1"/>
  <c r="BA162" i="8" s="1"/>
  <c r="AU163" i="8" a="1"/>
  <c r="AU163" i="8" s="1"/>
  <c r="AV163" i="8" a="1"/>
  <c r="AV163" i="8" s="1"/>
  <c r="AW163" i="8" a="1"/>
  <c r="AW163" i="8" s="1"/>
  <c r="AX163" i="8" a="1"/>
  <c r="AX163" i="8" s="1"/>
  <c r="AY163" i="8" a="1"/>
  <c r="AY163" i="8" s="1"/>
  <c r="AZ163" i="8" a="1"/>
  <c r="AZ163" i="8" s="1"/>
  <c r="BA163" i="8" a="1"/>
  <c r="BA163" i="8" s="1"/>
  <c r="AU164" i="8" a="1"/>
  <c r="AU164" i="8" s="1"/>
  <c r="AV164" i="8" a="1"/>
  <c r="AV164" i="8" s="1"/>
  <c r="AW164" i="8" a="1"/>
  <c r="AW164" i="8" s="1"/>
  <c r="AX164" i="8" a="1"/>
  <c r="AX164" i="8" s="1"/>
  <c r="AY164" i="8" a="1"/>
  <c r="AY164" i="8" s="1"/>
  <c r="AZ164" i="8" a="1"/>
  <c r="AZ164" i="8" s="1"/>
  <c r="BA164" i="8" a="1"/>
  <c r="BA164" i="8" s="1"/>
  <c r="AU165" i="8" a="1"/>
  <c r="AU165" i="8" s="1"/>
  <c r="AV165" i="8" a="1"/>
  <c r="AV165" i="8" s="1"/>
  <c r="AW165" i="8" a="1"/>
  <c r="AW165" i="8" s="1"/>
  <c r="AX165" i="8" a="1"/>
  <c r="AX165" i="8" s="1"/>
  <c r="AY165" i="8" a="1"/>
  <c r="AY165" i="8" s="1"/>
  <c r="AZ165" i="8" a="1"/>
  <c r="AZ165" i="8" s="1"/>
  <c r="BA165" i="8" a="1"/>
  <c r="BA165" i="8" s="1"/>
  <c r="AU166" i="8" a="1"/>
  <c r="AU166" i="8" s="1"/>
  <c r="AV166" i="8" a="1"/>
  <c r="AV166" i="8" s="1"/>
  <c r="AW166" i="8" a="1"/>
  <c r="AW166" i="8" s="1"/>
  <c r="AX166" i="8" a="1"/>
  <c r="AX166" i="8" s="1"/>
  <c r="AY166" i="8" a="1"/>
  <c r="AY166" i="8" s="1"/>
  <c r="AZ166" i="8" a="1"/>
  <c r="AZ166" i="8" s="1"/>
  <c r="BA166" i="8" a="1"/>
  <c r="BA166" i="8" s="1"/>
  <c r="AV2" i="8" a="1"/>
  <c r="AV2" i="8" s="1"/>
  <c r="AW2" i="8" a="1"/>
  <c r="AW2" i="8" s="1"/>
  <c r="AX2" i="8" a="1"/>
  <c r="AX2" i="8" s="1"/>
  <c r="AY2" i="8" a="1"/>
  <c r="AY2" i="8" s="1"/>
  <c r="AZ2" i="8" a="1"/>
  <c r="AZ2" i="8" s="1"/>
  <c r="BA2" i="8" a="1"/>
  <c r="BA2" i="8" s="1"/>
  <c r="AU2" i="8" a="1"/>
  <c r="AU2" i="8" s="1"/>
  <c r="Z3" i="1" a="1"/>
  <c r="Z3" i="1"/>
  <c r="Z4" i="1" a="1"/>
  <c r="Z4" i="1"/>
  <c r="Z5" i="1" a="1"/>
  <c r="Z5" i="1" s="1"/>
  <c r="Z6" i="1" a="1"/>
  <c r="Z6" i="1" s="1"/>
  <c r="Z7" i="1" a="1"/>
  <c r="Z7" i="1"/>
  <c r="Z8" i="1" a="1"/>
  <c r="Z8" i="1" s="1"/>
  <c r="Z9" i="1" a="1"/>
  <c r="Z9" i="1"/>
  <c r="Z10" i="1" a="1"/>
  <c r="Z10" i="1"/>
  <c r="Z11" i="1" a="1"/>
  <c r="Z11" i="1" s="1"/>
  <c r="Z12" i="1" a="1"/>
  <c r="Z12" i="1" s="1"/>
  <c r="Z13" i="1" a="1"/>
  <c r="Z13" i="1" s="1"/>
  <c r="Z14" i="1" a="1"/>
  <c r="Z14" i="1" s="1"/>
  <c r="Z15" i="1" a="1"/>
  <c r="Z15" i="1"/>
  <c r="Z16" i="1" a="1"/>
  <c r="Z16" i="1" s="1"/>
  <c r="Z17" i="1" a="1"/>
  <c r="Z17" i="1"/>
  <c r="Z18" i="1" a="1"/>
  <c r="Z18" i="1" s="1"/>
  <c r="Z19" i="1" a="1"/>
  <c r="Z19" i="1"/>
  <c r="Z20" i="1" a="1"/>
  <c r="Z20" i="1" s="1"/>
  <c r="Z21" i="1" a="1"/>
  <c r="Z21" i="1"/>
  <c r="Z22" i="1" a="1"/>
  <c r="Z22" i="1" s="1"/>
  <c r="Z23" i="1" a="1"/>
  <c r="Z23" i="1" s="1"/>
  <c r="Z24" i="1" a="1"/>
  <c r="Z24" i="1" s="1"/>
  <c r="Z25" i="1" a="1"/>
  <c r="Z25" i="1"/>
  <c r="Z26" i="1" a="1"/>
  <c r="Z26" i="1" s="1"/>
  <c r="Z27" i="1" a="1"/>
  <c r="Z27" i="1"/>
  <c r="Z28" i="1" a="1"/>
  <c r="Z28" i="1" s="1"/>
  <c r="Z29" i="1" a="1"/>
  <c r="Z29" i="1" s="1"/>
  <c r="Z30" i="1" a="1"/>
  <c r="Z30" i="1" s="1"/>
  <c r="Z31" i="1" a="1"/>
  <c r="Z31" i="1" s="1"/>
  <c r="Z32" i="1" a="1"/>
  <c r="Z32" i="1" s="1"/>
  <c r="Z33" i="1" a="1"/>
  <c r="Z33" i="1"/>
  <c r="Z34" i="1" a="1"/>
  <c r="Z34" i="1" s="1"/>
  <c r="Z35" i="1" a="1"/>
  <c r="Z35" i="1" s="1"/>
  <c r="Z36" i="1" a="1"/>
  <c r="Z36" i="1" s="1"/>
  <c r="Z37" i="1" a="1"/>
  <c r="Z37" i="1" s="1"/>
  <c r="Z38" i="1" a="1"/>
  <c r="Z38" i="1" s="1"/>
  <c r="Z39" i="1" a="1"/>
  <c r="Z39" i="1"/>
  <c r="Z40" i="1" a="1"/>
  <c r="Z40" i="1"/>
  <c r="Z41" i="1" a="1"/>
  <c r="Z41" i="1" s="1"/>
  <c r="Z42" i="1" a="1"/>
  <c r="Z42" i="1" s="1"/>
  <c r="Z43" i="1" a="1"/>
  <c r="Z43" i="1"/>
  <c r="Z44" i="1" a="1"/>
  <c r="Z44" i="1" s="1"/>
  <c r="Z45" i="1" a="1"/>
  <c r="Z45" i="1" s="1"/>
  <c r="Z46" i="1" a="1"/>
  <c r="Z46" i="1"/>
  <c r="Z47" i="1" a="1"/>
  <c r="Z47" i="1"/>
  <c r="Z48" i="1" a="1"/>
  <c r="Z48" i="1" s="1"/>
  <c r="Z49" i="1" a="1"/>
  <c r="Z49" i="1" s="1"/>
  <c r="Z50" i="1" a="1"/>
  <c r="Z50" i="1" s="1"/>
  <c r="Z51" i="1" a="1"/>
  <c r="Z51" i="1"/>
  <c r="Z52" i="1" a="1"/>
  <c r="Z52" i="1" s="1"/>
  <c r="Z53" i="1" a="1"/>
  <c r="Z53" i="1"/>
  <c r="Z54" i="1" a="1"/>
  <c r="Z54" i="1" s="1"/>
  <c r="Z55" i="1" a="1"/>
  <c r="Z55" i="1"/>
  <c r="Z56" i="1" a="1"/>
  <c r="Z56" i="1" s="1"/>
  <c r="Z57" i="1" a="1"/>
  <c r="Z57" i="1" s="1"/>
  <c r="Z58" i="1" a="1"/>
  <c r="Z58" i="1" s="1"/>
  <c r="Z59" i="1" a="1"/>
  <c r="Z59" i="1" s="1"/>
  <c r="Z60" i="1" a="1"/>
  <c r="Z60" i="1" s="1"/>
  <c r="Z61" i="1" a="1"/>
  <c r="Z61" i="1"/>
  <c r="Z62" i="1" a="1"/>
  <c r="Z62" i="1" s="1"/>
  <c r="Z63" i="1" a="1"/>
  <c r="Z63" i="1" s="1"/>
  <c r="Z64" i="1" a="1"/>
  <c r="Z64" i="1" s="1"/>
  <c r="Z65" i="1" a="1"/>
  <c r="Z65" i="1" s="1"/>
  <c r="Z66" i="1" a="1"/>
  <c r="Z66" i="1" s="1"/>
  <c r="Z67" i="1" a="1"/>
  <c r="Z67" i="1" s="1"/>
  <c r="Z68" i="1" a="1"/>
  <c r="Z68" i="1" s="1"/>
  <c r="Z69" i="1" a="1"/>
  <c r="Z69" i="1"/>
  <c r="Z70" i="1" a="1"/>
  <c r="Z70" i="1" s="1"/>
  <c r="Z71" i="1" a="1"/>
  <c r="Z71" i="1" s="1"/>
  <c r="Z72" i="1" a="1"/>
  <c r="Z72" i="1" s="1"/>
  <c r="Z73" i="1" a="1"/>
  <c r="Z73" i="1" s="1"/>
  <c r="Z74" i="1" a="1"/>
  <c r="Z74" i="1" s="1"/>
  <c r="Z75" i="1" a="1"/>
  <c r="Z75" i="1"/>
  <c r="Z76" i="1" a="1"/>
  <c r="Z76" i="1" s="1"/>
  <c r="Z77" i="1" a="1"/>
  <c r="Z77" i="1" s="1"/>
  <c r="Z78" i="1" a="1"/>
  <c r="Z78" i="1" s="1"/>
  <c r="Z79" i="1" a="1"/>
  <c r="Z79" i="1"/>
  <c r="Z80" i="1" a="1"/>
  <c r="Z80" i="1" s="1"/>
  <c r="Z81" i="1" a="1"/>
  <c r="Z81" i="1" s="1"/>
  <c r="Z82" i="1" a="1"/>
  <c r="Z82" i="1"/>
  <c r="Z83" i="1" a="1"/>
  <c r="Z83" i="1" s="1"/>
  <c r="Z84" i="1" a="1"/>
  <c r="Z84" i="1" s="1"/>
  <c r="Z85" i="1" a="1"/>
  <c r="Z85" i="1" s="1"/>
  <c r="Z86" i="1" a="1"/>
  <c r="Z86" i="1" s="1"/>
  <c r="Z87" i="1" a="1"/>
  <c r="Z87" i="1" s="1"/>
  <c r="Z88" i="1" a="1"/>
  <c r="Z88" i="1" s="1"/>
  <c r="Z89" i="1" a="1"/>
  <c r="Z89" i="1"/>
  <c r="Z90" i="1" a="1"/>
  <c r="Z90" i="1" s="1"/>
  <c r="Z91" i="1" a="1"/>
  <c r="Z91" i="1"/>
  <c r="Z92" i="1" a="1"/>
  <c r="Z92" i="1" s="1"/>
  <c r="Z93" i="1" a="1"/>
  <c r="Z93" i="1" s="1"/>
  <c r="Z94" i="1" a="1"/>
  <c r="Z94" i="1" s="1"/>
  <c r="Z95" i="1" a="1"/>
  <c r="Z95" i="1" s="1"/>
  <c r="Z96" i="1" a="1"/>
  <c r="Z96" i="1" s="1"/>
  <c r="Z97" i="1" a="1"/>
  <c r="Z97" i="1"/>
  <c r="Z98" i="1" a="1"/>
  <c r="Z98" i="1" s="1"/>
  <c r="Z99" i="1" a="1"/>
  <c r="Z99" i="1" s="1"/>
  <c r="Z100" i="1" a="1"/>
  <c r="Z100" i="1" s="1"/>
  <c r="Z101" i="1" a="1"/>
  <c r="Z101" i="1" s="1"/>
  <c r="Z102" i="1" a="1"/>
  <c r="Z102" i="1" s="1"/>
  <c r="Z103" i="1" a="1"/>
  <c r="Z103" i="1"/>
  <c r="Z104" i="1" a="1"/>
  <c r="Z104" i="1" s="1"/>
  <c r="Z105" i="1" a="1"/>
  <c r="Z105" i="1" s="1"/>
  <c r="Z106" i="1" a="1"/>
  <c r="Z106" i="1" s="1"/>
  <c r="Z107" i="1" a="1"/>
  <c r="Z107" i="1" s="1"/>
  <c r="Z108" i="1" a="1"/>
  <c r="Z108" i="1" s="1"/>
  <c r="Z109" i="1" a="1"/>
  <c r="Z109" i="1" s="1"/>
  <c r="Z110" i="1" a="1"/>
  <c r="Z110" i="1" s="1"/>
  <c r="Z111" i="1" a="1"/>
  <c r="Z111" i="1"/>
  <c r="Z112" i="1" a="1"/>
  <c r="Z112" i="1" s="1"/>
  <c r="Z113" i="1" a="1"/>
  <c r="Z113" i="1" s="1"/>
  <c r="Z114" i="1" a="1"/>
  <c r="Z114" i="1" s="1"/>
  <c r="Z115" i="1" a="1"/>
  <c r="Z115" i="1"/>
  <c r="Z116" i="1" a="1"/>
  <c r="Z116" i="1" s="1"/>
  <c r="Z117" i="1" a="1"/>
  <c r="Z117" i="1" s="1"/>
  <c r="Z118" i="1" a="1"/>
  <c r="Z118" i="1"/>
  <c r="Z119" i="1" a="1"/>
  <c r="Z119" i="1" s="1"/>
  <c r="Z120" i="1" a="1"/>
  <c r="Z120" i="1" s="1"/>
  <c r="Z121" i="1" a="1"/>
  <c r="Z121" i="1" s="1"/>
  <c r="Z122" i="1" a="1"/>
  <c r="Z122" i="1" s="1"/>
  <c r="Z123" i="1" a="1"/>
  <c r="Z123" i="1" s="1"/>
  <c r="Z124" i="1" a="1"/>
  <c r="Z124" i="1" s="1"/>
  <c r="Z125" i="1" a="1"/>
  <c r="Z125" i="1"/>
  <c r="Z126" i="1" a="1"/>
  <c r="Z126" i="1" s="1"/>
  <c r="Z127" i="1" a="1"/>
  <c r="Z127" i="1"/>
  <c r="Z128" i="1" a="1"/>
  <c r="Z128" i="1" s="1"/>
  <c r="Z129" i="1" a="1"/>
  <c r="Z129" i="1" s="1"/>
  <c r="Z130" i="1" a="1"/>
  <c r="Z130" i="1" s="1"/>
  <c r="Z131" i="1" a="1"/>
  <c r="Z131" i="1" s="1"/>
  <c r="Z132" i="1" a="1"/>
  <c r="Z132" i="1" s="1"/>
  <c r="Z133" i="1" a="1"/>
  <c r="Z133" i="1"/>
  <c r="Z134" i="1" a="1"/>
  <c r="Z134" i="1" s="1"/>
  <c r="Z135" i="1" a="1"/>
  <c r="Z135" i="1" s="1"/>
  <c r="Z136" i="1" a="1"/>
  <c r="Z136" i="1" s="1"/>
  <c r="Z137" i="1" a="1"/>
  <c r="Z137" i="1" s="1"/>
  <c r="Z138" i="1" a="1"/>
  <c r="Z138" i="1" s="1"/>
  <c r="Z139" i="1" a="1"/>
  <c r="Z139" i="1"/>
  <c r="Z140" i="1" a="1"/>
  <c r="Z140" i="1" s="1"/>
  <c r="Z141" i="1" a="1"/>
  <c r="Z141" i="1" s="1"/>
  <c r="Z142" i="1" a="1"/>
  <c r="Z142" i="1" s="1"/>
  <c r="Z143" i="1" a="1"/>
  <c r="Z143" i="1" s="1"/>
  <c r="Z144" i="1" a="1"/>
  <c r="Z144" i="1" s="1"/>
  <c r="Z145" i="1" a="1"/>
  <c r="Z145" i="1" s="1"/>
  <c r="Z146" i="1" a="1"/>
  <c r="Z146" i="1" s="1"/>
  <c r="Z147" i="1" a="1"/>
  <c r="Z147" i="1"/>
  <c r="Z148" i="1" a="1"/>
  <c r="Z148" i="1" s="1"/>
  <c r="Z149" i="1" a="1"/>
  <c r="Z149" i="1" s="1"/>
  <c r="Z150" i="1" a="1"/>
  <c r="Z150" i="1" s="1"/>
  <c r="Z151" i="1" a="1"/>
  <c r="Z151" i="1"/>
  <c r="Z152" i="1" a="1"/>
  <c r="Z152" i="1" s="1"/>
  <c r="Z153" i="1" a="1"/>
  <c r="Z153" i="1" s="1"/>
  <c r="Z154" i="1" a="1"/>
  <c r="Z154" i="1"/>
  <c r="Z155" i="1" a="1"/>
  <c r="Z155" i="1" s="1"/>
  <c r="Z156" i="1" a="1"/>
  <c r="Z156" i="1" s="1"/>
  <c r="Z157" i="1" a="1"/>
  <c r="Z157" i="1" s="1"/>
  <c r="Z158" i="1" a="1"/>
  <c r="Z158" i="1" s="1"/>
  <c r="Z159" i="1" a="1"/>
  <c r="Z159" i="1" s="1"/>
  <c r="Z160" i="1" a="1"/>
  <c r="Z160" i="1" s="1"/>
  <c r="Z161" i="1" a="1"/>
  <c r="Z161" i="1"/>
  <c r="Z162" i="1" a="1"/>
  <c r="Z162" i="1" s="1"/>
  <c r="Z163" i="1" a="1"/>
  <c r="Z163" i="1"/>
  <c r="Z164" i="1" a="1"/>
  <c r="Z164" i="1" s="1"/>
  <c r="Z165" i="1" a="1"/>
  <c r="Z165" i="1" s="1"/>
  <c r="Z166" i="1" a="1"/>
  <c r="Z166" i="1" s="1"/>
  <c r="Z167" i="1" a="1"/>
  <c r="Z167" i="1" s="1"/>
  <c r="Z168" i="1" a="1"/>
  <c r="Z168" i="1" s="1"/>
  <c r="Z169" i="1" a="1"/>
  <c r="Z169" i="1"/>
  <c r="Z170" i="1" a="1"/>
  <c r="Z170" i="1" s="1"/>
  <c r="Z171" i="1" a="1"/>
  <c r="Z171" i="1" s="1"/>
  <c r="Z172" i="1" a="1"/>
  <c r="Z172" i="1" s="1"/>
  <c r="Z173" i="1" a="1"/>
  <c r="Z173" i="1" s="1"/>
  <c r="Z174" i="1" a="1"/>
  <c r="Z174" i="1" s="1"/>
  <c r="Z175" i="1" a="1"/>
  <c r="Z175" i="1"/>
  <c r="Z176" i="1" a="1"/>
  <c r="Z176" i="1" s="1"/>
  <c r="Z177" i="1" a="1"/>
  <c r="Z177" i="1" s="1"/>
  <c r="Z178" i="1" a="1"/>
  <c r="Z178" i="1" s="1"/>
  <c r="Z179" i="1" a="1"/>
  <c r="Z179" i="1" s="1"/>
  <c r="Z180" i="1" a="1"/>
  <c r="Z180" i="1" s="1"/>
  <c r="Z181" i="1" a="1"/>
  <c r="Z181" i="1" s="1"/>
  <c r="Z182" i="1" a="1"/>
  <c r="Z182" i="1" s="1"/>
  <c r="Z183" i="1" a="1"/>
  <c r="Z183" i="1"/>
  <c r="Z184" i="1" a="1"/>
  <c r="Z184" i="1" s="1"/>
  <c r="Z185" i="1" a="1"/>
  <c r="Z185" i="1" s="1"/>
  <c r="Z186" i="1" a="1"/>
  <c r="Z186" i="1" s="1"/>
  <c r="Z187" i="1" a="1"/>
  <c r="Z187" i="1"/>
  <c r="Z188" i="1" a="1"/>
  <c r="Z188" i="1" s="1"/>
  <c r="Z189" i="1" a="1"/>
  <c r="Z189" i="1" s="1"/>
  <c r="Z190" i="1" a="1"/>
  <c r="Z190" i="1"/>
  <c r="Z191" i="1" a="1"/>
  <c r="Z191" i="1" s="1"/>
  <c r="Z192" i="1" a="1"/>
  <c r="Z192" i="1" s="1"/>
  <c r="Z193" i="1" a="1"/>
  <c r="Z193" i="1" s="1"/>
  <c r="Z194" i="1" a="1"/>
  <c r="Z194" i="1" s="1"/>
  <c r="Z195" i="1" a="1"/>
  <c r="Z195" i="1" s="1"/>
  <c r="Z196" i="1" a="1"/>
  <c r="Z196" i="1" s="1"/>
  <c r="Z197" i="1" a="1"/>
  <c r="Z197" i="1"/>
  <c r="Z198" i="1" a="1"/>
  <c r="Z198" i="1" s="1"/>
  <c r="Z199" i="1" a="1"/>
  <c r="Z199" i="1"/>
  <c r="Z200" i="1" a="1"/>
  <c r="Z200" i="1" s="1"/>
  <c r="Z201" i="1" a="1"/>
  <c r="Z201" i="1" s="1"/>
  <c r="Z202" i="1" a="1"/>
  <c r="Z202" i="1" s="1"/>
  <c r="Z203" i="1" a="1"/>
  <c r="Z203" i="1" s="1"/>
  <c r="Z204" i="1" a="1"/>
  <c r="Z204" i="1" s="1"/>
  <c r="Z205" i="1" a="1"/>
  <c r="Z205" i="1"/>
  <c r="Z206" i="1" a="1"/>
  <c r="Z206" i="1" s="1"/>
  <c r="Z207" i="1" a="1"/>
  <c r="Z207" i="1" s="1"/>
  <c r="Z208" i="1" a="1"/>
  <c r="Z208" i="1" s="1"/>
  <c r="Z209" i="1" a="1"/>
  <c r="Z209" i="1" s="1"/>
  <c r="Z210" i="1" a="1"/>
  <c r="Z210" i="1" s="1"/>
  <c r="Z211" i="1" a="1"/>
  <c r="Z211" i="1"/>
  <c r="Z212" i="1" a="1"/>
  <c r="Z212" i="1" s="1"/>
  <c r="Z213" i="1" a="1"/>
  <c r="Z213" i="1" s="1"/>
  <c r="Z214" i="1" a="1"/>
  <c r="Z214" i="1" s="1"/>
  <c r="Z215" i="1" a="1"/>
  <c r="Z215" i="1" s="1"/>
  <c r="Z216" i="1" a="1"/>
  <c r="Z216" i="1" s="1"/>
  <c r="Z217" i="1" a="1"/>
  <c r="Z217" i="1" s="1"/>
  <c r="Z218" i="1" a="1"/>
  <c r="Z218" i="1" s="1"/>
  <c r="Z219" i="1" a="1"/>
  <c r="Z219" i="1"/>
  <c r="Z220" i="1" a="1"/>
  <c r="Z220" i="1" s="1"/>
  <c r="Z221" i="1" a="1"/>
  <c r="Z221" i="1" s="1"/>
  <c r="Z222" i="1" a="1"/>
  <c r="Z222" i="1" s="1"/>
  <c r="Z223" i="1" a="1"/>
  <c r="Z223" i="1"/>
  <c r="Z224" i="1" a="1"/>
  <c r="Z224" i="1" s="1"/>
  <c r="Z225" i="1" a="1"/>
  <c r="Z225" i="1" s="1"/>
  <c r="Z226" i="1" a="1"/>
  <c r="Z226" i="1" s="1"/>
  <c r="Z227" i="1" a="1"/>
  <c r="Z227" i="1" s="1"/>
  <c r="Z228" i="1" a="1"/>
  <c r="Z228" i="1" s="1"/>
  <c r="Z229" i="1" a="1"/>
  <c r="Z229" i="1"/>
  <c r="Z230" i="1" a="1"/>
  <c r="Z230" i="1" s="1"/>
  <c r="Z231" i="1" a="1"/>
  <c r="Z231" i="1" s="1"/>
  <c r="Z232" i="1" a="1"/>
  <c r="Z232" i="1" s="1"/>
  <c r="Z233" i="1" a="1"/>
  <c r="Z233" i="1" s="1"/>
  <c r="Z234" i="1" a="1"/>
  <c r="Z234" i="1" s="1"/>
  <c r="Z235" i="1" a="1"/>
  <c r="Z235" i="1"/>
  <c r="Z236" i="1" a="1"/>
  <c r="Z236" i="1" s="1"/>
  <c r="Z237" i="1" a="1"/>
  <c r="Z237" i="1" s="1"/>
  <c r="Z238" i="1" a="1"/>
  <c r="Z238" i="1" s="1"/>
  <c r="Z239" i="1" a="1"/>
  <c r="Z239" i="1" s="1"/>
  <c r="Z240" i="1" a="1"/>
  <c r="Z240" i="1" s="1"/>
  <c r="Z241" i="1" a="1"/>
  <c r="Z241" i="1"/>
  <c r="Z242" i="1" a="1"/>
  <c r="Z242" i="1" s="1"/>
  <c r="Z243" i="1" a="1"/>
  <c r="Z243" i="1" s="1"/>
  <c r="Z244" i="1" a="1"/>
  <c r="Z244" i="1" s="1"/>
  <c r="Z245" i="1" a="1"/>
  <c r="Z245" i="1" s="1"/>
  <c r="Z246" i="1" a="1"/>
  <c r="Z246" i="1" s="1"/>
  <c r="Z247" i="1" a="1"/>
  <c r="Z247" i="1"/>
  <c r="Z248" i="1" a="1"/>
  <c r="Z248" i="1" s="1"/>
  <c r="Z249" i="1" a="1"/>
  <c r="Z249" i="1" s="1"/>
  <c r="Z250" i="1" a="1"/>
  <c r="Z250" i="1" s="1"/>
  <c r="Z251" i="1" a="1"/>
  <c r="Z251" i="1" s="1"/>
  <c r="Z252" i="1" a="1"/>
  <c r="Z252" i="1" s="1"/>
  <c r="Z253" i="1" a="1"/>
  <c r="Z253" i="1"/>
  <c r="Z254" i="1" a="1"/>
  <c r="Z254" i="1" s="1"/>
  <c r="Z255" i="1" a="1"/>
  <c r="Z255" i="1" s="1"/>
  <c r="Z256" i="1" a="1"/>
  <c r="Z256" i="1" s="1"/>
  <c r="Z257" i="1" a="1"/>
  <c r="Z257" i="1" s="1"/>
  <c r="Z258" i="1" a="1"/>
  <c r="Z258" i="1" s="1"/>
  <c r="Z259" i="1" a="1"/>
  <c r="Z259" i="1"/>
  <c r="Z260" i="1" a="1"/>
  <c r="Z260" i="1" s="1"/>
  <c r="Z261" i="1" a="1"/>
  <c r="Z261" i="1" s="1"/>
  <c r="Z262" i="1" a="1"/>
  <c r="Z262" i="1" s="1"/>
  <c r="Z263" i="1" a="1"/>
  <c r="Z263" i="1" s="1"/>
  <c r="Z264" i="1" a="1"/>
  <c r="Z264" i="1" s="1"/>
  <c r="Z265" i="1" a="1"/>
  <c r="Z265" i="1"/>
  <c r="Z266" i="1" a="1"/>
  <c r="Z266" i="1" s="1"/>
  <c r="Z267" i="1" a="1"/>
  <c r="Z267" i="1" s="1"/>
  <c r="Z268" i="1" a="1"/>
  <c r="Z268" i="1" s="1"/>
  <c r="Z269" i="1" a="1"/>
  <c r="Z269" i="1" s="1"/>
  <c r="Z270" i="1" a="1"/>
  <c r="Z270" i="1" s="1"/>
  <c r="Z271" i="1" a="1"/>
  <c r="Z271" i="1"/>
  <c r="Z272" i="1" a="1"/>
  <c r="Z272" i="1" s="1"/>
  <c r="Z273" i="1" a="1"/>
  <c r="Z273" i="1" s="1"/>
  <c r="Z274" i="1" a="1"/>
  <c r="Z274" i="1" s="1"/>
  <c r="Z275" i="1" a="1"/>
  <c r="Z275" i="1" s="1"/>
  <c r="Z276" i="1" a="1"/>
  <c r="Z276" i="1" s="1"/>
  <c r="Z277" i="1" a="1"/>
  <c r="Z277" i="1"/>
  <c r="Z278" i="1" a="1"/>
  <c r="Z278" i="1" s="1"/>
  <c r="Z279" i="1" a="1"/>
  <c r="Z279" i="1" s="1"/>
  <c r="Z280" i="1" a="1"/>
  <c r="Z280" i="1" s="1"/>
  <c r="Z281" i="1" a="1"/>
  <c r="Z281" i="1" s="1"/>
  <c r="Z282" i="1" a="1"/>
  <c r="Z282" i="1" s="1"/>
  <c r="Z283" i="1" a="1"/>
  <c r="Z283" i="1"/>
  <c r="Z284" i="1" a="1"/>
  <c r="Z284" i="1" s="1"/>
  <c r="Z285" i="1" a="1"/>
  <c r="Z285" i="1" s="1"/>
  <c r="Z286" i="1" a="1"/>
  <c r="Z286" i="1" s="1"/>
  <c r="Z287" i="1" a="1"/>
  <c r="Z287" i="1" s="1"/>
  <c r="Z288" i="1" a="1"/>
  <c r="Z288" i="1" s="1"/>
  <c r="Z289" i="1" a="1"/>
  <c r="Z289" i="1"/>
  <c r="Z290" i="1" a="1"/>
  <c r="Z290" i="1" s="1"/>
  <c r="Z291" i="1" a="1"/>
  <c r="Z291" i="1" s="1"/>
  <c r="Z292" i="1" a="1"/>
  <c r="Z292" i="1" s="1"/>
  <c r="Z293" i="1" a="1"/>
  <c r="Z293" i="1" s="1"/>
  <c r="Z294" i="1" a="1"/>
  <c r="Z294" i="1" s="1"/>
  <c r="Z295" i="1" a="1"/>
  <c r="Z295" i="1"/>
  <c r="Z296" i="1" a="1"/>
  <c r="Z296" i="1" s="1"/>
  <c r="Z297" i="1" a="1"/>
  <c r="Z297" i="1" s="1"/>
  <c r="Z298" i="1" a="1"/>
  <c r="Z298" i="1" s="1"/>
  <c r="Z299" i="1" a="1"/>
  <c r="Z299" i="1" s="1"/>
  <c r="Z300" i="1" a="1"/>
  <c r="Z300" i="1" s="1"/>
  <c r="Z301" i="1" a="1"/>
  <c r="Z301" i="1"/>
  <c r="Z302" i="1" a="1"/>
  <c r="Z302" i="1" s="1"/>
  <c r="Z303" i="1" a="1"/>
  <c r="Z303" i="1" s="1"/>
  <c r="Z304" i="1" a="1"/>
  <c r="Z304" i="1" s="1"/>
  <c r="Z305" i="1" a="1"/>
  <c r="Z305" i="1" s="1"/>
  <c r="Z306" i="1" a="1"/>
  <c r="Z306" i="1" s="1"/>
  <c r="Z307" i="1" a="1"/>
  <c r="Z307" i="1"/>
  <c r="Z308" i="1" a="1"/>
  <c r="Z308" i="1" s="1"/>
  <c r="Z309" i="1" a="1"/>
  <c r="Z309" i="1" s="1"/>
  <c r="Z310" i="1" a="1"/>
  <c r="Z310" i="1" s="1"/>
  <c r="Z311" i="1" a="1"/>
  <c r="Z311" i="1" s="1"/>
  <c r="Z312" i="1" a="1"/>
  <c r="Z312" i="1" s="1"/>
  <c r="Z313" i="1" a="1"/>
  <c r="Z313" i="1"/>
  <c r="Z314" i="1" a="1"/>
  <c r="Z314" i="1" s="1"/>
  <c r="Z315" i="1" a="1"/>
  <c r="Z315" i="1"/>
  <c r="Z316" i="1" a="1"/>
  <c r="Z316" i="1" s="1"/>
  <c r="Z317" i="1" a="1"/>
  <c r="Z317" i="1" s="1"/>
  <c r="Z318" i="1" a="1"/>
  <c r="Z318" i="1" s="1"/>
  <c r="Z319" i="1" a="1"/>
  <c r="Z319" i="1"/>
  <c r="Z320" i="1" a="1"/>
  <c r="Z320" i="1" s="1"/>
  <c r="Z321" i="1" a="1"/>
  <c r="Z321" i="1"/>
  <c r="Z322" i="1" a="1"/>
  <c r="Z322" i="1" s="1"/>
  <c r="Z323" i="1" a="1"/>
  <c r="Z323" i="1" s="1"/>
  <c r="Z324" i="1" a="1"/>
  <c r="Z324" i="1" s="1"/>
  <c r="Z325" i="1" a="1"/>
  <c r="Z325" i="1"/>
  <c r="Z326" i="1" a="1"/>
  <c r="Z326" i="1" s="1"/>
  <c r="Z327" i="1" a="1"/>
  <c r="Z327" i="1" s="1"/>
  <c r="Z328" i="1" a="1"/>
  <c r="Z328" i="1" s="1"/>
  <c r="Z329" i="1" a="1"/>
  <c r="Z329" i="1"/>
  <c r="Z330" i="1" a="1"/>
  <c r="Z330" i="1" s="1"/>
  <c r="Z331" i="1" a="1"/>
  <c r="Z331" i="1"/>
  <c r="Z332" i="1" a="1"/>
  <c r="Z332" i="1" s="1"/>
  <c r="Z333" i="1" a="1"/>
  <c r="Z333" i="1" s="1"/>
  <c r="Z334" i="1" a="1"/>
  <c r="Z334" i="1" s="1"/>
  <c r="Z335" i="1" a="1"/>
  <c r="Z335" i="1" s="1"/>
  <c r="Z336" i="1" a="1"/>
  <c r="Z336" i="1" s="1"/>
  <c r="Z337" i="1" a="1"/>
  <c r="Z337" i="1" s="1"/>
  <c r="Z338" i="1" a="1"/>
  <c r="Z338" i="1" s="1"/>
  <c r="Z339" i="1" a="1"/>
  <c r="Z339" i="1" s="1"/>
  <c r="Z340" i="1" a="1"/>
  <c r="Z340" i="1" s="1"/>
  <c r="Z341" i="1" a="1"/>
  <c r="Z341" i="1" s="1"/>
  <c r="Z342" i="1" a="1"/>
  <c r="Z342" i="1" s="1"/>
  <c r="Z343" i="1" a="1"/>
  <c r="Z343" i="1"/>
  <c r="Z344" i="1" a="1"/>
  <c r="Z344" i="1" s="1"/>
  <c r="Z345" i="1" a="1"/>
  <c r="Z345" i="1" s="1"/>
  <c r="Z346" i="1" a="1"/>
  <c r="Z346" i="1" s="1"/>
  <c r="Z347" i="1" a="1"/>
  <c r="Z347" i="1" s="1"/>
  <c r="Z348" i="1" a="1"/>
  <c r="Z348" i="1" s="1"/>
  <c r="Z349" i="1" a="1"/>
  <c r="Z349" i="1"/>
  <c r="Z350" i="1" a="1"/>
  <c r="Z350" i="1" s="1"/>
  <c r="Z351" i="1" a="1"/>
  <c r="Z351" i="1"/>
  <c r="Z352" i="1" a="1"/>
  <c r="Z352" i="1" s="1"/>
  <c r="Z353" i="1" a="1"/>
  <c r="Z353" i="1"/>
  <c r="Z354" i="1" a="1"/>
  <c r="Z354" i="1" s="1"/>
  <c r="Z355" i="1" a="1"/>
  <c r="Z355" i="1"/>
  <c r="Z356" i="1" a="1"/>
  <c r="Z356" i="1" s="1"/>
  <c r="Z357" i="1" a="1"/>
  <c r="Z357" i="1" s="1"/>
  <c r="Z358" i="1" a="1"/>
  <c r="Z358" i="1" s="1"/>
  <c r="Z359" i="1" a="1"/>
  <c r="Z359" i="1" s="1"/>
  <c r="Z360" i="1" a="1"/>
  <c r="Z360" i="1" s="1"/>
  <c r="Z361" i="1" a="1"/>
  <c r="Z361" i="1"/>
  <c r="Z362" i="1" a="1"/>
  <c r="Z362" i="1" s="1"/>
  <c r="Z363" i="1" a="1"/>
  <c r="Z363" i="1" s="1"/>
  <c r="Z364" i="1" a="1"/>
  <c r="Z364" i="1"/>
  <c r="Z365" i="1" a="1"/>
  <c r="Z365" i="1" s="1"/>
  <c r="Z366" i="1" a="1"/>
  <c r="Z366" i="1" s="1"/>
  <c r="Z367" i="1" a="1"/>
  <c r="Z367" i="1"/>
  <c r="Z368" i="1" a="1"/>
  <c r="Z368" i="1" s="1"/>
  <c r="Z369" i="1" a="1"/>
  <c r="Z369" i="1" s="1"/>
  <c r="Z370" i="1" a="1"/>
  <c r="Z370" i="1" s="1"/>
  <c r="Z371" i="1" a="1"/>
  <c r="Z371" i="1" s="1"/>
  <c r="Z372" i="1" a="1"/>
  <c r="Z372" i="1" s="1"/>
  <c r="Z373" i="1" a="1"/>
  <c r="Z373" i="1" s="1"/>
  <c r="Z374" i="1" a="1"/>
  <c r="Z374" i="1" s="1"/>
  <c r="Z375" i="1" a="1"/>
  <c r="Z375" i="1" s="1"/>
  <c r="Z376" i="1" a="1"/>
  <c r="Z376" i="1" s="1"/>
  <c r="Z377" i="1" a="1"/>
  <c r="Z377" i="1" s="1"/>
  <c r="Z378" i="1" a="1"/>
  <c r="Z378" i="1" s="1"/>
  <c r="Z379" i="1" a="1"/>
  <c r="Z379" i="1" s="1"/>
  <c r="Z380" i="1" a="1"/>
  <c r="Z380" i="1" s="1"/>
  <c r="Z381" i="1" a="1"/>
  <c r="Z381" i="1" s="1"/>
  <c r="Z382" i="1" a="1"/>
  <c r="Z382" i="1" s="1"/>
  <c r="Z383" i="1" a="1"/>
  <c r="Z383" i="1" s="1"/>
  <c r="Z384" i="1" a="1"/>
  <c r="Z384" i="1" s="1"/>
  <c r="Z385" i="1" a="1"/>
  <c r="Z385" i="1"/>
  <c r="Z386" i="1" a="1"/>
  <c r="Z386" i="1" s="1"/>
  <c r="Z387" i="1" a="1"/>
  <c r="Z387" i="1"/>
  <c r="Z388" i="1" a="1"/>
  <c r="Z388" i="1" s="1"/>
  <c r="Z389" i="1" a="1"/>
  <c r="Z389" i="1"/>
  <c r="Z390" i="1" a="1"/>
  <c r="Z390" i="1" s="1"/>
  <c r="Z391" i="1" a="1"/>
  <c r="Z391" i="1"/>
  <c r="Z392" i="1" a="1"/>
  <c r="Z392" i="1" s="1"/>
  <c r="Z393" i="1" a="1"/>
  <c r="Z393" i="1"/>
  <c r="Z394" i="1" a="1"/>
  <c r="Z394" i="1" s="1"/>
  <c r="Z395" i="1" a="1"/>
  <c r="Z395" i="1" s="1"/>
  <c r="Z396" i="1" a="1"/>
  <c r="Z396" i="1" s="1"/>
  <c r="Z397" i="1" a="1"/>
  <c r="Z397" i="1"/>
  <c r="Z398" i="1" a="1"/>
  <c r="Z398" i="1" s="1"/>
  <c r="Z399" i="1" a="1"/>
  <c r="Z399" i="1" s="1"/>
  <c r="Z400" i="1" a="1"/>
  <c r="Z400" i="1"/>
  <c r="Z401" i="1" a="1"/>
  <c r="Z401" i="1"/>
  <c r="Z402" i="1" a="1"/>
  <c r="Z402" i="1" s="1"/>
  <c r="Z403" i="1" a="1"/>
  <c r="Z403" i="1"/>
  <c r="Z404" i="1" a="1"/>
  <c r="Z404" i="1" s="1"/>
  <c r="Z405" i="1" a="1"/>
  <c r="Z405" i="1" s="1"/>
  <c r="Z406" i="1" a="1"/>
  <c r="Z406" i="1" s="1"/>
  <c r="Z407" i="1" a="1"/>
  <c r="Z407" i="1" s="1"/>
  <c r="Z408" i="1" a="1"/>
  <c r="Z408" i="1" s="1"/>
  <c r="Z409" i="1" a="1"/>
  <c r="Z409" i="1" s="1"/>
  <c r="Z410" i="1" a="1"/>
  <c r="Z410" i="1" s="1"/>
  <c r="Z411" i="1" a="1"/>
  <c r="Z411" i="1" s="1"/>
  <c r="Z412" i="1" a="1"/>
  <c r="Z412" i="1" s="1"/>
  <c r="Z413" i="1" a="1"/>
  <c r="Z413" i="1" s="1"/>
  <c r="Z414" i="1" a="1"/>
  <c r="Z414" i="1" s="1"/>
  <c r="Z415" i="1" a="1"/>
  <c r="Z415" i="1"/>
  <c r="Z416" i="1" a="1"/>
  <c r="Z416" i="1" s="1"/>
  <c r="Z417" i="1" a="1"/>
  <c r="Z417" i="1" s="1"/>
  <c r="Z418" i="1" a="1"/>
  <c r="Z418" i="1" s="1"/>
  <c r="Z419" i="1" a="1"/>
  <c r="Z419" i="1" s="1"/>
  <c r="Z420" i="1" a="1"/>
  <c r="Z420" i="1" s="1"/>
  <c r="Z421" i="1" a="1"/>
  <c r="Z421" i="1"/>
  <c r="Z422" i="1" a="1"/>
  <c r="Z422" i="1" s="1"/>
  <c r="Z423" i="1" a="1"/>
  <c r="Z423" i="1"/>
  <c r="Z424" i="1" a="1"/>
  <c r="Z424" i="1" s="1"/>
  <c r="Z425" i="1" a="1"/>
  <c r="Z425" i="1" s="1"/>
  <c r="Z426" i="1" a="1"/>
  <c r="Z426" i="1" s="1"/>
  <c r="Z427" i="1" a="1"/>
  <c r="Z427" i="1"/>
  <c r="Z428" i="1" a="1"/>
  <c r="Z428" i="1" s="1"/>
  <c r="Z429" i="1" a="1"/>
  <c r="Z429" i="1"/>
  <c r="Z430" i="1" a="1"/>
  <c r="Z430" i="1" s="1"/>
  <c r="Z431" i="1" a="1"/>
  <c r="Z431" i="1" s="1"/>
  <c r="Z432" i="1" a="1"/>
  <c r="Z432" i="1" s="1"/>
  <c r="Z433" i="1" a="1"/>
  <c r="Z433" i="1" s="1"/>
  <c r="Z434" i="1" a="1"/>
  <c r="Z434" i="1" s="1"/>
  <c r="Z435" i="1" a="1"/>
  <c r="Z435" i="1" s="1"/>
  <c r="Z436" i="1" a="1"/>
  <c r="Z436" i="1"/>
  <c r="Z437" i="1" a="1"/>
  <c r="Z437" i="1"/>
  <c r="Z438" i="1" a="1"/>
  <c r="Z438" i="1" s="1"/>
  <c r="Z439" i="1" a="1"/>
  <c r="Z439" i="1"/>
  <c r="Z440" i="1" a="1"/>
  <c r="Z440" i="1" s="1"/>
  <c r="Z441" i="1" a="1"/>
  <c r="Z441" i="1" s="1"/>
  <c r="Z442" i="1" a="1"/>
  <c r="Z442" i="1" s="1"/>
  <c r="Z443" i="1" a="1"/>
  <c r="Z443" i="1" s="1"/>
  <c r="Z444" i="1" a="1"/>
  <c r="Z444" i="1" s="1"/>
  <c r="Z445" i="1" a="1"/>
  <c r="Z445" i="1" s="1"/>
  <c r="Z446" i="1" a="1"/>
  <c r="Z446" i="1" s="1"/>
  <c r="Z447" i="1" a="1"/>
  <c r="Z447" i="1" s="1"/>
  <c r="Z448" i="1" a="1"/>
  <c r="Z448" i="1" s="1"/>
  <c r="Z449" i="1" a="1"/>
  <c r="Z449" i="1" s="1"/>
  <c r="Z450" i="1" a="1"/>
  <c r="Z450" i="1" s="1"/>
  <c r="Z451" i="1" a="1"/>
  <c r="Z451" i="1"/>
  <c r="Z452" i="1" a="1"/>
  <c r="Z452" i="1" s="1"/>
  <c r="Z453" i="1" a="1"/>
  <c r="Z453" i="1" s="1"/>
  <c r="Z454" i="1" a="1"/>
  <c r="Z454" i="1" s="1"/>
  <c r="Z455" i="1" a="1"/>
  <c r="Z455" i="1" s="1"/>
  <c r="Z456" i="1" a="1"/>
  <c r="Z456" i="1" s="1"/>
  <c r="Z457" i="1" a="1"/>
  <c r="Z457" i="1"/>
  <c r="Z458" i="1" a="1"/>
  <c r="Z458" i="1" s="1"/>
  <c r="Z459" i="1" a="1"/>
  <c r="Z459" i="1" s="1"/>
  <c r="Z460" i="1" a="1"/>
  <c r="Z460" i="1" s="1"/>
  <c r="Z461" i="1" a="1"/>
  <c r="Z461" i="1"/>
  <c r="Z462" i="1" a="1"/>
  <c r="Z462" i="1" s="1"/>
  <c r="Z463" i="1" a="1"/>
  <c r="Z463" i="1"/>
  <c r="Z464" i="1" a="1"/>
  <c r="Z464" i="1" s="1"/>
  <c r="Z465" i="1" a="1"/>
  <c r="Z465" i="1"/>
  <c r="Z466" i="1" a="1"/>
  <c r="Z466" i="1" s="1"/>
  <c r="Z467" i="1" a="1"/>
  <c r="Z467" i="1" s="1"/>
  <c r="Z468" i="1" a="1"/>
  <c r="Z468" i="1" s="1"/>
  <c r="Z469" i="1" a="1"/>
  <c r="Z469" i="1"/>
  <c r="Z470" i="1" a="1"/>
  <c r="Z470" i="1" s="1"/>
  <c r="Z471" i="1" a="1"/>
  <c r="Z471" i="1" s="1"/>
  <c r="Z472" i="1" a="1"/>
  <c r="Z472" i="1"/>
  <c r="Z473" i="1" a="1"/>
  <c r="Z473" i="1"/>
  <c r="Z474" i="1" a="1"/>
  <c r="Z474" i="1" s="1"/>
  <c r="Z475" i="1" a="1"/>
  <c r="Z475" i="1"/>
  <c r="Z476" i="1" a="1"/>
  <c r="Z476" i="1" s="1"/>
  <c r="Z477" i="1" a="1"/>
  <c r="Z477" i="1" s="1"/>
  <c r="Z478" i="1" a="1"/>
  <c r="Z478" i="1" s="1"/>
  <c r="Z479" i="1" a="1"/>
  <c r="Z479" i="1" s="1"/>
  <c r="Z480" i="1" a="1"/>
  <c r="Z480" i="1" s="1"/>
  <c r="Z481" i="1" a="1"/>
  <c r="Z481" i="1" s="1"/>
  <c r="Z482" i="1" a="1"/>
  <c r="Z482" i="1" s="1"/>
  <c r="Z483" i="1" a="1"/>
  <c r="Z483" i="1" s="1"/>
  <c r="Z484" i="1" a="1"/>
  <c r="Z484" i="1" s="1"/>
  <c r="Z485" i="1" a="1"/>
  <c r="Z485" i="1" s="1"/>
  <c r="Z486" i="1" a="1"/>
  <c r="Z486" i="1" s="1"/>
  <c r="Z487" i="1" a="1"/>
  <c r="Z487" i="1"/>
  <c r="Z488" i="1" a="1"/>
  <c r="Z488" i="1" s="1"/>
  <c r="Z489" i="1" a="1"/>
  <c r="Z489" i="1" s="1"/>
  <c r="Z490" i="1" a="1"/>
  <c r="Z490" i="1" s="1"/>
  <c r="Z491" i="1" a="1"/>
  <c r="Z491" i="1" s="1"/>
  <c r="Z492" i="1" a="1"/>
  <c r="Z492" i="1" s="1"/>
  <c r="Z493" i="1" a="1"/>
  <c r="Z493" i="1"/>
  <c r="Z494" i="1" a="1"/>
  <c r="Z494" i="1" s="1"/>
  <c r="Z495" i="1" a="1"/>
  <c r="Z495" i="1"/>
  <c r="Z496" i="1" a="1"/>
  <c r="Z496" i="1" s="1"/>
  <c r="Z497" i="1" a="1"/>
  <c r="Z497" i="1"/>
  <c r="Z498" i="1" a="1"/>
  <c r="Z498" i="1" s="1"/>
  <c r="Z499" i="1" a="1"/>
  <c r="Z499" i="1"/>
  <c r="Z500" i="1" a="1"/>
  <c r="Z500" i="1" s="1"/>
  <c r="Z501" i="1" a="1"/>
  <c r="Z501" i="1" s="1"/>
  <c r="Z502" i="1" a="1"/>
  <c r="Z502" i="1" s="1"/>
  <c r="Z503" i="1" a="1"/>
  <c r="Z503" i="1" s="1"/>
  <c r="Z504" i="1" a="1"/>
  <c r="Z504" i="1" s="1"/>
  <c r="Z505" i="1" a="1"/>
  <c r="Z505" i="1"/>
  <c r="Z506" i="1" a="1"/>
  <c r="Z506" i="1" s="1"/>
  <c r="Z507" i="1" a="1"/>
  <c r="Z507" i="1"/>
  <c r="Z508" i="1" a="1"/>
  <c r="Z508" i="1" s="1"/>
  <c r="Z509" i="1" a="1"/>
  <c r="Z509" i="1"/>
  <c r="Z510" i="1" a="1"/>
  <c r="Z510" i="1" s="1"/>
  <c r="Z511" i="1" a="1"/>
  <c r="Z511" i="1"/>
  <c r="Z512" i="1" a="1"/>
  <c r="Z512" i="1" s="1"/>
  <c r="Z513" i="1" a="1"/>
  <c r="Z513" i="1" s="1"/>
  <c r="Z514" i="1" a="1"/>
  <c r="Z514" i="1" s="1"/>
  <c r="Z515" i="1" a="1"/>
  <c r="Z515" i="1"/>
  <c r="Z516" i="1" a="1"/>
  <c r="Z516" i="1" s="1"/>
  <c r="Z517" i="1" a="1"/>
  <c r="Z517" i="1" s="1"/>
  <c r="Z518" i="1" a="1"/>
  <c r="Z518" i="1" s="1"/>
  <c r="Z519" i="1" a="1"/>
  <c r="Z519" i="1" s="1"/>
  <c r="Z520" i="1" a="1"/>
  <c r="Z520" i="1"/>
  <c r="Z521" i="1" a="1"/>
  <c r="Z521" i="1" s="1"/>
  <c r="Z522" i="1" a="1"/>
  <c r="Z522" i="1"/>
  <c r="Z523" i="1" a="1"/>
  <c r="Z523" i="1" s="1"/>
  <c r="Z524" i="1" a="1"/>
  <c r="Z524" i="1"/>
  <c r="Z525" i="1" a="1"/>
  <c r="Z525" i="1" s="1"/>
  <c r="Z526" i="1" a="1"/>
  <c r="Z526" i="1"/>
  <c r="Z527" i="1" a="1"/>
  <c r="Z527" i="1"/>
  <c r="Z528" i="1" a="1"/>
  <c r="Z528" i="1" s="1"/>
  <c r="Z529" i="1" a="1"/>
  <c r="Z529" i="1" s="1"/>
  <c r="Z530" i="1" a="1"/>
  <c r="Z530" i="1" s="1"/>
  <c r="Z531" i="1" a="1"/>
  <c r="Z531" i="1" s="1"/>
  <c r="Z532" i="1" a="1"/>
  <c r="Z532" i="1" s="1"/>
  <c r="Z533" i="1" a="1"/>
  <c r="Z533" i="1"/>
  <c r="Z534" i="1" a="1"/>
  <c r="Z534" i="1"/>
  <c r="Z535" i="1" a="1"/>
  <c r="Z535" i="1" s="1"/>
  <c r="Z536" i="1" a="1"/>
  <c r="Z536" i="1"/>
  <c r="Z537" i="1" a="1"/>
  <c r="Z537" i="1" s="1"/>
  <c r="Z538" i="1" a="1"/>
  <c r="Z538" i="1" s="1"/>
  <c r="Z539" i="1" a="1"/>
  <c r="Z539" i="1" s="1"/>
  <c r="Z540" i="1" a="1"/>
  <c r="Z540" i="1"/>
  <c r="Z541" i="1" a="1"/>
  <c r="Z541" i="1" s="1"/>
  <c r="Z542" i="1" a="1"/>
  <c r="Z542" i="1"/>
  <c r="Z543" i="1" a="1"/>
  <c r="Z543" i="1" s="1"/>
  <c r="Z544" i="1" a="1"/>
  <c r="Z544" i="1"/>
  <c r="Z545" i="1" a="1"/>
  <c r="Z545" i="1" s="1"/>
  <c r="Z546" i="1" a="1"/>
  <c r="Z546" i="1" s="1"/>
  <c r="Z547" i="1" a="1"/>
  <c r="Z547" i="1" s="1"/>
  <c r="Z548" i="1" a="1"/>
  <c r="Z548" i="1" s="1"/>
  <c r="Z549" i="1" a="1"/>
  <c r="Z549" i="1" s="1"/>
  <c r="Z550" i="1" a="1"/>
  <c r="Z550" i="1" s="1"/>
  <c r="Z551" i="1" a="1"/>
  <c r="Z551" i="1"/>
  <c r="Z552" i="1" a="1"/>
  <c r="Z552" i="1" s="1"/>
  <c r="Z553" i="1" a="1"/>
  <c r="Z553" i="1" s="1"/>
  <c r="Z554" i="1" a="1"/>
  <c r="Z554" i="1"/>
  <c r="Z555" i="1" a="1"/>
  <c r="Z555" i="1" s="1"/>
  <c r="Z556" i="1" a="1"/>
  <c r="Z556" i="1"/>
  <c r="Z557" i="1" a="1"/>
  <c r="Z557" i="1" s="1"/>
  <c r="Z558" i="1" a="1"/>
  <c r="Z558" i="1"/>
  <c r="Z559" i="1" a="1"/>
  <c r="Z559" i="1" s="1"/>
  <c r="Z560" i="1" a="1"/>
  <c r="Z560" i="1"/>
  <c r="Z561" i="1" a="1"/>
  <c r="Z561" i="1" s="1"/>
  <c r="Z562" i="1" a="1"/>
  <c r="Z562" i="1"/>
  <c r="Z563" i="1" a="1"/>
  <c r="Z563" i="1"/>
  <c r="Z564" i="1" a="1"/>
  <c r="Z564" i="1" s="1"/>
  <c r="Z565" i="1" a="1"/>
  <c r="Z565" i="1" s="1"/>
  <c r="Z566" i="1" a="1"/>
  <c r="Z566" i="1"/>
  <c r="Z567" i="1" a="1"/>
  <c r="Z567" i="1" s="1"/>
  <c r="Z568" i="1" a="1"/>
  <c r="Z568" i="1" s="1"/>
  <c r="Z569" i="1" a="1"/>
  <c r="Z569" i="1"/>
  <c r="Z570" i="1" a="1"/>
  <c r="Z570" i="1"/>
  <c r="Z571" i="1" a="1"/>
  <c r="Z571" i="1" s="1"/>
  <c r="Z572" i="1" a="1"/>
  <c r="Z572" i="1"/>
  <c r="Z573" i="1" a="1"/>
  <c r="Z573" i="1" s="1"/>
  <c r="Z574" i="1" a="1"/>
  <c r="Z574" i="1" s="1"/>
  <c r="Z575" i="1" a="1"/>
  <c r="Z575" i="1" s="1"/>
  <c r="Z576" i="1" a="1"/>
  <c r="Z576" i="1"/>
  <c r="Z577" i="1" a="1"/>
  <c r="Z577" i="1" s="1"/>
  <c r="Z578" i="1" a="1"/>
  <c r="Z578" i="1"/>
  <c r="Z579" i="1" a="1"/>
  <c r="Z579" i="1" s="1"/>
  <c r="Z580" i="1" a="1"/>
  <c r="Z580" i="1"/>
  <c r="Z581" i="1" a="1"/>
  <c r="Z581" i="1" s="1"/>
  <c r="Z582" i="1" a="1"/>
  <c r="Z582" i="1" s="1"/>
  <c r="Z583" i="1" a="1"/>
  <c r="Z583" i="1" s="1"/>
  <c r="Z584" i="1" a="1"/>
  <c r="Z584" i="1" s="1"/>
  <c r="Z585" i="1" a="1"/>
  <c r="Z585" i="1" s="1"/>
  <c r="Z586" i="1" a="1"/>
  <c r="Z586" i="1" s="1"/>
  <c r="Z587" i="1" a="1"/>
  <c r="Z587" i="1"/>
  <c r="Z588" i="1" a="1"/>
  <c r="Z588" i="1" s="1"/>
  <c r="Z589" i="1" a="1"/>
  <c r="Z589" i="1" s="1"/>
  <c r="Z590" i="1" a="1"/>
  <c r="Z590" i="1"/>
  <c r="Z591" i="1" a="1"/>
  <c r="Z591" i="1" s="1"/>
  <c r="Z592" i="1" a="1"/>
  <c r="Z592" i="1"/>
  <c r="Z593" i="1" a="1"/>
  <c r="Z593" i="1" s="1"/>
  <c r="Z594" i="1" a="1"/>
  <c r="Z594" i="1"/>
  <c r="Z595" i="1" a="1"/>
  <c r="Z595" i="1" s="1"/>
  <c r="Z596" i="1" a="1"/>
  <c r="Z596" i="1"/>
  <c r="Z597" i="1" a="1"/>
  <c r="Z597" i="1" s="1"/>
  <c r="Z598" i="1" a="1"/>
  <c r="Z598" i="1"/>
  <c r="Z599" i="1" a="1"/>
  <c r="Z599" i="1"/>
  <c r="Z600" i="1" a="1"/>
  <c r="Z600" i="1" s="1"/>
  <c r="Z601" i="1" a="1"/>
  <c r="Z601" i="1" s="1"/>
  <c r="Z602" i="1" a="1"/>
  <c r="Z602" i="1"/>
  <c r="Z603" i="1" a="1"/>
  <c r="Z603" i="1" s="1"/>
  <c r="Z604" i="1" a="1"/>
  <c r="Z604" i="1" s="1"/>
  <c r="Z605" i="1" a="1"/>
  <c r="Z605" i="1"/>
  <c r="Z606" i="1" a="1"/>
  <c r="Z606" i="1"/>
  <c r="Z607" i="1" a="1"/>
  <c r="Z607" i="1" s="1"/>
  <c r="Z608" i="1" a="1"/>
  <c r="Z608" i="1"/>
  <c r="Z609" i="1" a="1"/>
  <c r="Z609" i="1" s="1"/>
  <c r="Z610" i="1" a="1"/>
  <c r="Z610" i="1" s="1"/>
  <c r="Z611" i="1" a="1"/>
  <c r="Z611" i="1" s="1"/>
  <c r="Z612" i="1" a="1"/>
  <c r="Z612" i="1"/>
  <c r="Z613" i="1" a="1"/>
  <c r="Z613" i="1" s="1"/>
  <c r="Z614" i="1" a="1"/>
  <c r="Z614" i="1"/>
  <c r="Z615" i="1" a="1"/>
  <c r="Z615" i="1" s="1"/>
  <c r="Z616" i="1" a="1"/>
  <c r="Z616" i="1"/>
  <c r="Z617" i="1" a="1"/>
  <c r="Z617" i="1" s="1"/>
  <c r="Z618" i="1" a="1"/>
  <c r="Z618" i="1" s="1"/>
  <c r="Z619" i="1" a="1"/>
  <c r="Z619" i="1" s="1"/>
  <c r="Z620" i="1" a="1"/>
  <c r="Z620" i="1" s="1"/>
  <c r="Z621" i="1" a="1"/>
  <c r="Z621" i="1" s="1"/>
  <c r="Z622" i="1" a="1"/>
  <c r="Z622" i="1" s="1"/>
  <c r="Z623" i="1" a="1"/>
  <c r="Z623" i="1"/>
  <c r="Z624" i="1" a="1"/>
  <c r="Z624" i="1" s="1"/>
  <c r="Z625" i="1" a="1"/>
  <c r="Z625" i="1" s="1"/>
  <c r="Z626" i="1" a="1"/>
  <c r="Z626" i="1"/>
  <c r="Z627" i="1" a="1"/>
  <c r="Z627" i="1" s="1"/>
  <c r="Z628" i="1" a="1"/>
  <c r="Z628" i="1"/>
  <c r="Z629" i="1" a="1"/>
  <c r="Z629" i="1" s="1"/>
  <c r="Z630" i="1" a="1"/>
  <c r="Z630" i="1"/>
  <c r="Z631" i="1" a="1"/>
  <c r="Z631" i="1" s="1"/>
  <c r="Z632" i="1" a="1"/>
  <c r="Z632" i="1"/>
  <c r="Z633" i="1" a="1"/>
  <c r="Z633" i="1" s="1"/>
  <c r="Z634" i="1" a="1"/>
  <c r="Z634" i="1"/>
  <c r="Z635" i="1" a="1"/>
  <c r="Z635" i="1"/>
  <c r="Z636" i="1" a="1"/>
  <c r="Z636" i="1" s="1"/>
  <c r="Z637" i="1" a="1"/>
  <c r="Z637" i="1" s="1"/>
  <c r="Z638" i="1" a="1"/>
  <c r="Z638" i="1"/>
  <c r="Z639" i="1" a="1"/>
  <c r="Z639" i="1" s="1"/>
  <c r="Z640" i="1" a="1"/>
  <c r="Z640" i="1" s="1"/>
  <c r="Z641" i="1" a="1"/>
  <c r="Z641" i="1"/>
  <c r="Z642" i="1" a="1"/>
  <c r="Z642" i="1"/>
  <c r="Z643" i="1" a="1"/>
  <c r="Z643" i="1" s="1"/>
  <c r="Z644" i="1" a="1"/>
  <c r="Z644" i="1"/>
  <c r="Z645" i="1" a="1"/>
  <c r="Z645" i="1" s="1"/>
  <c r="Z646" i="1" a="1"/>
  <c r="Z646" i="1" s="1"/>
  <c r="Z647" i="1" a="1"/>
  <c r="Z647" i="1" s="1"/>
  <c r="Z648" i="1" a="1"/>
  <c r="Z648" i="1"/>
  <c r="Z649" i="1" a="1"/>
  <c r="Z649" i="1" s="1"/>
  <c r="Z650" i="1" a="1"/>
  <c r="Z650" i="1"/>
  <c r="Z651" i="1" a="1"/>
  <c r="Z651" i="1" s="1"/>
  <c r="Z652" i="1" a="1"/>
  <c r="Z652" i="1"/>
  <c r="Z653" i="1" a="1"/>
  <c r="Z653" i="1" s="1"/>
  <c r="Z654" i="1" a="1"/>
  <c r="Z654" i="1" s="1"/>
  <c r="Z655" i="1" a="1"/>
  <c r="Z655" i="1" s="1"/>
  <c r="Z656" i="1" a="1"/>
  <c r="Z656" i="1" s="1"/>
  <c r="Z657" i="1" a="1"/>
  <c r="Z657" i="1" s="1"/>
  <c r="Z658" i="1" a="1"/>
  <c r="Z658" i="1" s="1"/>
  <c r="Z659" i="1" a="1"/>
  <c r="Z659" i="1"/>
  <c r="Z660" i="1" a="1"/>
  <c r="Z660" i="1" s="1"/>
  <c r="Z661" i="1" a="1"/>
  <c r="Z661" i="1" s="1"/>
  <c r="Z662" i="1" a="1"/>
  <c r="Z662" i="1"/>
  <c r="Z663" i="1" a="1"/>
  <c r="Z663" i="1" s="1"/>
  <c r="Z664" i="1" a="1"/>
  <c r="Z664" i="1"/>
  <c r="Z665" i="1" a="1"/>
  <c r="Z665" i="1" s="1"/>
  <c r="Z666" i="1" a="1"/>
  <c r="Z666" i="1"/>
  <c r="Z667" i="1" a="1"/>
  <c r="Z667" i="1" s="1"/>
  <c r="Z668" i="1" a="1"/>
  <c r="Z668" i="1"/>
  <c r="Z669" i="1" a="1"/>
  <c r="Z669" i="1" s="1"/>
  <c r="Z670" i="1" a="1"/>
  <c r="Z670" i="1"/>
  <c r="Z671" i="1" a="1"/>
  <c r="Z671" i="1"/>
  <c r="Z672" i="1" a="1"/>
  <c r="Z672" i="1" s="1"/>
  <c r="Z673" i="1" a="1"/>
  <c r="Z673" i="1" s="1"/>
  <c r="Z674" i="1" a="1"/>
  <c r="Z674" i="1"/>
  <c r="Z675" i="1" a="1"/>
  <c r="Z675" i="1" s="1"/>
  <c r="Z676" i="1" a="1"/>
  <c r="Z676" i="1" s="1"/>
  <c r="Z677" i="1" a="1"/>
  <c r="Z677" i="1"/>
  <c r="Z678" i="1" a="1"/>
  <c r="Z678" i="1"/>
  <c r="Z679" i="1" a="1"/>
  <c r="Z679" i="1" s="1"/>
  <c r="Z680" i="1" a="1"/>
  <c r="Z680" i="1"/>
  <c r="Z681" i="1" a="1"/>
  <c r="Z681" i="1" s="1"/>
  <c r="Z682" i="1" a="1"/>
  <c r="Z682" i="1" s="1"/>
  <c r="Z683" i="1" a="1"/>
  <c r="Z683" i="1" s="1"/>
  <c r="Z684" i="1" a="1"/>
  <c r="Z684" i="1"/>
  <c r="Z685" i="1" a="1"/>
  <c r="Z685" i="1" s="1"/>
  <c r="Z686" i="1" a="1"/>
  <c r="Z686" i="1"/>
  <c r="Z687" i="1" a="1"/>
  <c r="Z687" i="1" s="1"/>
  <c r="Z688" i="1" a="1"/>
  <c r="Z688" i="1"/>
  <c r="Z689" i="1" a="1"/>
  <c r="Z689" i="1" s="1"/>
  <c r="Z690" i="1" a="1"/>
  <c r="Z690" i="1" s="1"/>
  <c r="Z691" i="1" a="1"/>
  <c r="Z691" i="1" s="1"/>
  <c r="Z692" i="1" a="1"/>
  <c r="Z692" i="1" s="1"/>
  <c r="Z693" i="1" a="1"/>
  <c r="Z693" i="1" s="1"/>
  <c r="Z694" i="1" a="1"/>
  <c r="Z694" i="1" s="1"/>
  <c r="Z695" i="1" a="1"/>
  <c r="Z695" i="1"/>
  <c r="Z696" i="1" a="1"/>
  <c r="Z696" i="1" s="1"/>
  <c r="Z697" i="1" a="1"/>
  <c r="Z697" i="1" s="1"/>
  <c r="Z698" i="1" a="1"/>
  <c r="Z698" i="1"/>
  <c r="Z699" i="1" a="1"/>
  <c r="Z699" i="1" s="1"/>
  <c r="Z700" i="1" a="1"/>
  <c r="Z700" i="1"/>
  <c r="Z701" i="1" a="1"/>
  <c r="Z701" i="1" s="1"/>
  <c r="Z702" i="1" a="1"/>
  <c r="Z702" i="1"/>
  <c r="Z703" i="1" a="1"/>
  <c r="Z703" i="1" s="1"/>
  <c r="Z704" i="1" a="1"/>
  <c r="Z704" i="1"/>
  <c r="Z705" i="1" a="1"/>
  <c r="Z705" i="1" s="1"/>
  <c r="Z706" i="1" a="1"/>
  <c r="Z706" i="1"/>
  <c r="Z707" i="1" a="1"/>
  <c r="Z707" i="1" s="1"/>
  <c r="Z708" i="1" a="1"/>
  <c r="Z708" i="1" s="1"/>
  <c r="Z709" i="1" a="1"/>
  <c r="Z709" i="1" s="1"/>
  <c r="Z710" i="1" a="1"/>
  <c r="Z710" i="1"/>
  <c r="Z711" i="1" a="1"/>
  <c r="Z711" i="1" s="1"/>
  <c r="Z712" i="1" a="1"/>
  <c r="Z712" i="1" s="1"/>
  <c r="Z713" i="1" a="1"/>
  <c r="Z713" i="1"/>
  <c r="Z714" i="1" a="1"/>
  <c r="Z714" i="1" s="1"/>
  <c r="Z715" i="1" a="1"/>
  <c r="Z715" i="1" s="1"/>
  <c r="Z716" i="1" a="1"/>
  <c r="Z716" i="1"/>
  <c r="Z717" i="1" a="1"/>
  <c r="Z717" i="1" s="1"/>
  <c r="Z718" i="1" a="1"/>
  <c r="Z718" i="1" s="1"/>
  <c r="Z719" i="1" a="1"/>
  <c r="Z719" i="1" s="1"/>
  <c r="Z720" i="1" a="1"/>
  <c r="Z720" i="1"/>
  <c r="Z721" i="1" a="1"/>
  <c r="Z721" i="1" s="1"/>
  <c r="Z722" i="1" a="1"/>
  <c r="Z722" i="1"/>
  <c r="Z723" i="1" a="1"/>
  <c r="Z723" i="1" s="1"/>
  <c r="Z724" i="1" a="1"/>
  <c r="Z724" i="1"/>
  <c r="Z725" i="1" a="1"/>
  <c r="Z725" i="1" s="1"/>
  <c r="Z726" i="1" a="1"/>
  <c r="Z726" i="1" s="1"/>
  <c r="Z727" i="1" a="1"/>
  <c r="Z727" i="1" s="1"/>
  <c r="Z728" i="1" a="1"/>
  <c r="Z728" i="1" s="1"/>
  <c r="Z729" i="1" a="1"/>
  <c r="Z729" i="1" s="1"/>
  <c r="Z730" i="1" a="1"/>
  <c r="Z730" i="1" s="1"/>
  <c r="Z731" i="1" a="1"/>
  <c r="Z731" i="1" s="1"/>
  <c r="Z732" i="1" a="1"/>
  <c r="Z732" i="1" s="1"/>
  <c r="Z733" i="1" a="1"/>
  <c r="Z733" i="1" s="1"/>
  <c r="Z734" i="1" a="1"/>
  <c r="Z734" i="1"/>
  <c r="Z735" i="1" a="1"/>
  <c r="Z735" i="1" s="1"/>
  <c r="Z736" i="1" a="1"/>
  <c r="Z736" i="1" s="1"/>
  <c r="Z737" i="1" a="1"/>
  <c r="Z737" i="1" s="1"/>
  <c r="Z738" i="1" a="1"/>
  <c r="Z738" i="1" s="1"/>
  <c r="Z739" i="1" a="1"/>
  <c r="Z739" i="1" s="1"/>
  <c r="Z740" i="1" a="1"/>
  <c r="Z740" i="1"/>
  <c r="Z741" i="1" a="1"/>
  <c r="Z741" i="1" s="1"/>
  <c r="Z742" i="1" a="1"/>
  <c r="Z742" i="1"/>
  <c r="Z743" i="1" a="1"/>
  <c r="Z743" i="1" s="1"/>
  <c r="Z744" i="1" a="1"/>
  <c r="Z744" i="1" s="1"/>
  <c r="Z745" i="1" a="1"/>
  <c r="Z745" i="1" s="1"/>
  <c r="Z746" i="1" a="1"/>
  <c r="Z746" i="1"/>
  <c r="Z747" i="1" a="1"/>
  <c r="Z747" i="1" s="1"/>
  <c r="Z748" i="1" a="1"/>
  <c r="Z748" i="1" s="1"/>
  <c r="Z749" i="1" a="1"/>
  <c r="Z749" i="1"/>
  <c r="Z750" i="1" a="1"/>
  <c r="Z750" i="1" s="1"/>
  <c r="Z751" i="1" a="1"/>
  <c r="Z751" i="1" s="1"/>
  <c r="Z752" i="1" a="1"/>
  <c r="Z752" i="1"/>
  <c r="Z753" i="1" a="1"/>
  <c r="Z753" i="1" s="1"/>
  <c r="Z754" i="1" a="1"/>
  <c r="Z754" i="1" s="1"/>
  <c r="Z755" i="1" a="1"/>
  <c r="Z755" i="1" s="1"/>
  <c r="Z756" i="1" a="1"/>
  <c r="Z756" i="1"/>
  <c r="Z757" i="1" a="1"/>
  <c r="Z757" i="1" s="1"/>
  <c r="Z758" i="1" a="1"/>
  <c r="Z758" i="1"/>
  <c r="Z759" i="1" a="1"/>
  <c r="Z759" i="1" s="1"/>
  <c r="Z760" i="1" a="1"/>
  <c r="Z760" i="1" s="1"/>
  <c r="Z761" i="1" a="1"/>
  <c r="Z761" i="1" s="1"/>
  <c r="Z762" i="1" a="1"/>
  <c r="Z762" i="1" s="1"/>
  <c r="Z763" i="1" a="1"/>
  <c r="Z763" i="1" s="1"/>
  <c r="Z764" i="1" a="1"/>
  <c r="Z764" i="1" s="1"/>
  <c r="Z765" i="1" a="1"/>
  <c r="Z765" i="1" s="1"/>
  <c r="Z766" i="1" a="1"/>
  <c r="Z766" i="1" s="1"/>
  <c r="Z767" i="1" a="1"/>
  <c r="Z767" i="1" s="1"/>
  <c r="Z768" i="1" a="1"/>
  <c r="Z768" i="1" s="1"/>
  <c r="Z769" i="1" a="1"/>
  <c r="Z769" i="1" s="1"/>
  <c r="Z770" i="1" a="1"/>
  <c r="Z770" i="1"/>
  <c r="Z771" i="1" a="1"/>
  <c r="Z771" i="1" s="1"/>
  <c r="Z772" i="1" a="1"/>
  <c r="Z772" i="1" s="1"/>
  <c r="Z773" i="1" a="1"/>
  <c r="Z773" i="1" s="1"/>
  <c r="Z774" i="1" a="1"/>
  <c r="Z774" i="1" s="1"/>
  <c r="Z775" i="1" a="1"/>
  <c r="Z775" i="1" s="1"/>
  <c r="Z776" i="1" a="1"/>
  <c r="Z776" i="1"/>
  <c r="Z777" i="1" a="1"/>
  <c r="Z777" i="1"/>
  <c r="Z778" i="1" a="1"/>
  <c r="Z778" i="1" s="1"/>
  <c r="Z779" i="1" a="1"/>
  <c r="Z779" i="1"/>
  <c r="Z780" i="1" a="1"/>
  <c r="Z780" i="1"/>
  <c r="Z781" i="1" a="1"/>
  <c r="Z781" i="1"/>
  <c r="Z782" i="1" a="1"/>
  <c r="Z782" i="1"/>
  <c r="Z783" i="1" a="1"/>
  <c r="Z783" i="1"/>
  <c r="Z784" i="1" a="1"/>
  <c r="Z784" i="1" s="1"/>
  <c r="Z785" i="1" a="1"/>
  <c r="Z785" i="1"/>
  <c r="Z786" i="1" a="1"/>
  <c r="Z786" i="1"/>
  <c r="Z787" i="1" a="1"/>
  <c r="Z787" i="1"/>
  <c r="Z788" i="1" a="1"/>
  <c r="Z788" i="1"/>
  <c r="Z789" i="1" a="1"/>
  <c r="Z789" i="1"/>
  <c r="Z790" i="1" a="1"/>
  <c r="Z790" i="1" s="1"/>
  <c r="Z791" i="1" a="1"/>
  <c r="Z791" i="1"/>
  <c r="Z792" i="1" a="1"/>
  <c r="Z792" i="1"/>
  <c r="Z793" i="1" a="1"/>
  <c r="Z793" i="1"/>
  <c r="Z794" i="1" a="1"/>
  <c r="Z794" i="1"/>
  <c r="Z795" i="1" a="1"/>
  <c r="Z795" i="1"/>
  <c r="Z796" i="1" a="1"/>
  <c r="Z796" i="1" s="1"/>
  <c r="Z797" i="1" a="1"/>
  <c r="Z797" i="1"/>
  <c r="Z798" i="1" a="1"/>
  <c r="Z798" i="1"/>
  <c r="Z799" i="1" a="1"/>
  <c r="Z799" i="1"/>
  <c r="Z800" i="1" a="1"/>
  <c r="Z800" i="1"/>
  <c r="Z801" i="1" a="1"/>
  <c r="Z801" i="1"/>
  <c r="Z802" i="1" a="1"/>
  <c r="Z802" i="1" s="1"/>
  <c r="Z803" i="1" a="1"/>
  <c r="Z803" i="1"/>
  <c r="Z804" i="1" a="1"/>
  <c r="Z804" i="1"/>
  <c r="Z805" i="1" a="1"/>
  <c r="Z805" i="1" s="1"/>
  <c r="Z806" i="1" a="1"/>
  <c r="Z806" i="1"/>
  <c r="Z807" i="1" a="1"/>
  <c r="Z807" i="1"/>
  <c r="Z808" i="1" a="1"/>
  <c r="Z808" i="1" s="1"/>
  <c r="Z809" i="1" a="1"/>
  <c r="Z809" i="1"/>
  <c r="Z810" i="1" a="1"/>
  <c r="Z810" i="1"/>
  <c r="Z811" i="1" a="1"/>
  <c r="Z811" i="1" s="1"/>
  <c r="Z812" i="1" a="1"/>
  <c r="Z812" i="1"/>
  <c r="Z813" i="1" a="1"/>
  <c r="Z813" i="1"/>
  <c r="Z814" i="1" a="1"/>
  <c r="Z814" i="1" s="1"/>
  <c r="Z815" i="1" a="1"/>
  <c r="Z815" i="1"/>
  <c r="Z816" i="1" a="1"/>
  <c r="Z816" i="1"/>
  <c r="Z817" i="1" a="1"/>
  <c r="Z817" i="1"/>
  <c r="Z818" i="1" a="1"/>
  <c r="Z818" i="1"/>
  <c r="Z819" i="1" a="1"/>
  <c r="Z819" i="1"/>
  <c r="Z820" i="1" a="1"/>
  <c r="Z820" i="1" s="1"/>
  <c r="Z821" i="1" a="1"/>
  <c r="Z821" i="1"/>
  <c r="Z822" i="1" a="1"/>
  <c r="Z822" i="1"/>
  <c r="Z823" i="1" a="1"/>
  <c r="Z823" i="1"/>
  <c r="Z824" i="1" a="1"/>
  <c r="Z824" i="1"/>
  <c r="Z825" i="1" a="1"/>
  <c r="Z825" i="1"/>
  <c r="Z826" i="1" a="1"/>
  <c r="Z826" i="1" s="1"/>
  <c r="Z827" i="1" a="1"/>
  <c r="Z827" i="1"/>
  <c r="Z828" i="1" a="1"/>
  <c r="Z828" i="1"/>
  <c r="Z829" i="1" a="1"/>
  <c r="Z829" i="1" s="1"/>
  <c r="Z830" i="1" a="1"/>
  <c r="Z830" i="1"/>
  <c r="Z831" i="1" a="1"/>
  <c r="Z831" i="1"/>
  <c r="Z832" i="1" a="1"/>
  <c r="Z832" i="1" s="1"/>
  <c r="Z833" i="1" a="1"/>
  <c r="Z833" i="1"/>
  <c r="Z834" i="1" a="1"/>
  <c r="Z834" i="1"/>
  <c r="Z835" i="1" a="1"/>
  <c r="Z835" i="1"/>
  <c r="Z836" i="1" a="1"/>
  <c r="Z836" i="1"/>
  <c r="Z837" i="1" a="1"/>
  <c r="Z837" i="1"/>
  <c r="Z838" i="1" a="1"/>
  <c r="Z838" i="1" s="1"/>
  <c r="Z839" i="1" a="1"/>
  <c r="Z839" i="1" s="1"/>
  <c r="Z840" i="1" a="1"/>
  <c r="Z840" i="1"/>
  <c r="Z841" i="1" a="1"/>
  <c r="Z841" i="1" s="1"/>
  <c r="Z842" i="1" a="1"/>
  <c r="Z842" i="1"/>
  <c r="Z843" i="1" a="1"/>
  <c r="Z843" i="1"/>
  <c r="Z844" i="1" a="1"/>
  <c r="Z844" i="1" s="1"/>
  <c r="Z845" i="1" a="1"/>
  <c r="Z845" i="1"/>
  <c r="Z846" i="1" a="1"/>
  <c r="Z846" i="1"/>
  <c r="Z847" i="1" a="1"/>
  <c r="Z847" i="1"/>
  <c r="Z848" i="1" a="1"/>
  <c r="Z848" i="1"/>
  <c r="Z849" i="1" a="1"/>
  <c r="Z849" i="1"/>
  <c r="Z850" i="1" a="1"/>
  <c r="Z850" i="1" s="1"/>
  <c r="Z851" i="1" a="1"/>
  <c r="Z851" i="1" s="1"/>
  <c r="Z852" i="1" a="1"/>
  <c r="Z852" i="1"/>
  <c r="Z853" i="1" a="1"/>
  <c r="Z853" i="1"/>
  <c r="Z854" i="1" a="1"/>
  <c r="Z854" i="1"/>
  <c r="Z855" i="1" a="1"/>
  <c r="Z855" i="1"/>
  <c r="Z856" i="1" a="1"/>
  <c r="Z856" i="1" s="1"/>
  <c r="Z857" i="1" a="1"/>
  <c r="Z857" i="1" s="1"/>
  <c r="Z858" i="1" a="1"/>
  <c r="Z858" i="1"/>
  <c r="Z859" i="1" a="1"/>
  <c r="Z859" i="1"/>
  <c r="Z860" i="1" a="1"/>
  <c r="Z860" i="1"/>
  <c r="Z861" i="1" a="1"/>
  <c r="Z861" i="1"/>
  <c r="Z862" i="1" a="1"/>
  <c r="Z862" i="1" s="1"/>
  <c r="Z863" i="1" a="1"/>
  <c r="Z863" i="1"/>
  <c r="Z864" i="1" a="1"/>
  <c r="Z864" i="1"/>
  <c r="Z865" i="1" a="1"/>
  <c r="Z865" i="1" s="1"/>
  <c r="Z866" i="1" a="1"/>
  <c r="Z866" i="1"/>
  <c r="Z867" i="1" a="1"/>
  <c r="Z867" i="1" s="1"/>
  <c r="Z868" i="1" a="1"/>
  <c r="Z868" i="1" s="1"/>
  <c r="Z869" i="1" a="1"/>
  <c r="Z869" i="1" s="1"/>
  <c r="Z870" i="1" a="1"/>
  <c r="Z870" i="1"/>
  <c r="Z871" i="1" a="1"/>
  <c r="Z871" i="1" s="1"/>
  <c r="Z872" i="1" a="1"/>
  <c r="Z872" i="1"/>
  <c r="Z873" i="1" a="1"/>
  <c r="Z873" i="1" s="1"/>
  <c r="Z874" i="1" a="1"/>
  <c r="Z874" i="1" s="1"/>
  <c r="Z875" i="1" a="1"/>
  <c r="Z875" i="1" s="1"/>
  <c r="Z876" i="1" a="1"/>
  <c r="Z876" i="1"/>
  <c r="Z877" i="1" a="1"/>
  <c r="Z877" i="1"/>
  <c r="Z878" i="1" a="1"/>
  <c r="Z878" i="1"/>
  <c r="Z879" i="1" a="1"/>
  <c r="Z879" i="1" s="1"/>
  <c r="Z880" i="1" a="1"/>
  <c r="Z880" i="1" s="1"/>
  <c r="Z881" i="1" a="1"/>
  <c r="Z881" i="1"/>
  <c r="Z882" i="1" a="1"/>
  <c r="Z882" i="1"/>
  <c r="Z883" i="1" a="1"/>
  <c r="Z883" i="1" s="1"/>
  <c r="Z884" i="1" a="1"/>
  <c r="Z884" i="1"/>
  <c r="Z885" i="1" a="1"/>
  <c r="Z885" i="1" s="1"/>
  <c r="Z886" i="1" a="1"/>
  <c r="Z886" i="1" s="1"/>
  <c r="Z887" i="1" a="1"/>
  <c r="Z887" i="1" s="1"/>
  <c r="Z888" i="1" a="1"/>
  <c r="Z888" i="1"/>
  <c r="Z889" i="1" a="1"/>
  <c r="Z889" i="1" s="1"/>
  <c r="Z890" i="1" a="1"/>
  <c r="Z890" i="1"/>
  <c r="Z891" i="1" a="1"/>
  <c r="Z891" i="1" s="1"/>
  <c r="Z892" i="1" a="1"/>
  <c r="Z892" i="1" s="1"/>
  <c r="Z893" i="1" a="1"/>
  <c r="Z893" i="1" s="1"/>
  <c r="Z894" i="1" a="1"/>
  <c r="Z894" i="1"/>
  <c r="Z895" i="1" a="1"/>
  <c r="Z895" i="1" s="1"/>
  <c r="Z896" i="1" a="1"/>
  <c r="Z896" i="1"/>
  <c r="Z897" i="1" a="1"/>
  <c r="Z897" i="1" s="1"/>
  <c r="Z898" i="1" a="1"/>
  <c r="Z898" i="1" s="1"/>
  <c r="Z899" i="1" a="1"/>
  <c r="Z899" i="1"/>
  <c r="Z900" i="1" a="1"/>
  <c r="Z900" i="1"/>
  <c r="Z901" i="1" a="1"/>
  <c r="Z901" i="1" s="1"/>
  <c r="Z902" i="1" a="1"/>
  <c r="Z902" i="1"/>
  <c r="Z903" i="1" a="1"/>
  <c r="Z903" i="1" s="1"/>
  <c r="Z904" i="1" a="1"/>
  <c r="Z904" i="1" s="1"/>
  <c r="Z905" i="1" a="1"/>
  <c r="Z905" i="1" s="1"/>
  <c r="Z906" i="1" a="1"/>
  <c r="Z906" i="1"/>
  <c r="Z907" i="1" a="1"/>
  <c r="Z907" i="1" s="1"/>
  <c r="Z908" i="1" a="1"/>
  <c r="Z908" i="1"/>
  <c r="Z909" i="1" a="1"/>
  <c r="Z909" i="1" s="1"/>
  <c r="Z910" i="1" a="1"/>
  <c r="Z910" i="1" s="1"/>
  <c r="Z911" i="1" a="1"/>
  <c r="Z911" i="1" s="1"/>
  <c r="Z912" i="1" a="1"/>
  <c r="Z912" i="1"/>
  <c r="Z913" i="1" a="1"/>
  <c r="Z913" i="1"/>
  <c r="Z914" i="1" a="1"/>
  <c r="Z914" i="1"/>
  <c r="Z915" i="1" a="1"/>
  <c r="Z915" i="1" s="1"/>
  <c r="Z916" i="1" a="1"/>
  <c r="Z916" i="1" s="1"/>
  <c r="Z917" i="1" a="1"/>
  <c r="Z917" i="1" s="1"/>
  <c r="Z918" i="1" a="1"/>
  <c r="Z918" i="1"/>
  <c r="Z919" i="1" a="1"/>
  <c r="Z919" i="1" s="1"/>
  <c r="Z920" i="1" a="1"/>
  <c r="Z920" i="1"/>
  <c r="Z921" i="1" a="1"/>
  <c r="Z921" i="1" s="1"/>
  <c r="Z922" i="1" a="1"/>
  <c r="Z922" i="1" s="1"/>
  <c r="Z923" i="1" a="1"/>
  <c r="Z923" i="1" s="1"/>
  <c r="Z924" i="1" a="1"/>
  <c r="Z924" i="1"/>
  <c r="Z925" i="1" a="1"/>
  <c r="Z925" i="1" s="1"/>
  <c r="Z926" i="1" a="1"/>
  <c r="Z926" i="1"/>
  <c r="Z927" i="1" a="1"/>
  <c r="Z927" i="1" s="1"/>
  <c r="Z928" i="1" a="1"/>
  <c r="Z928" i="1" s="1"/>
  <c r="Z929" i="1" a="1"/>
  <c r="Z929" i="1" s="1"/>
  <c r="Z930" i="1" a="1"/>
  <c r="Z930" i="1"/>
  <c r="Z931" i="1" a="1"/>
  <c r="Z931" i="1" s="1"/>
  <c r="Z932" i="1" a="1"/>
  <c r="Z932" i="1"/>
  <c r="Z933" i="1" a="1"/>
  <c r="Z933" i="1" s="1"/>
  <c r="Z934" i="1" a="1"/>
  <c r="Z934" i="1" s="1"/>
  <c r="Z935" i="1" a="1"/>
  <c r="Z935" i="1"/>
  <c r="Z936" i="1" a="1"/>
  <c r="Z936" i="1"/>
  <c r="Z937" i="1" a="1"/>
  <c r="Z937" i="1" s="1"/>
  <c r="Z938" i="1" a="1"/>
  <c r="Z938" i="1" s="1"/>
  <c r="Z939" i="1" a="1"/>
  <c r="Z939" i="1" s="1"/>
  <c r="Z940" i="1" a="1"/>
  <c r="Z940" i="1" s="1"/>
  <c r="Z941" i="1" a="1"/>
  <c r="Z941" i="1"/>
  <c r="Z942" i="1" a="1"/>
  <c r="Z942" i="1"/>
  <c r="Z943" i="1" a="1"/>
  <c r="Z943" i="1" s="1"/>
  <c r="Z944" i="1" a="1"/>
  <c r="Z944" i="1" s="1"/>
  <c r="Z945" i="1" a="1"/>
  <c r="Z945" i="1" s="1"/>
  <c r="Z946" i="1" a="1"/>
  <c r="Z946" i="1" s="1"/>
  <c r="Z947" i="1" a="1"/>
  <c r="Z947" i="1" s="1"/>
  <c r="Z948" i="1" a="1"/>
  <c r="Z948" i="1"/>
  <c r="Z949" i="1" a="1"/>
  <c r="Z949" i="1" s="1"/>
  <c r="Z950" i="1" a="1"/>
  <c r="Z950" i="1" s="1"/>
  <c r="Z951" i="1" a="1"/>
  <c r="Z951" i="1" s="1"/>
  <c r="Z952" i="1" a="1"/>
  <c r="Z952" i="1" s="1"/>
  <c r="Z953" i="1" a="1"/>
  <c r="Z953" i="1"/>
  <c r="Z954" i="1" a="1"/>
  <c r="Z954" i="1"/>
  <c r="Z955" i="1" a="1"/>
  <c r="Z955" i="1"/>
  <c r="Z956" i="1" a="1"/>
  <c r="Z956" i="1" s="1"/>
  <c r="Z957" i="1" a="1"/>
  <c r="Z957" i="1" s="1"/>
  <c r="Z958" i="1" a="1"/>
  <c r="Z958" i="1" s="1"/>
  <c r="Z959" i="1" a="1"/>
  <c r="Z959" i="1"/>
  <c r="Z960" i="1" a="1"/>
  <c r="Z960" i="1" s="1"/>
  <c r="Z961" i="1" a="1"/>
  <c r="Z961" i="1" s="1"/>
  <c r="Z962" i="1" a="1"/>
  <c r="Z962" i="1" s="1"/>
  <c r="Z963" i="1" a="1"/>
  <c r="Z963" i="1" s="1"/>
  <c r="Z964" i="1" a="1"/>
  <c r="Z964" i="1" s="1"/>
  <c r="Z965" i="1" a="1"/>
  <c r="Z965" i="1"/>
  <c r="Z966" i="1" a="1"/>
  <c r="Z966" i="1"/>
  <c r="Z967" i="1" a="1"/>
  <c r="Z967" i="1" s="1"/>
  <c r="Z968" i="1" a="1"/>
  <c r="Z968" i="1" s="1"/>
  <c r="Z969" i="1" a="1"/>
  <c r="Z969" i="1" s="1"/>
  <c r="Z970" i="1" a="1"/>
  <c r="Z970" i="1" s="1"/>
  <c r="Z971" i="1" a="1"/>
  <c r="Z971" i="1" s="1"/>
  <c r="Z972" i="1" a="1"/>
  <c r="Z972" i="1" s="1"/>
  <c r="Z973" i="1" a="1"/>
  <c r="Z973" i="1" s="1"/>
  <c r="Z974" i="1" a="1"/>
  <c r="Z974" i="1" s="1"/>
  <c r="Z975" i="1" a="1"/>
  <c r="Z975" i="1" s="1"/>
  <c r="Z976" i="1" a="1"/>
  <c r="Z976" i="1" s="1"/>
  <c r="Z977" i="1" a="1"/>
  <c r="Z977" i="1"/>
  <c r="Z978" i="1" a="1"/>
  <c r="Z978" i="1"/>
  <c r="Z979" i="1" a="1"/>
  <c r="Z979" i="1"/>
  <c r="Z980" i="1" a="1"/>
  <c r="Z980" i="1" s="1"/>
  <c r="Z981" i="1" a="1"/>
  <c r="Z981" i="1" s="1"/>
  <c r="Z982" i="1" a="1"/>
  <c r="Z982" i="1" s="1"/>
  <c r="Z983" i="1" a="1"/>
  <c r="Z983" i="1"/>
  <c r="Z984" i="1" a="1"/>
  <c r="Z984" i="1" s="1"/>
  <c r="Z985" i="1" a="1"/>
  <c r="Z985" i="1" s="1"/>
  <c r="Z986" i="1" a="1"/>
  <c r="Z986" i="1" s="1"/>
  <c r="Z987" i="1" a="1"/>
  <c r="Z987" i="1" s="1"/>
  <c r="Z988" i="1" a="1"/>
  <c r="Z988" i="1" s="1"/>
  <c r="Z989" i="1" a="1"/>
  <c r="Z989" i="1"/>
  <c r="Z990" i="1" a="1"/>
  <c r="Z990" i="1"/>
  <c r="Z991" i="1" a="1"/>
  <c r="Z991" i="1"/>
  <c r="Z992" i="1" a="1"/>
  <c r="Z992" i="1" s="1"/>
  <c r="Z993" i="1" a="1"/>
  <c r="Z993" i="1" s="1"/>
  <c r="Z994" i="1" a="1"/>
  <c r="Z994" i="1" s="1"/>
  <c r="Z995" i="1" a="1"/>
  <c r="Z995" i="1" s="1"/>
  <c r="Z996" i="1" a="1"/>
  <c r="Z996" i="1" s="1"/>
  <c r="Z997" i="1" a="1"/>
  <c r="Z997" i="1" s="1"/>
  <c r="Z998" i="1" a="1"/>
  <c r="Z998" i="1" s="1"/>
  <c r="Z999" i="1" a="1"/>
  <c r="Z999" i="1" s="1"/>
  <c r="Z1000" i="1" a="1"/>
  <c r="Z1000" i="1" s="1"/>
  <c r="Z1001" i="1" a="1"/>
  <c r="Z1001" i="1"/>
  <c r="Z1002" i="1" a="1"/>
  <c r="Z1002" i="1"/>
  <c r="Z1003" i="1" a="1"/>
  <c r="Z1003" i="1"/>
  <c r="Z1004" i="1" a="1"/>
  <c r="Z1004" i="1" s="1"/>
  <c r="Z1005" i="1" a="1"/>
  <c r="Z1005" i="1" s="1"/>
  <c r="Z1006" i="1" a="1"/>
  <c r="Z1006" i="1" s="1"/>
  <c r="Z1007" i="1" a="1"/>
  <c r="Z1007" i="1"/>
  <c r="Z1008" i="1" a="1"/>
  <c r="Z1008" i="1" s="1"/>
  <c r="Z1009" i="1" a="1"/>
  <c r="Z1009" i="1" s="1"/>
  <c r="Z1010" i="1" a="1"/>
  <c r="Z1010" i="1" s="1"/>
  <c r="Z1011" i="1" a="1"/>
  <c r="Z1011" i="1" s="1"/>
  <c r="Z1012" i="1" a="1"/>
  <c r="Z1012" i="1" s="1"/>
  <c r="Z1013" i="1" a="1"/>
  <c r="Z1013" i="1"/>
  <c r="Z1014" i="1" a="1"/>
  <c r="Z1014" i="1"/>
  <c r="Z1015" i="1" a="1"/>
  <c r="Z1015" i="1" s="1"/>
  <c r="Z1016" i="1" a="1"/>
  <c r="Z1016" i="1" s="1"/>
  <c r="Z1017" i="1" a="1"/>
  <c r="Z1017" i="1" s="1"/>
  <c r="Z1018" i="1" a="1"/>
  <c r="Z1018" i="1" s="1"/>
  <c r="Z1019" i="1" a="1"/>
  <c r="Z1019" i="1" s="1"/>
  <c r="Z1020" i="1" a="1"/>
  <c r="Z1020" i="1" s="1"/>
  <c r="Z1021" i="1" a="1"/>
  <c r="Z1021" i="1" s="1"/>
  <c r="Z1022" i="1" a="1"/>
  <c r="Z1022" i="1" s="1"/>
  <c r="Z1023" i="1" a="1"/>
  <c r="Z1023" i="1" s="1"/>
  <c r="Z1024" i="1" a="1"/>
  <c r="Z1024" i="1" s="1"/>
  <c r="Z1025" i="1" a="1"/>
  <c r="Z1025" i="1"/>
  <c r="Z1026" i="1" a="1"/>
  <c r="Z1026" i="1"/>
  <c r="Z1027" i="1" a="1"/>
  <c r="Z1027" i="1"/>
  <c r="Z1028" i="1" a="1"/>
  <c r="Z1028" i="1" s="1"/>
  <c r="Z1029" i="1" a="1"/>
  <c r="Z1029" i="1" s="1"/>
  <c r="Z1030" i="1" a="1"/>
  <c r="Z1030" i="1" s="1"/>
  <c r="Z1031" i="1" a="1"/>
  <c r="Z1031" i="1"/>
  <c r="Z1032" i="1" a="1"/>
  <c r="Z1032" i="1" s="1"/>
  <c r="Z1033" i="1" a="1"/>
  <c r="Z1033" i="1" s="1"/>
  <c r="Z1034" i="1" a="1"/>
  <c r="Z1034" i="1" s="1"/>
  <c r="Z1035" i="1" a="1"/>
  <c r="Z1035" i="1" s="1"/>
  <c r="Z1036" i="1" a="1"/>
  <c r="Z1036" i="1" s="1"/>
  <c r="Z1037" i="1" a="1"/>
  <c r="Z1037" i="1"/>
  <c r="Z1038" i="1" a="1"/>
  <c r="Z1038" i="1"/>
  <c r="Z1039" i="1" a="1"/>
  <c r="Z1039" i="1"/>
  <c r="Z1040" i="1" a="1"/>
  <c r="Z1040" i="1" s="1"/>
  <c r="Z1041" i="1" a="1"/>
  <c r="Z1041" i="1" s="1"/>
  <c r="Z1042" i="1" a="1"/>
  <c r="Z1042" i="1" s="1"/>
  <c r="Z1043" i="1" a="1"/>
  <c r="Z1043" i="1" s="1"/>
  <c r="Z1044" i="1" a="1"/>
  <c r="Z1044" i="1" s="1"/>
  <c r="Z1045" i="1" a="1"/>
  <c r="Z1045" i="1" s="1"/>
  <c r="Z1046" i="1" a="1"/>
  <c r="Z1046" i="1" s="1"/>
  <c r="Z1047" i="1" a="1"/>
  <c r="Z1047" i="1" s="1"/>
  <c r="Z1048" i="1" a="1"/>
  <c r="Z1048" i="1" s="1"/>
  <c r="Z1049" i="1" a="1"/>
  <c r="Z1049" i="1"/>
  <c r="Z1050" i="1" a="1"/>
  <c r="Z1050" i="1"/>
  <c r="Z1051" i="1" a="1"/>
  <c r="Z1051" i="1"/>
  <c r="Z1052" i="1" a="1"/>
  <c r="Z1052" i="1"/>
  <c r="Z1053" i="1" a="1"/>
  <c r="Z1053" i="1" s="1"/>
  <c r="Z1054" i="1" a="1"/>
  <c r="Z1054" i="1" s="1"/>
  <c r="Z1055" i="1" a="1"/>
  <c r="Z1055" i="1" s="1"/>
  <c r="Z1056" i="1" a="1"/>
  <c r="Z1056" i="1"/>
  <c r="Z1057" i="1" a="1"/>
  <c r="Z1057" i="1"/>
  <c r="Z1058" i="1" a="1"/>
  <c r="Z1058" i="1"/>
  <c r="Z1059" i="1" a="1"/>
  <c r="Z1059" i="1" s="1"/>
  <c r="Z1060" i="1" a="1"/>
  <c r="Z1060" i="1" s="1"/>
  <c r="Z1061" i="1" a="1"/>
  <c r="Z1061" i="1"/>
  <c r="Z1062" i="1" a="1"/>
  <c r="Z1062" i="1" s="1"/>
  <c r="Z1063" i="1" a="1"/>
  <c r="Z1063" i="1"/>
  <c r="Z1064" i="1" a="1"/>
  <c r="Z1064" i="1"/>
  <c r="Z1065" i="1" a="1"/>
  <c r="Z1065" i="1" s="1"/>
  <c r="Z1066" i="1" a="1"/>
  <c r="Z1066" i="1" s="1"/>
  <c r="Z1067" i="1" a="1"/>
  <c r="Z1067" i="1"/>
  <c r="Z1068" i="1" a="1"/>
  <c r="Z1068" i="1"/>
  <c r="Z1069" i="1" a="1"/>
  <c r="Z1069" i="1" s="1"/>
  <c r="Z1070" i="1" a="1"/>
  <c r="Z1070" i="1"/>
  <c r="Z1071" i="1" a="1"/>
  <c r="Z1071" i="1" s="1"/>
  <c r="Z1072" i="1" a="1"/>
  <c r="Z1072" i="1" s="1"/>
  <c r="Z1073" i="1" a="1"/>
  <c r="Z1073" i="1"/>
  <c r="Z1074" i="1" a="1"/>
  <c r="Z1074" i="1"/>
  <c r="Z1075" i="1" a="1"/>
  <c r="Z1075" i="1"/>
  <c r="Z1076" i="1" a="1"/>
  <c r="Z1076" i="1" s="1"/>
  <c r="Z1077" i="1" a="1"/>
  <c r="Z1077" i="1" s="1"/>
  <c r="Z1078" i="1" a="1"/>
  <c r="Z1078" i="1" s="1"/>
  <c r="Z1079" i="1" a="1"/>
  <c r="Z1079" i="1"/>
  <c r="Z1080" i="1" a="1"/>
  <c r="Z1080" i="1"/>
  <c r="Z1081" i="1" a="1"/>
  <c r="Z1081" i="1"/>
  <c r="Z1082" i="1" a="1"/>
  <c r="Z1082" i="1"/>
  <c r="Z1083" i="1" a="1"/>
  <c r="Z1083" i="1" s="1"/>
  <c r="Z1084" i="1" a="1"/>
  <c r="Z1084" i="1" s="1"/>
  <c r="Z1085" i="1" a="1"/>
  <c r="Z1085" i="1"/>
  <c r="Z1086" i="1" a="1"/>
  <c r="Z1086" i="1"/>
  <c r="Z1087" i="1" a="1"/>
  <c r="Z1087" i="1"/>
  <c r="Z1088" i="1" a="1"/>
  <c r="Z1088" i="1"/>
  <c r="Z1089" i="1" a="1"/>
  <c r="Z1089" i="1" s="1"/>
  <c r="Z1090" i="1" a="1"/>
  <c r="Z1090" i="1" s="1"/>
  <c r="Z1091" i="1" a="1"/>
  <c r="Z1091" i="1" s="1"/>
  <c r="Z1092" i="1" a="1"/>
  <c r="Z1092" i="1"/>
  <c r="Z1093" i="1" a="1"/>
  <c r="Z1093" i="1"/>
  <c r="Z1094" i="1" a="1"/>
  <c r="Z1094" i="1"/>
  <c r="Z1095" i="1" a="1"/>
  <c r="Z1095" i="1" s="1"/>
  <c r="Z1096" i="1" a="1"/>
  <c r="Z1096" i="1" s="1"/>
  <c r="Z1097" i="1" a="1"/>
  <c r="Z1097" i="1"/>
  <c r="Z1098" i="1" a="1"/>
  <c r="Z1098" i="1" s="1"/>
  <c r="Z1099" i="1" a="1"/>
  <c r="Z1099" i="1"/>
  <c r="Z1100" i="1" a="1"/>
  <c r="Z1100" i="1"/>
  <c r="Z1101" i="1" a="1"/>
  <c r="Z1101" i="1" s="1"/>
  <c r="Z1102" i="1" a="1"/>
  <c r="Z1102" i="1" s="1"/>
  <c r="Z1103" i="1" a="1"/>
  <c r="Z1103" i="1" s="1"/>
  <c r="Z1104" i="1" a="1"/>
  <c r="Z1104" i="1"/>
  <c r="Z1105" i="1" a="1"/>
  <c r="Z1105" i="1"/>
  <c r="Z1106" i="1" a="1"/>
  <c r="Z1106" i="1"/>
  <c r="Z1107" i="1" a="1"/>
  <c r="Z1107" i="1" s="1"/>
  <c r="Z1108" i="1" a="1"/>
  <c r="Z1108" i="1" s="1"/>
  <c r="Z1109" i="1" a="1"/>
  <c r="Z1109" i="1"/>
  <c r="Z1110" i="1" a="1"/>
  <c r="Z1110" i="1" s="1"/>
  <c r="Z1111" i="1" a="1"/>
  <c r="Z1111" i="1"/>
  <c r="Z1112" i="1" a="1"/>
  <c r="Z1112" i="1" s="1"/>
  <c r="Z1113" i="1" a="1"/>
  <c r="Z1113" i="1" s="1"/>
  <c r="Z1114" i="1" a="1"/>
  <c r="Z1114" i="1" s="1"/>
  <c r="Z1115" i="1" a="1"/>
  <c r="Z1115" i="1"/>
  <c r="Z1116" i="1" a="1"/>
  <c r="Z1116" i="1"/>
  <c r="Z1117" i="1" a="1"/>
  <c r="Z1117" i="1" s="1"/>
  <c r="Z1118" i="1" a="1"/>
  <c r="Z1118" i="1"/>
  <c r="Z1119" i="1" a="1"/>
  <c r="Z1119" i="1" s="1"/>
  <c r="Z1120" i="1" a="1"/>
  <c r="Z1120" i="1" s="1"/>
  <c r="Z1121" i="1" a="1"/>
  <c r="Z1121" i="1"/>
  <c r="Z1122" i="1" a="1"/>
  <c r="Z1122" i="1"/>
  <c r="Z1123" i="1" a="1"/>
  <c r="Z1123" i="1"/>
  <c r="Z1124" i="1" a="1"/>
  <c r="Z1124" i="1" s="1"/>
  <c r="Z1125" i="1" a="1"/>
  <c r="Z1125" i="1" s="1"/>
  <c r="Z1126" i="1" a="1"/>
  <c r="Z1126" i="1" s="1"/>
  <c r="Z1127" i="1" a="1"/>
  <c r="Z1127" i="1" s="1"/>
  <c r="Z1128" i="1" a="1"/>
  <c r="Z1128" i="1"/>
  <c r="Z1129" i="1" a="1"/>
  <c r="Z1129" i="1"/>
  <c r="Z1130" i="1" a="1"/>
  <c r="Z1130" i="1"/>
  <c r="Z1131" i="1" a="1"/>
  <c r="Z1131" i="1" s="1"/>
  <c r="Z1132" i="1" a="1"/>
  <c r="Z1132" i="1" s="1"/>
  <c r="Z1133" i="1" a="1"/>
  <c r="Z1133" i="1" s="1"/>
  <c r="Z1134" i="1" a="1"/>
  <c r="Z1134" i="1"/>
  <c r="Z1135" i="1" a="1"/>
  <c r="Z1135" i="1"/>
  <c r="Z1136" i="1" a="1"/>
  <c r="Z1136" i="1"/>
  <c r="Z1137" i="1" a="1"/>
  <c r="Z1137" i="1" s="1"/>
  <c r="Z1138" i="1" a="1"/>
  <c r="Z1138" i="1" s="1"/>
  <c r="Z1139" i="1" a="1"/>
  <c r="Z1139" i="1" s="1"/>
  <c r="Z1140" i="1" a="1"/>
  <c r="Z1140" i="1" s="1"/>
  <c r="Z1141" i="1" a="1"/>
  <c r="Z1141" i="1"/>
  <c r="Z1142" i="1" a="1"/>
  <c r="Z1142" i="1"/>
  <c r="Z1143" i="1" a="1"/>
  <c r="Z1143" i="1" s="1"/>
  <c r="Z1144" i="1" a="1"/>
  <c r="Z1144" i="1" s="1"/>
  <c r="Z1145" i="1" a="1"/>
  <c r="Z1145" i="1"/>
  <c r="Z1146" i="1" a="1"/>
  <c r="Z1146" i="1" s="1"/>
  <c r="Z1147" i="1" a="1"/>
  <c r="Z1147" i="1" s="1"/>
  <c r="Z1148" i="1" a="1"/>
  <c r="Z1148" i="1"/>
  <c r="Z1149" i="1" a="1"/>
  <c r="Z1149" i="1" s="1"/>
  <c r="Z1150" i="1" a="1"/>
  <c r="Z1150" i="1" s="1"/>
  <c r="Z1151" i="1" a="1"/>
  <c r="Z1151" i="1" s="1"/>
  <c r="Z1152" i="1" a="1"/>
  <c r="Z1152" i="1"/>
  <c r="Z1153" i="1" a="1"/>
  <c r="Z1153" i="1" s="1"/>
  <c r="Z1154" i="1" a="1"/>
  <c r="Z1154" i="1" s="1"/>
  <c r="Z1155" i="1" a="1"/>
  <c r="Z1155" i="1" s="1"/>
  <c r="Z1156" i="1" a="1"/>
  <c r="Z1156" i="1" s="1"/>
  <c r="Z1157" i="1" a="1"/>
  <c r="Z1157" i="1" s="1"/>
  <c r="Z1158" i="1" a="1"/>
  <c r="Z1158" i="1" s="1"/>
  <c r="Z1159" i="1" a="1"/>
  <c r="Z1159" i="1"/>
  <c r="Z1160" i="1" a="1"/>
  <c r="Z1160" i="1" s="1"/>
  <c r="Z1161" i="1" a="1"/>
  <c r="Z1161" i="1" s="1"/>
  <c r="Z1162" i="1" a="1"/>
  <c r="Z1162" i="1" s="1"/>
  <c r="Z1163" i="1" a="1"/>
  <c r="Z1163" i="1"/>
  <c r="Z1164" i="1" a="1"/>
  <c r="Z1164" i="1" s="1"/>
  <c r="Z1165" i="1" a="1"/>
  <c r="Z1165" i="1" s="1"/>
  <c r="Z1166" i="1" a="1"/>
  <c r="Z1166" i="1"/>
  <c r="Z1167" i="1" a="1"/>
  <c r="Z1167" i="1" s="1"/>
  <c r="Z1168" i="1" a="1"/>
  <c r="Z1168" i="1" s="1"/>
  <c r="Z1169" i="1" a="1"/>
  <c r="Z1169" i="1" s="1"/>
  <c r="Z1170" i="1" a="1"/>
  <c r="Z1170" i="1" s="1"/>
  <c r="Z1171" i="1" a="1"/>
  <c r="Z1171" i="1" s="1"/>
  <c r="Z1172" i="1" a="1"/>
  <c r="Z1172" i="1" s="1"/>
  <c r="Z1173" i="1" a="1"/>
  <c r="Z1173" i="1" s="1"/>
  <c r="Z1174" i="1" a="1"/>
  <c r="Z1174" i="1" s="1"/>
  <c r="Z1175" i="1" a="1"/>
  <c r="Z1175" i="1" s="1"/>
  <c r="Z1176" i="1" a="1"/>
  <c r="Z1176" i="1" s="1"/>
  <c r="Z1177" i="1" a="1"/>
  <c r="Z1177" i="1" s="1"/>
  <c r="Z1178" i="1" a="1"/>
  <c r="Z1178" i="1" s="1"/>
  <c r="Z1179" i="1" a="1"/>
  <c r="Z1179" i="1" s="1"/>
  <c r="Z1180" i="1" a="1"/>
  <c r="Z1180" i="1" s="1"/>
  <c r="Z1181" i="1" a="1"/>
  <c r="Z1181" i="1"/>
  <c r="Z1182" i="1" a="1"/>
  <c r="Z1182" i="1" s="1"/>
  <c r="Z1183" i="1" a="1"/>
  <c r="Z1183" i="1" s="1"/>
  <c r="Z1184" i="1" a="1"/>
  <c r="Z1184" i="1"/>
  <c r="Z1185" i="1" a="1"/>
  <c r="Z1185" i="1" s="1"/>
  <c r="Z1186" i="1" a="1"/>
  <c r="Z1186" i="1" s="1"/>
  <c r="Z1187" i="1" a="1"/>
  <c r="Z1187" i="1" s="1"/>
  <c r="Z1188" i="1" a="1"/>
  <c r="Z1188" i="1"/>
  <c r="Z1189" i="1" a="1"/>
  <c r="Z1189" i="1" s="1"/>
  <c r="Z1190" i="1" a="1"/>
  <c r="Z1190" i="1" s="1"/>
  <c r="Z1191" i="1" a="1"/>
  <c r="Z1191" i="1" s="1"/>
  <c r="Z1192" i="1" a="1"/>
  <c r="Z1192" i="1" s="1"/>
  <c r="Z1193" i="1" a="1"/>
  <c r="Z1193" i="1" s="1"/>
  <c r="Z1194" i="1" a="1"/>
  <c r="Z1194" i="1" s="1"/>
  <c r="Z1195" i="1" a="1"/>
  <c r="Z1195" i="1"/>
  <c r="Z1196" i="1" a="1"/>
  <c r="Z1196" i="1" s="1"/>
  <c r="Z1197" i="1" a="1"/>
  <c r="Z1197" i="1" s="1"/>
  <c r="Z1198" i="1" a="1"/>
  <c r="Z1198" i="1" s="1"/>
  <c r="Z1199" i="1" a="1"/>
  <c r="Z1199" i="1"/>
  <c r="Z1200" i="1" a="1"/>
  <c r="Z1200" i="1" s="1"/>
  <c r="Z1201" i="1" a="1"/>
  <c r="Z1201" i="1" s="1"/>
  <c r="Z1202" i="1" a="1"/>
  <c r="Z1202" i="1"/>
  <c r="Z1203" i="1" a="1"/>
  <c r="Z1203" i="1" s="1"/>
  <c r="Z1204" i="1" a="1"/>
  <c r="Z1204" i="1" s="1"/>
  <c r="Z1205" i="1" a="1"/>
  <c r="Z1205" i="1" s="1"/>
  <c r="Z1206" i="1" a="1"/>
  <c r="Z1206" i="1" s="1"/>
  <c r="Z1207" i="1" a="1"/>
  <c r="Z1207" i="1" s="1"/>
  <c r="Z1208" i="1" a="1"/>
  <c r="Z1208" i="1" s="1"/>
  <c r="Z1209" i="1" a="1"/>
  <c r="Z1209" i="1" s="1"/>
  <c r="Z1210" i="1" a="1"/>
  <c r="Z1210" i="1"/>
  <c r="Z1211" i="1" a="1"/>
  <c r="Z1211" i="1"/>
  <c r="Z1212" i="1" a="1"/>
  <c r="Z1212" i="1"/>
  <c r="Z1213" i="1" a="1"/>
  <c r="Z1213" i="1" s="1"/>
  <c r="Z1214" i="1" a="1"/>
  <c r="Z1214" i="1" s="1"/>
  <c r="Z1215" i="1" a="1"/>
  <c r="Z1215" i="1" s="1"/>
  <c r="Z1216" i="1" a="1"/>
  <c r="Z1216" i="1"/>
  <c r="Z1217" i="1" a="1"/>
  <c r="Z1217" i="1" s="1"/>
  <c r="Z1218" i="1" a="1"/>
  <c r="Z1218" i="1" s="1"/>
  <c r="Z1219" i="1" a="1"/>
  <c r="Z1219" i="1" s="1"/>
  <c r="Z1220" i="1" a="1"/>
  <c r="Z1220" i="1" s="1"/>
  <c r="Z1221" i="1" a="1"/>
  <c r="Z1221" i="1" s="1"/>
  <c r="Z1222" i="1" a="1"/>
  <c r="Z1222" i="1"/>
  <c r="Z1223" i="1" a="1"/>
  <c r="Z1223" i="1"/>
  <c r="Z1224" i="1" a="1"/>
  <c r="Z1224" i="1"/>
  <c r="Z1225" i="1" a="1"/>
  <c r="Z1225" i="1"/>
  <c r="Z1226" i="1" a="1"/>
  <c r="Z1226" i="1" s="1"/>
  <c r="Z1227" i="1" a="1"/>
  <c r="Z1227" i="1" s="1"/>
  <c r="Z1228" i="1" a="1"/>
  <c r="Z1228" i="1" s="1"/>
  <c r="Z1229" i="1" a="1"/>
  <c r="Z1229" i="1"/>
  <c r="Z1230" i="1" a="1"/>
  <c r="Z1230" i="1" s="1"/>
  <c r="Z1231" i="1" a="1"/>
  <c r="Z1231" i="1" s="1"/>
  <c r="Z1232" i="1" a="1"/>
  <c r="Z1232" i="1"/>
  <c r="Z1233" i="1" a="1"/>
  <c r="Z1233" i="1" s="1"/>
  <c r="Z1234" i="1" a="1"/>
  <c r="Z1234" i="1" s="1"/>
  <c r="Z1235" i="1" a="1"/>
  <c r="Z1235" i="1"/>
  <c r="Z1236" i="1" a="1"/>
  <c r="Z1236" i="1"/>
  <c r="Z1237" i="1" a="1"/>
  <c r="Z1237" i="1"/>
  <c r="Z1238" i="1" a="1"/>
  <c r="Z1238" i="1"/>
  <c r="Z1239" i="1" a="1"/>
  <c r="Z1239" i="1" s="1"/>
  <c r="Z1240" i="1" a="1"/>
  <c r="Z1240" i="1" s="1"/>
  <c r="Z1241" i="1" a="1"/>
  <c r="Z1241" i="1" s="1"/>
  <c r="Z1242" i="1" a="1"/>
  <c r="Z1242" i="1"/>
  <c r="Z1243" i="1" a="1"/>
  <c r="Z1243" i="1" s="1"/>
  <c r="Z1244" i="1" a="1"/>
  <c r="Z1244" i="1" s="1"/>
  <c r="Z1245" i="1" a="1"/>
  <c r="Z1245" i="1" s="1"/>
  <c r="Z1246" i="1" a="1"/>
  <c r="Z1246" i="1" s="1"/>
  <c r="Z1247" i="1" a="1"/>
  <c r="Z1247" i="1" s="1"/>
  <c r="Z1248" i="1" a="1"/>
  <c r="Z1248" i="1"/>
  <c r="Z1249" i="1" a="1"/>
  <c r="Z1249" i="1"/>
  <c r="Z1250" i="1" a="1"/>
  <c r="Z1250" i="1"/>
  <c r="Z1251" i="1" a="1"/>
  <c r="Z1251" i="1" s="1"/>
  <c r="Z1252" i="1" a="1"/>
  <c r="Z1252" i="1" s="1"/>
  <c r="Z1253" i="1" a="1"/>
  <c r="Z1253" i="1" s="1"/>
  <c r="Z1254" i="1" a="1"/>
  <c r="Z1254" i="1" s="1"/>
  <c r="Z1255" i="1" a="1"/>
  <c r="Z1255" i="1"/>
  <c r="Z1256" i="1" a="1"/>
  <c r="Z1256" i="1" s="1"/>
  <c r="Z1257" i="1" a="1"/>
  <c r="Z1257" i="1" s="1"/>
  <c r="Z1258" i="1" a="1"/>
  <c r="Z1258" i="1"/>
  <c r="Z1259" i="1" a="1"/>
  <c r="Z1259" i="1" s="1"/>
  <c r="Z1260" i="1" a="1"/>
  <c r="Z1260" i="1" s="1"/>
  <c r="Z1261" i="1" a="1"/>
  <c r="Z1261" i="1"/>
  <c r="Z1262" i="1" a="1"/>
  <c r="Z1262" i="1"/>
  <c r="Z1263" i="1" a="1"/>
  <c r="Z1263" i="1" s="1"/>
  <c r="Z1264" i="1" a="1"/>
  <c r="Z1264" i="1" s="1"/>
  <c r="Z1265" i="1" a="1"/>
  <c r="Z1265" i="1"/>
  <c r="Z1266" i="1" a="1"/>
  <c r="Z1266" i="1" s="1"/>
  <c r="Z1267" i="1" a="1"/>
  <c r="Z1267" i="1" s="1"/>
  <c r="Z1268" i="1" a="1"/>
  <c r="Z1268" i="1"/>
  <c r="Z1269" i="1" a="1"/>
  <c r="Z1269" i="1" s="1"/>
  <c r="Z1270" i="1" a="1"/>
  <c r="Z1270" i="1"/>
  <c r="Z1271" i="1" a="1"/>
  <c r="Z1271" i="1"/>
  <c r="Z1272" i="1" a="1"/>
  <c r="Z1272" i="1" s="1"/>
  <c r="Z1273" i="1" a="1"/>
  <c r="Z1273" i="1" s="1"/>
  <c r="Z1274" i="1" a="1"/>
  <c r="Z1274" i="1"/>
  <c r="Z1275" i="1" a="1"/>
  <c r="Z1275" i="1"/>
  <c r="Z1276" i="1" a="1"/>
  <c r="Z1276" i="1"/>
  <c r="Z1277" i="1" a="1"/>
  <c r="Z1277" i="1"/>
  <c r="Z1278" i="1" a="1"/>
  <c r="Z1278" i="1"/>
  <c r="Z1279" i="1" a="1"/>
  <c r="Z1279" i="1" s="1"/>
  <c r="Z1280" i="1" a="1"/>
  <c r="Z1280" i="1"/>
  <c r="Z1281" i="1" a="1"/>
  <c r="Z1281" i="1"/>
  <c r="Z1282" i="1" a="1"/>
  <c r="Z1282" i="1"/>
  <c r="Z1283" i="1" a="1"/>
  <c r="Z1283" i="1"/>
  <c r="Z1284" i="1" a="1"/>
  <c r="Z1284" i="1" s="1"/>
  <c r="Z1285" i="1" a="1"/>
  <c r="Z1285" i="1" s="1"/>
  <c r="Z1286" i="1" a="1"/>
  <c r="Z1286" i="1"/>
  <c r="Z1287" i="1" a="1"/>
  <c r="Z1287" i="1"/>
  <c r="Z1288" i="1" a="1"/>
  <c r="Z1288" i="1"/>
  <c r="Z1289" i="1" a="1"/>
  <c r="Z1289" i="1"/>
  <c r="Z1290" i="1" a="1"/>
  <c r="Z1290" i="1"/>
  <c r="Z1291" i="1" a="1"/>
  <c r="Z1291" i="1" s="1"/>
  <c r="Z1292" i="1" a="1"/>
  <c r="Z1292" i="1"/>
  <c r="Z1293" i="1" a="1"/>
  <c r="Z1293" i="1" s="1"/>
  <c r="Z1294" i="1" a="1"/>
  <c r="Z1294" i="1"/>
  <c r="Z1295" i="1" a="1"/>
  <c r="Z1295" i="1"/>
  <c r="Z1296" i="1" a="1"/>
  <c r="Z1296" i="1"/>
  <c r="Z1297" i="1" a="1"/>
  <c r="Z1297" i="1" s="1"/>
  <c r="Z1298" i="1" a="1"/>
  <c r="Z1298" i="1"/>
  <c r="Z1299" i="1" a="1"/>
  <c r="Z1299" i="1" s="1"/>
  <c r="Z1300" i="1" a="1"/>
  <c r="Z1300" i="1"/>
  <c r="Z1301" i="1" a="1"/>
  <c r="Z1301" i="1"/>
  <c r="Z1302" i="1" a="1"/>
  <c r="Z1302" i="1"/>
  <c r="Z1303" i="1" a="1"/>
  <c r="Z1303" i="1" s="1"/>
  <c r="Z1304" i="1" a="1"/>
  <c r="Z1304" i="1"/>
  <c r="Z1305" i="1" a="1"/>
  <c r="Z1305" i="1" s="1"/>
  <c r="Z1306" i="1" a="1"/>
  <c r="Z1306" i="1" s="1"/>
  <c r="Z1307" i="1" a="1"/>
  <c r="Z1307" i="1"/>
  <c r="Z1308" i="1" a="1"/>
  <c r="Z1308" i="1"/>
  <c r="Z1309" i="1" a="1"/>
  <c r="Z1309" i="1" s="1"/>
  <c r="Z1310" i="1" a="1"/>
  <c r="Z1310" i="1"/>
  <c r="Z1311" i="1" a="1"/>
  <c r="Z1311" i="1" s="1"/>
  <c r="Z1312" i="1" a="1"/>
  <c r="Z1312" i="1" s="1"/>
  <c r="Z1313" i="1" a="1"/>
  <c r="Z1313" i="1"/>
  <c r="Z1314" i="1" a="1"/>
  <c r="Z1314" i="1"/>
  <c r="Z1315" i="1" a="1"/>
  <c r="Z1315" i="1" s="1"/>
  <c r="Z1316" i="1" a="1"/>
  <c r="Z1316" i="1"/>
  <c r="Z1317" i="1" a="1"/>
  <c r="Z1317" i="1" s="1"/>
  <c r="Z1318" i="1" a="1"/>
  <c r="Z1318" i="1" s="1"/>
  <c r="Z1319" i="1" a="1"/>
  <c r="Z1319" i="1"/>
  <c r="Z1320" i="1" a="1"/>
  <c r="Z1320" i="1" s="1"/>
  <c r="Z1321" i="1" a="1"/>
  <c r="Z1321" i="1" s="1"/>
  <c r="Z1322" i="1" a="1"/>
  <c r="Z1322" i="1"/>
  <c r="Z1323" i="1" a="1"/>
  <c r="Z1323" i="1" s="1"/>
  <c r="Z1324" i="1" a="1"/>
  <c r="Z1324" i="1" s="1"/>
  <c r="Z1325" i="1" a="1"/>
  <c r="Z1325" i="1"/>
  <c r="Z1326" i="1" a="1"/>
  <c r="Z1326" i="1"/>
  <c r="Z1327" i="1" a="1"/>
  <c r="Z1327" i="1" s="1"/>
  <c r="Z1328" i="1" a="1"/>
  <c r="Z1328" i="1"/>
  <c r="Z1329" i="1" a="1"/>
  <c r="Z1329" i="1" s="1"/>
  <c r="Z1330" i="1" a="1"/>
  <c r="Z1330" i="1" s="1"/>
  <c r="Z1331" i="1" a="1"/>
  <c r="Z1331" i="1"/>
  <c r="Z1332" i="1" a="1"/>
  <c r="Z1332" i="1"/>
  <c r="Z1333" i="1" a="1"/>
  <c r="Z1333" i="1" s="1"/>
  <c r="Z1334" i="1" a="1"/>
  <c r="Z1334" i="1"/>
  <c r="Z1335" i="1" a="1"/>
  <c r="Z1335" i="1" s="1"/>
  <c r="Z1336" i="1" a="1"/>
  <c r="Z1336" i="1" s="1"/>
  <c r="Z1337" i="1" a="1"/>
  <c r="Z1337" i="1"/>
  <c r="Z1338" i="1" a="1"/>
  <c r="Z1338" i="1"/>
  <c r="Z1339" i="1" a="1"/>
  <c r="Z1339" i="1" s="1"/>
  <c r="Z1340" i="1" a="1"/>
  <c r="Z1340" i="1"/>
  <c r="Z1341" i="1" a="1"/>
  <c r="Z1341" i="1" s="1"/>
  <c r="Z1342" i="1" a="1"/>
  <c r="Z1342" i="1" s="1"/>
  <c r="Z1343" i="1" a="1"/>
  <c r="Z1343" i="1"/>
  <c r="Z1344" i="1" a="1"/>
  <c r="Z1344" i="1"/>
  <c r="Z1345" i="1" a="1"/>
  <c r="Z1345" i="1" s="1"/>
  <c r="Z1346" i="1" a="1"/>
  <c r="Z1346" i="1"/>
  <c r="Z1347" i="1" a="1"/>
  <c r="Z1347" i="1" s="1"/>
  <c r="Z1348" i="1" a="1"/>
  <c r="Z1348" i="1" s="1"/>
  <c r="Z1349" i="1" a="1"/>
  <c r="Z1349" i="1"/>
  <c r="Z1350" i="1" a="1"/>
  <c r="Z1350" i="1"/>
  <c r="Z1351" i="1" a="1"/>
  <c r="Z1351" i="1" s="1"/>
  <c r="Z1352" i="1" a="1"/>
  <c r="Z1352" i="1"/>
  <c r="Z1353" i="1" a="1"/>
  <c r="Z1353" i="1"/>
  <c r="Z1354" i="1" a="1"/>
  <c r="Z1354" i="1" s="1"/>
  <c r="Z1355" i="1" a="1"/>
  <c r="Z1355" i="1"/>
  <c r="Z1356" i="1" a="1"/>
  <c r="Z1356" i="1"/>
  <c r="Z1357" i="1" a="1"/>
  <c r="Z1357" i="1" s="1"/>
  <c r="Z1358" i="1" a="1"/>
  <c r="Z1358" i="1" s="1"/>
  <c r="Z1359" i="1" a="1"/>
  <c r="Z1359" i="1"/>
  <c r="Z1360" i="1" a="1"/>
  <c r="Z1360" i="1" s="1"/>
  <c r="Z1361" i="1" a="1"/>
  <c r="Z1361" i="1"/>
  <c r="Z1362" i="1" a="1"/>
  <c r="Z1362" i="1" s="1"/>
  <c r="Z1363" i="1" a="1"/>
  <c r="Z1363" i="1" s="1"/>
  <c r="Z1364" i="1" a="1"/>
  <c r="Z1364" i="1" s="1"/>
  <c r="Z1365" i="1" a="1"/>
  <c r="Z1365" i="1" s="1"/>
  <c r="Z1366" i="1" a="1"/>
  <c r="Z1366" i="1" s="1"/>
  <c r="Z1367" i="1" a="1"/>
  <c r="Z1367" i="1"/>
  <c r="Z1368" i="1" a="1"/>
  <c r="Z1368" i="1"/>
  <c r="Z1369" i="1" a="1"/>
  <c r="Z1369" i="1" s="1"/>
  <c r="Z1370" i="1" a="1"/>
  <c r="Z1370" i="1" s="1"/>
  <c r="Z1371" i="1" a="1"/>
  <c r="Z1371" i="1"/>
  <c r="Z1372" i="1" a="1"/>
  <c r="Z1372" i="1" s="1"/>
  <c r="Z1373" i="1" a="1"/>
  <c r="Z1373" i="1" s="1"/>
  <c r="Z1374" i="1" a="1"/>
  <c r="Z1374" i="1" s="1"/>
  <c r="Z1375" i="1" a="1"/>
  <c r="Z1375" i="1" s="1"/>
  <c r="Z1376" i="1" a="1"/>
  <c r="Z1376" i="1" s="1"/>
  <c r="Z1377" i="1" a="1"/>
  <c r="Z1377" i="1"/>
  <c r="Z1378" i="1" a="1"/>
  <c r="Z1378" i="1" s="1"/>
  <c r="Z1379" i="1" a="1"/>
  <c r="Z1379" i="1"/>
  <c r="Z1380" i="1" a="1"/>
  <c r="Z1380" i="1"/>
  <c r="Z1381" i="1" a="1"/>
  <c r="Z1381" i="1" s="1"/>
  <c r="Z1382" i="1" a="1"/>
  <c r="Z1382" i="1" s="1"/>
  <c r="Z1383" i="1" a="1"/>
  <c r="Z1383" i="1"/>
  <c r="Z1384" i="1" a="1"/>
  <c r="Z1384" i="1" s="1"/>
  <c r="Z1385" i="1" a="1"/>
  <c r="Z1385" i="1"/>
  <c r="Z1386" i="1" a="1"/>
  <c r="Z1386" i="1" s="1"/>
  <c r="Z1387" i="1" a="1"/>
  <c r="Z1387" i="1" s="1"/>
  <c r="Z1388" i="1" a="1"/>
  <c r="Z1388" i="1" s="1"/>
  <c r="Z1389" i="1" a="1"/>
  <c r="Z1389" i="1" s="1"/>
  <c r="Z1390" i="1" a="1"/>
  <c r="Z1390" i="1" s="1"/>
  <c r="Z1391" i="1" a="1"/>
  <c r="Z1391" i="1"/>
  <c r="Z1392" i="1" a="1"/>
  <c r="Z1392" i="1"/>
  <c r="Z1393" i="1" a="1"/>
  <c r="Z1393" i="1" s="1"/>
  <c r="Z1394" i="1" a="1"/>
  <c r="Z1394" i="1" s="1"/>
  <c r="Z1395" i="1" a="1"/>
  <c r="Z1395" i="1"/>
  <c r="Z1396" i="1" a="1"/>
  <c r="Z1396" i="1" s="1"/>
  <c r="Z1397" i="1" a="1"/>
  <c r="Z1397" i="1" s="1"/>
  <c r="Z1398" i="1" a="1"/>
  <c r="Z1398" i="1" s="1"/>
  <c r="Z1399" i="1" a="1"/>
  <c r="Z1399" i="1" s="1"/>
  <c r="Z1400" i="1" a="1"/>
  <c r="Z1400" i="1" s="1"/>
  <c r="Z1401" i="1" a="1"/>
  <c r="Z1401" i="1"/>
  <c r="Z1402" i="1" a="1"/>
  <c r="Z1402" i="1" s="1"/>
  <c r="Z1403" i="1" a="1"/>
  <c r="Z1403" i="1" s="1"/>
  <c r="Z1404" i="1" a="1"/>
  <c r="Z1404" i="1"/>
  <c r="Z1405" i="1" a="1"/>
  <c r="Z1405" i="1" s="1"/>
  <c r="Z1406" i="1" a="1"/>
  <c r="Z1406" i="1" s="1"/>
  <c r="Z1407" i="1" a="1"/>
  <c r="Z1407" i="1"/>
  <c r="Z1408" i="1" a="1"/>
  <c r="Z1408" i="1" s="1"/>
  <c r="Z1409" i="1" a="1"/>
  <c r="Z1409" i="1" s="1"/>
  <c r="Z1410" i="1" a="1"/>
  <c r="Z1410" i="1" s="1"/>
  <c r="Z1411" i="1" a="1"/>
  <c r="Z1411" i="1" s="1"/>
  <c r="Z1412" i="1" a="1"/>
  <c r="Z1412" i="1" s="1"/>
  <c r="Z1413" i="1" a="1"/>
  <c r="Z1413" i="1" s="1"/>
  <c r="Z1414" i="1" a="1"/>
  <c r="Z1414" i="1" s="1"/>
  <c r="Z1415" i="1" a="1"/>
  <c r="Z1415" i="1"/>
  <c r="Z1416" i="1" a="1"/>
  <c r="Z1416" i="1"/>
  <c r="Z1417" i="1" a="1"/>
  <c r="Z1417" i="1" s="1"/>
  <c r="Z1418" i="1" a="1"/>
  <c r="Z1418" i="1" s="1"/>
  <c r="Z1419" i="1" a="1"/>
  <c r="Z1419" i="1" s="1"/>
  <c r="Z1420" i="1" a="1"/>
  <c r="Z1420" i="1" s="1"/>
  <c r="Z1421" i="1" a="1"/>
  <c r="Z1421" i="1" s="1"/>
  <c r="Z1422" i="1" a="1"/>
  <c r="Z1422" i="1" s="1"/>
  <c r="Z1423" i="1" a="1"/>
  <c r="Z1423" i="1" s="1"/>
  <c r="Z1424" i="1" a="1"/>
  <c r="Z1424" i="1" s="1"/>
  <c r="Z1425" i="1" a="1"/>
  <c r="Z1425" i="1" s="1"/>
  <c r="Z1426" i="1" a="1"/>
  <c r="Z1426" i="1" s="1"/>
  <c r="Z1427" i="1" a="1"/>
  <c r="Z1427" i="1" s="1"/>
  <c r="Z1428" i="1" a="1"/>
  <c r="Z1428" i="1"/>
  <c r="Z1429" i="1" a="1"/>
  <c r="Z1429" i="1" s="1"/>
  <c r="Z1430" i="1" a="1"/>
  <c r="Z1430" i="1" s="1"/>
  <c r="Z1431" i="1" a="1"/>
  <c r="Z1431" i="1"/>
  <c r="Z1432" i="1" a="1"/>
  <c r="Z1432" i="1" s="1"/>
  <c r="Z1433" i="1" a="1"/>
  <c r="Z1433" i="1" s="1"/>
  <c r="Z1434" i="1" a="1"/>
  <c r="Z1434" i="1" s="1"/>
  <c r="Z1435" i="1" a="1"/>
  <c r="Z1435" i="1" s="1"/>
  <c r="Z1436" i="1" a="1"/>
  <c r="Z1436" i="1" s="1"/>
  <c r="Z1437" i="1" a="1"/>
  <c r="Z1437" i="1" s="1"/>
  <c r="Z1438" i="1" a="1"/>
  <c r="Z1438" i="1" s="1"/>
  <c r="Z1439" i="1" a="1"/>
  <c r="Z1439" i="1"/>
  <c r="Z1440" i="1" a="1"/>
  <c r="Z1440" i="1"/>
  <c r="Z1441" i="1" a="1"/>
  <c r="Z1441" i="1" s="1"/>
  <c r="Z1442" i="1" a="1"/>
  <c r="Z1442" i="1" s="1"/>
  <c r="Z1443" i="1" a="1"/>
  <c r="Z1443" i="1" s="1"/>
  <c r="Z1444" i="1" a="1"/>
  <c r="Z1444" i="1" s="1"/>
  <c r="Z1445" i="1" a="1"/>
  <c r="Z1445" i="1" s="1"/>
  <c r="Z1446" i="1" a="1"/>
  <c r="Z1446" i="1" s="1"/>
  <c r="Z1447" i="1" a="1"/>
  <c r="Z1447" i="1" s="1"/>
  <c r="Z1448" i="1" a="1"/>
  <c r="Z1448" i="1" s="1"/>
  <c r="Z1449" i="1" a="1"/>
  <c r="Z1449" i="1" s="1"/>
  <c r="Z1450" i="1" a="1"/>
  <c r="Z1450" i="1" s="1"/>
  <c r="Z1451" i="1" a="1"/>
  <c r="Z1451" i="1" s="1"/>
  <c r="Z1452" i="1" a="1"/>
  <c r="Z1452" i="1"/>
  <c r="Z1453" i="1" a="1"/>
  <c r="Z1453" i="1" s="1"/>
  <c r="Z1454" i="1" a="1"/>
  <c r="Z1454" i="1" s="1"/>
  <c r="Z1455" i="1" a="1"/>
  <c r="Z1455" i="1"/>
  <c r="Z1456" i="1" a="1"/>
  <c r="Z1456" i="1" s="1"/>
  <c r="Z1457" i="1" a="1"/>
  <c r="Z1457" i="1" s="1"/>
  <c r="Z1458" i="1" a="1"/>
  <c r="Z1458" i="1" s="1"/>
  <c r="Z1459" i="1" a="1"/>
  <c r="Z1459" i="1" s="1"/>
  <c r="Z1460" i="1" a="1"/>
  <c r="Z1460" i="1" s="1"/>
  <c r="Z1461" i="1" a="1"/>
  <c r="Z1461" i="1" s="1"/>
  <c r="Z1462" i="1" a="1"/>
  <c r="Z1462" i="1" s="1"/>
  <c r="Z1463" i="1" a="1"/>
  <c r="Z1463" i="1"/>
  <c r="Z1464" i="1" a="1"/>
  <c r="Z1464" i="1"/>
  <c r="Z1465" i="1" a="1"/>
  <c r="Z1465" i="1" s="1"/>
  <c r="Z1466" i="1" a="1"/>
  <c r="Z1466" i="1" s="1"/>
  <c r="Z1467" i="1" a="1"/>
  <c r="Z1467" i="1" s="1"/>
  <c r="Z1468" i="1" a="1"/>
  <c r="Z1468" i="1" s="1"/>
  <c r="Z1469" i="1" a="1"/>
  <c r="Z1469" i="1" s="1"/>
  <c r="Z1470" i="1" a="1"/>
  <c r="Z1470" i="1" s="1"/>
  <c r="Z1471" i="1" a="1"/>
  <c r="Z1471" i="1" s="1"/>
  <c r="Z1472" i="1" a="1"/>
  <c r="Z1472" i="1" s="1"/>
  <c r="Z1473" i="1" a="1"/>
  <c r="Z1473" i="1" s="1"/>
  <c r="Z1474" i="1" a="1"/>
  <c r="Z1474" i="1" s="1"/>
  <c r="Z1475" i="1" a="1"/>
  <c r="Z1475" i="1" s="1"/>
  <c r="Z1476" i="1" a="1"/>
  <c r="Z1476" i="1"/>
  <c r="Z1477" i="1" a="1"/>
  <c r="Z1477" i="1" s="1"/>
  <c r="Z1478" i="1" a="1"/>
  <c r="Z1478" i="1" s="1"/>
  <c r="Z1479" i="1" a="1"/>
  <c r="Z1479" i="1"/>
  <c r="Z1480" i="1" a="1"/>
  <c r="Z1480" i="1" s="1"/>
  <c r="Z1481" i="1" a="1"/>
  <c r="Z1481" i="1" s="1"/>
  <c r="Z1482" i="1" a="1"/>
  <c r="Z1482" i="1" s="1"/>
  <c r="Z1483" i="1" a="1"/>
  <c r="Z1483" i="1" s="1"/>
  <c r="Z1484" i="1" a="1"/>
  <c r="Z1484" i="1" s="1"/>
  <c r="Z1485" i="1" a="1"/>
  <c r="Z1485" i="1" s="1"/>
  <c r="Z1486" i="1" a="1"/>
  <c r="Z1486" i="1" s="1"/>
  <c r="Z1487" i="1" a="1"/>
  <c r="Z1487" i="1"/>
  <c r="Z1488" i="1" a="1"/>
  <c r="Z1488" i="1"/>
  <c r="Z1489" i="1" a="1"/>
  <c r="Z1489" i="1" s="1"/>
  <c r="Z1490" i="1" a="1"/>
  <c r="Z1490" i="1" s="1"/>
  <c r="Z1491" i="1" a="1"/>
  <c r="Z1491" i="1" s="1"/>
  <c r="Z1492" i="1" a="1"/>
  <c r="Z1492" i="1" s="1"/>
  <c r="Z1493" i="1" a="1"/>
  <c r="Z1493" i="1" s="1"/>
  <c r="Z1494" i="1" a="1"/>
  <c r="Z1494" i="1" s="1"/>
  <c r="Z1495" i="1" a="1"/>
  <c r="Z1495" i="1" s="1"/>
  <c r="Z1496" i="1" a="1"/>
  <c r="Z1496" i="1" s="1"/>
  <c r="Z1497" i="1" a="1"/>
  <c r="Z1497" i="1" s="1"/>
  <c r="Z1498" i="1" a="1"/>
  <c r="Z1498" i="1" s="1"/>
  <c r="Z1499" i="1" a="1"/>
  <c r="Z1499" i="1" s="1"/>
  <c r="Z1500" i="1" a="1"/>
  <c r="Z1500" i="1"/>
  <c r="Z1501" i="1" a="1"/>
  <c r="Z1501" i="1" s="1"/>
  <c r="Z1502" i="1" a="1"/>
  <c r="Z1502" i="1" s="1"/>
  <c r="Z1503" i="1" a="1"/>
  <c r="Z1503" i="1"/>
  <c r="Z1504" i="1" a="1"/>
  <c r="Z1504" i="1" s="1"/>
  <c r="Z1505" i="1" a="1"/>
  <c r="Z1505" i="1" s="1"/>
  <c r="Z1506" i="1" a="1"/>
  <c r="Z1506" i="1" s="1"/>
  <c r="Z1507" i="1" a="1"/>
  <c r="Z1507" i="1" s="1"/>
  <c r="Z1508" i="1" a="1"/>
  <c r="Z1508" i="1" s="1"/>
  <c r="Z1509" i="1" a="1"/>
  <c r="Z1509" i="1" s="1"/>
  <c r="Z1510" i="1" a="1"/>
  <c r="Z1510" i="1" s="1"/>
  <c r="Z1511" i="1" a="1"/>
  <c r="Z1511" i="1" s="1"/>
  <c r="Z1512" i="1" a="1"/>
  <c r="Z1512" i="1"/>
  <c r="Z1513" i="1" a="1"/>
  <c r="Z1513" i="1" s="1"/>
  <c r="Z1514" i="1" a="1"/>
  <c r="Z1514" i="1" s="1"/>
  <c r="Z1515" i="1" a="1"/>
  <c r="Z1515" i="1" s="1"/>
  <c r="Z1516" i="1" a="1"/>
  <c r="Z1516" i="1" s="1"/>
  <c r="Z1517" i="1" a="1"/>
  <c r="Z1517" i="1" s="1"/>
  <c r="Z1518" i="1" a="1"/>
  <c r="Z1518" i="1" s="1"/>
  <c r="Z1519" i="1" a="1"/>
  <c r="Z1519" i="1" s="1"/>
  <c r="Z1520" i="1" a="1"/>
  <c r="Z1520" i="1" s="1"/>
  <c r="Z1521" i="1" a="1"/>
  <c r="Z1521" i="1" s="1"/>
  <c r="Z1522" i="1" a="1"/>
  <c r="Z1522" i="1" s="1"/>
  <c r="Z1523" i="1" a="1"/>
  <c r="Z1523" i="1" s="1"/>
  <c r="Z1524" i="1" a="1"/>
  <c r="Z1524" i="1"/>
  <c r="Z1525" i="1" a="1"/>
  <c r="Z1525" i="1" s="1"/>
  <c r="Z1526" i="1" a="1"/>
  <c r="Z1526" i="1" s="1"/>
  <c r="Z1527" i="1" a="1"/>
  <c r="Z1527" i="1" s="1"/>
  <c r="Z1528" i="1" a="1"/>
  <c r="Z1528" i="1" s="1"/>
  <c r="Z1529" i="1" a="1"/>
  <c r="Z1529" i="1" s="1"/>
  <c r="Z1530" i="1" a="1"/>
  <c r="Z1530" i="1" s="1"/>
  <c r="Z1531" i="1" a="1"/>
  <c r="Z1531" i="1" s="1"/>
  <c r="Z1532" i="1" a="1"/>
  <c r="Z1532" i="1" s="1"/>
  <c r="Z1533" i="1" a="1"/>
  <c r="Z1533" i="1" s="1"/>
  <c r="Z1534" i="1" a="1"/>
  <c r="Z1534" i="1" s="1"/>
  <c r="Z1535" i="1" a="1"/>
  <c r="Z1535" i="1" s="1"/>
  <c r="Z1536" i="1" a="1"/>
  <c r="Z1536" i="1"/>
  <c r="Z1537" i="1" a="1"/>
  <c r="Z1537" i="1" s="1"/>
  <c r="Z1538" i="1" a="1"/>
  <c r="Z1538" i="1" s="1"/>
  <c r="Z1539" i="1" a="1"/>
  <c r="Z1539" i="1" s="1"/>
  <c r="Z1540" i="1" a="1"/>
  <c r="Z1540" i="1" s="1"/>
  <c r="Z1541" i="1" a="1"/>
  <c r="Z1541" i="1" s="1"/>
  <c r="Z1542" i="1" a="1"/>
  <c r="Z1542" i="1" s="1"/>
  <c r="Z1543" i="1" a="1"/>
  <c r="Z1543" i="1" s="1"/>
  <c r="Z1544" i="1" a="1"/>
  <c r="Z1544" i="1" s="1"/>
  <c r="Z1545" i="1" a="1"/>
  <c r="Z1545" i="1" s="1"/>
  <c r="Z1546" i="1" a="1"/>
  <c r="Z1546" i="1" s="1"/>
  <c r="Z1547" i="1" a="1"/>
  <c r="Z1547" i="1" s="1"/>
  <c r="Z1548" i="1" a="1"/>
  <c r="Z1548" i="1"/>
  <c r="Z1549" i="1" a="1"/>
  <c r="Z1549" i="1" s="1"/>
  <c r="Z1550" i="1" a="1"/>
  <c r="Z1550" i="1" s="1"/>
  <c r="Z1551" i="1" a="1"/>
  <c r="Z1551" i="1" s="1"/>
  <c r="Z1552" i="1" a="1"/>
  <c r="Z1552" i="1" s="1"/>
  <c r="Z1553" i="1" a="1"/>
  <c r="Z1553" i="1" s="1"/>
  <c r="Z1554" i="1" a="1"/>
  <c r="Z1554" i="1" s="1"/>
  <c r="Z1555" i="1" a="1"/>
  <c r="Z1555" i="1" s="1"/>
  <c r="Z1556" i="1" a="1"/>
  <c r="Z1556" i="1" s="1"/>
  <c r="Z1557" i="1" a="1"/>
  <c r="Z1557" i="1" s="1"/>
  <c r="Z1558" i="1" a="1"/>
  <c r="Z1558" i="1" s="1"/>
  <c r="Z1559" i="1" a="1"/>
  <c r="Z1559" i="1" s="1"/>
  <c r="Z1560" i="1" a="1"/>
  <c r="Z1560" i="1"/>
  <c r="Z1561" i="1" a="1"/>
  <c r="Z1561" i="1" s="1"/>
  <c r="Z1562" i="1" a="1"/>
  <c r="Z1562" i="1" s="1"/>
  <c r="Z1563" i="1" a="1"/>
  <c r="Z1563" i="1" s="1"/>
  <c r="Z1564" i="1" a="1"/>
  <c r="Z1564" i="1" s="1"/>
  <c r="Z1565" i="1" a="1"/>
  <c r="Z1565" i="1" s="1"/>
  <c r="Z1566" i="1" a="1"/>
  <c r="Z1566" i="1" s="1"/>
  <c r="Z1567" i="1" a="1"/>
  <c r="Z1567" i="1" s="1"/>
  <c r="Z1568" i="1" a="1"/>
  <c r="Z1568" i="1" s="1"/>
  <c r="Z1569" i="1" a="1"/>
  <c r="Z1569" i="1" s="1"/>
  <c r="Z1570" i="1" a="1"/>
  <c r="Z1570" i="1" s="1"/>
  <c r="Z1571" i="1" a="1"/>
  <c r="Z1571" i="1" s="1"/>
  <c r="Z1572" i="1" a="1"/>
  <c r="Z1572" i="1" s="1"/>
  <c r="Z1573" i="1" a="1"/>
  <c r="Z1573" i="1" s="1"/>
  <c r="Z1574" i="1" a="1"/>
  <c r="Z1574" i="1" s="1"/>
  <c r="Z1575" i="1" a="1"/>
  <c r="Z1575" i="1" s="1"/>
  <c r="Z1576" i="1" a="1"/>
  <c r="Z1576" i="1" s="1"/>
  <c r="Z1577" i="1" a="1"/>
  <c r="Z1577" i="1" s="1"/>
  <c r="Z1578" i="1" a="1"/>
  <c r="Z1578" i="1" s="1"/>
  <c r="Z1579" i="1" a="1"/>
  <c r="Z1579" i="1" s="1"/>
  <c r="Z1580" i="1" a="1"/>
  <c r="Z1580" i="1" s="1"/>
  <c r="Z1581" i="1" a="1"/>
  <c r="Z1581" i="1" s="1"/>
  <c r="Z1582" i="1" a="1"/>
  <c r="Z1582" i="1" s="1"/>
  <c r="Z1583" i="1" a="1"/>
  <c r="Z1583" i="1" s="1"/>
  <c r="Z1584" i="1" a="1"/>
  <c r="Z1584" i="1"/>
  <c r="Z1585" i="1" a="1"/>
  <c r="Z1585" i="1" s="1"/>
  <c r="Z1586" i="1" a="1"/>
  <c r="Z1586" i="1" s="1"/>
  <c r="Z1587" i="1" a="1"/>
  <c r="Z1587" i="1" s="1"/>
  <c r="Z1588" i="1" a="1"/>
  <c r="Z1588" i="1" s="1"/>
  <c r="Z1589" i="1" a="1"/>
  <c r="Z1589" i="1" s="1"/>
  <c r="Z1590" i="1" a="1"/>
  <c r="Z1590" i="1" s="1"/>
  <c r="Z1591" i="1" a="1"/>
  <c r="Z1591" i="1" s="1"/>
  <c r="Z1592" i="1" a="1"/>
  <c r="Z1592" i="1" s="1"/>
  <c r="Z1593" i="1" a="1"/>
  <c r="Z1593" i="1" s="1"/>
  <c r="Z1594" i="1" a="1"/>
  <c r="Z1594" i="1" s="1"/>
  <c r="Z1595" i="1" a="1"/>
  <c r="Z1595" i="1" s="1"/>
  <c r="Z1596" i="1" a="1"/>
  <c r="Z1596" i="1" s="1"/>
  <c r="Z1597" i="1" a="1"/>
  <c r="Z1597" i="1" s="1"/>
  <c r="Z1598" i="1" a="1"/>
  <c r="Z1598" i="1" s="1"/>
  <c r="Z1599" i="1" a="1"/>
  <c r="Z1599" i="1" s="1"/>
  <c r="Z1600" i="1" a="1"/>
  <c r="Z1600" i="1" s="1"/>
  <c r="Z1601" i="1" a="1"/>
  <c r="Z1601" i="1" s="1"/>
  <c r="Z1602" i="1" a="1"/>
  <c r="Z1602" i="1" s="1"/>
  <c r="Z1603" i="1" a="1"/>
  <c r="Z1603" i="1" s="1"/>
  <c r="Z1604" i="1" a="1"/>
  <c r="Z1604" i="1" s="1"/>
  <c r="Z1605" i="1" a="1"/>
  <c r="Z1605" i="1" s="1"/>
  <c r="Z1606" i="1" a="1"/>
  <c r="Z1606" i="1" s="1"/>
  <c r="Z1607" i="1" a="1"/>
  <c r="Z1607" i="1" s="1"/>
  <c r="Z1608" i="1" a="1"/>
  <c r="Z1608" i="1"/>
  <c r="Z1609" i="1" a="1"/>
  <c r="Z1609" i="1" s="1"/>
  <c r="Z1610" i="1" a="1"/>
  <c r="Z1610" i="1" s="1"/>
  <c r="Z1611" i="1" a="1"/>
  <c r="Z1611" i="1" s="1"/>
  <c r="Z1612" i="1" a="1"/>
  <c r="Z1612" i="1" s="1"/>
  <c r="Z1613" i="1" a="1"/>
  <c r="Z1613" i="1" s="1"/>
  <c r="Z1614" i="1" a="1"/>
  <c r="Z1614" i="1" s="1"/>
  <c r="Z1615" i="1" a="1"/>
  <c r="Z1615" i="1" s="1"/>
  <c r="Z1616" i="1" a="1"/>
  <c r="Z1616" i="1" s="1"/>
  <c r="Z1617" i="1" a="1"/>
  <c r="Z1617" i="1" s="1"/>
  <c r="Z1618" i="1" a="1"/>
  <c r="Z1618" i="1" s="1"/>
  <c r="Z1619" i="1" a="1"/>
  <c r="Z1619" i="1" s="1"/>
  <c r="Z1620" i="1" a="1"/>
  <c r="Z1620" i="1" s="1"/>
  <c r="Z1621" i="1" a="1"/>
  <c r="Z1621" i="1" s="1"/>
  <c r="Z1622" i="1" a="1"/>
  <c r="Z1622" i="1" s="1"/>
  <c r="Z1623" i="1" a="1"/>
  <c r="Z1623" i="1" s="1"/>
  <c r="Z1624" i="1" a="1"/>
  <c r="Z1624" i="1" s="1"/>
  <c r="Z1625" i="1" a="1"/>
  <c r="Z1625" i="1" s="1"/>
  <c r="Z1626" i="1" a="1"/>
  <c r="Z1626" i="1" s="1"/>
  <c r="Z1627" i="1" a="1"/>
  <c r="Z1627" i="1" s="1"/>
  <c r="Z1628" i="1" a="1"/>
  <c r="Z1628" i="1" s="1"/>
  <c r="Z1629" i="1" a="1"/>
  <c r="Z1629" i="1" s="1"/>
  <c r="Z1630" i="1" a="1"/>
  <c r="Z1630" i="1" s="1"/>
  <c r="Z1631" i="1" a="1"/>
  <c r="Z1631" i="1" s="1"/>
  <c r="Z1632" i="1" a="1"/>
  <c r="Z1632" i="1"/>
  <c r="Z1633" i="1" a="1"/>
  <c r="Z1633" i="1" s="1"/>
  <c r="Z1634" i="1" a="1"/>
  <c r="Z1634" i="1" s="1"/>
  <c r="Z1635" i="1" a="1"/>
  <c r="Z1635" i="1" s="1"/>
  <c r="Z1636" i="1" a="1"/>
  <c r="Z1636" i="1" s="1"/>
  <c r="Z1637" i="1" a="1"/>
  <c r="Z1637" i="1" s="1"/>
  <c r="Z1638" i="1" a="1"/>
  <c r="Z1638" i="1" s="1"/>
  <c r="Z1639" i="1" a="1"/>
  <c r="Z1639" i="1" s="1"/>
  <c r="Z1640" i="1" a="1"/>
  <c r="Z1640" i="1" s="1"/>
  <c r="Z1641" i="1" a="1"/>
  <c r="Z1641" i="1" s="1"/>
  <c r="Z1642" i="1" a="1"/>
  <c r="Z1642" i="1" s="1"/>
  <c r="Z1643" i="1" a="1"/>
  <c r="Z1643" i="1" s="1"/>
  <c r="Z1644" i="1" a="1"/>
  <c r="Z1644" i="1" s="1"/>
  <c r="Z1645" i="1" a="1"/>
  <c r="Z1645" i="1" s="1"/>
  <c r="Z1646" i="1" a="1"/>
  <c r="Z1646" i="1" s="1"/>
  <c r="Z1647" i="1" a="1"/>
  <c r="Z1647" i="1" s="1"/>
  <c r="Z1648" i="1" a="1"/>
  <c r="Z1648" i="1" s="1"/>
  <c r="Z1649" i="1" a="1"/>
  <c r="Z1649" i="1" s="1"/>
  <c r="Z1650" i="1" a="1"/>
  <c r="Z1650" i="1" s="1"/>
  <c r="Z1651" i="1" a="1"/>
  <c r="Z1651" i="1" s="1"/>
  <c r="Z1652" i="1" a="1"/>
  <c r="Z1652" i="1" s="1"/>
  <c r="Z1653" i="1" a="1"/>
  <c r="Z1653" i="1" s="1"/>
  <c r="Z1654" i="1" a="1"/>
  <c r="Z1654" i="1" s="1"/>
  <c r="Z1655" i="1" a="1"/>
  <c r="Z1655" i="1" s="1"/>
  <c r="Z1656" i="1" a="1"/>
  <c r="Z1656" i="1"/>
  <c r="Z1657" i="1" a="1"/>
  <c r="Z1657" i="1" s="1"/>
  <c r="Z1658" i="1" a="1"/>
  <c r="Z1658" i="1" s="1"/>
  <c r="Z1659" i="1" a="1"/>
  <c r="Z1659" i="1" s="1"/>
  <c r="Z1660" i="1" a="1"/>
  <c r="Z1660" i="1" s="1"/>
  <c r="Z1661" i="1" a="1"/>
  <c r="Z1661" i="1" s="1"/>
  <c r="Z1662" i="1" a="1"/>
  <c r="Z1662" i="1" s="1"/>
  <c r="Z1663" i="1" a="1"/>
  <c r="Z1663" i="1" s="1"/>
  <c r="Z1664" i="1" a="1"/>
  <c r="Z1664" i="1" s="1"/>
  <c r="Z1665" i="1" a="1"/>
  <c r="Z1665" i="1" s="1"/>
  <c r="Z1666" i="1" a="1"/>
  <c r="Z1666" i="1" s="1"/>
  <c r="Z1667" i="1" a="1"/>
  <c r="Z1667" i="1" s="1"/>
  <c r="Z1668" i="1" a="1"/>
  <c r="Z1668" i="1" s="1"/>
  <c r="Z1669" i="1" a="1"/>
  <c r="Z1669" i="1" s="1"/>
  <c r="Z1670" i="1" a="1"/>
  <c r="Z1670" i="1" s="1"/>
  <c r="Z1671" i="1" a="1"/>
  <c r="Z1671" i="1" s="1"/>
  <c r="Z1672" i="1" a="1"/>
  <c r="Z1672" i="1" s="1"/>
  <c r="Z1673" i="1" a="1"/>
  <c r="Z1673" i="1" s="1"/>
  <c r="Z1674" i="1" a="1"/>
  <c r="Z1674" i="1" s="1"/>
  <c r="Z1675" i="1" a="1"/>
  <c r="Z1675" i="1" s="1"/>
  <c r="Z1676" i="1" a="1"/>
  <c r="Z1676" i="1" s="1"/>
  <c r="Z1677" i="1" a="1"/>
  <c r="Z1677" i="1" s="1"/>
  <c r="Z1678" i="1" a="1"/>
  <c r="Z1678" i="1" s="1"/>
  <c r="Z1679" i="1" a="1"/>
  <c r="Z1679" i="1" s="1"/>
  <c r="Z1680" i="1" a="1"/>
  <c r="Z1680" i="1"/>
  <c r="Z1681" i="1" a="1"/>
  <c r="Z1681" i="1" s="1"/>
  <c r="Z1682" i="1" a="1"/>
  <c r="Z1682" i="1" s="1"/>
  <c r="Z1683" i="1" a="1"/>
  <c r="Z1683" i="1" s="1"/>
  <c r="Z1684" i="1" a="1"/>
  <c r="Z1684" i="1" s="1"/>
  <c r="Z1685" i="1" a="1"/>
  <c r="Z1685" i="1" s="1"/>
  <c r="Z1686" i="1" a="1"/>
  <c r="Z1686" i="1" s="1"/>
  <c r="Z1687" i="1" a="1"/>
  <c r="Z1687" i="1" s="1"/>
  <c r="Z1688" i="1" a="1"/>
  <c r="Z1688" i="1"/>
  <c r="Z1689" i="1" a="1"/>
  <c r="Z1689" i="1"/>
  <c r="Z1690" i="1" a="1"/>
  <c r="Z1690" i="1" s="1"/>
  <c r="Z1691" i="1" a="1"/>
  <c r="Z1691" i="1" s="1"/>
  <c r="Z1692" i="1" a="1"/>
  <c r="Z1692" i="1"/>
  <c r="Z1693" i="1" a="1"/>
  <c r="Z1693" i="1" s="1"/>
  <c r="Z1694" i="1" a="1"/>
  <c r="Z1694" i="1"/>
  <c r="Z1695" i="1" a="1"/>
  <c r="Z1695" i="1" s="1"/>
  <c r="Z1696" i="1" a="1"/>
  <c r="Z1696" i="1" s="1"/>
  <c r="Z1697" i="1" a="1"/>
  <c r="Z1697" i="1"/>
  <c r="Z1698" i="1" a="1"/>
  <c r="Z1698" i="1" s="1"/>
  <c r="Z1699" i="1" a="1"/>
  <c r="Z1699" i="1" s="1"/>
  <c r="Z1700" i="1" a="1"/>
  <c r="Z1700" i="1"/>
  <c r="Z1701" i="1" a="1"/>
  <c r="Z1701" i="1" s="1"/>
  <c r="Z1702" i="1" a="1"/>
  <c r="Z1702" i="1" s="1"/>
  <c r="Z1703" i="1" a="1"/>
  <c r="Z1703" i="1"/>
  <c r="Z1704" i="1" a="1"/>
  <c r="Z1704" i="1" s="1"/>
  <c r="Z1705" i="1" a="1"/>
  <c r="Z1705" i="1" s="1"/>
  <c r="Z1706" i="1" a="1"/>
  <c r="Z1706" i="1"/>
  <c r="Z1707" i="1" a="1"/>
  <c r="Z1707" i="1" s="1"/>
  <c r="Z1708" i="1" a="1"/>
  <c r="Z1708" i="1" s="1"/>
  <c r="Z1709" i="1" a="1"/>
  <c r="Z1709" i="1"/>
  <c r="Z1710" i="1" a="1"/>
  <c r="Z1710" i="1" s="1"/>
  <c r="Z1711" i="1" a="1"/>
  <c r="Z1711" i="1" s="1"/>
  <c r="Z1712" i="1" a="1"/>
  <c r="Z1712" i="1"/>
  <c r="Z1713" i="1" a="1"/>
  <c r="Z1713" i="1" s="1"/>
  <c r="Z1714" i="1" a="1"/>
  <c r="Z1714" i="1" s="1"/>
  <c r="Z1715" i="1" a="1"/>
  <c r="Z1715" i="1"/>
  <c r="Z1716" i="1" a="1"/>
  <c r="Z1716" i="1" s="1"/>
  <c r="Z1717" i="1" a="1"/>
  <c r="Z1717" i="1" s="1"/>
  <c r="Z1718" i="1" a="1"/>
  <c r="Z1718" i="1"/>
  <c r="Z1719" i="1" a="1"/>
  <c r="Z1719" i="1" s="1"/>
  <c r="Z1720" i="1" a="1"/>
  <c r="Z1720" i="1" s="1"/>
  <c r="Z1721" i="1" a="1"/>
  <c r="Z1721" i="1"/>
  <c r="Z1722" i="1" a="1"/>
  <c r="Z1722" i="1" s="1"/>
  <c r="Z1723" i="1" a="1"/>
  <c r="Z1723" i="1" s="1"/>
  <c r="Z1724" i="1" a="1"/>
  <c r="Z1724" i="1"/>
  <c r="Z1725" i="1" a="1"/>
  <c r="Z1725" i="1" s="1"/>
  <c r="Z1726" i="1" a="1"/>
  <c r="Z1726" i="1" s="1"/>
  <c r="Z1727" i="1" a="1"/>
  <c r="Z1727" i="1"/>
  <c r="Z1728" i="1" a="1"/>
  <c r="Z1728" i="1" s="1"/>
  <c r="Z1729" i="1" a="1"/>
  <c r="Z1729" i="1" s="1"/>
  <c r="Z1730" i="1" a="1"/>
  <c r="Z1730" i="1"/>
  <c r="Z1731" i="1" a="1"/>
  <c r="Z1731" i="1" s="1"/>
  <c r="Z1732" i="1" a="1"/>
  <c r="Z1732" i="1" s="1"/>
  <c r="Z1733" i="1" a="1"/>
  <c r="Z1733" i="1"/>
  <c r="Z1734" i="1" a="1"/>
  <c r="Z1734" i="1" s="1"/>
  <c r="Z1735" i="1" a="1"/>
  <c r="Z1735" i="1" s="1"/>
  <c r="Z1736" i="1" a="1"/>
  <c r="Z1736" i="1" s="1"/>
  <c r="Z1737" i="1" a="1"/>
  <c r="Z1737" i="1" s="1"/>
  <c r="Z1738" i="1" a="1"/>
  <c r="Z1738" i="1" s="1"/>
  <c r="Z1739" i="1" a="1"/>
  <c r="Z1739" i="1"/>
  <c r="Z1740" i="1" a="1"/>
  <c r="Z1740" i="1" s="1"/>
  <c r="Z1741" i="1" a="1"/>
  <c r="Z1741" i="1" s="1"/>
  <c r="Z1742" i="1" a="1"/>
  <c r="Z1742" i="1" s="1"/>
  <c r="Z1743" i="1" a="1"/>
  <c r="Z1743" i="1" s="1"/>
  <c r="Z1744" i="1" a="1"/>
  <c r="Z1744" i="1" s="1"/>
  <c r="Z1745" i="1" a="1"/>
  <c r="Z1745" i="1"/>
  <c r="Z1746" i="1" a="1"/>
  <c r="Z1746" i="1" s="1"/>
  <c r="Z1747" i="1" a="1"/>
  <c r="Z1747" i="1" s="1"/>
  <c r="Z1748" i="1" a="1"/>
  <c r="Z1748" i="1" s="1"/>
  <c r="Z1749" i="1" a="1"/>
  <c r="Z1749" i="1" s="1"/>
  <c r="Z1750" i="1" a="1"/>
  <c r="Z1750" i="1" s="1"/>
  <c r="Z1751" i="1" a="1"/>
  <c r="Z1751" i="1"/>
  <c r="Z1752" i="1" a="1"/>
  <c r="Z1752" i="1" s="1"/>
  <c r="Z1753" i="1" a="1"/>
  <c r="Z1753" i="1" s="1"/>
  <c r="Z1754" i="1" a="1"/>
  <c r="Z1754" i="1" s="1"/>
  <c r="Z1755" i="1" a="1"/>
  <c r="Z1755" i="1" s="1"/>
  <c r="Z1756" i="1" a="1"/>
  <c r="Z1756" i="1" s="1"/>
  <c r="Z1757" i="1" a="1"/>
  <c r="Z1757" i="1"/>
  <c r="Z1758" i="1" a="1"/>
  <c r="Z1758" i="1" s="1"/>
  <c r="Z1759" i="1" a="1"/>
  <c r="Z1759" i="1" s="1"/>
  <c r="Z1760" i="1" a="1"/>
  <c r="Z1760" i="1" s="1"/>
  <c r="Z1761" i="1" a="1"/>
  <c r="Z1761" i="1" s="1"/>
  <c r="Z1762" i="1" a="1"/>
  <c r="Z1762" i="1" s="1"/>
  <c r="Z1763" i="1" a="1"/>
  <c r="Z1763" i="1"/>
  <c r="Z1764" i="1" a="1"/>
  <c r="Z1764" i="1" s="1"/>
  <c r="Z1765" i="1" a="1"/>
  <c r="Z1765" i="1" s="1"/>
  <c r="Z1766" i="1" a="1"/>
  <c r="Z1766" i="1" s="1"/>
  <c r="Z1767" i="1" a="1"/>
  <c r="Z1767" i="1" s="1"/>
  <c r="Z1768" i="1" a="1"/>
  <c r="Z1768" i="1" s="1"/>
  <c r="Z1769" i="1" a="1"/>
  <c r="Z1769" i="1"/>
  <c r="Z1770" i="1" a="1"/>
  <c r="Z1770" i="1" s="1"/>
  <c r="Z1771" i="1" a="1"/>
  <c r="Z1771" i="1" s="1"/>
  <c r="Z1772" i="1" a="1"/>
  <c r="Z1772" i="1" s="1"/>
  <c r="Z1773" i="1" a="1"/>
  <c r="Z1773" i="1" s="1"/>
  <c r="Z1774" i="1" a="1"/>
  <c r="Z1774" i="1" s="1"/>
  <c r="Z1775" i="1" a="1"/>
  <c r="Z1775" i="1"/>
  <c r="Z1776" i="1" a="1"/>
  <c r="Z1776" i="1" s="1"/>
  <c r="Z1777" i="1" a="1"/>
  <c r="Z1777" i="1" s="1"/>
  <c r="Z1778" i="1" a="1"/>
  <c r="Z1778" i="1" s="1"/>
  <c r="Z1779" i="1" a="1"/>
  <c r="Z1779" i="1" s="1"/>
  <c r="Z1780" i="1" a="1"/>
  <c r="Z1780" i="1" s="1"/>
  <c r="Z1781" i="1" a="1"/>
  <c r="Z1781" i="1"/>
  <c r="Z1782" i="1" a="1"/>
  <c r="Z1782" i="1" s="1"/>
  <c r="Z1783" i="1" a="1"/>
  <c r="Z1783" i="1" s="1"/>
  <c r="Z1784" i="1" a="1"/>
  <c r="Z1784" i="1" s="1"/>
  <c r="Z1785" i="1" a="1"/>
  <c r="Z1785" i="1" s="1"/>
  <c r="Z1786" i="1" a="1"/>
  <c r="Z1786" i="1" s="1"/>
  <c r="Z1787" i="1" a="1"/>
  <c r="Z1787" i="1"/>
  <c r="Z1788" i="1" a="1"/>
  <c r="Z1788" i="1" s="1"/>
  <c r="Z1789" i="1" a="1"/>
  <c r="Z1789" i="1" s="1"/>
  <c r="Z1790" i="1" a="1"/>
  <c r="Z1790" i="1" s="1"/>
  <c r="Z1791" i="1" a="1"/>
  <c r="Z1791" i="1" s="1"/>
  <c r="Z1792" i="1" a="1"/>
  <c r="Z1792" i="1" s="1"/>
  <c r="Z1793" i="1" a="1"/>
  <c r="Z1793" i="1"/>
  <c r="Z1794" i="1" a="1"/>
  <c r="Z1794" i="1" s="1"/>
  <c r="Z1795" i="1" a="1"/>
  <c r="Z1795" i="1" s="1"/>
  <c r="Z1796" i="1" a="1"/>
  <c r="Z1796" i="1" s="1"/>
  <c r="Z1797" i="1" a="1"/>
  <c r="Z1797" i="1" s="1"/>
  <c r="Z1798" i="1" a="1"/>
  <c r="Z1798" i="1" s="1"/>
  <c r="Z1799" i="1" a="1"/>
  <c r="Z1799" i="1"/>
  <c r="Z1800" i="1" a="1"/>
  <c r="Z1800" i="1" s="1"/>
  <c r="Z1801" i="1" a="1"/>
  <c r="Z1801" i="1" s="1"/>
  <c r="Z1802" i="1" a="1"/>
  <c r="Z1802" i="1" s="1"/>
  <c r="Z1803" i="1" a="1"/>
  <c r="Z1803" i="1" s="1"/>
  <c r="Z1804" i="1" a="1"/>
  <c r="Z1804" i="1" s="1"/>
  <c r="Z1805" i="1" a="1"/>
  <c r="Z1805" i="1"/>
  <c r="Z1806" i="1" a="1"/>
  <c r="Z1806" i="1" s="1"/>
  <c r="Z1807" i="1" a="1"/>
  <c r="Z1807" i="1" s="1"/>
  <c r="Z1808" i="1" a="1"/>
  <c r="Z1808" i="1" s="1"/>
  <c r="Z1809" i="1" a="1"/>
  <c r="Z1809" i="1" s="1"/>
  <c r="Z1810" i="1" a="1"/>
  <c r="Z1810" i="1" s="1"/>
  <c r="Z1811" i="1" a="1"/>
  <c r="Z1811" i="1"/>
  <c r="Z1812" i="1" a="1"/>
  <c r="Z1812" i="1" s="1"/>
  <c r="Z1813" i="1" a="1"/>
  <c r="Z1813" i="1" s="1"/>
  <c r="Z1814" i="1" a="1"/>
  <c r="Z1814" i="1" s="1"/>
  <c r="Z1815" i="1" a="1"/>
  <c r="Z1815" i="1" s="1"/>
  <c r="Z1816" i="1" a="1"/>
  <c r="Z1816" i="1" s="1"/>
  <c r="Z1817" i="1" a="1"/>
  <c r="Z1817" i="1"/>
  <c r="Z1818" i="1" a="1"/>
  <c r="Z1818" i="1" s="1"/>
  <c r="Z1819" i="1" a="1"/>
  <c r="Z1819" i="1" s="1"/>
  <c r="Z1820" i="1" a="1"/>
  <c r="Z1820" i="1" s="1"/>
  <c r="Z1821" i="1" a="1"/>
  <c r="Z1821" i="1" s="1"/>
  <c r="Z1822" i="1" a="1"/>
  <c r="Z1822" i="1" s="1"/>
  <c r="Z1823" i="1" a="1"/>
  <c r="Z1823" i="1"/>
  <c r="Z1824" i="1" a="1"/>
  <c r="Z1824" i="1" s="1"/>
  <c r="Z1825" i="1" a="1"/>
  <c r="Z1825" i="1" s="1"/>
  <c r="Z1826" i="1" a="1"/>
  <c r="Z1826" i="1" s="1"/>
  <c r="Z1827" i="1" a="1"/>
  <c r="Z1827" i="1" s="1"/>
  <c r="Z1828" i="1" a="1"/>
  <c r="Z1828" i="1" s="1"/>
  <c r="Z1829" i="1" a="1"/>
  <c r="Z1829" i="1"/>
  <c r="Z1830" i="1" a="1"/>
  <c r="Z1830" i="1" s="1"/>
  <c r="Z1831" i="1" a="1"/>
  <c r="Z1831" i="1" s="1"/>
  <c r="Z1832" i="1" a="1"/>
  <c r="Z1832" i="1" s="1"/>
  <c r="Z1833" i="1" a="1"/>
  <c r="Z1833" i="1" s="1"/>
  <c r="Z1834" i="1" a="1"/>
  <c r="Z1834" i="1" s="1"/>
  <c r="Z1835" i="1" a="1"/>
  <c r="Z1835" i="1"/>
  <c r="Z1836" i="1" a="1"/>
  <c r="Z1836" i="1" s="1"/>
  <c r="Z1837" i="1" a="1"/>
  <c r="Z1837" i="1" s="1"/>
  <c r="Z1838" i="1" a="1"/>
  <c r="Z1838" i="1" s="1"/>
  <c r="Z1839" i="1" a="1"/>
  <c r="Z1839" i="1" s="1"/>
  <c r="Z1840" i="1" a="1"/>
  <c r="Z1840" i="1" s="1"/>
  <c r="Z1841" i="1" a="1"/>
  <c r="Z1841" i="1"/>
  <c r="Z1842" i="1" a="1"/>
  <c r="Z1842" i="1" s="1"/>
  <c r="Z1843" i="1" a="1"/>
  <c r="Z1843" i="1" s="1"/>
  <c r="Z1844" i="1" a="1"/>
  <c r="Z1844" i="1" s="1"/>
  <c r="Z1845" i="1" a="1"/>
  <c r="Z1845" i="1" s="1"/>
  <c r="Z1846" i="1" a="1"/>
  <c r="Z1846" i="1" s="1"/>
  <c r="Z1847" i="1" a="1"/>
  <c r="Z1847" i="1"/>
  <c r="Z1848" i="1" a="1"/>
  <c r="Z1848" i="1" s="1"/>
  <c r="Z1849" i="1" a="1"/>
  <c r="Z1849" i="1" s="1"/>
  <c r="Z1850" i="1" a="1"/>
  <c r="Z1850" i="1" s="1"/>
  <c r="Z1851" i="1" a="1"/>
  <c r="Z1851" i="1" s="1"/>
  <c r="Z1852" i="1" a="1"/>
  <c r="Z1852" i="1" s="1"/>
  <c r="Z1853" i="1" a="1"/>
  <c r="Z1853" i="1"/>
  <c r="Z1854" i="1" a="1"/>
  <c r="Z1854" i="1" s="1"/>
  <c r="Z1855" i="1" a="1"/>
  <c r="Z1855" i="1" s="1"/>
  <c r="Z1856" i="1" a="1"/>
  <c r="Z1856" i="1" s="1"/>
  <c r="Z1857" i="1" a="1"/>
  <c r="Z1857" i="1" s="1"/>
  <c r="Z1858" i="1" a="1"/>
  <c r="Z1858" i="1" s="1"/>
  <c r="Z1859" i="1" a="1"/>
  <c r="Z1859" i="1"/>
  <c r="Z1860" i="1" a="1"/>
  <c r="Z1860" i="1" s="1"/>
  <c r="Z1861" i="1" a="1"/>
  <c r="Z1861" i="1" s="1"/>
  <c r="Z1862" i="1" a="1"/>
  <c r="Z1862" i="1" s="1"/>
  <c r="Z1863" i="1" a="1"/>
  <c r="Z1863" i="1" s="1"/>
  <c r="Z1864" i="1" a="1"/>
  <c r="Z1864" i="1" s="1"/>
  <c r="Z1865" i="1" a="1"/>
  <c r="Z1865" i="1"/>
  <c r="Z1866" i="1" a="1"/>
  <c r="Z1866" i="1" s="1"/>
  <c r="Z1867" i="1" a="1"/>
  <c r="Z1867" i="1" s="1"/>
  <c r="Z1868" i="1" a="1"/>
  <c r="Z1868" i="1" s="1"/>
  <c r="Z1869" i="1" a="1"/>
  <c r="Z1869" i="1" s="1"/>
  <c r="Z1870" i="1" a="1"/>
  <c r="Z1870" i="1" s="1"/>
  <c r="Z1871" i="1" a="1"/>
  <c r="Z1871" i="1" s="1"/>
  <c r="Z1872" i="1" a="1"/>
  <c r="Z1872" i="1" s="1"/>
  <c r="Z1873" i="1" a="1"/>
  <c r="Z1873" i="1" s="1"/>
  <c r="Z1874" i="1" a="1"/>
  <c r="Z1874" i="1" s="1"/>
  <c r="Z1875" i="1" a="1"/>
  <c r="Z1875" i="1" s="1"/>
  <c r="Z1876" i="1" a="1"/>
  <c r="Z1876" i="1" s="1"/>
  <c r="Z1877" i="1" a="1"/>
  <c r="Z1877" i="1" s="1"/>
  <c r="Z1878" i="1" a="1"/>
  <c r="Z1878" i="1" s="1"/>
  <c r="Z1879" i="1" a="1"/>
  <c r="Z1879" i="1" s="1"/>
  <c r="Z1880" i="1" a="1"/>
  <c r="Z1880" i="1" s="1"/>
  <c r="Z1881" i="1" a="1"/>
  <c r="Z1881" i="1" s="1"/>
  <c r="Z1882" i="1" a="1"/>
  <c r="Z1882" i="1" s="1"/>
  <c r="Z1883" i="1" a="1"/>
  <c r="Z1883" i="1" s="1"/>
  <c r="Z1884" i="1" a="1"/>
  <c r="Z1884" i="1" s="1"/>
  <c r="Z1885" i="1" a="1"/>
  <c r="Z1885" i="1" s="1"/>
  <c r="Z1886" i="1" a="1"/>
  <c r="Z1886" i="1" s="1"/>
  <c r="Z1887" i="1" a="1"/>
  <c r="Z1887" i="1" s="1"/>
  <c r="Z1888" i="1" a="1"/>
  <c r="Z1888" i="1" s="1"/>
  <c r="Z1889" i="1" a="1"/>
  <c r="Z1889" i="1" s="1"/>
  <c r="Z1890" i="1" a="1"/>
  <c r="Z1890" i="1" s="1"/>
  <c r="Z1891" i="1" a="1"/>
  <c r="Z1891" i="1" s="1"/>
  <c r="Z1892" i="1" a="1"/>
  <c r="Z1892" i="1" s="1"/>
  <c r="Z1893" i="1" a="1"/>
  <c r="Z1893" i="1" s="1"/>
  <c r="Z1894" i="1" a="1"/>
  <c r="Z1894" i="1" s="1"/>
  <c r="Z1895" i="1" a="1"/>
  <c r="Z1895" i="1" s="1"/>
  <c r="Z1896" i="1" a="1"/>
  <c r="Z1896" i="1" s="1"/>
  <c r="Z1897" i="1" a="1"/>
  <c r="Z1897" i="1" s="1"/>
  <c r="Z1898" i="1" a="1"/>
  <c r="Z1898" i="1" s="1"/>
  <c r="Z1899" i="1" a="1"/>
  <c r="Z1899" i="1" s="1"/>
  <c r="Z2" i="1" a="1"/>
  <c r="Z2" i="1" s="1"/>
  <c r="U3" i="6"/>
  <c r="U4" i="6"/>
  <c r="U5" i="6"/>
  <c r="U6" i="6"/>
  <c r="U7" i="6"/>
  <c r="U8" i="6"/>
  <c r="U9" i="6"/>
  <c r="U10" i="6"/>
  <c r="U11" i="6"/>
  <c r="U12" i="6"/>
  <c r="U13" i="6"/>
  <c r="U14" i="6"/>
  <c r="U15" i="6"/>
  <c r="U16" i="6"/>
  <c r="U17" i="6"/>
  <c r="U18" i="6"/>
  <c r="U19" i="6"/>
  <c r="U20" i="6"/>
  <c r="U21" i="6"/>
  <c r="U22" i="6"/>
  <c r="U23" i="6"/>
  <c r="U24" i="6"/>
  <c r="U25" i="6"/>
  <c r="U26" i="6"/>
  <c r="U27" i="6"/>
  <c r="U28" i="6"/>
  <c r="U29" i="6"/>
  <c r="U30" i="6"/>
  <c r="U31" i="6"/>
  <c r="U32" i="6"/>
  <c r="U33" i="6"/>
  <c r="U34" i="6"/>
  <c r="U35" i="6"/>
  <c r="U36" i="6"/>
  <c r="U37" i="6"/>
  <c r="U38" i="6"/>
  <c r="U39" i="6"/>
  <c r="U40" i="6"/>
  <c r="U41" i="6"/>
  <c r="U42" i="6"/>
  <c r="U43" i="6"/>
  <c r="U44" i="6"/>
  <c r="U45" i="6"/>
  <c r="U46" i="6"/>
  <c r="U47" i="6"/>
  <c r="U48" i="6"/>
  <c r="U49" i="6"/>
  <c r="U50" i="6"/>
  <c r="U51" i="6"/>
  <c r="U52" i="6"/>
  <c r="U53" i="6"/>
  <c r="U54" i="6"/>
  <c r="U55" i="6"/>
  <c r="U56" i="6"/>
  <c r="U57" i="6"/>
  <c r="U58" i="6"/>
  <c r="U59" i="6"/>
  <c r="U60" i="6"/>
  <c r="U61" i="6"/>
  <c r="U62" i="6"/>
  <c r="U63" i="6"/>
  <c r="U64" i="6"/>
  <c r="U65" i="6"/>
  <c r="U66" i="6"/>
  <c r="U67" i="6"/>
  <c r="U68" i="6"/>
  <c r="U69" i="6"/>
  <c r="U70" i="6"/>
  <c r="U71" i="6"/>
  <c r="U72" i="6"/>
  <c r="U73" i="6"/>
  <c r="U74" i="6"/>
  <c r="U75" i="6"/>
  <c r="U76" i="6"/>
  <c r="U2" i="6"/>
  <c r="BI3" i="8" l="1"/>
  <c r="BI4" i="8"/>
  <c r="BI5" i="8"/>
  <c r="BI6" i="8"/>
  <c r="BI7" i="8"/>
  <c r="BI8" i="8"/>
  <c r="BI9" i="8"/>
  <c r="BI10" i="8"/>
  <c r="BI11" i="8"/>
  <c r="BI12" i="8"/>
  <c r="BI13" i="8"/>
  <c r="BI14" i="8"/>
  <c r="BI15" i="8"/>
  <c r="BI16" i="8"/>
  <c r="BI17" i="8"/>
  <c r="BI18" i="8"/>
  <c r="BI19" i="8"/>
  <c r="BI20" i="8"/>
  <c r="BI21" i="8"/>
  <c r="BI22" i="8"/>
  <c r="BI23" i="8"/>
  <c r="BI24" i="8"/>
  <c r="BI25" i="8"/>
  <c r="BI26" i="8"/>
  <c r="BI27" i="8"/>
  <c r="BI28" i="8"/>
  <c r="BI29" i="8"/>
  <c r="BI30" i="8"/>
  <c r="BI31" i="8"/>
  <c r="BI32" i="8"/>
  <c r="BI33" i="8"/>
  <c r="BI34" i="8"/>
  <c r="BI35" i="8"/>
  <c r="BI36" i="8"/>
  <c r="BI37" i="8"/>
  <c r="BI38" i="8"/>
  <c r="BI39" i="8"/>
  <c r="BI40" i="8"/>
  <c r="BI41" i="8"/>
  <c r="BI42" i="8"/>
  <c r="BI43" i="8"/>
  <c r="BI44" i="8"/>
  <c r="BI45" i="8"/>
  <c r="BI46" i="8"/>
  <c r="BI47" i="8"/>
  <c r="BI48" i="8"/>
  <c r="BI49" i="8"/>
  <c r="BI50" i="8"/>
  <c r="BI51" i="8"/>
  <c r="BI52" i="8"/>
  <c r="BI53" i="8"/>
  <c r="BI54" i="8"/>
  <c r="BI55" i="8"/>
  <c r="BI56" i="8"/>
  <c r="BI57" i="8"/>
  <c r="BI58" i="8"/>
  <c r="BI59" i="8"/>
  <c r="BI60" i="8"/>
  <c r="BI61" i="8"/>
  <c r="BI62" i="8"/>
  <c r="BI63" i="8"/>
  <c r="BI64" i="8"/>
  <c r="BI65" i="8"/>
  <c r="BI66" i="8"/>
  <c r="BI67" i="8"/>
  <c r="BI68" i="8"/>
  <c r="BI69" i="8"/>
  <c r="BI70" i="8"/>
  <c r="BI71" i="8"/>
  <c r="BI72" i="8"/>
  <c r="BI73" i="8"/>
  <c r="BI74" i="8"/>
  <c r="BI75" i="8"/>
  <c r="BI76" i="8"/>
  <c r="BI77" i="8"/>
  <c r="BI78" i="8"/>
  <c r="BI79" i="8"/>
  <c r="BI80" i="8"/>
  <c r="BI81" i="8"/>
  <c r="BI82" i="8"/>
  <c r="BI83" i="8"/>
  <c r="BI84" i="8"/>
  <c r="BI85" i="8"/>
  <c r="BI86" i="8"/>
  <c r="BI87" i="8"/>
  <c r="BI88" i="8"/>
  <c r="BI89" i="8"/>
  <c r="BI90" i="8"/>
  <c r="BI91" i="8"/>
  <c r="BI92" i="8"/>
  <c r="BI93" i="8"/>
  <c r="BI94" i="8"/>
  <c r="BI95" i="8"/>
  <c r="BI96" i="8"/>
  <c r="BI97" i="8"/>
  <c r="BI98" i="8"/>
  <c r="BI99" i="8"/>
  <c r="BI100" i="8"/>
  <c r="BI101" i="8"/>
  <c r="BI102" i="8"/>
  <c r="BI103" i="8"/>
  <c r="BI104" i="8"/>
  <c r="BI105" i="8"/>
  <c r="BI106" i="8"/>
  <c r="BI107" i="8"/>
  <c r="BI108" i="8"/>
  <c r="BI109" i="8"/>
  <c r="BI110" i="8"/>
  <c r="BI111" i="8"/>
  <c r="BI112" i="8"/>
  <c r="BI113" i="8"/>
  <c r="BI114" i="8"/>
  <c r="BI115" i="8"/>
  <c r="BI116" i="8"/>
  <c r="BI117" i="8"/>
  <c r="BI118" i="8"/>
  <c r="BI119" i="8"/>
  <c r="BI120" i="8"/>
  <c r="BI121" i="8"/>
  <c r="BI122" i="8"/>
  <c r="BI123" i="8"/>
  <c r="BI124" i="8"/>
  <c r="BI125" i="8"/>
  <c r="BI126" i="8"/>
  <c r="BI127" i="8"/>
  <c r="BI128" i="8"/>
  <c r="BI129" i="8"/>
  <c r="BI130" i="8"/>
  <c r="BI131" i="8"/>
  <c r="BI132" i="8"/>
  <c r="BI133" i="8"/>
  <c r="BI134" i="8"/>
  <c r="BI135" i="8"/>
  <c r="BI136" i="8"/>
  <c r="BI137" i="8"/>
  <c r="BI138" i="8"/>
  <c r="BI139" i="8"/>
  <c r="BI140" i="8"/>
  <c r="BI141" i="8"/>
  <c r="BI142" i="8"/>
  <c r="BI143" i="8"/>
  <c r="BI144" i="8"/>
  <c r="BI145" i="8"/>
  <c r="BI146" i="8"/>
  <c r="BI147" i="8"/>
  <c r="BI148" i="8"/>
  <c r="BI149" i="8"/>
  <c r="BI150" i="8"/>
  <c r="BI151" i="8"/>
  <c r="BI152" i="8"/>
  <c r="BI153" i="8"/>
  <c r="BI154" i="8"/>
  <c r="BI155" i="8"/>
  <c r="BI156" i="8"/>
  <c r="BI157" i="8"/>
  <c r="BI158" i="8"/>
  <c r="BI159" i="8"/>
  <c r="BI160" i="8"/>
  <c r="BI161" i="8"/>
  <c r="BI2" i="8"/>
  <c r="C76" i="25"/>
  <c r="C75" i="25"/>
  <c r="C74" i="25"/>
  <c r="C73" i="25"/>
  <c r="C72" i="25"/>
  <c r="C71" i="25"/>
  <c r="C70" i="25"/>
  <c r="C69" i="25"/>
  <c r="C68" i="25"/>
  <c r="C67" i="25"/>
  <c r="C66" i="25"/>
  <c r="C65" i="25"/>
  <c r="C64" i="25"/>
  <c r="C63" i="25"/>
  <c r="C62" i="25"/>
  <c r="C61" i="25"/>
  <c r="C60" i="25"/>
  <c r="C59" i="25"/>
  <c r="C58" i="25"/>
  <c r="C57" i="25"/>
  <c r="C56" i="25"/>
  <c r="C55" i="25"/>
  <c r="C54" i="25"/>
  <c r="C53" i="25"/>
  <c r="N31" i="25" s="1"/>
  <c r="C52" i="25"/>
  <c r="M31" i="25" s="1"/>
  <c r="C51" i="25"/>
  <c r="C50" i="25"/>
  <c r="C49" i="25"/>
  <c r="C48" i="25"/>
  <c r="C47" i="25"/>
  <c r="C46" i="25"/>
  <c r="C45" i="25"/>
  <c r="C44" i="25"/>
  <c r="C43" i="25"/>
  <c r="C42" i="25"/>
  <c r="C41" i="25"/>
  <c r="Q28" i="25" s="1"/>
  <c r="C40" i="25"/>
  <c r="P28" i="25" s="1"/>
  <c r="C39" i="25"/>
  <c r="C38" i="25"/>
  <c r="C37" i="25"/>
  <c r="C36" i="25"/>
  <c r="C35" i="25"/>
  <c r="C34" i="25"/>
  <c r="C33" i="25"/>
  <c r="C32" i="25"/>
  <c r="C31" i="25"/>
  <c r="C30" i="25"/>
  <c r="C29" i="25"/>
  <c r="O26" i="25" s="1"/>
  <c r="C28" i="25"/>
  <c r="N26" i="25" s="1"/>
  <c r="C27" i="25"/>
  <c r="C26" i="25"/>
  <c r="C25" i="25"/>
  <c r="C24" i="25"/>
  <c r="C23" i="25"/>
  <c r="C22" i="25"/>
  <c r="C21" i="25"/>
  <c r="C20" i="25"/>
  <c r="C19" i="25"/>
  <c r="C18" i="25"/>
  <c r="C17" i="25"/>
  <c r="M24" i="25" s="1"/>
  <c r="C16" i="25"/>
  <c r="Q23" i="25" s="1"/>
  <c r="C15" i="25"/>
  <c r="C14" i="25"/>
  <c r="C13" i="25"/>
  <c r="C12" i="25"/>
  <c r="C11" i="25"/>
  <c r="C10" i="25"/>
  <c r="C9" i="25"/>
  <c r="C8" i="25"/>
  <c r="N22" i="25" s="1"/>
  <c r="C7" i="25"/>
  <c r="C6" i="25"/>
  <c r="C5" i="25"/>
  <c r="P21" i="25" s="1"/>
  <c r="C4" i="25"/>
  <c r="O21" i="25" s="1"/>
  <c r="C3" i="25"/>
  <c r="N21" i="25" s="1"/>
  <c r="C2" i="25"/>
  <c r="T6" i="25" a="1"/>
  <c r="T6" i="25" s="1"/>
  <c r="T5" i="25" a="1"/>
  <c r="T5" i="25" s="1"/>
  <c r="T4" i="25" a="1"/>
  <c r="T4" i="25" s="1"/>
  <c r="T3" i="25" a="1"/>
  <c r="T3" i="25" s="1"/>
  <c r="T2" i="25" a="1"/>
  <c r="T2" i="25" s="1"/>
  <c r="A57" i="25"/>
  <c r="B57" i="25"/>
  <c r="D57" i="25" s="1"/>
  <c r="H32" i="25" s="1"/>
  <c r="M32" i="25"/>
  <c r="A58" i="25"/>
  <c r="A63" i="25" s="1"/>
  <c r="B58" i="25"/>
  <c r="A59" i="25"/>
  <c r="B59" i="25"/>
  <c r="B64" i="25" s="1"/>
  <c r="B69" i="25" s="1"/>
  <c r="B74" i="25" s="1"/>
  <c r="O32" i="25"/>
  <c r="D59" i="25"/>
  <c r="J32" i="25" s="1"/>
  <c r="A60" i="25"/>
  <c r="B60" i="25"/>
  <c r="D60" i="25" s="1"/>
  <c r="K32" i="25" s="1"/>
  <c r="P32" i="25"/>
  <c r="A61" i="25"/>
  <c r="A66" i="25" s="1"/>
  <c r="B61" i="25"/>
  <c r="A62" i="25"/>
  <c r="B63" i="25"/>
  <c r="B68" i="25" s="1"/>
  <c r="B73" i="25" s="1"/>
  <c r="A64" i="25"/>
  <c r="A69" i="25" s="1"/>
  <c r="A65" i="25"/>
  <c r="B66" i="25"/>
  <c r="B71" i="25" s="1"/>
  <c r="B76" i="25" s="1"/>
  <c r="A67" i="25"/>
  <c r="A72" i="25" s="1"/>
  <c r="A70" i="25"/>
  <c r="A75" i="25" s="1"/>
  <c r="Q21" i="25"/>
  <c r="M22" i="25"/>
  <c r="O22" i="25"/>
  <c r="P22" i="25"/>
  <c r="Q22" i="25"/>
  <c r="M23" i="25"/>
  <c r="N23" i="25"/>
  <c r="O23" i="25"/>
  <c r="P23" i="25"/>
  <c r="N24" i="25"/>
  <c r="O24" i="25"/>
  <c r="P24" i="25"/>
  <c r="Q24" i="25"/>
  <c r="M25" i="25"/>
  <c r="N25" i="25"/>
  <c r="O25" i="25"/>
  <c r="P25" i="25"/>
  <c r="Q25" i="25"/>
  <c r="M26" i="25"/>
  <c r="P26" i="25"/>
  <c r="Q26" i="25"/>
  <c r="M27" i="25"/>
  <c r="N27" i="25"/>
  <c r="O27" i="25"/>
  <c r="P27" i="25"/>
  <c r="Q27" i="25"/>
  <c r="M28" i="25"/>
  <c r="N28" i="25"/>
  <c r="O28" i="25"/>
  <c r="M29" i="25"/>
  <c r="N29" i="25"/>
  <c r="O29" i="25"/>
  <c r="P29" i="25"/>
  <c r="Q29" i="25"/>
  <c r="M30" i="25"/>
  <c r="N30" i="25"/>
  <c r="O30" i="25"/>
  <c r="P30" i="25"/>
  <c r="Q30" i="25"/>
  <c r="O31" i="25"/>
  <c r="P31" i="25"/>
  <c r="Q31" i="25"/>
  <c r="BL161" i="8" l="1" a="1"/>
  <c r="BL161" i="8" s="1"/>
  <c r="BL160" i="8" a="1"/>
  <c r="BL160" i="8" s="1"/>
  <c r="BL159" i="8" a="1"/>
  <c r="BL159" i="8" s="1"/>
  <c r="BL158" i="8" a="1"/>
  <c r="BL158" i="8" s="1"/>
  <c r="BL157" i="8" a="1"/>
  <c r="BL157" i="8" s="1"/>
  <c r="BL156" i="8" a="1"/>
  <c r="BL156" i="8" s="1"/>
  <c r="BL152" i="8" a="1"/>
  <c r="BL152" i="8" s="1"/>
  <c r="BL150" i="8" a="1"/>
  <c r="BL150" i="8" s="1"/>
  <c r="BL149" i="8" a="1"/>
  <c r="BL149" i="8" s="1"/>
  <c r="BL148" i="8" a="1"/>
  <c r="BL148" i="8" s="1"/>
  <c r="BL147" i="8" a="1"/>
  <c r="BL147" i="8" s="1"/>
  <c r="BL146" i="8" a="1"/>
  <c r="BL146" i="8" s="1"/>
  <c r="BL145" i="8" a="1"/>
  <c r="BL145" i="8" s="1"/>
  <c r="BL144" i="8" a="1"/>
  <c r="BL144" i="8" s="1"/>
  <c r="BL139" i="8" a="1"/>
  <c r="BL139" i="8" s="1"/>
  <c r="BL138" i="8" a="1"/>
  <c r="BL138" i="8" s="1"/>
  <c r="BL137" i="8" a="1"/>
  <c r="BL137" i="8" s="1"/>
  <c r="BL136" i="8" a="1"/>
  <c r="BL136" i="8" s="1"/>
  <c r="BL135" i="8" a="1"/>
  <c r="BL135" i="8" s="1"/>
  <c r="BL134" i="8" a="1"/>
  <c r="BL134" i="8" s="1"/>
  <c r="BL133" i="8" a="1"/>
  <c r="BL133" i="8" s="1"/>
  <c r="BL132" i="8" a="1"/>
  <c r="BL132" i="8" s="1"/>
  <c r="BL128" i="8" a="1"/>
  <c r="BL128" i="8" s="1"/>
  <c r="BL127" i="8" a="1"/>
  <c r="BL127" i="8" s="1"/>
  <c r="BL126" i="8" a="1"/>
  <c r="BL126" i="8" s="1"/>
  <c r="BL125" i="8" a="1"/>
  <c r="BL125" i="8" s="1"/>
  <c r="BL124" i="8" a="1"/>
  <c r="BL124" i="8" s="1"/>
  <c r="BL123" i="8" a="1"/>
  <c r="BL123" i="8" s="1"/>
  <c r="BL122" i="8" a="1"/>
  <c r="BL122" i="8" s="1"/>
  <c r="BL121" i="8" a="1"/>
  <c r="BL121" i="8" s="1"/>
  <c r="BL120" i="8" a="1"/>
  <c r="BL120" i="8" s="1"/>
  <c r="BL116" i="8" a="1"/>
  <c r="BL116" i="8" s="1"/>
  <c r="BL115" i="8" a="1"/>
  <c r="BL115" i="8" s="1"/>
  <c r="BL114" i="8" a="1"/>
  <c r="BL114" i="8" s="1"/>
  <c r="BL113" i="8" a="1"/>
  <c r="BL113" i="8" s="1"/>
  <c r="BL112" i="8" a="1"/>
  <c r="BL112" i="8" s="1"/>
  <c r="BL111" i="8" a="1"/>
  <c r="BL111" i="8" s="1"/>
  <c r="BL110" i="8" a="1"/>
  <c r="BL110" i="8" s="1"/>
  <c r="BL109" i="8" a="1"/>
  <c r="BL109" i="8" s="1"/>
  <c r="BL108" i="8" a="1"/>
  <c r="BL108" i="8" s="1"/>
  <c r="BL104" i="8" a="1"/>
  <c r="BL104" i="8" s="1"/>
  <c r="BL103" i="8" a="1"/>
  <c r="BL103" i="8" s="1"/>
  <c r="BL102" i="8" a="1"/>
  <c r="BL102" i="8" s="1"/>
  <c r="BL101" i="8" a="1"/>
  <c r="BL101" i="8" s="1"/>
  <c r="BL100" i="8" a="1"/>
  <c r="BL100" i="8" s="1"/>
  <c r="BL99" i="8" a="1"/>
  <c r="BL99" i="8" s="1"/>
  <c r="BL98" i="8" a="1"/>
  <c r="BL98" i="8" s="1"/>
  <c r="BL97" i="8" a="1"/>
  <c r="BL97" i="8" s="1"/>
  <c r="BL96" i="8" a="1"/>
  <c r="BL96" i="8" s="1"/>
  <c r="BL92" i="8" a="1"/>
  <c r="BL92" i="8" s="1"/>
  <c r="BL91" i="8" a="1"/>
  <c r="BL91" i="8" s="1"/>
  <c r="BL90" i="8" a="1"/>
  <c r="BL90" i="8" s="1"/>
  <c r="BL89" i="8" a="1"/>
  <c r="BL89" i="8" s="1"/>
  <c r="BL88" i="8" a="1"/>
  <c r="BL88" i="8" s="1"/>
  <c r="BL87" i="8" a="1"/>
  <c r="BL87" i="8" s="1"/>
  <c r="BL86" i="8" a="1"/>
  <c r="BL86" i="8" s="1"/>
  <c r="BL85" i="8" a="1"/>
  <c r="BL85" i="8" s="1"/>
  <c r="BL84" i="8" a="1"/>
  <c r="BL84" i="8" s="1"/>
  <c r="BL80" i="8" a="1"/>
  <c r="BL80" i="8" s="1"/>
  <c r="BL79" i="8" a="1"/>
  <c r="BL79" i="8" s="1"/>
  <c r="BL78" i="8" a="1"/>
  <c r="BL78" i="8" s="1"/>
  <c r="BL77" i="8" a="1"/>
  <c r="BL77" i="8" s="1"/>
  <c r="BL76" i="8" a="1"/>
  <c r="BL76" i="8" s="1"/>
  <c r="BL75" i="8" a="1"/>
  <c r="BL75" i="8" s="1"/>
  <c r="BL74" i="8" a="1"/>
  <c r="BL74" i="8" s="1"/>
  <c r="BL73" i="8" a="1"/>
  <c r="BL73" i="8" s="1"/>
  <c r="BL72" i="8" a="1"/>
  <c r="BL72" i="8" s="1"/>
  <c r="BL68" i="8" a="1"/>
  <c r="BL68" i="8" s="1"/>
  <c r="BL67" i="8" a="1"/>
  <c r="BL67" i="8" s="1"/>
  <c r="BL66" i="8" a="1"/>
  <c r="BL66" i="8" s="1"/>
  <c r="BL65" i="8" a="1"/>
  <c r="BL65" i="8" s="1"/>
  <c r="BL64" i="8" a="1"/>
  <c r="BL64" i="8" s="1"/>
  <c r="BL63" i="8" a="1"/>
  <c r="BL63" i="8" s="1"/>
  <c r="BL62" i="8" a="1"/>
  <c r="BL62" i="8" s="1"/>
  <c r="BL61" i="8" a="1"/>
  <c r="BL61" i="8" s="1"/>
  <c r="BL60" i="8" a="1"/>
  <c r="BL60" i="8" s="1"/>
  <c r="BL56" i="8" a="1"/>
  <c r="BL56" i="8" s="1"/>
  <c r="BL55" i="8" a="1"/>
  <c r="BL55" i="8" s="1"/>
  <c r="BL54" i="8" a="1"/>
  <c r="BL54" i="8" s="1"/>
  <c r="BL53" i="8" a="1"/>
  <c r="BL53" i="8" s="1"/>
  <c r="BL52" i="8" a="1"/>
  <c r="BL52" i="8" s="1"/>
  <c r="BL51" i="8" a="1"/>
  <c r="BL51" i="8" s="1"/>
  <c r="BL50" i="8" a="1"/>
  <c r="BL50" i="8" s="1"/>
  <c r="BL49" i="8" a="1"/>
  <c r="BL49" i="8" s="1"/>
  <c r="BL48" i="8" a="1"/>
  <c r="BL48" i="8" s="1"/>
  <c r="BL44" i="8" a="1"/>
  <c r="BL44" i="8" s="1"/>
  <c r="BL43" i="8" a="1"/>
  <c r="BL43" i="8" s="1"/>
  <c r="BL42" i="8" a="1"/>
  <c r="BL42" i="8" s="1"/>
  <c r="BL41" i="8" a="1"/>
  <c r="BL41" i="8" s="1"/>
  <c r="BL40" i="8" a="1"/>
  <c r="BL40" i="8" s="1"/>
  <c r="BL39" i="8" a="1"/>
  <c r="BL39" i="8" s="1"/>
  <c r="BL38" i="8" a="1"/>
  <c r="BL38" i="8" s="1"/>
  <c r="BL37" i="8" a="1"/>
  <c r="BL37" i="8" s="1"/>
  <c r="BL36" i="8" a="1"/>
  <c r="BL36" i="8" s="1"/>
  <c r="BL32" i="8" a="1"/>
  <c r="BL32" i="8" s="1"/>
  <c r="BL31" i="8" a="1"/>
  <c r="BL31" i="8" s="1"/>
  <c r="BL30" i="8" a="1"/>
  <c r="BL30" i="8" s="1"/>
  <c r="BL29" i="8" a="1"/>
  <c r="BL29" i="8" s="1"/>
  <c r="BL28" i="8" a="1"/>
  <c r="BL28" i="8" s="1"/>
  <c r="BL27" i="8" a="1"/>
  <c r="BL27" i="8" s="1"/>
  <c r="BL26" i="8" a="1"/>
  <c r="BL26" i="8" s="1"/>
  <c r="BL25" i="8" a="1"/>
  <c r="BL25" i="8" s="1"/>
  <c r="BL24" i="8" a="1"/>
  <c r="BL24" i="8" s="1"/>
  <c r="BL20" i="8" a="1"/>
  <c r="BL20" i="8" s="1"/>
  <c r="BL19" i="8" a="1"/>
  <c r="BL19" i="8" s="1"/>
  <c r="BL18" i="8" a="1"/>
  <c r="BL18" i="8" s="1"/>
  <c r="BL17" i="8" a="1"/>
  <c r="BL17" i="8" s="1"/>
  <c r="BL16" i="8" a="1"/>
  <c r="BL16" i="8" s="1"/>
  <c r="BL14" i="8" a="1"/>
  <c r="BL14" i="8" s="1"/>
  <c r="BL13" i="8" a="1"/>
  <c r="BL13" i="8" s="1"/>
  <c r="BL12" i="8" a="1"/>
  <c r="BL12" i="8" s="1"/>
  <c r="BL8" i="8" a="1"/>
  <c r="BL8" i="8" s="1"/>
  <c r="BL7" i="8" a="1"/>
  <c r="BL7" i="8" s="1"/>
  <c r="BL6" i="8" a="1"/>
  <c r="BL6" i="8" s="1"/>
  <c r="BL5" i="8" a="1"/>
  <c r="BL5" i="8" s="1"/>
  <c r="BL4" i="8" a="1"/>
  <c r="BL4" i="8" s="1"/>
  <c r="BL3" i="8" a="1"/>
  <c r="BL3" i="8" s="1"/>
  <c r="BL155" i="8" a="1"/>
  <c r="BL155" i="8" s="1"/>
  <c r="BL154" i="8" a="1"/>
  <c r="BL154" i="8" s="1"/>
  <c r="BL153" i="8" a="1"/>
  <c r="BL153" i="8" s="1"/>
  <c r="BL151" i="8" a="1"/>
  <c r="BL151" i="8" s="1"/>
  <c r="BL143" i="8" a="1"/>
  <c r="BL143" i="8" s="1"/>
  <c r="BL142" i="8" a="1"/>
  <c r="BL142" i="8" s="1"/>
  <c r="BL141" i="8" a="1"/>
  <c r="BL141" i="8" s="1"/>
  <c r="BL140" i="8" a="1"/>
  <c r="BL140" i="8" s="1"/>
  <c r="BL131" i="8" a="1"/>
  <c r="BL131" i="8" s="1"/>
  <c r="BL130" i="8" a="1"/>
  <c r="BL130" i="8" s="1"/>
  <c r="BL129" i="8" a="1"/>
  <c r="BL129" i="8" s="1"/>
  <c r="BL119" i="8" a="1"/>
  <c r="BL119" i="8" s="1"/>
  <c r="BL118" i="8" a="1"/>
  <c r="BL118" i="8" s="1"/>
  <c r="BL117" i="8" a="1"/>
  <c r="BL117" i="8" s="1"/>
  <c r="BL107" i="8" a="1"/>
  <c r="BL107" i="8" s="1"/>
  <c r="BL106" i="8" a="1"/>
  <c r="BL106" i="8" s="1"/>
  <c r="BL105" i="8" a="1"/>
  <c r="BL105" i="8" s="1"/>
  <c r="BL95" i="8" a="1"/>
  <c r="BL95" i="8" s="1"/>
  <c r="BL94" i="8" a="1"/>
  <c r="BL94" i="8" s="1"/>
  <c r="BL93" i="8" a="1"/>
  <c r="BL93" i="8" s="1"/>
  <c r="BL83" i="8" a="1"/>
  <c r="BL83" i="8" s="1"/>
  <c r="BL82" i="8" a="1"/>
  <c r="BL82" i="8" s="1"/>
  <c r="BL81" i="8" a="1"/>
  <c r="BL81" i="8" s="1"/>
  <c r="BL71" i="8" a="1"/>
  <c r="BL71" i="8" s="1"/>
  <c r="BL70" i="8" a="1"/>
  <c r="BL70" i="8" s="1"/>
  <c r="BL69" i="8" a="1"/>
  <c r="BL69" i="8" s="1"/>
  <c r="BL59" i="8" a="1"/>
  <c r="BL59" i="8" s="1"/>
  <c r="BL58" i="8" a="1"/>
  <c r="BL58" i="8" s="1"/>
  <c r="BL57" i="8" a="1"/>
  <c r="BL57" i="8" s="1"/>
  <c r="BL47" i="8" a="1"/>
  <c r="BL47" i="8" s="1"/>
  <c r="BL46" i="8" a="1"/>
  <c r="BL46" i="8" s="1"/>
  <c r="BL45" i="8" a="1"/>
  <c r="BL45" i="8" s="1"/>
  <c r="BL35" i="8" a="1"/>
  <c r="BL35" i="8" s="1"/>
  <c r="BL34" i="8" a="1"/>
  <c r="BL34" i="8" s="1"/>
  <c r="BL33" i="8" a="1"/>
  <c r="BL33" i="8" s="1"/>
  <c r="BL23" i="8" a="1"/>
  <c r="BL23" i="8" s="1"/>
  <c r="BL22" i="8" a="1"/>
  <c r="BL22" i="8" s="1"/>
  <c r="BL21" i="8" a="1"/>
  <c r="BL21" i="8" s="1"/>
  <c r="BL15" i="8" a="1"/>
  <c r="BL15" i="8" s="1"/>
  <c r="BL11" i="8" a="1"/>
  <c r="BL11" i="8" s="1"/>
  <c r="BL10" i="8" a="1"/>
  <c r="BL10" i="8" s="1"/>
  <c r="BL9" i="8" a="1"/>
  <c r="BL9" i="8" s="1"/>
  <c r="BL2" i="8" a="1"/>
  <c r="BL2" i="8" s="1"/>
  <c r="O34" i="25"/>
  <c r="D69" i="25"/>
  <c r="J34" i="25" s="1"/>
  <c r="A74" i="25"/>
  <c r="N33" i="25"/>
  <c r="D63" i="25"/>
  <c r="I33" i="25" s="1"/>
  <c r="A68" i="25"/>
  <c r="Q33" i="25"/>
  <c r="D66" i="25"/>
  <c r="L33" i="25" s="1"/>
  <c r="A71" i="25"/>
  <c r="B65" i="25"/>
  <c r="B62" i="25"/>
  <c r="D64" i="25"/>
  <c r="J33" i="25" s="1"/>
  <c r="D61" i="25"/>
  <c r="L32" i="25" s="1"/>
  <c r="D58" i="25"/>
  <c r="I32" i="25" s="1"/>
  <c r="O33" i="25"/>
  <c r="Q32" i="25"/>
  <c r="N32" i="25"/>
  <c r="O35" i="25" l="1"/>
  <c r="D74" i="25"/>
  <c r="J35" i="25" s="1"/>
  <c r="A73" i="25"/>
  <c r="N34" i="25"/>
  <c r="D68" i="25"/>
  <c r="I34" i="25" s="1"/>
  <c r="D62" i="25"/>
  <c r="H33" i="25" s="1"/>
  <c r="B67" i="25"/>
  <c r="M33" i="25"/>
  <c r="D65" i="25"/>
  <c r="K33" i="25" s="1"/>
  <c r="B70" i="25"/>
  <c r="P33" i="25"/>
  <c r="Q34" i="25"/>
  <c r="D71" i="25"/>
  <c r="L34" i="25" s="1"/>
  <c r="A76" i="25"/>
  <c r="B72" i="25" l="1"/>
  <c r="M34" i="25"/>
  <c r="D67" i="25"/>
  <c r="H34" i="25" s="1"/>
  <c r="B75" i="25"/>
  <c r="D70" i="25"/>
  <c r="K34" i="25" s="1"/>
  <c r="P34" i="25"/>
  <c r="Q35" i="25"/>
  <c r="D76" i="25"/>
  <c r="L35" i="25" s="1"/>
  <c r="N35" i="25"/>
  <c r="D73" i="25"/>
  <c r="I35" i="25" s="1"/>
  <c r="P35" i="25" l="1"/>
  <c r="D75" i="25"/>
  <c r="K35" i="25" s="1"/>
  <c r="M35" i="25"/>
  <c r="D72" i="25"/>
  <c r="H35" i="25" s="1"/>
  <c r="M21" i="25" l="1"/>
  <c r="D41" i="25"/>
  <c r="L28" i="25" s="1"/>
  <c r="D6" i="25"/>
  <c r="L21" i="25" s="1"/>
  <c r="D5" i="25"/>
  <c r="K21" i="25" s="1"/>
  <c r="D4" i="25"/>
  <c r="J21" i="25" s="1"/>
  <c r="D3" i="25"/>
  <c r="I21" i="25" s="1"/>
  <c r="D2" i="25"/>
  <c r="H21" i="25" s="1"/>
  <c r="A46" i="25"/>
  <c r="A51" i="25" s="1"/>
  <c r="A56" i="25" s="1"/>
  <c r="A8" i="25"/>
  <c r="A13" i="25" s="1"/>
  <c r="A18" i="25" s="1"/>
  <c r="A23" i="25" s="1"/>
  <c r="A28" i="25" s="1"/>
  <c r="A33" i="25" s="1"/>
  <c r="A38" i="25" s="1"/>
  <c r="D38" i="25" s="1"/>
  <c r="I28" i="25" s="1"/>
  <c r="B8" i="25"/>
  <c r="B13" i="25" s="1"/>
  <c r="B18" i="25" s="1"/>
  <c r="B23" i="25" s="1"/>
  <c r="B28" i="25" s="1"/>
  <c r="B33" i="25" s="1"/>
  <c r="B38" i="25" s="1"/>
  <c r="B43" i="25" s="1"/>
  <c r="B48" i="25" s="1"/>
  <c r="B53" i="25" s="1"/>
  <c r="A9" i="25"/>
  <c r="B9" i="25"/>
  <c r="B14" i="25" s="1"/>
  <c r="B19" i="25" s="1"/>
  <c r="B24" i="25" s="1"/>
  <c r="B29" i="25" s="1"/>
  <c r="B34" i="25" s="1"/>
  <c r="B39" i="25" s="1"/>
  <c r="B44" i="25" s="1"/>
  <c r="B49" i="25" s="1"/>
  <c r="B54" i="25" s="1"/>
  <c r="A10" i="25"/>
  <c r="D10" i="25" s="1"/>
  <c r="K22" i="25" s="1"/>
  <c r="B10" i="25"/>
  <c r="B15" i="25" s="1"/>
  <c r="B20" i="25" s="1"/>
  <c r="B25" i="25" s="1"/>
  <c r="B30" i="25" s="1"/>
  <c r="B35" i="25" s="1"/>
  <c r="B40" i="25" s="1"/>
  <c r="B45" i="25" s="1"/>
  <c r="B50" i="25" s="1"/>
  <c r="B55" i="25" s="1"/>
  <c r="A11" i="25"/>
  <c r="A16" i="25" s="1"/>
  <c r="A21" i="25" s="1"/>
  <c r="A26" i="25" s="1"/>
  <c r="A31" i="25" s="1"/>
  <c r="A36" i="25" s="1"/>
  <c r="A41" i="25" s="1"/>
  <c r="B11" i="25"/>
  <c r="B16" i="25" s="1"/>
  <c r="B21" i="25" s="1"/>
  <c r="B26" i="25" s="1"/>
  <c r="B31" i="25" s="1"/>
  <c r="B36" i="25" s="1"/>
  <c r="B41" i="25" s="1"/>
  <c r="B46" i="25" s="1"/>
  <c r="B51" i="25" s="1"/>
  <c r="B56" i="25" s="1"/>
  <c r="A7" i="25"/>
  <c r="B7" i="25"/>
  <c r="B12" i="25" s="1"/>
  <c r="B17" i="25" s="1"/>
  <c r="B22" i="25" s="1"/>
  <c r="B27" i="25" s="1"/>
  <c r="B32" i="25" s="1"/>
  <c r="B37" i="25" s="1"/>
  <c r="B42" i="25" s="1"/>
  <c r="B47" i="25" s="1"/>
  <c r="B52" i="25" s="1"/>
  <c r="D16" i="25" l="1"/>
  <c r="L23" i="25" s="1"/>
  <c r="D21" i="25"/>
  <c r="L24" i="25" s="1"/>
  <c r="D28" i="25"/>
  <c r="I26" i="25" s="1"/>
  <c r="D7" i="25"/>
  <c r="H22" i="25" s="1"/>
  <c r="D31" i="25"/>
  <c r="L26" i="25" s="1"/>
  <c r="D18" i="25"/>
  <c r="I24" i="25" s="1"/>
  <c r="D8" i="25"/>
  <c r="I22" i="25" s="1"/>
  <c r="D56" i="25"/>
  <c r="L31" i="25" s="1"/>
  <c r="D33" i="25"/>
  <c r="I27" i="25" s="1"/>
  <c r="A12" i="25"/>
  <c r="D9" i="25"/>
  <c r="J22" i="25" s="1"/>
  <c r="D36" i="25"/>
  <c r="L27" i="25" s="1"/>
  <c r="D11" i="25"/>
  <c r="L22" i="25" s="1"/>
  <c r="D46" i="25"/>
  <c r="L29" i="25" s="1"/>
  <c r="D23" i="25"/>
  <c r="I25" i="25" s="1"/>
  <c r="D13" i="25"/>
  <c r="I23" i="25" s="1"/>
  <c r="D26" i="25"/>
  <c r="L25" i="25" s="1"/>
  <c r="D51" i="25"/>
  <c r="L30" i="25" s="1"/>
  <c r="A43" i="25"/>
  <c r="A15" i="25"/>
  <c r="A14" i="25"/>
  <c r="X3" i="8"/>
  <c r="X4" i="8"/>
  <c r="X5" i="8"/>
  <c r="Z5" i="8" s="1"/>
  <c r="X6" i="8"/>
  <c r="X7" i="8"/>
  <c r="X8" i="8"/>
  <c r="X9" i="8"/>
  <c r="X10" i="8"/>
  <c r="X11" i="8"/>
  <c r="X12" i="8"/>
  <c r="X13" i="8"/>
  <c r="X14" i="8"/>
  <c r="X15" i="8"/>
  <c r="X16" i="8"/>
  <c r="X17" i="8"/>
  <c r="X18" i="8"/>
  <c r="X19" i="8"/>
  <c r="AB19" i="8" s="1"/>
  <c r="X20" i="8"/>
  <c r="X21" i="8"/>
  <c r="X22" i="8"/>
  <c r="X23" i="8"/>
  <c r="X24" i="8"/>
  <c r="X25" i="8"/>
  <c r="X26" i="8"/>
  <c r="X27" i="8"/>
  <c r="X28" i="8"/>
  <c r="X29" i="8"/>
  <c r="X30" i="8"/>
  <c r="X31" i="8"/>
  <c r="X32" i="8"/>
  <c r="X33" i="8"/>
  <c r="X34" i="8"/>
  <c r="X35" i="8"/>
  <c r="X36" i="8"/>
  <c r="X37" i="8"/>
  <c r="X38" i="8"/>
  <c r="X39" i="8"/>
  <c r="X40" i="8"/>
  <c r="X41" i="8"/>
  <c r="X42" i="8"/>
  <c r="X43" i="8"/>
  <c r="X44" i="8"/>
  <c r="X45" i="8"/>
  <c r="X46" i="8"/>
  <c r="X47" i="8"/>
  <c r="X48" i="8"/>
  <c r="X49" i="8"/>
  <c r="X50" i="8"/>
  <c r="X51" i="8"/>
  <c r="X52" i="8"/>
  <c r="X53" i="8"/>
  <c r="X54" i="8"/>
  <c r="X55" i="8"/>
  <c r="AB55" i="8" s="1"/>
  <c r="X56" i="8"/>
  <c r="X57" i="8"/>
  <c r="X58" i="8"/>
  <c r="X59" i="8"/>
  <c r="X60" i="8"/>
  <c r="X61" i="8"/>
  <c r="X62" i="8"/>
  <c r="X63" i="8"/>
  <c r="X64" i="8"/>
  <c r="X65" i="8"/>
  <c r="X66" i="8"/>
  <c r="X67" i="8"/>
  <c r="X68" i="8"/>
  <c r="X69" i="8"/>
  <c r="X70" i="8"/>
  <c r="X71" i="8"/>
  <c r="X72" i="8"/>
  <c r="X73" i="8"/>
  <c r="X74" i="8"/>
  <c r="X75" i="8"/>
  <c r="X76" i="8"/>
  <c r="X77" i="8"/>
  <c r="X78" i="8"/>
  <c r="X79" i="8"/>
  <c r="AB79" i="8" s="1"/>
  <c r="X80" i="8"/>
  <c r="X81" i="8"/>
  <c r="X82" i="8"/>
  <c r="X83" i="8"/>
  <c r="X84" i="8"/>
  <c r="X85" i="8"/>
  <c r="X86" i="8"/>
  <c r="X87" i="8"/>
  <c r="X88" i="8"/>
  <c r="X89" i="8"/>
  <c r="X90" i="8"/>
  <c r="X91" i="8"/>
  <c r="X92" i="8"/>
  <c r="X93" i="8"/>
  <c r="X94" i="8"/>
  <c r="X95" i="8"/>
  <c r="X96" i="8"/>
  <c r="X97" i="8"/>
  <c r="X98" i="8"/>
  <c r="X99" i="8"/>
  <c r="X100" i="8"/>
  <c r="X101" i="8"/>
  <c r="X102" i="8"/>
  <c r="X103" i="8"/>
  <c r="X104" i="8"/>
  <c r="X105" i="8"/>
  <c r="X106" i="8"/>
  <c r="X107" i="8"/>
  <c r="X108" i="8"/>
  <c r="X109" i="8"/>
  <c r="X110" i="8"/>
  <c r="X111" i="8"/>
  <c r="X112" i="8"/>
  <c r="X113" i="8"/>
  <c r="X114" i="8"/>
  <c r="X115" i="8"/>
  <c r="X116" i="8"/>
  <c r="X117" i="8"/>
  <c r="X118" i="8"/>
  <c r="X119" i="8"/>
  <c r="X120" i="8"/>
  <c r="X121" i="8"/>
  <c r="X122" i="8"/>
  <c r="X123" i="8"/>
  <c r="X124" i="8"/>
  <c r="X125" i="8"/>
  <c r="X126" i="8"/>
  <c r="X127" i="8"/>
  <c r="X128" i="8"/>
  <c r="X129" i="8"/>
  <c r="X130" i="8"/>
  <c r="X131" i="8"/>
  <c r="X132" i="8"/>
  <c r="X133" i="8"/>
  <c r="X134" i="8"/>
  <c r="X135" i="8"/>
  <c r="X136" i="8"/>
  <c r="X137" i="8"/>
  <c r="X138" i="8"/>
  <c r="X139" i="8"/>
  <c r="X140" i="8"/>
  <c r="X141" i="8"/>
  <c r="X142" i="8"/>
  <c r="X143" i="8"/>
  <c r="X144" i="8"/>
  <c r="X145" i="8"/>
  <c r="X146" i="8"/>
  <c r="X147" i="8"/>
  <c r="X148" i="8"/>
  <c r="X149" i="8"/>
  <c r="X150" i="8"/>
  <c r="X151" i="8"/>
  <c r="X152" i="8"/>
  <c r="X153" i="8"/>
  <c r="X154" i="8"/>
  <c r="X155" i="8"/>
  <c r="X156" i="8"/>
  <c r="X157" i="8"/>
  <c r="X158" i="8"/>
  <c r="X159" i="8"/>
  <c r="X160" i="8"/>
  <c r="X161" i="8"/>
  <c r="X2" i="8"/>
  <c r="Q3" i="6"/>
  <c r="Q4" i="6"/>
  <c r="Q5" i="6"/>
  <c r="Q6" i="6"/>
  <c r="Q7" i="6"/>
  <c r="Q8" i="6"/>
  <c r="Q9" i="6"/>
  <c r="Q10" i="6"/>
  <c r="Q11" i="6"/>
  <c r="Q12" i="6"/>
  <c r="Q13" i="6"/>
  <c r="Q14" i="6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33" i="6"/>
  <c r="Q34" i="6"/>
  <c r="Q35" i="6"/>
  <c r="Q36" i="6"/>
  <c r="Q37" i="6"/>
  <c r="Q38" i="6"/>
  <c r="Q39" i="6"/>
  <c r="Q40" i="6"/>
  <c r="Q41" i="6"/>
  <c r="Q42" i="6"/>
  <c r="Q43" i="6"/>
  <c r="Q44" i="6"/>
  <c r="Q45" i="6"/>
  <c r="Q46" i="6"/>
  <c r="Q47" i="6"/>
  <c r="Q48" i="6"/>
  <c r="Q49" i="6"/>
  <c r="Q50" i="6"/>
  <c r="Q51" i="6"/>
  <c r="Q52" i="6"/>
  <c r="Q53" i="6"/>
  <c r="Q54" i="6"/>
  <c r="Q55" i="6"/>
  <c r="Q56" i="6"/>
  <c r="Q57" i="6"/>
  <c r="Q58" i="6"/>
  <c r="Q59" i="6"/>
  <c r="Q60" i="6"/>
  <c r="Q61" i="6"/>
  <c r="Q62" i="6"/>
  <c r="Q63" i="6"/>
  <c r="Q64" i="6"/>
  <c r="Q65" i="6"/>
  <c r="Q66" i="6"/>
  <c r="Q67" i="6"/>
  <c r="Q68" i="6"/>
  <c r="Q69" i="6"/>
  <c r="Q70" i="6"/>
  <c r="Q71" i="6"/>
  <c r="Q72" i="6"/>
  <c r="Q73" i="6"/>
  <c r="Q74" i="6"/>
  <c r="Q75" i="6"/>
  <c r="Q76" i="6"/>
  <c r="Q2" i="6"/>
  <c r="D3" i="4"/>
  <c r="E2" i="6" s="1" a="1"/>
  <c r="E2" i="6" s="1"/>
  <c r="D4" i="4"/>
  <c r="F2" i="6" s="1" a="1"/>
  <c r="F2" i="6" s="1"/>
  <c r="D5" i="4"/>
  <c r="G2" i="6" s="1" a="1"/>
  <c r="G2" i="6" s="1"/>
  <c r="D6" i="4"/>
  <c r="H2" i="6" s="1" a="1"/>
  <c r="H2" i="6" s="1"/>
  <c r="D7" i="4"/>
  <c r="I2" i="6" s="1" a="1"/>
  <c r="I2" i="6" s="1"/>
  <c r="D8" i="4"/>
  <c r="D9" i="4"/>
  <c r="D10" i="4"/>
  <c r="D11" i="4"/>
  <c r="D12" i="4"/>
  <c r="D13" i="4"/>
  <c r="H3" i="6" s="1" a="1"/>
  <c r="H3" i="6" s="1"/>
  <c r="D14" i="4"/>
  <c r="I3" i="6" s="1" a="1"/>
  <c r="I3" i="6" s="1"/>
  <c r="D15" i="4"/>
  <c r="J3" i="6" s="1" a="1"/>
  <c r="J3" i="6" s="1"/>
  <c r="D16" i="4"/>
  <c r="D17" i="4"/>
  <c r="E4" i="6" s="1" a="1"/>
  <c r="E4" i="6" s="1"/>
  <c r="D18" i="4"/>
  <c r="F4" i="6" s="1" a="1"/>
  <c r="F4" i="6" s="1"/>
  <c r="D19" i="4"/>
  <c r="D20" i="4"/>
  <c r="D21" i="4"/>
  <c r="D22" i="4"/>
  <c r="D23" i="4"/>
  <c r="D24" i="4"/>
  <c r="D25" i="4"/>
  <c r="F5" i="6" s="1" a="1"/>
  <c r="F5" i="6" s="1"/>
  <c r="D26" i="4"/>
  <c r="G5" i="6" s="1" a="1"/>
  <c r="G5" i="6" s="1"/>
  <c r="D27" i="4"/>
  <c r="H5" i="6" s="1" a="1"/>
  <c r="H5" i="6" s="1"/>
  <c r="D28" i="4"/>
  <c r="D29" i="4"/>
  <c r="D30" i="4"/>
  <c r="D31" i="4"/>
  <c r="E6" i="6" s="1" a="1"/>
  <c r="E6" i="6" s="1"/>
  <c r="D32" i="4"/>
  <c r="F6" i="6" s="1" a="1"/>
  <c r="F6" i="6" s="1"/>
  <c r="D33" i="4"/>
  <c r="G6" i="6" s="1" a="1"/>
  <c r="G6" i="6" s="1"/>
  <c r="D34" i="4"/>
  <c r="D35" i="4"/>
  <c r="I6" i="6" s="1" a="1"/>
  <c r="I6" i="6" s="1"/>
  <c r="D36" i="4"/>
  <c r="D37" i="4"/>
  <c r="D7" i="6" s="1" a="1"/>
  <c r="D7" i="6" s="1"/>
  <c r="D38" i="4"/>
  <c r="E7" i="6" s="1" a="1"/>
  <c r="E7" i="6" s="1"/>
  <c r="D39" i="4"/>
  <c r="F7" i="6" s="1" a="1"/>
  <c r="F7" i="6" s="1"/>
  <c r="D40" i="4"/>
  <c r="G7" i="6" s="1" a="1"/>
  <c r="G7" i="6" s="1"/>
  <c r="D41" i="4"/>
  <c r="H7" i="6" s="1" a="1"/>
  <c r="H7" i="6" s="1"/>
  <c r="D42" i="4"/>
  <c r="I7" i="6" s="1" a="1"/>
  <c r="I7" i="6" s="1"/>
  <c r="D43" i="4"/>
  <c r="J7" i="6" s="1" a="1"/>
  <c r="J7" i="6" s="1"/>
  <c r="D44" i="4"/>
  <c r="D45" i="4"/>
  <c r="E8" i="6" s="1" a="1"/>
  <c r="E8" i="6" s="1"/>
  <c r="D46" i="4"/>
  <c r="D47" i="4"/>
  <c r="G8" i="6" s="1" a="1"/>
  <c r="G8" i="6" s="1"/>
  <c r="D48" i="4"/>
  <c r="D49" i="4"/>
  <c r="D50" i="4"/>
  <c r="J8" i="6" s="1" a="1"/>
  <c r="J8" i="6" s="1"/>
  <c r="D51" i="4"/>
  <c r="D9" i="6" s="1" a="1"/>
  <c r="D9" i="6" s="1"/>
  <c r="D52" i="4"/>
  <c r="E9" i="6" s="1" a="1"/>
  <c r="E9" i="6" s="1"/>
  <c r="D53" i="4"/>
  <c r="F9" i="6" s="1" a="1"/>
  <c r="F9" i="6" s="1"/>
  <c r="D54" i="4"/>
  <c r="G9" i="6" s="1" a="1"/>
  <c r="G9" i="6" s="1"/>
  <c r="D55" i="4"/>
  <c r="H9" i="6" s="1" a="1"/>
  <c r="H9" i="6" s="1"/>
  <c r="D56" i="4"/>
  <c r="I9" i="6" s="1" a="1"/>
  <c r="I9" i="6" s="1"/>
  <c r="D57" i="4"/>
  <c r="J9" i="6" s="1" a="1"/>
  <c r="J9" i="6" s="1"/>
  <c r="D58" i="4"/>
  <c r="D59" i="4"/>
  <c r="E10" i="6" s="1" a="1"/>
  <c r="E10" i="6" s="1"/>
  <c r="D60" i="4"/>
  <c r="D61" i="4"/>
  <c r="G10" i="6" s="1" a="1"/>
  <c r="G10" i="6" s="1"/>
  <c r="D62" i="4"/>
  <c r="H10" i="6" s="1" a="1"/>
  <c r="H10" i="6" s="1"/>
  <c r="D63" i="4"/>
  <c r="I10" i="6" s="1" a="1"/>
  <c r="I10" i="6" s="1"/>
  <c r="D64" i="4"/>
  <c r="J10" i="6" s="1" a="1"/>
  <c r="J10" i="6" s="1"/>
  <c r="D65" i="4"/>
  <c r="D66" i="4"/>
  <c r="E11" i="6" s="1" a="1"/>
  <c r="E11" i="6" s="1"/>
  <c r="D67" i="4"/>
  <c r="F11" i="6" s="1" a="1"/>
  <c r="F11" i="6" s="1"/>
  <c r="D68" i="4"/>
  <c r="D69" i="4"/>
  <c r="H11" i="6" s="1" a="1"/>
  <c r="H11" i="6" s="1"/>
  <c r="D70" i="4"/>
  <c r="D71" i="4"/>
  <c r="J11" i="6" s="1" a="1"/>
  <c r="J11" i="6" s="1"/>
  <c r="D72" i="4"/>
  <c r="D73" i="4"/>
  <c r="E12" i="6" s="1" a="1"/>
  <c r="E12" i="6" s="1"/>
  <c r="D74" i="4"/>
  <c r="F12" i="6" s="1" a="1"/>
  <c r="F12" i="6" s="1"/>
  <c r="D75" i="4"/>
  <c r="G12" i="6" s="1" a="1"/>
  <c r="G12" i="6" s="1"/>
  <c r="D76" i="4"/>
  <c r="H12" i="6" s="1" a="1"/>
  <c r="H12" i="6" s="1"/>
  <c r="D77" i="4"/>
  <c r="D78" i="4"/>
  <c r="J12" i="6" s="1" a="1"/>
  <c r="J12" i="6" s="1"/>
  <c r="D79" i="4"/>
  <c r="D80" i="4"/>
  <c r="E13" i="6" s="1" a="1"/>
  <c r="E13" i="6" s="1"/>
  <c r="D81" i="4"/>
  <c r="F13" i="6" s="1" a="1"/>
  <c r="F13" i="6" s="1"/>
  <c r="D82" i="4"/>
  <c r="D83" i="4"/>
  <c r="H13" i="6" s="1" a="1"/>
  <c r="H13" i="6" s="1"/>
  <c r="D84" i="4"/>
  <c r="I13" i="6" s="1" a="1"/>
  <c r="I13" i="6" s="1"/>
  <c r="D85" i="4"/>
  <c r="J13" i="6" s="1" a="1"/>
  <c r="J13" i="6" s="1"/>
  <c r="D86" i="4"/>
  <c r="D14" i="6" s="1" a="1"/>
  <c r="D14" i="6" s="1"/>
  <c r="D87" i="4"/>
  <c r="E14" i="6" s="1" a="1"/>
  <c r="E14" i="6" s="1"/>
  <c r="D88" i="4"/>
  <c r="F14" i="6" s="1" a="1"/>
  <c r="F14" i="6" s="1"/>
  <c r="D89" i="4"/>
  <c r="G14" i="6" s="1" a="1"/>
  <c r="G14" i="6" s="1"/>
  <c r="D90" i="4"/>
  <c r="H14" i="6" s="1" a="1"/>
  <c r="H14" i="6" s="1"/>
  <c r="D91" i="4"/>
  <c r="I14" i="6" s="1" a="1"/>
  <c r="I14" i="6" s="1"/>
  <c r="D92" i="4"/>
  <c r="D93" i="4"/>
  <c r="D94" i="4"/>
  <c r="D95" i="4"/>
  <c r="F15" i="6" s="1" a="1"/>
  <c r="F15" i="6" s="1"/>
  <c r="D96" i="4"/>
  <c r="G15" i="6" s="1" a="1"/>
  <c r="G15" i="6" s="1"/>
  <c r="D97" i="4"/>
  <c r="H15" i="6" s="1" a="1"/>
  <c r="H15" i="6" s="1"/>
  <c r="D98" i="4"/>
  <c r="I15" i="6" s="1" a="1"/>
  <c r="I15" i="6" s="1"/>
  <c r="D99" i="4"/>
  <c r="J15" i="6" s="1" a="1"/>
  <c r="J15" i="6" s="1"/>
  <c r="D100" i="4"/>
  <c r="D101" i="4"/>
  <c r="D102" i="4"/>
  <c r="E4" i="4" s="1" a="1"/>
  <c r="E4" i="4" s="1"/>
  <c r="F4" i="4" s="1" a="1"/>
  <c r="F4" i="4" s="1"/>
  <c r="D103" i="4"/>
  <c r="D104" i="4"/>
  <c r="D105" i="4"/>
  <c r="D106" i="4"/>
  <c r="E15" i="4" s="1" a="1"/>
  <c r="E15" i="4" s="1"/>
  <c r="F15" i="4" s="1" a="1"/>
  <c r="F15" i="4" s="1"/>
  <c r="D107" i="4"/>
  <c r="E107" i="4" s="1" a="1"/>
  <c r="E107" i="4" s="1"/>
  <c r="F107" i="4" s="1" a="1"/>
  <c r="F107" i="4" s="1"/>
  <c r="D108" i="4"/>
  <c r="E17" i="6" s="1" a="1"/>
  <c r="E17" i="6" s="1"/>
  <c r="D109" i="4"/>
  <c r="F17" i="6" s="1" a="1"/>
  <c r="F17" i="6" s="1"/>
  <c r="D110" i="4"/>
  <c r="G17" i="6" s="1" a="1"/>
  <c r="G17" i="6" s="1"/>
  <c r="D111" i="4"/>
  <c r="H17" i="6" s="1" a="1"/>
  <c r="H17" i="6" s="1"/>
  <c r="D112" i="4"/>
  <c r="I17" i="6" s="1" a="1"/>
  <c r="I17" i="6" s="1"/>
  <c r="D113" i="4"/>
  <c r="J17" i="6" s="1" a="1"/>
  <c r="J17" i="6" s="1"/>
  <c r="D114" i="4"/>
  <c r="D115" i="4"/>
  <c r="E18" i="6" s="1" a="1"/>
  <c r="E18" i="6" s="1"/>
  <c r="D116" i="4"/>
  <c r="F18" i="6" s="1" a="1"/>
  <c r="F18" i="6" s="1"/>
  <c r="D117" i="4"/>
  <c r="G18" i="6" s="1" a="1"/>
  <c r="G18" i="6" s="1"/>
  <c r="D118" i="4"/>
  <c r="D119" i="4"/>
  <c r="I18" i="6" s="1" a="1"/>
  <c r="I18" i="6" s="1"/>
  <c r="D120" i="4"/>
  <c r="D121" i="4"/>
  <c r="D122" i="4"/>
  <c r="E19" i="6" s="1" a="1"/>
  <c r="E19" i="6" s="1"/>
  <c r="D123" i="4"/>
  <c r="F19" i="6" s="1" a="1"/>
  <c r="F19" i="6" s="1"/>
  <c r="D124" i="4"/>
  <c r="D125" i="4"/>
  <c r="H19" i="6" s="1" a="1"/>
  <c r="H19" i="6" s="1"/>
  <c r="D126" i="4"/>
  <c r="I19" i="6" s="1" a="1"/>
  <c r="I19" i="6" s="1"/>
  <c r="D127" i="4"/>
  <c r="J19" i="6" s="1" a="1"/>
  <c r="J19" i="6" s="1"/>
  <c r="D128" i="4"/>
  <c r="D129" i="4"/>
  <c r="E20" i="6" s="1" a="1"/>
  <c r="E20" i="6" s="1"/>
  <c r="D130" i="4"/>
  <c r="D131" i="4"/>
  <c r="G20" i="6" s="1" a="1"/>
  <c r="G20" i="6" s="1"/>
  <c r="D132" i="4"/>
  <c r="H20" i="6" s="1" a="1"/>
  <c r="H20" i="6" s="1"/>
  <c r="D133" i="4"/>
  <c r="I20" i="6" s="1" a="1"/>
  <c r="I20" i="6" s="1"/>
  <c r="D134" i="4"/>
  <c r="J20" i="6" s="1" a="1"/>
  <c r="J20" i="6" s="1"/>
  <c r="D135" i="4"/>
  <c r="D21" i="6" s="1" a="1"/>
  <c r="D21" i="6" s="1"/>
  <c r="D136" i="4"/>
  <c r="D137" i="4"/>
  <c r="F21" i="6" s="1" a="1"/>
  <c r="F21" i="6" s="1"/>
  <c r="D138" i="4"/>
  <c r="G21" i="6" s="1" a="1"/>
  <c r="G21" i="6" s="1"/>
  <c r="D139" i="4"/>
  <c r="H21" i="6" s="1" a="1"/>
  <c r="H21" i="6" s="1"/>
  <c r="D140" i="4"/>
  <c r="I21" i="6" s="1" a="1"/>
  <c r="I21" i="6" s="1"/>
  <c r="D141" i="4"/>
  <c r="J21" i="6" s="1" a="1"/>
  <c r="J21" i="6" s="1"/>
  <c r="D142" i="4"/>
  <c r="D143" i="4"/>
  <c r="E22" i="6" s="1" a="1"/>
  <c r="E22" i="6" s="1"/>
  <c r="D144" i="4"/>
  <c r="D145" i="4"/>
  <c r="G22" i="6" s="1" a="1"/>
  <c r="G22" i="6" s="1"/>
  <c r="D146" i="4"/>
  <c r="D147" i="4"/>
  <c r="I22" i="6" s="1" a="1"/>
  <c r="I22" i="6" s="1"/>
  <c r="D148" i="4"/>
  <c r="J22" i="6" s="1" a="1"/>
  <c r="J22" i="6" s="1"/>
  <c r="D149" i="4"/>
  <c r="D150" i="4"/>
  <c r="E23" i="6" s="1" a="1"/>
  <c r="E23" i="6" s="1"/>
  <c r="D151" i="4"/>
  <c r="F23" i="6" s="1" a="1"/>
  <c r="F23" i="6" s="1"/>
  <c r="D152" i="4"/>
  <c r="G23" i="6" s="1" a="1"/>
  <c r="G23" i="6" s="1"/>
  <c r="D153" i="4"/>
  <c r="H23" i="6" s="1" a="1"/>
  <c r="H23" i="6" s="1"/>
  <c r="D154" i="4"/>
  <c r="D155" i="4"/>
  <c r="D156" i="4"/>
  <c r="D157" i="4"/>
  <c r="E24" i="6" s="1" a="1"/>
  <c r="E24" i="6" s="1"/>
  <c r="D158" i="4"/>
  <c r="F24" i="6" s="1" a="1"/>
  <c r="F24" i="6" s="1"/>
  <c r="D159" i="4"/>
  <c r="G24" i="6" s="1" a="1"/>
  <c r="G24" i="6" s="1"/>
  <c r="D160" i="4"/>
  <c r="H24" i="6" s="1" a="1"/>
  <c r="H24" i="6" s="1"/>
  <c r="D161" i="4"/>
  <c r="D162" i="4"/>
  <c r="J24" i="6" s="1" a="1"/>
  <c r="J24" i="6" s="1"/>
  <c r="D163" i="4"/>
  <c r="D164" i="4"/>
  <c r="E25" i="6" s="1" a="1"/>
  <c r="E25" i="6" s="1"/>
  <c r="D165" i="4"/>
  <c r="F25" i="6" s="1" a="1"/>
  <c r="F25" i="6" s="1"/>
  <c r="D166" i="4"/>
  <c r="G25" i="6" s="1" a="1"/>
  <c r="G25" i="6" s="1"/>
  <c r="D167" i="4"/>
  <c r="D168" i="4"/>
  <c r="D169" i="4"/>
  <c r="J25" i="6" s="1" a="1"/>
  <c r="J25" i="6" s="1"/>
  <c r="D170" i="4"/>
  <c r="D171" i="4"/>
  <c r="D172" i="4"/>
  <c r="F26" i="6" s="1" a="1"/>
  <c r="F26" i="6" s="1"/>
  <c r="D173" i="4"/>
  <c r="G26" i="6" s="1" a="1"/>
  <c r="G26" i="6" s="1"/>
  <c r="D174" i="4"/>
  <c r="H26" i="6" s="1" a="1"/>
  <c r="H26" i="6" s="1"/>
  <c r="D175" i="4"/>
  <c r="I26" i="6" s="1" a="1"/>
  <c r="I26" i="6" s="1"/>
  <c r="D176" i="4"/>
  <c r="J26" i="6" s="1" a="1"/>
  <c r="J26" i="6" s="1"/>
  <c r="D177" i="4"/>
  <c r="E177" i="4" s="1" a="1"/>
  <c r="E177" i="4" s="1"/>
  <c r="F177" i="4" s="1" a="1"/>
  <c r="F177" i="4" s="1"/>
  <c r="D178" i="4"/>
  <c r="D179" i="4"/>
  <c r="D180" i="4"/>
  <c r="D181" i="4"/>
  <c r="D182" i="4"/>
  <c r="I27" i="6" s="1" a="1"/>
  <c r="I27" i="6" s="1"/>
  <c r="D183" i="4"/>
  <c r="J27" i="6" s="1" a="1"/>
  <c r="J27" i="6" s="1"/>
  <c r="D184" i="4"/>
  <c r="D185" i="4"/>
  <c r="E28" i="6" s="1" a="1"/>
  <c r="E28" i="6" s="1"/>
  <c r="D186" i="4"/>
  <c r="F28" i="6" s="1" a="1"/>
  <c r="F28" i="6" s="1"/>
  <c r="D187" i="4"/>
  <c r="G28" i="6" s="1" a="1"/>
  <c r="G28" i="6" s="1"/>
  <c r="D188" i="4"/>
  <c r="H28" i="6" s="1" a="1"/>
  <c r="H28" i="6" s="1"/>
  <c r="D189" i="4"/>
  <c r="I28" i="6" s="1" a="1"/>
  <c r="I28" i="6" s="1"/>
  <c r="D190" i="4"/>
  <c r="J28" i="6" s="1" a="1"/>
  <c r="J28" i="6" s="1"/>
  <c r="D191" i="4"/>
  <c r="D192" i="4"/>
  <c r="D193" i="4"/>
  <c r="F29" i="6" s="1" a="1"/>
  <c r="F29" i="6" s="1"/>
  <c r="D194" i="4"/>
  <c r="G29" i="6" s="1" a="1"/>
  <c r="G29" i="6" s="1"/>
  <c r="D195" i="4"/>
  <c r="H29" i="6" s="1" a="1"/>
  <c r="H29" i="6" s="1"/>
  <c r="D196" i="4"/>
  <c r="I29" i="6" s="1" a="1"/>
  <c r="I29" i="6" s="1"/>
  <c r="D197" i="4"/>
  <c r="J29" i="6" s="1" a="1"/>
  <c r="J29" i="6" s="1"/>
  <c r="D198" i="4"/>
  <c r="E198" i="4" s="1" a="1"/>
  <c r="E198" i="4" s="1"/>
  <c r="F198" i="4" s="1" a="1"/>
  <c r="F198" i="4" s="1"/>
  <c r="D199" i="4"/>
  <c r="E30" i="6" s="1" a="1"/>
  <c r="E30" i="6" s="1"/>
  <c r="D200" i="4"/>
  <c r="F30" i="6" s="1" a="1"/>
  <c r="F30" i="6" s="1"/>
  <c r="D201" i="4"/>
  <c r="D202" i="4"/>
  <c r="D203" i="4"/>
  <c r="I30" i="6" s="1" a="1"/>
  <c r="I30" i="6" s="1"/>
  <c r="D204" i="4"/>
  <c r="D205" i="4"/>
  <c r="E205" i="4" s="1" a="1"/>
  <c r="E205" i="4" s="1"/>
  <c r="F205" i="4" s="1" a="1"/>
  <c r="F205" i="4" s="1"/>
  <c r="D206" i="4"/>
  <c r="D207" i="4"/>
  <c r="E207" i="4" s="1" a="1"/>
  <c r="E207" i="4" s="1"/>
  <c r="F207" i="4" s="1" a="1"/>
  <c r="F207" i="4" s="1"/>
  <c r="D208" i="4"/>
  <c r="E208" i="4" s="1" a="1"/>
  <c r="E208" i="4" s="1"/>
  <c r="F208" i="4" s="1" a="1"/>
  <c r="F208" i="4" s="1"/>
  <c r="D209" i="4"/>
  <c r="D210" i="4"/>
  <c r="D211" i="4"/>
  <c r="D212" i="4"/>
  <c r="D213" i="4"/>
  <c r="E32" i="6" s="1" a="1"/>
  <c r="E32" i="6" s="1"/>
  <c r="D214" i="4"/>
  <c r="D215" i="4"/>
  <c r="G32" i="6" s="1" a="1"/>
  <c r="G32" i="6" s="1"/>
  <c r="D216" i="4"/>
  <c r="D217" i="4"/>
  <c r="I32" i="6" s="1" a="1"/>
  <c r="I32" i="6" s="1"/>
  <c r="D218" i="4"/>
  <c r="J32" i="6" s="1" a="1"/>
  <c r="J32" i="6" s="1"/>
  <c r="D219" i="4"/>
  <c r="D220" i="4"/>
  <c r="E33" i="6" s="1" a="1"/>
  <c r="E33" i="6" s="1"/>
  <c r="D221" i="4"/>
  <c r="F33" i="6" s="1" a="1"/>
  <c r="F33" i="6" s="1"/>
  <c r="D222" i="4"/>
  <c r="G33" i="6" s="1" a="1"/>
  <c r="G33" i="6" s="1"/>
  <c r="D223" i="4"/>
  <c r="D224" i="4"/>
  <c r="I33" i="6" s="1" a="1"/>
  <c r="I33" i="6" s="1"/>
  <c r="D225" i="4"/>
  <c r="J33" i="6" s="1" a="1"/>
  <c r="J33" i="6" s="1"/>
  <c r="D226" i="4"/>
  <c r="D227" i="4"/>
  <c r="E34" i="6" s="1" a="1"/>
  <c r="E34" i="6" s="1"/>
  <c r="D228" i="4"/>
  <c r="F34" i="6" s="1" a="1"/>
  <c r="F34" i="6" s="1"/>
  <c r="D229" i="4"/>
  <c r="G34" i="6" s="1" a="1"/>
  <c r="G34" i="6" s="1"/>
  <c r="D230" i="4"/>
  <c r="H34" i="6" s="1" a="1"/>
  <c r="H34" i="6" s="1"/>
  <c r="D231" i="4"/>
  <c r="I34" i="6" s="1" a="1"/>
  <c r="I34" i="6" s="1"/>
  <c r="D232" i="4"/>
  <c r="D233" i="4"/>
  <c r="D234" i="4"/>
  <c r="E35" i="6" s="1" a="1"/>
  <c r="E35" i="6" s="1"/>
  <c r="D235" i="4"/>
  <c r="F35" i="6" s="1" a="1"/>
  <c r="F35" i="6" s="1"/>
  <c r="D236" i="4"/>
  <c r="G35" i="6" s="1" a="1"/>
  <c r="G35" i="6" s="1"/>
  <c r="D237" i="4"/>
  <c r="H35" i="6" s="1" a="1"/>
  <c r="H35" i="6" s="1"/>
  <c r="D238" i="4"/>
  <c r="D239" i="4"/>
  <c r="J35" i="6" s="1" a="1"/>
  <c r="J35" i="6" s="1"/>
  <c r="D240" i="4"/>
  <c r="D241" i="4"/>
  <c r="D242" i="4"/>
  <c r="F36" i="6" s="1" a="1"/>
  <c r="F36" i="6" s="1"/>
  <c r="D243" i="4"/>
  <c r="G36" i="6" s="1" a="1"/>
  <c r="G36" i="6" s="1"/>
  <c r="D244" i="4"/>
  <c r="H36" i="6" s="1" a="1"/>
  <c r="H36" i="6" s="1"/>
  <c r="D245" i="4"/>
  <c r="I36" i="6" s="1" a="1"/>
  <c r="I36" i="6" s="1"/>
  <c r="D246" i="4"/>
  <c r="J36" i="6" s="1" a="1"/>
  <c r="J36" i="6" s="1"/>
  <c r="D247" i="4"/>
  <c r="D248" i="4"/>
  <c r="D249" i="4"/>
  <c r="F37" i="6" s="1" a="1"/>
  <c r="F37" i="6" s="1"/>
  <c r="D250" i="4"/>
  <c r="D251" i="4"/>
  <c r="H37" i="6" s="1" a="1"/>
  <c r="H37" i="6" s="1"/>
  <c r="D252" i="4"/>
  <c r="I37" i="6" s="1" a="1"/>
  <c r="I37" i="6" s="1"/>
  <c r="D253" i="4"/>
  <c r="J37" i="6" s="1" a="1"/>
  <c r="J37" i="6" s="1"/>
  <c r="D254" i="4"/>
  <c r="D38" i="6" s="1" a="1"/>
  <c r="D38" i="6" s="1"/>
  <c r="D255" i="4"/>
  <c r="E38" i="6" s="1" a="1"/>
  <c r="E38" i="6" s="1"/>
  <c r="D256" i="4"/>
  <c r="F38" i="6" s="1" a="1"/>
  <c r="F38" i="6" s="1"/>
  <c r="D257" i="4"/>
  <c r="G38" i="6" s="1" a="1"/>
  <c r="G38" i="6" s="1"/>
  <c r="D258" i="4"/>
  <c r="H38" i="6" s="1" a="1"/>
  <c r="H38" i="6" s="1"/>
  <c r="D259" i="4"/>
  <c r="I38" i="6" s="1" a="1"/>
  <c r="I38" i="6" s="1"/>
  <c r="D260" i="4"/>
  <c r="J38" i="6" s="1" a="1"/>
  <c r="J38" i="6" s="1"/>
  <c r="D261" i="4"/>
  <c r="D262" i="4"/>
  <c r="D263" i="4"/>
  <c r="F39" i="6" s="1" a="1"/>
  <c r="F39" i="6" s="1"/>
  <c r="D264" i="4"/>
  <c r="D265" i="4"/>
  <c r="H39" i="6" s="1" a="1"/>
  <c r="H39" i="6" s="1"/>
  <c r="D266" i="4"/>
  <c r="I39" i="6" s="1" a="1"/>
  <c r="I39" i="6" s="1"/>
  <c r="D267" i="4"/>
  <c r="J39" i="6" s="1" a="1"/>
  <c r="J39" i="6" s="1"/>
  <c r="D268" i="4"/>
  <c r="D269" i="4"/>
  <c r="E40" i="6" s="1" a="1"/>
  <c r="E40" i="6" s="1"/>
  <c r="D270" i="4"/>
  <c r="F40" i="6" s="1" a="1"/>
  <c r="F40" i="6" s="1"/>
  <c r="D271" i="4"/>
  <c r="G40" i="6" s="1" a="1"/>
  <c r="G40" i="6" s="1"/>
  <c r="D272" i="4"/>
  <c r="H40" i="6" s="1" a="1"/>
  <c r="H40" i="6" s="1"/>
  <c r="D273" i="4"/>
  <c r="I40" i="6" s="1" a="1"/>
  <c r="I40" i="6" s="1"/>
  <c r="D274" i="4"/>
  <c r="D275" i="4"/>
  <c r="D41" i="6" s="1" a="1"/>
  <c r="D41" i="6" s="1"/>
  <c r="D276" i="4"/>
  <c r="D277" i="4"/>
  <c r="D278" i="4"/>
  <c r="G41" i="6" s="1" a="1"/>
  <c r="G41" i="6" s="1"/>
  <c r="D279" i="4"/>
  <c r="H41" i="6" s="1" a="1"/>
  <c r="H41" i="6" s="1"/>
  <c r="D280" i="4"/>
  <c r="I41" i="6" s="1" a="1"/>
  <c r="I41" i="6" s="1"/>
  <c r="D281" i="4"/>
  <c r="J41" i="6" s="1" a="1"/>
  <c r="J41" i="6" s="1"/>
  <c r="D282" i="4"/>
  <c r="D283" i="4"/>
  <c r="E42" i="6" s="1" a="1"/>
  <c r="E42" i="6" s="1"/>
  <c r="D284" i="4"/>
  <c r="F42" i="6" s="1" a="1"/>
  <c r="F42" i="6" s="1"/>
  <c r="D285" i="4"/>
  <c r="D286" i="4"/>
  <c r="D287" i="4"/>
  <c r="I42" i="6" s="1" a="1"/>
  <c r="I42" i="6" s="1"/>
  <c r="D288" i="4"/>
  <c r="D289" i="4"/>
  <c r="E289" i="4" s="1" a="1"/>
  <c r="E289" i="4" s="1"/>
  <c r="F289" i="4" s="1" a="1"/>
  <c r="F289" i="4" s="1"/>
  <c r="D290" i="4"/>
  <c r="E43" i="6" s="1" a="1"/>
  <c r="E43" i="6" s="1"/>
  <c r="D291" i="4"/>
  <c r="F43" i="6" s="1" a="1"/>
  <c r="F43" i="6" s="1"/>
  <c r="D292" i="4"/>
  <c r="G43" i="6" s="1" a="1"/>
  <c r="G43" i="6" s="1"/>
  <c r="D293" i="4"/>
  <c r="H43" i="6" s="1" a="1"/>
  <c r="H43" i="6" s="1"/>
  <c r="D294" i="4"/>
  <c r="I43" i="6" s="1" a="1"/>
  <c r="I43" i="6" s="1"/>
  <c r="D295" i="4"/>
  <c r="D296" i="4"/>
  <c r="D297" i="4"/>
  <c r="E44" i="6" s="1" a="1"/>
  <c r="E44" i="6" s="1"/>
  <c r="D298" i="4"/>
  <c r="D299" i="4"/>
  <c r="G44" i="6" s="1" a="1"/>
  <c r="G44" i="6" s="1"/>
  <c r="D300" i="4"/>
  <c r="D301" i="4"/>
  <c r="I44" i="6" s="1" a="1"/>
  <c r="I44" i="6" s="1"/>
  <c r="D302" i="4"/>
  <c r="J44" i="6" s="1" a="1"/>
  <c r="J44" i="6" s="1"/>
  <c r="D303" i="4"/>
  <c r="D304" i="4"/>
  <c r="E45" i="6" s="1" a="1"/>
  <c r="E45" i="6" s="1"/>
  <c r="D305" i="4"/>
  <c r="F45" i="6" s="1" a="1"/>
  <c r="F45" i="6" s="1"/>
  <c r="D306" i="4"/>
  <c r="G45" i="6" s="1" a="1"/>
  <c r="G45" i="6" s="1"/>
  <c r="D307" i="4"/>
  <c r="H45" i="6" s="1" a="1"/>
  <c r="H45" i="6" s="1"/>
  <c r="D308" i="4"/>
  <c r="I45" i="6" s="1" a="1"/>
  <c r="I45" i="6" s="1"/>
  <c r="D309" i="4"/>
  <c r="J45" i="6" s="1" a="1"/>
  <c r="J45" i="6" s="1"/>
  <c r="D310" i="4"/>
  <c r="D311" i="4"/>
  <c r="E311" i="4" s="1" a="1"/>
  <c r="E311" i="4" s="1"/>
  <c r="F311" i="4" s="1" a="1"/>
  <c r="F311" i="4" s="1"/>
  <c r="D312" i="4"/>
  <c r="D313" i="4"/>
  <c r="D314" i="4"/>
  <c r="D315" i="4"/>
  <c r="D316" i="4"/>
  <c r="E316" i="4" s="1" a="1"/>
  <c r="E316" i="4" s="1"/>
  <c r="F316" i="4" s="1" a="1"/>
  <c r="F316" i="4" s="1"/>
  <c r="D317" i="4"/>
  <c r="D318" i="4"/>
  <c r="E47" i="6" s="1" a="1"/>
  <c r="E47" i="6" s="1"/>
  <c r="D319" i="4"/>
  <c r="F47" i="6" s="1" a="1"/>
  <c r="F47" i="6" s="1"/>
  <c r="D320" i="4"/>
  <c r="G47" i="6" s="1" a="1"/>
  <c r="G47" i="6" s="1"/>
  <c r="D321" i="4"/>
  <c r="H47" i="6" s="1" a="1"/>
  <c r="H47" i="6" s="1"/>
  <c r="D322" i="4"/>
  <c r="D323" i="4"/>
  <c r="D324" i="4"/>
  <c r="D325" i="4"/>
  <c r="E48" i="6" s="1" a="1"/>
  <c r="E48" i="6" s="1"/>
  <c r="D326" i="4"/>
  <c r="F48" i="6" s="1" a="1"/>
  <c r="F48" i="6" s="1"/>
  <c r="D327" i="4"/>
  <c r="G48" i="6" s="1" a="1"/>
  <c r="G48" i="6" s="1"/>
  <c r="D328" i="4"/>
  <c r="H48" i="6" s="1" a="1"/>
  <c r="H48" i="6" s="1"/>
  <c r="D329" i="4"/>
  <c r="I48" i="6" s="1" a="1"/>
  <c r="I48" i="6" s="1"/>
  <c r="D330" i="4"/>
  <c r="J48" i="6" s="1" a="1"/>
  <c r="J48" i="6" s="1"/>
  <c r="D331" i="4"/>
  <c r="D332" i="4"/>
  <c r="E49" i="6" s="1" a="1"/>
  <c r="E49" i="6" s="1"/>
  <c r="D333" i="4"/>
  <c r="F49" i="6" s="1" a="1"/>
  <c r="F49" i="6" s="1"/>
  <c r="D334" i="4"/>
  <c r="D335" i="4"/>
  <c r="H49" i="6" s="1" a="1"/>
  <c r="H49" i="6" s="1"/>
  <c r="D336" i="4"/>
  <c r="D337" i="4"/>
  <c r="J49" i="6" s="1" a="1"/>
  <c r="J49" i="6" s="1"/>
  <c r="D338" i="4"/>
  <c r="D339" i="4"/>
  <c r="E50" i="6" s="1" a="1"/>
  <c r="E50" i="6" s="1"/>
  <c r="D340" i="4"/>
  <c r="F50" i="6" s="1" a="1"/>
  <c r="F50" i="6" s="1"/>
  <c r="D341" i="4"/>
  <c r="G50" i="6" s="1" a="1"/>
  <c r="G50" i="6" s="1"/>
  <c r="D342" i="4"/>
  <c r="H50" i="6" s="1" a="1"/>
  <c r="H50" i="6" s="1"/>
  <c r="D343" i="4"/>
  <c r="I50" i="6" s="1" a="1"/>
  <c r="I50" i="6" s="1"/>
  <c r="D344" i="4"/>
  <c r="J50" i="6" s="1" a="1"/>
  <c r="J50" i="6" s="1"/>
  <c r="D345" i="4"/>
  <c r="D346" i="4"/>
  <c r="D347" i="4"/>
  <c r="F51" i="6" s="1" a="1"/>
  <c r="F51" i="6" s="1"/>
  <c r="D348" i="4"/>
  <c r="D349" i="4"/>
  <c r="H51" i="6" s="1" a="1"/>
  <c r="H51" i="6" s="1"/>
  <c r="D350" i="4"/>
  <c r="I51" i="6" s="1" a="1"/>
  <c r="I51" i="6" s="1"/>
  <c r="D351" i="4"/>
  <c r="J51" i="6" s="1" a="1"/>
  <c r="J51" i="6" s="1"/>
  <c r="D352" i="4"/>
  <c r="D353" i="4"/>
  <c r="E52" i="6" s="1" a="1"/>
  <c r="E52" i="6" s="1"/>
  <c r="D354" i="4"/>
  <c r="F52" i="6" s="1" a="1"/>
  <c r="F52" i="6" s="1"/>
  <c r="D355" i="4"/>
  <c r="G52" i="6" s="1" a="1"/>
  <c r="G52" i="6" s="1"/>
  <c r="D356" i="4"/>
  <c r="H52" i="6" s="1" a="1"/>
  <c r="H52" i="6" s="1"/>
  <c r="D357" i="4"/>
  <c r="I52" i="6" s="1" a="1"/>
  <c r="I52" i="6" s="1"/>
  <c r="D358" i="4"/>
  <c r="D359" i="4"/>
  <c r="D360" i="4"/>
  <c r="D361" i="4"/>
  <c r="D362" i="4"/>
  <c r="G53" i="6" s="1" a="1"/>
  <c r="G53" i="6" s="1"/>
  <c r="D363" i="4"/>
  <c r="H53" i="6" s="1" a="1"/>
  <c r="H53" i="6" s="1"/>
  <c r="D364" i="4"/>
  <c r="I53" i="6" s="1" a="1"/>
  <c r="I53" i="6" s="1"/>
  <c r="D365" i="4"/>
  <c r="J53" i="6" s="1" a="1"/>
  <c r="J53" i="6" s="1"/>
  <c r="D366" i="4"/>
  <c r="E366" i="4" s="1" a="1"/>
  <c r="E366" i="4" s="1"/>
  <c r="F366" i="4" s="1" a="1"/>
  <c r="F366" i="4" s="1"/>
  <c r="D367" i="4"/>
  <c r="E54" i="6" s="1" a="1"/>
  <c r="E54" i="6" s="1"/>
  <c r="D368" i="4"/>
  <c r="F54" i="6" s="1" a="1"/>
  <c r="F54" i="6" s="1"/>
  <c r="D369" i="4"/>
  <c r="G54" i="6" s="1" a="1"/>
  <c r="G54" i="6" s="1"/>
  <c r="D370" i="4"/>
  <c r="D371" i="4"/>
  <c r="I54" i="6" s="1" a="1"/>
  <c r="I54" i="6" s="1"/>
  <c r="D372" i="4"/>
  <c r="D373" i="4"/>
  <c r="D374" i="4"/>
  <c r="E55" i="6" s="1" a="1"/>
  <c r="E55" i="6" s="1"/>
  <c r="D375" i="4"/>
  <c r="F55" i="6" s="1" a="1"/>
  <c r="F55" i="6" s="1"/>
  <c r="D376" i="4"/>
  <c r="G55" i="6" s="1" a="1"/>
  <c r="G55" i="6" s="1"/>
  <c r="D377" i="4"/>
  <c r="H55" i="6" s="1" a="1"/>
  <c r="H55" i="6" s="1"/>
  <c r="D378" i="4"/>
  <c r="I55" i="6" s="1" a="1"/>
  <c r="I55" i="6" s="1"/>
  <c r="D379" i="4"/>
  <c r="J55" i="6" s="1" a="1"/>
  <c r="J55" i="6" s="1"/>
  <c r="D380" i="4"/>
  <c r="D381" i="4"/>
  <c r="E56" i="6" s="1" a="1"/>
  <c r="E56" i="6" s="1"/>
  <c r="D382" i="4"/>
  <c r="D383" i="4"/>
  <c r="G56" i="6" s="1" a="1"/>
  <c r="G56" i="6" s="1"/>
  <c r="D384" i="4"/>
  <c r="D385" i="4"/>
  <c r="I56" i="6" s="1" a="1"/>
  <c r="I56" i="6" s="1"/>
  <c r="D386" i="4"/>
  <c r="J56" i="6" s="1" a="1"/>
  <c r="J56" i="6" s="1"/>
  <c r="D387" i="4"/>
  <c r="E387" i="4" s="1" a="1"/>
  <c r="E387" i="4" s="1"/>
  <c r="F387" i="4" s="1" a="1"/>
  <c r="F387" i="4" s="1"/>
  <c r="D388" i="4"/>
  <c r="E57" i="6" s="1" a="1"/>
  <c r="E57" i="6" s="1"/>
  <c r="D389" i="4"/>
  <c r="F57" i="6" s="1" a="1"/>
  <c r="F57" i="6" s="1"/>
  <c r="D390" i="4"/>
  <c r="G57" i="6" s="1" a="1"/>
  <c r="G57" i="6" s="1"/>
  <c r="D391" i="4"/>
  <c r="H57" i="6" s="1" a="1"/>
  <c r="H57" i="6" s="1"/>
  <c r="D392" i="4"/>
  <c r="I57" i="6" s="1" a="1"/>
  <c r="I57" i="6" s="1"/>
  <c r="D393" i="4"/>
  <c r="J57" i="6" s="1" a="1"/>
  <c r="J57" i="6" s="1"/>
  <c r="D394" i="4"/>
  <c r="D395" i="4"/>
  <c r="E58" i="6" s="1" a="1"/>
  <c r="E58" i="6" s="1"/>
  <c r="D396" i="4"/>
  <c r="F58" i="6" s="1" a="1"/>
  <c r="F58" i="6" s="1"/>
  <c r="D397" i="4"/>
  <c r="G58" i="6" s="1" a="1"/>
  <c r="G58" i="6" s="1"/>
  <c r="D398" i="4"/>
  <c r="E398" i="4" s="1" a="1"/>
  <c r="E398" i="4" s="1"/>
  <c r="F398" i="4" s="1" a="1"/>
  <c r="F398" i="4" s="1"/>
  <c r="D399" i="4"/>
  <c r="I58" i="6" s="1" a="1"/>
  <c r="I58" i="6" s="1"/>
  <c r="D400" i="4"/>
  <c r="J58" i="6" s="1" a="1"/>
  <c r="J58" i="6" s="1"/>
  <c r="D401" i="4"/>
  <c r="D402" i="4"/>
  <c r="E59" i="6" s="1" a="1"/>
  <c r="E59" i="6" s="1"/>
  <c r="D403" i="4"/>
  <c r="F59" i="6" s="1" a="1"/>
  <c r="F59" i="6" s="1"/>
  <c r="D404" i="4"/>
  <c r="G59" i="6" s="1" a="1"/>
  <c r="G59" i="6" s="1"/>
  <c r="D405" i="4"/>
  <c r="H59" i="6" s="1" a="1"/>
  <c r="H59" i="6" s="1"/>
  <c r="D406" i="4"/>
  <c r="D407" i="4"/>
  <c r="J59" i="6" s="1" a="1"/>
  <c r="J59" i="6" s="1"/>
  <c r="D408" i="4"/>
  <c r="D409" i="4"/>
  <c r="E60" i="6" s="1" a="1"/>
  <c r="E60" i="6" s="1"/>
  <c r="D410" i="4"/>
  <c r="F60" i="6" s="1" a="1"/>
  <c r="F60" i="6" s="1"/>
  <c r="D411" i="4"/>
  <c r="G60" i="6" s="1" a="1"/>
  <c r="G60" i="6" s="1"/>
  <c r="D412" i="4"/>
  <c r="H60" i="6" s="1" a="1"/>
  <c r="H60" i="6" s="1"/>
  <c r="D413" i="4"/>
  <c r="I60" i="6" s="1" a="1"/>
  <c r="I60" i="6" s="1"/>
  <c r="D414" i="4"/>
  <c r="J60" i="6" s="1" a="1"/>
  <c r="J60" i="6" s="1"/>
  <c r="D415" i="4"/>
  <c r="D416" i="4"/>
  <c r="E416" i="4" s="1" a="1"/>
  <c r="E416" i="4" s="1"/>
  <c r="F416" i="4" s="1" a="1"/>
  <c r="F416" i="4" s="1"/>
  <c r="D417" i="4"/>
  <c r="E417" i="4" s="1" a="1"/>
  <c r="E417" i="4" s="1"/>
  <c r="F417" i="4" s="1" a="1"/>
  <c r="F417" i="4" s="1"/>
  <c r="D418" i="4"/>
  <c r="D419" i="4"/>
  <c r="E419" i="4" s="1" a="1"/>
  <c r="E419" i="4" s="1"/>
  <c r="F419" i="4" s="1" a="1"/>
  <c r="F419" i="4" s="1"/>
  <c r="D420" i="4"/>
  <c r="D421" i="4"/>
  <c r="E421" i="4" s="1" a="1"/>
  <c r="E421" i="4" s="1"/>
  <c r="F421" i="4" s="1" a="1"/>
  <c r="F421" i="4" s="1"/>
  <c r="D422" i="4"/>
  <c r="D423" i="4"/>
  <c r="E62" i="6" s="1" a="1"/>
  <c r="E62" i="6" s="1"/>
  <c r="D424" i="4"/>
  <c r="F62" i="6" s="1" a="1"/>
  <c r="F62" i="6" s="1"/>
  <c r="D425" i="4"/>
  <c r="G62" i="6" s="1" a="1"/>
  <c r="G62" i="6" s="1"/>
  <c r="D426" i="4"/>
  <c r="H62" i="6" s="1" a="1"/>
  <c r="H62" i="6" s="1"/>
  <c r="D427" i="4"/>
  <c r="I62" i="6" s="1" a="1"/>
  <c r="I62" i="6" s="1"/>
  <c r="D428" i="4"/>
  <c r="J62" i="6" s="1" a="1"/>
  <c r="J62" i="6" s="1"/>
  <c r="D429" i="4"/>
  <c r="D430" i="4"/>
  <c r="D431" i="4"/>
  <c r="F63" i="6" s="1" a="1"/>
  <c r="F63" i="6" s="1"/>
  <c r="D432" i="4"/>
  <c r="D433" i="4"/>
  <c r="H63" i="6" s="1" a="1"/>
  <c r="H63" i="6" s="1"/>
  <c r="D434" i="4"/>
  <c r="I63" i="6" s="1" a="1"/>
  <c r="I63" i="6" s="1"/>
  <c r="D435" i="4"/>
  <c r="J63" i="6" s="1" a="1"/>
  <c r="J63" i="6" s="1"/>
  <c r="D436" i="4"/>
  <c r="D437" i="4"/>
  <c r="E64" i="6" s="1" a="1"/>
  <c r="E64" i="6" s="1"/>
  <c r="D438" i="4"/>
  <c r="F64" i="6" s="1" a="1"/>
  <c r="F64" i="6" s="1"/>
  <c r="D439" i="4"/>
  <c r="G64" i="6" s="1" a="1"/>
  <c r="G64" i="6" s="1"/>
  <c r="D440" i="4"/>
  <c r="H64" i="6" s="1" a="1"/>
  <c r="H64" i="6" s="1"/>
  <c r="D441" i="4"/>
  <c r="I64" i="6" s="1" a="1"/>
  <c r="I64" i="6" s="1"/>
  <c r="D442" i="4"/>
  <c r="D443" i="4"/>
  <c r="D444" i="4"/>
  <c r="D445" i="4"/>
  <c r="F65" i="6" s="1" a="1"/>
  <c r="F65" i="6" s="1"/>
  <c r="D446" i="4"/>
  <c r="G65" i="6" s="1" a="1"/>
  <c r="G65" i="6" s="1"/>
  <c r="D447" i="4"/>
  <c r="H65" i="6" s="1" a="1"/>
  <c r="H65" i="6" s="1"/>
  <c r="D448" i="4"/>
  <c r="I65" i="6" s="1" a="1"/>
  <c r="I65" i="6" s="1"/>
  <c r="D449" i="4"/>
  <c r="J65" i="6" s="1" a="1"/>
  <c r="J65" i="6" s="1"/>
  <c r="D450" i="4"/>
  <c r="D451" i="4"/>
  <c r="E66" i="6" s="1" a="1"/>
  <c r="E66" i="6" s="1"/>
  <c r="D452" i="4"/>
  <c r="F66" i="6" s="1" a="1"/>
  <c r="F66" i="6" s="1"/>
  <c r="D453" i="4"/>
  <c r="G66" i="6" s="1" a="1"/>
  <c r="G66" i="6" s="1"/>
  <c r="D454" i="4"/>
  <c r="H66" i="6" s="1" a="1"/>
  <c r="H66" i="6" s="1"/>
  <c r="D455" i="4"/>
  <c r="I66" i="6" s="1" a="1"/>
  <c r="I66" i="6" s="1"/>
  <c r="D456" i="4"/>
  <c r="D457" i="4"/>
  <c r="D458" i="4"/>
  <c r="E67" i="6" s="1" a="1"/>
  <c r="E67" i="6" s="1"/>
  <c r="D459" i="4"/>
  <c r="F67" i="6" s="1" a="1"/>
  <c r="F67" i="6" s="1"/>
  <c r="D460" i="4"/>
  <c r="G67" i="6" s="1" a="1"/>
  <c r="G67" i="6" s="1"/>
  <c r="D461" i="4"/>
  <c r="H67" i="6" s="1" a="1"/>
  <c r="H67" i="6" s="1"/>
  <c r="D462" i="4"/>
  <c r="I67" i="6" s="1" a="1"/>
  <c r="I67" i="6" s="1"/>
  <c r="D463" i="4"/>
  <c r="J67" i="6" s="1" a="1"/>
  <c r="J67" i="6" s="1"/>
  <c r="D464" i="4"/>
  <c r="D465" i="4"/>
  <c r="E68" i="6" s="1" a="1"/>
  <c r="E68" i="6" s="1"/>
  <c r="D466" i="4"/>
  <c r="D467" i="4"/>
  <c r="G68" i="6" s="1" a="1"/>
  <c r="G68" i="6" s="1"/>
  <c r="D468" i="4"/>
  <c r="D469" i="4"/>
  <c r="I68" i="6" s="1" a="1"/>
  <c r="I68" i="6" s="1"/>
  <c r="D470" i="4"/>
  <c r="J68" i="6" s="1" a="1"/>
  <c r="J68" i="6" s="1"/>
  <c r="D471" i="4"/>
  <c r="D472" i="4"/>
  <c r="E69" i="6" s="1" a="1"/>
  <c r="E69" i="6" s="1"/>
  <c r="D473" i="4"/>
  <c r="F69" i="6" s="1" a="1"/>
  <c r="F69" i="6" s="1"/>
  <c r="D474" i="4"/>
  <c r="G69" i="6" s="1" a="1"/>
  <c r="G69" i="6" s="1"/>
  <c r="D475" i="4"/>
  <c r="H69" i="6" s="1" a="1"/>
  <c r="H69" i="6" s="1"/>
  <c r="D476" i="4"/>
  <c r="I69" i="6" s="1" a="1"/>
  <c r="I69" i="6" s="1"/>
  <c r="D477" i="4"/>
  <c r="J69" i="6" s="1" a="1"/>
  <c r="J69" i="6" s="1"/>
  <c r="D478" i="4"/>
  <c r="D479" i="4"/>
  <c r="E70" i="6" s="1" a="1"/>
  <c r="E70" i="6" s="1"/>
  <c r="D480" i="4"/>
  <c r="D481" i="4"/>
  <c r="G70" i="6" s="1" a="1"/>
  <c r="G70" i="6" s="1"/>
  <c r="D482" i="4"/>
  <c r="H70" i="6" s="1" a="1"/>
  <c r="H70" i="6" s="1"/>
  <c r="D483" i="4"/>
  <c r="I70" i="6" s="1" a="1"/>
  <c r="I70" i="6" s="1"/>
  <c r="D484" i="4"/>
  <c r="J70" i="6" s="1" a="1"/>
  <c r="J70" i="6" s="1"/>
  <c r="D485" i="4"/>
  <c r="D71" i="6" s="1" a="1"/>
  <c r="D71" i="6" s="1"/>
  <c r="D486" i="4"/>
  <c r="E71" i="6" s="1" a="1"/>
  <c r="E71" i="6" s="1"/>
  <c r="D487" i="4"/>
  <c r="F71" i="6" s="1" a="1"/>
  <c r="F71" i="6" s="1"/>
  <c r="D488" i="4"/>
  <c r="G71" i="6" s="1" a="1"/>
  <c r="G71" i="6" s="1"/>
  <c r="D489" i="4"/>
  <c r="H71" i="6" s="1" a="1"/>
  <c r="H71" i="6" s="1"/>
  <c r="D490" i="4"/>
  <c r="D491" i="4"/>
  <c r="J71" i="6" s="1" a="1"/>
  <c r="J71" i="6" s="1"/>
  <c r="D492" i="4"/>
  <c r="D493" i="4"/>
  <c r="E72" i="6" s="1" a="1"/>
  <c r="E72" i="6" s="1"/>
  <c r="D494" i="4"/>
  <c r="D495" i="4"/>
  <c r="G72" i="6" s="1" a="1"/>
  <c r="G72" i="6" s="1"/>
  <c r="D496" i="4"/>
  <c r="H72" i="6" s="1" a="1"/>
  <c r="H72" i="6" s="1"/>
  <c r="D497" i="4"/>
  <c r="I72" i="6" s="1" a="1"/>
  <c r="I72" i="6" s="1"/>
  <c r="D498" i="4"/>
  <c r="J72" i="6" s="1" a="1"/>
  <c r="J72" i="6" s="1"/>
  <c r="D499" i="4"/>
  <c r="D500" i="4"/>
  <c r="E73" i="6" s="1" a="1"/>
  <c r="E73" i="6" s="1"/>
  <c r="D501" i="4"/>
  <c r="F73" i="6" s="1" a="1"/>
  <c r="F73" i="6" s="1"/>
  <c r="D502" i="4"/>
  <c r="D503" i="4"/>
  <c r="H73" i="6" s="1" a="1"/>
  <c r="H73" i="6" s="1"/>
  <c r="D504" i="4"/>
  <c r="D505" i="4"/>
  <c r="J73" i="6" s="1" a="1"/>
  <c r="J73" i="6" s="1"/>
  <c r="D506" i="4"/>
  <c r="D507" i="4"/>
  <c r="E74" i="6" s="1" a="1"/>
  <c r="E74" i="6" s="1"/>
  <c r="D508" i="4"/>
  <c r="F74" i="6" s="1" a="1"/>
  <c r="F74" i="6" s="1"/>
  <c r="D509" i="4"/>
  <c r="G74" i="6" s="1" a="1"/>
  <c r="G74" i="6" s="1"/>
  <c r="D510" i="4"/>
  <c r="D511" i="4"/>
  <c r="I74" i="6" s="1" a="1"/>
  <c r="I74" i="6" s="1"/>
  <c r="D512" i="4"/>
  <c r="J74" i="6" s="1" a="1"/>
  <c r="J74" i="6" s="1"/>
  <c r="D513" i="4"/>
  <c r="D514" i="4"/>
  <c r="E75" i="6" s="1" a="1"/>
  <c r="E75" i="6" s="1"/>
  <c r="D515" i="4"/>
  <c r="F75" i="6" s="1" a="1"/>
  <c r="F75" i="6" s="1"/>
  <c r="D516" i="4"/>
  <c r="G75" i="6" s="1" a="1"/>
  <c r="G75" i="6" s="1"/>
  <c r="D517" i="4"/>
  <c r="H75" i="6" s="1" a="1"/>
  <c r="H75" i="6" s="1"/>
  <c r="D518" i="4"/>
  <c r="I75" i="6" s="1" a="1"/>
  <c r="I75" i="6" s="1"/>
  <c r="D519" i="4"/>
  <c r="D520" i="4"/>
  <c r="E520" i="4" s="1" a="1"/>
  <c r="E520" i="4" s="1"/>
  <c r="F520" i="4" s="1" a="1"/>
  <c r="F520" i="4" s="1"/>
  <c r="D521" i="4"/>
  <c r="E521" i="4" s="1" a="1"/>
  <c r="E521" i="4" s="1"/>
  <c r="F521" i="4" s="1" a="1"/>
  <c r="F521" i="4" s="1"/>
  <c r="D522" i="4"/>
  <c r="D523" i="4"/>
  <c r="D524" i="4"/>
  <c r="E524" i="4" s="1" a="1"/>
  <c r="E524" i="4" s="1"/>
  <c r="F524" i="4" s="1" a="1"/>
  <c r="F524" i="4" s="1"/>
  <c r="D525" i="4"/>
  <c r="E525" i="4" s="1" a="1"/>
  <c r="E525" i="4" s="1"/>
  <c r="F525" i="4" s="1" a="1"/>
  <c r="F525" i="4" s="1"/>
  <c r="D526" i="4"/>
  <c r="D2" i="4"/>
  <c r="AA2" i="1" a="1"/>
  <c r="AA2" i="1" s="1"/>
  <c r="AA1333" i="1" a="1"/>
  <c r="AA1333" i="1" s="1"/>
  <c r="AA1211" i="1" a="1"/>
  <c r="AA1211" i="1" s="1"/>
  <c r="AA1087" i="1"/>
  <c r="AA1087" i="1" a="1"/>
  <c r="AA962" i="1" a="1"/>
  <c r="AA962" i="1" s="1"/>
  <c r="AA834" i="1" a="1"/>
  <c r="AA834" i="1" s="1"/>
  <c r="AA704" i="1" a="1"/>
  <c r="AA704" i="1" s="1"/>
  <c r="AA574" i="1" a="1"/>
  <c r="AA574" i="1" s="1"/>
  <c r="AA443" i="1" a="1"/>
  <c r="AA443" i="1" s="1"/>
  <c r="AA311" i="1" a="1"/>
  <c r="AA311" i="1" s="1"/>
  <c r="AA180" i="1" a="1"/>
  <c r="AA180" i="1" s="1"/>
  <c r="AA48" i="1" a="1"/>
  <c r="AA48" i="1" s="1"/>
  <c r="AA3" i="1" a="1"/>
  <c r="AA3" i="1" s="1"/>
  <c r="AA4" i="1" a="1"/>
  <c r="AA4" i="1" s="1"/>
  <c r="AA5" i="1" a="1"/>
  <c r="AA5" i="1" s="1"/>
  <c r="AA6" i="1" a="1"/>
  <c r="AA6" i="1" s="1"/>
  <c r="AA7" i="1" a="1"/>
  <c r="AA7" i="1" s="1"/>
  <c r="AA8" i="1" a="1"/>
  <c r="AA8" i="1" s="1"/>
  <c r="AA9" i="1" a="1"/>
  <c r="AA9" i="1"/>
  <c r="AA10" i="1" a="1"/>
  <c r="AA10" i="1" s="1"/>
  <c r="AA11" i="1" a="1"/>
  <c r="AA11" i="1" s="1"/>
  <c r="AA12" i="1" a="1"/>
  <c r="AA12" i="1" s="1"/>
  <c r="AA13" i="1" a="1"/>
  <c r="AA13" i="1" s="1"/>
  <c r="AA14" i="1" a="1"/>
  <c r="AA14" i="1" s="1"/>
  <c r="AA15" i="1" a="1"/>
  <c r="AA15" i="1" s="1"/>
  <c r="AA16" i="1" a="1"/>
  <c r="AA16" i="1" s="1"/>
  <c r="AA17" i="1" a="1"/>
  <c r="AA17" i="1" s="1"/>
  <c r="AA18" i="1" a="1"/>
  <c r="AA18" i="1" s="1"/>
  <c r="AA19" i="1" a="1"/>
  <c r="AA19" i="1" s="1"/>
  <c r="AA20" i="1" a="1"/>
  <c r="AA20" i="1" s="1"/>
  <c r="AA21" i="1" a="1"/>
  <c r="AA21" i="1"/>
  <c r="AA22" i="1" a="1"/>
  <c r="AA22" i="1" s="1"/>
  <c r="AA23" i="1" a="1"/>
  <c r="AA23" i="1" s="1"/>
  <c r="AA24" i="1" a="1"/>
  <c r="AA24" i="1" s="1"/>
  <c r="AA25" i="1" a="1"/>
  <c r="AA25" i="1" s="1"/>
  <c r="AA26" i="1" a="1"/>
  <c r="AA26" i="1" s="1"/>
  <c r="AA27" i="1" a="1"/>
  <c r="AA27" i="1" s="1"/>
  <c r="AA28" i="1" a="1"/>
  <c r="AA28" i="1" s="1"/>
  <c r="AA29" i="1" a="1"/>
  <c r="AA29" i="1" s="1"/>
  <c r="AA30" i="1" a="1"/>
  <c r="AA30" i="1" s="1"/>
  <c r="AA31" i="1" a="1"/>
  <c r="AA31" i="1" s="1"/>
  <c r="AA32" i="1" a="1"/>
  <c r="AA32" i="1" s="1"/>
  <c r="AA33" i="1" a="1"/>
  <c r="AA33" i="1" s="1"/>
  <c r="AA34" i="1" a="1"/>
  <c r="AA34" i="1" s="1"/>
  <c r="AA35" i="1" a="1"/>
  <c r="AA35" i="1" s="1"/>
  <c r="AA36" i="1" a="1"/>
  <c r="AA36" i="1" s="1"/>
  <c r="AA37" i="1" a="1"/>
  <c r="AA37" i="1" s="1"/>
  <c r="AA38" i="1" a="1"/>
  <c r="AA38" i="1" s="1"/>
  <c r="AA39" i="1" a="1"/>
  <c r="AA39" i="1"/>
  <c r="AA40" i="1" a="1"/>
  <c r="AA40" i="1" s="1"/>
  <c r="AA41" i="1" a="1"/>
  <c r="AA41" i="1" s="1"/>
  <c r="AA42" i="1" a="1"/>
  <c r="AA42" i="1" s="1"/>
  <c r="AA43" i="1" a="1"/>
  <c r="AA43" i="1" s="1"/>
  <c r="AA44" i="1" a="1"/>
  <c r="AA44" i="1" s="1"/>
  <c r="AA45" i="1" a="1"/>
  <c r="AA45" i="1"/>
  <c r="AA46" i="1" a="1"/>
  <c r="AA46" i="1" s="1"/>
  <c r="AA47" i="1" a="1"/>
  <c r="AA47" i="1" s="1"/>
  <c r="AA49" i="1" a="1"/>
  <c r="AA49" i="1" s="1"/>
  <c r="AA50" i="1" a="1"/>
  <c r="AA50" i="1" s="1"/>
  <c r="AA51" i="1" a="1"/>
  <c r="AA51" i="1" s="1"/>
  <c r="AA52" i="1" a="1"/>
  <c r="AA52" i="1" s="1"/>
  <c r="AA53" i="1" a="1"/>
  <c r="AA53" i="1" s="1"/>
  <c r="AA54" i="1" a="1"/>
  <c r="AA54" i="1" s="1"/>
  <c r="AA55" i="1" a="1"/>
  <c r="AA55" i="1" s="1"/>
  <c r="AA56" i="1" a="1"/>
  <c r="AA56" i="1" s="1"/>
  <c r="AA57" i="1" a="1"/>
  <c r="AA57" i="1" s="1"/>
  <c r="AA58" i="1" a="1"/>
  <c r="AA58" i="1" s="1"/>
  <c r="AA59" i="1" a="1"/>
  <c r="AA59" i="1" s="1"/>
  <c r="AA60" i="1" a="1"/>
  <c r="AA60" i="1" s="1"/>
  <c r="AA61" i="1" a="1"/>
  <c r="AA61" i="1" s="1"/>
  <c r="AA62" i="1" a="1"/>
  <c r="AA62" i="1" s="1"/>
  <c r="AA63" i="1" a="1"/>
  <c r="AA63" i="1" s="1"/>
  <c r="AA64" i="1" a="1"/>
  <c r="AA64" i="1" s="1"/>
  <c r="AA65" i="1" a="1"/>
  <c r="AA65" i="1" s="1"/>
  <c r="AA66" i="1" a="1"/>
  <c r="AA66" i="1" s="1"/>
  <c r="AA67" i="1" a="1"/>
  <c r="AA67" i="1" s="1"/>
  <c r="AA68" i="1" a="1"/>
  <c r="AA68" i="1" s="1"/>
  <c r="AA69" i="1" a="1"/>
  <c r="AA69" i="1" s="1"/>
  <c r="AA70" i="1" a="1"/>
  <c r="AA70" i="1" s="1"/>
  <c r="AA71" i="1" a="1"/>
  <c r="AA71" i="1" s="1"/>
  <c r="AA72" i="1" a="1"/>
  <c r="AA72" i="1" s="1"/>
  <c r="AA73" i="1" a="1"/>
  <c r="AA73" i="1" s="1"/>
  <c r="AA74" i="1" a="1"/>
  <c r="AA74" i="1" s="1"/>
  <c r="AA75" i="1" a="1"/>
  <c r="AA75" i="1" s="1"/>
  <c r="AA76" i="1" a="1"/>
  <c r="AA76" i="1" s="1"/>
  <c r="AA77" i="1" a="1"/>
  <c r="AA77" i="1" s="1"/>
  <c r="AA78" i="1" a="1"/>
  <c r="AA78" i="1" s="1"/>
  <c r="AA79" i="1" a="1"/>
  <c r="AA79" i="1" s="1"/>
  <c r="AA80" i="1" a="1"/>
  <c r="AA80" i="1" s="1"/>
  <c r="AA81" i="1" a="1"/>
  <c r="AA81" i="1" s="1"/>
  <c r="AA82" i="1" a="1"/>
  <c r="AA82" i="1" s="1"/>
  <c r="AA83" i="1" a="1"/>
  <c r="AA83" i="1" s="1"/>
  <c r="AA84" i="1" a="1"/>
  <c r="AA84" i="1" s="1"/>
  <c r="AA85" i="1" a="1"/>
  <c r="AA85" i="1" s="1"/>
  <c r="AA86" i="1" a="1"/>
  <c r="AA86" i="1" s="1"/>
  <c r="AA87" i="1" a="1"/>
  <c r="AA87" i="1" s="1"/>
  <c r="AA88" i="1" a="1"/>
  <c r="AA88" i="1" s="1"/>
  <c r="AA89" i="1" a="1"/>
  <c r="AA89" i="1" s="1"/>
  <c r="AA90" i="1" a="1"/>
  <c r="AA90" i="1" s="1"/>
  <c r="AA91" i="1" a="1"/>
  <c r="AA91" i="1" s="1"/>
  <c r="AA92" i="1" a="1"/>
  <c r="AA92" i="1" s="1"/>
  <c r="AA93" i="1" a="1"/>
  <c r="AA93" i="1" s="1"/>
  <c r="AA94" i="1" a="1"/>
  <c r="AA94" i="1" s="1"/>
  <c r="AA95" i="1" a="1"/>
  <c r="AA95" i="1" s="1"/>
  <c r="AA96" i="1" a="1"/>
  <c r="AA96" i="1" s="1"/>
  <c r="AA97" i="1" a="1"/>
  <c r="AA97" i="1" s="1"/>
  <c r="AA98" i="1" a="1"/>
  <c r="AA98" i="1" s="1"/>
  <c r="AA99" i="1" a="1"/>
  <c r="AA99" i="1" s="1"/>
  <c r="AA100" i="1" a="1"/>
  <c r="AA100" i="1" s="1"/>
  <c r="AA101" i="1" a="1"/>
  <c r="AA101" i="1" s="1"/>
  <c r="AA102" i="1" a="1"/>
  <c r="AA102" i="1" s="1"/>
  <c r="AA103" i="1" a="1"/>
  <c r="AA103" i="1" s="1"/>
  <c r="AA104" i="1" a="1"/>
  <c r="AA104" i="1" s="1"/>
  <c r="AA105" i="1" a="1"/>
  <c r="AA105" i="1" s="1"/>
  <c r="AA106" i="1" a="1"/>
  <c r="AA106" i="1" s="1"/>
  <c r="AA107" i="1" a="1"/>
  <c r="AA107" i="1" s="1"/>
  <c r="AA108" i="1" a="1"/>
  <c r="AA108" i="1" s="1"/>
  <c r="AA109" i="1" a="1"/>
  <c r="AA109" i="1" s="1"/>
  <c r="AA110" i="1" a="1"/>
  <c r="AA110" i="1" s="1"/>
  <c r="AA111" i="1" a="1"/>
  <c r="AA111" i="1" s="1"/>
  <c r="AA112" i="1" a="1"/>
  <c r="AA112" i="1" s="1"/>
  <c r="AA113" i="1" a="1"/>
  <c r="AA113" i="1" s="1"/>
  <c r="AA114" i="1" a="1"/>
  <c r="AA114" i="1" s="1"/>
  <c r="AA115" i="1" a="1"/>
  <c r="AA115" i="1" s="1"/>
  <c r="AA116" i="1" a="1"/>
  <c r="AA116" i="1" s="1"/>
  <c r="AA117" i="1" a="1"/>
  <c r="AA117" i="1" s="1"/>
  <c r="AA118" i="1" a="1"/>
  <c r="AA118" i="1" s="1"/>
  <c r="AA119" i="1" a="1"/>
  <c r="AA119" i="1" s="1"/>
  <c r="AA120" i="1" a="1"/>
  <c r="AA120" i="1" s="1"/>
  <c r="AA121" i="1" a="1"/>
  <c r="AA121" i="1" s="1"/>
  <c r="AA122" i="1" a="1"/>
  <c r="AA122" i="1" s="1"/>
  <c r="AA123" i="1" a="1"/>
  <c r="AA123" i="1" s="1"/>
  <c r="AA124" i="1" a="1"/>
  <c r="AA124" i="1" s="1"/>
  <c r="AA125" i="1" a="1"/>
  <c r="AA125" i="1" s="1"/>
  <c r="AA126" i="1" a="1"/>
  <c r="AA126" i="1" s="1"/>
  <c r="AA127" i="1" a="1"/>
  <c r="AA127" i="1" s="1"/>
  <c r="AA128" i="1" a="1"/>
  <c r="AA128" i="1" s="1"/>
  <c r="AA129" i="1" a="1"/>
  <c r="AA129" i="1" s="1"/>
  <c r="AA130" i="1" a="1"/>
  <c r="AA130" i="1" s="1"/>
  <c r="AA131" i="1" a="1"/>
  <c r="AA131" i="1" s="1"/>
  <c r="AA132" i="1" a="1"/>
  <c r="AA132" i="1" s="1"/>
  <c r="AA133" i="1" a="1"/>
  <c r="AA133" i="1"/>
  <c r="AA134" i="1" a="1"/>
  <c r="AA134" i="1" s="1"/>
  <c r="AA135" i="1" a="1"/>
  <c r="AA135" i="1" s="1"/>
  <c r="AA136" i="1" a="1"/>
  <c r="AA136" i="1" s="1"/>
  <c r="AA137" i="1" a="1"/>
  <c r="AA137" i="1" s="1"/>
  <c r="AA138" i="1" a="1"/>
  <c r="AA138" i="1" s="1"/>
  <c r="AA139" i="1" a="1"/>
  <c r="AA139" i="1" s="1"/>
  <c r="AA140" i="1" a="1"/>
  <c r="AA140" i="1" s="1"/>
  <c r="AA141" i="1" a="1"/>
  <c r="AA141" i="1" s="1"/>
  <c r="AA142" i="1" a="1"/>
  <c r="AA142" i="1" s="1"/>
  <c r="AA143" i="1" a="1"/>
  <c r="AA143" i="1" s="1"/>
  <c r="AA144" i="1" a="1"/>
  <c r="AA144" i="1" s="1"/>
  <c r="AA145" i="1" a="1"/>
  <c r="AA145" i="1" s="1"/>
  <c r="AA146" i="1" a="1"/>
  <c r="AA146" i="1" s="1"/>
  <c r="AA147" i="1" a="1"/>
  <c r="AA147" i="1" s="1"/>
  <c r="AA148" i="1" a="1"/>
  <c r="AA148" i="1"/>
  <c r="AA149" i="1" a="1"/>
  <c r="AA149" i="1" s="1"/>
  <c r="AA150" i="1" a="1"/>
  <c r="AA150" i="1" s="1"/>
  <c r="AA151" i="1" a="1"/>
  <c r="AA151" i="1" s="1"/>
  <c r="AA152" i="1" a="1"/>
  <c r="AA152" i="1" s="1"/>
  <c r="AA153" i="1" a="1"/>
  <c r="AA153" i="1" s="1"/>
  <c r="AA154" i="1" a="1"/>
  <c r="AA154" i="1" s="1"/>
  <c r="AA155" i="1" a="1"/>
  <c r="AA155" i="1" s="1"/>
  <c r="AA156" i="1" a="1"/>
  <c r="AA156" i="1" s="1"/>
  <c r="AA157" i="1" a="1"/>
  <c r="AA157" i="1" s="1"/>
  <c r="AA158" i="1" a="1"/>
  <c r="AA158" i="1" s="1"/>
  <c r="AA159" i="1" a="1"/>
  <c r="AA159" i="1" s="1"/>
  <c r="AA160" i="1" a="1"/>
  <c r="AA160" i="1" s="1"/>
  <c r="AA161" i="1" a="1"/>
  <c r="AA161" i="1" s="1"/>
  <c r="AA162" i="1" a="1"/>
  <c r="AA162" i="1" s="1"/>
  <c r="AA163" i="1" a="1"/>
  <c r="AA163" i="1" s="1"/>
  <c r="AA164" i="1" a="1"/>
  <c r="AA164" i="1" s="1"/>
  <c r="AA165" i="1" a="1"/>
  <c r="AA165" i="1" s="1"/>
  <c r="AA166" i="1" a="1"/>
  <c r="AA166" i="1" s="1"/>
  <c r="AA167" i="1" a="1"/>
  <c r="AA167" i="1" s="1"/>
  <c r="AA168" i="1" a="1"/>
  <c r="AA168" i="1" s="1"/>
  <c r="AA169" i="1" a="1"/>
  <c r="AA169" i="1" s="1"/>
  <c r="AA170" i="1" a="1"/>
  <c r="AA170" i="1" s="1"/>
  <c r="AA171" i="1" a="1"/>
  <c r="AA171" i="1" s="1"/>
  <c r="AA172" i="1" a="1"/>
  <c r="AA172" i="1" s="1"/>
  <c r="AA173" i="1" a="1"/>
  <c r="AA173" i="1" s="1"/>
  <c r="AA174" i="1" a="1"/>
  <c r="AA174" i="1" s="1"/>
  <c r="AA175" i="1" a="1"/>
  <c r="AA175" i="1" s="1"/>
  <c r="AA176" i="1" a="1"/>
  <c r="AA176" i="1" s="1"/>
  <c r="AA177" i="1" a="1"/>
  <c r="AA177" i="1" s="1"/>
  <c r="AA178" i="1" a="1"/>
  <c r="AA178" i="1"/>
  <c r="AA179" i="1" a="1"/>
  <c r="AA179" i="1" s="1"/>
  <c r="AA181" i="1" a="1"/>
  <c r="AA181" i="1"/>
  <c r="AA182" i="1" a="1"/>
  <c r="AA182" i="1" s="1"/>
  <c r="AA183" i="1" a="1"/>
  <c r="AA183" i="1" s="1"/>
  <c r="AA184" i="1" a="1"/>
  <c r="AA184" i="1" s="1"/>
  <c r="AA185" i="1" a="1"/>
  <c r="AA185" i="1" s="1"/>
  <c r="AA186" i="1" a="1"/>
  <c r="AA186" i="1" s="1"/>
  <c r="AA187" i="1" a="1"/>
  <c r="AA187" i="1" s="1"/>
  <c r="AA188" i="1" a="1"/>
  <c r="AA188" i="1" s="1"/>
  <c r="AA189" i="1" a="1"/>
  <c r="AA189" i="1" s="1"/>
  <c r="AA190" i="1" a="1"/>
  <c r="AA190" i="1" s="1"/>
  <c r="AA191" i="1" a="1"/>
  <c r="AA191" i="1" s="1"/>
  <c r="AA192" i="1" a="1"/>
  <c r="AA192" i="1" s="1"/>
  <c r="AA193" i="1" a="1"/>
  <c r="AA193" i="1" s="1"/>
  <c r="AA194" i="1" a="1"/>
  <c r="AA194" i="1" s="1"/>
  <c r="AA195" i="1" a="1"/>
  <c r="AA195" i="1"/>
  <c r="AA196" i="1" a="1"/>
  <c r="AA196" i="1" s="1"/>
  <c r="AA197" i="1" a="1"/>
  <c r="AA197" i="1" s="1"/>
  <c r="AA198" i="1" a="1"/>
  <c r="AA198" i="1" s="1"/>
  <c r="AA199" i="1" a="1"/>
  <c r="AA199" i="1" s="1"/>
  <c r="AA200" i="1" a="1"/>
  <c r="AA200" i="1" s="1"/>
  <c r="AA201" i="1" a="1"/>
  <c r="AA201" i="1" s="1"/>
  <c r="AA202" i="1" a="1"/>
  <c r="AA202" i="1" s="1"/>
  <c r="AA203" i="1" a="1"/>
  <c r="AA203" i="1" s="1"/>
  <c r="AA204" i="1" a="1"/>
  <c r="AA204" i="1" s="1"/>
  <c r="AA205" i="1" a="1"/>
  <c r="AA205" i="1" s="1"/>
  <c r="AA206" i="1" a="1"/>
  <c r="AA206" i="1" s="1"/>
  <c r="AA207" i="1" a="1"/>
  <c r="AA207" i="1" s="1"/>
  <c r="AA208" i="1" a="1"/>
  <c r="AA208" i="1" s="1"/>
  <c r="AA209" i="1" a="1"/>
  <c r="AA209" i="1" s="1"/>
  <c r="AA210" i="1" a="1"/>
  <c r="AA210" i="1" s="1"/>
  <c r="AA211" i="1" a="1"/>
  <c r="AA211" i="1" s="1"/>
  <c r="AA212" i="1" a="1"/>
  <c r="AA212" i="1" s="1"/>
  <c r="AA213" i="1" a="1"/>
  <c r="AA213" i="1" s="1"/>
  <c r="AA214" i="1" a="1"/>
  <c r="AA214" i="1" s="1"/>
  <c r="AA215" i="1" a="1"/>
  <c r="AA215" i="1" s="1"/>
  <c r="AA216" i="1" a="1"/>
  <c r="AA216" i="1" s="1"/>
  <c r="AA217" i="1" a="1"/>
  <c r="AA217" i="1" s="1"/>
  <c r="AA218" i="1" a="1"/>
  <c r="AA218" i="1" s="1"/>
  <c r="AA219" i="1" a="1"/>
  <c r="AA219" i="1" s="1"/>
  <c r="AA220" i="1" a="1"/>
  <c r="AA220" i="1" s="1"/>
  <c r="AA221" i="1" a="1"/>
  <c r="AA221" i="1" s="1"/>
  <c r="AA222" i="1" a="1"/>
  <c r="AA222" i="1" s="1"/>
  <c r="AA223" i="1" a="1"/>
  <c r="AA223" i="1" s="1"/>
  <c r="AA224" i="1" a="1"/>
  <c r="AA224" i="1" s="1"/>
  <c r="AA225" i="1" a="1"/>
  <c r="AA225" i="1" s="1"/>
  <c r="AA226" i="1" a="1"/>
  <c r="AA226" i="1" s="1"/>
  <c r="AA227" i="1" a="1"/>
  <c r="AA227" i="1" s="1"/>
  <c r="AA228" i="1" a="1"/>
  <c r="AA228" i="1" s="1"/>
  <c r="AA229" i="1" a="1"/>
  <c r="AA229" i="1" s="1"/>
  <c r="AA230" i="1" a="1"/>
  <c r="AA230" i="1" s="1"/>
  <c r="AA231" i="1" a="1"/>
  <c r="AA231" i="1" s="1"/>
  <c r="AA232" i="1" a="1"/>
  <c r="AA232" i="1" s="1"/>
  <c r="AA233" i="1" a="1"/>
  <c r="AA233" i="1" s="1"/>
  <c r="AA234" i="1" a="1"/>
  <c r="AA234" i="1"/>
  <c r="AA235" i="1" a="1"/>
  <c r="AA235" i="1" s="1"/>
  <c r="AA236" i="1" a="1"/>
  <c r="AA236" i="1" s="1"/>
  <c r="AA237" i="1" a="1"/>
  <c r="AA237" i="1" s="1"/>
  <c r="AA238" i="1" a="1"/>
  <c r="AA238" i="1" s="1"/>
  <c r="AA239" i="1" a="1"/>
  <c r="AA239" i="1" s="1"/>
  <c r="AA240" i="1" a="1"/>
  <c r="AA240" i="1" s="1"/>
  <c r="AA241" i="1" a="1"/>
  <c r="AA241" i="1"/>
  <c r="AA242" i="1" a="1"/>
  <c r="AA242" i="1" s="1"/>
  <c r="AA243" i="1" a="1"/>
  <c r="AA243" i="1" s="1"/>
  <c r="AA244" i="1" a="1"/>
  <c r="AA244" i="1"/>
  <c r="AA245" i="1" a="1"/>
  <c r="AA245" i="1" s="1"/>
  <c r="AA246" i="1" a="1"/>
  <c r="AA246" i="1" s="1"/>
  <c r="AA247" i="1" a="1"/>
  <c r="AA247" i="1" s="1"/>
  <c r="AA248" i="1" a="1"/>
  <c r="AA248" i="1" s="1"/>
  <c r="AA249" i="1" a="1"/>
  <c r="AA249" i="1" s="1"/>
  <c r="AA250" i="1" a="1"/>
  <c r="AA250" i="1" s="1"/>
  <c r="AA251" i="1" a="1"/>
  <c r="AA251" i="1" s="1"/>
  <c r="AA252" i="1" a="1"/>
  <c r="AA252" i="1" s="1"/>
  <c r="AA253" i="1" a="1"/>
  <c r="AA253" i="1" s="1"/>
  <c r="AA254" i="1" a="1"/>
  <c r="AA254" i="1" s="1"/>
  <c r="AA255" i="1" a="1"/>
  <c r="AA255" i="1" s="1"/>
  <c r="AA256" i="1" a="1"/>
  <c r="AA256" i="1" s="1"/>
  <c r="AA257" i="1" a="1"/>
  <c r="AA257" i="1" s="1"/>
  <c r="AA258" i="1" a="1"/>
  <c r="AA258" i="1" s="1"/>
  <c r="AA259" i="1" a="1"/>
  <c r="AA259" i="1" s="1"/>
  <c r="AA260" i="1" a="1"/>
  <c r="AA260" i="1" s="1"/>
  <c r="AA261" i="1" a="1"/>
  <c r="AA261" i="1" s="1"/>
  <c r="AA262" i="1" a="1"/>
  <c r="AA262" i="1" s="1"/>
  <c r="AA263" i="1" a="1"/>
  <c r="AA263" i="1" s="1"/>
  <c r="AA264" i="1" a="1"/>
  <c r="AA264" i="1" s="1"/>
  <c r="AA265" i="1" a="1"/>
  <c r="AA265" i="1" s="1"/>
  <c r="AA266" i="1" a="1"/>
  <c r="AA266" i="1"/>
  <c r="AA267" i="1" a="1"/>
  <c r="AA267" i="1" s="1"/>
  <c r="AA268" i="1" a="1"/>
  <c r="AA268" i="1" s="1"/>
  <c r="AA269" i="1" a="1"/>
  <c r="AA269" i="1" s="1"/>
  <c r="AA270" i="1" a="1"/>
  <c r="AA270" i="1" s="1"/>
  <c r="AA271" i="1" a="1"/>
  <c r="AA271" i="1" s="1"/>
  <c r="AA272" i="1" a="1"/>
  <c r="AA272" i="1" s="1"/>
  <c r="AA273" i="1" a="1"/>
  <c r="AA273" i="1" s="1"/>
  <c r="AA274" i="1" a="1"/>
  <c r="AA274" i="1" s="1"/>
  <c r="AA275" i="1" a="1"/>
  <c r="AA275" i="1" s="1"/>
  <c r="AA276" i="1" a="1"/>
  <c r="AA276" i="1" s="1"/>
  <c r="AA277" i="1" a="1"/>
  <c r="AA277" i="1" s="1"/>
  <c r="AA278" i="1" a="1"/>
  <c r="AA278" i="1" s="1"/>
  <c r="AA279" i="1" a="1"/>
  <c r="AA279" i="1" s="1"/>
  <c r="AA280" i="1" a="1"/>
  <c r="AA280" i="1"/>
  <c r="AA281" i="1" a="1"/>
  <c r="AA281" i="1" s="1"/>
  <c r="AA282" i="1" a="1"/>
  <c r="AA282" i="1" s="1"/>
  <c r="AA283" i="1" a="1"/>
  <c r="AA283" i="1" s="1"/>
  <c r="AA284" i="1" a="1"/>
  <c r="AA284" i="1" s="1"/>
  <c r="AA285" i="1" a="1"/>
  <c r="AA285" i="1"/>
  <c r="AA286" i="1" a="1"/>
  <c r="AA286" i="1" s="1"/>
  <c r="AA287" i="1" a="1"/>
  <c r="AA287" i="1" s="1"/>
  <c r="AA288" i="1" a="1"/>
  <c r="AA288" i="1" s="1"/>
  <c r="AA289" i="1" a="1"/>
  <c r="AA289" i="1" s="1"/>
  <c r="AA290" i="1" a="1"/>
  <c r="AA290" i="1" s="1"/>
  <c r="AA291" i="1" a="1"/>
  <c r="AA291" i="1" s="1"/>
  <c r="AA292" i="1" a="1"/>
  <c r="AA292" i="1" s="1"/>
  <c r="AA293" i="1" a="1"/>
  <c r="AA293" i="1" s="1"/>
  <c r="AA294" i="1" a="1"/>
  <c r="AA294" i="1" s="1"/>
  <c r="AA295" i="1" a="1"/>
  <c r="AA295" i="1" s="1"/>
  <c r="AA296" i="1" a="1"/>
  <c r="AA296" i="1" s="1"/>
  <c r="AA297" i="1" a="1"/>
  <c r="AA297" i="1" s="1"/>
  <c r="AA298" i="1" a="1"/>
  <c r="AA298" i="1" s="1"/>
  <c r="AA299" i="1" a="1"/>
  <c r="AA299" i="1" s="1"/>
  <c r="AA300" i="1" a="1"/>
  <c r="AA300" i="1" s="1"/>
  <c r="AA301" i="1" a="1"/>
  <c r="AA301" i="1" s="1"/>
  <c r="AA302" i="1" a="1"/>
  <c r="AA302" i="1" s="1"/>
  <c r="AA303" i="1" a="1"/>
  <c r="AA303" i="1" s="1"/>
  <c r="AA304" i="1" a="1"/>
  <c r="AA304" i="1" s="1"/>
  <c r="AA305" i="1" a="1"/>
  <c r="AA305" i="1" s="1"/>
  <c r="AA306" i="1" a="1"/>
  <c r="AA306" i="1" s="1"/>
  <c r="AA307" i="1" a="1"/>
  <c r="AA307" i="1" s="1"/>
  <c r="AA308" i="1" a="1"/>
  <c r="AA308" i="1" s="1"/>
  <c r="AA309" i="1" a="1"/>
  <c r="AA309" i="1" s="1"/>
  <c r="AA310" i="1" a="1"/>
  <c r="AA310" i="1" s="1"/>
  <c r="AA312" i="1" a="1"/>
  <c r="AA312" i="1" s="1"/>
  <c r="AA313" i="1" a="1"/>
  <c r="AA313" i="1" s="1"/>
  <c r="AA314" i="1" a="1"/>
  <c r="AA314" i="1" s="1"/>
  <c r="AA315" i="1" a="1"/>
  <c r="AA315" i="1" s="1"/>
  <c r="AA316" i="1" a="1"/>
  <c r="AA316" i="1" s="1"/>
  <c r="AA317" i="1" a="1"/>
  <c r="AA317" i="1" s="1"/>
  <c r="AA318" i="1" a="1"/>
  <c r="AA318" i="1"/>
  <c r="AA319" i="1" a="1"/>
  <c r="AA319" i="1" s="1"/>
  <c r="AA320" i="1" a="1"/>
  <c r="AA320" i="1" s="1"/>
  <c r="AA321" i="1" a="1"/>
  <c r="AA321" i="1" s="1"/>
  <c r="AA322" i="1" a="1"/>
  <c r="AA322" i="1" s="1"/>
  <c r="AA323" i="1" a="1"/>
  <c r="AA323" i="1" s="1"/>
  <c r="AA324" i="1" a="1"/>
  <c r="AA324" i="1" s="1"/>
  <c r="AA325" i="1" a="1"/>
  <c r="AA325" i="1" s="1"/>
  <c r="AA326" i="1" a="1"/>
  <c r="AA326" i="1" s="1"/>
  <c r="AA327" i="1" a="1"/>
  <c r="AA327" i="1" s="1"/>
  <c r="AA328" i="1" a="1"/>
  <c r="AA328" i="1" s="1"/>
  <c r="AA329" i="1" a="1"/>
  <c r="AA329" i="1" s="1"/>
  <c r="AA330" i="1" a="1"/>
  <c r="AA330" i="1" s="1"/>
  <c r="AA331" i="1" a="1"/>
  <c r="AA331" i="1" s="1"/>
  <c r="AA332" i="1" a="1"/>
  <c r="AA332" i="1"/>
  <c r="AA333" i="1" a="1"/>
  <c r="AA333" i="1" s="1"/>
  <c r="AA334" i="1" a="1"/>
  <c r="AA334" i="1" s="1"/>
  <c r="AA335" i="1" a="1"/>
  <c r="AA335" i="1" s="1"/>
  <c r="AA336" i="1" a="1"/>
  <c r="AA336" i="1" s="1"/>
  <c r="AA337" i="1" a="1"/>
  <c r="AA337" i="1" s="1"/>
  <c r="AA338" i="1" a="1"/>
  <c r="AA338" i="1" s="1"/>
  <c r="AA339" i="1" a="1"/>
  <c r="AA339" i="1"/>
  <c r="AA340" i="1" a="1"/>
  <c r="AA340" i="1" s="1"/>
  <c r="AA341" i="1" a="1"/>
  <c r="AA341" i="1" s="1"/>
  <c r="AA342" i="1" a="1"/>
  <c r="AA342" i="1" s="1"/>
  <c r="AA343" i="1" a="1"/>
  <c r="AA343" i="1" s="1"/>
  <c r="AA344" i="1" a="1"/>
  <c r="AA344" i="1" s="1"/>
  <c r="AA345" i="1" a="1"/>
  <c r="AA345" i="1"/>
  <c r="AA346" i="1" a="1"/>
  <c r="AA346" i="1" s="1"/>
  <c r="AA347" i="1" a="1"/>
  <c r="AA347" i="1" s="1"/>
  <c r="AA348" i="1" a="1"/>
  <c r="AA348" i="1"/>
  <c r="AA349" i="1" a="1"/>
  <c r="AA349" i="1"/>
  <c r="AA350" i="1" a="1"/>
  <c r="AA350" i="1" s="1"/>
  <c r="AA351" i="1" a="1"/>
  <c r="AA351" i="1"/>
  <c r="AA352" i="1" a="1"/>
  <c r="AA352" i="1" s="1"/>
  <c r="AA353" i="1" a="1"/>
  <c r="AA353" i="1" s="1"/>
  <c r="AA354" i="1" a="1"/>
  <c r="AA354" i="1" s="1"/>
  <c r="AA355" i="1" a="1"/>
  <c r="AA355" i="1" s="1"/>
  <c r="AA356" i="1" a="1"/>
  <c r="AA356" i="1" s="1"/>
  <c r="AA357" i="1" a="1"/>
  <c r="AA357" i="1" s="1"/>
  <c r="AA358" i="1" a="1"/>
  <c r="AA358" i="1" s="1"/>
  <c r="AA359" i="1" a="1"/>
  <c r="AA359" i="1" s="1"/>
  <c r="AA360" i="1" a="1"/>
  <c r="AA360" i="1" s="1"/>
  <c r="AA361" i="1" a="1"/>
  <c r="AA361" i="1" s="1"/>
  <c r="AA362" i="1" a="1"/>
  <c r="AA362" i="1" s="1"/>
  <c r="AA363" i="1" a="1"/>
  <c r="AA363" i="1" s="1"/>
  <c r="AA364" i="1" a="1"/>
  <c r="AA364" i="1" s="1"/>
  <c r="AA365" i="1" a="1"/>
  <c r="AA365" i="1" s="1"/>
  <c r="AA366" i="1" a="1"/>
  <c r="AA366" i="1" s="1"/>
  <c r="AA367" i="1" a="1"/>
  <c r="AA367" i="1" s="1"/>
  <c r="AA368" i="1" a="1"/>
  <c r="AA368" i="1" s="1"/>
  <c r="AA369" i="1" a="1"/>
  <c r="AA369" i="1" s="1"/>
  <c r="AA370" i="1" a="1"/>
  <c r="AA370" i="1" s="1"/>
  <c r="AA371" i="1" a="1"/>
  <c r="AA371" i="1" s="1"/>
  <c r="AA372" i="1" a="1"/>
  <c r="AA372" i="1" s="1"/>
  <c r="AA373" i="1" a="1"/>
  <c r="AA373" i="1" s="1"/>
  <c r="AA374" i="1" a="1"/>
  <c r="AA374" i="1" s="1"/>
  <c r="AA375" i="1" a="1"/>
  <c r="AA375" i="1" s="1"/>
  <c r="AA376" i="1" a="1"/>
  <c r="AA376" i="1" s="1"/>
  <c r="AA377" i="1" a="1"/>
  <c r="AA377" i="1" s="1"/>
  <c r="AA378" i="1" a="1"/>
  <c r="AA378" i="1" s="1"/>
  <c r="AA379" i="1" a="1"/>
  <c r="AA379" i="1" s="1"/>
  <c r="AA380" i="1" a="1"/>
  <c r="AA380" i="1" s="1"/>
  <c r="AA381" i="1" a="1"/>
  <c r="AA381" i="1" s="1"/>
  <c r="AA382" i="1" a="1"/>
  <c r="AA382" i="1" s="1"/>
  <c r="AA383" i="1" a="1"/>
  <c r="AA383" i="1" s="1"/>
  <c r="AA384" i="1" a="1"/>
  <c r="AA384" i="1" s="1"/>
  <c r="AA385" i="1" a="1"/>
  <c r="AA385" i="1" s="1"/>
  <c r="AA386" i="1" a="1"/>
  <c r="AA386" i="1" s="1"/>
  <c r="AA387" i="1" a="1"/>
  <c r="AA387" i="1" s="1"/>
  <c r="AA388" i="1" a="1"/>
  <c r="AA388" i="1" s="1"/>
  <c r="AA389" i="1" a="1"/>
  <c r="AA389" i="1" s="1"/>
  <c r="AA390" i="1" a="1"/>
  <c r="AA390" i="1"/>
  <c r="AA391" i="1" a="1"/>
  <c r="AA391" i="1" s="1"/>
  <c r="AA392" i="1" a="1"/>
  <c r="AA392" i="1" s="1"/>
  <c r="AA393" i="1" a="1"/>
  <c r="AA393" i="1" s="1"/>
  <c r="AA394" i="1" a="1"/>
  <c r="AA394" i="1" s="1"/>
  <c r="AA395" i="1" a="1"/>
  <c r="AA395" i="1" s="1"/>
  <c r="AA396" i="1" a="1"/>
  <c r="AA396" i="1" s="1"/>
  <c r="AA397" i="1" a="1"/>
  <c r="AA397" i="1" s="1"/>
  <c r="AA398" i="1" a="1"/>
  <c r="AA398" i="1" s="1"/>
  <c r="AA399" i="1" a="1"/>
  <c r="AA399" i="1" s="1"/>
  <c r="AA400" i="1" a="1"/>
  <c r="AA400" i="1" s="1"/>
  <c r="AA401" i="1" a="1"/>
  <c r="AA401" i="1" s="1"/>
  <c r="AA402" i="1" a="1"/>
  <c r="AA402" i="1" s="1"/>
  <c r="AA403" i="1" a="1"/>
  <c r="AA403" i="1" s="1"/>
  <c r="AA404" i="1" a="1"/>
  <c r="AA404" i="1" s="1"/>
  <c r="AA405" i="1" a="1"/>
  <c r="AA405" i="1" s="1"/>
  <c r="AA406" i="1" a="1"/>
  <c r="AA406" i="1" s="1"/>
  <c r="AA407" i="1" a="1"/>
  <c r="AA407" i="1" s="1"/>
  <c r="AA408" i="1" a="1"/>
  <c r="AA408" i="1" s="1"/>
  <c r="AA409" i="1" a="1"/>
  <c r="AA409" i="1" s="1"/>
  <c r="AA410" i="1" a="1"/>
  <c r="AA410" i="1" s="1"/>
  <c r="AA411" i="1" a="1"/>
  <c r="AA411" i="1" s="1"/>
  <c r="AA412" i="1" a="1"/>
  <c r="AA412" i="1" s="1"/>
  <c r="AA413" i="1" a="1"/>
  <c r="AA413" i="1" s="1"/>
  <c r="AA414" i="1" a="1"/>
  <c r="AA414" i="1" s="1"/>
  <c r="AA415" i="1" a="1"/>
  <c r="AA415" i="1" s="1"/>
  <c r="AA416" i="1" a="1"/>
  <c r="AA416" i="1" s="1"/>
  <c r="AA417" i="1" a="1"/>
  <c r="AA417" i="1" s="1"/>
  <c r="AA418" i="1" a="1"/>
  <c r="AA418" i="1" s="1"/>
  <c r="AA419" i="1" a="1"/>
  <c r="AA419" i="1" s="1"/>
  <c r="AA420" i="1" a="1"/>
  <c r="AA420" i="1" s="1"/>
  <c r="AA421" i="1" a="1"/>
  <c r="AA421" i="1" s="1"/>
  <c r="AA422" i="1" a="1"/>
  <c r="AA422" i="1" s="1"/>
  <c r="AA423" i="1" a="1"/>
  <c r="AA423" i="1" s="1"/>
  <c r="AA424" i="1" a="1"/>
  <c r="AA424" i="1" s="1"/>
  <c r="AA425" i="1" a="1"/>
  <c r="AA425" i="1" s="1"/>
  <c r="AA426" i="1" a="1"/>
  <c r="AA426" i="1" s="1"/>
  <c r="AA427" i="1" a="1"/>
  <c r="AA427" i="1" s="1"/>
  <c r="AA428" i="1" a="1"/>
  <c r="AA428" i="1" s="1"/>
  <c r="AA429" i="1" a="1"/>
  <c r="AA429" i="1" s="1"/>
  <c r="AA430" i="1" a="1"/>
  <c r="AA430" i="1" s="1"/>
  <c r="AA431" i="1" a="1"/>
  <c r="AA431" i="1" s="1"/>
  <c r="AA432" i="1" a="1"/>
  <c r="AA432" i="1" s="1"/>
  <c r="AA433" i="1" a="1"/>
  <c r="AA433" i="1"/>
  <c r="AA434" i="1" a="1"/>
  <c r="AA434" i="1" s="1"/>
  <c r="AA435" i="1" a="1"/>
  <c r="AA435" i="1" s="1"/>
  <c r="AA436" i="1" a="1"/>
  <c r="AA436" i="1" s="1"/>
  <c r="AA437" i="1" a="1"/>
  <c r="AA437" i="1" s="1"/>
  <c r="AA438" i="1" a="1"/>
  <c r="AA438" i="1" s="1"/>
  <c r="AA439" i="1" a="1"/>
  <c r="AA439" i="1" s="1"/>
  <c r="AA440" i="1" a="1"/>
  <c r="AA440" i="1" s="1"/>
  <c r="AA441" i="1" a="1"/>
  <c r="AA441" i="1" s="1"/>
  <c r="AA442" i="1" a="1"/>
  <c r="AA442" i="1" s="1"/>
  <c r="AA444" i="1" a="1"/>
  <c r="AA444" i="1" s="1"/>
  <c r="AA445" i="1" a="1"/>
  <c r="AA445" i="1" s="1"/>
  <c r="AA446" i="1" a="1"/>
  <c r="AA446" i="1" s="1"/>
  <c r="AA447" i="1" a="1"/>
  <c r="AA447" i="1" s="1"/>
  <c r="AA448" i="1" a="1"/>
  <c r="AA448" i="1" s="1"/>
  <c r="AA449" i="1" a="1"/>
  <c r="AA449" i="1" s="1"/>
  <c r="AA450" i="1" a="1"/>
  <c r="AA450" i="1" s="1"/>
  <c r="AA451" i="1" a="1"/>
  <c r="AA451" i="1"/>
  <c r="AA452" i="1" a="1"/>
  <c r="AA452" i="1" s="1"/>
  <c r="AA453" i="1" a="1"/>
  <c r="AA453" i="1" s="1"/>
  <c r="AA454" i="1" a="1"/>
  <c r="AA454" i="1" s="1"/>
  <c r="AA455" i="1" a="1"/>
  <c r="AA455" i="1" s="1"/>
  <c r="AA456" i="1" a="1"/>
  <c r="AA456" i="1" s="1"/>
  <c r="AA457" i="1" a="1"/>
  <c r="AA457" i="1" s="1"/>
  <c r="AA458" i="1" a="1"/>
  <c r="AA458" i="1" s="1"/>
  <c r="AA459" i="1" a="1"/>
  <c r="AA459" i="1" s="1"/>
  <c r="AA460" i="1" a="1"/>
  <c r="AA460" i="1" s="1"/>
  <c r="AA461" i="1" a="1"/>
  <c r="AA461" i="1" s="1"/>
  <c r="AA462" i="1" a="1"/>
  <c r="AA462" i="1" s="1"/>
  <c r="AA463" i="1" a="1"/>
  <c r="AA463" i="1" s="1"/>
  <c r="AA464" i="1" a="1"/>
  <c r="AA464" i="1"/>
  <c r="AA465" i="1" a="1"/>
  <c r="AA465" i="1"/>
  <c r="AA466" i="1" a="1"/>
  <c r="AA466" i="1" s="1"/>
  <c r="AA467" i="1" a="1"/>
  <c r="AA467" i="1" s="1"/>
  <c r="AA468" i="1" a="1"/>
  <c r="AA468" i="1" s="1"/>
  <c r="AA469" i="1" a="1"/>
  <c r="AA469" i="1"/>
  <c r="AA470" i="1" a="1"/>
  <c r="AA470" i="1" s="1"/>
  <c r="AA471" i="1" a="1"/>
  <c r="AA471" i="1" s="1"/>
  <c r="AA472" i="1" a="1"/>
  <c r="AA472" i="1" s="1"/>
  <c r="AA473" i="1" a="1"/>
  <c r="AA473" i="1" s="1"/>
  <c r="AA474" i="1" a="1"/>
  <c r="AA474" i="1" s="1"/>
  <c r="AA475" i="1" a="1"/>
  <c r="AA475" i="1" s="1"/>
  <c r="AA476" i="1" a="1"/>
  <c r="AA476" i="1" s="1"/>
  <c r="AA477" i="1" a="1"/>
  <c r="AA477" i="1" s="1"/>
  <c r="AA478" i="1" a="1"/>
  <c r="AA478" i="1" s="1"/>
  <c r="AA479" i="1" a="1"/>
  <c r="AA479" i="1" s="1"/>
  <c r="AA480" i="1" a="1"/>
  <c r="AA480" i="1" s="1"/>
  <c r="AA481" i="1" a="1"/>
  <c r="AA481" i="1" s="1"/>
  <c r="AA482" i="1" a="1"/>
  <c r="AA482" i="1" s="1"/>
  <c r="AA483" i="1" a="1"/>
  <c r="AA483" i="1" s="1"/>
  <c r="AA484" i="1" a="1"/>
  <c r="AA484" i="1" s="1"/>
  <c r="AA485" i="1" a="1"/>
  <c r="AA485" i="1" s="1"/>
  <c r="AA486" i="1" a="1"/>
  <c r="AA486" i="1" s="1"/>
  <c r="AA487" i="1" a="1"/>
  <c r="AA487" i="1" s="1"/>
  <c r="AA488" i="1" a="1"/>
  <c r="AA488" i="1" s="1"/>
  <c r="AA489" i="1" a="1"/>
  <c r="AA489" i="1" s="1"/>
  <c r="AA490" i="1" a="1"/>
  <c r="AA490" i="1" s="1"/>
  <c r="AA491" i="1" a="1"/>
  <c r="AA491" i="1" s="1"/>
  <c r="AA492" i="1" a="1"/>
  <c r="AA492" i="1" s="1"/>
  <c r="AA493" i="1" a="1"/>
  <c r="AA493" i="1" s="1"/>
  <c r="AA494" i="1" a="1"/>
  <c r="AA494" i="1" s="1"/>
  <c r="AA495" i="1" a="1"/>
  <c r="AA495" i="1" s="1"/>
  <c r="AA496" i="1" a="1"/>
  <c r="AA496" i="1" s="1"/>
  <c r="AA497" i="1" a="1"/>
  <c r="AA497" i="1" s="1"/>
  <c r="AA498" i="1" a="1"/>
  <c r="AA498" i="1" s="1"/>
  <c r="AA499" i="1" a="1"/>
  <c r="AA499" i="1" s="1"/>
  <c r="AA500" i="1" a="1"/>
  <c r="AA500" i="1" s="1"/>
  <c r="AA501" i="1" a="1"/>
  <c r="AA501" i="1" s="1"/>
  <c r="AA502" i="1" a="1"/>
  <c r="AA502" i="1" s="1"/>
  <c r="AA503" i="1" a="1"/>
  <c r="AA503" i="1" s="1"/>
  <c r="AA504" i="1" a="1"/>
  <c r="AA504" i="1" s="1"/>
  <c r="AA505" i="1" a="1"/>
  <c r="AA505" i="1" s="1"/>
  <c r="AA506" i="1" a="1"/>
  <c r="AA506" i="1" s="1"/>
  <c r="AA507" i="1" a="1"/>
  <c r="AA507" i="1" s="1"/>
  <c r="AA508" i="1" a="1"/>
  <c r="AA508" i="1" s="1"/>
  <c r="AA509" i="1" a="1"/>
  <c r="AA509" i="1" s="1"/>
  <c r="AA510" i="1" a="1"/>
  <c r="AA510" i="1" s="1"/>
  <c r="AA511" i="1" a="1"/>
  <c r="AA511" i="1" s="1"/>
  <c r="AA512" i="1" a="1"/>
  <c r="AA512" i="1" s="1"/>
  <c r="AA513" i="1" a="1"/>
  <c r="AA513" i="1" s="1"/>
  <c r="AA514" i="1" a="1"/>
  <c r="AA514" i="1" s="1"/>
  <c r="AA515" i="1" a="1"/>
  <c r="AA515" i="1" s="1"/>
  <c r="AA516" i="1" a="1"/>
  <c r="AA516" i="1" s="1"/>
  <c r="AA517" i="1" a="1"/>
  <c r="AA517" i="1" s="1"/>
  <c r="AA518" i="1" a="1"/>
  <c r="AA518" i="1" s="1"/>
  <c r="AA519" i="1" a="1"/>
  <c r="AA519" i="1" s="1"/>
  <c r="AA520" i="1" a="1"/>
  <c r="AA520" i="1" s="1"/>
  <c r="AA521" i="1" a="1"/>
  <c r="AA521" i="1" s="1"/>
  <c r="AA522" i="1" a="1"/>
  <c r="AA522" i="1" s="1"/>
  <c r="AA523" i="1" a="1"/>
  <c r="AA523" i="1" s="1"/>
  <c r="AA524" i="1" a="1"/>
  <c r="AA524" i="1" s="1"/>
  <c r="AA525" i="1" a="1"/>
  <c r="AA525" i="1" s="1"/>
  <c r="AA526" i="1" a="1"/>
  <c r="AA526" i="1"/>
  <c r="AA527" i="1" a="1"/>
  <c r="AA527" i="1" s="1"/>
  <c r="AA528" i="1" a="1"/>
  <c r="AA528" i="1" s="1"/>
  <c r="AA529" i="1" a="1"/>
  <c r="AA529" i="1" s="1"/>
  <c r="AA530" i="1" a="1"/>
  <c r="AA530" i="1" s="1"/>
  <c r="AA531" i="1" a="1"/>
  <c r="AA531" i="1" s="1"/>
  <c r="AA532" i="1" a="1"/>
  <c r="AA532" i="1" s="1"/>
  <c r="AA533" i="1" a="1"/>
  <c r="AA533" i="1" s="1"/>
  <c r="AA534" i="1" a="1"/>
  <c r="AA534" i="1" s="1"/>
  <c r="AA535" i="1" a="1"/>
  <c r="AA535" i="1" s="1"/>
  <c r="AA536" i="1" a="1"/>
  <c r="AA536" i="1" s="1"/>
  <c r="AA537" i="1" a="1"/>
  <c r="AA537" i="1" s="1"/>
  <c r="AA538" i="1" a="1"/>
  <c r="AA538" i="1" s="1"/>
  <c r="AA539" i="1" a="1"/>
  <c r="AA539" i="1" s="1"/>
  <c r="AA540" i="1" a="1"/>
  <c r="AA540" i="1" s="1"/>
  <c r="AA541" i="1" a="1"/>
  <c r="AA541" i="1"/>
  <c r="AA542" i="1" a="1"/>
  <c r="AA542" i="1" s="1"/>
  <c r="AA543" i="1" a="1"/>
  <c r="AA543" i="1" s="1"/>
  <c r="AA544" i="1" a="1"/>
  <c r="AA544" i="1" s="1"/>
  <c r="AA545" i="1" a="1"/>
  <c r="AA545" i="1" s="1"/>
  <c r="AA546" i="1" a="1"/>
  <c r="AA546" i="1" s="1"/>
  <c r="AA547" i="1" a="1"/>
  <c r="AA547" i="1"/>
  <c r="AA548" i="1" a="1"/>
  <c r="AA548" i="1" s="1"/>
  <c r="AA549" i="1" a="1"/>
  <c r="AA549" i="1" s="1"/>
  <c r="AA550" i="1" a="1"/>
  <c r="AA550" i="1" s="1"/>
  <c r="AA551" i="1" a="1"/>
  <c r="AA551" i="1" s="1"/>
  <c r="AA552" i="1" a="1"/>
  <c r="AA552" i="1" s="1"/>
  <c r="AA553" i="1" a="1"/>
  <c r="AA553" i="1" s="1"/>
  <c r="AA554" i="1" a="1"/>
  <c r="AA554" i="1" s="1"/>
  <c r="AA555" i="1" a="1"/>
  <c r="AA555" i="1" s="1"/>
  <c r="AA556" i="1" a="1"/>
  <c r="AA556" i="1"/>
  <c r="AA557" i="1" a="1"/>
  <c r="AA557" i="1" s="1"/>
  <c r="AA558" i="1" a="1"/>
  <c r="AA558" i="1" s="1"/>
  <c r="AA559" i="1" a="1"/>
  <c r="AA559" i="1" s="1"/>
  <c r="AA560" i="1" a="1"/>
  <c r="AA560" i="1" s="1"/>
  <c r="AA561" i="1" a="1"/>
  <c r="AA561" i="1"/>
  <c r="AA562" i="1" a="1"/>
  <c r="AA562" i="1" s="1"/>
  <c r="AA563" i="1" a="1"/>
  <c r="AA563" i="1" s="1"/>
  <c r="AA564" i="1" a="1"/>
  <c r="AA564" i="1" s="1"/>
  <c r="AA565" i="1" a="1"/>
  <c r="AA565" i="1" s="1"/>
  <c r="AA566" i="1" a="1"/>
  <c r="AA566" i="1"/>
  <c r="AA567" i="1" a="1"/>
  <c r="AA567" i="1" s="1"/>
  <c r="AA568" i="1" a="1"/>
  <c r="AA568" i="1" s="1"/>
  <c r="AA569" i="1" a="1"/>
  <c r="AA569" i="1" s="1"/>
  <c r="AA570" i="1" a="1"/>
  <c r="AA570" i="1" s="1"/>
  <c r="AA571" i="1" a="1"/>
  <c r="AA571" i="1" s="1"/>
  <c r="AA572" i="1" a="1"/>
  <c r="AA572" i="1" s="1"/>
  <c r="AA573" i="1" a="1"/>
  <c r="AA573" i="1" s="1"/>
  <c r="AA575" i="1" a="1"/>
  <c r="AA575" i="1" s="1"/>
  <c r="AA576" i="1" a="1"/>
  <c r="AA576" i="1" s="1"/>
  <c r="AA577" i="1" a="1"/>
  <c r="AA577" i="1" s="1"/>
  <c r="AA578" i="1" a="1"/>
  <c r="AA578" i="1" s="1"/>
  <c r="AA579" i="1" a="1"/>
  <c r="AA579" i="1" s="1"/>
  <c r="AA580" i="1" a="1"/>
  <c r="AA580" i="1" s="1"/>
  <c r="AA581" i="1" a="1"/>
  <c r="AA581" i="1" s="1"/>
  <c r="AA582" i="1" a="1"/>
  <c r="AA582" i="1" s="1"/>
  <c r="AA583" i="1" a="1"/>
  <c r="AA583" i="1" s="1"/>
  <c r="AA584" i="1" a="1"/>
  <c r="AA584" i="1"/>
  <c r="AA585" i="1" a="1"/>
  <c r="AA585" i="1" s="1"/>
  <c r="AA586" i="1" a="1"/>
  <c r="AA586" i="1" s="1"/>
  <c r="AA587" i="1" a="1"/>
  <c r="AA587" i="1" s="1"/>
  <c r="AA588" i="1" a="1"/>
  <c r="AA588" i="1" s="1"/>
  <c r="AA589" i="1" a="1"/>
  <c r="AA589" i="1" s="1"/>
  <c r="AA590" i="1" a="1"/>
  <c r="AA590" i="1" s="1"/>
  <c r="AA591" i="1" a="1"/>
  <c r="AA591" i="1" s="1"/>
  <c r="AA592" i="1" a="1"/>
  <c r="AA592" i="1" s="1"/>
  <c r="AA593" i="1" a="1"/>
  <c r="AA593" i="1" s="1"/>
  <c r="AA594" i="1" a="1"/>
  <c r="AA594" i="1" s="1"/>
  <c r="AA595" i="1" a="1"/>
  <c r="AA595" i="1" s="1"/>
  <c r="AA596" i="1" a="1"/>
  <c r="AA596" i="1" s="1"/>
  <c r="AA597" i="1" a="1"/>
  <c r="AA597" i="1" s="1"/>
  <c r="AA598" i="1" a="1"/>
  <c r="AA598" i="1" s="1"/>
  <c r="AA599" i="1" a="1"/>
  <c r="AA599" i="1" s="1"/>
  <c r="AA600" i="1" a="1"/>
  <c r="AA600" i="1" s="1"/>
  <c r="AA601" i="1" a="1"/>
  <c r="AA601" i="1" s="1"/>
  <c r="AA602" i="1" a="1"/>
  <c r="AA602" i="1" s="1"/>
  <c r="AA603" i="1" a="1"/>
  <c r="AA603" i="1" s="1"/>
  <c r="AA604" i="1" a="1"/>
  <c r="AA604" i="1" s="1"/>
  <c r="AA605" i="1" a="1"/>
  <c r="AA605" i="1" s="1"/>
  <c r="AA606" i="1" a="1"/>
  <c r="AA606" i="1"/>
  <c r="AA607" i="1" a="1"/>
  <c r="AA607" i="1" s="1"/>
  <c r="AA608" i="1" a="1"/>
  <c r="AA608" i="1" s="1"/>
  <c r="AA609" i="1" a="1"/>
  <c r="AA609" i="1" s="1"/>
  <c r="AA610" i="1" a="1"/>
  <c r="AA610" i="1" s="1"/>
  <c r="AA611" i="1" a="1"/>
  <c r="AA611" i="1" s="1"/>
  <c r="AA612" i="1" a="1"/>
  <c r="AA612" i="1" s="1"/>
  <c r="AA613" i="1" a="1"/>
  <c r="AA613" i="1" s="1"/>
  <c r="AA614" i="1" a="1"/>
  <c r="AA614" i="1" s="1"/>
  <c r="AA615" i="1" a="1"/>
  <c r="AA615" i="1" s="1"/>
  <c r="AA616" i="1" a="1"/>
  <c r="AA616" i="1" s="1"/>
  <c r="AA617" i="1" a="1"/>
  <c r="AA617" i="1" s="1"/>
  <c r="AA618" i="1" a="1"/>
  <c r="AA618" i="1" s="1"/>
  <c r="AA619" i="1" a="1"/>
  <c r="AA619" i="1" s="1"/>
  <c r="AA620" i="1" a="1"/>
  <c r="AA620" i="1" s="1"/>
  <c r="AA621" i="1" a="1"/>
  <c r="AA621" i="1" s="1"/>
  <c r="AA622" i="1" a="1"/>
  <c r="AA622" i="1" s="1"/>
  <c r="AA623" i="1" a="1"/>
  <c r="AA623" i="1" s="1"/>
  <c r="AA624" i="1" a="1"/>
  <c r="AA624" i="1"/>
  <c r="AA625" i="1" a="1"/>
  <c r="AA625" i="1" s="1"/>
  <c r="AA626" i="1" a="1"/>
  <c r="AA626" i="1" s="1"/>
  <c r="AA627" i="1" a="1"/>
  <c r="AA627" i="1" s="1"/>
  <c r="AA628" i="1" a="1"/>
  <c r="AA628" i="1" s="1"/>
  <c r="AA629" i="1" a="1"/>
  <c r="AA629" i="1" s="1"/>
  <c r="AA630" i="1" a="1"/>
  <c r="AA630" i="1" s="1"/>
  <c r="AA631" i="1" a="1"/>
  <c r="AA631" i="1" s="1"/>
  <c r="AA632" i="1" a="1"/>
  <c r="AA632" i="1" s="1"/>
  <c r="AA633" i="1" a="1"/>
  <c r="AA633" i="1" s="1"/>
  <c r="AA634" i="1" a="1"/>
  <c r="AA634" i="1" s="1"/>
  <c r="AA635" i="1" a="1"/>
  <c r="AA635" i="1" s="1"/>
  <c r="AA636" i="1" a="1"/>
  <c r="AA636" i="1" s="1"/>
  <c r="AA637" i="1" a="1"/>
  <c r="AA637" i="1" s="1"/>
  <c r="AA638" i="1" a="1"/>
  <c r="AA638" i="1" s="1"/>
  <c r="AA639" i="1" a="1"/>
  <c r="AA639" i="1" s="1"/>
  <c r="AA640" i="1" a="1"/>
  <c r="AA640" i="1" s="1"/>
  <c r="AA641" i="1" a="1"/>
  <c r="AA641" i="1" s="1"/>
  <c r="AA642" i="1" a="1"/>
  <c r="AA642" i="1" s="1"/>
  <c r="AA643" i="1" a="1"/>
  <c r="AA643" i="1" s="1"/>
  <c r="AA644" i="1" a="1"/>
  <c r="AA644" i="1" s="1"/>
  <c r="AA645" i="1" a="1"/>
  <c r="AA645" i="1" s="1"/>
  <c r="AA646" i="1" a="1"/>
  <c r="AA646" i="1" s="1"/>
  <c r="AA647" i="1" a="1"/>
  <c r="AA647" i="1" s="1"/>
  <c r="AA648" i="1" a="1"/>
  <c r="AA648" i="1" s="1"/>
  <c r="AA649" i="1" a="1"/>
  <c r="AA649" i="1" s="1"/>
  <c r="AA650" i="1" a="1"/>
  <c r="AA650" i="1" s="1"/>
  <c r="AA651" i="1" a="1"/>
  <c r="AA651" i="1" s="1"/>
  <c r="AA652" i="1" a="1"/>
  <c r="AA652" i="1" s="1"/>
  <c r="AA653" i="1" a="1"/>
  <c r="AA653" i="1" s="1"/>
  <c r="AA654" i="1" a="1"/>
  <c r="AA654" i="1" s="1"/>
  <c r="AA655" i="1" a="1"/>
  <c r="AA655" i="1" s="1"/>
  <c r="AA656" i="1" a="1"/>
  <c r="AA656" i="1" s="1"/>
  <c r="AA657" i="1" a="1"/>
  <c r="AA657" i="1" s="1"/>
  <c r="AA658" i="1" a="1"/>
  <c r="AA658" i="1" s="1"/>
  <c r="AA659" i="1" a="1"/>
  <c r="AA659" i="1" s="1"/>
  <c r="AA660" i="1" a="1"/>
  <c r="AA660" i="1" s="1"/>
  <c r="AA661" i="1" a="1"/>
  <c r="AA661" i="1" s="1"/>
  <c r="AA662" i="1" a="1"/>
  <c r="AA662" i="1" s="1"/>
  <c r="AA663" i="1" a="1"/>
  <c r="AA663" i="1" s="1"/>
  <c r="AA664" i="1" a="1"/>
  <c r="AA664" i="1" s="1"/>
  <c r="AA665" i="1" a="1"/>
  <c r="AA665" i="1" s="1"/>
  <c r="AA666" i="1" a="1"/>
  <c r="AA666" i="1" s="1"/>
  <c r="AA667" i="1" a="1"/>
  <c r="AA667" i="1" s="1"/>
  <c r="AA668" i="1" a="1"/>
  <c r="AA668" i="1" s="1"/>
  <c r="AA669" i="1" a="1"/>
  <c r="AA669" i="1" s="1"/>
  <c r="AA670" i="1" a="1"/>
  <c r="AA670" i="1" s="1"/>
  <c r="AA671" i="1" a="1"/>
  <c r="AA671" i="1" s="1"/>
  <c r="AA672" i="1" a="1"/>
  <c r="AA672" i="1" s="1"/>
  <c r="AA673" i="1" a="1"/>
  <c r="AA673" i="1" s="1"/>
  <c r="AA674" i="1" a="1"/>
  <c r="AA674" i="1" s="1"/>
  <c r="AA675" i="1" a="1"/>
  <c r="AA675" i="1" s="1"/>
  <c r="AA676" i="1" a="1"/>
  <c r="AA676" i="1" s="1"/>
  <c r="AA677" i="1" a="1"/>
  <c r="AA677" i="1" s="1"/>
  <c r="AA678" i="1" a="1"/>
  <c r="AA678" i="1"/>
  <c r="AA679" i="1" a="1"/>
  <c r="AA679" i="1" s="1"/>
  <c r="AA680" i="1" a="1"/>
  <c r="AA680" i="1" s="1"/>
  <c r="AA681" i="1" a="1"/>
  <c r="AA681" i="1" s="1"/>
  <c r="AA682" i="1" a="1"/>
  <c r="AA682" i="1" s="1"/>
  <c r="AA683" i="1" a="1"/>
  <c r="AA683" i="1" s="1"/>
  <c r="AA684" i="1" a="1"/>
  <c r="AA684" i="1" s="1"/>
  <c r="AA685" i="1" a="1"/>
  <c r="AA685" i="1" s="1"/>
  <c r="AA686" i="1" a="1"/>
  <c r="AA686" i="1" s="1"/>
  <c r="AA687" i="1" a="1"/>
  <c r="AA687" i="1" s="1"/>
  <c r="AA688" i="1" a="1"/>
  <c r="AA688" i="1" s="1"/>
  <c r="AA689" i="1" a="1"/>
  <c r="AA689" i="1" s="1"/>
  <c r="AA690" i="1" a="1"/>
  <c r="AA690" i="1" s="1"/>
  <c r="AA691" i="1" a="1"/>
  <c r="AA691" i="1" s="1"/>
  <c r="AA692" i="1" a="1"/>
  <c r="AA692" i="1" s="1"/>
  <c r="AA693" i="1" a="1"/>
  <c r="AA693" i="1" s="1"/>
  <c r="AA694" i="1" a="1"/>
  <c r="AA694" i="1" s="1"/>
  <c r="AA695" i="1" a="1"/>
  <c r="AA695" i="1" s="1"/>
  <c r="AA696" i="1" a="1"/>
  <c r="AA696" i="1" s="1"/>
  <c r="AA697" i="1" a="1"/>
  <c r="AA697" i="1" s="1"/>
  <c r="AA698" i="1" a="1"/>
  <c r="AA698" i="1" s="1"/>
  <c r="AA699" i="1" a="1"/>
  <c r="AA699" i="1" s="1"/>
  <c r="AA700" i="1" a="1"/>
  <c r="AA700" i="1" s="1"/>
  <c r="AA701" i="1" a="1"/>
  <c r="AA701" i="1" s="1"/>
  <c r="AA702" i="1" a="1"/>
  <c r="AA702" i="1" s="1"/>
  <c r="AA703" i="1" a="1"/>
  <c r="AA703" i="1" s="1"/>
  <c r="AA705" i="1" a="1"/>
  <c r="AA705" i="1" s="1"/>
  <c r="AA706" i="1" a="1"/>
  <c r="AA706" i="1" s="1"/>
  <c r="AA707" i="1" a="1"/>
  <c r="AA707" i="1" s="1"/>
  <c r="AA708" i="1" a="1"/>
  <c r="AA708" i="1" s="1"/>
  <c r="AA709" i="1" a="1"/>
  <c r="AA709" i="1" s="1"/>
  <c r="AA710" i="1" a="1"/>
  <c r="AA710" i="1" s="1"/>
  <c r="AA711" i="1" a="1"/>
  <c r="AA711" i="1" s="1"/>
  <c r="AA712" i="1" a="1"/>
  <c r="AA712" i="1" s="1"/>
  <c r="AA713" i="1" a="1"/>
  <c r="AA713" i="1" s="1"/>
  <c r="AA714" i="1" a="1"/>
  <c r="AA714" i="1" s="1"/>
  <c r="AA715" i="1" a="1"/>
  <c r="AA715" i="1" s="1"/>
  <c r="AA716" i="1" a="1"/>
  <c r="AA716" i="1" s="1"/>
  <c r="AA717" i="1" a="1"/>
  <c r="AA717" i="1" s="1"/>
  <c r="AA718" i="1" a="1"/>
  <c r="AA718" i="1" s="1"/>
  <c r="AA719" i="1" a="1"/>
  <c r="AA719" i="1" s="1"/>
  <c r="AA720" i="1" a="1"/>
  <c r="AA720" i="1" s="1"/>
  <c r="AA721" i="1" a="1"/>
  <c r="AA721" i="1" s="1"/>
  <c r="AA722" i="1" a="1"/>
  <c r="AA722" i="1" s="1"/>
  <c r="AA723" i="1" a="1"/>
  <c r="AA723" i="1" s="1"/>
  <c r="AA724" i="1" a="1"/>
  <c r="AA724" i="1" s="1"/>
  <c r="AA725" i="1" a="1"/>
  <c r="AA725" i="1" s="1"/>
  <c r="AA726" i="1" a="1"/>
  <c r="AA726" i="1" s="1"/>
  <c r="AA727" i="1" a="1"/>
  <c r="AA727" i="1" s="1"/>
  <c r="AA728" i="1" a="1"/>
  <c r="AA728" i="1" s="1"/>
  <c r="AA729" i="1" a="1"/>
  <c r="AA729" i="1" s="1"/>
  <c r="AA730" i="1" a="1"/>
  <c r="AA730" i="1" s="1"/>
  <c r="AA731" i="1" a="1"/>
  <c r="AA731" i="1" s="1"/>
  <c r="AA732" i="1" a="1"/>
  <c r="AA732" i="1" s="1"/>
  <c r="AA733" i="1" a="1"/>
  <c r="AA733" i="1" s="1"/>
  <c r="AA734" i="1" a="1"/>
  <c r="AA734" i="1" s="1"/>
  <c r="AA735" i="1" a="1"/>
  <c r="AA735" i="1" s="1"/>
  <c r="AA736" i="1" a="1"/>
  <c r="AA736" i="1" s="1"/>
  <c r="AA737" i="1" a="1"/>
  <c r="AA737" i="1" s="1"/>
  <c r="AA738" i="1" a="1"/>
  <c r="AA738" i="1" s="1"/>
  <c r="AA739" i="1" a="1"/>
  <c r="AA739" i="1" s="1"/>
  <c r="AA740" i="1" a="1"/>
  <c r="AA740" i="1" s="1"/>
  <c r="AA741" i="1" a="1"/>
  <c r="AA741" i="1" s="1"/>
  <c r="AA742" i="1" a="1"/>
  <c r="AA742" i="1" s="1"/>
  <c r="AA743" i="1" a="1"/>
  <c r="AA743" i="1" s="1"/>
  <c r="AA744" i="1" a="1"/>
  <c r="AA744" i="1" s="1"/>
  <c r="AA745" i="1" a="1"/>
  <c r="AA745" i="1" s="1"/>
  <c r="AA746" i="1" a="1"/>
  <c r="AA746" i="1" s="1"/>
  <c r="AA747" i="1" a="1"/>
  <c r="AA747" i="1" s="1"/>
  <c r="AA748" i="1" a="1"/>
  <c r="AA748" i="1" s="1"/>
  <c r="AA749" i="1" a="1"/>
  <c r="AA749" i="1" s="1"/>
  <c r="AA750" i="1" a="1"/>
  <c r="AA750" i="1" s="1"/>
  <c r="AA751" i="1" a="1"/>
  <c r="AA751" i="1" s="1"/>
  <c r="AA752" i="1" a="1"/>
  <c r="AA752" i="1" s="1"/>
  <c r="AA753" i="1" a="1"/>
  <c r="AA753" i="1" s="1"/>
  <c r="AA754" i="1" a="1"/>
  <c r="AA754" i="1" s="1"/>
  <c r="AA755" i="1" a="1"/>
  <c r="AA755" i="1" s="1"/>
  <c r="AA756" i="1" a="1"/>
  <c r="AA756" i="1" s="1"/>
  <c r="AA757" i="1" a="1"/>
  <c r="AA757" i="1" s="1"/>
  <c r="AA758" i="1" a="1"/>
  <c r="AA758" i="1" s="1"/>
  <c r="AA759" i="1" a="1"/>
  <c r="AA759" i="1" s="1"/>
  <c r="AA760" i="1" a="1"/>
  <c r="AA760" i="1" s="1"/>
  <c r="AA761" i="1" a="1"/>
  <c r="AA761" i="1" s="1"/>
  <c r="AA762" i="1" a="1"/>
  <c r="AA762" i="1" s="1"/>
  <c r="AA763" i="1" a="1"/>
  <c r="AA763" i="1" s="1"/>
  <c r="AA764" i="1" a="1"/>
  <c r="AA764" i="1" s="1"/>
  <c r="AA765" i="1" a="1"/>
  <c r="AA765" i="1" s="1"/>
  <c r="AA766" i="1" a="1"/>
  <c r="AA766" i="1" s="1"/>
  <c r="AA767" i="1" a="1"/>
  <c r="AA767" i="1" s="1"/>
  <c r="AA768" i="1" a="1"/>
  <c r="AA768" i="1" s="1"/>
  <c r="AA769" i="1" a="1"/>
  <c r="AA769" i="1" s="1"/>
  <c r="AA770" i="1" a="1"/>
  <c r="AA770" i="1" s="1"/>
  <c r="AA771" i="1" a="1"/>
  <c r="AA771" i="1" s="1"/>
  <c r="AA772" i="1" a="1"/>
  <c r="AA772" i="1" s="1"/>
  <c r="AA773" i="1" a="1"/>
  <c r="AA773" i="1" s="1"/>
  <c r="AA774" i="1" a="1"/>
  <c r="AA774" i="1" s="1"/>
  <c r="AA775" i="1" a="1"/>
  <c r="AA775" i="1" s="1"/>
  <c r="AA776" i="1" a="1"/>
  <c r="AA776" i="1" s="1"/>
  <c r="AA777" i="1" a="1"/>
  <c r="AA777" i="1" s="1"/>
  <c r="AA778" i="1" a="1"/>
  <c r="AA778" i="1" s="1"/>
  <c r="AA779" i="1" a="1"/>
  <c r="AA779" i="1" s="1"/>
  <c r="AA780" i="1" a="1"/>
  <c r="AA780" i="1" s="1"/>
  <c r="AA781" i="1" a="1"/>
  <c r="AA781" i="1" s="1"/>
  <c r="AA782" i="1" a="1"/>
  <c r="AA782" i="1" s="1"/>
  <c r="AA783" i="1" a="1"/>
  <c r="AA783" i="1" s="1"/>
  <c r="AA784" i="1" a="1"/>
  <c r="AA784" i="1" s="1"/>
  <c r="AA785" i="1" a="1"/>
  <c r="AA785" i="1" s="1"/>
  <c r="AA786" i="1" a="1"/>
  <c r="AA786" i="1" s="1"/>
  <c r="AA787" i="1" a="1"/>
  <c r="AA787" i="1" s="1"/>
  <c r="AA788" i="1" a="1"/>
  <c r="AA788" i="1" s="1"/>
  <c r="AA789" i="1" a="1"/>
  <c r="AA789" i="1" s="1"/>
  <c r="AA790" i="1" a="1"/>
  <c r="AA790" i="1" s="1"/>
  <c r="AA791" i="1" a="1"/>
  <c r="AA791" i="1" s="1"/>
  <c r="AA792" i="1" a="1"/>
  <c r="AA792" i="1" s="1"/>
  <c r="AA793" i="1" a="1"/>
  <c r="AA793" i="1" s="1"/>
  <c r="AA794" i="1" a="1"/>
  <c r="AA794" i="1" s="1"/>
  <c r="AA795" i="1" a="1"/>
  <c r="AA795" i="1" s="1"/>
  <c r="AA796" i="1" a="1"/>
  <c r="AA796" i="1" s="1"/>
  <c r="AA797" i="1" a="1"/>
  <c r="AA797" i="1" s="1"/>
  <c r="AA798" i="1" a="1"/>
  <c r="AA798" i="1" s="1"/>
  <c r="AA799" i="1" a="1"/>
  <c r="AA799" i="1" s="1"/>
  <c r="AA800" i="1" a="1"/>
  <c r="AA800" i="1" s="1"/>
  <c r="AA801" i="1" a="1"/>
  <c r="AA801" i="1" s="1"/>
  <c r="AA802" i="1" a="1"/>
  <c r="AA802" i="1" s="1"/>
  <c r="AA803" i="1" a="1"/>
  <c r="AA803" i="1" s="1"/>
  <c r="AA804" i="1" a="1"/>
  <c r="AA804" i="1" s="1"/>
  <c r="AA805" i="1" a="1"/>
  <c r="AA805" i="1" s="1"/>
  <c r="AA806" i="1" a="1"/>
  <c r="AA806" i="1" s="1"/>
  <c r="AA807" i="1" a="1"/>
  <c r="AA807" i="1" s="1"/>
  <c r="AA808" i="1" a="1"/>
  <c r="AA808" i="1" s="1"/>
  <c r="AA809" i="1" a="1"/>
  <c r="AA809" i="1" s="1"/>
  <c r="AA810" i="1" a="1"/>
  <c r="AA810" i="1" s="1"/>
  <c r="AA811" i="1" a="1"/>
  <c r="AA811" i="1" s="1"/>
  <c r="AA812" i="1" a="1"/>
  <c r="AA812" i="1" s="1"/>
  <c r="AA813" i="1" a="1"/>
  <c r="AA813" i="1" s="1"/>
  <c r="AA814" i="1" a="1"/>
  <c r="AA814" i="1" s="1"/>
  <c r="AA815" i="1" a="1"/>
  <c r="AA815" i="1" s="1"/>
  <c r="AA816" i="1" a="1"/>
  <c r="AA816" i="1" s="1"/>
  <c r="AA817" i="1" a="1"/>
  <c r="AA817" i="1" s="1"/>
  <c r="AA818" i="1" a="1"/>
  <c r="AA818" i="1" s="1"/>
  <c r="AA819" i="1" a="1"/>
  <c r="AA819" i="1" s="1"/>
  <c r="AA820" i="1" a="1"/>
  <c r="AA820" i="1" s="1"/>
  <c r="AA821" i="1" a="1"/>
  <c r="AA821" i="1" s="1"/>
  <c r="AA822" i="1" a="1"/>
  <c r="AA822" i="1" s="1"/>
  <c r="AA823" i="1" a="1"/>
  <c r="AA823" i="1" s="1"/>
  <c r="AA824" i="1" a="1"/>
  <c r="AA824" i="1" s="1"/>
  <c r="AA825" i="1" a="1"/>
  <c r="AA825" i="1" s="1"/>
  <c r="AA826" i="1" a="1"/>
  <c r="AA826" i="1" s="1"/>
  <c r="AA827" i="1" a="1"/>
  <c r="AA827" i="1" s="1"/>
  <c r="AA828" i="1" a="1"/>
  <c r="AA828" i="1" s="1"/>
  <c r="AA829" i="1" a="1"/>
  <c r="AA829" i="1" s="1"/>
  <c r="AA830" i="1" a="1"/>
  <c r="AA830" i="1" s="1"/>
  <c r="AA831" i="1" a="1"/>
  <c r="AA831" i="1" s="1"/>
  <c r="AA832" i="1" a="1"/>
  <c r="AA832" i="1" s="1"/>
  <c r="AA833" i="1" a="1"/>
  <c r="AA833" i="1" s="1"/>
  <c r="AA835" i="1" a="1"/>
  <c r="AA835" i="1" s="1"/>
  <c r="AA836" i="1" a="1"/>
  <c r="AA836" i="1" s="1"/>
  <c r="AA837" i="1" a="1"/>
  <c r="AA837" i="1" s="1"/>
  <c r="AA838" i="1" a="1"/>
  <c r="AA838" i="1" s="1"/>
  <c r="AA839" i="1" a="1"/>
  <c r="AA839" i="1" s="1"/>
  <c r="AA840" i="1" a="1"/>
  <c r="AA840" i="1" s="1"/>
  <c r="AA841" i="1" a="1"/>
  <c r="AA841" i="1" s="1"/>
  <c r="AA842" i="1" a="1"/>
  <c r="AA842" i="1" s="1"/>
  <c r="AA843" i="1" a="1"/>
  <c r="AA843" i="1" s="1"/>
  <c r="AA844" i="1" a="1"/>
  <c r="AA844" i="1" s="1"/>
  <c r="AA845" i="1" a="1"/>
  <c r="AA845" i="1" s="1"/>
  <c r="AA846" i="1" a="1"/>
  <c r="AA846" i="1" s="1"/>
  <c r="AA847" i="1" a="1"/>
  <c r="AA847" i="1" s="1"/>
  <c r="AA848" i="1" a="1"/>
  <c r="AA848" i="1" s="1"/>
  <c r="AA849" i="1" a="1"/>
  <c r="AA849" i="1" s="1"/>
  <c r="AA850" i="1" a="1"/>
  <c r="AA850" i="1" s="1"/>
  <c r="AA851" i="1" a="1"/>
  <c r="AA851" i="1" s="1"/>
  <c r="AA852" i="1" a="1"/>
  <c r="AA852" i="1" s="1"/>
  <c r="AA853" i="1" a="1"/>
  <c r="AA853" i="1" s="1"/>
  <c r="AA854" i="1" a="1"/>
  <c r="AA854" i="1" s="1"/>
  <c r="AA855" i="1" a="1"/>
  <c r="AA855" i="1" s="1"/>
  <c r="AA856" i="1" a="1"/>
  <c r="AA856" i="1" s="1"/>
  <c r="AA857" i="1" a="1"/>
  <c r="AA857" i="1" s="1"/>
  <c r="AA858" i="1" a="1"/>
  <c r="AA858" i="1" s="1"/>
  <c r="AA859" i="1" a="1"/>
  <c r="AA859" i="1" s="1"/>
  <c r="AA860" i="1" a="1"/>
  <c r="AA860" i="1"/>
  <c r="AA861" i="1" a="1"/>
  <c r="AA861" i="1" s="1"/>
  <c r="AA862" i="1" a="1"/>
  <c r="AA862" i="1" s="1"/>
  <c r="AA863" i="1" a="1"/>
  <c r="AA863" i="1" s="1"/>
  <c r="AA864" i="1" a="1"/>
  <c r="AA864" i="1" s="1"/>
  <c r="AA865" i="1" a="1"/>
  <c r="AA865" i="1" s="1"/>
  <c r="AA866" i="1" a="1"/>
  <c r="AA866" i="1" s="1"/>
  <c r="AA867" i="1" a="1"/>
  <c r="AA867" i="1" s="1"/>
  <c r="AA868" i="1" a="1"/>
  <c r="AA868" i="1" s="1"/>
  <c r="AA869" i="1" a="1"/>
  <c r="AA869" i="1" s="1"/>
  <c r="AA870" i="1" a="1"/>
  <c r="AA870" i="1"/>
  <c r="AA871" i="1" a="1"/>
  <c r="AA871" i="1" s="1"/>
  <c r="AA872" i="1" a="1"/>
  <c r="AA872" i="1" s="1"/>
  <c r="AA873" i="1" a="1"/>
  <c r="AA873" i="1" s="1"/>
  <c r="AA874" i="1" a="1"/>
  <c r="AA874" i="1" s="1"/>
  <c r="AA875" i="1" a="1"/>
  <c r="AA875" i="1" s="1"/>
  <c r="AA876" i="1" a="1"/>
  <c r="AA876" i="1" s="1"/>
  <c r="AA877" i="1" a="1"/>
  <c r="AA877" i="1" s="1"/>
  <c r="AA878" i="1" a="1"/>
  <c r="AA878" i="1" s="1"/>
  <c r="AA879" i="1" a="1"/>
  <c r="AA879" i="1" s="1"/>
  <c r="AA880" i="1" a="1"/>
  <c r="AA880" i="1" s="1"/>
  <c r="AA881" i="1" a="1"/>
  <c r="AA881" i="1"/>
  <c r="AA882" i="1" a="1"/>
  <c r="AA882" i="1" s="1"/>
  <c r="AA883" i="1" a="1"/>
  <c r="AA883" i="1" s="1"/>
  <c r="AA884" i="1" a="1"/>
  <c r="AA884" i="1" s="1"/>
  <c r="AA885" i="1" a="1"/>
  <c r="AA885" i="1" s="1"/>
  <c r="AA886" i="1" a="1"/>
  <c r="AA886" i="1" s="1"/>
  <c r="AA887" i="1" a="1"/>
  <c r="AA887" i="1" s="1"/>
  <c r="AA888" i="1" a="1"/>
  <c r="AA888" i="1" s="1"/>
  <c r="AA889" i="1" a="1"/>
  <c r="AA889" i="1" s="1"/>
  <c r="AA890" i="1" a="1"/>
  <c r="AA890" i="1" s="1"/>
  <c r="AA891" i="1" a="1"/>
  <c r="AA891" i="1" s="1"/>
  <c r="AA892" i="1" a="1"/>
  <c r="AA892" i="1" s="1"/>
  <c r="AA893" i="1" a="1"/>
  <c r="AA893" i="1" s="1"/>
  <c r="AA894" i="1" a="1"/>
  <c r="AA894" i="1" s="1"/>
  <c r="AA895" i="1" a="1"/>
  <c r="AA895" i="1" s="1"/>
  <c r="AA896" i="1" a="1"/>
  <c r="AA896" i="1" s="1"/>
  <c r="AA897" i="1" a="1"/>
  <c r="AA897" i="1" s="1"/>
  <c r="AA898" i="1" a="1"/>
  <c r="AA898" i="1" s="1"/>
  <c r="AA899" i="1" a="1"/>
  <c r="AA899" i="1" s="1"/>
  <c r="AA900" i="1" a="1"/>
  <c r="AA900" i="1" s="1"/>
  <c r="AA901" i="1" a="1"/>
  <c r="AA901" i="1" s="1"/>
  <c r="AA902" i="1" a="1"/>
  <c r="AA902" i="1" s="1"/>
  <c r="AA903" i="1" a="1"/>
  <c r="AA903" i="1" s="1"/>
  <c r="AA904" i="1" a="1"/>
  <c r="AA904" i="1" s="1"/>
  <c r="AA905" i="1" a="1"/>
  <c r="AA905" i="1" s="1"/>
  <c r="AA906" i="1" a="1"/>
  <c r="AA906" i="1" s="1"/>
  <c r="AA907" i="1" a="1"/>
  <c r="AA907" i="1" s="1"/>
  <c r="AA908" i="1" a="1"/>
  <c r="AA908" i="1" s="1"/>
  <c r="AA909" i="1" a="1"/>
  <c r="AA909" i="1" s="1"/>
  <c r="AA910" i="1" a="1"/>
  <c r="AA910" i="1" s="1"/>
  <c r="AA911" i="1" a="1"/>
  <c r="AA911" i="1" s="1"/>
  <c r="AA912" i="1" a="1"/>
  <c r="AA912" i="1" s="1"/>
  <c r="AA913" i="1" a="1"/>
  <c r="AA913" i="1" s="1"/>
  <c r="AA914" i="1" a="1"/>
  <c r="AA914" i="1" s="1"/>
  <c r="AA915" i="1" a="1"/>
  <c r="AA915" i="1" s="1"/>
  <c r="AA916" i="1" a="1"/>
  <c r="AA916" i="1" s="1"/>
  <c r="AA917" i="1" a="1"/>
  <c r="AA917" i="1" s="1"/>
  <c r="AA918" i="1" a="1"/>
  <c r="AA918" i="1" s="1"/>
  <c r="AA919" i="1" a="1"/>
  <c r="AA919" i="1" s="1"/>
  <c r="AA920" i="1" a="1"/>
  <c r="AA920" i="1" s="1"/>
  <c r="AA921" i="1" a="1"/>
  <c r="AA921" i="1" s="1"/>
  <c r="AA922" i="1" a="1"/>
  <c r="AA922" i="1" s="1"/>
  <c r="AA923" i="1" a="1"/>
  <c r="AA923" i="1" s="1"/>
  <c r="AA924" i="1" a="1"/>
  <c r="AA924" i="1" s="1"/>
  <c r="AA925" i="1" a="1"/>
  <c r="AA925" i="1" s="1"/>
  <c r="AA926" i="1" a="1"/>
  <c r="AA926" i="1"/>
  <c r="AA927" i="1" a="1"/>
  <c r="AA927" i="1" s="1"/>
  <c r="AA928" i="1" a="1"/>
  <c r="AA928" i="1" s="1"/>
  <c r="AA929" i="1" a="1"/>
  <c r="AA929" i="1" s="1"/>
  <c r="AA930" i="1" a="1"/>
  <c r="AA930" i="1" s="1"/>
  <c r="AA931" i="1" a="1"/>
  <c r="AA931" i="1" s="1"/>
  <c r="AA932" i="1" a="1"/>
  <c r="AA932" i="1" s="1"/>
  <c r="AA933" i="1" a="1"/>
  <c r="AA933" i="1" s="1"/>
  <c r="AA934" i="1" a="1"/>
  <c r="AA934" i="1" s="1"/>
  <c r="AA935" i="1" a="1"/>
  <c r="AA935" i="1" s="1"/>
  <c r="AA936" i="1" a="1"/>
  <c r="AA936" i="1" s="1"/>
  <c r="AA937" i="1" a="1"/>
  <c r="AA937" i="1" s="1"/>
  <c r="AA938" i="1" a="1"/>
  <c r="AA938" i="1" s="1"/>
  <c r="AA939" i="1" a="1"/>
  <c r="AA939" i="1" s="1"/>
  <c r="AA940" i="1" a="1"/>
  <c r="AA940" i="1" s="1"/>
  <c r="AA941" i="1" a="1"/>
  <c r="AA941" i="1" s="1"/>
  <c r="AA942" i="1" a="1"/>
  <c r="AA942" i="1" s="1"/>
  <c r="AA943" i="1" a="1"/>
  <c r="AA943" i="1" s="1"/>
  <c r="AA944" i="1" a="1"/>
  <c r="AA944" i="1" s="1"/>
  <c r="AA945" i="1" a="1"/>
  <c r="AA945" i="1" s="1"/>
  <c r="AA946" i="1" a="1"/>
  <c r="AA946" i="1" s="1"/>
  <c r="AA947" i="1" a="1"/>
  <c r="AA947" i="1" s="1"/>
  <c r="AA948" i="1" a="1"/>
  <c r="AA948" i="1"/>
  <c r="AA949" i="1" a="1"/>
  <c r="AA949" i="1" s="1"/>
  <c r="AA950" i="1" a="1"/>
  <c r="AA950" i="1" s="1"/>
  <c r="AA951" i="1" a="1"/>
  <c r="AA951" i="1" s="1"/>
  <c r="AA952" i="1" a="1"/>
  <c r="AA952" i="1" s="1"/>
  <c r="AA953" i="1" a="1"/>
  <c r="AA953" i="1" s="1"/>
  <c r="AA954" i="1" a="1"/>
  <c r="AA954" i="1" s="1"/>
  <c r="AA955" i="1" a="1"/>
  <c r="AA955" i="1" s="1"/>
  <c r="AA956" i="1" a="1"/>
  <c r="AA956" i="1"/>
  <c r="AA957" i="1" a="1"/>
  <c r="AA957" i="1"/>
  <c r="AA958" i="1" a="1"/>
  <c r="AA958" i="1" s="1"/>
  <c r="AA959" i="1" a="1"/>
  <c r="AA959" i="1" s="1"/>
  <c r="AA960" i="1" a="1"/>
  <c r="AA960" i="1" s="1"/>
  <c r="AA961" i="1" a="1"/>
  <c r="AA961" i="1" s="1"/>
  <c r="AA963" i="1" a="1"/>
  <c r="AA963" i="1" s="1"/>
  <c r="AA964" i="1" a="1"/>
  <c r="AA964" i="1" s="1"/>
  <c r="AA965" i="1" a="1"/>
  <c r="AA965" i="1" s="1"/>
  <c r="AA966" i="1" a="1"/>
  <c r="AA966" i="1" s="1"/>
  <c r="AA967" i="1" a="1"/>
  <c r="AA967" i="1" s="1"/>
  <c r="AA968" i="1" a="1"/>
  <c r="AA968" i="1" s="1"/>
  <c r="AA969" i="1" a="1"/>
  <c r="AA969" i="1" s="1"/>
  <c r="AA970" i="1" a="1"/>
  <c r="AA970" i="1" s="1"/>
  <c r="AA971" i="1" a="1"/>
  <c r="AA971" i="1" s="1"/>
  <c r="AA972" i="1" a="1"/>
  <c r="AA972" i="1" s="1"/>
  <c r="AA973" i="1" a="1"/>
  <c r="AA973" i="1" s="1"/>
  <c r="AA974" i="1" a="1"/>
  <c r="AA974" i="1" s="1"/>
  <c r="AA975" i="1" a="1"/>
  <c r="AA975" i="1" s="1"/>
  <c r="AA976" i="1" a="1"/>
  <c r="AA976" i="1" s="1"/>
  <c r="AA977" i="1" a="1"/>
  <c r="AA977" i="1" s="1"/>
  <c r="AA978" i="1" a="1"/>
  <c r="AA978" i="1" s="1"/>
  <c r="AA979" i="1" a="1"/>
  <c r="AA979" i="1" s="1"/>
  <c r="AA980" i="1" a="1"/>
  <c r="AA980" i="1"/>
  <c r="AA981" i="1" a="1"/>
  <c r="AA981" i="1" s="1"/>
  <c r="AA982" i="1" a="1"/>
  <c r="AA982" i="1" s="1"/>
  <c r="AA983" i="1" a="1"/>
  <c r="AA983" i="1" s="1"/>
  <c r="AA984" i="1" a="1"/>
  <c r="AA984" i="1" s="1"/>
  <c r="AA985" i="1" a="1"/>
  <c r="AA985" i="1" s="1"/>
  <c r="AA986" i="1" a="1"/>
  <c r="AA986" i="1" s="1"/>
  <c r="AA987" i="1" a="1"/>
  <c r="AA987" i="1" s="1"/>
  <c r="AA988" i="1" a="1"/>
  <c r="AA988" i="1" s="1"/>
  <c r="AA989" i="1" a="1"/>
  <c r="AA989" i="1" s="1"/>
  <c r="AA990" i="1" a="1"/>
  <c r="AA990" i="1" s="1"/>
  <c r="AA991" i="1" a="1"/>
  <c r="AA991" i="1" s="1"/>
  <c r="AA992" i="1" a="1"/>
  <c r="AA992" i="1" s="1"/>
  <c r="AA993" i="1" a="1"/>
  <c r="AA993" i="1" s="1"/>
  <c r="AA994" i="1" a="1"/>
  <c r="AA994" i="1" s="1"/>
  <c r="AA995" i="1" a="1"/>
  <c r="AA995" i="1" s="1"/>
  <c r="AA996" i="1" a="1"/>
  <c r="AA996" i="1" s="1"/>
  <c r="AA997" i="1" a="1"/>
  <c r="AA997" i="1" s="1"/>
  <c r="AA998" i="1" a="1"/>
  <c r="AA998" i="1" s="1"/>
  <c r="AA999" i="1" a="1"/>
  <c r="AA999" i="1" s="1"/>
  <c r="AA1000" i="1" a="1"/>
  <c r="AA1000" i="1" s="1"/>
  <c r="AA1001" i="1" a="1"/>
  <c r="AA1001" i="1" s="1"/>
  <c r="AA1002" i="1" a="1"/>
  <c r="AA1002" i="1" s="1"/>
  <c r="AA1003" i="1" a="1"/>
  <c r="AA1003" i="1" s="1"/>
  <c r="AA1004" i="1" a="1"/>
  <c r="AA1004" i="1" s="1"/>
  <c r="AA1005" i="1" a="1"/>
  <c r="AA1005" i="1" s="1"/>
  <c r="AA1006" i="1" a="1"/>
  <c r="AA1006" i="1" s="1"/>
  <c r="AA1007" i="1" a="1"/>
  <c r="AA1007" i="1" s="1"/>
  <c r="AA1008" i="1" a="1"/>
  <c r="AA1008" i="1" s="1"/>
  <c r="AA1009" i="1" a="1"/>
  <c r="AA1009" i="1" s="1"/>
  <c r="AA1010" i="1" a="1"/>
  <c r="AA1010" i="1" s="1"/>
  <c r="AA1011" i="1" a="1"/>
  <c r="AA1011" i="1"/>
  <c r="AA1012" i="1" a="1"/>
  <c r="AA1012" i="1" s="1"/>
  <c r="AA1013" i="1" a="1"/>
  <c r="AA1013" i="1" s="1"/>
  <c r="AA1014" i="1" a="1"/>
  <c r="AA1014" i="1" s="1"/>
  <c r="AA1015" i="1" a="1"/>
  <c r="AA1015" i="1" s="1"/>
  <c r="AA1016" i="1" a="1"/>
  <c r="AA1016" i="1" s="1"/>
  <c r="AA1017" i="1" a="1"/>
  <c r="AA1017" i="1" s="1"/>
  <c r="AA1018" i="1" a="1"/>
  <c r="AA1018" i="1" s="1"/>
  <c r="AA1019" i="1" a="1"/>
  <c r="AA1019" i="1" s="1"/>
  <c r="AA1020" i="1" a="1"/>
  <c r="AA1020" i="1"/>
  <c r="AA1021" i="1" a="1"/>
  <c r="AA1021" i="1" s="1"/>
  <c r="AA1022" i="1" a="1"/>
  <c r="AA1022" i="1" s="1"/>
  <c r="AA1023" i="1" a="1"/>
  <c r="AA1023" i="1" s="1"/>
  <c r="AA1024" i="1" a="1"/>
  <c r="AA1024" i="1" s="1"/>
  <c r="AA1025" i="1" a="1"/>
  <c r="AA1025" i="1" s="1"/>
  <c r="AA1026" i="1" a="1"/>
  <c r="AA1026" i="1" s="1"/>
  <c r="AA1027" i="1" a="1"/>
  <c r="AA1027" i="1" s="1"/>
  <c r="AA1028" i="1" a="1"/>
  <c r="AA1028" i="1" s="1"/>
  <c r="AA1029" i="1" a="1"/>
  <c r="AA1029" i="1" s="1"/>
  <c r="AA1030" i="1" a="1"/>
  <c r="AA1030" i="1" s="1"/>
  <c r="AA1031" i="1" a="1"/>
  <c r="AA1031" i="1" s="1"/>
  <c r="AA1032" i="1" a="1"/>
  <c r="AA1032" i="1" s="1"/>
  <c r="AA1033" i="1" a="1"/>
  <c r="AA1033" i="1" s="1"/>
  <c r="AA1034" i="1" a="1"/>
  <c r="AA1034" i="1" s="1"/>
  <c r="AA1035" i="1" a="1"/>
  <c r="AA1035" i="1" s="1"/>
  <c r="AA1036" i="1" a="1"/>
  <c r="AA1036" i="1" s="1"/>
  <c r="AA1037" i="1" a="1"/>
  <c r="AA1037" i="1" s="1"/>
  <c r="AA1038" i="1" a="1"/>
  <c r="AA1038" i="1" s="1"/>
  <c r="AA1039" i="1" a="1"/>
  <c r="AA1039" i="1" s="1"/>
  <c r="AA1040" i="1" a="1"/>
  <c r="AA1040" i="1" s="1"/>
  <c r="AA1041" i="1" a="1"/>
  <c r="AA1041" i="1" s="1"/>
  <c r="AA1042" i="1" a="1"/>
  <c r="AA1042" i="1" s="1"/>
  <c r="AA1043" i="1" a="1"/>
  <c r="AA1043" i="1" s="1"/>
  <c r="AA1044" i="1" a="1"/>
  <c r="AA1044" i="1" s="1"/>
  <c r="AA1045" i="1" a="1"/>
  <c r="AA1045" i="1" s="1"/>
  <c r="AA1046" i="1" a="1"/>
  <c r="AA1046" i="1" s="1"/>
  <c r="AA1047" i="1" a="1"/>
  <c r="AA1047" i="1" s="1"/>
  <c r="AA1048" i="1" a="1"/>
  <c r="AA1048" i="1" s="1"/>
  <c r="AA1049" i="1" a="1"/>
  <c r="AA1049" i="1"/>
  <c r="AA1050" i="1" a="1"/>
  <c r="AA1050" i="1" s="1"/>
  <c r="AA1051" i="1" a="1"/>
  <c r="AA1051" i="1" s="1"/>
  <c r="AA1052" i="1" a="1"/>
  <c r="AA1052" i="1" s="1"/>
  <c r="AA1053" i="1" a="1"/>
  <c r="AA1053" i="1" s="1"/>
  <c r="AA1054" i="1" a="1"/>
  <c r="AA1054" i="1" s="1"/>
  <c r="AA1055" i="1" a="1"/>
  <c r="AA1055" i="1" s="1"/>
  <c r="AA1056" i="1" a="1"/>
  <c r="AA1056" i="1" s="1"/>
  <c r="AA1057" i="1" a="1"/>
  <c r="AA1057" i="1" s="1"/>
  <c r="AA1058" i="1" a="1"/>
  <c r="AA1058" i="1" s="1"/>
  <c r="AA1059" i="1" a="1"/>
  <c r="AA1059" i="1" s="1"/>
  <c r="AA1060" i="1" a="1"/>
  <c r="AA1060" i="1" s="1"/>
  <c r="AA1061" i="1" a="1"/>
  <c r="AA1061" i="1" s="1"/>
  <c r="AA1062" i="1" a="1"/>
  <c r="AA1062" i="1" s="1"/>
  <c r="AA1063" i="1" a="1"/>
  <c r="AA1063" i="1" s="1"/>
  <c r="AA1064" i="1" a="1"/>
  <c r="AA1064" i="1" s="1"/>
  <c r="AA1065" i="1" a="1"/>
  <c r="AA1065" i="1"/>
  <c r="AA1066" i="1" a="1"/>
  <c r="AA1066" i="1" s="1"/>
  <c r="AA1067" i="1" a="1"/>
  <c r="AA1067" i="1" s="1"/>
  <c r="AA1068" i="1" a="1"/>
  <c r="AA1068" i="1" s="1"/>
  <c r="AA1069" i="1" a="1"/>
  <c r="AA1069" i="1" s="1"/>
  <c r="AA1070" i="1" a="1"/>
  <c r="AA1070" i="1"/>
  <c r="AA1071" i="1" a="1"/>
  <c r="AA1071" i="1" s="1"/>
  <c r="AA1072" i="1" a="1"/>
  <c r="AA1072" i="1" s="1"/>
  <c r="AA1073" i="1" a="1"/>
  <c r="AA1073" i="1" s="1"/>
  <c r="AA1074" i="1" a="1"/>
  <c r="AA1074" i="1" s="1"/>
  <c r="AA1075" i="1" a="1"/>
  <c r="AA1075" i="1" s="1"/>
  <c r="AA1076" i="1" a="1"/>
  <c r="AA1076" i="1" s="1"/>
  <c r="AA1077" i="1" a="1"/>
  <c r="AA1077" i="1" s="1"/>
  <c r="AA1078" i="1" a="1"/>
  <c r="AA1078" i="1" s="1"/>
  <c r="AA1079" i="1" a="1"/>
  <c r="AA1079" i="1" s="1"/>
  <c r="AA1080" i="1" a="1"/>
  <c r="AA1080" i="1" s="1"/>
  <c r="AA1081" i="1" a="1"/>
  <c r="AA1081" i="1" s="1"/>
  <c r="AA1082" i="1" a="1"/>
  <c r="AA1082" i="1" s="1"/>
  <c r="AA1083" i="1" a="1"/>
  <c r="AA1083" i="1" s="1"/>
  <c r="AA1084" i="1" a="1"/>
  <c r="AA1084" i="1" s="1"/>
  <c r="AA1085" i="1" a="1"/>
  <c r="AA1085" i="1" s="1"/>
  <c r="AA1086" i="1" a="1"/>
  <c r="AA1086" i="1" s="1"/>
  <c r="AA1088" i="1" a="1"/>
  <c r="AA1088" i="1" s="1"/>
  <c r="AA1089" i="1" a="1"/>
  <c r="AA1089" i="1" s="1"/>
  <c r="AA1090" i="1" a="1"/>
  <c r="AA1090" i="1" s="1"/>
  <c r="AA1091" i="1" a="1"/>
  <c r="AA1091" i="1" s="1"/>
  <c r="AA1092" i="1" a="1"/>
  <c r="AA1092" i="1" s="1"/>
  <c r="AA1093" i="1" a="1"/>
  <c r="AA1093" i="1" s="1"/>
  <c r="AA1094" i="1" a="1"/>
  <c r="AA1094" i="1" s="1"/>
  <c r="AA1095" i="1" a="1"/>
  <c r="AA1095" i="1" s="1"/>
  <c r="AA1096" i="1" a="1"/>
  <c r="AA1096" i="1" s="1"/>
  <c r="AA1097" i="1" a="1"/>
  <c r="AA1097" i="1" s="1"/>
  <c r="AA1098" i="1" a="1"/>
  <c r="AA1098" i="1" s="1"/>
  <c r="AA1099" i="1" a="1"/>
  <c r="AA1099" i="1" s="1"/>
  <c r="AA1100" i="1" a="1"/>
  <c r="AA1100" i="1" s="1"/>
  <c r="AA1101" i="1" a="1"/>
  <c r="AA1101" i="1" s="1"/>
  <c r="AA1102" i="1" a="1"/>
  <c r="AA1102" i="1" s="1"/>
  <c r="AA1103" i="1" a="1"/>
  <c r="AA1103" i="1" s="1"/>
  <c r="AA1104" i="1" a="1"/>
  <c r="AA1104" i="1" s="1"/>
  <c r="AA1105" i="1" a="1"/>
  <c r="AA1105" i="1" s="1"/>
  <c r="AA1106" i="1" a="1"/>
  <c r="AA1106" i="1" s="1"/>
  <c r="AA1107" i="1" a="1"/>
  <c r="AA1107" i="1" s="1"/>
  <c r="AA1108" i="1" a="1"/>
  <c r="AA1108" i="1" s="1"/>
  <c r="AA1109" i="1" a="1"/>
  <c r="AA1109" i="1" s="1"/>
  <c r="AA1110" i="1" a="1"/>
  <c r="AA1110" i="1"/>
  <c r="AA1111" i="1" a="1"/>
  <c r="AA1111" i="1" s="1"/>
  <c r="AA1112" i="1" a="1"/>
  <c r="AA1112" i="1" s="1"/>
  <c r="AA1113" i="1" a="1"/>
  <c r="AA1113" i="1" s="1"/>
  <c r="AA1114" i="1" a="1"/>
  <c r="AA1114" i="1" s="1"/>
  <c r="AA1115" i="1" a="1"/>
  <c r="AA1115" i="1" s="1"/>
  <c r="AA1116" i="1" a="1"/>
  <c r="AA1116" i="1" s="1"/>
  <c r="AA1117" i="1" a="1"/>
  <c r="AA1117" i="1" s="1"/>
  <c r="AA1118" i="1" a="1"/>
  <c r="AA1118" i="1" s="1"/>
  <c r="AA1119" i="1" a="1"/>
  <c r="AA1119" i="1" s="1"/>
  <c r="AA1120" i="1" a="1"/>
  <c r="AA1120" i="1" s="1"/>
  <c r="AA1121" i="1" a="1"/>
  <c r="AA1121" i="1" s="1"/>
  <c r="AA1122" i="1" a="1"/>
  <c r="AA1122" i="1" s="1"/>
  <c r="AA1123" i="1" a="1"/>
  <c r="AA1123" i="1" s="1"/>
  <c r="AA1124" i="1" a="1"/>
  <c r="AA1124" i="1" s="1"/>
  <c r="AA1125" i="1" a="1"/>
  <c r="AA1125" i="1" s="1"/>
  <c r="AA1126" i="1" a="1"/>
  <c r="AA1126" i="1" s="1"/>
  <c r="AA1127" i="1" a="1"/>
  <c r="AA1127" i="1" s="1"/>
  <c r="AA1128" i="1" a="1"/>
  <c r="AA1128" i="1" s="1"/>
  <c r="AA1129" i="1" a="1"/>
  <c r="AA1129" i="1" s="1"/>
  <c r="AA1130" i="1" a="1"/>
  <c r="AA1130" i="1" s="1"/>
  <c r="AA1131" i="1" a="1"/>
  <c r="AA1131" i="1" s="1"/>
  <c r="AA1132" i="1" a="1"/>
  <c r="AA1132" i="1" s="1"/>
  <c r="AA1133" i="1" a="1"/>
  <c r="AA1133" i="1" s="1"/>
  <c r="AA1134" i="1" a="1"/>
  <c r="AA1134" i="1" s="1"/>
  <c r="AA1135" i="1" a="1"/>
  <c r="AA1135" i="1" s="1"/>
  <c r="AA1136" i="1" a="1"/>
  <c r="AA1136" i="1" s="1"/>
  <c r="AA1137" i="1" a="1"/>
  <c r="AA1137" i="1" s="1"/>
  <c r="AA1138" i="1" a="1"/>
  <c r="AA1138" i="1" s="1"/>
  <c r="AA1139" i="1" a="1"/>
  <c r="AA1139" i="1" s="1"/>
  <c r="AA1140" i="1" a="1"/>
  <c r="AA1140" i="1" s="1"/>
  <c r="AA1141" i="1" a="1"/>
  <c r="AA1141" i="1" s="1"/>
  <c r="AA1142" i="1" a="1"/>
  <c r="AA1142" i="1" s="1"/>
  <c r="AA1143" i="1" a="1"/>
  <c r="AA1143" i="1" s="1"/>
  <c r="AA1144" i="1" a="1"/>
  <c r="AA1144" i="1" s="1"/>
  <c r="AA1145" i="1" a="1"/>
  <c r="AA1145" i="1" s="1"/>
  <c r="AA1146" i="1" a="1"/>
  <c r="AA1146" i="1" s="1"/>
  <c r="AA1147" i="1" a="1"/>
  <c r="AA1147" i="1" s="1"/>
  <c r="AA1148" i="1" a="1"/>
  <c r="AA1148" i="1" s="1"/>
  <c r="AA1149" i="1" a="1"/>
  <c r="AA1149" i="1" s="1"/>
  <c r="AA1150" i="1" a="1"/>
  <c r="AA1150" i="1" s="1"/>
  <c r="AA1151" i="1" a="1"/>
  <c r="AA1151" i="1" s="1"/>
  <c r="AA1152" i="1" a="1"/>
  <c r="AA1152" i="1" s="1"/>
  <c r="AA1153" i="1" a="1"/>
  <c r="AA1153" i="1" s="1"/>
  <c r="AA1154" i="1" a="1"/>
  <c r="AA1154" i="1" s="1"/>
  <c r="AA1155" i="1" a="1"/>
  <c r="AA1155" i="1" s="1"/>
  <c r="AA1156" i="1" a="1"/>
  <c r="AA1156" i="1" s="1"/>
  <c r="AA1157" i="1" a="1"/>
  <c r="AA1157" i="1" s="1"/>
  <c r="AA1158" i="1" a="1"/>
  <c r="AA1158" i="1" s="1"/>
  <c r="AA1159" i="1" a="1"/>
  <c r="AA1159" i="1" s="1"/>
  <c r="AA1160" i="1" a="1"/>
  <c r="AA1160" i="1" s="1"/>
  <c r="AA1161" i="1" a="1"/>
  <c r="AA1161" i="1" s="1"/>
  <c r="AA1162" i="1" a="1"/>
  <c r="AA1162" i="1" s="1"/>
  <c r="AA1163" i="1" a="1"/>
  <c r="AA1163" i="1" s="1"/>
  <c r="AA1164" i="1" a="1"/>
  <c r="AA1164" i="1" s="1"/>
  <c r="AA1165" i="1" a="1"/>
  <c r="AA1165" i="1" s="1"/>
  <c r="AA1166" i="1" a="1"/>
  <c r="AA1166" i="1" s="1"/>
  <c r="AA1167" i="1" a="1"/>
  <c r="AA1167" i="1" s="1"/>
  <c r="AA1168" i="1" a="1"/>
  <c r="AA1168" i="1" s="1"/>
  <c r="AA1169" i="1" a="1"/>
  <c r="AA1169" i="1" s="1"/>
  <c r="AA1170" i="1" a="1"/>
  <c r="AA1170" i="1" s="1"/>
  <c r="AA1171" i="1" a="1"/>
  <c r="AA1171" i="1" s="1"/>
  <c r="AA1172" i="1" a="1"/>
  <c r="AA1172" i="1" s="1"/>
  <c r="AA1173" i="1" a="1"/>
  <c r="AA1173" i="1" s="1"/>
  <c r="AA1174" i="1" a="1"/>
  <c r="AA1174" i="1" s="1"/>
  <c r="AA1175" i="1" a="1"/>
  <c r="AA1175" i="1" s="1"/>
  <c r="AA1176" i="1" a="1"/>
  <c r="AA1176" i="1" s="1"/>
  <c r="AA1177" i="1" a="1"/>
  <c r="AA1177" i="1" s="1"/>
  <c r="AA1178" i="1" a="1"/>
  <c r="AA1178" i="1" s="1"/>
  <c r="AA1179" i="1" a="1"/>
  <c r="AA1179" i="1" s="1"/>
  <c r="AA1180" i="1" a="1"/>
  <c r="AA1180" i="1" s="1"/>
  <c r="AA1181" i="1" a="1"/>
  <c r="AA1181" i="1" s="1"/>
  <c r="AA1182" i="1" a="1"/>
  <c r="AA1182" i="1" s="1"/>
  <c r="AA1183" i="1" a="1"/>
  <c r="AA1183" i="1" s="1"/>
  <c r="AA1184" i="1" a="1"/>
  <c r="AA1184" i="1" s="1"/>
  <c r="AA1185" i="1" a="1"/>
  <c r="AA1185" i="1" s="1"/>
  <c r="AA1186" i="1" a="1"/>
  <c r="AA1186" i="1" s="1"/>
  <c r="AA1187" i="1" a="1"/>
  <c r="AA1187" i="1" s="1"/>
  <c r="AA1188" i="1" a="1"/>
  <c r="AA1188" i="1" s="1"/>
  <c r="AA1189" i="1" a="1"/>
  <c r="AA1189" i="1" s="1"/>
  <c r="AA1190" i="1" a="1"/>
  <c r="AA1190" i="1" s="1"/>
  <c r="AA1191" i="1" a="1"/>
  <c r="AA1191" i="1" s="1"/>
  <c r="AA1192" i="1" a="1"/>
  <c r="AA1192" i="1" s="1"/>
  <c r="AA1193" i="1" a="1"/>
  <c r="AA1193" i="1" s="1"/>
  <c r="AA1194" i="1" a="1"/>
  <c r="AA1194" i="1" s="1"/>
  <c r="AA1195" i="1" a="1"/>
  <c r="AA1195" i="1" s="1"/>
  <c r="AA1196" i="1" a="1"/>
  <c r="AA1196" i="1" s="1"/>
  <c r="AA1197" i="1" a="1"/>
  <c r="AA1197" i="1" s="1"/>
  <c r="AA1198" i="1" a="1"/>
  <c r="AA1198" i="1" s="1"/>
  <c r="AA1199" i="1" a="1"/>
  <c r="AA1199" i="1" s="1"/>
  <c r="AA1200" i="1" a="1"/>
  <c r="AA1200" i="1" s="1"/>
  <c r="AA1201" i="1" a="1"/>
  <c r="AA1201" i="1" s="1"/>
  <c r="AA1202" i="1" a="1"/>
  <c r="AA1202" i="1" s="1"/>
  <c r="AA1203" i="1" a="1"/>
  <c r="AA1203" i="1" s="1"/>
  <c r="AA1204" i="1" a="1"/>
  <c r="AA1204" i="1" s="1"/>
  <c r="AA1205" i="1" a="1"/>
  <c r="AA1205" i="1" s="1"/>
  <c r="AA1206" i="1" a="1"/>
  <c r="AA1206" i="1" s="1"/>
  <c r="AA1207" i="1" a="1"/>
  <c r="AA1207" i="1" s="1"/>
  <c r="AA1208" i="1" a="1"/>
  <c r="AA1208" i="1" s="1"/>
  <c r="AA1209" i="1" a="1"/>
  <c r="AA1209" i="1" s="1"/>
  <c r="AA1210" i="1" a="1"/>
  <c r="AA1210" i="1" s="1"/>
  <c r="AA1212" i="1" a="1"/>
  <c r="AA1212" i="1" s="1"/>
  <c r="AA1213" i="1" a="1"/>
  <c r="AA1213" i="1" s="1"/>
  <c r="AA1214" i="1" a="1"/>
  <c r="AA1214" i="1" s="1"/>
  <c r="AA1215" i="1" a="1"/>
  <c r="AA1215" i="1" s="1"/>
  <c r="AA1216" i="1" a="1"/>
  <c r="AA1216" i="1" s="1"/>
  <c r="AA1217" i="1" a="1"/>
  <c r="AA1217" i="1" s="1"/>
  <c r="AA1218" i="1" a="1"/>
  <c r="AA1218" i="1"/>
  <c r="AA1219" i="1" a="1"/>
  <c r="AA1219" i="1" s="1"/>
  <c r="AA1220" i="1" a="1"/>
  <c r="AA1220" i="1" s="1"/>
  <c r="AA1221" i="1" a="1"/>
  <c r="AA1221" i="1" s="1"/>
  <c r="AA1222" i="1" a="1"/>
  <c r="AA1222" i="1" s="1"/>
  <c r="AA1223" i="1" a="1"/>
  <c r="AA1223" i="1" s="1"/>
  <c r="AA1224" i="1" a="1"/>
  <c r="AA1224" i="1" s="1"/>
  <c r="AA1225" i="1" a="1"/>
  <c r="AA1225" i="1" s="1"/>
  <c r="AA1226" i="1" a="1"/>
  <c r="AA1226" i="1" s="1"/>
  <c r="AA1227" i="1" a="1"/>
  <c r="AA1227" i="1" s="1"/>
  <c r="AA1228" i="1" a="1"/>
  <c r="AA1228" i="1" s="1"/>
  <c r="AA1229" i="1" a="1"/>
  <c r="AA1229" i="1" s="1"/>
  <c r="AA1230" i="1" a="1"/>
  <c r="AA1230" i="1" s="1"/>
  <c r="AA1231" i="1" a="1"/>
  <c r="AA1231" i="1" s="1"/>
  <c r="AA1232" i="1" a="1"/>
  <c r="AA1232" i="1" s="1"/>
  <c r="AA1233" i="1" a="1"/>
  <c r="AA1233" i="1" s="1"/>
  <c r="AA1234" i="1" a="1"/>
  <c r="AA1234" i="1" s="1"/>
  <c r="AA1235" i="1" a="1"/>
  <c r="AA1235" i="1" s="1"/>
  <c r="AA1236" i="1" a="1"/>
  <c r="AA1236" i="1" s="1"/>
  <c r="AA1237" i="1" a="1"/>
  <c r="AA1237" i="1" s="1"/>
  <c r="AA1238" i="1" a="1"/>
  <c r="AA1238" i="1" s="1"/>
  <c r="AA1239" i="1" a="1"/>
  <c r="AA1239" i="1" s="1"/>
  <c r="AA1240" i="1" a="1"/>
  <c r="AA1240" i="1" s="1"/>
  <c r="AA1241" i="1" a="1"/>
  <c r="AA1241" i="1" s="1"/>
  <c r="AA1242" i="1" a="1"/>
  <c r="AA1242" i="1" s="1"/>
  <c r="AA1243" i="1" a="1"/>
  <c r="AA1243" i="1" s="1"/>
  <c r="AA1244" i="1" a="1"/>
  <c r="AA1244" i="1" s="1"/>
  <c r="AA1245" i="1" a="1"/>
  <c r="AA1245" i="1" s="1"/>
  <c r="AA1246" i="1" a="1"/>
  <c r="AA1246" i="1" s="1"/>
  <c r="AA1247" i="1" a="1"/>
  <c r="AA1247" i="1" s="1"/>
  <c r="AA1248" i="1" a="1"/>
  <c r="AA1248" i="1" s="1"/>
  <c r="AA1249" i="1" a="1"/>
  <c r="AA1249" i="1" s="1"/>
  <c r="AA1250" i="1" a="1"/>
  <c r="AA1250" i="1" s="1"/>
  <c r="AA1251" i="1" a="1"/>
  <c r="AA1251" i="1" s="1"/>
  <c r="AA1252" i="1" a="1"/>
  <c r="AA1252" i="1" s="1"/>
  <c r="AA1253" i="1" a="1"/>
  <c r="AA1253" i="1" s="1"/>
  <c r="AA1254" i="1" a="1"/>
  <c r="AA1254" i="1" s="1"/>
  <c r="AA1255" i="1" a="1"/>
  <c r="AA1255" i="1" s="1"/>
  <c r="AA1256" i="1" a="1"/>
  <c r="AA1256" i="1" s="1"/>
  <c r="AA1257" i="1" a="1"/>
  <c r="AA1257" i="1" s="1"/>
  <c r="AA1258" i="1" a="1"/>
  <c r="AA1258" i="1" s="1"/>
  <c r="AA1259" i="1" a="1"/>
  <c r="AA1259" i="1" s="1"/>
  <c r="AA1260" i="1" a="1"/>
  <c r="AA1260" i="1" s="1"/>
  <c r="AA1261" i="1" a="1"/>
  <c r="AA1261" i="1" s="1"/>
  <c r="AA1262" i="1" a="1"/>
  <c r="AA1262" i="1" s="1"/>
  <c r="AA1263" i="1" a="1"/>
  <c r="AA1263" i="1" s="1"/>
  <c r="AA1264" i="1" a="1"/>
  <c r="AA1264" i="1" s="1"/>
  <c r="AA1265" i="1" a="1"/>
  <c r="AA1265" i="1" s="1"/>
  <c r="AA1266" i="1" a="1"/>
  <c r="AA1266" i="1" s="1"/>
  <c r="AA1267" i="1" a="1"/>
  <c r="AA1267" i="1" s="1"/>
  <c r="AA1268" i="1" a="1"/>
  <c r="AA1268" i="1" s="1"/>
  <c r="AA1269" i="1" a="1"/>
  <c r="AA1269" i="1" s="1"/>
  <c r="AA1270" i="1" a="1"/>
  <c r="AA1270" i="1" s="1"/>
  <c r="AA1271" i="1" a="1"/>
  <c r="AA1271" i="1" s="1"/>
  <c r="AA1272" i="1" a="1"/>
  <c r="AA1272" i="1" s="1"/>
  <c r="AA1273" i="1" a="1"/>
  <c r="AA1273" i="1" s="1"/>
  <c r="AA1274" i="1" a="1"/>
  <c r="AA1274" i="1" s="1"/>
  <c r="AA1275" i="1" a="1"/>
  <c r="AA1275" i="1" s="1"/>
  <c r="AA1276" i="1" a="1"/>
  <c r="AA1276" i="1" s="1"/>
  <c r="AA1277" i="1" a="1"/>
  <c r="AA1277" i="1" s="1"/>
  <c r="AA1278" i="1" a="1"/>
  <c r="AA1278" i="1" s="1"/>
  <c r="AA1279" i="1" a="1"/>
  <c r="AA1279" i="1" s="1"/>
  <c r="AA1280" i="1" a="1"/>
  <c r="AA1280" i="1" s="1"/>
  <c r="AA1281" i="1" a="1"/>
  <c r="AA1281" i="1" s="1"/>
  <c r="AA1282" i="1" a="1"/>
  <c r="AA1282" i="1" s="1"/>
  <c r="AA1283" i="1" a="1"/>
  <c r="AA1283" i="1" s="1"/>
  <c r="AA1284" i="1" a="1"/>
  <c r="AA1284" i="1" s="1"/>
  <c r="AA1285" i="1" a="1"/>
  <c r="AA1285" i="1" s="1"/>
  <c r="AA1286" i="1" a="1"/>
  <c r="AA1286" i="1" s="1"/>
  <c r="AA1287" i="1" a="1"/>
  <c r="AA1287" i="1" s="1"/>
  <c r="AA1288" i="1" a="1"/>
  <c r="AA1288" i="1" s="1"/>
  <c r="AA1289" i="1" a="1"/>
  <c r="AA1289" i="1" s="1"/>
  <c r="AA1290" i="1" a="1"/>
  <c r="AA1290" i="1" s="1"/>
  <c r="AA1291" i="1" a="1"/>
  <c r="AA1291" i="1" s="1"/>
  <c r="AA1292" i="1" a="1"/>
  <c r="AA1292" i="1" s="1"/>
  <c r="AA1293" i="1" a="1"/>
  <c r="AA1293" i="1" s="1"/>
  <c r="AA1294" i="1" a="1"/>
  <c r="AA1294" i="1" s="1"/>
  <c r="AA1295" i="1" a="1"/>
  <c r="AA1295" i="1" s="1"/>
  <c r="AA1296" i="1" a="1"/>
  <c r="AA1296" i="1" s="1"/>
  <c r="AA1297" i="1" a="1"/>
  <c r="AA1297" i="1" s="1"/>
  <c r="AA1298" i="1" a="1"/>
  <c r="AA1298" i="1" s="1"/>
  <c r="AA1299" i="1" a="1"/>
  <c r="AA1299" i="1" s="1"/>
  <c r="AA1300" i="1" a="1"/>
  <c r="AA1300" i="1" s="1"/>
  <c r="AA1301" i="1" a="1"/>
  <c r="AA1301" i="1" s="1"/>
  <c r="AA1302" i="1" a="1"/>
  <c r="AA1302" i="1" s="1"/>
  <c r="AA1303" i="1" a="1"/>
  <c r="AA1303" i="1" s="1"/>
  <c r="AA1304" i="1" a="1"/>
  <c r="AA1304" i="1" s="1"/>
  <c r="AA1305" i="1" a="1"/>
  <c r="AA1305" i="1" s="1"/>
  <c r="AA1306" i="1" a="1"/>
  <c r="AA1306" i="1" s="1"/>
  <c r="AA1307" i="1" a="1"/>
  <c r="AA1307" i="1" s="1"/>
  <c r="AA1308" i="1" a="1"/>
  <c r="AA1308" i="1" s="1"/>
  <c r="AA1309" i="1" a="1"/>
  <c r="AA1309" i="1" s="1"/>
  <c r="AA1310" i="1" a="1"/>
  <c r="AA1310" i="1" s="1"/>
  <c r="AA1311" i="1" a="1"/>
  <c r="AA1311" i="1" s="1"/>
  <c r="AA1312" i="1" a="1"/>
  <c r="AA1312" i="1" s="1"/>
  <c r="AA1313" i="1" a="1"/>
  <c r="AA1313" i="1" s="1"/>
  <c r="AA1314" i="1" a="1"/>
  <c r="AA1314" i="1" s="1"/>
  <c r="AA1315" i="1" a="1"/>
  <c r="AA1315" i="1" s="1"/>
  <c r="AA1316" i="1" a="1"/>
  <c r="AA1316" i="1" s="1"/>
  <c r="AA1317" i="1" a="1"/>
  <c r="AA1317" i="1" s="1"/>
  <c r="AA1318" i="1" a="1"/>
  <c r="AA1318" i="1" s="1"/>
  <c r="AA1319" i="1" a="1"/>
  <c r="AA1319" i="1" s="1"/>
  <c r="AA1320" i="1" a="1"/>
  <c r="AA1320" i="1" s="1"/>
  <c r="AA1321" i="1" a="1"/>
  <c r="AA1321" i="1" s="1"/>
  <c r="AA1322" i="1" a="1"/>
  <c r="AA1322" i="1" s="1"/>
  <c r="AA1323" i="1" a="1"/>
  <c r="AA1323" i="1" s="1"/>
  <c r="AA1324" i="1" a="1"/>
  <c r="AA1324" i="1" s="1"/>
  <c r="AA1325" i="1" a="1"/>
  <c r="AA1325" i="1" s="1"/>
  <c r="AA1326" i="1" a="1"/>
  <c r="AA1326" i="1" s="1"/>
  <c r="AA1327" i="1" a="1"/>
  <c r="AA1327" i="1" s="1"/>
  <c r="AA1328" i="1" a="1"/>
  <c r="AA1328" i="1" s="1"/>
  <c r="AA1329" i="1" a="1"/>
  <c r="AA1329" i="1" s="1"/>
  <c r="AA1330" i="1" a="1"/>
  <c r="AA1330" i="1" s="1"/>
  <c r="AA1331" i="1" a="1"/>
  <c r="AA1331" i="1" s="1"/>
  <c r="AA1332" i="1" a="1"/>
  <c r="AA1332" i="1" s="1"/>
  <c r="AA1334" i="1" a="1"/>
  <c r="AA1334" i="1" s="1"/>
  <c r="AA1335" i="1" a="1"/>
  <c r="AA1335" i="1" s="1"/>
  <c r="AA1336" i="1" a="1"/>
  <c r="AA1336" i="1" s="1"/>
  <c r="AA1337" i="1" a="1"/>
  <c r="AA1337" i="1" s="1"/>
  <c r="AA1338" i="1" a="1"/>
  <c r="AA1338" i="1" s="1"/>
  <c r="AA1339" i="1" a="1"/>
  <c r="AA1339" i="1" s="1"/>
  <c r="AA1340" i="1" a="1"/>
  <c r="AA1340" i="1" s="1"/>
  <c r="AA1341" i="1" a="1"/>
  <c r="AA1341" i="1" s="1"/>
  <c r="AA1342" i="1" a="1"/>
  <c r="AA1342" i="1" s="1"/>
  <c r="AA1343" i="1" a="1"/>
  <c r="AA1343" i="1" s="1"/>
  <c r="AA1344" i="1" a="1"/>
  <c r="AA1344" i="1" s="1"/>
  <c r="AA1345" i="1" a="1"/>
  <c r="AA1345" i="1" s="1"/>
  <c r="AA1346" i="1" a="1"/>
  <c r="AA1346" i="1" s="1"/>
  <c r="AA1347" i="1" a="1"/>
  <c r="AA1347" i="1" s="1"/>
  <c r="AA1348" i="1" a="1"/>
  <c r="AA1348" i="1" s="1"/>
  <c r="AA1349" i="1" a="1"/>
  <c r="AA1349" i="1" s="1"/>
  <c r="AA1350" i="1" a="1"/>
  <c r="AA1350" i="1" s="1"/>
  <c r="AA1351" i="1" a="1"/>
  <c r="AA1351" i="1" s="1"/>
  <c r="AA1352" i="1" a="1"/>
  <c r="AA1352" i="1" s="1"/>
  <c r="AA1353" i="1" a="1"/>
  <c r="AA1353" i="1" s="1"/>
  <c r="AA1354" i="1" a="1"/>
  <c r="AA1354" i="1" s="1"/>
  <c r="AA1355" i="1" a="1"/>
  <c r="AA1355" i="1" s="1"/>
  <c r="AA1356" i="1" a="1"/>
  <c r="AA1356" i="1" s="1"/>
  <c r="AA1357" i="1" a="1"/>
  <c r="AA1357" i="1" s="1"/>
  <c r="AA1358" i="1" a="1"/>
  <c r="AA1358" i="1" s="1"/>
  <c r="AA1359" i="1" a="1"/>
  <c r="AA1359" i="1" s="1"/>
  <c r="AA1360" i="1" a="1"/>
  <c r="AA1360" i="1" s="1"/>
  <c r="AA1361" i="1" a="1"/>
  <c r="AA1361" i="1" s="1"/>
  <c r="AA1362" i="1" a="1"/>
  <c r="AA1362" i="1" s="1"/>
  <c r="AA1363" i="1" a="1"/>
  <c r="AA1363" i="1" s="1"/>
  <c r="AA1364" i="1" a="1"/>
  <c r="AA1364" i="1" s="1"/>
  <c r="AA1365" i="1" a="1"/>
  <c r="AA1365" i="1" s="1"/>
  <c r="AA1366" i="1" a="1"/>
  <c r="AA1366" i="1" s="1"/>
  <c r="AA1367" i="1" a="1"/>
  <c r="AA1367" i="1" s="1"/>
  <c r="AA1368" i="1" a="1"/>
  <c r="AA1368" i="1" s="1"/>
  <c r="AA1369" i="1" a="1"/>
  <c r="AA1369" i="1" s="1"/>
  <c r="AA1370" i="1" a="1"/>
  <c r="AA1370" i="1" s="1"/>
  <c r="AA1371" i="1" a="1"/>
  <c r="AA1371" i="1" s="1"/>
  <c r="AA1372" i="1" a="1"/>
  <c r="AA1372" i="1" s="1"/>
  <c r="AA1373" i="1" a="1"/>
  <c r="AA1373" i="1" s="1"/>
  <c r="AA1374" i="1" a="1"/>
  <c r="AA1374" i="1" s="1"/>
  <c r="AA1375" i="1" a="1"/>
  <c r="AA1375" i="1" s="1"/>
  <c r="AA1376" i="1" a="1"/>
  <c r="AA1376" i="1"/>
  <c r="AA1377" i="1" a="1"/>
  <c r="AA1377" i="1" s="1"/>
  <c r="AA1378" i="1" a="1"/>
  <c r="AA1378" i="1" s="1"/>
  <c r="AA1379" i="1" a="1"/>
  <c r="AA1379" i="1" s="1"/>
  <c r="AA1380" i="1" a="1"/>
  <c r="AA1380" i="1" s="1"/>
  <c r="AA1381" i="1" a="1"/>
  <c r="AA1381" i="1" s="1"/>
  <c r="AA1382" i="1" a="1"/>
  <c r="AA1382" i="1" s="1"/>
  <c r="AA1383" i="1" a="1"/>
  <c r="AA1383" i="1" s="1"/>
  <c r="AA1384" i="1" a="1"/>
  <c r="AA1384" i="1" s="1"/>
  <c r="AA1385" i="1" a="1"/>
  <c r="AA1385" i="1" s="1"/>
  <c r="AA1386" i="1" a="1"/>
  <c r="AA1386" i="1" s="1"/>
  <c r="AA1387" i="1" a="1"/>
  <c r="AA1387" i="1" s="1"/>
  <c r="AA1388" i="1" a="1"/>
  <c r="AA1388" i="1" s="1"/>
  <c r="AA1389" i="1" a="1"/>
  <c r="AA1389" i="1" s="1"/>
  <c r="AA1390" i="1" a="1"/>
  <c r="AA1390" i="1" s="1"/>
  <c r="AA1391" i="1" a="1"/>
  <c r="AA1391" i="1" s="1"/>
  <c r="AA1392" i="1" a="1"/>
  <c r="AA1392" i="1" s="1"/>
  <c r="AA1393" i="1" a="1"/>
  <c r="AA1393" i="1" s="1"/>
  <c r="AA1394" i="1" a="1"/>
  <c r="AA1394" i="1" s="1"/>
  <c r="AA1395" i="1" a="1"/>
  <c r="AA1395" i="1" s="1"/>
  <c r="AA1396" i="1" a="1"/>
  <c r="AA1396" i="1" s="1"/>
  <c r="AA1397" i="1" a="1"/>
  <c r="AA1397" i="1" s="1"/>
  <c r="AA1398" i="1" a="1"/>
  <c r="AA1398" i="1" s="1"/>
  <c r="AA1399" i="1" a="1"/>
  <c r="AA1399" i="1" s="1"/>
  <c r="AA1400" i="1" a="1"/>
  <c r="AA1400" i="1" s="1"/>
  <c r="AA1401" i="1" a="1"/>
  <c r="AA1401" i="1" s="1"/>
  <c r="AA1402" i="1" a="1"/>
  <c r="AA1402" i="1" s="1"/>
  <c r="AA1403" i="1" a="1"/>
  <c r="AA1403" i="1" s="1"/>
  <c r="AA1404" i="1" a="1"/>
  <c r="AA1404" i="1" s="1"/>
  <c r="AA1405" i="1" a="1"/>
  <c r="AA1405" i="1" s="1"/>
  <c r="AA1406" i="1" a="1"/>
  <c r="AA1406" i="1" s="1"/>
  <c r="AA1407" i="1" a="1"/>
  <c r="AA1407" i="1" s="1"/>
  <c r="AA1408" i="1" a="1"/>
  <c r="AA1408" i="1" s="1"/>
  <c r="AA1409" i="1" a="1"/>
  <c r="AA1409" i="1" s="1"/>
  <c r="AA1410" i="1" a="1"/>
  <c r="AA1410" i="1" s="1"/>
  <c r="AA1411" i="1" a="1"/>
  <c r="AA1411" i="1" s="1"/>
  <c r="AA1412" i="1" a="1"/>
  <c r="AA1412" i="1" s="1"/>
  <c r="AA1413" i="1" a="1"/>
  <c r="AA1413" i="1" s="1"/>
  <c r="AA1414" i="1" a="1"/>
  <c r="AA1414" i="1" s="1"/>
  <c r="AA1415" i="1" a="1"/>
  <c r="AA1415" i="1" s="1"/>
  <c r="AA1416" i="1" a="1"/>
  <c r="AA1416" i="1" s="1"/>
  <c r="AA1417" i="1" a="1"/>
  <c r="AA1417" i="1" s="1"/>
  <c r="AA1418" i="1" a="1"/>
  <c r="AA1418" i="1" s="1"/>
  <c r="AA1419" i="1" a="1"/>
  <c r="AA1419" i="1" s="1"/>
  <c r="AA1420" i="1" a="1"/>
  <c r="AA1420" i="1" s="1"/>
  <c r="AA1421" i="1" a="1"/>
  <c r="AA1421" i="1" s="1"/>
  <c r="AA1422" i="1" a="1"/>
  <c r="AA1422" i="1" s="1"/>
  <c r="AA1423" i="1" a="1"/>
  <c r="AA1423" i="1" s="1"/>
  <c r="AA1424" i="1" a="1"/>
  <c r="AA1424" i="1" s="1"/>
  <c r="AA1425" i="1" a="1"/>
  <c r="AA1425" i="1" s="1"/>
  <c r="AA1426" i="1" a="1"/>
  <c r="AA1426" i="1" s="1"/>
  <c r="AA1427" i="1" a="1"/>
  <c r="AA1427" i="1" s="1"/>
  <c r="AA1428" i="1" a="1"/>
  <c r="AA1428" i="1"/>
  <c r="AA1429" i="1" a="1"/>
  <c r="AA1429" i="1" s="1"/>
  <c r="AA1430" i="1" a="1"/>
  <c r="AA1430" i="1" s="1"/>
  <c r="AA1431" i="1" a="1"/>
  <c r="AA1431" i="1" s="1"/>
  <c r="AA1432" i="1" a="1"/>
  <c r="AA1432" i="1" s="1"/>
  <c r="AA1433" i="1" a="1"/>
  <c r="AA1433" i="1" s="1"/>
  <c r="AA1434" i="1" a="1"/>
  <c r="AA1434" i="1" s="1"/>
  <c r="AA1435" i="1" a="1"/>
  <c r="AA1435" i="1" s="1"/>
  <c r="AA1436" i="1" a="1"/>
  <c r="AA1436" i="1" s="1"/>
  <c r="AA1437" i="1" a="1"/>
  <c r="AA1437" i="1" s="1"/>
  <c r="AA1438" i="1" a="1"/>
  <c r="AA1438" i="1" s="1"/>
  <c r="AA1439" i="1" a="1"/>
  <c r="AA1439" i="1" s="1"/>
  <c r="AA1440" i="1" a="1"/>
  <c r="AA1440" i="1" s="1"/>
  <c r="AA1441" i="1" a="1"/>
  <c r="AA1441" i="1" s="1"/>
  <c r="AA1442" i="1" a="1"/>
  <c r="AA1442" i="1" s="1"/>
  <c r="AA1443" i="1" a="1"/>
  <c r="AA1443" i="1" s="1"/>
  <c r="AA1444" i="1" a="1"/>
  <c r="AA1444" i="1" s="1"/>
  <c r="AA1445" i="1" a="1"/>
  <c r="AA1445" i="1" s="1"/>
  <c r="AA1446" i="1" a="1"/>
  <c r="AA1446" i="1" s="1"/>
  <c r="AA1447" i="1" a="1"/>
  <c r="AA1447" i="1" s="1"/>
  <c r="AA1448" i="1" a="1"/>
  <c r="AA1448" i="1" s="1"/>
  <c r="AA1449" i="1" a="1"/>
  <c r="AA1449" i="1" s="1"/>
  <c r="AA1450" i="1" a="1"/>
  <c r="AA1450" i="1" s="1"/>
  <c r="AA1451" i="1" a="1"/>
  <c r="AA1451" i="1" s="1"/>
  <c r="AA1452" i="1" a="1"/>
  <c r="AA1452" i="1" s="1"/>
  <c r="AA1453" i="1" a="1"/>
  <c r="AA1453" i="1" s="1"/>
  <c r="AA1454" i="1" a="1"/>
  <c r="AA1454" i="1" s="1"/>
  <c r="AA1455" i="1" a="1"/>
  <c r="AA1455" i="1" s="1"/>
  <c r="AA1456" i="1" a="1"/>
  <c r="AA1456" i="1" s="1"/>
  <c r="AA1457" i="1" a="1"/>
  <c r="AA1457" i="1" s="1"/>
  <c r="AA1458" i="1" a="1"/>
  <c r="AA1458" i="1" s="1"/>
  <c r="AA1459" i="1" a="1"/>
  <c r="AA1459" i="1" s="1"/>
  <c r="AA1460" i="1" a="1"/>
  <c r="AA1460" i="1" s="1"/>
  <c r="AA1461" i="1" a="1"/>
  <c r="AA1461" i="1" s="1"/>
  <c r="AA1462" i="1" a="1"/>
  <c r="AA1462" i="1" s="1"/>
  <c r="AA1463" i="1" a="1"/>
  <c r="AA1463" i="1" s="1"/>
  <c r="AA1464" i="1" a="1"/>
  <c r="AA1464" i="1" s="1"/>
  <c r="AA1465" i="1" a="1"/>
  <c r="AA1465" i="1" s="1"/>
  <c r="AA1466" i="1" a="1"/>
  <c r="AA1466" i="1" s="1"/>
  <c r="AA1467" i="1" a="1"/>
  <c r="AA1467" i="1" s="1"/>
  <c r="AA1468" i="1" a="1"/>
  <c r="AA1468" i="1" s="1"/>
  <c r="AA1469" i="1" a="1"/>
  <c r="AA1469" i="1" s="1"/>
  <c r="AA1470" i="1" a="1"/>
  <c r="AA1470" i="1" s="1"/>
  <c r="AA1471" i="1" a="1"/>
  <c r="AA1471" i="1" s="1"/>
  <c r="AA1472" i="1" a="1"/>
  <c r="AA1472" i="1" s="1"/>
  <c r="AA1473" i="1" a="1"/>
  <c r="AA1473" i="1" s="1"/>
  <c r="AA1474" i="1" a="1"/>
  <c r="AA1474" i="1" s="1"/>
  <c r="AA1475" i="1" a="1"/>
  <c r="AA1475" i="1" s="1"/>
  <c r="AA1476" i="1" a="1"/>
  <c r="AA1476" i="1" s="1"/>
  <c r="AA1477" i="1" a="1"/>
  <c r="AA1477" i="1" s="1"/>
  <c r="AA1478" i="1" a="1"/>
  <c r="AA1478" i="1" s="1"/>
  <c r="AA1479" i="1" a="1"/>
  <c r="AA1479" i="1" s="1"/>
  <c r="AA1480" i="1" a="1"/>
  <c r="AA1480" i="1" s="1"/>
  <c r="AA1481" i="1" a="1"/>
  <c r="AA1481" i="1" s="1"/>
  <c r="AA1482" i="1" a="1"/>
  <c r="AA1482" i="1" s="1"/>
  <c r="AA1483" i="1" a="1"/>
  <c r="AA1483" i="1" s="1"/>
  <c r="AA1484" i="1" a="1"/>
  <c r="AA1484" i="1" s="1"/>
  <c r="AA1485" i="1" a="1"/>
  <c r="AA1485" i="1" s="1"/>
  <c r="AA1486" i="1" a="1"/>
  <c r="AA1486" i="1" s="1"/>
  <c r="AA1487" i="1" a="1"/>
  <c r="AA1487" i="1" s="1"/>
  <c r="AA1488" i="1" a="1"/>
  <c r="AA1488" i="1" s="1"/>
  <c r="AA1489" i="1" a="1"/>
  <c r="AA1489" i="1" s="1"/>
  <c r="AA1490" i="1" a="1"/>
  <c r="AA1490" i="1" s="1"/>
  <c r="AA1491" i="1" a="1"/>
  <c r="AA1491" i="1" s="1"/>
  <c r="AA1492" i="1" a="1"/>
  <c r="AA1492" i="1" s="1"/>
  <c r="AA1493" i="1" a="1"/>
  <c r="AA1493" i="1" s="1"/>
  <c r="AA1494" i="1" a="1"/>
  <c r="AA1494" i="1" s="1"/>
  <c r="AA1495" i="1" a="1"/>
  <c r="AA1495" i="1" s="1"/>
  <c r="AA1496" i="1" a="1"/>
  <c r="AA1496" i="1" s="1"/>
  <c r="AA1497" i="1" a="1"/>
  <c r="AA1497" i="1" s="1"/>
  <c r="AA1498" i="1" a="1"/>
  <c r="AA1498" i="1" s="1"/>
  <c r="AA1499" i="1" a="1"/>
  <c r="AA1499" i="1" s="1"/>
  <c r="AA1500" i="1" a="1"/>
  <c r="AA1500" i="1" s="1"/>
  <c r="AA1501" i="1" a="1"/>
  <c r="AA1501" i="1" s="1"/>
  <c r="AA1502" i="1" a="1"/>
  <c r="AA1502" i="1" s="1"/>
  <c r="AA1503" i="1" a="1"/>
  <c r="AA1503" i="1" s="1"/>
  <c r="AA1504" i="1" a="1"/>
  <c r="AA1504" i="1" s="1"/>
  <c r="AA1505" i="1" a="1"/>
  <c r="AA1505" i="1" s="1"/>
  <c r="AA1506" i="1" a="1"/>
  <c r="AA1506" i="1" s="1"/>
  <c r="AA1507" i="1" a="1"/>
  <c r="AA1507" i="1" s="1"/>
  <c r="AA1508" i="1" a="1"/>
  <c r="AA1508" i="1" s="1"/>
  <c r="AA1509" i="1" a="1"/>
  <c r="AA1509" i="1" s="1"/>
  <c r="AA1510" i="1" a="1"/>
  <c r="AA1510" i="1" s="1"/>
  <c r="AA1511" i="1" a="1"/>
  <c r="AA1511" i="1" s="1"/>
  <c r="AA1512" i="1" a="1"/>
  <c r="AA1512" i="1" s="1"/>
  <c r="AA1513" i="1" a="1"/>
  <c r="AA1513" i="1" s="1"/>
  <c r="AA1514" i="1" a="1"/>
  <c r="AA1514" i="1" s="1"/>
  <c r="AA1515" i="1" a="1"/>
  <c r="AA1515" i="1" s="1"/>
  <c r="AA1516" i="1" a="1"/>
  <c r="AA1516" i="1" s="1"/>
  <c r="AA1517" i="1" a="1"/>
  <c r="AA1517" i="1" s="1"/>
  <c r="AA1518" i="1" a="1"/>
  <c r="AA1518" i="1" s="1"/>
  <c r="AA1519" i="1" a="1"/>
  <c r="AA1519" i="1" s="1"/>
  <c r="AA1520" i="1" a="1"/>
  <c r="AA1520" i="1" s="1"/>
  <c r="AA1521" i="1" a="1"/>
  <c r="AA1521" i="1" s="1"/>
  <c r="AA1522" i="1" a="1"/>
  <c r="AA1522" i="1" s="1"/>
  <c r="AA1523" i="1" a="1"/>
  <c r="AA1523" i="1" s="1"/>
  <c r="AA1524" i="1" a="1"/>
  <c r="AA1524" i="1" s="1"/>
  <c r="AA1525" i="1" a="1"/>
  <c r="AA1525" i="1" s="1"/>
  <c r="AA1526" i="1" a="1"/>
  <c r="AA1526" i="1" s="1"/>
  <c r="AA1527" i="1" a="1"/>
  <c r="AA1527" i="1" s="1"/>
  <c r="AA1528" i="1" a="1"/>
  <c r="AA1528" i="1" s="1"/>
  <c r="AA1529" i="1" a="1"/>
  <c r="AA1529" i="1" s="1"/>
  <c r="AA1530" i="1" a="1"/>
  <c r="AA1530" i="1" s="1"/>
  <c r="AA1531" i="1" a="1"/>
  <c r="AA1531" i="1" s="1"/>
  <c r="AA1532" i="1" a="1"/>
  <c r="AA1532" i="1" s="1"/>
  <c r="AA1533" i="1" a="1"/>
  <c r="AA1533" i="1" s="1"/>
  <c r="AA1534" i="1" a="1"/>
  <c r="AA1534" i="1" s="1"/>
  <c r="AA1535" i="1" a="1"/>
  <c r="AA1535" i="1" s="1"/>
  <c r="AA1536" i="1" a="1"/>
  <c r="AA1536" i="1" s="1"/>
  <c r="AA1537" i="1" a="1"/>
  <c r="AA1537" i="1" s="1"/>
  <c r="AA1538" i="1" a="1"/>
  <c r="AA1538" i="1" s="1"/>
  <c r="AA1539" i="1" a="1"/>
  <c r="AA1539" i="1" s="1"/>
  <c r="AA1540" i="1" a="1"/>
  <c r="AA1540" i="1" s="1"/>
  <c r="AA1541" i="1" a="1"/>
  <c r="AA1541" i="1" s="1"/>
  <c r="AA1542" i="1" a="1"/>
  <c r="AA1542" i="1" s="1"/>
  <c r="AA1543" i="1" a="1"/>
  <c r="AA1543" i="1" s="1"/>
  <c r="AA1544" i="1" a="1"/>
  <c r="AA1544" i="1" s="1"/>
  <c r="AA1545" i="1" a="1"/>
  <c r="AA1545" i="1" s="1"/>
  <c r="AA1546" i="1" a="1"/>
  <c r="AA1546" i="1" s="1"/>
  <c r="AA1547" i="1" a="1"/>
  <c r="AA1547" i="1" s="1"/>
  <c r="AA1548" i="1" a="1"/>
  <c r="AA1548" i="1" s="1"/>
  <c r="AA1549" i="1" a="1"/>
  <c r="AA1549" i="1" s="1"/>
  <c r="AA1550" i="1" a="1"/>
  <c r="AA1550" i="1" s="1"/>
  <c r="AA1551" i="1" a="1"/>
  <c r="AA1551" i="1" s="1"/>
  <c r="AA1552" i="1" a="1"/>
  <c r="AA1552" i="1" s="1"/>
  <c r="AA1553" i="1" a="1"/>
  <c r="AA1553" i="1" s="1"/>
  <c r="AA1554" i="1" a="1"/>
  <c r="AA1554" i="1" s="1"/>
  <c r="AA1555" i="1" a="1"/>
  <c r="AA1555" i="1" s="1"/>
  <c r="AA1556" i="1" a="1"/>
  <c r="AA1556" i="1" s="1"/>
  <c r="AA1557" i="1" a="1"/>
  <c r="AA1557" i="1" s="1"/>
  <c r="AA1558" i="1" a="1"/>
  <c r="AA1558" i="1" s="1"/>
  <c r="AA1559" i="1" a="1"/>
  <c r="AA1559" i="1" s="1"/>
  <c r="AA1560" i="1" a="1"/>
  <c r="AA1560" i="1" s="1"/>
  <c r="AA1561" i="1" a="1"/>
  <c r="AA1561" i="1" s="1"/>
  <c r="AA1562" i="1" a="1"/>
  <c r="AA1562" i="1" s="1"/>
  <c r="AA1563" i="1" a="1"/>
  <c r="AA1563" i="1" s="1"/>
  <c r="AA1564" i="1" a="1"/>
  <c r="AA1564" i="1" s="1"/>
  <c r="AA1565" i="1" a="1"/>
  <c r="AA1565" i="1" s="1"/>
  <c r="AA1566" i="1" a="1"/>
  <c r="AA1566" i="1" s="1"/>
  <c r="AA1567" i="1" a="1"/>
  <c r="AA1567" i="1" s="1"/>
  <c r="AA1568" i="1" a="1"/>
  <c r="AA1568" i="1" s="1"/>
  <c r="AA1569" i="1" a="1"/>
  <c r="AA1569" i="1" s="1"/>
  <c r="AA1570" i="1" a="1"/>
  <c r="AA1570" i="1" s="1"/>
  <c r="AA1571" i="1" a="1"/>
  <c r="AA1571" i="1" s="1"/>
  <c r="AA1572" i="1" a="1"/>
  <c r="AA1572" i="1"/>
  <c r="AA1573" i="1" a="1"/>
  <c r="AA1573" i="1" s="1"/>
  <c r="AA1574" i="1" a="1"/>
  <c r="AA1574" i="1" s="1"/>
  <c r="AA1575" i="1" a="1"/>
  <c r="AA1575" i="1" s="1"/>
  <c r="AA1576" i="1" a="1"/>
  <c r="AA1576" i="1" s="1"/>
  <c r="AA1577" i="1" a="1"/>
  <c r="AA1577" i="1" s="1"/>
  <c r="AA1578" i="1" a="1"/>
  <c r="AA1578" i="1" s="1"/>
  <c r="AA1579" i="1" a="1"/>
  <c r="AA1579" i="1" s="1"/>
  <c r="AA1580" i="1" a="1"/>
  <c r="AA1580" i="1" s="1"/>
  <c r="AA1581" i="1" a="1"/>
  <c r="AA1581" i="1" s="1"/>
  <c r="AA1582" i="1" a="1"/>
  <c r="AA1582" i="1" s="1"/>
  <c r="AA1583" i="1" a="1"/>
  <c r="AA1583" i="1" s="1"/>
  <c r="AA1584" i="1" a="1"/>
  <c r="AA1584" i="1" s="1"/>
  <c r="AA1585" i="1" a="1"/>
  <c r="AA1585" i="1" s="1"/>
  <c r="AA1586" i="1" a="1"/>
  <c r="AA1586" i="1" s="1"/>
  <c r="AA1587" i="1" a="1"/>
  <c r="AA1587" i="1" s="1"/>
  <c r="AA1588" i="1" a="1"/>
  <c r="AA1588" i="1" s="1"/>
  <c r="AA1589" i="1" a="1"/>
  <c r="AA1589" i="1" s="1"/>
  <c r="AA1590" i="1" a="1"/>
  <c r="AA1590" i="1" s="1"/>
  <c r="AA1591" i="1" a="1"/>
  <c r="AA1591" i="1" s="1"/>
  <c r="AA1592" i="1" a="1"/>
  <c r="AA1592" i="1" s="1"/>
  <c r="AA1593" i="1" a="1"/>
  <c r="AA1593" i="1" s="1"/>
  <c r="AA1594" i="1" a="1"/>
  <c r="AA1594" i="1" s="1"/>
  <c r="AA1595" i="1" a="1"/>
  <c r="AA1595" i="1" s="1"/>
  <c r="AA1596" i="1" a="1"/>
  <c r="AA1596" i="1" s="1"/>
  <c r="AA1597" i="1" a="1"/>
  <c r="AA1597" i="1" s="1"/>
  <c r="AA1598" i="1" a="1"/>
  <c r="AA1598" i="1" s="1"/>
  <c r="AA1599" i="1" a="1"/>
  <c r="AA1599" i="1"/>
  <c r="AA1600" i="1" a="1"/>
  <c r="AA1600" i="1" s="1"/>
  <c r="AA1601" i="1" a="1"/>
  <c r="AA1601" i="1" s="1"/>
  <c r="AA1602" i="1" a="1"/>
  <c r="AA1602" i="1" s="1"/>
  <c r="AA1603" i="1" a="1"/>
  <c r="AA1603" i="1" s="1"/>
  <c r="AA1604" i="1" a="1"/>
  <c r="AA1604" i="1" s="1"/>
  <c r="AA1605" i="1" a="1"/>
  <c r="AA1605" i="1" s="1"/>
  <c r="AA1606" i="1" a="1"/>
  <c r="AA1606" i="1" s="1"/>
  <c r="AA1607" i="1" a="1"/>
  <c r="AA1607" i="1" s="1"/>
  <c r="AA1608" i="1" a="1"/>
  <c r="AA1608" i="1" s="1"/>
  <c r="AA1609" i="1" a="1"/>
  <c r="AA1609" i="1" s="1"/>
  <c r="AA1610" i="1" a="1"/>
  <c r="AA1610" i="1" s="1"/>
  <c r="AA1611" i="1" a="1"/>
  <c r="AA1611" i="1" s="1"/>
  <c r="AA1612" i="1" a="1"/>
  <c r="AA1612" i="1" s="1"/>
  <c r="AA1613" i="1" a="1"/>
  <c r="AA1613" i="1" s="1"/>
  <c r="AA1614" i="1" a="1"/>
  <c r="AA1614" i="1" s="1"/>
  <c r="AA1615" i="1" a="1"/>
  <c r="AA1615" i="1" s="1"/>
  <c r="AA1616" i="1" a="1"/>
  <c r="AA1616" i="1" s="1"/>
  <c r="AA1617" i="1" a="1"/>
  <c r="AA1617" i="1" s="1"/>
  <c r="AA1618" i="1" a="1"/>
  <c r="AA1618" i="1" s="1"/>
  <c r="AA1619" i="1" a="1"/>
  <c r="AA1619" i="1" s="1"/>
  <c r="AA1620" i="1" a="1"/>
  <c r="AA1620" i="1" s="1"/>
  <c r="AA1621" i="1" a="1"/>
  <c r="AA1621" i="1" s="1"/>
  <c r="AA1622" i="1" a="1"/>
  <c r="AA1622" i="1" s="1"/>
  <c r="AA1623" i="1" a="1"/>
  <c r="AA1623" i="1" s="1"/>
  <c r="AA1624" i="1" a="1"/>
  <c r="AA1624" i="1" s="1"/>
  <c r="AA1625" i="1" a="1"/>
  <c r="AA1625" i="1" s="1"/>
  <c r="AA1626" i="1" a="1"/>
  <c r="AA1626" i="1" s="1"/>
  <c r="AA1627" i="1" a="1"/>
  <c r="AA1627" i="1" s="1"/>
  <c r="AA1628" i="1" a="1"/>
  <c r="AA1628" i="1" s="1"/>
  <c r="AA1629" i="1" a="1"/>
  <c r="AA1629" i="1" s="1"/>
  <c r="AA1630" i="1" a="1"/>
  <c r="AA1630" i="1" s="1"/>
  <c r="AA1631" i="1" a="1"/>
  <c r="AA1631" i="1" s="1"/>
  <c r="AA1632" i="1" a="1"/>
  <c r="AA1632" i="1" s="1"/>
  <c r="AA1633" i="1" a="1"/>
  <c r="AA1633" i="1" s="1"/>
  <c r="AA1634" i="1" a="1"/>
  <c r="AA1634" i="1" s="1"/>
  <c r="AA1635" i="1" a="1"/>
  <c r="AA1635" i="1" s="1"/>
  <c r="AA1636" i="1" a="1"/>
  <c r="AA1636" i="1" s="1"/>
  <c r="AA1637" i="1" a="1"/>
  <c r="AA1637" i="1" s="1"/>
  <c r="AA1638" i="1" a="1"/>
  <c r="AA1638" i="1" s="1"/>
  <c r="AA1639" i="1" a="1"/>
  <c r="AA1639" i="1" s="1"/>
  <c r="AA1640" i="1" a="1"/>
  <c r="AA1640" i="1" s="1"/>
  <c r="AA1641" i="1" a="1"/>
  <c r="AA1641" i="1" s="1"/>
  <c r="AA1642" i="1" a="1"/>
  <c r="AA1642" i="1" s="1"/>
  <c r="AA1643" i="1" a="1"/>
  <c r="AA1643" i="1" s="1"/>
  <c r="AA1644" i="1" a="1"/>
  <c r="AA1644" i="1" s="1"/>
  <c r="AA1645" i="1" a="1"/>
  <c r="AA1645" i="1" s="1"/>
  <c r="AA1646" i="1" a="1"/>
  <c r="AA1646" i="1" s="1"/>
  <c r="AA1647" i="1" a="1"/>
  <c r="AA1647" i="1" s="1"/>
  <c r="AA1648" i="1" a="1"/>
  <c r="AA1648" i="1" s="1"/>
  <c r="AA1649" i="1" a="1"/>
  <c r="AA1649" i="1" s="1"/>
  <c r="AA1650" i="1" a="1"/>
  <c r="AA1650" i="1" s="1"/>
  <c r="AA1651" i="1" a="1"/>
  <c r="AA1651" i="1" s="1"/>
  <c r="AA1652" i="1" a="1"/>
  <c r="AA1652" i="1" s="1"/>
  <c r="AA1653" i="1" a="1"/>
  <c r="AA1653" i="1" s="1"/>
  <c r="AA1654" i="1" a="1"/>
  <c r="AA1654" i="1" s="1"/>
  <c r="AA1655" i="1" a="1"/>
  <c r="AA1655" i="1" s="1"/>
  <c r="AA1656" i="1" a="1"/>
  <c r="AA1656" i="1" s="1"/>
  <c r="AA1657" i="1" a="1"/>
  <c r="AA1657" i="1" s="1"/>
  <c r="AA1658" i="1" a="1"/>
  <c r="AA1658" i="1" s="1"/>
  <c r="AA1659" i="1" a="1"/>
  <c r="AA1659" i="1" s="1"/>
  <c r="AA1660" i="1" a="1"/>
  <c r="AA1660" i="1" s="1"/>
  <c r="AA1661" i="1" a="1"/>
  <c r="AA1661" i="1" s="1"/>
  <c r="AA1662" i="1" a="1"/>
  <c r="AA1662" i="1" s="1"/>
  <c r="AA1663" i="1" a="1"/>
  <c r="AA1663" i="1" s="1"/>
  <c r="AA1664" i="1" a="1"/>
  <c r="AA1664" i="1" s="1"/>
  <c r="AA1665" i="1" a="1"/>
  <c r="AA1665" i="1" s="1"/>
  <c r="AA1666" i="1" a="1"/>
  <c r="AA1666" i="1" s="1"/>
  <c r="AA1667" i="1" a="1"/>
  <c r="AA1667" i="1" s="1"/>
  <c r="AA1668" i="1" a="1"/>
  <c r="AA1668" i="1" s="1"/>
  <c r="AA1669" i="1" a="1"/>
  <c r="AA1669" i="1" s="1"/>
  <c r="AA1670" i="1" a="1"/>
  <c r="AA1670" i="1" s="1"/>
  <c r="AA1671" i="1" a="1"/>
  <c r="AA1671" i="1" s="1"/>
  <c r="AA1672" i="1" a="1"/>
  <c r="AA1672" i="1" s="1"/>
  <c r="AA1673" i="1" a="1"/>
  <c r="AA1673" i="1" s="1"/>
  <c r="AA1674" i="1" a="1"/>
  <c r="AA1674" i="1" s="1"/>
  <c r="AA1675" i="1" a="1"/>
  <c r="AA1675" i="1" s="1"/>
  <c r="AA1676" i="1" a="1"/>
  <c r="AA1676" i="1" s="1"/>
  <c r="AA1677" i="1" a="1"/>
  <c r="AA1677" i="1" s="1"/>
  <c r="AA1678" i="1" a="1"/>
  <c r="AA1678" i="1" s="1"/>
  <c r="AA1679" i="1" a="1"/>
  <c r="AA1679" i="1" s="1"/>
  <c r="AA1680" i="1" a="1"/>
  <c r="AA1680" i="1" s="1"/>
  <c r="AA1681" i="1" a="1"/>
  <c r="AA1681" i="1" s="1"/>
  <c r="AA1682" i="1" a="1"/>
  <c r="AA1682" i="1" s="1"/>
  <c r="AA1683" i="1" a="1"/>
  <c r="AA1683" i="1" s="1"/>
  <c r="AA1684" i="1" a="1"/>
  <c r="AA1684" i="1" s="1"/>
  <c r="AA1685" i="1" a="1"/>
  <c r="AA1685" i="1" s="1"/>
  <c r="AA1686" i="1" a="1"/>
  <c r="AA1686" i="1" s="1"/>
  <c r="AA1687" i="1" a="1"/>
  <c r="AA1687" i="1" s="1"/>
  <c r="AA1688" i="1" a="1"/>
  <c r="AA1688" i="1" s="1"/>
  <c r="AA1689" i="1" a="1"/>
  <c r="AA1689" i="1" s="1"/>
  <c r="AA1690" i="1" a="1"/>
  <c r="AA1690" i="1" s="1"/>
  <c r="AA1691" i="1" a="1"/>
  <c r="AA1691" i="1" s="1"/>
  <c r="AA1692" i="1" a="1"/>
  <c r="AA1692" i="1" s="1"/>
  <c r="AA1693" i="1" a="1"/>
  <c r="AA1693" i="1" s="1"/>
  <c r="AA1694" i="1" a="1"/>
  <c r="AA1694" i="1" s="1"/>
  <c r="AA1695" i="1" a="1"/>
  <c r="AA1695" i="1" s="1"/>
  <c r="AA1696" i="1" a="1"/>
  <c r="AA1696" i="1" s="1"/>
  <c r="AA1697" i="1" a="1"/>
  <c r="AA1697" i="1" s="1"/>
  <c r="AA1698" i="1" a="1"/>
  <c r="AA1698" i="1" s="1"/>
  <c r="AA1699" i="1" a="1"/>
  <c r="AA1699" i="1" s="1"/>
  <c r="AA1700" i="1" a="1"/>
  <c r="AA1700" i="1" s="1"/>
  <c r="AA1701" i="1" a="1"/>
  <c r="AA1701" i="1" s="1"/>
  <c r="AA1702" i="1" a="1"/>
  <c r="AA1702" i="1" s="1"/>
  <c r="AA1703" i="1" a="1"/>
  <c r="AA1703" i="1" s="1"/>
  <c r="AA1704" i="1" a="1"/>
  <c r="AA1704" i="1" s="1"/>
  <c r="AA1705" i="1" a="1"/>
  <c r="AA1705" i="1" s="1"/>
  <c r="AA1706" i="1" a="1"/>
  <c r="AA1706" i="1" s="1"/>
  <c r="AA1707" i="1" a="1"/>
  <c r="AA1707" i="1" s="1"/>
  <c r="AA1708" i="1" a="1"/>
  <c r="AA1708" i="1" s="1"/>
  <c r="AA1709" i="1" a="1"/>
  <c r="AA1709" i="1" s="1"/>
  <c r="AA1710" i="1" a="1"/>
  <c r="AA1710" i="1" s="1"/>
  <c r="AA1711" i="1" a="1"/>
  <c r="AA1711" i="1" s="1"/>
  <c r="AA1712" i="1" a="1"/>
  <c r="AA1712" i="1" s="1"/>
  <c r="AA1713" i="1" a="1"/>
  <c r="AA1713" i="1" s="1"/>
  <c r="AA1714" i="1" a="1"/>
  <c r="AA1714" i="1" s="1"/>
  <c r="AA1715" i="1" a="1"/>
  <c r="AA1715" i="1" s="1"/>
  <c r="AA1716" i="1" a="1"/>
  <c r="AA1716" i="1" s="1"/>
  <c r="AA1717" i="1" a="1"/>
  <c r="AA1717" i="1" s="1"/>
  <c r="AA1718" i="1" a="1"/>
  <c r="AA1718" i="1" s="1"/>
  <c r="AA1719" i="1" a="1"/>
  <c r="AA1719" i="1" s="1"/>
  <c r="AA1720" i="1" a="1"/>
  <c r="AA1720" i="1" s="1"/>
  <c r="AA1721" i="1" a="1"/>
  <c r="AA1721" i="1" s="1"/>
  <c r="AA1722" i="1" a="1"/>
  <c r="AA1722" i="1" s="1"/>
  <c r="AA1723" i="1" a="1"/>
  <c r="AA1723" i="1" s="1"/>
  <c r="AA1724" i="1" a="1"/>
  <c r="AA1724" i="1" s="1"/>
  <c r="AA1725" i="1" a="1"/>
  <c r="AA1725" i="1" s="1"/>
  <c r="AA1726" i="1" a="1"/>
  <c r="AA1726" i="1" s="1"/>
  <c r="AA1727" i="1" a="1"/>
  <c r="AA1727" i="1" s="1"/>
  <c r="AA1728" i="1" a="1"/>
  <c r="AA1728" i="1" s="1"/>
  <c r="AA1729" i="1" a="1"/>
  <c r="AA1729" i="1" s="1"/>
  <c r="AA1730" i="1" a="1"/>
  <c r="AA1730" i="1" s="1"/>
  <c r="AA1731" i="1" a="1"/>
  <c r="AA1731" i="1" s="1"/>
  <c r="AA1732" i="1" a="1"/>
  <c r="AA1732" i="1" s="1"/>
  <c r="AA1733" i="1" a="1"/>
  <c r="AA1733" i="1" s="1"/>
  <c r="AA1734" i="1" a="1"/>
  <c r="AA1734" i="1" s="1"/>
  <c r="AA1735" i="1" a="1"/>
  <c r="AA1735" i="1" s="1"/>
  <c r="AA1736" i="1" a="1"/>
  <c r="AA1736" i="1" s="1"/>
  <c r="AA1737" i="1" a="1"/>
  <c r="AA1737" i="1" s="1"/>
  <c r="AA1738" i="1" a="1"/>
  <c r="AA1738" i="1" s="1"/>
  <c r="AA1739" i="1" a="1"/>
  <c r="AA1739" i="1" s="1"/>
  <c r="AA1740" i="1" a="1"/>
  <c r="AA1740" i="1" s="1"/>
  <c r="AA1741" i="1" a="1"/>
  <c r="AA1741" i="1" s="1"/>
  <c r="AA1742" i="1" a="1"/>
  <c r="AA1742" i="1" s="1"/>
  <c r="AA1743" i="1" a="1"/>
  <c r="AA1743" i="1" s="1"/>
  <c r="AA1744" i="1" a="1"/>
  <c r="AA1744" i="1" s="1"/>
  <c r="AA1745" i="1" a="1"/>
  <c r="AA1745" i="1" s="1"/>
  <c r="AA1746" i="1" a="1"/>
  <c r="AA1746" i="1" s="1"/>
  <c r="AA1747" i="1" a="1"/>
  <c r="AA1747" i="1" s="1"/>
  <c r="AA1748" i="1" a="1"/>
  <c r="AA1748" i="1" s="1"/>
  <c r="AA1749" i="1" a="1"/>
  <c r="AA1749" i="1" s="1"/>
  <c r="AA1750" i="1" a="1"/>
  <c r="AA1750" i="1" s="1"/>
  <c r="AA1751" i="1" a="1"/>
  <c r="AA1751" i="1" s="1"/>
  <c r="AA1752" i="1" a="1"/>
  <c r="AA1752" i="1" s="1"/>
  <c r="AA1753" i="1" a="1"/>
  <c r="AA1753" i="1" s="1"/>
  <c r="AA1754" i="1" a="1"/>
  <c r="AA1754" i="1" s="1"/>
  <c r="AA1755" i="1" a="1"/>
  <c r="AA1755" i="1" s="1"/>
  <c r="AA1756" i="1" a="1"/>
  <c r="AA1756" i="1" s="1"/>
  <c r="AA1757" i="1" a="1"/>
  <c r="AA1757" i="1" s="1"/>
  <c r="AA1758" i="1" a="1"/>
  <c r="AA1758" i="1" s="1"/>
  <c r="AA1759" i="1" a="1"/>
  <c r="AA1759" i="1" s="1"/>
  <c r="AA1760" i="1" a="1"/>
  <c r="AA1760" i="1" s="1"/>
  <c r="AA1761" i="1" a="1"/>
  <c r="AA1761" i="1" s="1"/>
  <c r="AA1762" i="1" a="1"/>
  <c r="AA1762" i="1" s="1"/>
  <c r="AA1763" i="1" a="1"/>
  <c r="AA1763" i="1" s="1"/>
  <c r="AA1764" i="1" a="1"/>
  <c r="AA1764" i="1" s="1"/>
  <c r="AA1765" i="1" a="1"/>
  <c r="AA1765" i="1" s="1"/>
  <c r="AA1766" i="1" a="1"/>
  <c r="AA1766" i="1" s="1"/>
  <c r="AA1767" i="1" a="1"/>
  <c r="AA1767" i="1" s="1"/>
  <c r="AA1768" i="1" a="1"/>
  <c r="AA1768" i="1" s="1"/>
  <c r="AA1769" i="1" a="1"/>
  <c r="AA1769" i="1" s="1"/>
  <c r="AA1770" i="1" a="1"/>
  <c r="AA1770" i="1" s="1"/>
  <c r="AA1771" i="1" a="1"/>
  <c r="AA1771" i="1" s="1"/>
  <c r="AA1772" i="1" a="1"/>
  <c r="AA1772" i="1" s="1"/>
  <c r="AA1773" i="1" a="1"/>
  <c r="AA1773" i="1" s="1"/>
  <c r="AA1774" i="1" a="1"/>
  <c r="AA1774" i="1" s="1"/>
  <c r="AA1775" i="1" a="1"/>
  <c r="AA1775" i="1" s="1"/>
  <c r="AA1776" i="1" a="1"/>
  <c r="AA1776" i="1" s="1"/>
  <c r="AA1777" i="1" a="1"/>
  <c r="AA1777" i="1" s="1"/>
  <c r="AA1778" i="1" a="1"/>
  <c r="AA1778" i="1" s="1"/>
  <c r="AA1779" i="1" a="1"/>
  <c r="AA1779" i="1" s="1"/>
  <c r="AA1780" i="1" a="1"/>
  <c r="AA1780" i="1" s="1"/>
  <c r="AA1781" i="1" a="1"/>
  <c r="AA1781" i="1" s="1"/>
  <c r="AA1782" i="1" a="1"/>
  <c r="AA1782" i="1" s="1"/>
  <c r="AA1783" i="1" a="1"/>
  <c r="AA1783" i="1" s="1"/>
  <c r="AA1784" i="1" a="1"/>
  <c r="AA1784" i="1" s="1"/>
  <c r="AA1785" i="1" a="1"/>
  <c r="AA1785" i="1" s="1"/>
  <c r="AA1786" i="1" a="1"/>
  <c r="AA1786" i="1" s="1"/>
  <c r="AA1787" i="1" a="1"/>
  <c r="AA1787" i="1" s="1"/>
  <c r="AA1788" i="1" a="1"/>
  <c r="AA1788" i="1" s="1"/>
  <c r="AA1789" i="1" a="1"/>
  <c r="AA1789" i="1" s="1"/>
  <c r="AA1790" i="1" a="1"/>
  <c r="AA1790" i="1" s="1"/>
  <c r="AA1791" i="1" a="1"/>
  <c r="AA1791" i="1" s="1"/>
  <c r="AA1792" i="1" a="1"/>
  <c r="AA1792" i="1" s="1"/>
  <c r="AA1793" i="1" a="1"/>
  <c r="AA1793" i="1" s="1"/>
  <c r="AA1794" i="1" a="1"/>
  <c r="AA1794" i="1" s="1"/>
  <c r="AA1795" i="1" a="1"/>
  <c r="AA1795" i="1" s="1"/>
  <c r="AA1796" i="1" a="1"/>
  <c r="AA1796" i="1" s="1"/>
  <c r="AA1797" i="1" a="1"/>
  <c r="AA1797" i="1" s="1"/>
  <c r="AA1798" i="1" a="1"/>
  <c r="AA1798" i="1" s="1"/>
  <c r="AA1799" i="1" a="1"/>
  <c r="AA1799" i="1" s="1"/>
  <c r="AA1800" i="1" a="1"/>
  <c r="AA1800" i="1" s="1"/>
  <c r="AA1801" i="1" a="1"/>
  <c r="AA1801" i="1" s="1"/>
  <c r="AA1802" i="1" a="1"/>
  <c r="AA1802" i="1" s="1"/>
  <c r="AA1803" i="1" a="1"/>
  <c r="AA1803" i="1" s="1"/>
  <c r="AA1804" i="1" a="1"/>
  <c r="AA1804" i="1" s="1"/>
  <c r="AA1805" i="1" a="1"/>
  <c r="AA1805" i="1" s="1"/>
  <c r="AA1806" i="1" a="1"/>
  <c r="AA1806" i="1" s="1"/>
  <c r="AA1807" i="1" a="1"/>
  <c r="AA1807" i="1" s="1"/>
  <c r="AA1808" i="1" a="1"/>
  <c r="AA1808" i="1" s="1"/>
  <c r="AA1809" i="1" a="1"/>
  <c r="AA1809" i="1" s="1"/>
  <c r="AA1810" i="1" a="1"/>
  <c r="AA1810" i="1" s="1"/>
  <c r="AA1811" i="1" a="1"/>
  <c r="AA1811" i="1" s="1"/>
  <c r="AA1812" i="1" a="1"/>
  <c r="AA1812" i="1" s="1"/>
  <c r="AA1813" i="1" a="1"/>
  <c r="AA1813" i="1" s="1"/>
  <c r="AA1814" i="1" a="1"/>
  <c r="AA1814" i="1" s="1"/>
  <c r="AA1815" i="1" a="1"/>
  <c r="AA1815" i="1" s="1"/>
  <c r="AA1816" i="1" a="1"/>
  <c r="AA1816" i="1" s="1"/>
  <c r="AA1817" i="1" a="1"/>
  <c r="AA1817" i="1" s="1"/>
  <c r="AA1818" i="1" a="1"/>
  <c r="AA1818" i="1" s="1"/>
  <c r="AA1819" i="1" a="1"/>
  <c r="AA1819" i="1" s="1"/>
  <c r="AA1820" i="1" a="1"/>
  <c r="AA1820" i="1" s="1"/>
  <c r="AA1821" i="1" a="1"/>
  <c r="AA1821" i="1" s="1"/>
  <c r="AA1822" i="1" a="1"/>
  <c r="AA1822" i="1" s="1"/>
  <c r="AA1823" i="1" a="1"/>
  <c r="AA1823" i="1" s="1"/>
  <c r="AA1824" i="1" a="1"/>
  <c r="AA1824" i="1" s="1"/>
  <c r="AA1825" i="1" a="1"/>
  <c r="AA1825" i="1" s="1"/>
  <c r="AA1826" i="1" a="1"/>
  <c r="AA1826" i="1" s="1"/>
  <c r="AA1827" i="1" a="1"/>
  <c r="AA1827" i="1" s="1"/>
  <c r="AA1828" i="1" a="1"/>
  <c r="AA1828" i="1" s="1"/>
  <c r="AA1829" i="1" a="1"/>
  <c r="AA1829" i="1" s="1"/>
  <c r="AA1830" i="1" a="1"/>
  <c r="AA1830" i="1" s="1"/>
  <c r="AA1831" i="1" a="1"/>
  <c r="AA1831" i="1" s="1"/>
  <c r="AA1832" i="1" a="1"/>
  <c r="AA1832" i="1" s="1"/>
  <c r="AA1833" i="1" a="1"/>
  <c r="AA1833" i="1" s="1"/>
  <c r="AA1834" i="1" a="1"/>
  <c r="AA1834" i="1" s="1"/>
  <c r="AA1835" i="1" a="1"/>
  <c r="AA1835" i="1" s="1"/>
  <c r="AA1836" i="1" a="1"/>
  <c r="AA1836" i="1" s="1"/>
  <c r="AA1837" i="1" a="1"/>
  <c r="AA1837" i="1" s="1"/>
  <c r="AA1838" i="1" a="1"/>
  <c r="AA1838" i="1" s="1"/>
  <c r="AA1839" i="1" a="1"/>
  <c r="AA1839" i="1" s="1"/>
  <c r="AA1840" i="1" a="1"/>
  <c r="AA1840" i="1" s="1"/>
  <c r="AA1841" i="1" a="1"/>
  <c r="AA1841" i="1" s="1"/>
  <c r="AA1842" i="1" a="1"/>
  <c r="AA1842" i="1" s="1"/>
  <c r="AA1843" i="1" a="1"/>
  <c r="AA1843" i="1" s="1"/>
  <c r="AA1844" i="1" a="1"/>
  <c r="AA1844" i="1" s="1"/>
  <c r="AA1845" i="1" a="1"/>
  <c r="AA1845" i="1" s="1"/>
  <c r="AA1846" i="1" a="1"/>
  <c r="AA1846" i="1" s="1"/>
  <c r="AA1847" i="1" a="1"/>
  <c r="AA1847" i="1" s="1"/>
  <c r="AA1848" i="1" a="1"/>
  <c r="AA1848" i="1" s="1"/>
  <c r="AA1849" i="1" a="1"/>
  <c r="AA1849" i="1" s="1"/>
  <c r="AA1850" i="1" a="1"/>
  <c r="AA1850" i="1" s="1"/>
  <c r="AA1851" i="1" a="1"/>
  <c r="AA1851" i="1" s="1"/>
  <c r="AA1852" i="1" a="1"/>
  <c r="AA1852" i="1" s="1"/>
  <c r="AA1853" i="1" a="1"/>
  <c r="AA1853" i="1" s="1"/>
  <c r="AA1854" i="1" a="1"/>
  <c r="AA1854" i="1" s="1"/>
  <c r="AA1855" i="1" a="1"/>
  <c r="AA1855" i="1" s="1"/>
  <c r="AA1856" i="1" a="1"/>
  <c r="AA1856" i="1" s="1"/>
  <c r="AA1857" i="1" a="1"/>
  <c r="AA1857" i="1" s="1"/>
  <c r="AA1858" i="1" a="1"/>
  <c r="AA1858" i="1" s="1"/>
  <c r="AA1859" i="1" a="1"/>
  <c r="AA1859" i="1" s="1"/>
  <c r="AA1860" i="1" a="1"/>
  <c r="AA1860" i="1" s="1"/>
  <c r="AA1861" i="1" a="1"/>
  <c r="AA1861" i="1" s="1"/>
  <c r="AA1862" i="1" a="1"/>
  <c r="AA1862" i="1" s="1"/>
  <c r="AA1863" i="1" a="1"/>
  <c r="AA1863" i="1" s="1"/>
  <c r="AA1864" i="1" a="1"/>
  <c r="AA1864" i="1" s="1"/>
  <c r="AA1865" i="1" a="1"/>
  <c r="AA1865" i="1" s="1"/>
  <c r="AA1866" i="1" a="1"/>
  <c r="AA1866" i="1" s="1"/>
  <c r="AA1867" i="1" a="1"/>
  <c r="AA1867" i="1" s="1"/>
  <c r="AA1868" i="1" a="1"/>
  <c r="AA1868" i="1" s="1"/>
  <c r="AA1869" i="1" a="1"/>
  <c r="AA1869" i="1" s="1"/>
  <c r="AA1870" i="1" a="1"/>
  <c r="AA1870" i="1" s="1"/>
  <c r="AA1871" i="1" a="1"/>
  <c r="AA1871" i="1" s="1"/>
  <c r="AA1872" i="1" a="1"/>
  <c r="AA1872" i="1" s="1"/>
  <c r="AA1873" i="1" a="1"/>
  <c r="AA1873" i="1" s="1"/>
  <c r="AA1874" i="1" a="1"/>
  <c r="AA1874" i="1" s="1"/>
  <c r="AA1875" i="1" a="1"/>
  <c r="AA1875" i="1" s="1"/>
  <c r="AA1876" i="1" a="1"/>
  <c r="AA1876" i="1" s="1"/>
  <c r="AA1877" i="1" a="1"/>
  <c r="AA1877" i="1" s="1"/>
  <c r="AA1878" i="1" a="1"/>
  <c r="AA1878" i="1" s="1"/>
  <c r="AA1879" i="1" a="1"/>
  <c r="AA1879" i="1" s="1"/>
  <c r="AA1880" i="1" a="1"/>
  <c r="AA1880" i="1" s="1"/>
  <c r="AA1881" i="1" a="1"/>
  <c r="AA1881" i="1" s="1"/>
  <c r="AA1882" i="1" a="1"/>
  <c r="AA1882" i="1" s="1"/>
  <c r="AA1883" i="1" a="1"/>
  <c r="AA1883" i="1" s="1"/>
  <c r="AA1884" i="1" a="1"/>
  <c r="AA1884" i="1" s="1"/>
  <c r="AA1885" i="1" a="1"/>
  <c r="AA1885" i="1" s="1"/>
  <c r="AA1886" i="1" a="1"/>
  <c r="AA1886" i="1" s="1"/>
  <c r="AA1887" i="1" a="1"/>
  <c r="AA1887" i="1" s="1"/>
  <c r="AA1888" i="1" a="1"/>
  <c r="AA1888" i="1" s="1"/>
  <c r="AA1889" i="1" a="1"/>
  <c r="AA1889" i="1" s="1"/>
  <c r="AA1890" i="1" a="1"/>
  <c r="AA1890" i="1" s="1"/>
  <c r="AA1891" i="1" a="1"/>
  <c r="AA1891" i="1" s="1"/>
  <c r="AA1892" i="1" a="1"/>
  <c r="AA1892" i="1" s="1"/>
  <c r="AA1893" i="1" a="1"/>
  <c r="AA1893" i="1" s="1"/>
  <c r="AA1894" i="1" a="1"/>
  <c r="AA1894" i="1" s="1"/>
  <c r="AA1895" i="1" a="1"/>
  <c r="AA1895" i="1" s="1"/>
  <c r="AA1896" i="1" a="1"/>
  <c r="AA1896" i="1" s="1"/>
  <c r="AA1897" i="1" a="1"/>
  <c r="AA1897" i="1" s="1"/>
  <c r="AA1898" i="1" a="1"/>
  <c r="AA1898" i="1" s="1"/>
  <c r="AA1899" i="1" a="1"/>
  <c r="AA1899" i="1" s="1"/>
  <c r="B3" i="3"/>
  <c r="AB31" i="8" l="1"/>
  <c r="AB7" i="8"/>
  <c r="Z159" i="8"/>
  <c r="AB159" i="8"/>
  <c r="AA139" i="8"/>
  <c r="AB139" i="8"/>
  <c r="AA119" i="8"/>
  <c r="AB119" i="8"/>
  <c r="Z99" i="8"/>
  <c r="AB99" i="8"/>
  <c r="AA59" i="8"/>
  <c r="AB59" i="8"/>
  <c r="Z39" i="8"/>
  <c r="AB39" i="8"/>
  <c r="AA158" i="8"/>
  <c r="AB158" i="8"/>
  <c r="Y138" i="8"/>
  <c r="BJ138" i="8" s="1"/>
  <c r="AB138" i="8"/>
  <c r="AA118" i="8"/>
  <c r="AB118" i="8"/>
  <c r="AA98" i="8"/>
  <c r="AB98" i="8"/>
  <c r="Y78" i="8"/>
  <c r="BJ78" i="8" s="1"/>
  <c r="AB78" i="8"/>
  <c r="AA58" i="8"/>
  <c r="AB58" i="8"/>
  <c r="AA38" i="8"/>
  <c r="AB38" i="8"/>
  <c r="Z18" i="8"/>
  <c r="AB18" i="8"/>
  <c r="AA157" i="8"/>
  <c r="AB157" i="8"/>
  <c r="Z137" i="8"/>
  <c r="AB137" i="8"/>
  <c r="AA117" i="8"/>
  <c r="AB117" i="8"/>
  <c r="AA97" i="8"/>
  <c r="AB97" i="8"/>
  <c r="Y77" i="8"/>
  <c r="AO77" i="8" s="1" a="1"/>
  <c r="AO77" i="8" s="1"/>
  <c r="AB77" i="8"/>
  <c r="AA57" i="8"/>
  <c r="AB57" i="8"/>
  <c r="AA37" i="8"/>
  <c r="AB37" i="8"/>
  <c r="Y17" i="8"/>
  <c r="BJ17" i="8" s="1"/>
  <c r="AB17" i="8"/>
  <c r="Z156" i="8"/>
  <c r="AB156" i="8"/>
  <c r="AA136" i="8"/>
  <c r="AB136" i="8"/>
  <c r="AA116" i="8"/>
  <c r="AB116" i="8"/>
  <c r="Z96" i="8"/>
  <c r="AB96" i="8"/>
  <c r="AA76" i="8"/>
  <c r="AB76" i="8"/>
  <c r="AA56" i="8"/>
  <c r="AB56" i="8"/>
  <c r="Z36" i="8"/>
  <c r="AB36" i="8"/>
  <c r="AA16" i="8"/>
  <c r="AB16" i="8"/>
  <c r="Y155" i="8"/>
  <c r="AP155" i="8" s="1" a="1"/>
  <c r="AP155" i="8" s="1"/>
  <c r="AB155" i="8"/>
  <c r="Z135" i="8"/>
  <c r="AB135" i="8"/>
  <c r="AA115" i="8"/>
  <c r="AB115" i="8"/>
  <c r="Y95" i="8"/>
  <c r="AB95" i="8"/>
  <c r="Z75" i="8"/>
  <c r="AB75" i="8"/>
  <c r="AA35" i="8"/>
  <c r="AB35" i="8"/>
  <c r="Z15" i="8"/>
  <c r="AB15" i="8"/>
  <c r="AA154" i="8"/>
  <c r="AB154" i="8"/>
  <c r="AA134" i="8"/>
  <c r="AB134" i="8"/>
  <c r="AA114" i="8"/>
  <c r="AB114" i="8"/>
  <c r="AA94" i="8"/>
  <c r="AB94" i="8"/>
  <c r="AA74" i="8"/>
  <c r="AB74" i="8"/>
  <c r="Y54" i="8"/>
  <c r="AQ54" i="8" s="1" a="1"/>
  <c r="AQ54" i="8" s="1"/>
  <c r="AB54" i="8"/>
  <c r="AA34" i="8"/>
  <c r="AB34" i="8"/>
  <c r="AA14" i="8"/>
  <c r="AB14" i="8"/>
  <c r="AA153" i="8"/>
  <c r="AB153" i="8"/>
  <c r="AA133" i="8"/>
  <c r="AB133" i="8"/>
  <c r="Z113" i="8"/>
  <c r="AB113" i="8"/>
  <c r="AA93" i="8"/>
  <c r="AB93" i="8"/>
  <c r="AA73" i="8"/>
  <c r="AB73" i="8"/>
  <c r="Y53" i="8"/>
  <c r="BJ53" i="8" s="1"/>
  <c r="AB53" i="8"/>
  <c r="AA33" i="8"/>
  <c r="AB33" i="8"/>
  <c r="AA13" i="8"/>
  <c r="AB13" i="8"/>
  <c r="Z152" i="8"/>
  <c r="AB152" i="8"/>
  <c r="Z132" i="8"/>
  <c r="AB132" i="8"/>
  <c r="AA112" i="8"/>
  <c r="AB112" i="8"/>
  <c r="Z92" i="8"/>
  <c r="AB92" i="8"/>
  <c r="Z72" i="8"/>
  <c r="AB72" i="8"/>
  <c r="AA52" i="8"/>
  <c r="AB52" i="8"/>
  <c r="Y32" i="8"/>
  <c r="AP32" i="8" s="1" a="1"/>
  <c r="AP32" i="8" s="1"/>
  <c r="AB32" i="8"/>
  <c r="Z12" i="8"/>
  <c r="AB12" i="8"/>
  <c r="AA151" i="8"/>
  <c r="AB151" i="8"/>
  <c r="Y131" i="8"/>
  <c r="AR131" i="8" s="1" a="1"/>
  <c r="AR131" i="8" s="1"/>
  <c r="AB131" i="8"/>
  <c r="Z111" i="8"/>
  <c r="AB111" i="8"/>
  <c r="AA91" i="8"/>
  <c r="AB91" i="8"/>
  <c r="Z71" i="8"/>
  <c r="AB71" i="8"/>
  <c r="Z51" i="8"/>
  <c r="AB51" i="8"/>
  <c r="Z11" i="8"/>
  <c r="AB11" i="8"/>
  <c r="AA150" i="8"/>
  <c r="AB150" i="8"/>
  <c r="AA130" i="8"/>
  <c r="AB130" i="8"/>
  <c r="AA110" i="8"/>
  <c r="AB110" i="8"/>
  <c r="Z90" i="8"/>
  <c r="AB90" i="8"/>
  <c r="AA70" i="8"/>
  <c r="AB70" i="8"/>
  <c r="AA50" i="8"/>
  <c r="AB50" i="8"/>
  <c r="AA30" i="8"/>
  <c r="AB30" i="8"/>
  <c r="AA10" i="8"/>
  <c r="AB10" i="8"/>
  <c r="AA149" i="8"/>
  <c r="AB149" i="8"/>
  <c r="AA129" i="8"/>
  <c r="AB129" i="8"/>
  <c r="AA109" i="8"/>
  <c r="AB109" i="8"/>
  <c r="AA89" i="8"/>
  <c r="AB89" i="8"/>
  <c r="AA69" i="8"/>
  <c r="AB69" i="8"/>
  <c r="AA49" i="8"/>
  <c r="AB49" i="8"/>
  <c r="AA29" i="8"/>
  <c r="AB29" i="8"/>
  <c r="AA9" i="8"/>
  <c r="AB9" i="8"/>
  <c r="AA148" i="8"/>
  <c r="AB148" i="8"/>
  <c r="Y128" i="8"/>
  <c r="AR128" i="8" s="1" a="1"/>
  <c r="AR128" i="8" s="1"/>
  <c r="AB128" i="8"/>
  <c r="Z108" i="8"/>
  <c r="AB108" i="8"/>
  <c r="AA88" i="8"/>
  <c r="AB88" i="8"/>
  <c r="AA68" i="8"/>
  <c r="AB68" i="8"/>
  <c r="Z48" i="8"/>
  <c r="AB48" i="8"/>
  <c r="AA28" i="8"/>
  <c r="AB28" i="8"/>
  <c r="Z8" i="8"/>
  <c r="AB8" i="8"/>
  <c r="Z147" i="8"/>
  <c r="AB147" i="8"/>
  <c r="AA127" i="8"/>
  <c r="AB127" i="8"/>
  <c r="Y107" i="8"/>
  <c r="AO107" i="8" s="1" a="1"/>
  <c r="AO107" i="8" s="1"/>
  <c r="AB107" i="8"/>
  <c r="Z87" i="8"/>
  <c r="AB87" i="8"/>
  <c r="AA67" i="8"/>
  <c r="AB67" i="8"/>
  <c r="Y47" i="8"/>
  <c r="BJ47" i="8" s="1"/>
  <c r="AB47" i="8"/>
  <c r="Z27" i="8"/>
  <c r="AB27" i="8"/>
  <c r="AA146" i="8"/>
  <c r="AB146" i="8"/>
  <c r="Y126" i="8"/>
  <c r="BJ126" i="8" s="1"/>
  <c r="AB126" i="8"/>
  <c r="AA106" i="8"/>
  <c r="AB106" i="8"/>
  <c r="AA86" i="8"/>
  <c r="AB86" i="8"/>
  <c r="Z66" i="8"/>
  <c r="AB66" i="8"/>
  <c r="AA46" i="8"/>
  <c r="AB46" i="8"/>
  <c r="AA26" i="8"/>
  <c r="AB26" i="8"/>
  <c r="AA6" i="8"/>
  <c r="AB6" i="8"/>
  <c r="AA145" i="8"/>
  <c r="AB145" i="8"/>
  <c r="AA125" i="8"/>
  <c r="AB125" i="8"/>
  <c r="AA105" i="8"/>
  <c r="AB105" i="8"/>
  <c r="AA85" i="8"/>
  <c r="AB85" i="8"/>
  <c r="Y65" i="8"/>
  <c r="BJ65" i="8" s="1"/>
  <c r="AB65" i="8"/>
  <c r="AA45" i="8"/>
  <c r="AB45" i="8"/>
  <c r="AA25" i="8"/>
  <c r="AB25" i="8"/>
  <c r="AA5" i="8"/>
  <c r="AB5" i="8"/>
  <c r="Z144" i="8"/>
  <c r="AB144" i="8"/>
  <c r="AA124" i="8"/>
  <c r="AB124" i="8"/>
  <c r="Y104" i="8"/>
  <c r="AS104" i="8" s="1" a="1"/>
  <c r="AS104" i="8" s="1"/>
  <c r="AB104" i="8"/>
  <c r="Z84" i="8"/>
  <c r="AB84" i="8"/>
  <c r="AA64" i="8"/>
  <c r="AB64" i="8"/>
  <c r="AA44" i="8"/>
  <c r="AB44" i="8"/>
  <c r="Z24" i="8"/>
  <c r="AB24" i="8"/>
  <c r="AA4" i="8"/>
  <c r="AB4" i="8"/>
  <c r="AA143" i="8"/>
  <c r="AB143" i="8"/>
  <c r="Z123" i="8"/>
  <c r="AB123" i="8"/>
  <c r="AA103" i="8"/>
  <c r="AB103" i="8"/>
  <c r="Y83" i="8"/>
  <c r="AT83" i="8" s="1" a="1"/>
  <c r="AT83" i="8" s="1"/>
  <c r="AB83" i="8"/>
  <c r="Z63" i="8"/>
  <c r="AB63" i="8"/>
  <c r="AA43" i="8"/>
  <c r="AB43" i="8"/>
  <c r="Z23" i="8"/>
  <c r="AB23" i="8"/>
  <c r="Z3" i="8"/>
  <c r="AB3" i="8"/>
  <c r="Y2" i="8"/>
  <c r="AT2" i="8" s="1" a="1"/>
  <c r="AT2" i="8" s="1"/>
  <c r="AB2" i="8"/>
  <c r="AA142" i="8"/>
  <c r="AB142" i="8"/>
  <c r="AA122" i="8"/>
  <c r="AB122" i="8"/>
  <c r="Y102" i="8"/>
  <c r="AT102" i="8" s="1" a="1"/>
  <c r="AT102" i="8" s="1"/>
  <c r="AB102" i="8"/>
  <c r="AA82" i="8"/>
  <c r="AB82" i="8"/>
  <c r="AA62" i="8"/>
  <c r="AB62" i="8"/>
  <c r="Y42" i="8"/>
  <c r="BJ42" i="8" s="1"/>
  <c r="AB42" i="8"/>
  <c r="AA22" i="8"/>
  <c r="AB22" i="8"/>
  <c r="Z28" i="8"/>
  <c r="Y161" i="8"/>
  <c r="AB161" i="8"/>
  <c r="AA141" i="8"/>
  <c r="AB141" i="8"/>
  <c r="AA121" i="8"/>
  <c r="AB121" i="8"/>
  <c r="AA101" i="8"/>
  <c r="AB101" i="8"/>
  <c r="AA81" i="8"/>
  <c r="AB81" i="8"/>
  <c r="AA61" i="8"/>
  <c r="AB61" i="8"/>
  <c r="Y41" i="8"/>
  <c r="BJ41" i="8" s="1"/>
  <c r="AB41" i="8"/>
  <c r="AA21" i="8"/>
  <c r="AB21" i="8"/>
  <c r="AA160" i="8"/>
  <c r="AB160" i="8"/>
  <c r="Y140" i="8"/>
  <c r="AO140" i="8" s="1" a="1"/>
  <c r="AO140" i="8" s="1"/>
  <c r="AB140" i="8"/>
  <c r="Z120" i="8"/>
  <c r="AB120" i="8"/>
  <c r="AA100" i="8"/>
  <c r="AB100" i="8"/>
  <c r="Z80" i="8"/>
  <c r="AB80" i="8"/>
  <c r="Z60" i="8"/>
  <c r="AB60" i="8"/>
  <c r="AA40" i="8"/>
  <c r="AB40" i="8"/>
  <c r="Y20" i="8"/>
  <c r="BJ20" i="8" s="1"/>
  <c r="AB20" i="8"/>
  <c r="E506" i="4" a="1"/>
  <c r="E506" i="4" s="1"/>
  <c r="F506" i="4" s="1" a="1"/>
  <c r="F506" i="4" s="1"/>
  <c r="E338" i="4" a="1"/>
  <c r="E338" i="4" s="1"/>
  <c r="F338" i="4" s="1" a="1"/>
  <c r="F338" i="4" s="1"/>
  <c r="E170" i="4" a="1"/>
  <c r="E170" i="4" s="1"/>
  <c r="F170" i="4" s="1" a="1"/>
  <c r="F170" i="4" s="1"/>
  <c r="E304" i="4" a="1"/>
  <c r="E304" i="4" s="1"/>
  <c r="F304" i="4" s="1" a="1"/>
  <c r="F304" i="4" s="1"/>
  <c r="E39" i="4" a="1"/>
  <c r="E39" i="4" s="1"/>
  <c r="F39" i="4" s="1" a="1"/>
  <c r="F39" i="4" s="1"/>
  <c r="E361" i="4" a="1"/>
  <c r="E361" i="4" s="1"/>
  <c r="F361" i="4" s="1" a="1"/>
  <c r="F361" i="4" s="1"/>
  <c r="E181" i="4" a="1"/>
  <c r="E181" i="4" s="1"/>
  <c r="F181" i="4" s="1" a="1"/>
  <c r="F181" i="4" s="1"/>
  <c r="E121" i="4" a="1"/>
  <c r="E121" i="4" s="1"/>
  <c r="F121" i="4" s="1" a="1"/>
  <c r="F121" i="4" s="1"/>
  <c r="E507" i="4" a="1"/>
  <c r="E507" i="4" s="1"/>
  <c r="F507" i="4" s="1" a="1"/>
  <c r="F507" i="4" s="1"/>
  <c r="E389" i="4" a="1"/>
  <c r="E389" i="4" s="1"/>
  <c r="F389" i="4" s="1" a="1"/>
  <c r="F389" i="4" s="1"/>
  <c r="E287" i="4" a="1"/>
  <c r="E287" i="4" s="1"/>
  <c r="F287" i="4" s="1" a="1"/>
  <c r="F287" i="4" s="1"/>
  <c r="E188" i="4" a="1"/>
  <c r="E188" i="4" s="1"/>
  <c r="F188" i="4" s="1" a="1"/>
  <c r="F188" i="4" s="1"/>
  <c r="E37" i="4" a="1"/>
  <c r="E37" i="4" s="1"/>
  <c r="F37" i="4" s="1" a="1"/>
  <c r="F37" i="4" s="1"/>
  <c r="C21" i="6"/>
  <c r="E457" i="4" a="1"/>
  <c r="E457" i="4" s="1"/>
  <c r="F457" i="4" s="1" a="1"/>
  <c r="F457" i="4" s="1"/>
  <c r="E373" i="4" a="1"/>
  <c r="E373" i="4" s="1"/>
  <c r="F373" i="4" s="1" a="1"/>
  <c r="F373" i="4" s="1"/>
  <c r="E482" i="4" a="1"/>
  <c r="E482" i="4" s="1"/>
  <c r="F482" i="4" s="1" a="1"/>
  <c r="F482" i="4" s="1"/>
  <c r="E388" i="4" a="1"/>
  <c r="E388" i="4" s="1"/>
  <c r="F388" i="4" s="1" a="1"/>
  <c r="F388" i="4" s="1"/>
  <c r="E278" i="4" a="1"/>
  <c r="E278" i="4" s="1"/>
  <c r="F278" i="4" s="1" a="1"/>
  <c r="F278" i="4" s="1"/>
  <c r="E27" i="4" a="1"/>
  <c r="E27" i="4" s="1"/>
  <c r="F27" i="4" s="1" a="1"/>
  <c r="F27" i="4" s="1"/>
  <c r="E494" i="4" a="1"/>
  <c r="E494" i="4" s="1"/>
  <c r="F494" i="4" s="1" a="1"/>
  <c r="F494" i="4" s="1"/>
  <c r="E323" i="4" a="1"/>
  <c r="E323" i="4" s="1"/>
  <c r="F323" i="4" s="1" a="1"/>
  <c r="F323" i="4" s="1"/>
  <c r="E11" i="4" a="1"/>
  <c r="E11" i="4" s="1"/>
  <c r="F11" i="4" s="1" a="1"/>
  <c r="F11" i="4" s="1"/>
  <c r="E475" i="4" a="1"/>
  <c r="E475" i="4" s="1"/>
  <c r="F475" i="4" s="1" a="1"/>
  <c r="F475" i="4" s="1"/>
  <c r="E381" i="4" a="1"/>
  <c r="E381" i="4" s="1"/>
  <c r="F381" i="4" s="1" a="1"/>
  <c r="F381" i="4" s="1"/>
  <c r="E266" i="4" a="1"/>
  <c r="E266" i="4" s="1"/>
  <c r="F266" i="4" s="1" a="1"/>
  <c r="F266" i="4" s="1"/>
  <c r="E164" i="4" a="1"/>
  <c r="E164" i="4" s="1"/>
  <c r="F164" i="4" s="1" a="1"/>
  <c r="F164" i="4" s="1"/>
  <c r="E25" i="4" a="1"/>
  <c r="E25" i="4" s="1"/>
  <c r="F25" i="4" s="1" a="1"/>
  <c r="F25" i="4" s="1"/>
  <c r="E422" i="4" a="1"/>
  <c r="E422" i="4" s="1"/>
  <c r="F422" i="4" s="1" a="1"/>
  <c r="F422" i="4" s="1"/>
  <c r="E498" i="4" a="1"/>
  <c r="E498" i="4" s="1"/>
  <c r="F498" i="4" s="1" a="1"/>
  <c r="F498" i="4" s="1"/>
  <c r="E455" i="4" a="1"/>
  <c r="E455" i="4" s="1"/>
  <c r="F455" i="4" s="1" a="1"/>
  <c r="F455" i="4" s="1"/>
  <c r="E374" i="4" a="1"/>
  <c r="E374" i="4" s="1"/>
  <c r="F374" i="4" s="1" a="1"/>
  <c r="F374" i="4" s="1"/>
  <c r="E259" i="4" a="1"/>
  <c r="E259" i="4" s="1"/>
  <c r="F259" i="4" s="1" a="1"/>
  <c r="F259" i="4" s="1"/>
  <c r="E153" i="4" a="1"/>
  <c r="E153" i="4" s="1"/>
  <c r="F153" i="4" s="1" a="1"/>
  <c r="F153" i="4" s="1"/>
  <c r="E13" i="4" a="1"/>
  <c r="E13" i="4" s="1"/>
  <c r="F13" i="4" s="1" a="1"/>
  <c r="F13" i="4" s="1"/>
  <c r="F53" i="6" a="1"/>
  <c r="F53" i="6" s="1"/>
  <c r="E201" i="4" a="1"/>
  <c r="E201" i="4" s="1"/>
  <c r="F201" i="4" s="1" a="1"/>
  <c r="F201" i="4" s="1"/>
  <c r="E21" i="4" a="1"/>
  <c r="E21" i="4" s="1"/>
  <c r="F21" i="4" s="1" a="1"/>
  <c r="F21" i="4" s="1"/>
  <c r="E9" i="4" a="1"/>
  <c r="E9" i="4" s="1"/>
  <c r="F9" i="4" s="1" a="1"/>
  <c r="F9" i="4" s="1"/>
  <c r="E448" i="4" a="1"/>
  <c r="E448" i="4" s="1"/>
  <c r="F448" i="4" s="1" a="1"/>
  <c r="F448" i="4" s="1"/>
  <c r="E258" i="4" a="1"/>
  <c r="E258" i="4" s="1"/>
  <c r="F258" i="4" s="1" a="1"/>
  <c r="F258" i="4" s="1"/>
  <c r="E119" i="4" a="1"/>
  <c r="E119" i="4" s="1"/>
  <c r="F119" i="4" s="1" a="1"/>
  <c r="F119" i="4" s="1"/>
  <c r="E5" i="4" a="1"/>
  <c r="E5" i="4" s="1"/>
  <c r="F5" i="4" s="1" a="1"/>
  <c r="F5" i="4" s="1"/>
  <c r="E380" i="4" a="1"/>
  <c r="E380" i="4" s="1"/>
  <c r="F380" i="4" s="1" a="1"/>
  <c r="F380" i="4" s="1"/>
  <c r="E152" i="4" a="1"/>
  <c r="E152" i="4" s="1"/>
  <c r="F152" i="4" s="1" a="1"/>
  <c r="F152" i="4" s="1"/>
  <c r="E68" i="4" a="1"/>
  <c r="E68" i="4" s="1"/>
  <c r="F68" i="4" s="1" a="1"/>
  <c r="F68" i="4" s="1"/>
  <c r="E20" i="4" a="1"/>
  <c r="E20" i="4" s="1"/>
  <c r="F20" i="4" s="1" a="1"/>
  <c r="F20" i="4" s="1"/>
  <c r="E447" i="4" a="1"/>
  <c r="E447" i="4" s="1"/>
  <c r="F447" i="4" s="1" a="1"/>
  <c r="F447" i="4" s="1"/>
  <c r="E342" i="4" a="1"/>
  <c r="E342" i="4" s="1"/>
  <c r="F342" i="4" s="1" a="1"/>
  <c r="F342" i="4" s="1"/>
  <c r="E246" i="4" a="1"/>
  <c r="E246" i="4" s="1"/>
  <c r="F246" i="4" s="1" a="1"/>
  <c r="F246" i="4" s="1"/>
  <c r="E117" i="4" a="1"/>
  <c r="E117" i="4" s="1"/>
  <c r="F117" i="4" s="1" a="1"/>
  <c r="F117" i="4" s="1"/>
  <c r="E3" i="4" a="1"/>
  <c r="E3" i="4" s="1"/>
  <c r="F3" i="4" s="1" a="1"/>
  <c r="F3" i="4" s="1"/>
  <c r="E295" i="4" a="1"/>
  <c r="E295" i="4" s="1"/>
  <c r="F295" i="4" s="1" a="1"/>
  <c r="F295" i="4" s="1"/>
  <c r="E163" i="4" a="1"/>
  <c r="E163" i="4" s="1"/>
  <c r="F163" i="4" s="1" a="1"/>
  <c r="F163" i="4" s="1"/>
  <c r="E19" i="4" a="1"/>
  <c r="E19" i="4" s="1"/>
  <c r="F19" i="4" s="1" a="1"/>
  <c r="F19" i="4" s="1"/>
  <c r="E440" i="4" a="1"/>
  <c r="E440" i="4" s="1"/>
  <c r="F440" i="4" s="1" a="1"/>
  <c r="F440" i="4" s="1"/>
  <c r="E335" i="4" a="1"/>
  <c r="E335" i="4" s="1"/>
  <c r="F335" i="4" s="1" a="1"/>
  <c r="F335" i="4" s="1"/>
  <c r="E237" i="4" a="1"/>
  <c r="E237" i="4" s="1"/>
  <c r="F237" i="4" s="1" a="1"/>
  <c r="F237" i="4" s="1"/>
  <c r="E30" i="4" a="1"/>
  <c r="E30" i="4" s="1"/>
  <c r="F30" i="4" s="1" a="1"/>
  <c r="F30" i="4" s="1"/>
  <c r="E434" i="4" a="1"/>
  <c r="E434" i="4" s="1"/>
  <c r="F434" i="4" s="1" a="1"/>
  <c r="F434" i="4" s="1"/>
  <c r="E328" i="4" a="1"/>
  <c r="E328" i="4" s="1"/>
  <c r="F328" i="4" s="1" a="1"/>
  <c r="F328" i="4" s="1"/>
  <c r="E236" i="4" a="1"/>
  <c r="E236" i="4" s="1"/>
  <c r="F236" i="4" s="1" a="1"/>
  <c r="F236" i="4" s="1"/>
  <c r="E95" i="4" a="1"/>
  <c r="E95" i="4" s="1"/>
  <c r="F95" i="4" s="1" a="1"/>
  <c r="F95" i="4" s="1"/>
  <c r="D3" i="6" a="1"/>
  <c r="D3" i="6" s="1"/>
  <c r="E317" i="4" a="1"/>
  <c r="E317" i="4" s="1"/>
  <c r="F317" i="4" s="1" a="1"/>
  <c r="F317" i="4" s="1"/>
  <c r="E245" i="4" a="1"/>
  <c r="E245" i="4" s="1"/>
  <c r="F245" i="4" s="1" a="1"/>
  <c r="F245" i="4" s="1"/>
  <c r="E161" i="4" a="1"/>
  <c r="E161" i="4" s="1"/>
  <c r="F161" i="4" s="1" a="1"/>
  <c r="F161" i="4" s="1"/>
  <c r="E77" i="4" a="1"/>
  <c r="E77" i="4" s="1"/>
  <c r="F77" i="4" s="1" a="1"/>
  <c r="F77" i="4" s="1"/>
  <c r="E427" i="4" a="1"/>
  <c r="E427" i="4" s="1"/>
  <c r="F427" i="4" s="1" a="1"/>
  <c r="F427" i="4" s="1"/>
  <c r="E319" i="4" a="1"/>
  <c r="E319" i="4" s="1"/>
  <c r="F319" i="4" s="1" a="1"/>
  <c r="F319" i="4" s="1"/>
  <c r="E218" i="4" a="1"/>
  <c r="E218" i="4" s="1"/>
  <c r="F218" i="4" s="1" a="1"/>
  <c r="F218" i="4" s="1"/>
  <c r="E74" i="4" a="1"/>
  <c r="E74" i="4" s="1"/>
  <c r="F74" i="4" s="1" a="1"/>
  <c r="F74" i="4" s="1"/>
  <c r="F3" i="6" a="1"/>
  <c r="F3" i="6" s="1"/>
  <c r="E352" i="4" a="1"/>
  <c r="E352" i="4" s="1"/>
  <c r="F352" i="4" s="1" a="1"/>
  <c r="F352" i="4" s="1"/>
  <c r="E184" i="4" a="1"/>
  <c r="E184" i="4" s="1"/>
  <c r="F184" i="4" s="1" a="1"/>
  <c r="F184" i="4" s="1"/>
  <c r="E28" i="4" a="1"/>
  <c r="E28" i="4" s="1"/>
  <c r="F28" i="4" s="1" a="1"/>
  <c r="F28" i="4" s="1"/>
  <c r="E16" i="4" a="1"/>
  <c r="E16" i="4" s="1"/>
  <c r="F16" i="4" s="1" a="1"/>
  <c r="F16" i="4" s="1"/>
  <c r="E426" i="4" a="1"/>
  <c r="E426" i="4" s="1"/>
  <c r="F426" i="4" s="1" a="1"/>
  <c r="F426" i="4" s="1"/>
  <c r="E313" i="4" a="1"/>
  <c r="E313" i="4" s="1"/>
  <c r="F313" i="4" s="1" a="1"/>
  <c r="F313" i="4" s="1"/>
  <c r="E62" i="4" a="1"/>
  <c r="E62" i="4" s="1"/>
  <c r="F62" i="4" s="1" a="1"/>
  <c r="F62" i="4" s="1"/>
  <c r="E171" i="4" a="1"/>
  <c r="E171" i="4" s="1"/>
  <c r="F171" i="4" s="1" a="1"/>
  <c r="F171" i="4" s="1"/>
  <c r="E199" i="4" a="1"/>
  <c r="E199" i="4" s="1"/>
  <c r="F199" i="4" s="1" a="1"/>
  <c r="F199" i="4" s="1"/>
  <c r="E47" i="4" a="1"/>
  <c r="E47" i="4" s="1"/>
  <c r="F47" i="4" s="1" a="1"/>
  <c r="F47" i="4" s="1"/>
  <c r="H4" i="6" a="1"/>
  <c r="H4" i="6" s="1"/>
  <c r="I73" i="6" a="1"/>
  <c r="I73" i="6" s="1"/>
  <c r="E504" i="4" a="1"/>
  <c r="E504" i="4" s="1"/>
  <c r="F504" i="4" s="1" a="1"/>
  <c r="F504" i="4" s="1"/>
  <c r="F70" i="6" a="1"/>
  <c r="F70" i="6" s="1"/>
  <c r="E480" i="4" a="1"/>
  <c r="E480" i="4" s="1"/>
  <c r="F480" i="4" s="1" a="1"/>
  <c r="F480" i="4" s="1"/>
  <c r="E65" i="6" a="1"/>
  <c r="E65" i="6" s="1"/>
  <c r="E444" i="4" a="1"/>
  <c r="E444" i="4" s="1"/>
  <c r="F444" i="4" s="1" a="1"/>
  <c r="F444" i="4" s="1"/>
  <c r="I61" i="6" a="1"/>
  <c r="I61" i="6" s="1"/>
  <c r="E420" i="4" a="1"/>
  <c r="E420" i="4" s="1"/>
  <c r="F420" i="4" s="1" a="1"/>
  <c r="F420" i="4" s="1"/>
  <c r="H56" i="6" a="1"/>
  <c r="H56" i="6" s="1"/>
  <c r="E384" i="4" a="1"/>
  <c r="E384" i="4" s="1"/>
  <c r="F384" i="4" s="1" a="1"/>
  <c r="F384" i="4" s="1"/>
  <c r="E372" i="4" a="1"/>
  <c r="E372" i="4" s="1"/>
  <c r="F372" i="4" s="1" a="1"/>
  <c r="F372" i="4" s="1"/>
  <c r="J54" i="6" a="1"/>
  <c r="J54" i="6" s="1"/>
  <c r="E53" i="6" a="1"/>
  <c r="E53" i="6" s="1"/>
  <c r="E360" i="4" a="1"/>
  <c r="E360" i="4" s="1"/>
  <c r="F360" i="4" s="1" a="1"/>
  <c r="F360" i="4" s="1"/>
  <c r="G51" i="6" a="1"/>
  <c r="G51" i="6" s="1"/>
  <c r="E348" i="4" a="1"/>
  <c r="E348" i="4" s="1"/>
  <c r="F348" i="4" s="1" a="1"/>
  <c r="F348" i="4" s="1"/>
  <c r="I49" i="6" a="1"/>
  <c r="I49" i="6" s="1"/>
  <c r="E336" i="4" a="1"/>
  <c r="E336" i="4" s="1"/>
  <c r="F336" i="4" s="1" a="1"/>
  <c r="F336" i="4" s="1"/>
  <c r="D48" i="6" a="1"/>
  <c r="D48" i="6" s="1"/>
  <c r="C48" i="6"/>
  <c r="E324" i="4" a="1"/>
  <c r="E324" i="4" s="1"/>
  <c r="F324" i="4" s="1" a="1"/>
  <c r="F324" i="4" s="1"/>
  <c r="F46" i="6" a="1"/>
  <c r="F46" i="6" s="1"/>
  <c r="E312" i="4" a="1"/>
  <c r="E312" i="4" s="1"/>
  <c r="F312" i="4" s="1" a="1"/>
  <c r="F312" i="4" s="1"/>
  <c r="H44" i="6" a="1"/>
  <c r="H44" i="6" s="1"/>
  <c r="E300" i="4" a="1"/>
  <c r="E300" i="4" s="1"/>
  <c r="F300" i="4" s="1" a="1"/>
  <c r="F300" i="4" s="1"/>
  <c r="J42" i="6" a="1"/>
  <c r="J42" i="6" s="1"/>
  <c r="E288" i="4" a="1"/>
  <c r="E288" i="4" s="1"/>
  <c r="F288" i="4" s="1" a="1"/>
  <c r="F288" i="4" s="1"/>
  <c r="E41" i="6" a="1"/>
  <c r="E41" i="6" s="1"/>
  <c r="E276" i="4" a="1"/>
  <c r="E276" i="4" s="1"/>
  <c r="F276" i="4" s="1" a="1"/>
  <c r="F276" i="4" s="1"/>
  <c r="E264" i="4" a="1"/>
  <c r="E264" i="4" s="1"/>
  <c r="F264" i="4" s="1" a="1"/>
  <c r="F264" i="4" s="1"/>
  <c r="G39" i="6" a="1"/>
  <c r="G39" i="6" s="1"/>
  <c r="D36" i="6" a="1"/>
  <c r="D36" i="6" s="1"/>
  <c r="C36" i="6"/>
  <c r="E240" i="4" a="1"/>
  <c r="E240" i="4" s="1"/>
  <c r="F240" i="4" s="1" a="1"/>
  <c r="F240" i="4" s="1"/>
  <c r="H32" i="6" a="1"/>
  <c r="H32" i="6" s="1"/>
  <c r="E216" i="4" a="1"/>
  <c r="E216" i="4" s="1"/>
  <c r="F216" i="4" s="1" a="1"/>
  <c r="F216" i="4" s="1"/>
  <c r="J30" i="6" a="1"/>
  <c r="J30" i="6" s="1"/>
  <c r="E204" i="4" a="1"/>
  <c r="E204" i="4" s="1"/>
  <c r="F204" i="4" s="1" a="1"/>
  <c r="F204" i="4" s="1"/>
  <c r="E29" i="6" a="1"/>
  <c r="E29" i="6" s="1"/>
  <c r="E192" i="4" a="1"/>
  <c r="E192" i="4" s="1"/>
  <c r="F192" i="4" s="1" a="1"/>
  <c r="F192" i="4" s="1"/>
  <c r="G27" i="6" a="1"/>
  <c r="G27" i="6" s="1"/>
  <c r="E180" i="4" a="1"/>
  <c r="E180" i="4" s="1"/>
  <c r="F180" i="4" s="1" a="1"/>
  <c r="F180" i="4" s="1"/>
  <c r="I25" i="6" a="1"/>
  <c r="I25" i="6" s="1"/>
  <c r="E168" i="4" a="1"/>
  <c r="E168" i="4" s="1"/>
  <c r="F168" i="4" s="1" a="1"/>
  <c r="F168" i="4" s="1"/>
  <c r="D24" i="6" a="1"/>
  <c r="D24" i="6" s="1"/>
  <c r="C24" i="6"/>
  <c r="E156" i="4" a="1"/>
  <c r="E156" i="4" s="1"/>
  <c r="F156" i="4" s="1" a="1"/>
  <c r="F156" i="4" s="1"/>
  <c r="F22" i="6" a="1"/>
  <c r="F22" i="6" s="1"/>
  <c r="E144" i="4" a="1"/>
  <c r="E144" i="4" s="1"/>
  <c r="F144" i="4" s="1" a="1"/>
  <c r="F144" i="4" s="1"/>
  <c r="J18" i="6" a="1"/>
  <c r="J18" i="6" s="1"/>
  <c r="E120" i="4" a="1"/>
  <c r="E120" i="4" s="1"/>
  <c r="F120" i="4" s="1" a="1"/>
  <c r="F120" i="4" s="1"/>
  <c r="D12" i="6" a="1"/>
  <c r="D12" i="6" s="1"/>
  <c r="C12" i="6"/>
  <c r="E72" i="4" a="1"/>
  <c r="E72" i="4" s="1"/>
  <c r="F72" i="4" s="1" a="1"/>
  <c r="F72" i="4" s="1"/>
  <c r="E60" i="4" a="1"/>
  <c r="E60" i="4" s="1"/>
  <c r="F60" i="4" s="1" a="1"/>
  <c r="F60" i="4" s="1"/>
  <c r="F10" i="6" a="1"/>
  <c r="F10" i="6" s="1"/>
  <c r="H8" i="6" a="1"/>
  <c r="H8" i="6" s="1"/>
  <c r="E48" i="4" a="1"/>
  <c r="E48" i="4" s="1"/>
  <c r="F48" i="4" s="1" a="1"/>
  <c r="F48" i="4" s="1"/>
  <c r="E36" i="4" a="1"/>
  <c r="E36" i="4" s="1"/>
  <c r="F36" i="4" s="1" a="1"/>
  <c r="F36" i="4" s="1"/>
  <c r="J6" i="6" a="1"/>
  <c r="J6" i="6" s="1"/>
  <c r="E5" i="6" a="1"/>
  <c r="E5" i="6" s="1"/>
  <c r="E24" i="4" a="1"/>
  <c r="E24" i="4" s="1"/>
  <c r="F24" i="4" s="1" a="1"/>
  <c r="F24" i="4" s="1"/>
  <c r="G3" i="6" a="1"/>
  <c r="G3" i="6" s="1"/>
  <c r="E12" i="4" a="1"/>
  <c r="E12" i="4" s="1"/>
  <c r="F12" i="4" s="1" a="1"/>
  <c r="F12" i="4" s="1"/>
  <c r="E516" i="4" a="1"/>
  <c r="E516" i="4" s="1"/>
  <c r="F516" i="4" s="1" a="1"/>
  <c r="F516" i="4" s="1"/>
  <c r="E470" i="4" a="1"/>
  <c r="E470" i="4" s="1"/>
  <c r="F470" i="4" s="1" a="1"/>
  <c r="F470" i="4" s="1"/>
  <c r="E108" i="4" a="1"/>
  <c r="E108" i="4" s="1"/>
  <c r="F108" i="4" s="1" a="1"/>
  <c r="F108" i="4" s="1"/>
  <c r="C72" i="6"/>
  <c r="D72" i="6" a="1"/>
  <c r="D72" i="6" s="1"/>
  <c r="E492" i="4" a="1"/>
  <c r="E492" i="4" s="1"/>
  <c r="F492" i="4" s="1" a="1"/>
  <c r="F492" i="4" s="1"/>
  <c r="H68" i="6" a="1"/>
  <c r="H68" i="6" s="1"/>
  <c r="E468" i="4" a="1"/>
  <c r="E468" i="4" s="1"/>
  <c r="F468" i="4" s="1" a="1"/>
  <c r="F468" i="4" s="1"/>
  <c r="E456" i="4" a="1"/>
  <c r="E456" i="4" s="1"/>
  <c r="F456" i="4" s="1" a="1"/>
  <c r="F456" i="4" s="1"/>
  <c r="J66" i="6" a="1"/>
  <c r="J66" i="6" s="1"/>
  <c r="G63" i="6" a="1"/>
  <c r="G63" i="6" s="1"/>
  <c r="E432" i="4" a="1"/>
  <c r="E432" i="4" s="1"/>
  <c r="F432" i="4" s="1" a="1"/>
  <c r="F432" i="4" s="1"/>
  <c r="D60" i="6" a="1"/>
  <c r="D60" i="6" s="1"/>
  <c r="C60" i="6"/>
  <c r="E408" i="4" a="1"/>
  <c r="E408" i="4" s="1"/>
  <c r="F408" i="4" s="1" a="1"/>
  <c r="F408" i="4" s="1"/>
  <c r="E2" i="4" a="1"/>
  <c r="E2" i="4" s="1"/>
  <c r="F2" i="4" s="1" a="1"/>
  <c r="F2" i="4" s="1"/>
  <c r="D2" i="6" a="1"/>
  <c r="D2" i="6" s="1"/>
  <c r="C2" i="6"/>
  <c r="E514" i="4" a="1"/>
  <c r="E514" i="4" s="1"/>
  <c r="F514" i="4" s="1" a="1"/>
  <c r="F514" i="4" s="1"/>
  <c r="E190" i="4" a="1"/>
  <c r="E190" i="4" s="1"/>
  <c r="F190" i="4" s="1" a="1"/>
  <c r="F190" i="4" s="1"/>
  <c r="J64" i="6" a="1"/>
  <c r="J64" i="6" s="1"/>
  <c r="E442" i="4" a="1"/>
  <c r="E442" i="4" s="1"/>
  <c r="F442" i="4" s="1" a="1"/>
  <c r="F442" i="4" s="1"/>
  <c r="E63" i="6" a="1"/>
  <c r="E63" i="6" s="1"/>
  <c r="E430" i="4" a="1"/>
  <c r="E430" i="4" s="1"/>
  <c r="F430" i="4" s="1" a="1"/>
  <c r="F430" i="4" s="1"/>
  <c r="G61" i="6" a="1"/>
  <c r="G61" i="6" s="1"/>
  <c r="E418" i="4" a="1"/>
  <c r="E418" i="4" s="1"/>
  <c r="F418" i="4" s="1" a="1"/>
  <c r="F418" i="4" s="1"/>
  <c r="I59" i="6" a="1"/>
  <c r="I59" i="6" s="1"/>
  <c r="E406" i="4" a="1"/>
  <c r="E406" i="4" s="1"/>
  <c r="F406" i="4" s="1" a="1"/>
  <c r="F406" i="4" s="1"/>
  <c r="D58" i="6" a="1"/>
  <c r="D58" i="6" s="1"/>
  <c r="C58" i="6"/>
  <c r="E394" i="4" a="1"/>
  <c r="E394" i="4" s="1"/>
  <c r="F394" i="4" s="1" a="1"/>
  <c r="F394" i="4" s="1"/>
  <c r="F56" i="6" a="1"/>
  <c r="F56" i="6" s="1"/>
  <c r="E382" i="4" a="1"/>
  <c r="E382" i="4" s="1"/>
  <c r="F382" i="4" s="1" a="1"/>
  <c r="F382" i="4" s="1"/>
  <c r="H54" i="6" a="1"/>
  <c r="H54" i="6" s="1"/>
  <c r="E370" i="4" a="1"/>
  <c r="E370" i="4" s="1"/>
  <c r="F370" i="4" s="1" a="1"/>
  <c r="F370" i="4" s="1"/>
  <c r="J52" i="6" a="1"/>
  <c r="J52" i="6" s="1"/>
  <c r="E358" i="4" a="1"/>
  <c r="E358" i="4" s="1"/>
  <c r="F358" i="4" s="1" a="1"/>
  <c r="F358" i="4" s="1"/>
  <c r="E51" i="6" a="1"/>
  <c r="E51" i="6" s="1"/>
  <c r="E346" i="4" a="1"/>
  <c r="E346" i="4" s="1"/>
  <c r="F346" i="4" s="1" a="1"/>
  <c r="F346" i="4" s="1"/>
  <c r="G49" i="6" a="1"/>
  <c r="G49" i="6" s="1"/>
  <c r="E334" i="4" a="1"/>
  <c r="E334" i="4" s="1"/>
  <c r="F334" i="4" s="1" a="1"/>
  <c r="F334" i="4" s="1"/>
  <c r="I47" i="6" a="1"/>
  <c r="I47" i="6" s="1"/>
  <c r="E322" i="4" a="1"/>
  <c r="E322" i="4" s="1"/>
  <c r="F322" i="4" s="1" a="1"/>
  <c r="F322" i="4" s="1"/>
  <c r="D46" i="6" a="1"/>
  <c r="D46" i="6" s="1"/>
  <c r="C46" i="6"/>
  <c r="E275" i="4" a="1"/>
  <c r="E275" i="4" s="1"/>
  <c r="F275" i="4" s="1" a="1"/>
  <c r="F275" i="4" s="1"/>
  <c r="E310" i="4" a="1"/>
  <c r="E310" i="4" s="1"/>
  <c r="F310" i="4" s="1" a="1"/>
  <c r="F310" i="4" s="1"/>
  <c r="E303" i="4" a="1"/>
  <c r="E303" i="4" s="1"/>
  <c r="F303" i="4" s="1" a="1"/>
  <c r="F303" i="4" s="1"/>
  <c r="F44" i="6" a="1"/>
  <c r="F44" i="6" s="1"/>
  <c r="E298" i="4" a="1"/>
  <c r="E298" i="4" s="1"/>
  <c r="F298" i="4" s="1" a="1"/>
  <c r="F298" i="4" s="1"/>
  <c r="H42" i="6" a="1"/>
  <c r="H42" i="6" s="1"/>
  <c r="E286" i="4" a="1"/>
  <c r="E286" i="4" s="1"/>
  <c r="F286" i="4" s="1" a="1"/>
  <c r="F286" i="4" s="1"/>
  <c r="J40" i="6" a="1"/>
  <c r="J40" i="6" s="1"/>
  <c r="E274" i="4" a="1"/>
  <c r="E274" i="4" s="1"/>
  <c r="F274" i="4" s="1" a="1"/>
  <c r="F274" i="4" s="1"/>
  <c r="E39" i="6" a="1"/>
  <c r="E39" i="6" s="1"/>
  <c r="E262" i="4" a="1"/>
  <c r="E262" i="4" s="1"/>
  <c r="F262" i="4" s="1" a="1"/>
  <c r="F262" i="4" s="1"/>
  <c r="G37" i="6" a="1"/>
  <c r="G37" i="6" s="1"/>
  <c r="E250" i="4" a="1"/>
  <c r="E250" i="4" s="1"/>
  <c r="F250" i="4" s="1" a="1"/>
  <c r="F250" i="4" s="1"/>
  <c r="I35" i="6" a="1"/>
  <c r="I35" i="6" s="1"/>
  <c r="E238" i="4" a="1"/>
  <c r="E238" i="4" s="1"/>
  <c r="F238" i="4" s="1" a="1"/>
  <c r="F238" i="4" s="1"/>
  <c r="C34" i="6"/>
  <c r="D34" i="6" a="1"/>
  <c r="D34" i="6" s="1"/>
  <c r="E226" i="4" a="1"/>
  <c r="E226" i="4" s="1"/>
  <c r="F226" i="4" s="1" a="1"/>
  <c r="F226" i="4" s="1"/>
  <c r="F32" i="6" a="1"/>
  <c r="F32" i="6" s="1"/>
  <c r="E214" i="4" a="1"/>
  <c r="E214" i="4" s="1"/>
  <c r="F214" i="4" s="1" a="1"/>
  <c r="F214" i="4" s="1"/>
  <c r="H30" i="6" a="1"/>
  <c r="H30" i="6" s="1"/>
  <c r="E202" i="4" a="1"/>
  <c r="E202" i="4" s="1"/>
  <c r="F202" i="4" s="1" a="1"/>
  <c r="F202" i="4" s="1"/>
  <c r="E27" i="6" a="1"/>
  <c r="E27" i="6" s="1"/>
  <c r="E178" i="4" a="1"/>
  <c r="E178" i="4" s="1"/>
  <c r="F178" i="4" s="1" a="1"/>
  <c r="F178" i="4" s="1"/>
  <c r="I23" i="6" a="1"/>
  <c r="I23" i="6" s="1"/>
  <c r="E154" i="4" a="1"/>
  <c r="E154" i="4" s="1"/>
  <c r="F154" i="4" s="1" a="1"/>
  <c r="F154" i="4" s="1"/>
  <c r="D22" i="6" a="1"/>
  <c r="D22" i="6" s="1"/>
  <c r="C22" i="6"/>
  <c r="E142" i="4" a="1"/>
  <c r="E142" i="4" s="1"/>
  <c r="F142" i="4" s="1" a="1"/>
  <c r="F142" i="4" s="1"/>
  <c r="F20" i="6" a="1"/>
  <c r="F20" i="6" s="1"/>
  <c r="E130" i="4" a="1"/>
  <c r="E130" i="4" s="1"/>
  <c r="F130" i="4" s="1" a="1"/>
  <c r="F130" i="4" s="1"/>
  <c r="H18" i="6" a="1"/>
  <c r="H18" i="6" s="1"/>
  <c r="E118" i="4" a="1"/>
  <c r="E118" i="4" s="1"/>
  <c r="F118" i="4" s="1" a="1"/>
  <c r="F118" i="4" s="1"/>
  <c r="J16" i="6" a="1"/>
  <c r="J16" i="6" s="1"/>
  <c r="E106" i="4" a="1"/>
  <c r="E106" i="4" s="1"/>
  <c r="F106" i="4" s="1" a="1"/>
  <c r="F106" i="4" s="1"/>
  <c r="E15" i="6" a="1"/>
  <c r="E15" i="6" s="1"/>
  <c r="E94" i="4" a="1"/>
  <c r="E94" i="4" s="1"/>
  <c r="F94" i="4" s="1" a="1"/>
  <c r="F94" i="4" s="1"/>
  <c r="G13" i="6" a="1"/>
  <c r="G13" i="6" s="1"/>
  <c r="E82" i="4" a="1"/>
  <c r="E82" i="4" s="1"/>
  <c r="F82" i="4" s="1" a="1"/>
  <c r="F82" i="4" s="1"/>
  <c r="I11" i="6" a="1"/>
  <c r="I11" i="6" s="1"/>
  <c r="E70" i="4" a="1"/>
  <c r="E70" i="4" s="1"/>
  <c r="F70" i="4" s="1" a="1"/>
  <c r="F70" i="4" s="1"/>
  <c r="C10" i="6"/>
  <c r="E58" i="4" a="1"/>
  <c r="E58" i="4" s="1"/>
  <c r="F58" i="4" s="1" a="1"/>
  <c r="F58" i="4" s="1"/>
  <c r="D10" i="6" a="1"/>
  <c r="D10" i="6" s="1"/>
  <c r="F8" i="6" a="1"/>
  <c r="F8" i="6" s="1"/>
  <c r="E46" i="4" a="1"/>
  <c r="E46" i="4" s="1"/>
  <c r="F46" i="4" s="1" a="1"/>
  <c r="F46" i="4" s="1"/>
  <c r="H6" i="6" a="1"/>
  <c r="H6" i="6" s="1"/>
  <c r="E34" i="4" a="1"/>
  <c r="E34" i="4" s="1"/>
  <c r="F34" i="4" s="1" a="1"/>
  <c r="F34" i="4" s="1"/>
  <c r="J4" i="6" a="1"/>
  <c r="J4" i="6" s="1"/>
  <c r="E22" i="4" a="1"/>
  <c r="E22" i="4" s="1"/>
  <c r="F22" i="4" s="1" a="1"/>
  <c r="F22" i="4" s="1"/>
  <c r="C3" i="6"/>
  <c r="E10" i="4" a="1"/>
  <c r="E10" i="4" s="1"/>
  <c r="F10" i="4" s="1" a="1"/>
  <c r="F10" i="4" s="1"/>
  <c r="E3" i="6" a="1"/>
  <c r="E3" i="6" s="1"/>
  <c r="E329" i="4" a="1"/>
  <c r="E329" i="4" s="1"/>
  <c r="F329" i="4" s="1" a="1"/>
  <c r="F329" i="4" s="1"/>
  <c r="E96" i="4" a="1"/>
  <c r="E96" i="4" s="1"/>
  <c r="F96" i="4" s="1" a="1"/>
  <c r="F96" i="4" s="1"/>
  <c r="E505" i="4" a="1"/>
  <c r="E505" i="4" s="1"/>
  <c r="F505" i="4" s="1" a="1"/>
  <c r="F505" i="4" s="1"/>
  <c r="G73" i="6" a="1"/>
  <c r="G73" i="6" s="1"/>
  <c r="E502" i="4" a="1"/>
  <c r="E502" i="4" s="1"/>
  <c r="F502" i="4" s="1" a="1"/>
  <c r="F502" i="4" s="1"/>
  <c r="F68" i="6" a="1"/>
  <c r="F68" i="6" s="1"/>
  <c r="E466" i="4" a="1"/>
  <c r="E466" i="4" s="1"/>
  <c r="F466" i="4" s="1" a="1"/>
  <c r="F466" i="4" s="1"/>
  <c r="E252" i="4" a="1"/>
  <c r="E252" i="4" s="1"/>
  <c r="F252" i="4" s="1" a="1"/>
  <c r="F252" i="4" s="1"/>
  <c r="E84" i="4" a="1"/>
  <c r="E84" i="4" s="1"/>
  <c r="F84" i="4" s="1" a="1"/>
  <c r="F84" i="4" s="1"/>
  <c r="J76" i="6" a="1"/>
  <c r="J76" i="6" s="1"/>
  <c r="E526" i="4" a="1"/>
  <c r="E526" i="4" s="1"/>
  <c r="F526" i="4" s="1" a="1"/>
  <c r="F526" i="4" s="1"/>
  <c r="I71" i="6" a="1"/>
  <c r="I71" i="6" s="1"/>
  <c r="E490" i="4" a="1"/>
  <c r="E490" i="4" s="1"/>
  <c r="F490" i="4" s="1" a="1"/>
  <c r="F490" i="4" s="1"/>
  <c r="D70" i="6" a="1"/>
  <c r="D70" i="6" s="1"/>
  <c r="C70" i="6"/>
  <c r="E478" i="4" a="1"/>
  <c r="E478" i="4" s="1"/>
  <c r="F478" i="4" s="1" a="1"/>
  <c r="F478" i="4" s="1"/>
  <c r="G76" i="6" a="1"/>
  <c r="G76" i="6" s="1"/>
  <c r="E523" i="4" a="1"/>
  <c r="E523" i="4" s="1"/>
  <c r="F523" i="4" s="1" a="1"/>
  <c r="F523" i="4" s="1"/>
  <c r="E454" i="4" a="1"/>
  <c r="E454" i="4" s="1"/>
  <c r="F454" i="4" s="1" a="1"/>
  <c r="F454" i="4" s="1"/>
  <c r="E166" i="4" a="1"/>
  <c r="E166" i="4" s="1"/>
  <c r="F166" i="4" s="1" a="1"/>
  <c r="F166" i="4" s="1"/>
  <c r="F76" i="6" a="1"/>
  <c r="F76" i="6" s="1"/>
  <c r="E522" i="4" a="1"/>
  <c r="E522" i="4" s="1"/>
  <c r="F522" i="4" s="1" a="1"/>
  <c r="F522" i="4" s="1"/>
  <c r="H74" i="6" a="1"/>
  <c r="H74" i="6" s="1"/>
  <c r="E510" i="4" a="1"/>
  <c r="E510" i="4" s="1"/>
  <c r="F510" i="4" s="1" a="1"/>
  <c r="F510" i="4" s="1"/>
  <c r="E474" i="4" a="1"/>
  <c r="E474" i="4" s="1"/>
  <c r="F474" i="4" s="1" a="1"/>
  <c r="F474" i="4" s="1"/>
  <c r="E282" i="4" a="1"/>
  <c r="E282" i="4" s="1"/>
  <c r="F282" i="4" s="1" a="1"/>
  <c r="F282" i="4" s="1"/>
  <c r="E404" i="4" a="1"/>
  <c r="E404" i="4" s="1"/>
  <c r="F404" i="4" s="1" a="1"/>
  <c r="F404" i="4" s="1"/>
  <c r="E233" i="4" a="1"/>
  <c r="E233" i="4" s="1"/>
  <c r="F233" i="4" s="1" a="1"/>
  <c r="F233" i="4" s="1"/>
  <c r="E50" i="4" a="1"/>
  <c r="E50" i="4" s="1"/>
  <c r="F50" i="4" s="1" a="1"/>
  <c r="F50" i="4" s="1"/>
  <c r="E397" i="4" a="1"/>
  <c r="E397" i="4" s="1"/>
  <c r="F397" i="4" s="1" a="1"/>
  <c r="F397" i="4" s="1"/>
  <c r="E228" i="4" a="1"/>
  <c r="E228" i="4" s="1"/>
  <c r="F228" i="4" s="1" a="1"/>
  <c r="F228" i="4" s="1"/>
  <c r="J75" i="6" a="1"/>
  <c r="J75" i="6" s="1"/>
  <c r="E519" i="4" a="1"/>
  <c r="E519" i="4" s="1"/>
  <c r="F519" i="4" s="1" a="1"/>
  <c r="F519" i="4" s="1"/>
  <c r="E396" i="4" a="1"/>
  <c r="E396" i="4" s="1"/>
  <c r="F396" i="4" s="1" a="1"/>
  <c r="F396" i="4" s="1"/>
  <c r="E132" i="4" a="1"/>
  <c r="E132" i="4" s="1"/>
  <c r="F132" i="4" s="1" a="1"/>
  <c r="F132" i="4" s="1"/>
  <c r="C6" i="6"/>
  <c r="D65" i="6" a="1"/>
  <c r="D65" i="6" s="1"/>
  <c r="C65" i="6"/>
  <c r="H61" i="6" a="1"/>
  <c r="H61" i="6" s="1"/>
  <c r="C53" i="6"/>
  <c r="D53" i="6" a="1"/>
  <c r="D53" i="6" s="1"/>
  <c r="E46" i="6" a="1"/>
  <c r="E46" i="6" s="1"/>
  <c r="C29" i="6"/>
  <c r="F27" i="6" a="1"/>
  <c r="F27" i="6" s="1"/>
  <c r="E179" i="4" a="1"/>
  <c r="E179" i="4" s="1"/>
  <c r="F179" i="4" s="1" a="1"/>
  <c r="F179" i="4" s="1"/>
  <c r="H25" i="6" a="1"/>
  <c r="H25" i="6" s="1"/>
  <c r="E167" i="4" a="1"/>
  <c r="E167" i="4" s="1"/>
  <c r="F167" i="4" s="1" a="1"/>
  <c r="F167" i="4" s="1"/>
  <c r="E155" i="4" a="1"/>
  <c r="E155" i="4" s="1"/>
  <c r="F155" i="4" s="1" a="1"/>
  <c r="F155" i="4" s="1"/>
  <c r="J23" i="6" a="1"/>
  <c r="J23" i="6" s="1"/>
  <c r="D17" i="6" a="1"/>
  <c r="D17" i="6" s="1"/>
  <c r="C17" i="6"/>
  <c r="C5" i="6"/>
  <c r="E515" i="4" a="1"/>
  <c r="E515" i="4" s="1"/>
  <c r="F515" i="4" s="1" a="1"/>
  <c r="F515" i="4" s="1"/>
  <c r="E483" i="4" a="1"/>
  <c r="E483" i="4" s="1"/>
  <c r="F483" i="4" s="1" a="1"/>
  <c r="F483" i="4" s="1"/>
  <c r="E476" i="4" a="1"/>
  <c r="E476" i="4" s="1"/>
  <c r="F476" i="4" s="1" a="1"/>
  <c r="F476" i="4" s="1"/>
  <c r="E469" i="4" a="1"/>
  <c r="E469" i="4" s="1"/>
  <c r="F469" i="4" s="1" a="1"/>
  <c r="F469" i="4" s="1"/>
  <c r="E463" i="4" a="1"/>
  <c r="E463" i="4" s="1"/>
  <c r="F463" i="4" s="1" a="1"/>
  <c r="F463" i="4" s="1"/>
  <c r="E435" i="4" a="1"/>
  <c r="E435" i="4" s="1"/>
  <c r="F435" i="4" s="1" a="1"/>
  <c r="F435" i="4" s="1"/>
  <c r="E411" i="4" a="1"/>
  <c r="E411" i="4" s="1"/>
  <c r="F411" i="4" s="1" a="1"/>
  <c r="F411" i="4" s="1"/>
  <c r="E375" i="4" a="1"/>
  <c r="E375" i="4" s="1"/>
  <c r="F375" i="4" s="1" a="1"/>
  <c r="F375" i="4" s="1"/>
  <c r="E343" i="4" a="1"/>
  <c r="E343" i="4" s="1"/>
  <c r="F343" i="4" s="1" a="1"/>
  <c r="F343" i="4" s="1"/>
  <c r="E320" i="4" a="1"/>
  <c r="E320" i="4" s="1"/>
  <c r="F320" i="4" s="1" a="1"/>
  <c r="F320" i="4" s="1"/>
  <c r="E294" i="4" a="1"/>
  <c r="E294" i="4" s="1"/>
  <c r="F294" i="4" s="1" a="1"/>
  <c r="F294" i="4" s="1"/>
  <c r="E267" i="4" a="1"/>
  <c r="E267" i="4" s="1"/>
  <c r="F267" i="4" s="1" a="1"/>
  <c r="F267" i="4" s="1"/>
  <c r="E227" i="4" a="1"/>
  <c r="E227" i="4" s="1"/>
  <c r="F227" i="4" s="1" a="1"/>
  <c r="F227" i="4" s="1"/>
  <c r="E217" i="4" a="1"/>
  <c r="E217" i="4" s="1"/>
  <c r="F217" i="4" s="1" a="1"/>
  <c r="F217" i="4" s="1"/>
  <c r="E189" i="4" a="1"/>
  <c r="E189" i="4" s="1"/>
  <c r="F189" i="4" s="1" a="1"/>
  <c r="F189" i="4" s="1"/>
  <c r="E165" i="4" a="1"/>
  <c r="E165" i="4" s="1"/>
  <c r="F165" i="4" s="1" a="1"/>
  <c r="F165" i="4" s="1"/>
  <c r="E143" i="4" a="1"/>
  <c r="E143" i="4" s="1"/>
  <c r="F143" i="4" s="1" a="1"/>
  <c r="F143" i="4" s="1"/>
  <c r="E131" i="4" a="1"/>
  <c r="E131" i="4" s="1"/>
  <c r="F131" i="4" s="1" a="1"/>
  <c r="F131" i="4" s="1"/>
  <c r="E83" i="4" a="1"/>
  <c r="E83" i="4" s="1"/>
  <c r="F83" i="4" s="1" a="1"/>
  <c r="F83" i="4" s="1"/>
  <c r="E73" i="4" a="1"/>
  <c r="E73" i="4" s="1"/>
  <c r="F73" i="4" s="1" a="1"/>
  <c r="F73" i="4" s="1"/>
  <c r="E61" i="4" a="1"/>
  <c r="E61" i="4" s="1"/>
  <c r="F61" i="4" s="1" a="1"/>
  <c r="F61" i="4" s="1"/>
  <c r="E38" i="4" a="1"/>
  <c r="E38" i="4" s="1"/>
  <c r="F38" i="4" s="1" a="1"/>
  <c r="F38" i="4" s="1"/>
  <c r="E26" i="4" a="1"/>
  <c r="E26" i="4" s="1"/>
  <c r="F26" i="4" s="1" a="1"/>
  <c r="F26" i="4" s="1"/>
  <c r="E14" i="4" a="1"/>
  <c r="E14" i="4" s="1"/>
  <c r="F14" i="4" s="1" a="1"/>
  <c r="F14" i="4" s="1"/>
  <c r="G4" i="6" a="1"/>
  <c r="G4" i="6" s="1"/>
  <c r="D6" i="6" a="1"/>
  <c r="D6" i="6" s="1"/>
  <c r="C9" i="6"/>
  <c r="C71" i="6"/>
  <c r="D56" i="6" a="1"/>
  <c r="D56" i="6" s="1"/>
  <c r="F72" i="6" a="1"/>
  <c r="F72" i="6" s="1"/>
  <c r="I76" i="6" a="1"/>
  <c r="I76" i="6" s="1"/>
  <c r="D75" i="6" a="1"/>
  <c r="D75" i="6" s="1"/>
  <c r="C75" i="6"/>
  <c r="D63" i="6" a="1"/>
  <c r="D63" i="6" s="1"/>
  <c r="C63" i="6"/>
  <c r="F61" i="6" a="1"/>
  <c r="F61" i="6" s="1"/>
  <c r="D51" i="6" a="1"/>
  <c r="D51" i="6" s="1"/>
  <c r="C51" i="6"/>
  <c r="E285" i="4" a="1"/>
  <c r="E285" i="4" s="1"/>
  <c r="F285" i="4" s="1" a="1"/>
  <c r="F285" i="4" s="1"/>
  <c r="D39" i="6" a="1"/>
  <c r="D39" i="6" s="1"/>
  <c r="C39" i="6"/>
  <c r="E261" i="4" a="1"/>
  <c r="E261" i="4" s="1"/>
  <c r="F261" i="4" s="1" a="1"/>
  <c r="F261" i="4" s="1"/>
  <c r="D27" i="6" a="1"/>
  <c r="D27" i="6" s="1"/>
  <c r="C27" i="6"/>
  <c r="I16" i="6" a="1"/>
  <c r="I16" i="6" s="1"/>
  <c r="C15" i="6"/>
  <c r="D15" i="6" a="1"/>
  <c r="D15" i="6" s="1"/>
  <c r="E513" i="4" a="1"/>
  <c r="E513" i="4" s="1"/>
  <c r="F513" i="4" s="1" a="1"/>
  <c r="F513" i="4" s="1"/>
  <c r="E497" i="4" a="1"/>
  <c r="E497" i="4" s="1"/>
  <c r="F497" i="4" s="1" a="1"/>
  <c r="F497" i="4" s="1"/>
  <c r="E489" i="4" a="1"/>
  <c r="E489" i="4" s="1"/>
  <c r="F489" i="4" s="1" a="1"/>
  <c r="F489" i="4" s="1"/>
  <c r="E462" i="4" a="1"/>
  <c r="E462" i="4" s="1"/>
  <c r="F462" i="4" s="1" a="1"/>
  <c r="F462" i="4" s="1"/>
  <c r="E453" i="4" a="1"/>
  <c r="E453" i="4" s="1"/>
  <c r="F453" i="4" s="1" a="1"/>
  <c r="F453" i="4" s="1"/>
  <c r="E446" i="4" a="1"/>
  <c r="E446" i="4" s="1"/>
  <c r="F446" i="4" s="1" a="1"/>
  <c r="F446" i="4" s="1"/>
  <c r="E439" i="4" a="1"/>
  <c r="E439" i="4" s="1"/>
  <c r="F439" i="4" s="1" a="1"/>
  <c r="F439" i="4" s="1"/>
  <c r="E433" i="4" a="1"/>
  <c r="E433" i="4" s="1"/>
  <c r="F433" i="4" s="1" a="1"/>
  <c r="F433" i="4" s="1"/>
  <c r="E425" i="4" a="1"/>
  <c r="E425" i="4" s="1"/>
  <c r="F425" i="4" s="1" a="1"/>
  <c r="F425" i="4" s="1"/>
  <c r="E410" i="4" a="1"/>
  <c r="E410" i="4" s="1"/>
  <c r="F410" i="4" s="1" a="1"/>
  <c r="F410" i="4" s="1"/>
  <c r="E403" i="4" a="1"/>
  <c r="E403" i="4" s="1"/>
  <c r="F403" i="4" s="1" a="1"/>
  <c r="F403" i="4" s="1"/>
  <c r="E395" i="4" a="1"/>
  <c r="E395" i="4" s="1"/>
  <c r="F395" i="4" s="1" a="1"/>
  <c r="F395" i="4" s="1"/>
  <c r="E359" i="4" a="1"/>
  <c r="E359" i="4" s="1"/>
  <c r="F359" i="4" s="1" a="1"/>
  <c r="F359" i="4" s="1"/>
  <c r="E351" i="4" a="1"/>
  <c r="E351" i="4" s="1"/>
  <c r="F351" i="4" s="1" a="1"/>
  <c r="F351" i="4" s="1"/>
  <c r="E318" i="4" a="1"/>
  <c r="E318" i="4" s="1"/>
  <c r="F318" i="4" s="1" a="1"/>
  <c r="F318" i="4" s="1"/>
  <c r="E302" i="4" a="1"/>
  <c r="E302" i="4" s="1"/>
  <c r="F302" i="4" s="1" a="1"/>
  <c r="F302" i="4" s="1"/>
  <c r="E293" i="4" a="1"/>
  <c r="E293" i="4" s="1"/>
  <c r="F293" i="4" s="1" a="1"/>
  <c r="F293" i="4" s="1"/>
  <c r="E284" i="4" a="1"/>
  <c r="E284" i="4" s="1"/>
  <c r="F284" i="4" s="1" a="1"/>
  <c r="F284" i="4" s="1"/>
  <c r="E251" i="4" a="1"/>
  <c r="E251" i="4" s="1"/>
  <c r="F251" i="4" s="1" a="1"/>
  <c r="F251" i="4" s="1"/>
  <c r="E244" i="4" a="1"/>
  <c r="E244" i="4" s="1"/>
  <c r="F244" i="4" s="1" a="1"/>
  <c r="F244" i="4" s="1"/>
  <c r="E225" i="4" a="1"/>
  <c r="E225" i="4" s="1"/>
  <c r="F225" i="4" s="1" a="1"/>
  <c r="F225" i="4" s="1"/>
  <c r="E197" i="4" a="1"/>
  <c r="E197" i="4" s="1"/>
  <c r="F197" i="4" s="1" a="1"/>
  <c r="F197" i="4" s="1"/>
  <c r="E187" i="4" a="1"/>
  <c r="E187" i="4" s="1"/>
  <c r="F187" i="4" s="1" a="1"/>
  <c r="F187" i="4" s="1"/>
  <c r="E176" i="4" a="1"/>
  <c r="E176" i="4" s="1"/>
  <c r="F176" i="4" s="1" a="1"/>
  <c r="F176" i="4" s="1"/>
  <c r="E141" i="4" a="1"/>
  <c r="E141" i="4" s="1"/>
  <c r="F141" i="4" s="1" a="1"/>
  <c r="F141" i="4" s="1"/>
  <c r="E129" i="4" a="1"/>
  <c r="E129" i="4" s="1"/>
  <c r="F129" i="4" s="1" a="1"/>
  <c r="F129" i="4" s="1"/>
  <c r="E81" i="4" a="1"/>
  <c r="E81" i="4" s="1"/>
  <c r="F81" i="4" s="1" a="1"/>
  <c r="F81" i="4" s="1"/>
  <c r="E71" i="4" a="1"/>
  <c r="E71" i="4" s="1"/>
  <c r="F71" i="4" s="1" a="1"/>
  <c r="F71" i="4" s="1"/>
  <c r="E59" i="4" a="1"/>
  <c r="E59" i="4" s="1"/>
  <c r="F59" i="4" s="1" a="1"/>
  <c r="F59" i="4" s="1"/>
  <c r="I4" i="6" a="1"/>
  <c r="I4" i="6" s="1"/>
  <c r="C7" i="6"/>
  <c r="I24" i="6" a="1"/>
  <c r="I24" i="6" s="1"/>
  <c r="C41" i="6"/>
  <c r="H76" i="6" a="1"/>
  <c r="H76" i="6" s="1"/>
  <c r="C68" i="6"/>
  <c r="E61" i="6" a="1"/>
  <c r="E61" i="6" s="1"/>
  <c r="C56" i="6"/>
  <c r="D44" i="6" a="1"/>
  <c r="D44" i="6" s="1"/>
  <c r="C44" i="6"/>
  <c r="E248" i="4" a="1"/>
  <c r="E248" i="4" s="1"/>
  <c r="F248" i="4" s="1" a="1"/>
  <c r="F248" i="4" s="1"/>
  <c r="E37" i="6" a="1"/>
  <c r="E37" i="6" s="1"/>
  <c r="D32" i="6" a="1"/>
  <c r="D32" i="6" s="1"/>
  <c r="C32" i="6"/>
  <c r="D20" i="6" a="1"/>
  <c r="D20" i="6" s="1"/>
  <c r="C20" i="6"/>
  <c r="H16" i="6" a="1"/>
  <c r="H16" i="6" s="1"/>
  <c r="J14" i="6" a="1"/>
  <c r="J14" i="6" s="1"/>
  <c r="E92" i="4" a="1"/>
  <c r="E92" i="4" s="1"/>
  <c r="F92" i="4" s="1" a="1"/>
  <c r="F92" i="4" s="1"/>
  <c r="D8" i="6" a="1"/>
  <c r="D8" i="6" s="1"/>
  <c r="C8" i="6"/>
  <c r="E8" i="4" a="1"/>
  <c r="E8" i="4" s="1"/>
  <c r="F8" i="4" s="1" a="1"/>
  <c r="F8" i="4" s="1"/>
  <c r="E496" i="4" a="1"/>
  <c r="E496" i="4" s="1"/>
  <c r="F496" i="4" s="1" a="1"/>
  <c r="F496" i="4" s="1"/>
  <c r="E481" i="4" a="1"/>
  <c r="E481" i="4" s="1"/>
  <c r="F481" i="4" s="1" a="1"/>
  <c r="F481" i="4" s="1"/>
  <c r="E365" i="4" a="1"/>
  <c r="E365" i="4" s="1"/>
  <c r="F365" i="4" s="1" a="1"/>
  <c r="F365" i="4" s="1"/>
  <c r="E341" i="4" a="1"/>
  <c r="E341" i="4" s="1"/>
  <c r="F341" i="4" s="1" a="1"/>
  <c r="F341" i="4" s="1"/>
  <c r="E327" i="4" a="1"/>
  <c r="E327" i="4" s="1"/>
  <c r="F327" i="4" s="1" a="1"/>
  <c r="F327" i="4" s="1"/>
  <c r="E309" i="4" a="1"/>
  <c r="E309" i="4" s="1"/>
  <c r="F309" i="4" s="1" a="1"/>
  <c r="F309" i="4" s="1"/>
  <c r="E283" i="4" a="1"/>
  <c r="E283" i="4" s="1"/>
  <c r="F283" i="4" s="1" a="1"/>
  <c r="F283" i="4" s="1"/>
  <c r="E273" i="4" a="1"/>
  <c r="E273" i="4" s="1"/>
  <c r="F273" i="4" s="1" a="1"/>
  <c r="F273" i="4" s="1"/>
  <c r="E265" i="4" a="1"/>
  <c r="E265" i="4" s="1"/>
  <c r="F265" i="4" s="1" a="1"/>
  <c r="F265" i="4" s="1"/>
  <c r="E257" i="4" a="1"/>
  <c r="E257" i="4" s="1"/>
  <c r="F257" i="4" s="1" a="1"/>
  <c r="F257" i="4" s="1"/>
  <c r="E235" i="4" a="1"/>
  <c r="E235" i="4" s="1"/>
  <c r="F235" i="4" s="1" a="1"/>
  <c r="F235" i="4" s="1"/>
  <c r="E215" i="4" a="1"/>
  <c r="E215" i="4" s="1"/>
  <c r="F215" i="4" s="1" a="1"/>
  <c r="F215" i="4" s="1"/>
  <c r="E196" i="4" a="1"/>
  <c r="E196" i="4" s="1"/>
  <c r="F196" i="4" s="1" a="1"/>
  <c r="F196" i="4" s="1"/>
  <c r="E186" i="4" a="1"/>
  <c r="E186" i="4" s="1"/>
  <c r="F186" i="4" s="1" a="1"/>
  <c r="F186" i="4" s="1"/>
  <c r="E175" i="4" a="1"/>
  <c r="E175" i="4" s="1"/>
  <c r="F175" i="4" s="1" a="1"/>
  <c r="F175" i="4" s="1"/>
  <c r="E162" i="4" a="1"/>
  <c r="E162" i="4" s="1"/>
  <c r="F162" i="4" s="1" a="1"/>
  <c r="F162" i="4" s="1"/>
  <c r="E151" i="4" a="1"/>
  <c r="E151" i="4" s="1"/>
  <c r="F151" i="4" s="1" a="1"/>
  <c r="F151" i="4" s="1"/>
  <c r="E140" i="4" a="1"/>
  <c r="E140" i="4" s="1"/>
  <c r="F140" i="4" s="1" a="1"/>
  <c r="F140" i="4" s="1"/>
  <c r="E128" i="4" a="1"/>
  <c r="E128" i="4" s="1"/>
  <c r="F128" i="4" s="1" a="1"/>
  <c r="F128" i="4" s="1"/>
  <c r="E116" i="4" a="1"/>
  <c r="E116" i="4" s="1"/>
  <c r="F116" i="4" s="1" a="1"/>
  <c r="F116" i="4" s="1"/>
  <c r="E105" i="4" a="1"/>
  <c r="E105" i="4" s="1"/>
  <c r="F105" i="4" s="1" a="1"/>
  <c r="F105" i="4" s="1"/>
  <c r="E93" i="4" a="1"/>
  <c r="E93" i="4" s="1"/>
  <c r="F93" i="4" s="1" a="1"/>
  <c r="F93" i="4" s="1"/>
  <c r="E45" i="4" a="1"/>
  <c r="E45" i="4" s="1"/>
  <c r="F45" i="4" s="1" a="1"/>
  <c r="F45" i="4" s="1"/>
  <c r="E26" i="6" a="1"/>
  <c r="E26" i="6" s="1"/>
  <c r="G42" i="6" a="1"/>
  <c r="G42" i="6" s="1"/>
  <c r="H58" i="6" a="1"/>
  <c r="H58" i="6" s="1"/>
  <c r="D73" i="6" a="1"/>
  <c r="D73" i="6" s="1"/>
  <c r="C73" i="6"/>
  <c r="C61" i="6"/>
  <c r="D61" i="6" a="1"/>
  <c r="D61" i="6" s="1"/>
  <c r="D49" i="6" a="1"/>
  <c r="D49" i="6" s="1"/>
  <c r="C49" i="6"/>
  <c r="D37" i="6" a="1"/>
  <c r="D37" i="6" s="1"/>
  <c r="C37" i="6"/>
  <c r="H33" i="6" a="1"/>
  <c r="H33" i="6" s="1"/>
  <c r="E223" i="4" a="1"/>
  <c r="E223" i="4" s="1"/>
  <c r="F223" i="4" s="1" a="1"/>
  <c r="F223" i="4" s="1"/>
  <c r="J31" i="6" a="1"/>
  <c r="J31" i="6" s="1"/>
  <c r="D25" i="6" a="1"/>
  <c r="D25" i="6" s="1"/>
  <c r="C25" i="6"/>
  <c r="G16" i="6" a="1"/>
  <c r="G16" i="6" s="1"/>
  <c r="E103" i="4" a="1"/>
  <c r="E103" i="4" s="1"/>
  <c r="F103" i="4" s="1" a="1"/>
  <c r="F103" i="4" s="1"/>
  <c r="D13" i="6" a="1"/>
  <c r="D13" i="6" s="1"/>
  <c r="C13" i="6"/>
  <c r="E512" i="4" a="1"/>
  <c r="E512" i="4" s="1"/>
  <c r="F512" i="4" s="1" a="1"/>
  <c r="F512" i="4" s="1"/>
  <c r="E503" i="4" a="1"/>
  <c r="E503" i="4" s="1"/>
  <c r="F503" i="4" s="1" a="1"/>
  <c r="F503" i="4" s="1"/>
  <c r="E495" i="4" a="1"/>
  <c r="E495" i="4" s="1"/>
  <c r="F495" i="4" s="1" a="1"/>
  <c r="F495" i="4" s="1"/>
  <c r="E473" i="4" a="1"/>
  <c r="E473" i="4" s="1"/>
  <c r="F473" i="4" s="1" a="1"/>
  <c r="F473" i="4" s="1"/>
  <c r="E467" i="4" a="1"/>
  <c r="E467" i="4" s="1"/>
  <c r="F467" i="4" s="1" a="1"/>
  <c r="F467" i="4" s="1"/>
  <c r="E452" i="4" a="1"/>
  <c r="E452" i="4" s="1"/>
  <c r="F452" i="4" s="1" a="1"/>
  <c r="F452" i="4" s="1"/>
  <c r="E424" i="4" a="1"/>
  <c r="E424" i="4" s="1"/>
  <c r="F424" i="4" s="1" a="1"/>
  <c r="F424" i="4" s="1"/>
  <c r="E409" i="4" a="1"/>
  <c r="E409" i="4" s="1"/>
  <c r="F409" i="4" s="1" a="1"/>
  <c r="F409" i="4" s="1"/>
  <c r="E402" i="4" a="1"/>
  <c r="E402" i="4" s="1"/>
  <c r="F402" i="4" s="1" a="1"/>
  <c r="F402" i="4" s="1"/>
  <c r="E357" i="4" a="1"/>
  <c r="E357" i="4" s="1"/>
  <c r="F357" i="4" s="1" a="1"/>
  <c r="F357" i="4" s="1"/>
  <c r="E350" i="4" a="1"/>
  <c r="E350" i="4" s="1"/>
  <c r="F350" i="4" s="1" a="1"/>
  <c r="F350" i="4" s="1"/>
  <c r="E333" i="4" a="1"/>
  <c r="E333" i="4" s="1"/>
  <c r="F333" i="4" s="1" a="1"/>
  <c r="F333" i="4" s="1"/>
  <c r="E326" i="4" a="1"/>
  <c r="E326" i="4" s="1"/>
  <c r="F326" i="4" s="1" a="1"/>
  <c r="F326" i="4" s="1"/>
  <c r="E308" i="4" a="1"/>
  <c r="E308" i="4" s="1"/>
  <c r="F308" i="4" s="1" a="1"/>
  <c r="F308" i="4" s="1"/>
  <c r="E301" i="4" a="1"/>
  <c r="E301" i="4" s="1"/>
  <c r="F301" i="4" s="1" a="1"/>
  <c r="F301" i="4" s="1"/>
  <c r="E292" i="4" a="1"/>
  <c r="E292" i="4" s="1"/>
  <c r="F292" i="4" s="1" a="1"/>
  <c r="F292" i="4" s="1"/>
  <c r="E272" i="4" a="1"/>
  <c r="E272" i="4" s="1"/>
  <c r="F272" i="4" s="1" a="1"/>
  <c r="F272" i="4" s="1"/>
  <c r="E256" i="4" a="1"/>
  <c r="E256" i="4" s="1"/>
  <c r="F256" i="4" s="1" a="1"/>
  <c r="F256" i="4" s="1"/>
  <c r="E243" i="4" a="1"/>
  <c r="E243" i="4" s="1"/>
  <c r="F243" i="4" s="1" a="1"/>
  <c r="F243" i="4" s="1"/>
  <c r="E234" i="4" a="1"/>
  <c r="E234" i="4" s="1"/>
  <c r="F234" i="4" s="1" a="1"/>
  <c r="F234" i="4" s="1"/>
  <c r="E224" i="4" a="1"/>
  <c r="E224" i="4" s="1"/>
  <c r="F224" i="4" s="1" a="1"/>
  <c r="F224" i="4" s="1"/>
  <c r="E213" i="4" a="1"/>
  <c r="E213" i="4" s="1"/>
  <c r="F213" i="4" s="1" a="1"/>
  <c r="F213" i="4" s="1"/>
  <c r="E195" i="4" a="1"/>
  <c r="E195" i="4" s="1"/>
  <c r="F195" i="4" s="1" a="1"/>
  <c r="F195" i="4" s="1"/>
  <c r="E174" i="4" a="1"/>
  <c r="E174" i="4" s="1"/>
  <c r="F174" i="4" s="1" a="1"/>
  <c r="F174" i="4" s="1"/>
  <c r="E150" i="4" a="1"/>
  <c r="E150" i="4" s="1"/>
  <c r="F150" i="4" s="1" a="1"/>
  <c r="F150" i="4" s="1"/>
  <c r="E139" i="4" a="1"/>
  <c r="E139" i="4" s="1"/>
  <c r="F139" i="4" s="1" a="1"/>
  <c r="F139" i="4" s="1"/>
  <c r="E127" i="4" a="1"/>
  <c r="E127" i="4" s="1"/>
  <c r="F127" i="4" s="1" a="1"/>
  <c r="F127" i="4" s="1"/>
  <c r="E115" i="4" a="1"/>
  <c r="E115" i="4" s="1"/>
  <c r="F115" i="4" s="1" a="1"/>
  <c r="F115" i="4" s="1"/>
  <c r="E104" i="4" a="1"/>
  <c r="E104" i="4" s="1"/>
  <c r="F104" i="4" s="1" a="1"/>
  <c r="F104" i="4" s="1"/>
  <c r="E91" i="4" a="1"/>
  <c r="E91" i="4" s="1"/>
  <c r="F91" i="4" s="1" a="1"/>
  <c r="F91" i="4" s="1"/>
  <c r="E80" i="4" a="1"/>
  <c r="E80" i="4" s="1"/>
  <c r="F80" i="4" s="1" a="1"/>
  <c r="F80" i="4" s="1"/>
  <c r="E69" i="4" a="1"/>
  <c r="E69" i="4" s="1"/>
  <c r="F69" i="4" s="1" a="1"/>
  <c r="F69" i="4" s="1"/>
  <c r="E57" i="4" a="1"/>
  <c r="E57" i="4" s="1"/>
  <c r="F57" i="4" s="1" a="1"/>
  <c r="F57" i="4" s="1"/>
  <c r="E35" i="4" a="1"/>
  <c r="E35" i="4" s="1"/>
  <c r="F35" i="4" s="1" a="1"/>
  <c r="F35" i="4" s="1"/>
  <c r="E23" i="4" a="1"/>
  <c r="E23" i="4" s="1"/>
  <c r="F23" i="4" s="1" a="1"/>
  <c r="F23" i="4" s="1"/>
  <c r="D5" i="6" a="1"/>
  <c r="D5" i="6" s="1"/>
  <c r="G11" i="6" a="1"/>
  <c r="G11" i="6" s="1"/>
  <c r="H27" i="6" a="1"/>
  <c r="H27" i="6" s="1"/>
  <c r="J43" i="6" a="1"/>
  <c r="J43" i="6" s="1"/>
  <c r="D66" i="6" a="1"/>
  <c r="D66" i="6" s="1"/>
  <c r="C66" i="6"/>
  <c r="D54" i="6" a="1"/>
  <c r="D54" i="6" s="1"/>
  <c r="C54" i="6"/>
  <c r="D42" i="6" a="1"/>
  <c r="D42" i="6" s="1"/>
  <c r="C42" i="6"/>
  <c r="D30" i="6" a="1"/>
  <c r="D30" i="6" s="1"/>
  <c r="C30" i="6"/>
  <c r="D18" i="6" a="1"/>
  <c r="D18" i="6" s="1"/>
  <c r="C18" i="6"/>
  <c r="F16" i="6" a="1"/>
  <c r="F16" i="6" s="1"/>
  <c r="E18" i="4" a="1"/>
  <c r="E18" i="4" s="1"/>
  <c r="F18" i="4" s="1" a="1"/>
  <c r="F18" i="4" s="1"/>
  <c r="E511" i="4" a="1"/>
  <c r="E511" i="4" s="1"/>
  <c r="F511" i="4" s="1" a="1"/>
  <c r="F511" i="4" s="1"/>
  <c r="E488" i="4" a="1"/>
  <c r="E488" i="4" s="1"/>
  <c r="F488" i="4" s="1" a="1"/>
  <c r="F488" i="4" s="1"/>
  <c r="E461" i="4" a="1"/>
  <c r="E461" i="4" s="1"/>
  <c r="F461" i="4" s="1" a="1"/>
  <c r="F461" i="4" s="1"/>
  <c r="E445" i="4" a="1"/>
  <c r="E445" i="4" s="1"/>
  <c r="F445" i="4" s="1" a="1"/>
  <c r="F445" i="4" s="1"/>
  <c r="E438" i="4" a="1"/>
  <c r="E438" i="4" s="1"/>
  <c r="F438" i="4" s="1" a="1"/>
  <c r="F438" i="4" s="1"/>
  <c r="E415" i="4" a="1"/>
  <c r="E415" i="4" s="1"/>
  <c r="F415" i="4" s="1" a="1"/>
  <c r="F415" i="4" s="1"/>
  <c r="E393" i="4" a="1"/>
  <c r="E393" i="4" s="1"/>
  <c r="F393" i="4" s="1" a="1"/>
  <c r="F393" i="4" s="1"/>
  <c r="E379" i="4" a="1"/>
  <c r="E379" i="4" s="1"/>
  <c r="F379" i="4" s="1" a="1"/>
  <c r="F379" i="4" s="1"/>
  <c r="E371" i="4" a="1"/>
  <c r="E371" i="4" s="1"/>
  <c r="F371" i="4" s="1" a="1"/>
  <c r="F371" i="4" s="1"/>
  <c r="E349" i="4" a="1"/>
  <c r="E349" i="4" s="1"/>
  <c r="F349" i="4" s="1" a="1"/>
  <c r="F349" i="4" s="1"/>
  <c r="E340" i="4" a="1"/>
  <c r="E340" i="4" s="1"/>
  <c r="F340" i="4" s="1" a="1"/>
  <c r="F340" i="4" s="1"/>
  <c r="E332" i="4" a="1"/>
  <c r="E332" i="4" s="1"/>
  <c r="F332" i="4" s="1" a="1"/>
  <c r="F332" i="4" s="1"/>
  <c r="E325" i="4" a="1"/>
  <c r="E325" i="4" s="1"/>
  <c r="F325" i="4" s="1" a="1"/>
  <c r="F325" i="4" s="1"/>
  <c r="E281" i="4" a="1"/>
  <c r="E281" i="4" s="1"/>
  <c r="F281" i="4" s="1" a="1"/>
  <c r="F281" i="4" s="1"/>
  <c r="E242" i="4" a="1"/>
  <c r="E242" i="4" s="1"/>
  <c r="F242" i="4" s="1" a="1"/>
  <c r="F242" i="4" s="1"/>
  <c r="E185" i="4" a="1"/>
  <c r="E185" i="4" s="1"/>
  <c r="F185" i="4" s="1" a="1"/>
  <c r="F185" i="4" s="1"/>
  <c r="E173" i="4" a="1"/>
  <c r="E173" i="4" s="1"/>
  <c r="F173" i="4" s="1" a="1"/>
  <c r="F173" i="4" s="1"/>
  <c r="E160" i="4" a="1"/>
  <c r="E160" i="4" s="1"/>
  <c r="F160" i="4" s="1" a="1"/>
  <c r="F160" i="4" s="1"/>
  <c r="E138" i="4" a="1"/>
  <c r="E138" i="4" s="1"/>
  <c r="F138" i="4" s="1" a="1"/>
  <c r="F138" i="4" s="1"/>
  <c r="E126" i="4" a="1"/>
  <c r="E126" i="4" s="1"/>
  <c r="F126" i="4" s="1" a="1"/>
  <c r="F126" i="4" s="1"/>
  <c r="E114" i="4" a="1"/>
  <c r="E114" i="4" s="1"/>
  <c r="F114" i="4" s="1" a="1"/>
  <c r="F114" i="4" s="1"/>
  <c r="E102" i="4" a="1"/>
  <c r="E102" i="4" s="1"/>
  <c r="F102" i="4" s="1" a="1"/>
  <c r="F102" i="4" s="1"/>
  <c r="E90" i="4" a="1"/>
  <c r="E90" i="4" s="1"/>
  <c r="F90" i="4" s="1" a="1"/>
  <c r="F90" i="4" s="1"/>
  <c r="E79" i="4" a="1"/>
  <c r="E79" i="4" s="1"/>
  <c r="F79" i="4" s="1" a="1"/>
  <c r="F79" i="4" s="1"/>
  <c r="E56" i="4" a="1"/>
  <c r="E56" i="4" s="1"/>
  <c r="F56" i="4" s="1" a="1"/>
  <c r="F56" i="4" s="1"/>
  <c r="I12" i="6" a="1"/>
  <c r="I12" i="6" s="1"/>
  <c r="D29" i="6" a="1"/>
  <c r="D29" i="6" s="1"/>
  <c r="E76" i="6" a="1"/>
  <c r="E76" i="6" s="1"/>
  <c r="D59" i="6" a="1"/>
  <c r="D59" i="6" s="1"/>
  <c r="C59" i="6"/>
  <c r="D47" i="6" a="1"/>
  <c r="D47" i="6" s="1"/>
  <c r="C47" i="6"/>
  <c r="D35" i="6" a="1"/>
  <c r="D35" i="6" s="1"/>
  <c r="C35" i="6"/>
  <c r="H31" i="6" a="1"/>
  <c r="H31" i="6" s="1"/>
  <c r="D23" i="6" a="1"/>
  <c r="D23" i="6" s="1"/>
  <c r="C23" i="6"/>
  <c r="E16" i="6" a="1"/>
  <c r="E16" i="6" s="1"/>
  <c r="D11" i="6" a="1"/>
  <c r="D11" i="6" s="1"/>
  <c r="C11" i="6"/>
  <c r="E29" i="4" a="1"/>
  <c r="E29" i="4" s="1"/>
  <c r="F29" i="4" s="1" a="1"/>
  <c r="F29" i="4" s="1"/>
  <c r="E501" i="4" a="1"/>
  <c r="E501" i="4" s="1"/>
  <c r="F501" i="4" s="1" a="1"/>
  <c r="F501" i="4" s="1"/>
  <c r="E487" i="4" a="1"/>
  <c r="E487" i="4" s="1"/>
  <c r="F487" i="4" s="1" a="1"/>
  <c r="F487" i="4" s="1"/>
  <c r="E472" i="4" a="1"/>
  <c r="E472" i="4" s="1"/>
  <c r="F472" i="4" s="1" a="1"/>
  <c r="F472" i="4" s="1"/>
  <c r="E460" i="4" a="1"/>
  <c r="E460" i="4" s="1"/>
  <c r="F460" i="4" s="1" a="1"/>
  <c r="F460" i="4" s="1"/>
  <c r="E451" i="4" a="1"/>
  <c r="E451" i="4" s="1"/>
  <c r="F451" i="4" s="1" a="1"/>
  <c r="F451" i="4" s="1"/>
  <c r="E431" i="4" a="1"/>
  <c r="E431" i="4" s="1"/>
  <c r="F431" i="4" s="1" a="1"/>
  <c r="F431" i="4" s="1"/>
  <c r="E423" i="4" a="1"/>
  <c r="E423" i="4" s="1"/>
  <c r="F423" i="4" s="1" a="1"/>
  <c r="F423" i="4" s="1"/>
  <c r="E414" i="4" a="1"/>
  <c r="E414" i="4" s="1"/>
  <c r="F414" i="4" s="1" a="1"/>
  <c r="F414" i="4" s="1"/>
  <c r="E407" i="4" a="1"/>
  <c r="E407" i="4" s="1"/>
  <c r="F407" i="4" s="1" a="1"/>
  <c r="F407" i="4" s="1"/>
  <c r="E401" i="4" a="1"/>
  <c r="E401" i="4" s="1"/>
  <c r="F401" i="4" s="1" a="1"/>
  <c r="F401" i="4" s="1"/>
  <c r="E386" i="4" a="1"/>
  <c r="E386" i="4" s="1"/>
  <c r="F386" i="4" s="1" a="1"/>
  <c r="F386" i="4" s="1"/>
  <c r="E378" i="4" a="1"/>
  <c r="E378" i="4" s="1"/>
  <c r="F378" i="4" s="1" a="1"/>
  <c r="F378" i="4" s="1"/>
  <c r="E364" i="4" a="1"/>
  <c r="E364" i="4" s="1"/>
  <c r="F364" i="4" s="1" a="1"/>
  <c r="F364" i="4" s="1"/>
  <c r="E356" i="4" a="1"/>
  <c r="E356" i="4" s="1"/>
  <c r="F356" i="4" s="1" a="1"/>
  <c r="F356" i="4" s="1"/>
  <c r="E331" i="4" a="1"/>
  <c r="E331" i="4" s="1"/>
  <c r="F331" i="4" s="1" a="1"/>
  <c r="F331" i="4" s="1"/>
  <c r="E307" i="4" a="1"/>
  <c r="E307" i="4" s="1"/>
  <c r="F307" i="4" s="1" a="1"/>
  <c r="F307" i="4" s="1"/>
  <c r="E299" i="4" a="1"/>
  <c r="E299" i="4" s="1"/>
  <c r="F299" i="4" s="1" a="1"/>
  <c r="F299" i="4" s="1"/>
  <c r="E291" i="4" a="1"/>
  <c r="E291" i="4" s="1"/>
  <c r="F291" i="4" s="1" a="1"/>
  <c r="F291" i="4" s="1"/>
  <c r="E271" i="4" a="1"/>
  <c r="E271" i="4" s="1"/>
  <c r="F271" i="4" s="1" a="1"/>
  <c r="F271" i="4" s="1"/>
  <c r="E263" i="4" a="1"/>
  <c r="E263" i="4" s="1"/>
  <c r="F263" i="4" s="1" a="1"/>
  <c r="F263" i="4" s="1"/>
  <c r="E222" i="4" a="1"/>
  <c r="E222" i="4" s="1"/>
  <c r="F222" i="4" s="1" a="1"/>
  <c r="F222" i="4" s="1"/>
  <c r="E212" i="4" a="1"/>
  <c r="E212" i="4" s="1"/>
  <c r="F212" i="4" s="1" a="1"/>
  <c r="F212" i="4" s="1"/>
  <c r="E203" i="4" a="1"/>
  <c r="E203" i="4" s="1"/>
  <c r="F203" i="4" s="1" a="1"/>
  <c r="F203" i="4" s="1"/>
  <c r="E194" i="4" a="1"/>
  <c r="E194" i="4" s="1"/>
  <c r="F194" i="4" s="1" a="1"/>
  <c r="F194" i="4" s="1"/>
  <c r="E172" i="4" a="1"/>
  <c r="E172" i="4" s="1"/>
  <c r="F172" i="4" s="1" a="1"/>
  <c r="F172" i="4" s="1"/>
  <c r="E159" i="4" a="1"/>
  <c r="E159" i="4" s="1"/>
  <c r="F159" i="4" s="1" a="1"/>
  <c r="F159" i="4" s="1"/>
  <c r="E149" i="4" a="1"/>
  <c r="E149" i="4" s="1"/>
  <c r="F149" i="4" s="1" a="1"/>
  <c r="F149" i="4" s="1"/>
  <c r="E125" i="4" a="1"/>
  <c r="E125" i="4" s="1"/>
  <c r="F125" i="4" s="1" a="1"/>
  <c r="F125" i="4" s="1"/>
  <c r="E113" i="4" a="1"/>
  <c r="E113" i="4" s="1"/>
  <c r="F113" i="4" s="1" a="1"/>
  <c r="F113" i="4" s="1"/>
  <c r="E101" i="4" a="1"/>
  <c r="E101" i="4" s="1"/>
  <c r="F101" i="4" s="1" a="1"/>
  <c r="F101" i="4" s="1"/>
  <c r="E89" i="4" a="1"/>
  <c r="E89" i="4" s="1"/>
  <c r="F89" i="4" s="1" a="1"/>
  <c r="F89" i="4" s="1"/>
  <c r="E78" i="4" a="1"/>
  <c r="E78" i="4" s="1"/>
  <c r="F78" i="4" s="1" a="1"/>
  <c r="F78" i="4" s="1"/>
  <c r="E67" i="4" a="1"/>
  <c r="E67" i="4" s="1"/>
  <c r="F67" i="4" s="1" a="1"/>
  <c r="F67" i="4" s="1"/>
  <c r="E55" i="4" a="1"/>
  <c r="E55" i="4" s="1"/>
  <c r="F55" i="4" s="1" a="1"/>
  <c r="F55" i="4" s="1"/>
  <c r="E44" i="4" a="1"/>
  <c r="E44" i="4" s="1"/>
  <c r="F44" i="4" s="1" a="1"/>
  <c r="F44" i="4" s="1"/>
  <c r="E33" i="4" a="1"/>
  <c r="E33" i="4" s="1"/>
  <c r="F33" i="4" s="1" a="1"/>
  <c r="F33" i="4" s="1"/>
  <c r="C14" i="6"/>
  <c r="G30" i="6" a="1"/>
  <c r="G30" i="6" s="1"/>
  <c r="G46" i="6" a="1"/>
  <c r="G46" i="6" s="1"/>
  <c r="D76" i="6" a="1"/>
  <c r="D76" i="6" s="1"/>
  <c r="C76" i="6"/>
  <c r="C64" i="6"/>
  <c r="D52" i="6" a="1"/>
  <c r="D52" i="6" s="1"/>
  <c r="C52" i="6"/>
  <c r="J46" i="6" a="1"/>
  <c r="J46" i="6" s="1"/>
  <c r="D40" i="6" a="1"/>
  <c r="D40" i="6" s="1"/>
  <c r="E268" i="4" a="1"/>
  <c r="E268" i="4" s="1"/>
  <c r="F268" i="4" s="1" a="1"/>
  <c r="F268" i="4" s="1"/>
  <c r="C40" i="6"/>
  <c r="J34" i="6" a="1"/>
  <c r="J34" i="6" s="1"/>
  <c r="E232" i="4" a="1"/>
  <c r="E232" i="4" s="1"/>
  <c r="F232" i="4" s="1" a="1"/>
  <c r="F232" i="4" s="1"/>
  <c r="G31" i="6" a="1"/>
  <c r="G31" i="6" s="1"/>
  <c r="D28" i="6" a="1"/>
  <c r="D28" i="6" s="1"/>
  <c r="C28" i="6"/>
  <c r="E136" i="4" a="1"/>
  <c r="E136" i="4" s="1"/>
  <c r="F136" i="4" s="1" a="1"/>
  <c r="F136" i="4" s="1"/>
  <c r="E21" i="6" a="1"/>
  <c r="E21" i="6" s="1"/>
  <c r="E124" i="4" a="1"/>
  <c r="E124" i="4" s="1"/>
  <c r="F124" i="4" s="1" a="1"/>
  <c r="F124" i="4" s="1"/>
  <c r="G19" i="6" a="1"/>
  <c r="G19" i="6" s="1"/>
  <c r="D16" i="6" a="1"/>
  <c r="D16" i="6" s="1"/>
  <c r="C16" i="6"/>
  <c r="E40" i="4" a="1"/>
  <c r="E40" i="4" s="1"/>
  <c r="F40" i="4" s="1" a="1"/>
  <c r="F40" i="4" s="1"/>
  <c r="E509" i="4" a="1"/>
  <c r="E509" i="4" s="1"/>
  <c r="F509" i="4" s="1" a="1"/>
  <c r="F509" i="4" s="1"/>
  <c r="E500" i="4" a="1"/>
  <c r="E500" i="4" s="1"/>
  <c r="F500" i="4" s="1" a="1"/>
  <c r="F500" i="4" s="1"/>
  <c r="E493" i="4" a="1"/>
  <c r="E493" i="4" s="1"/>
  <c r="F493" i="4" s="1" a="1"/>
  <c r="F493" i="4" s="1"/>
  <c r="E486" i="4" a="1"/>
  <c r="E486" i="4" s="1"/>
  <c r="F486" i="4" s="1" a="1"/>
  <c r="F486" i="4" s="1"/>
  <c r="E465" i="4" a="1"/>
  <c r="E465" i="4" s="1"/>
  <c r="F465" i="4" s="1" a="1"/>
  <c r="F465" i="4" s="1"/>
  <c r="E459" i="4" a="1"/>
  <c r="E459" i="4" s="1"/>
  <c r="F459" i="4" s="1" a="1"/>
  <c r="F459" i="4" s="1"/>
  <c r="E450" i="4" a="1"/>
  <c r="E450" i="4" s="1"/>
  <c r="F450" i="4" s="1" a="1"/>
  <c r="F450" i="4" s="1"/>
  <c r="E437" i="4" a="1"/>
  <c r="E437" i="4" s="1"/>
  <c r="F437" i="4" s="1" a="1"/>
  <c r="F437" i="4" s="1"/>
  <c r="E392" i="4" a="1"/>
  <c r="E392" i="4" s="1"/>
  <c r="F392" i="4" s="1" a="1"/>
  <c r="F392" i="4" s="1"/>
  <c r="E369" i="4" a="1"/>
  <c r="E369" i="4" s="1"/>
  <c r="F369" i="4" s="1" a="1"/>
  <c r="F369" i="4" s="1"/>
  <c r="E363" i="4" a="1"/>
  <c r="E363" i="4" s="1"/>
  <c r="F363" i="4" s="1" a="1"/>
  <c r="F363" i="4" s="1"/>
  <c r="E355" i="4" a="1"/>
  <c r="E355" i="4" s="1"/>
  <c r="F355" i="4" s="1" a="1"/>
  <c r="F355" i="4" s="1"/>
  <c r="E347" i="4" a="1"/>
  <c r="E347" i="4" s="1"/>
  <c r="F347" i="4" s="1" a="1"/>
  <c r="F347" i="4" s="1"/>
  <c r="E339" i="4" a="1"/>
  <c r="E339" i="4" s="1"/>
  <c r="F339" i="4" s="1" a="1"/>
  <c r="F339" i="4" s="1"/>
  <c r="E306" i="4" a="1"/>
  <c r="E306" i="4" s="1"/>
  <c r="F306" i="4" s="1" a="1"/>
  <c r="F306" i="4" s="1"/>
  <c r="E290" i="4" a="1"/>
  <c r="E290" i="4" s="1"/>
  <c r="F290" i="4" s="1" a="1"/>
  <c r="F290" i="4" s="1"/>
  <c r="E280" i="4" a="1"/>
  <c r="E280" i="4" s="1"/>
  <c r="F280" i="4" s="1" a="1"/>
  <c r="F280" i="4" s="1"/>
  <c r="E270" i="4" a="1"/>
  <c r="E270" i="4" s="1"/>
  <c r="F270" i="4" s="1" a="1"/>
  <c r="F270" i="4" s="1"/>
  <c r="E255" i="4" a="1"/>
  <c r="E255" i="4" s="1"/>
  <c r="F255" i="4" s="1" a="1"/>
  <c r="F255" i="4" s="1"/>
  <c r="E249" i="4" a="1"/>
  <c r="E249" i="4" s="1"/>
  <c r="F249" i="4" s="1" a="1"/>
  <c r="F249" i="4" s="1"/>
  <c r="E231" i="4" a="1"/>
  <c r="E231" i="4" s="1"/>
  <c r="F231" i="4" s="1" a="1"/>
  <c r="F231" i="4" s="1"/>
  <c r="E211" i="4" a="1"/>
  <c r="E211" i="4" s="1"/>
  <c r="F211" i="4" s="1" a="1"/>
  <c r="F211" i="4" s="1"/>
  <c r="E193" i="4" a="1"/>
  <c r="E193" i="4" s="1"/>
  <c r="F193" i="4" s="1" a="1"/>
  <c r="F193" i="4" s="1"/>
  <c r="E183" i="4" a="1"/>
  <c r="E183" i="4" s="1"/>
  <c r="F183" i="4" s="1" a="1"/>
  <c r="F183" i="4" s="1"/>
  <c r="E158" i="4" a="1"/>
  <c r="E158" i="4" s="1"/>
  <c r="F158" i="4" s="1" a="1"/>
  <c r="F158" i="4" s="1"/>
  <c r="E148" i="4" a="1"/>
  <c r="E148" i="4" s="1"/>
  <c r="F148" i="4" s="1" a="1"/>
  <c r="F148" i="4" s="1"/>
  <c r="E137" i="4" a="1"/>
  <c r="E137" i="4" s="1"/>
  <c r="F137" i="4" s="1" a="1"/>
  <c r="F137" i="4" s="1"/>
  <c r="E123" i="4" a="1"/>
  <c r="E123" i="4" s="1"/>
  <c r="F123" i="4" s="1" a="1"/>
  <c r="F123" i="4" s="1"/>
  <c r="E112" i="4" a="1"/>
  <c r="E112" i="4" s="1"/>
  <c r="F112" i="4" s="1" a="1"/>
  <c r="F112" i="4" s="1"/>
  <c r="E100" i="4" a="1"/>
  <c r="E100" i="4" s="1"/>
  <c r="F100" i="4" s="1" a="1"/>
  <c r="F100" i="4" s="1"/>
  <c r="E88" i="4" a="1"/>
  <c r="E88" i="4" s="1"/>
  <c r="F88" i="4" s="1" a="1"/>
  <c r="F88" i="4" s="1"/>
  <c r="E66" i="4" a="1"/>
  <c r="E66" i="4" s="1"/>
  <c r="F66" i="4" s="1" a="1"/>
  <c r="F66" i="4" s="1"/>
  <c r="E54" i="4" a="1"/>
  <c r="E54" i="4" s="1"/>
  <c r="F54" i="4" s="1" a="1"/>
  <c r="F54" i="4" s="1"/>
  <c r="E43" i="4" a="1"/>
  <c r="E43" i="4" s="1"/>
  <c r="F43" i="4" s="1" a="1"/>
  <c r="F43" i="4" s="1"/>
  <c r="E32" i="4" a="1"/>
  <c r="E32" i="4" s="1"/>
  <c r="F32" i="4" s="1" a="1"/>
  <c r="F32" i="4" s="1"/>
  <c r="I31" i="6" a="1"/>
  <c r="I31" i="6" s="1"/>
  <c r="J47" i="6" a="1"/>
  <c r="J47" i="6" s="1"/>
  <c r="D64" i="6" a="1"/>
  <c r="D64" i="6" s="1"/>
  <c r="D69" i="6" a="1"/>
  <c r="D69" i="6" s="1"/>
  <c r="C69" i="6"/>
  <c r="D57" i="6" a="1"/>
  <c r="D57" i="6" s="1"/>
  <c r="C57" i="6"/>
  <c r="I46" i="6" a="1"/>
  <c r="I46" i="6" s="1"/>
  <c r="D45" i="6" a="1"/>
  <c r="D45" i="6" s="1"/>
  <c r="C45" i="6"/>
  <c r="C33" i="6"/>
  <c r="F31" i="6" a="1"/>
  <c r="F31" i="6" s="1"/>
  <c r="E518" i="4" a="1"/>
  <c r="E518" i="4" s="1"/>
  <c r="F518" i="4" s="1" a="1"/>
  <c r="F518" i="4" s="1"/>
  <c r="E479" i="4" a="1"/>
  <c r="E479" i="4" s="1"/>
  <c r="F479" i="4" s="1" a="1"/>
  <c r="F479" i="4" s="1"/>
  <c r="E471" i="4" a="1"/>
  <c r="E471" i="4" s="1"/>
  <c r="F471" i="4" s="1" a="1"/>
  <c r="F471" i="4" s="1"/>
  <c r="E458" i="4" a="1"/>
  <c r="E458" i="4" s="1"/>
  <c r="F458" i="4" s="1" a="1"/>
  <c r="F458" i="4" s="1"/>
  <c r="E443" i="4" a="1"/>
  <c r="E443" i="4" s="1"/>
  <c r="F443" i="4" s="1" a="1"/>
  <c r="F443" i="4" s="1"/>
  <c r="E429" i="4" a="1"/>
  <c r="E429" i="4" s="1"/>
  <c r="F429" i="4" s="1" a="1"/>
  <c r="F429" i="4" s="1"/>
  <c r="E400" i="4" a="1"/>
  <c r="E400" i="4" s="1"/>
  <c r="F400" i="4" s="1" a="1"/>
  <c r="F400" i="4" s="1"/>
  <c r="E391" i="4" a="1"/>
  <c r="E391" i="4" s="1"/>
  <c r="F391" i="4" s="1" a="1"/>
  <c r="F391" i="4" s="1"/>
  <c r="E385" i="4" a="1"/>
  <c r="E385" i="4" s="1"/>
  <c r="F385" i="4" s="1" a="1"/>
  <c r="F385" i="4" s="1"/>
  <c r="E377" i="4" a="1"/>
  <c r="E377" i="4" s="1"/>
  <c r="F377" i="4" s="1" a="1"/>
  <c r="F377" i="4" s="1"/>
  <c r="E368" i="4" a="1"/>
  <c r="E368" i="4" s="1"/>
  <c r="F368" i="4" s="1" a="1"/>
  <c r="F368" i="4" s="1"/>
  <c r="E362" i="4" a="1"/>
  <c r="E362" i="4" s="1"/>
  <c r="F362" i="4" s="1" a="1"/>
  <c r="F362" i="4" s="1"/>
  <c r="E315" i="4" a="1"/>
  <c r="E315" i="4" s="1"/>
  <c r="F315" i="4" s="1" a="1"/>
  <c r="F315" i="4" s="1"/>
  <c r="E297" i="4" a="1"/>
  <c r="E297" i="4" s="1"/>
  <c r="F297" i="4" s="1" a="1"/>
  <c r="F297" i="4" s="1"/>
  <c r="E239" i="4" a="1"/>
  <c r="E239" i="4" s="1"/>
  <c r="F239" i="4" s="1" a="1"/>
  <c r="F239" i="4" s="1"/>
  <c r="E230" i="4" a="1"/>
  <c r="E230" i="4" s="1"/>
  <c r="F230" i="4" s="1" a="1"/>
  <c r="F230" i="4" s="1"/>
  <c r="E221" i="4" a="1"/>
  <c r="E221" i="4" s="1"/>
  <c r="F221" i="4" s="1" a="1"/>
  <c r="F221" i="4" s="1"/>
  <c r="E182" i="4" a="1"/>
  <c r="E182" i="4" s="1"/>
  <c r="F182" i="4" s="1" a="1"/>
  <c r="F182" i="4" s="1"/>
  <c r="E157" i="4" a="1"/>
  <c r="E157" i="4" s="1"/>
  <c r="F157" i="4" s="1" a="1"/>
  <c r="F157" i="4" s="1"/>
  <c r="E147" i="4" a="1"/>
  <c r="E147" i="4" s="1"/>
  <c r="F147" i="4" s="1" a="1"/>
  <c r="F147" i="4" s="1"/>
  <c r="E135" i="4" a="1"/>
  <c r="E135" i="4" s="1"/>
  <c r="F135" i="4" s="1" a="1"/>
  <c r="F135" i="4" s="1"/>
  <c r="E122" i="4" a="1"/>
  <c r="E122" i="4" s="1"/>
  <c r="F122" i="4" s="1" a="1"/>
  <c r="F122" i="4" s="1"/>
  <c r="E111" i="4" a="1"/>
  <c r="E111" i="4" s="1"/>
  <c r="F111" i="4" s="1" a="1"/>
  <c r="F111" i="4" s="1"/>
  <c r="E99" i="4" a="1"/>
  <c r="E99" i="4" s="1"/>
  <c r="F99" i="4" s="1" a="1"/>
  <c r="F99" i="4" s="1"/>
  <c r="E87" i="4" a="1"/>
  <c r="E87" i="4" s="1"/>
  <c r="F87" i="4" s="1" a="1"/>
  <c r="F87" i="4" s="1"/>
  <c r="E65" i="4" a="1"/>
  <c r="E65" i="4" s="1"/>
  <c r="F65" i="4" s="1" a="1"/>
  <c r="F65" i="4" s="1"/>
  <c r="E53" i="4" a="1"/>
  <c r="E53" i="4" s="1"/>
  <c r="F53" i="4" s="1" a="1"/>
  <c r="F53" i="4" s="1"/>
  <c r="E42" i="4" a="1"/>
  <c r="E42" i="4" s="1"/>
  <c r="F42" i="4" s="1" a="1"/>
  <c r="F42" i="4" s="1"/>
  <c r="E31" i="4" a="1"/>
  <c r="E31" i="4" s="1"/>
  <c r="F31" i="4" s="1" a="1"/>
  <c r="F31" i="4" s="1"/>
  <c r="E7" i="4" a="1"/>
  <c r="E7" i="4" s="1"/>
  <c r="F7" i="4" s="1" a="1"/>
  <c r="F7" i="4" s="1"/>
  <c r="C4" i="6"/>
  <c r="I5" i="6" a="1"/>
  <c r="I5" i="6" s="1"/>
  <c r="D33" i="6" a="1"/>
  <c r="D33" i="6" s="1"/>
  <c r="D74" i="6" a="1"/>
  <c r="D74" i="6" s="1"/>
  <c r="C74" i="6"/>
  <c r="D62" i="6" a="1"/>
  <c r="D62" i="6" s="1"/>
  <c r="C62" i="6"/>
  <c r="D50" i="6" a="1"/>
  <c r="D50" i="6" s="1"/>
  <c r="C50" i="6"/>
  <c r="H46" i="6" a="1"/>
  <c r="H46" i="6" s="1"/>
  <c r="E254" i="4" a="1"/>
  <c r="E254" i="4" s="1"/>
  <c r="F254" i="4" s="1" a="1"/>
  <c r="F254" i="4" s="1"/>
  <c r="C38" i="6"/>
  <c r="E31" i="6" a="1"/>
  <c r="E31" i="6" s="1"/>
  <c r="E206" i="4" a="1"/>
  <c r="E206" i="4" s="1"/>
  <c r="F206" i="4" s="1" a="1"/>
  <c r="F206" i="4" s="1"/>
  <c r="D26" i="6" a="1"/>
  <c r="D26" i="6" s="1"/>
  <c r="C26" i="6"/>
  <c r="E146" i="4" a="1"/>
  <c r="E146" i="4" s="1"/>
  <c r="F146" i="4" s="1" a="1"/>
  <c r="F146" i="4" s="1"/>
  <c r="H22" i="6" a="1"/>
  <c r="H22" i="6" s="1"/>
  <c r="E508" i="4" a="1"/>
  <c r="E508" i="4" s="1"/>
  <c r="F508" i="4" s="1" a="1"/>
  <c r="F508" i="4" s="1"/>
  <c r="E499" i="4" a="1"/>
  <c r="E499" i="4" s="1"/>
  <c r="F499" i="4" s="1" a="1"/>
  <c r="F499" i="4" s="1"/>
  <c r="E485" i="4" a="1"/>
  <c r="E485" i="4" s="1"/>
  <c r="F485" i="4" s="1" a="1"/>
  <c r="F485" i="4" s="1"/>
  <c r="E449" i="4" a="1"/>
  <c r="E449" i="4" s="1"/>
  <c r="F449" i="4" s="1" a="1"/>
  <c r="F449" i="4" s="1"/>
  <c r="E413" i="4" a="1"/>
  <c r="E413" i="4" s="1"/>
  <c r="F413" i="4" s="1" a="1"/>
  <c r="F413" i="4" s="1"/>
  <c r="E399" i="4" a="1"/>
  <c r="E399" i="4" s="1"/>
  <c r="F399" i="4" s="1" a="1"/>
  <c r="F399" i="4" s="1"/>
  <c r="E390" i="4" a="1"/>
  <c r="E390" i="4" s="1"/>
  <c r="F390" i="4" s="1" a="1"/>
  <c r="F390" i="4" s="1"/>
  <c r="E354" i="4" a="1"/>
  <c r="E354" i="4" s="1"/>
  <c r="F354" i="4" s="1" a="1"/>
  <c r="F354" i="4" s="1"/>
  <c r="E345" i="4" a="1"/>
  <c r="E345" i="4" s="1"/>
  <c r="F345" i="4" s="1" a="1"/>
  <c r="F345" i="4" s="1"/>
  <c r="E330" i="4" a="1"/>
  <c r="E330" i="4" s="1"/>
  <c r="F330" i="4" s="1" a="1"/>
  <c r="F330" i="4" s="1"/>
  <c r="E305" i="4" a="1"/>
  <c r="E305" i="4" s="1"/>
  <c r="F305" i="4" s="1" a="1"/>
  <c r="F305" i="4" s="1"/>
  <c r="E296" i="4" a="1"/>
  <c r="E296" i="4" s="1"/>
  <c r="F296" i="4" s="1" a="1"/>
  <c r="F296" i="4" s="1"/>
  <c r="E279" i="4" a="1"/>
  <c r="E279" i="4" s="1"/>
  <c r="F279" i="4" s="1" a="1"/>
  <c r="F279" i="4" s="1"/>
  <c r="E269" i="4" a="1"/>
  <c r="E269" i="4" s="1"/>
  <c r="F269" i="4" s="1" a="1"/>
  <c r="F269" i="4" s="1"/>
  <c r="E247" i="4" a="1"/>
  <c r="E247" i="4" s="1"/>
  <c r="F247" i="4" s="1" a="1"/>
  <c r="F247" i="4" s="1"/>
  <c r="E229" i="4" a="1"/>
  <c r="E229" i="4" s="1"/>
  <c r="F229" i="4" s="1" a="1"/>
  <c r="F229" i="4" s="1"/>
  <c r="E220" i="4" a="1"/>
  <c r="E220" i="4" s="1"/>
  <c r="F220" i="4" s="1" a="1"/>
  <c r="F220" i="4" s="1"/>
  <c r="E210" i="4" a="1"/>
  <c r="E210" i="4" s="1"/>
  <c r="F210" i="4" s="1" a="1"/>
  <c r="F210" i="4" s="1"/>
  <c r="E169" i="4" a="1"/>
  <c r="E169" i="4" s="1"/>
  <c r="F169" i="4" s="1" a="1"/>
  <c r="F169" i="4" s="1"/>
  <c r="E145" i="4" a="1"/>
  <c r="E145" i="4" s="1"/>
  <c r="F145" i="4" s="1" a="1"/>
  <c r="F145" i="4" s="1"/>
  <c r="E134" i="4" a="1"/>
  <c r="E134" i="4" s="1"/>
  <c r="F134" i="4" s="1" a="1"/>
  <c r="F134" i="4" s="1"/>
  <c r="E110" i="4" a="1"/>
  <c r="E110" i="4" s="1"/>
  <c r="F110" i="4" s="1" a="1"/>
  <c r="F110" i="4" s="1"/>
  <c r="E98" i="4" a="1"/>
  <c r="E98" i="4" s="1"/>
  <c r="F98" i="4" s="1" a="1"/>
  <c r="F98" i="4" s="1"/>
  <c r="E86" i="4" a="1"/>
  <c r="E86" i="4" s="1"/>
  <c r="F86" i="4" s="1" a="1"/>
  <c r="F86" i="4" s="1"/>
  <c r="E76" i="4" a="1"/>
  <c r="E76" i="4" s="1"/>
  <c r="F76" i="4" s="1" a="1"/>
  <c r="F76" i="4" s="1"/>
  <c r="E64" i="4" a="1"/>
  <c r="E64" i="4" s="1"/>
  <c r="F64" i="4" s="1" a="1"/>
  <c r="F64" i="4" s="1"/>
  <c r="E52" i="4" a="1"/>
  <c r="E52" i="4" s="1"/>
  <c r="F52" i="4" s="1" a="1"/>
  <c r="F52" i="4" s="1"/>
  <c r="E17" i="4" a="1"/>
  <c r="E17" i="4" s="1"/>
  <c r="F17" i="4" s="1" a="1"/>
  <c r="F17" i="4" s="1"/>
  <c r="E6" i="4" a="1"/>
  <c r="E6" i="4" s="1"/>
  <c r="F6" i="4" s="1" a="1"/>
  <c r="F6" i="4" s="1"/>
  <c r="J2" i="6" a="1"/>
  <c r="J2" i="6" s="1"/>
  <c r="D4" i="6" a="1"/>
  <c r="D4" i="6" s="1"/>
  <c r="D67" i="6" a="1"/>
  <c r="D67" i="6" s="1"/>
  <c r="C67" i="6"/>
  <c r="J61" i="6" a="1"/>
  <c r="J61" i="6" s="1"/>
  <c r="D55" i="6" a="1"/>
  <c r="D55" i="6" s="1"/>
  <c r="C55" i="6"/>
  <c r="D43" i="6" a="1"/>
  <c r="D43" i="6" s="1"/>
  <c r="C43" i="6"/>
  <c r="E277" i="4" a="1"/>
  <c r="E277" i="4" s="1"/>
  <c r="F277" i="4" s="1" a="1"/>
  <c r="F277" i="4" s="1"/>
  <c r="F41" i="6" a="1"/>
  <c r="F41" i="6" s="1"/>
  <c r="E36" i="6" a="1"/>
  <c r="E36" i="6" s="1"/>
  <c r="E241" i="4" a="1"/>
  <c r="E241" i="4" s="1"/>
  <c r="F241" i="4" s="1" a="1"/>
  <c r="F241" i="4" s="1"/>
  <c r="D31" i="6" a="1"/>
  <c r="D31" i="6" s="1"/>
  <c r="C31" i="6"/>
  <c r="D19" i="6" a="1"/>
  <c r="D19" i="6" s="1"/>
  <c r="C19" i="6"/>
  <c r="E49" i="4" a="1"/>
  <c r="E49" i="4" s="1"/>
  <c r="F49" i="4" s="1" a="1"/>
  <c r="F49" i="4" s="1"/>
  <c r="E517" i="4" a="1"/>
  <c r="E517" i="4" s="1"/>
  <c r="F517" i="4" s="1" a="1"/>
  <c r="F517" i="4" s="1"/>
  <c r="E491" i="4" a="1"/>
  <c r="E491" i="4" s="1"/>
  <c r="F491" i="4" s="1" a="1"/>
  <c r="F491" i="4" s="1"/>
  <c r="E484" i="4" a="1"/>
  <c r="E484" i="4" s="1"/>
  <c r="F484" i="4" s="1" a="1"/>
  <c r="F484" i="4" s="1"/>
  <c r="E477" i="4" a="1"/>
  <c r="E477" i="4" s="1"/>
  <c r="F477" i="4" s="1" a="1"/>
  <c r="F477" i="4" s="1"/>
  <c r="E464" i="4" a="1"/>
  <c r="E464" i="4" s="1"/>
  <c r="F464" i="4" s="1" a="1"/>
  <c r="F464" i="4" s="1"/>
  <c r="E441" i="4" a="1"/>
  <c r="E441" i="4" s="1"/>
  <c r="F441" i="4" s="1" a="1"/>
  <c r="F441" i="4" s="1"/>
  <c r="E436" i="4" a="1"/>
  <c r="E436" i="4" s="1"/>
  <c r="F436" i="4" s="1" a="1"/>
  <c r="F436" i="4" s="1"/>
  <c r="E428" i="4" a="1"/>
  <c r="E428" i="4" s="1"/>
  <c r="F428" i="4" s="1" a="1"/>
  <c r="F428" i="4" s="1"/>
  <c r="E412" i="4" a="1"/>
  <c r="E412" i="4" s="1"/>
  <c r="F412" i="4" s="1" a="1"/>
  <c r="F412" i="4" s="1"/>
  <c r="E405" i="4" a="1"/>
  <c r="E405" i="4" s="1"/>
  <c r="F405" i="4" s="1" a="1"/>
  <c r="F405" i="4" s="1"/>
  <c r="E383" i="4" a="1"/>
  <c r="E383" i="4" s="1"/>
  <c r="F383" i="4" s="1" a="1"/>
  <c r="F383" i="4" s="1"/>
  <c r="E376" i="4" a="1"/>
  <c r="E376" i="4" s="1"/>
  <c r="F376" i="4" s="1" a="1"/>
  <c r="F376" i="4" s="1"/>
  <c r="E367" i="4" a="1"/>
  <c r="E367" i="4" s="1"/>
  <c r="F367" i="4" s="1" a="1"/>
  <c r="F367" i="4" s="1"/>
  <c r="E353" i="4" a="1"/>
  <c r="E353" i="4" s="1"/>
  <c r="F353" i="4" s="1" a="1"/>
  <c r="F353" i="4" s="1"/>
  <c r="E344" i="4" a="1"/>
  <c r="E344" i="4" s="1"/>
  <c r="F344" i="4" s="1" a="1"/>
  <c r="F344" i="4" s="1"/>
  <c r="E337" i="4" a="1"/>
  <c r="E337" i="4" s="1"/>
  <c r="F337" i="4" s="1" a="1"/>
  <c r="F337" i="4" s="1"/>
  <c r="E321" i="4" a="1"/>
  <c r="E321" i="4" s="1"/>
  <c r="F321" i="4" s="1" a="1"/>
  <c r="F321" i="4" s="1"/>
  <c r="E314" i="4" a="1"/>
  <c r="E314" i="4" s="1"/>
  <c r="F314" i="4" s="1" a="1"/>
  <c r="F314" i="4" s="1"/>
  <c r="E260" i="4" a="1"/>
  <c r="E260" i="4" s="1"/>
  <c r="F260" i="4" s="1" a="1"/>
  <c r="F260" i="4" s="1"/>
  <c r="E253" i="4" a="1"/>
  <c r="E253" i="4" s="1"/>
  <c r="F253" i="4" s="1" a="1"/>
  <c r="F253" i="4" s="1"/>
  <c r="E219" i="4" a="1"/>
  <c r="E219" i="4" s="1"/>
  <c r="F219" i="4" s="1" a="1"/>
  <c r="F219" i="4" s="1"/>
  <c r="E209" i="4" a="1"/>
  <c r="E209" i="4" s="1"/>
  <c r="F209" i="4" s="1" a="1"/>
  <c r="F209" i="4" s="1"/>
  <c r="E200" i="4" a="1"/>
  <c r="E200" i="4" s="1"/>
  <c r="F200" i="4" s="1" a="1"/>
  <c r="F200" i="4" s="1"/>
  <c r="E191" i="4" a="1"/>
  <c r="E191" i="4" s="1"/>
  <c r="F191" i="4" s="1" a="1"/>
  <c r="F191" i="4" s="1"/>
  <c r="E133" i="4" a="1"/>
  <c r="E133" i="4" s="1"/>
  <c r="F133" i="4" s="1" a="1"/>
  <c r="F133" i="4" s="1"/>
  <c r="E109" i="4" a="1"/>
  <c r="E109" i="4" s="1"/>
  <c r="F109" i="4" s="1" a="1"/>
  <c r="F109" i="4" s="1"/>
  <c r="E97" i="4" a="1"/>
  <c r="E97" i="4" s="1"/>
  <c r="F97" i="4" s="1" a="1"/>
  <c r="F97" i="4" s="1"/>
  <c r="E85" i="4" a="1"/>
  <c r="E85" i="4" s="1"/>
  <c r="F85" i="4" s="1" a="1"/>
  <c r="F85" i="4" s="1"/>
  <c r="E75" i="4" a="1"/>
  <c r="E75" i="4" s="1"/>
  <c r="F75" i="4" s="1" a="1"/>
  <c r="F75" i="4" s="1"/>
  <c r="E63" i="4" a="1"/>
  <c r="E63" i="4" s="1"/>
  <c r="F63" i="4" s="1" a="1"/>
  <c r="F63" i="4" s="1"/>
  <c r="E51" i="4" a="1"/>
  <c r="E51" i="4" s="1"/>
  <c r="F51" i="4" s="1" a="1"/>
  <c r="F51" i="4" s="1"/>
  <c r="E41" i="4" a="1"/>
  <c r="E41" i="4" s="1"/>
  <c r="F41" i="4" s="1" a="1"/>
  <c r="F41" i="4" s="1"/>
  <c r="J5" i="6" a="1"/>
  <c r="J5" i="6" s="1"/>
  <c r="I8" i="6" a="1"/>
  <c r="I8" i="6" s="1"/>
  <c r="D68" i="6" a="1"/>
  <c r="D68" i="6" s="1"/>
  <c r="Z26" i="8"/>
  <c r="Z25" i="8"/>
  <c r="Z109" i="8"/>
  <c r="Z6" i="8"/>
  <c r="AA54" i="8"/>
  <c r="Y72" i="8"/>
  <c r="BJ72" i="8" s="1"/>
  <c r="AA51" i="8"/>
  <c r="Y84" i="8"/>
  <c r="BJ84" i="8" s="1"/>
  <c r="AA27" i="8"/>
  <c r="Y26" i="8"/>
  <c r="BJ26" i="8" s="1"/>
  <c r="Y38" i="8"/>
  <c r="BJ38" i="8" s="1"/>
  <c r="Y158" i="8"/>
  <c r="BJ158" i="8" s="1"/>
  <c r="Z110" i="8"/>
  <c r="Y16" i="8"/>
  <c r="BJ16" i="8" s="1"/>
  <c r="Z131" i="8"/>
  <c r="Y11" i="8"/>
  <c r="BJ11" i="8" s="1"/>
  <c r="Z128" i="8"/>
  <c r="AA53" i="8"/>
  <c r="Y23" i="8"/>
  <c r="Y35" i="8"/>
  <c r="BJ35" i="8" s="1"/>
  <c r="Y44" i="8"/>
  <c r="BJ44" i="8" s="1"/>
  <c r="Z107" i="8"/>
  <c r="AA23" i="8"/>
  <c r="Y56" i="8"/>
  <c r="BJ56" i="8" s="1"/>
  <c r="Y76" i="8"/>
  <c r="BJ76" i="8" s="1"/>
  <c r="Z89" i="8"/>
  <c r="Z4" i="8"/>
  <c r="AA20" i="8"/>
  <c r="Y68" i="8"/>
  <c r="BJ68" i="8" s="1"/>
  <c r="Y96" i="8"/>
  <c r="BJ96" i="8" s="1"/>
  <c r="Y39" i="8"/>
  <c r="Z88" i="8"/>
  <c r="AA140" i="8"/>
  <c r="Y33" i="8"/>
  <c r="BJ33" i="8" s="1"/>
  <c r="Y18" i="8"/>
  <c r="BJ18" i="8" s="1"/>
  <c r="Y51" i="8"/>
  <c r="BJ51" i="8" s="1"/>
  <c r="Z86" i="8"/>
  <c r="AA113" i="8"/>
  <c r="Y45" i="8"/>
  <c r="BJ45" i="8" s="1"/>
  <c r="Y90" i="8"/>
  <c r="BJ90" i="8" s="1"/>
  <c r="Y63" i="8"/>
  <c r="BJ63" i="8" s="1"/>
  <c r="Z68" i="8"/>
  <c r="AA111" i="8"/>
  <c r="Y57" i="8"/>
  <c r="BJ57" i="8" s="1"/>
  <c r="Y109" i="8"/>
  <c r="BJ109" i="8" s="1"/>
  <c r="Y64" i="8"/>
  <c r="BJ64" i="8" s="1"/>
  <c r="Z150" i="8"/>
  <c r="Z49" i="8"/>
  <c r="AA107" i="8"/>
  <c r="Y22" i="8"/>
  <c r="BJ22" i="8" s="1"/>
  <c r="Y121" i="8"/>
  <c r="BJ121" i="8" s="1"/>
  <c r="Y112" i="8"/>
  <c r="BJ112" i="8" s="1"/>
  <c r="Z149" i="8"/>
  <c r="Z47" i="8"/>
  <c r="AA83" i="8"/>
  <c r="Y34" i="8"/>
  <c r="BJ34" i="8" s="1"/>
  <c r="Y133" i="8"/>
  <c r="BJ133" i="8" s="1"/>
  <c r="Y89" i="8"/>
  <c r="BJ89" i="8" s="1"/>
  <c r="Z148" i="8"/>
  <c r="Z44" i="8"/>
  <c r="AA80" i="8"/>
  <c r="Y46" i="8"/>
  <c r="BJ46" i="8" s="1"/>
  <c r="Y14" i="8"/>
  <c r="BJ14" i="8" s="1"/>
  <c r="Y101" i="8"/>
  <c r="BJ101" i="8" s="1"/>
  <c r="AA79" i="8"/>
  <c r="Y79" i="8"/>
  <c r="BJ79" i="8" s="1"/>
  <c r="AA19" i="8"/>
  <c r="Y19" i="8"/>
  <c r="BJ19" i="8" s="1"/>
  <c r="AA138" i="8"/>
  <c r="Y43" i="8"/>
  <c r="BJ43" i="8" s="1"/>
  <c r="Z126" i="8"/>
  <c r="Z65" i="8"/>
  <c r="AA137" i="8"/>
  <c r="AA78" i="8"/>
  <c r="Y67" i="8"/>
  <c r="BJ67" i="8" s="1"/>
  <c r="Y150" i="8"/>
  <c r="BJ150" i="8" s="1"/>
  <c r="Y30" i="8"/>
  <c r="BJ30" i="8" s="1"/>
  <c r="Y113" i="8"/>
  <c r="BJ113" i="8" s="1"/>
  <c r="AA31" i="8"/>
  <c r="Y31" i="8"/>
  <c r="Z146" i="8"/>
  <c r="Z125" i="8"/>
  <c r="Z104" i="8"/>
  <c r="Z85" i="8"/>
  <c r="Z64" i="8"/>
  <c r="Z42" i="8"/>
  <c r="AA2" i="8"/>
  <c r="AA135" i="8"/>
  <c r="AA104" i="8"/>
  <c r="AA77" i="8"/>
  <c r="AA47" i="8"/>
  <c r="AA18" i="8"/>
  <c r="Y91" i="8"/>
  <c r="BJ91" i="8" s="1"/>
  <c r="Y80" i="8"/>
  <c r="BJ80" i="8" s="1"/>
  <c r="Y69" i="8"/>
  <c r="BJ69" i="8" s="1"/>
  <c r="Y58" i="8"/>
  <c r="BJ58" i="8" s="1"/>
  <c r="Y108" i="8"/>
  <c r="BJ108" i="8" s="1"/>
  <c r="Y119" i="8"/>
  <c r="BJ119" i="8" s="1"/>
  <c r="Y145" i="8"/>
  <c r="BJ145" i="8" s="1"/>
  <c r="Y50" i="8"/>
  <c r="BJ50" i="8" s="1"/>
  <c r="Y124" i="8"/>
  <c r="BJ124" i="8" s="1"/>
  <c r="Y75" i="8"/>
  <c r="BJ75" i="8" s="1"/>
  <c r="Y114" i="8"/>
  <c r="BJ114" i="8" s="1"/>
  <c r="Y125" i="8"/>
  <c r="BJ125" i="8" s="1"/>
  <c r="Z145" i="8"/>
  <c r="Z124" i="8"/>
  <c r="Z102" i="8"/>
  <c r="Z83" i="8"/>
  <c r="Z62" i="8"/>
  <c r="Z41" i="8"/>
  <c r="Z20" i="8"/>
  <c r="AA161" i="8"/>
  <c r="AA131" i="8"/>
  <c r="AA102" i="8"/>
  <c r="AA75" i="8"/>
  <c r="AA17" i="8"/>
  <c r="Y103" i="8"/>
  <c r="BJ103" i="8" s="1"/>
  <c r="Y92" i="8"/>
  <c r="BJ92" i="8" s="1"/>
  <c r="Y81" i="8"/>
  <c r="BJ81" i="8" s="1"/>
  <c r="Y70" i="8"/>
  <c r="BJ70" i="8" s="1"/>
  <c r="Y59" i="8"/>
  <c r="BJ59" i="8" s="1"/>
  <c r="Y120" i="8"/>
  <c r="BJ120" i="8" s="1"/>
  <c r="Y13" i="8"/>
  <c r="BJ13" i="8" s="1"/>
  <c r="Y157" i="8"/>
  <c r="BJ157" i="8" s="1"/>
  <c r="Y62" i="8"/>
  <c r="BJ62" i="8" s="1"/>
  <c r="Y160" i="8"/>
  <c r="BJ160" i="8" s="1"/>
  <c r="Y87" i="8"/>
  <c r="BJ87" i="8" s="1"/>
  <c r="Y137" i="8"/>
  <c r="BJ137" i="8" s="1"/>
  <c r="Z2" i="8"/>
  <c r="Z143" i="8"/>
  <c r="Z122" i="8"/>
  <c r="Z101" i="8"/>
  <c r="Z61" i="8"/>
  <c r="Z40" i="8"/>
  <c r="AA159" i="8"/>
  <c r="AA128" i="8"/>
  <c r="AA71" i="8"/>
  <c r="AA42" i="8"/>
  <c r="AA15" i="8"/>
  <c r="Y115" i="8"/>
  <c r="BJ115" i="8" s="1"/>
  <c r="Y93" i="8"/>
  <c r="BJ93" i="8" s="1"/>
  <c r="Y82" i="8"/>
  <c r="BJ82" i="8" s="1"/>
  <c r="Y71" i="8"/>
  <c r="BJ71" i="8" s="1"/>
  <c r="Y132" i="8"/>
  <c r="BJ132" i="8" s="1"/>
  <c r="Y25" i="8"/>
  <c r="BJ25" i="8" s="1"/>
  <c r="Y28" i="8"/>
  <c r="BJ28" i="8" s="1"/>
  <c r="Y74" i="8"/>
  <c r="BJ74" i="8" s="1"/>
  <c r="Y66" i="8"/>
  <c r="BJ66" i="8" s="1"/>
  <c r="Y99" i="8"/>
  <c r="BJ99" i="8" s="1"/>
  <c r="Y5" i="8"/>
  <c r="BJ5" i="8" s="1"/>
  <c r="Y149" i="8"/>
  <c r="BJ149" i="8" s="1"/>
  <c r="AA55" i="8"/>
  <c r="Y55" i="8"/>
  <c r="BJ55" i="8" s="1"/>
  <c r="Z161" i="8"/>
  <c r="Z140" i="8"/>
  <c r="Z121" i="8"/>
  <c r="Z100" i="8"/>
  <c r="Z78" i="8"/>
  <c r="Z59" i="8"/>
  <c r="Z38" i="8"/>
  <c r="Z17" i="8"/>
  <c r="AA155" i="8"/>
  <c r="AA126" i="8"/>
  <c r="AA99" i="8"/>
  <c r="AA41" i="8"/>
  <c r="AA11" i="8"/>
  <c r="Y127" i="8"/>
  <c r="BJ127" i="8" s="1"/>
  <c r="Y116" i="8"/>
  <c r="BJ116" i="8" s="1"/>
  <c r="Y105" i="8"/>
  <c r="BJ105" i="8" s="1"/>
  <c r="Y94" i="8"/>
  <c r="BJ94" i="8" s="1"/>
  <c r="Y144" i="8"/>
  <c r="BJ144" i="8" s="1"/>
  <c r="Y37" i="8"/>
  <c r="BJ37" i="8" s="1"/>
  <c r="Y88" i="8"/>
  <c r="BJ88" i="8" s="1"/>
  <c r="Y86" i="8"/>
  <c r="BJ86" i="8" s="1"/>
  <c r="Y111" i="8"/>
  <c r="BJ111" i="8" s="1"/>
  <c r="AA7" i="8"/>
  <c r="Y7" i="8"/>
  <c r="Z160" i="8"/>
  <c r="Z138" i="8"/>
  <c r="Z119" i="8"/>
  <c r="Z98" i="8"/>
  <c r="Z77" i="8"/>
  <c r="Z56" i="8"/>
  <c r="Z37" i="8"/>
  <c r="Z16" i="8"/>
  <c r="AA152" i="8"/>
  <c r="AA95" i="8"/>
  <c r="AA66" i="8"/>
  <c r="AA39" i="8"/>
  <c r="AA8" i="8"/>
  <c r="Y139" i="8"/>
  <c r="BJ139" i="8" s="1"/>
  <c r="Y117" i="8"/>
  <c r="BJ117" i="8" s="1"/>
  <c r="Y106" i="8"/>
  <c r="BJ106" i="8" s="1"/>
  <c r="Y12" i="8"/>
  <c r="BJ12" i="8" s="1"/>
  <c r="Y156" i="8"/>
  <c r="BJ156" i="8" s="1"/>
  <c r="Y49" i="8"/>
  <c r="BJ49" i="8" s="1"/>
  <c r="Y148" i="8"/>
  <c r="BJ148" i="8" s="1"/>
  <c r="Y98" i="8"/>
  <c r="BJ98" i="8" s="1"/>
  <c r="Y123" i="8"/>
  <c r="BJ123" i="8" s="1"/>
  <c r="Y29" i="8"/>
  <c r="BJ29" i="8" s="1"/>
  <c r="Y6" i="8"/>
  <c r="BJ6" i="8" s="1"/>
  <c r="Z158" i="8"/>
  <c r="Z116" i="8"/>
  <c r="Z97" i="8"/>
  <c r="Z76" i="8"/>
  <c r="Z54" i="8"/>
  <c r="Z35" i="8"/>
  <c r="Z14" i="8"/>
  <c r="AA123" i="8"/>
  <c r="AA92" i="8"/>
  <c r="AA65" i="8"/>
  <c r="Y151" i="8"/>
  <c r="BJ151" i="8" s="1"/>
  <c r="Y129" i="8"/>
  <c r="BJ129" i="8" s="1"/>
  <c r="Y118" i="8"/>
  <c r="BJ118" i="8" s="1"/>
  <c r="Y24" i="8"/>
  <c r="BJ24" i="8" s="1"/>
  <c r="Y40" i="8"/>
  <c r="BJ40" i="8" s="1"/>
  <c r="Y61" i="8"/>
  <c r="BJ61" i="8" s="1"/>
  <c r="Y110" i="8"/>
  <c r="BJ110" i="8" s="1"/>
  <c r="Y143" i="8"/>
  <c r="BJ143" i="8" s="1"/>
  <c r="Y135" i="8"/>
  <c r="BJ135" i="8" s="1"/>
  <c r="Z157" i="8"/>
  <c r="Z136" i="8"/>
  <c r="Z114" i="8"/>
  <c r="Z95" i="8"/>
  <c r="Z74" i="8"/>
  <c r="Z53" i="8"/>
  <c r="Z32" i="8"/>
  <c r="Z13" i="8"/>
  <c r="AA90" i="8"/>
  <c r="AA63" i="8"/>
  <c r="AA32" i="8"/>
  <c r="Y8" i="8"/>
  <c r="BJ8" i="8" s="1"/>
  <c r="Y152" i="8"/>
  <c r="BJ152" i="8" s="1"/>
  <c r="Y141" i="8"/>
  <c r="BJ141" i="8" s="1"/>
  <c r="Y130" i="8"/>
  <c r="BJ130" i="8" s="1"/>
  <c r="Y36" i="8"/>
  <c r="BJ36" i="8" s="1"/>
  <c r="Y52" i="8"/>
  <c r="BJ52" i="8" s="1"/>
  <c r="Y73" i="8"/>
  <c r="BJ73" i="8" s="1"/>
  <c r="Y122" i="8"/>
  <c r="BJ122" i="8" s="1"/>
  <c r="Y3" i="8"/>
  <c r="BJ3" i="8" s="1"/>
  <c r="Y147" i="8"/>
  <c r="BJ147" i="8" s="1"/>
  <c r="Z155" i="8"/>
  <c r="Z134" i="8"/>
  <c r="Z73" i="8"/>
  <c r="Z52" i="8"/>
  <c r="Z30" i="8"/>
  <c r="AA147" i="8"/>
  <c r="AA3" i="8"/>
  <c r="Y9" i="8"/>
  <c r="BJ9" i="8" s="1"/>
  <c r="Y153" i="8"/>
  <c r="BJ153" i="8" s="1"/>
  <c r="Y142" i="8"/>
  <c r="BJ142" i="8" s="1"/>
  <c r="Y48" i="8"/>
  <c r="BJ48" i="8" s="1"/>
  <c r="Y100" i="8"/>
  <c r="BJ100" i="8" s="1"/>
  <c r="Y85" i="8"/>
  <c r="BJ85" i="8" s="1"/>
  <c r="Y134" i="8"/>
  <c r="BJ134" i="8" s="1"/>
  <c r="Y15" i="8"/>
  <c r="Y159" i="8"/>
  <c r="BJ159" i="8" s="1"/>
  <c r="Z133" i="8"/>
  <c r="Z112" i="8"/>
  <c r="Z50" i="8"/>
  <c r="Z29" i="8"/>
  <c r="AA87" i="8"/>
  <c r="Y21" i="8"/>
  <c r="BJ21" i="8" s="1"/>
  <c r="Y10" i="8"/>
  <c r="BJ10" i="8" s="1"/>
  <c r="Y154" i="8"/>
  <c r="BJ154" i="8" s="1"/>
  <c r="Y60" i="8"/>
  <c r="BJ60" i="8" s="1"/>
  <c r="Y136" i="8"/>
  <c r="BJ136" i="8" s="1"/>
  <c r="Y97" i="8"/>
  <c r="BJ97" i="8" s="1"/>
  <c r="Y146" i="8"/>
  <c r="BJ146" i="8" s="1"/>
  <c r="Y27" i="8"/>
  <c r="BJ27" i="8" s="1"/>
  <c r="Y4" i="8"/>
  <c r="BJ4" i="8" s="1"/>
  <c r="D14" i="25"/>
  <c r="J23" i="25" s="1"/>
  <c r="D15" i="25"/>
  <c r="K23" i="25" s="1"/>
  <c r="D43" i="25"/>
  <c r="I29" i="25" s="1"/>
  <c r="A17" i="25"/>
  <c r="D12" i="25"/>
  <c r="H23" i="25" s="1"/>
  <c r="A20" i="25"/>
  <c r="A19" i="25"/>
  <c r="A48" i="25"/>
  <c r="Z154" i="8"/>
  <c r="Z142" i="8"/>
  <c r="Z130" i="8"/>
  <c r="Z118" i="8"/>
  <c r="Z106" i="8"/>
  <c r="Z94" i="8"/>
  <c r="Z82" i="8"/>
  <c r="Z70" i="8"/>
  <c r="Z58" i="8"/>
  <c r="Z46" i="8"/>
  <c r="Z34" i="8"/>
  <c r="Z22" i="8"/>
  <c r="Z10" i="8"/>
  <c r="Z153" i="8"/>
  <c r="Z141" i="8"/>
  <c r="Z129" i="8"/>
  <c r="Z117" i="8"/>
  <c r="Z105" i="8"/>
  <c r="Z93" i="8"/>
  <c r="Z81" i="8"/>
  <c r="Z69" i="8"/>
  <c r="Z57" i="8"/>
  <c r="Z45" i="8"/>
  <c r="Z33" i="8"/>
  <c r="Z21" i="8"/>
  <c r="Z9" i="8"/>
  <c r="AA156" i="8"/>
  <c r="AA144" i="8"/>
  <c r="AA132" i="8"/>
  <c r="AA120" i="8"/>
  <c r="AA108" i="8"/>
  <c r="AA96" i="8"/>
  <c r="AA84" i="8"/>
  <c r="AA72" i="8"/>
  <c r="AA60" i="8"/>
  <c r="AA48" i="8"/>
  <c r="AA36" i="8"/>
  <c r="AA24" i="8"/>
  <c r="AA12" i="8"/>
  <c r="Z151" i="8"/>
  <c r="Z139" i="8"/>
  <c r="Z127" i="8"/>
  <c r="Z115" i="8"/>
  <c r="Z103" i="8"/>
  <c r="Z91" i="8"/>
  <c r="Z79" i="8"/>
  <c r="AE79" i="8" s="1"/>
  <c r="Z67" i="8"/>
  <c r="Z55" i="8"/>
  <c r="Z43" i="8"/>
  <c r="Z31" i="8"/>
  <c r="Z19" i="8"/>
  <c r="Z7" i="8"/>
  <c r="B6" i="3"/>
  <c r="B5" i="3"/>
  <c r="B8" i="3"/>
  <c r="B7" i="3"/>
  <c r="B4" i="3"/>
  <c r="B2" i="3"/>
  <c r="C2" i="3"/>
  <c r="C7" i="3"/>
  <c r="C4" i="3"/>
  <c r="C5" i="3"/>
  <c r="C3" i="3"/>
  <c r="C8" i="3"/>
  <c r="C6" i="3"/>
  <c r="AE129" i="8" l="1"/>
  <c r="AN78" i="8" a="1"/>
  <c r="AN78" i="8" s="1"/>
  <c r="AN155" i="8" a="1"/>
  <c r="AN155" i="8" s="1"/>
  <c r="AT41" i="8" a="1"/>
  <c r="AT41" i="8" s="1"/>
  <c r="AE34" i="8"/>
  <c r="AE143" i="8"/>
  <c r="AE10" i="8"/>
  <c r="AE153" i="8"/>
  <c r="AE149" i="8"/>
  <c r="AE112" i="8"/>
  <c r="AP83" i="8" a="1"/>
  <c r="AP83" i="8" s="1"/>
  <c r="BJ39" i="8"/>
  <c r="BJ31" i="8"/>
  <c r="BJ15" i="8"/>
  <c r="BJ23" i="8"/>
  <c r="BJ7" i="8"/>
  <c r="AQ41" i="8" a="1"/>
  <c r="AQ41" i="8" s="1"/>
  <c r="AN41" i="8" a="1"/>
  <c r="AN41" i="8" s="1"/>
  <c r="AE14" i="8"/>
  <c r="AE91" i="8"/>
  <c r="AE117" i="8"/>
  <c r="AS155" i="8" a="1"/>
  <c r="AS155" i="8" s="1"/>
  <c r="AE35" i="8"/>
  <c r="AE9" i="8"/>
  <c r="AE76" i="8"/>
  <c r="AP41" i="8" a="1"/>
  <c r="AP41" i="8" s="1"/>
  <c r="AT78" i="8" a="1"/>
  <c r="AT78" i="8" s="1"/>
  <c r="AS83" i="8" a="1"/>
  <c r="AS83" i="8" s="1"/>
  <c r="AE118" i="8"/>
  <c r="AE56" i="8"/>
  <c r="AR17" i="8" a="1"/>
  <c r="AR17" i="8" s="1"/>
  <c r="AE122" i="8"/>
  <c r="AR155" i="8" a="1"/>
  <c r="AR155" i="8" s="1"/>
  <c r="AN83" i="8" a="1"/>
  <c r="AN83" i="8" s="1"/>
  <c r="AR41" i="8" a="1"/>
  <c r="AR41" i="8" s="1"/>
  <c r="AE100" i="8"/>
  <c r="AO41" i="8" a="1"/>
  <c r="AO41" i="8" s="1"/>
  <c r="AQ78" i="8" a="1"/>
  <c r="AQ78" i="8" s="1"/>
  <c r="AR138" i="8" a="1"/>
  <c r="AR138" i="8" s="1"/>
  <c r="AN104" i="8" a="1"/>
  <c r="AN104" i="8" s="1"/>
  <c r="AE141" i="8"/>
  <c r="AO42" i="8" a="1"/>
  <c r="AO42" i="8" s="1"/>
  <c r="AE110" i="8"/>
  <c r="AN54" i="8" a="1"/>
  <c r="AN54" i="8" s="1"/>
  <c r="AS41" i="8" a="1"/>
  <c r="AS41" i="8" s="1"/>
  <c r="AE86" i="8"/>
  <c r="AT54" i="8" a="1"/>
  <c r="AT54" i="8" s="1"/>
  <c r="AE22" i="8"/>
  <c r="AO54" i="8" a="1"/>
  <c r="AO54" i="8" s="1"/>
  <c r="AE61" i="8"/>
  <c r="AS54" i="8" a="1"/>
  <c r="AS54" i="8" s="1"/>
  <c r="AE62" i="8"/>
  <c r="AP54" i="8" a="1"/>
  <c r="AP54" i="8" s="1"/>
  <c r="AE5" i="8"/>
  <c r="AE103" i="8"/>
  <c r="AT20" i="8" a="1"/>
  <c r="AT20" i="8" s="1"/>
  <c r="AE101" i="8"/>
  <c r="AE21" i="8"/>
  <c r="AE97" i="8"/>
  <c r="AE37" i="8"/>
  <c r="AE85" i="8"/>
  <c r="AE6" i="8"/>
  <c r="AP78" i="8" a="1"/>
  <c r="AP78" i="8" s="1"/>
  <c r="AO138" i="8" a="1"/>
  <c r="AO138" i="8" s="1"/>
  <c r="AQ138" i="8" a="1"/>
  <c r="AQ138" i="8" s="1"/>
  <c r="AO17" i="8" a="1"/>
  <c r="AO17" i="8" s="1"/>
  <c r="AS138" i="8" a="1"/>
  <c r="AS138" i="8" s="1"/>
  <c r="AT128" i="8" a="1"/>
  <c r="AT128" i="8" s="1"/>
  <c r="AR140" i="8" a="1"/>
  <c r="AR140" i="8" s="1"/>
  <c r="AE46" i="8"/>
  <c r="AS65" i="8" a="1"/>
  <c r="AS65" i="8" s="1"/>
  <c r="AS78" i="8" a="1"/>
  <c r="AS78" i="8" s="1"/>
  <c r="AE67" i="8"/>
  <c r="AR65" i="8" a="1"/>
  <c r="AR65" i="8" s="1"/>
  <c r="AP138" i="8" a="1"/>
  <c r="AP138" i="8" s="1"/>
  <c r="AE49" i="8"/>
  <c r="AT65" i="8" a="1"/>
  <c r="AT65" i="8" s="1"/>
  <c r="AQ65" i="8" a="1"/>
  <c r="AQ65" i="8" s="1"/>
  <c r="AE106" i="8"/>
  <c r="AE40" i="8"/>
  <c r="AE58" i="8"/>
  <c r="AE13" i="8"/>
  <c r="AE74" i="8"/>
  <c r="AE136" i="8"/>
  <c r="AE25" i="8"/>
  <c r="AN65" i="8" a="1"/>
  <c r="AN65" i="8" s="1"/>
  <c r="AE142" i="8"/>
  <c r="AE157" i="8"/>
  <c r="AS17" i="8" a="1"/>
  <c r="AS17" i="8" s="1"/>
  <c r="AT77" i="8" a="1"/>
  <c r="AT77" i="8" s="1"/>
  <c r="AT138" i="8" a="1"/>
  <c r="AT138" i="8" s="1"/>
  <c r="AE139" i="8"/>
  <c r="AE69" i="8"/>
  <c r="AE154" i="8"/>
  <c r="AE50" i="8"/>
  <c r="AE119" i="8"/>
  <c r="AE38" i="8"/>
  <c r="AE44" i="8"/>
  <c r="AN17" i="8" a="1"/>
  <c r="AN17" i="8" s="1"/>
  <c r="AS77" i="8" a="1"/>
  <c r="AS77" i="8" s="1"/>
  <c r="AP2" i="8" a="1"/>
  <c r="AP2" i="8" s="1"/>
  <c r="AP65" i="8" a="1"/>
  <c r="AP65" i="8" s="1"/>
  <c r="AE33" i="8"/>
  <c r="AE134" i="8"/>
  <c r="AE116" i="8"/>
  <c r="AE109" i="8"/>
  <c r="AO65" i="8" a="1"/>
  <c r="AO65" i="8" s="1"/>
  <c r="AE115" i="8"/>
  <c r="AE127" i="8"/>
  <c r="AE29" i="8"/>
  <c r="AE151" i="8"/>
  <c r="AE81" i="8"/>
  <c r="AE59" i="8"/>
  <c r="AE148" i="8"/>
  <c r="AP17" i="8" a="1"/>
  <c r="AP17" i="8" s="1"/>
  <c r="AR77" i="8" a="1"/>
  <c r="AR77" i="8" s="1"/>
  <c r="AR20" i="8" a="1"/>
  <c r="AR20" i="8" s="1"/>
  <c r="AE93" i="8"/>
  <c r="AE133" i="8"/>
  <c r="AT17" i="8" a="1"/>
  <c r="AT17" i="8" s="1"/>
  <c r="AQ77" i="8" a="1"/>
  <c r="AQ77" i="8" s="1"/>
  <c r="AO20" i="8" a="1"/>
  <c r="AO20" i="8" s="1"/>
  <c r="AE160" i="8"/>
  <c r="AE88" i="8"/>
  <c r="AP42" i="8" a="1"/>
  <c r="AP42" i="8" s="1"/>
  <c r="AT53" i="8" a="1"/>
  <c r="AT53" i="8" s="1"/>
  <c r="AN128" i="8" a="1"/>
  <c r="AN128" i="8" s="1"/>
  <c r="AE70" i="8"/>
  <c r="AR53" i="8" a="1"/>
  <c r="AR53" i="8" s="1"/>
  <c r="AQ53" i="8" a="1"/>
  <c r="AQ53" i="8" s="1"/>
  <c r="AE94" i="8"/>
  <c r="AE52" i="8"/>
  <c r="AE145" i="8"/>
  <c r="AP53" i="8" a="1"/>
  <c r="AP53" i="8" s="1"/>
  <c r="AR78" i="8" a="1"/>
  <c r="AR78" i="8" s="1"/>
  <c r="AN47" i="8" a="1"/>
  <c r="AN47" i="8" s="1"/>
  <c r="AN126" i="8" a="1"/>
  <c r="AN126" i="8" s="1"/>
  <c r="AS42" i="8" a="1"/>
  <c r="AS42" i="8" s="1"/>
  <c r="AS20" i="8" a="1"/>
  <c r="AS20" i="8" s="1"/>
  <c r="AE43" i="8"/>
  <c r="AR2" i="8" a="1"/>
  <c r="AR2" i="8" s="1"/>
  <c r="AO128" i="8" a="1"/>
  <c r="AO128" i="8" s="1"/>
  <c r="AT140" i="8" a="1"/>
  <c r="AT140" i="8" s="1"/>
  <c r="AE121" i="8"/>
  <c r="AQ17" i="8" a="1"/>
  <c r="AQ17" i="8" s="1"/>
  <c r="AP77" i="8" a="1"/>
  <c r="AP77" i="8" s="1"/>
  <c r="AS126" i="8" a="1"/>
  <c r="AS126" i="8" s="1"/>
  <c r="AS47" i="8" a="1"/>
  <c r="AS47" i="8" s="1"/>
  <c r="AQ20" i="8" a="1"/>
  <c r="AQ20" i="8" s="1"/>
  <c r="AT104" i="8" a="1"/>
  <c r="AT104" i="8" s="1"/>
  <c r="AE19" i="8"/>
  <c r="AN102" i="8" a="1"/>
  <c r="AN102" i="8" s="1"/>
  <c r="AR126" i="8" a="1"/>
  <c r="AR126" i="8" s="1"/>
  <c r="AO126" i="8" a="1"/>
  <c r="AO126" i="8" s="1"/>
  <c r="AS128" i="8" a="1"/>
  <c r="AS128" i="8" s="1"/>
  <c r="AR107" i="8" a="1"/>
  <c r="AR107" i="8" s="1"/>
  <c r="AE45" i="8"/>
  <c r="AE155" i="8"/>
  <c r="AE158" i="8"/>
  <c r="AE125" i="8"/>
  <c r="AE68" i="8"/>
  <c r="AN53" i="8" a="1"/>
  <c r="AN53" i="8" s="1"/>
  <c r="AN42" i="8" a="1"/>
  <c r="AN42" i="8" s="1"/>
  <c r="AP126" i="8" a="1"/>
  <c r="AP126" i="8" s="1"/>
  <c r="AP104" i="8" a="1"/>
  <c r="AP104" i="8" s="1"/>
  <c r="AN138" i="8" a="1"/>
  <c r="AN138" i="8" s="1"/>
  <c r="AP140" i="8" a="1"/>
  <c r="AP140" i="8" s="1"/>
  <c r="AR102" i="8" a="1"/>
  <c r="AR102" i="8" s="1"/>
  <c r="AT42" i="8" a="1"/>
  <c r="AT42" i="8" s="1"/>
  <c r="AQ102" i="8" a="1"/>
  <c r="AQ102" i="8" s="1"/>
  <c r="AN20" i="8" a="1"/>
  <c r="AN20" i="8" s="1"/>
  <c r="AS107" i="8" a="1"/>
  <c r="AS107" i="8" s="1"/>
  <c r="AE41" i="8"/>
  <c r="AR42" i="8" a="1"/>
  <c r="AR42" i="8" s="1"/>
  <c r="AS102" i="8" a="1"/>
  <c r="AS102" i="8" s="1"/>
  <c r="AE82" i="8"/>
  <c r="AE30" i="8"/>
  <c r="AE54" i="8"/>
  <c r="AE124" i="8"/>
  <c r="AS53" i="8" a="1"/>
  <c r="AS53" i="8" s="1"/>
  <c r="AQ42" i="8" a="1"/>
  <c r="AQ42" i="8" s="1"/>
  <c r="AP102" i="8" a="1"/>
  <c r="AP102" i="8" s="1"/>
  <c r="AP20" i="8" a="1"/>
  <c r="AP20" i="8" s="1"/>
  <c r="AQ107" i="8" a="1"/>
  <c r="AQ107" i="8" s="1"/>
  <c r="AE28" i="8"/>
  <c r="AE78" i="8"/>
  <c r="AE131" i="8"/>
  <c r="AE31" i="8"/>
  <c r="AE2" i="8"/>
  <c r="AO78" i="8" a="1"/>
  <c r="AO78" i="8" s="1"/>
  <c r="AO2" i="8" a="1"/>
  <c r="AO2" i="8" s="1"/>
  <c r="AO47" i="8" a="1"/>
  <c r="AO47" i="8" s="1"/>
  <c r="AE23" i="8"/>
  <c r="AE48" i="8"/>
  <c r="AQ126" i="8" a="1"/>
  <c r="AQ126" i="8" s="1"/>
  <c r="AR47" i="8" a="1"/>
  <c r="AR47" i="8" s="1"/>
  <c r="AT126" i="8" a="1"/>
  <c r="AT126" i="8" s="1"/>
  <c r="AP47" i="8" a="1"/>
  <c r="AP47" i="8" s="1"/>
  <c r="AE128" i="8"/>
  <c r="AT47" i="8" a="1"/>
  <c r="AT47" i="8" s="1"/>
  <c r="AE161" i="8"/>
  <c r="AE7" i="8"/>
  <c r="AE20" i="8"/>
  <c r="AE126" i="8"/>
  <c r="AP128" i="8" a="1"/>
  <c r="AP128" i="8" s="1"/>
  <c r="AE83" i="8"/>
  <c r="AE55" i="8"/>
  <c r="AE102" i="8"/>
  <c r="AE150" i="8"/>
  <c r="AE4" i="8"/>
  <c r="AO53" i="8" a="1"/>
  <c r="AO53" i="8" s="1"/>
  <c r="AO131" i="8" a="1"/>
  <c r="AO131" i="8" s="1"/>
  <c r="AE53" i="8"/>
  <c r="AE42" i="8"/>
  <c r="AN140" i="8" a="1"/>
  <c r="AN140" i="8" s="1"/>
  <c r="AQ140" i="8" a="1"/>
  <c r="AQ140" i="8" s="1"/>
  <c r="BJ140" i="8"/>
  <c r="AE32" i="8"/>
  <c r="AE84" i="8"/>
  <c r="AE27" i="8"/>
  <c r="AE36" i="8"/>
  <c r="AN77" i="8" a="1"/>
  <c r="AN77" i="8" s="1"/>
  <c r="BJ77" i="8"/>
  <c r="AE63" i="8"/>
  <c r="AQ104" i="8" a="1"/>
  <c r="AQ104" i="8" s="1"/>
  <c r="BJ104" i="8"/>
  <c r="AE11" i="8"/>
  <c r="AE72" i="8"/>
  <c r="AE113" i="8"/>
  <c r="AE89" i="8"/>
  <c r="AO83" i="8" a="1"/>
  <c r="AO83" i="8" s="1"/>
  <c r="BJ83" i="8"/>
  <c r="AE108" i="8"/>
  <c r="AE51" i="8"/>
  <c r="AE92" i="8"/>
  <c r="AE15" i="8"/>
  <c r="AE16" i="8"/>
  <c r="AE64" i="8"/>
  <c r="AE73" i="8"/>
  <c r="AE95" i="8"/>
  <c r="AE114" i="8"/>
  <c r="AE104" i="8"/>
  <c r="AE130" i="8"/>
  <c r="AE77" i="8"/>
  <c r="AE107" i="8"/>
  <c r="AE57" i="8"/>
  <c r="AE98" i="8"/>
  <c r="AE17" i="8"/>
  <c r="AE146" i="8"/>
  <c r="AP131" i="8" a="1"/>
  <c r="AP131" i="8" s="1"/>
  <c r="AE144" i="8"/>
  <c r="AE87" i="8"/>
  <c r="AQ128" i="8" a="1"/>
  <c r="AQ128" i="8" s="1"/>
  <c r="BJ128" i="8"/>
  <c r="AE71" i="8"/>
  <c r="AE96" i="8"/>
  <c r="AE137" i="8"/>
  <c r="AE39" i="8"/>
  <c r="AN131" i="8" a="1"/>
  <c r="AN131" i="8" s="1"/>
  <c r="AT131" i="8" a="1"/>
  <c r="AT131" i="8" s="1"/>
  <c r="AO102" i="8" a="1"/>
  <c r="AO102" i="8" s="1"/>
  <c r="BJ102" i="8"/>
  <c r="AE123" i="8"/>
  <c r="AT107" i="8" a="1"/>
  <c r="AT107" i="8" s="1"/>
  <c r="BJ107" i="8"/>
  <c r="AE132" i="8"/>
  <c r="AE75" i="8"/>
  <c r="AS131" i="8" a="1"/>
  <c r="AS131" i="8" s="1"/>
  <c r="AE66" i="8"/>
  <c r="AE111" i="8"/>
  <c r="AE152" i="8"/>
  <c r="AP95" i="8" a="1"/>
  <c r="AP95" i="8" s="1"/>
  <c r="BJ95" i="8"/>
  <c r="AE18" i="8"/>
  <c r="AE99" i="8"/>
  <c r="AO32" i="8" a="1"/>
  <c r="AO32" i="8" s="1"/>
  <c r="AT155" i="8" a="1"/>
  <c r="AT155" i="8" s="1"/>
  <c r="AE60" i="8"/>
  <c r="AR32" i="8" a="1"/>
  <c r="AR32" i="8" s="1"/>
  <c r="AE147" i="8"/>
  <c r="AQ131" i="8" a="1"/>
  <c r="AQ131" i="8" s="1"/>
  <c r="BJ131" i="8"/>
  <c r="AR54" i="8" a="1"/>
  <c r="AR54" i="8" s="1"/>
  <c r="BJ54" i="8"/>
  <c r="AE156" i="8"/>
  <c r="AE80" i="8"/>
  <c r="AN32" i="8" a="1"/>
  <c r="AN32" i="8" s="1"/>
  <c r="BJ32" i="8"/>
  <c r="AE138" i="8"/>
  <c r="AE105" i="8"/>
  <c r="AE140" i="8"/>
  <c r="AE47" i="8"/>
  <c r="AT32" i="8" a="1"/>
  <c r="AT32" i="8" s="1"/>
  <c r="AQ155" i="8" a="1"/>
  <c r="AQ155" i="8" s="1"/>
  <c r="AQ2" i="8" a="1"/>
  <c r="AQ2" i="8" s="1"/>
  <c r="AN2" i="8" a="1"/>
  <c r="AN2" i="8" s="1"/>
  <c r="BJ2" i="8"/>
  <c r="AE24" i="8"/>
  <c r="AE8" i="8"/>
  <c r="AE90" i="8"/>
  <c r="AE135" i="8"/>
  <c r="AE65" i="8"/>
  <c r="AS32" i="8" a="1"/>
  <c r="AS32" i="8" s="1"/>
  <c r="AE3" i="8"/>
  <c r="AE12" i="8"/>
  <c r="AO155" i="8" a="1"/>
  <c r="AO155" i="8" s="1"/>
  <c r="BJ155" i="8"/>
  <c r="AE159" i="8"/>
  <c r="AE26" i="8"/>
  <c r="AE120" i="8"/>
  <c r="AT161" i="8" a="1"/>
  <c r="AT161" i="8" s="1"/>
  <c r="BJ161" i="8"/>
  <c r="AQ32" i="8" a="1"/>
  <c r="AQ32" i="8" s="1"/>
  <c r="AQ47" i="8" a="1"/>
  <c r="AQ47" i="8" s="1"/>
  <c r="AO104" i="8" a="1"/>
  <c r="AO104" i="8" s="1"/>
  <c r="AQ83" i="8" a="1"/>
  <c r="AQ83" i="8" s="1"/>
  <c r="AR104" i="8" a="1"/>
  <c r="AR104" i="8" s="1"/>
  <c r="AR83" i="8" a="1"/>
  <c r="AR83" i="8" s="1"/>
  <c r="AS2" i="8" a="1"/>
  <c r="AS2" i="8" s="1"/>
  <c r="AS161" i="8" a="1"/>
  <c r="AS161" i="8" s="1"/>
  <c r="AO161" i="8" a="1"/>
  <c r="AO161" i="8" s="1"/>
  <c r="AN161" i="8" a="1"/>
  <c r="AN161" i="8" s="1"/>
  <c r="AQ161" i="8" a="1"/>
  <c r="AQ161" i="8" s="1"/>
  <c r="AP161" i="8" a="1"/>
  <c r="AP161" i="8" s="1"/>
  <c r="AR161" i="8" a="1"/>
  <c r="AR161" i="8" s="1"/>
  <c r="AS140" i="8" a="1"/>
  <c r="AS140" i="8" s="1"/>
  <c r="AN107" i="8" a="1"/>
  <c r="AN107" i="8" s="1"/>
  <c r="AP107" i="8" a="1"/>
  <c r="AP107" i="8" s="1"/>
  <c r="AO95" i="8" a="1"/>
  <c r="AO95" i="8" s="1"/>
  <c r="AN95" i="8" a="1"/>
  <c r="AN95" i="8" s="1"/>
  <c r="AT95" i="8" a="1"/>
  <c r="AT95" i="8" s="1"/>
  <c r="AS95" i="8" a="1"/>
  <c r="AS95" i="8" s="1"/>
  <c r="AR95" i="8" a="1"/>
  <c r="AR95" i="8" s="1"/>
  <c r="AQ95" i="8" a="1"/>
  <c r="AQ95" i="8" s="1"/>
  <c r="T42" i="6" a="1"/>
  <c r="T42" i="6" s="1"/>
  <c r="J4" i="4"/>
  <c r="L4" i="4" s="1"/>
  <c r="T15" i="6" a="1"/>
  <c r="T15" i="6" s="1"/>
  <c r="T24" i="6" a="1"/>
  <c r="T24" i="6" s="1"/>
  <c r="T56" i="6" a="1"/>
  <c r="T56" i="6" s="1"/>
  <c r="T12" i="6" a="1"/>
  <c r="T12" i="6" s="1"/>
  <c r="T57" i="6" a="1"/>
  <c r="T57" i="6" s="1"/>
  <c r="T8" i="6" a="1"/>
  <c r="T8" i="6" s="1"/>
  <c r="T11" i="6" a="1"/>
  <c r="T11" i="6" s="1"/>
  <c r="BI165" i="8"/>
  <c r="BL165" i="8" s="1" a="1"/>
  <c r="BL165" i="8" s="1"/>
  <c r="Y165" i="8"/>
  <c r="T6" i="6" a="1"/>
  <c r="T6" i="6" s="1"/>
  <c r="T33" i="6" a="1"/>
  <c r="T33" i="6" s="1"/>
  <c r="T29" i="6" a="1"/>
  <c r="T29" i="6" s="1"/>
  <c r="T9" i="6" a="1"/>
  <c r="T9" i="6" s="1"/>
  <c r="T62" i="6" a="1"/>
  <c r="T62" i="6" s="1"/>
  <c r="T17" i="6" a="1"/>
  <c r="T17" i="6" s="1"/>
  <c r="T5" i="6" a="1"/>
  <c r="T5" i="6" s="1"/>
  <c r="T60" i="6" a="1"/>
  <c r="T60" i="6" s="1"/>
  <c r="T14" i="6" a="1"/>
  <c r="T14" i="6" s="1"/>
  <c r="T61" i="6" a="1"/>
  <c r="T61" i="6" s="1"/>
  <c r="T31" i="6" a="1"/>
  <c r="T31" i="6" s="1"/>
  <c r="T73" i="6" a="1"/>
  <c r="T73" i="6" s="1"/>
  <c r="J3" i="4"/>
  <c r="L3" i="4" s="1"/>
  <c r="J2" i="4"/>
  <c r="L2" i="4" s="1"/>
  <c r="I4" i="4"/>
  <c r="K4" i="4" s="1"/>
  <c r="I2" i="4"/>
  <c r="K2" i="4" s="1"/>
  <c r="I5" i="4"/>
  <c r="K5" i="4" s="1"/>
  <c r="J5" i="4"/>
  <c r="L5" i="4" s="1"/>
  <c r="I6" i="4"/>
  <c r="K6" i="4" s="1"/>
  <c r="J6" i="4"/>
  <c r="L6" i="4" s="1"/>
  <c r="I7" i="4"/>
  <c r="K7" i="4" s="1"/>
  <c r="J7" i="4"/>
  <c r="L7" i="4" s="1"/>
  <c r="I8" i="4"/>
  <c r="K8" i="4" s="1"/>
  <c r="I3" i="4"/>
  <c r="K3" i="4" s="1"/>
  <c r="J8" i="4"/>
  <c r="L8" i="4" s="1"/>
  <c r="AF155" i="8" a="1"/>
  <c r="AF155" i="8" s="1"/>
  <c r="BK155" i="8" s="1"/>
  <c r="AF143" i="8" a="1"/>
  <c r="AF143" i="8" s="1"/>
  <c r="BK143" i="8" s="1"/>
  <c r="AF154" i="8" a="1"/>
  <c r="AF154" i="8" s="1"/>
  <c r="AF10" i="8" a="1"/>
  <c r="AF10" i="8" s="1"/>
  <c r="BK10" i="8" s="1"/>
  <c r="AF21" i="8" a="1"/>
  <c r="AF21" i="8" s="1"/>
  <c r="BK21" i="8" s="1"/>
  <c r="AF142" i="8" a="1"/>
  <c r="AF142" i="8" s="1"/>
  <c r="AF153" i="8" a="1"/>
  <c r="AF153" i="8" s="1"/>
  <c r="BK153" i="8" s="1"/>
  <c r="AF9" i="8" a="1"/>
  <c r="AF9" i="8" s="1"/>
  <c r="AF158" i="8" a="1"/>
  <c r="AF158" i="8" s="1"/>
  <c r="BK158" i="8" s="1"/>
  <c r="AF148" i="8" a="1"/>
  <c r="AF148" i="8" s="1"/>
  <c r="AF138" i="8" a="1"/>
  <c r="AF138" i="8" s="1"/>
  <c r="AF132" i="8" a="1"/>
  <c r="AF132" i="8" s="1"/>
  <c r="AF123" i="8" a="1"/>
  <c r="AF123" i="8" s="1"/>
  <c r="AF114" i="8" a="1"/>
  <c r="AF114" i="8" s="1"/>
  <c r="AF108" i="8" a="1"/>
  <c r="AF108" i="8" s="1"/>
  <c r="AF99" i="8" a="1"/>
  <c r="AF99" i="8" s="1"/>
  <c r="AF90" i="8" a="1"/>
  <c r="AF90" i="8" s="1"/>
  <c r="AF84" i="8" a="1"/>
  <c r="AF84" i="8" s="1"/>
  <c r="BK84" i="8" s="1"/>
  <c r="AF75" i="8" a="1"/>
  <c r="AF75" i="8" s="1"/>
  <c r="AF66" i="8" a="1"/>
  <c r="AF66" i="8" s="1"/>
  <c r="AF60" i="8" a="1"/>
  <c r="AF60" i="8" s="1"/>
  <c r="AF51" i="8" a="1"/>
  <c r="AF51" i="8" s="1"/>
  <c r="AF42" i="8" a="1"/>
  <c r="AF42" i="8" s="1"/>
  <c r="AF36" i="8" a="1"/>
  <c r="AF36" i="8" s="1"/>
  <c r="AF27" i="8" a="1"/>
  <c r="AF27" i="8" s="1"/>
  <c r="AF18" i="8" a="1"/>
  <c r="AF18" i="8" s="1"/>
  <c r="AF131" i="8" a="1"/>
  <c r="AF131" i="8" s="1"/>
  <c r="AF119" i="8" a="1"/>
  <c r="AF119" i="8" s="1"/>
  <c r="AF130" i="8" a="1"/>
  <c r="AF130" i="8" s="1"/>
  <c r="AF141" i="8" a="1"/>
  <c r="AF141" i="8" s="1"/>
  <c r="BK141" i="8" s="1"/>
  <c r="AF140" i="8" a="1"/>
  <c r="AF140" i="8" s="1"/>
  <c r="AF107" i="8" a="1"/>
  <c r="AF107" i="8" s="1"/>
  <c r="AF118" i="8" a="1"/>
  <c r="AF118" i="8" s="1"/>
  <c r="AF129" i="8" a="1"/>
  <c r="AF129" i="8" s="1"/>
  <c r="BK129" i="8" s="1"/>
  <c r="AF2" i="8" a="1"/>
  <c r="AF2" i="8" s="1"/>
  <c r="BK2" i="8" s="1"/>
  <c r="AF157" i="8" a="1"/>
  <c r="AF157" i="8" s="1"/>
  <c r="AF147" i="8" a="1"/>
  <c r="AF147" i="8" s="1"/>
  <c r="AF137" i="8" a="1"/>
  <c r="AF137" i="8" s="1"/>
  <c r="AF128" i="8" a="1"/>
  <c r="AF128" i="8" s="1"/>
  <c r="AF122" i="8" a="1"/>
  <c r="AF122" i="8" s="1"/>
  <c r="BK122" i="8" s="1"/>
  <c r="AF113" i="8" a="1"/>
  <c r="AF113" i="8" s="1"/>
  <c r="AF104" i="8" a="1"/>
  <c r="AF104" i="8" s="1"/>
  <c r="AF98" i="8" a="1"/>
  <c r="AF98" i="8" s="1"/>
  <c r="AF89" i="8" a="1"/>
  <c r="AF89" i="8" s="1"/>
  <c r="AF80" i="8" a="1"/>
  <c r="AF80" i="8" s="1"/>
  <c r="AF74" i="8" a="1"/>
  <c r="AF74" i="8" s="1"/>
  <c r="AF65" i="8" a="1"/>
  <c r="AF65" i="8" s="1"/>
  <c r="AF56" i="8" a="1"/>
  <c r="AF56" i="8" s="1"/>
  <c r="BK56" i="8" s="1"/>
  <c r="AF50" i="8" a="1"/>
  <c r="AF50" i="8" s="1"/>
  <c r="BK50" i="8" s="1"/>
  <c r="AF41" i="8" a="1"/>
  <c r="AF41" i="8" s="1"/>
  <c r="AF32" i="8" a="1"/>
  <c r="AF32" i="8" s="1"/>
  <c r="BK32" i="8" s="1"/>
  <c r="AF26" i="8" a="1"/>
  <c r="AF26" i="8" s="1"/>
  <c r="AF17" i="8" a="1"/>
  <c r="AF17" i="8" s="1"/>
  <c r="AF7" i="8" a="1"/>
  <c r="AF7" i="8" s="1"/>
  <c r="AF82" i="8" a="1"/>
  <c r="AF82" i="8" s="1"/>
  <c r="AF139" i="8" a="1"/>
  <c r="AF139" i="8" s="1"/>
  <c r="AF100" i="8" a="1"/>
  <c r="AF100" i="8" s="1"/>
  <c r="AF52" i="8" a="1"/>
  <c r="AF52" i="8" s="1"/>
  <c r="AF12" i="8" a="1"/>
  <c r="AF12" i="8" s="1"/>
  <c r="AF95" i="8" a="1"/>
  <c r="AF95" i="8" s="1"/>
  <c r="AF106" i="8" a="1"/>
  <c r="AF106" i="8" s="1"/>
  <c r="BK106" i="8" s="1"/>
  <c r="AF117" i="8" a="1"/>
  <c r="AF117" i="8" s="1"/>
  <c r="BK117" i="8" s="1"/>
  <c r="AF151" i="8" a="1"/>
  <c r="AF151" i="8" s="1"/>
  <c r="AF93" i="8" a="1"/>
  <c r="AF93" i="8" s="1"/>
  <c r="BK93" i="8" s="1"/>
  <c r="AF33" i="8" a="1"/>
  <c r="AF33" i="8" s="1"/>
  <c r="AF124" i="8" a="1"/>
  <c r="AF124" i="8" s="1"/>
  <c r="BK124" i="8" s="1"/>
  <c r="AF76" i="8" a="1"/>
  <c r="AF76" i="8" s="1"/>
  <c r="AF28" i="8" a="1"/>
  <c r="AF28" i="8" s="1"/>
  <c r="AF83" i="8" a="1"/>
  <c r="AF83" i="8" s="1"/>
  <c r="AF94" i="8" a="1"/>
  <c r="AF94" i="8" s="1"/>
  <c r="BK94" i="8" s="1"/>
  <c r="AF105" i="8" a="1"/>
  <c r="AF105" i="8" s="1"/>
  <c r="AF15" i="8" a="1"/>
  <c r="AF15" i="8" s="1"/>
  <c r="AF156" i="8" a="1"/>
  <c r="AF156" i="8" s="1"/>
  <c r="AF146" i="8" a="1"/>
  <c r="AF146" i="8" s="1"/>
  <c r="AF136" i="8" a="1"/>
  <c r="AF136" i="8" s="1"/>
  <c r="AF127" i="8" a="1"/>
  <c r="AF127" i="8" s="1"/>
  <c r="AF121" i="8" a="1"/>
  <c r="AF121" i="8" s="1"/>
  <c r="AF112" i="8" a="1"/>
  <c r="AF112" i="8" s="1"/>
  <c r="BK112" i="8" s="1"/>
  <c r="AF103" i="8" a="1"/>
  <c r="AF103" i="8" s="1"/>
  <c r="AF97" i="8" a="1"/>
  <c r="AF97" i="8" s="1"/>
  <c r="BK97" i="8" s="1"/>
  <c r="AF88" i="8" a="1"/>
  <c r="AF88" i="8" s="1"/>
  <c r="AF79" i="8" a="1"/>
  <c r="AF79" i="8" s="1"/>
  <c r="BK79" i="8" s="1"/>
  <c r="AF73" i="8" a="1"/>
  <c r="AF73" i="8" s="1"/>
  <c r="AF64" i="8" a="1"/>
  <c r="AF64" i="8" s="1"/>
  <c r="BK64" i="8" s="1"/>
  <c r="AF55" i="8" a="1"/>
  <c r="AF55" i="8" s="1"/>
  <c r="AF49" i="8" a="1"/>
  <c r="AF49" i="8" s="1"/>
  <c r="BK49" i="8" s="1"/>
  <c r="AF40" i="8" a="1"/>
  <c r="AF40" i="8" s="1"/>
  <c r="AF31" i="8" a="1"/>
  <c r="AF31" i="8" s="1"/>
  <c r="AF25" i="8" a="1"/>
  <c r="AF25" i="8" s="1"/>
  <c r="AF16" i="8" a="1"/>
  <c r="AF16" i="8" s="1"/>
  <c r="BK16" i="8" s="1"/>
  <c r="AF6" i="8" a="1"/>
  <c r="AF6" i="8" s="1"/>
  <c r="AF149" i="8" a="1"/>
  <c r="AF149" i="8" s="1"/>
  <c r="BK149" i="8" s="1"/>
  <c r="AF109" i="8" a="1"/>
  <c r="AF109" i="8" s="1"/>
  <c r="AF67" i="8" a="1"/>
  <c r="AF67" i="8" s="1"/>
  <c r="AF19" i="8" a="1"/>
  <c r="AF19" i="8" s="1"/>
  <c r="BK19" i="8" s="1"/>
  <c r="AF71" i="8" a="1"/>
  <c r="AF71" i="8" s="1"/>
  <c r="AF59" i="8" a="1"/>
  <c r="AF59" i="8" s="1"/>
  <c r="AF70" i="8" a="1"/>
  <c r="AF70" i="8" s="1"/>
  <c r="AF81" i="8" a="1"/>
  <c r="AF81" i="8" s="1"/>
  <c r="AF161" i="8" a="1"/>
  <c r="AF161" i="8" s="1"/>
  <c r="AF152" i="8" a="1"/>
  <c r="AF152" i="8" s="1"/>
  <c r="BK152" i="8" s="1"/>
  <c r="AF145" i="8" a="1"/>
  <c r="AF145" i="8" s="1"/>
  <c r="AF135" i="8" a="1"/>
  <c r="AF135" i="8" s="1"/>
  <c r="AF126" i="8" a="1"/>
  <c r="AF126" i="8" s="1"/>
  <c r="AF120" i="8" a="1"/>
  <c r="AF120" i="8" s="1"/>
  <c r="AF111" i="8" a="1"/>
  <c r="AF111" i="8" s="1"/>
  <c r="AF102" i="8" a="1"/>
  <c r="AF102" i="8" s="1"/>
  <c r="AF96" i="8" a="1"/>
  <c r="AF96" i="8" s="1"/>
  <c r="AF87" i="8" a="1"/>
  <c r="AF87" i="8" s="1"/>
  <c r="AF78" i="8" a="1"/>
  <c r="AF78" i="8" s="1"/>
  <c r="AF72" i="8" a="1"/>
  <c r="AF72" i="8" s="1"/>
  <c r="AF63" i="8" a="1"/>
  <c r="AF63" i="8" s="1"/>
  <c r="AF54" i="8" a="1"/>
  <c r="AF54" i="8" s="1"/>
  <c r="BK54" i="8" s="1"/>
  <c r="AF48" i="8" a="1"/>
  <c r="AF48" i="8" s="1"/>
  <c r="AF39" i="8" a="1"/>
  <c r="AF39" i="8" s="1"/>
  <c r="BK39" i="8" s="1"/>
  <c r="AF30" i="8" a="1"/>
  <c r="AF30" i="8" s="1"/>
  <c r="AF24" i="8" a="1"/>
  <c r="AF24" i="8" s="1"/>
  <c r="AF14" i="8" a="1"/>
  <c r="AF14" i="8" s="1"/>
  <c r="BK14" i="8" s="1"/>
  <c r="AF5" i="8" a="1"/>
  <c r="AF5" i="8" s="1"/>
  <c r="AF46" i="8" a="1"/>
  <c r="AF46" i="8" s="1"/>
  <c r="BK46" i="8" s="1"/>
  <c r="AF160" i="8" a="1"/>
  <c r="AF160" i="8" s="1"/>
  <c r="AF144" i="8" a="1"/>
  <c r="AF144" i="8" s="1"/>
  <c r="AF125" i="8" a="1"/>
  <c r="AF125" i="8" s="1"/>
  <c r="AF110" i="8" a="1"/>
  <c r="AF110" i="8" s="1"/>
  <c r="AF86" i="8" a="1"/>
  <c r="AF86" i="8" s="1"/>
  <c r="AF68" i="8" a="1"/>
  <c r="AF68" i="8" s="1"/>
  <c r="BK68" i="8" s="1"/>
  <c r="AF53" i="8" a="1"/>
  <c r="AF53" i="8" s="1"/>
  <c r="AF38" i="8" a="1"/>
  <c r="AF38" i="8" s="1"/>
  <c r="BK38" i="8" s="1"/>
  <c r="AF13" i="8" a="1"/>
  <c r="AF13" i="8" s="1"/>
  <c r="AF23" i="8" a="1"/>
  <c r="AF23" i="8" s="1"/>
  <c r="AF22" i="8" a="1"/>
  <c r="AF22" i="8" s="1"/>
  <c r="AF115" i="8" a="1"/>
  <c r="AF115" i="8" s="1"/>
  <c r="AF61" i="8" a="1"/>
  <c r="AF61" i="8" s="1"/>
  <c r="BK61" i="8" s="1"/>
  <c r="AF3" i="8" a="1"/>
  <c r="AF3" i="8" s="1"/>
  <c r="AF47" i="8" a="1"/>
  <c r="AF47" i="8" s="1"/>
  <c r="AF58" i="8" a="1"/>
  <c r="AF58" i="8" s="1"/>
  <c r="AF69" i="8" a="1"/>
  <c r="AF69" i="8" s="1"/>
  <c r="AF35" i="8" a="1"/>
  <c r="AF35" i="8" s="1"/>
  <c r="AF57" i="8" a="1"/>
  <c r="AF57" i="8" s="1"/>
  <c r="AF150" i="8" a="1"/>
  <c r="AF150" i="8" s="1"/>
  <c r="AF134" i="8" a="1"/>
  <c r="AF134" i="8" s="1"/>
  <c r="AF116" i="8" a="1"/>
  <c r="AF116" i="8" s="1"/>
  <c r="BK116" i="8" s="1"/>
  <c r="AF101" i="8" a="1"/>
  <c r="AF101" i="8" s="1"/>
  <c r="AF77" i="8" a="1"/>
  <c r="AF77" i="8" s="1"/>
  <c r="AF62" i="8" a="1"/>
  <c r="AF62" i="8" s="1"/>
  <c r="AF44" i="8" a="1"/>
  <c r="AF44" i="8" s="1"/>
  <c r="BK44" i="8" s="1"/>
  <c r="AF29" i="8" a="1"/>
  <c r="AF29" i="8" s="1"/>
  <c r="BK29" i="8" s="1"/>
  <c r="AF4" i="8" a="1"/>
  <c r="AF4" i="8" s="1"/>
  <c r="AF34" i="8" a="1"/>
  <c r="AF34" i="8" s="1"/>
  <c r="BK34" i="8" s="1"/>
  <c r="AF159" i="8" a="1"/>
  <c r="AF159" i="8" s="1"/>
  <c r="AF133" i="8" a="1"/>
  <c r="AF133" i="8" s="1"/>
  <c r="BK133" i="8" s="1"/>
  <c r="AF85" i="8" a="1"/>
  <c r="AF85" i="8" s="1"/>
  <c r="BK85" i="8" s="1"/>
  <c r="AF37" i="8" a="1"/>
  <c r="AF37" i="8" s="1"/>
  <c r="AF92" i="8" a="1"/>
  <c r="AF92" i="8" s="1"/>
  <c r="AF20" i="8" a="1"/>
  <c r="AF20" i="8" s="1"/>
  <c r="AF45" i="8" a="1"/>
  <c r="AF45" i="8" s="1"/>
  <c r="BK45" i="8" s="1"/>
  <c r="AF11" i="8" a="1"/>
  <c r="AF11" i="8" s="1"/>
  <c r="BK11" i="8" s="1"/>
  <c r="AF91" i="8" a="1"/>
  <c r="AF91" i="8" s="1"/>
  <c r="AF43" i="8" a="1"/>
  <c r="AF43" i="8" s="1"/>
  <c r="AF8" i="8" a="1"/>
  <c r="AF8" i="8" s="1"/>
  <c r="T59" i="6" a="1"/>
  <c r="T59" i="6" s="1"/>
  <c r="T70" i="6" a="1"/>
  <c r="T70" i="6" s="1"/>
  <c r="T35" i="6" a="1"/>
  <c r="T35" i="6" s="1"/>
  <c r="T72" i="6" a="1"/>
  <c r="T72" i="6" s="1"/>
  <c r="T53" i="6" a="1"/>
  <c r="T53" i="6" s="1"/>
  <c r="T47" i="6" a="1"/>
  <c r="T47" i="6" s="1"/>
  <c r="T18" i="6" a="1"/>
  <c r="T18" i="6" s="1"/>
  <c r="T4" i="6" a="1"/>
  <c r="T4" i="6" s="1"/>
  <c r="T2" i="6" a="1"/>
  <c r="T2" i="6" s="1"/>
  <c r="T19" i="6" a="1"/>
  <c r="T19" i="6" s="1"/>
  <c r="T71" i="6" a="1"/>
  <c r="T71" i="6" s="1"/>
  <c r="T52" i="6" a="1"/>
  <c r="T52" i="6" s="1"/>
  <c r="T7" i="6" a="1"/>
  <c r="T7" i="6" s="1"/>
  <c r="T48" i="6" a="1"/>
  <c r="T48" i="6" s="1"/>
  <c r="T54" i="6" a="1"/>
  <c r="T54" i="6" s="1"/>
  <c r="T75" i="6" a="1"/>
  <c r="T75" i="6" s="1"/>
  <c r="T46" i="6" a="1"/>
  <c r="T46" i="6" s="1"/>
  <c r="T26" i="6" a="1"/>
  <c r="T26" i="6" s="1"/>
  <c r="T68" i="6" a="1"/>
  <c r="T68" i="6" s="1"/>
  <c r="T38" i="6" a="1"/>
  <c r="T38" i="6" s="1"/>
  <c r="BI166" i="8"/>
  <c r="AF166" i="8" s="1" a="1"/>
  <c r="AF166" i="8" s="1"/>
  <c r="BK166" i="8" s="1"/>
  <c r="Y166" i="8"/>
  <c r="BI163" i="8"/>
  <c r="BL163" i="8" s="1" a="1"/>
  <c r="BL163" i="8" s="1"/>
  <c r="Y163" i="8"/>
  <c r="T67" i="6" a="1"/>
  <c r="T67" i="6" s="1"/>
  <c r="T28" i="6" a="1"/>
  <c r="T28" i="6" s="1"/>
  <c r="T3" i="6" a="1"/>
  <c r="T3" i="6" s="1"/>
  <c r="T32" i="6" a="1"/>
  <c r="T32" i="6" s="1"/>
  <c r="T22" i="6" a="1"/>
  <c r="T22" i="6" s="1"/>
  <c r="T69" i="6" a="1"/>
  <c r="T69" i="6" s="1"/>
  <c r="T13" i="6" a="1"/>
  <c r="T13" i="6" s="1"/>
  <c r="T65" i="6" a="1"/>
  <c r="T65" i="6" s="1"/>
  <c r="T20" i="6" a="1"/>
  <c r="T20" i="6" s="1"/>
  <c r="T27" i="6" a="1"/>
  <c r="T27" i="6" s="1"/>
  <c r="T49" i="6" a="1"/>
  <c r="T49" i="6" s="1"/>
  <c r="BI162" i="8"/>
  <c r="AF162" i="8" s="1" a="1"/>
  <c r="AF162" i="8" s="1"/>
  <c r="BK162" i="8" s="1"/>
  <c r="Y162" i="8"/>
  <c r="T39" i="6" a="1"/>
  <c r="T39" i="6" s="1"/>
  <c r="T40" i="6" a="1"/>
  <c r="T40" i="6" s="1"/>
  <c r="T45" i="6" a="1"/>
  <c r="T45" i="6" s="1"/>
  <c r="T36" i="6" a="1"/>
  <c r="T36" i="6" s="1"/>
  <c r="T37" i="6" a="1"/>
  <c r="T37" i="6" s="1"/>
  <c r="T58" i="6" a="1"/>
  <c r="T58" i="6" s="1"/>
  <c r="T23" i="6" a="1"/>
  <c r="T23" i="6" s="1"/>
  <c r="T74" i="6" a="1"/>
  <c r="T74" i="6" s="1"/>
  <c r="T44" i="6" a="1"/>
  <c r="T44" i="6" s="1"/>
  <c r="T55" i="6" a="1"/>
  <c r="T55" i="6" s="1"/>
  <c r="T41" i="6" a="1"/>
  <c r="T41" i="6" s="1"/>
  <c r="T10" i="6" a="1"/>
  <c r="T10" i="6" s="1"/>
  <c r="T63" i="6" a="1"/>
  <c r="T63" i="6" s="1"/>
  <c r="T21" i="6" a="1"/>
  <c r="T21" i="6" s="1"/>
  <c r="T25" i="6" a="1"/>
  <c r="T25" i="6" s="1"/>
  <c r="T51" i="6" a="1"/>
  <c r="T51" i="6" s="1"/>
  <c r="T76" i="6" a="1"/>
  <c r="T76" i="6" s="1"/>
  <c r="BI164" i="8"/>
  <c r="BL164" i="8" s="1" a="1"/>
  <c r="BL164" i="8" s="1"/>
  <c r="Y164" i="8"/>
  <c r="T64" i="6" a="1"/>
  <c r="T64" i="6" s="1"/>
  <c r="T50" i="6" a="1"/>
  <c r="T50" i="6" s="1"/>
  <c r="T34" i="6" a="1"/>
  <c r="T34" i="6" s="1"/>
  <c r="T30" i="6" a="1"/>
  <c r="T30" i="6" s="1"/>
  <c r="T66" i="6" a="1"/>
  <c r="T66" i="6" s="1"/>
  <c r="T43" i="6" a="1"/>
  <c r="T43" i="6" s="1"/>
  <c r="T16" i="6" a="1"/>
  <c r="T16" i="6" s="1"/>
  <c r="AT36" i="8" a="1"/>
  <c r="AT36" i="8" s="1"/>
  <c r="AN36" i="8" a="1"/>
  <c r="AN36" i="8" s="1"/>
  <c r="AQ36" i="8" a="1"/>
  <c r="AQ36" i="8" s="1"/>
  <c r="AS36" i="8" a="1"/>
  <c r="AS36" i="8" s="1"/>
  <c r="AO36" i="8" a="1"/>
  <c r="AO36" i="8" s="1"/>
  <c r="AP36" i="8" a="1"/>
  <c r="AP36" i="8" s="1"/>
  <c r="AR36" i="8" a="1"/>
  <c r="AR36" i="8" s="1"/>
  <c r="AN151" i="8" a="1"/>
  <c r="AN151" i="8" s="1"/>
  <c r="AO151" i="8" a="1"/>
  <c r="AO151" i="8" s="1"/>
  <c r="AP151" i="8" a="1"/>
  <c r="AP151" i="8" s="1"/>
  <c r="AT151" i="8" a="1"/>
  <c r="AT151" i="8" s="1"/>
  <c r="AQ151" i="8" a="1"/>
  <c r="AQ151" i="8" s="1"/>
  <c r="AR151" i="8" a="1"/>
  <c r="AR151" i="8" s="1"/>
  <c r="AS151" i="8" a="1"/>
  <c r="AS151" i="8" s="1"/>
  <c r="AN29" i="8" a="1"/>
  <c r="AN29" i="8" s="1"/>
  <c r="AO29" i="8" a="1"/>
  <c r="AO29" i="8" s="1"/>
  <c r="AR29" i="8" a="1"/>
  <c r="AR29" i="8" s="1"/>
  <c r="AT29" i="8" a="1"/>
  <c r="AT29" i="8" s="1"/>
  <c r="AP29" i="8" a="1"/>
  <c r="AP29" i="8" s="1"/>
  <c r="AQ29" i="8" a="1"/>
  <c r="AQ29" i="8" s="1"/>
  <c r="AS29" i="8" a="1"/>
  <c r="AS29" i="8" s="1"/>
  <c r="AP115" i="8" a="1"/>
  <c r="AP115" i="8" s="1"/>
  <c r="AQ115" i="8" a="1"/>
  <c r="AQ115" i="8" s="1"/>
  <c r="AR115" i="8" a="1"/>
  <c r="AR115" i="8" s="1"/>
  <c r="AS115" i="8" a="1"/>
  <c r="AS115" i="8" s="1"/>
  <c r="AT115" i="8" a="1"/>
  <c r="AT115" i="8" s="1"/>
  <c r="AN115" i="8" a="1"/>
  <c r="AN115" i="8" s="1"/>
  <c r="AO115" i="8" a="1"/>
  <c r="AO115" i="8" s="1"/>
  <c r="AQ137" i="8" a="1"/>
  <c r="AQ137" i="8" s="1"/>
  <c r="AR137" i="8" a="1"/>
  <c r="AR137" i="8" s="1"/>
  <c r="AS137" i="8" a="1"/>
  <c r="AS137" i="8" s="1"/>
  <c r="AT137" i="8" a="1"/>
  <c r="AT137" i="8" s="1"/>
  <c r="AO137" i="8" a="1"/>
  <c r="AO137" i="8" s="1"/>
  <c r="AP137" i="8" a="1"/>
  <c r="AP137" i="8" s="1"/>
  <c r="AN137" i="8" a="1"/>
  <c r="AN137" i="8" s="1"/>
  <c r="AS125" i="8" a="1"/>
  <c r="AS125" i="8" s="1"/>
  <c r="AT125" i="8" a="1"/>
  <c r="AT125" i="8" s="1"/>
  <c r="AO125" i="8" a="1"/>
  <c r="AO125" i="8" s="1"/>
  <c r="AQ125" i="8" a="1"/>
  <c r="AQ125" i="8" s="1"/>
  <c r="AR125" i="8" a="1"/>
  <c r="AR125" i="8" s="1"/>
  <c r="AN125" i="8" a="1"/>
  <c r="AN125" i="8" s="1"/>
  <c r="AP125" i="8" a="1"/>
  <c r="AP125" i="8" s="1"/>
  <c r="AS31" i="8" a="1"/>
  <c r="AS31" i="8" s="1"/>
  <c r="AN31" i="8" a="1"/>
  <c r="AN31" i="8" s="1"/>
  <c r="AO31" i="8" a="1"/>
  <c r="AO31" i="8" s="1"/>
  <c r="AP31" i="8" a="1"/>
  <c r="AP31" i="8" s="1"/>
  <c r="AT31" i="8" a="1"/>
  <c r="AT31" i="8" s="1"/>
  <c r="AQ31" i="8" a="1"/>
  <c r="AQ31" i="8" s="1"/>
  <c r="AR31" i="8" a="1"/>
  <c r="AR31" i="8" s="1"/>
  <c r="AS19" i="8" a="1"/>
  <c r="AS19" i="8" s="1"/>
  <c r="AN19" i="8" a="1"/>
  <c r="AN19" i="8" s="1"/>
  <c r="AO19" i="8" a="1"/>
  <c r="AO19" i="8" s="1"/>
  <c r="AQ19" i="8" a="1"/>
  <c r="AQ19" i="8" s="1"/>
  <c r="AP19" i="8" a="1"/>
  <c r="AP19" i="8" s="1"/>
  <c r="AR19" i="8" a="1"/>
  <c r="AR19" i="8" s="1"/>
  <c r="AT19" i="8" a="1"/>
  <c r="AT19" i="8" s="1"/>
  <c r="AO34" i="8" a="1"/>
  <c r="AO34" i="8" s="1"/>
  <c r="AT34" i="8" a="1"/>
  <c r="AT34" i="8" s="1"/>
  <c r="AP34" i="8" a="1"/>
  <c r="AP34" i="8" s="1"/>
  <c r="AR34" i="8" a="1"/>
  <c r="AR34" i="8" s="1"/>
  <c r="AS34" i="8" a="1"/>
  <c r="AS34" i="8" s="1"/>
  <c r="AQ34" i="8" a="1"/>
  <c r="AQ34" i="8" s="1"/>
  <c r="AN34" i="8" a="1"/>
  <c r="AN34" i="8" s="1"/>
  <c r="AQ57" i="8" a="1"/>
  <c r="AQ57" i="8" s="1"/>
  <c r="AS57" i="8" a="1"/>
  <c r="AS57" i="8" s="1"/>
  <c r="AT57" i="8" a="1"/>
  <c r="AT57" i="8" s="1"/>
  <c r="AN57" i="8" a="1"/>
  <c r="AN57" i="8" s="1"/>
  <c r="AP57" i="8" a="1"/>
  <c r="AP57" i="8" s="1"/>
  <c r="AR57" i="8" a="1"/>
  <c r="AR57" i="8" s="1"/>
  <c r="AO57" i="8" a="1"/>
  <c r="AO57" i="8" s="1"/>
  <c r="AO35" i="8" a="1"/>
  <c r="AO35" i="8" s="1"/>
  <c r="AQ35" i="8" a="1"/>
  <c r="AQ35" i="8" s="1"/>
  <c r="AT35" i="8" a="1"/>
  <c r="AT35" i="8" s="1"/>
  <c r="AN35" i="8" a="1"/>
  <c r="AN35" i="8" s="1"/>
  <c r="AP35" i="8" a="1"/>
  <c r="AP35" i="8" s="1"/>
  <c r="AR35" i="8" a="1"/>
  <c r="AR35" i="8" s="1"/>
  <c r="AS35" i="8" a="1"/>
  <c r="AS35" i="8" s="1"/>
  <c r="AR26" i="8" a="1"/>
  <c r="AR26" i="8" s="1"/>
  <c r="AT26" i="8" a="1"/>
  <c r="AT26" i="8" s="1"/>
  <c r="AN26" i="8" a="1"/>
  <c r="AN26" i="8" s="1"/>
  <c r="AO26" i="8" a="1"/>
  <c r="AO26" i="8" s="1"/>
  <c r="AP26" i="8" a="1"/>
  <c r="AP26" i="8" s="1"/>
  <c r="AQ26" i="8" a="1"/>
  <c r="AQ26" i="8" s="1"/>
  <c r="AS26" i="8" a="1"/>
  <c r="AS26" i="8" s="1"/>
  <c r="AN4" i="8" a="1"/>
  <c r="AN4" i="8" s="1"/>
  <c r="AO4" i="8" a="1"/>
  <c r="AO4" i="8" s="1"/>
  <c r="AP4" i="8" a="1"/>
  <c r="AP4" i="8" s="1"/>
  <c r="AQ4" i="8" a="1"/>
  <c r="AQ4" i="8" s="1"/>
  <c r="AR4" i="8" a="1"/>
  <c r="AR4" i="8" s="1"/>
  <c r="AT4" i="8" a="1"/>
  <c r="AT4" i="8" s="1"/>
  <c r="AS4" i="8" a="1"/>
  <c r="AS4" i="8" s="1"/>
  <c r="AN130" i="8" a="1"/>
  <c r="AN130" i="8" s="1"/>
  <c r="AO130" i="8" a="1"/>
  <c r="AO130" i="8" s="1"/>
  <c r="AP130" i="8" a="1"/>
  <c r="AP130" i="8" s="1"/>
  <c r="AQ130" i="8" a="1"/>
  <c r="AQ130" i="8" s="1"/>
  <c r="AR130" i="8" a="1"/>
  <c r="AR130" i="8" s="1"/>
  <c r="AS130" i="8" a="1"/>
  <c r="AS130" i="8" s="1"/>
  <c r="AT130" i="8" a="1"/>
  <c r="AT130" i="8" s="1"/>
  <c r="AN123" i="8" a="1"/>
  <c r="AN123" i="8" s="1"/>
  <c r="AO123" i="8" a="1"/>
  <c r="AO123" i="8" s="1"/>
  <c r="AP123" i="8" a="1"/>
  <c r="AP123" i="8" s="1"/>
  <c r="AS123" i="8" a="1"/>
  <c r="AS123" i="8" s="1"/>
  <c r="AQ123" i="8" a="1"/>
  <c r="AQ123" i="8" s="1"/>
  <c r="AR123" i="8" a="1"/>
  <c r="AR123" i="8" s="1"/>
  <c r="AT123" i="8" a="1"/>
  <c r="AT123" i="8" s="1"/>
  <c r="AN111" i="8" a="1"/>
  <c r="AN111" i="8" s="1"/>
  <c r="AO111" i="8" a="1"/>
  <c r="AO111" i="8" s="1"/>
  <c r="AP111" i="8" a="1"/>
  <c r="AP111" i="8" s="1"/>
  <c r="AQ111" i="8" a="1"/>
  <c r="AQ111" i="8" s="1"/>
  <c r="AR111" i="8" a="1"/>
  <c r="AR111" i="8" s="1"/>
  <c r="AS111" i="8" a="1"/>
  <c r="AS111" i="8" s="1"/>
  <c r="AT111" i="8" a="1"/>
  <c r="AT111" i="8" s="1"/>
  <c r="AO149" i="8" a="1"/>
  <c r="AO149" i="8" s="1"/>
  <c r="AP149" i="8" a="1"/>
  <c r="AP149" i="8" s="1"/>
  <c r="AQ149" i="8" a="1"/>
  <c r="AQ149" i="8" s="1"/>
  <c r="AR149" i="8" a="1"/>
  <c r="AR149" i="8" s="1"/>
  <c r="AS149" i="8" a="1"/>
  <c r="AS149" i="8" s="1"/>
  <c r="AN149" i="8" a="1"/>
  <c r="AN149" i="8" s="1"/>
  <c r="AT149" i="8" a="1"/>
  <c r="AT149" i="8" s="1"/>
  <c r="AN87" i="8" a="1"/>
  <c r="AN87" i="8" s="1"/>
  <c r="AO87" i="8" a="1"/>
  <c r="AO87" i="8" s="1"/>
  <c r="AP87" i="8" a="1"/>
  <c r="AP87" i="8" s="1"/>
  <c r="AQ87" i="8" a="1"/>
  <c r="AQ87" i="8" s="1"/>
  <c r="AR87" i="8" a="1"/>
  <c r="AR87" i="8" s="1"/>
  <c r="AS87" i="8" a="1"/>
  <c r="AS87" i="8" s="1"/>
  <c r="AT87" i="8" a="1"/>
  <c r="AT87" i="8" s="1"/>
  <c r="AN114" i="8" a="1"/>
  <c r="AN114" i="8" s="1"/>
  <c r="AO114" i="8" a="1"/>
  <c r="AO114" i="8" s="1"/>
  <c r="AP114" i="8" a="1"/>
  <c r="AP114" i="8" s="1"/>
  <c r="AQ114" i="8" a="1"/>
  <c r="AQ114" i="8" s="1"/>
  <c r="AS114" i="8" a="1"/>
  <c r="AS114" i="8" s="1"/>
  <c r="AR114" i="8" a="1"/>
  <c r="AR114" i="8" s="1"/>
  <c r="AT114" i="8" a="1"/>
  <c r="AT114" i="8" s="1"/>
  <c r="AP39" i="8" a="1"/>
  <c r="AP39" i="8" s="1"/>
  <c r="AR39" i="8" a="1"/>
  <c r="AR39" i="8" s="1"/>
  <c r="AS39" i="8" a="1"/>
  <c r="AS39" i="8" s="1"/>
  <c r="AT39" i="8" a="1"/>
  <c r="AT39" i="8" s="1"/>
  <c r="AO39" i="8" a="1"/>
  <c r="AO39" i="8" s="1"/>
  <c r="AQ39" i="8" a="1"/>
  <c r="AQ39" i="8" s="1"/>
  <c r="AN39" i="8" a="1"/>
  <c r="AN39" i="8" s="1"/>
  <c r="AN23" i="8" a="1"/>
  <c r="AN23" i="8" s="1"/>
  <c r="AR23" i="8" a="1"/>
  <c r="AR23" i="8" s="1"/>
  <c r="AS23" i="8" a="1"/>
  <c r="AS23" i="8" s="1"/>
  <c r="AT23" i="8" a="1"/>
  <c r="AT23" i="8" s="1"/>
  <c r="AO23" i="8" a="1"/>
  <c r="AO23" i="8" s="1"/>
  <c r="AQ23" i="8" a="1"/>
  <c r="AQ23" i="8" s="1"/>
  <c r="AP23" i="8" a="1"/>
  <c r="AP23" i="8" s="1"/>
  <c r="AP52" i="8" a="1"/>
  <c r="AP52" i="8" s="1"/>
  <c r="AR52" i="8" a="1"/>
  <c r="AR52" i="8" s="1"/>
  <c r="AQ52" i="8" a="1"/>
  <c r="AQ52" i="8" s="1"/>
  <c r="AT52" i="8" a="1"/>
  <c r="AT52" i="8" s="1"/>
  <c r="AN52" i="8" a="1"/>
  <c r="AN52" i="8" s="1"/>
  <c r="AO52" i="8" a="1"/>
  <c r="AO52" i="8" s="1"/>
  <c r="AS52" i="8" a="1"/>
  <c r="AS52" i="8" s="1"/>
  <c r="AS55" i="8" a="1"/>
  <c r="AS55" i="8" s="1"/>
  <c r="AQ55" i="8" a="1"/>
  <c r="AQ55" i="8" s="1"/>
  <c r="AR55" i="8" a="1"/>
  <c r="AR55" i="8" s="1"/>
  <c r="AT55" i="8" a="1"/>
  <c r="AT55" i="8" s="1"/>
  <c r="AO55" i="8" a="1"/>
  <c r="AO55" i="8" s="1"/>
  <c r="AP55" i="8" a="1"/>
  <c r="AP55" i="8" s="1"/>
  <c r="AN55" i="8" a="1"/>
  <c r="AN55" i="8" s="1"/>
  <c r="AP27" i="8" a="1"/>
  <c r="AP27" i="8" s="1"/>
  <c r="AQ27" i="8" a="1"/>
  <c r="AQ27" i="8" s="1"/>
  <c r="AS27" i="8" a="1"/>
  <c r="AS27" i="8" s="1"/>
  <c r="AT27" i="8" a="1"/>
  <c r="AT27" i="8" s="1"/>
  <c r="AN27" i="8" a="1"/>
  <c r="AN27" i="8" s="1"/>
  <c r="AO27" i="8" a="1"/>
  <c r="AO27" i="8" s="1"/>
  <c r="AR27" i="8" a="1"/>
  <c r="AR27" i="8" s="1"/>
  <c r="AT141" i="8" a="1"/>
  <c r="AT141" i="8" s="1"/>
  <c r="AN141" i="8" a="1"/>
  <c r="AN141" i="8" s="1"/>
  <c r="AR141" i="8" a="1"/>
  <c r="AR141" i="8" s="1"/>
  <c r="AS141" i="8" a="1"/>
  <c r="AS141" i="8" s="1"/>
  <c r="AO141" i="8" a="1"/>
  <c r="AO141" i="8" s="1"/>
  <c r="AP141" i="8" a="1"/>
  <c r="AP141" i="8" s="1"/>
  <c r="AQ141" i="8" a="1"/>
  <c r="AQ141" i="8" s="1"/>
  <c r="AN98" i="8" a="1"/>
  <c r="AN98" i="8" s="1"/>
  <c r="AO98" i="8" a="1"/>
  <c r="AO98" i="8" s="1"/>
  <c r="AR98" i="8" a="1"/>
  <c r="AR98" i="8" s="1"/>
  <c r="AT98" i="8" a="1"/>
  <c r="AT98" i="8" s="1"/>
  <c r="AP98" i="8" a="1"/>
  <c r="AP98" i="8" s="1"/>
  <c r="AQ98" i="8" a="1"/>
  <c r="AQ98" i="8" s="1"/>
  <c r="AS98" i="8" a="1"/>
  <c r="AS98" i="8" s="1"/>
  <c r="AS86" i="8" a="1"/>
  <c r="AS86" i="8" s="1"/>
  <c r="AT86" i="8" a="1"/>
  <c r="AT86" i="8" s="1"/>
  <c r="AN86" i="8" a="1"/>
  <c r="AN86" i="8" s="1"/>
  <c r="AQ86" i="8" a="1"/>
  <c r="AQ86" i="8" s="1"/>
  <c r="AR86" i="8" a="1"/>
  <c r="AR86" i="8" s="1"/>
  <c r="AO86" i="8" a="1"/>
  <c r="AO86" i="8" s="1"/>
  <c r="AP86" i="8" a="1"/>
  <c r="AP86" i="8" s="1"/>
  <c r="AO5" i="8" a="1"/>
  <c r="AO5" i="8" s="1"/>
  <c r="AP5" i="8" a="1"/>
  <c r="AP5" i="8" s="1"/>
  <c r="AR5" i="8" a="1"/>
  <c r="AR5" i="8" s="1"/>
  <c r="AS5" i="8" a="1"/>
  <c r="AS5" i="8" s="1"/>
  <c r="AT5" i="8" a="1"/>
  <c r="AT5" i="8" s="1"/>
  <c r="AN5" i="8" a="1"/>
  <c r="AN5" i="8" s="1"/>
  <c r="AQ5" i="8" a="1"/>
  <c r="AQ5" i="8" s="1"/>
  <c r="AQ160" i="8" a="1"/>
  <c r="AQ160" i="8" s="1"/>
  <c r="AR160" i="8" a="1"/>
  <c r="AR160" i="8" s="1"/>
  <c r="AS160" i="8" a="1"/>
  <c r="AS160" i="8" s="1"/>
  <c r="AT160" i="8" a="1"/>
  <c r="AT160" i="8" s="1"/>
  <c r="AN160" i="8" a="1"/>
  <c r="AN160" i="8" s="1"/>
  <c r="AO160" i="8" a="1"/>
  <c r="AO160" i="8" s="1"/>
  <c r="AP160" i="8" a="1"/>
  <c r="AP160" i="8" s="1"/>
  <c r="AQ75" i="8" a="1"/>
  <c r="AQ75" i="8" s="1"/>
  <c r="AT75" i="8" a="1"/>
  <c r="AT75" i="8" s="1"/>
  <c r="AN75" i="8" a="1"/>
  <c r="AN75" i="8" s="1"/>
  <c r="AO75" i="8" a="1"/>
  <c r="AO75" i="8" s="1"/>
  <c r="AP75" i="8" a="1"/>
  <c r="AP75" i="8" s="1"/>
  <c r="AR75" i="8" a="1"/>
  <c r="AR75" i="8" s="1"/>
  <c r="AS75" i="8" a="1"/>
  <c r="AS75" i="8" s="1"/>
  <c r="AS113" i="8" a="1"/>
  <c r="AS113" i="8" s="1"/>
  <c r="AT113" i="8" a="1"/>
  <c r="AT113" i="8" s="1"/>
  <c r="AP113" i="8" a="1"/>
  <c r="AP113" i="8" s="1"/>
  <c r="AR113" i="8" a="1"/>
  <c r="AR113" i="8" s="1"/>
  <c r="AN113" i="8" a="1"/>
  <c r="AN113" i="8" s="1"/>
  <c r="AO113" i="8" a="1"/>
  <c r="AO113" i="8" s="1"/>
  <c r="AQ113" i="8" a="1"/>
  <c r="AQ113" i="8" s="1"/>
  <c r="AR79" i="8" a="1"/>
  <c r="AR79" i="8" s="1"/>
  <c r="AS79" i="8" a="1"/>
  <c r="AS79" i="8" s="1"/>
  <c r="AT79" i="8" a="1"/>
  <c r="AT79" i="8" s="1"/>
  <c r="AO79" i="8" a="1"/>
  <c r="AO79" i="8" s="1"/>
  <c r="AP79" i="8" a="1"/>
  <c r="AP79" i="8" s="1"/>
  <c r="AQ79" i="8" a="1"/>
  <c r="AQ79" i="8" s="1"/>
  <c r="AN79" i="8" a="1"/>
  <c r="AN79" i="8" s="1"/>
  <c r="AQ96" i="8" a="1"/>
  <c r="AQ96" i="8" s="1"/>
  <c r="AR96" i="8" a="1"/>
  <c r="AR96" i="8" s="1"/>
  <c r="AS96" i="8" a="1"/>
  <c r="AS96" i="8" s="1"/>
  <c r="AT96" i="8" a="1"/>
  <c r="AT96" i="8" s="1"/>
  <c r="AN96" i="8" a="1"/>
  <c r="AN96" i="8" s="1"/>
  <c r="AP96" i="8" a="1"/>
  <c r="AP96" i="8" s="1"/>
  <c r="AO96" i="8" a="1"/>
  <c r="AO96" i="8" s="1"/>
  <c r="AO84" i="8" a="1"/>
  <c r="AO84" i="8" s="1"/>
  <c r="AP84" i="8" a="1"/>
  <c r="AP84" i="8" s="1"/>
  <c r="AQ84" i="8" a="1"/>
  <c r="AQ84" i="8" s="1"/>
  <c r="AR84" i="8" a="1"/>
  <c r="AR84" i="8" s="1"/>
  <c r="AN84" i="8" a="1"/>
  <c r="AN84" i="8" s="1"/>
  <c r="AS84" i="8" a="1"/>
  <c r="AS84" i="8" s="1"/>
  <c r="AT84" i="8" a="1"/>
  <c r="AT84" i="8" s="1"/>
  <c r="AS6" i="8" a="1"/>
  <c r="AS6" i="8" s="1"/>
  <c r="AT6" i="8" a="1"/>
  <c r="AT6" i="8" s="1"/>
  <c r="AN6" i="8" a="1"/>
  <c r="AN6" i="8" s="1"/>
  <c r="AO6" i="8" a="1"/>
  <c r="AO6" i="8" s="1"/>
  <c r="AQ6" i="8" a="1"/>
  <c r="AQ6" i="8" s="1"/>
  <c r="AR6" i="8" a="1"/>
  <c r="AR6" i="8" s="1"/>
  <c r="AP6" i="8" a="1"/>
  <c r="AP6" i="8" s="1"/>
  <c r="AP7" i="8" a="1"/>
  <c r="AP7" i="8" s="1"/>
  <c r="AQ7" i="8" a="1"/>
  <c r="AQ7" i="8" s="1"/>
  <c r="AR7" i="8" a="1"/>
  <c r="AR7" i="8" s="1"/>
  <c r="AS7" i="8" a="1"/>
  <c r="AS7" i="8" s="1"/>
  <c r="AT7" i="8" a="1"/>
  <c r="AT7" i="8" s="1"/>
  <c r="AN7" i="8" a="1"/>
  <c r="AN7" i="8" s="1"/>
  <c r="AO7" i="8" a="1"/>
  <c r="AO7" i="8" s="1"/>
  <c r="AR93" i="8" a="1"/>
  <c r="AR93" i="8" s="1"/>
  <c r="AS93" i="8" a="1"/>
  <c r="AS93" i="8" s="1"/>
  <c r="AT93" i="8" a="1"/>
  <c r="AT93" i="8" s="1"/>
  <c r="AP93" i="8" a="1"/>
  <c r="AP93" i="8" s="1"/>
  <c r="AQ93" i="8" a="1"/>
  <c r="AQ93" i="8" s="1"/>
  <c r="AN93" i="8" a="1"/>
  <c r="AN93" i="8" s="1"/>
  <c r="AO93" i="8" a="1"/>
  <c r="AO93" i="8" s="1"/>
  <c r="AO103" i="8" a="1"/>
  <c r="AO103" i="8" s="1"/>
  <c r="AP103" i="8" a="1"/>
  <c r="AP103" i="8" s="1"/>
  <c r="AQ103" i="8" a="1"/>
  <c r="AQ103" i="8" s="1"/>
  <c r="AR103" i="8" a="1"/>
  <c r="AR103" i="8" s="1"/>
  <c r="AS103" i="8" a="1"/>
  <c r="AS103" i="8" s="1"/>
  <c r="AN103" i="8" a="1"/>
  <c r="AN103" i="8" s="1"/>
  <c r="AT103" i="8" a="1"/>
  <c r="AT103" i="8" s="1"/>
  <c r="AN91" i="8" a="1"/>
  <c r="AN91" i="8" s="1"/>
  <c r="AO91" i="8" a="1"/>
  <c r="AO91" i="8" s="1"/>
  <c r="AP91" i="8" a="1"/>
  <c r="AP91" i="8" s="1"/>
  <c r="AQ91" i="8" a="1"/>
  <c r="AQ91" i="8" s="1"/>
  <c r="AT91" i="8" a="1"/>
  <c r="AT91" i="8" s="1"/>
  <c r="AR91" i="8" a="1"/>
  <c r="AR91" i="8" s="1"/>
  <c r="AS91" i="8" a="1"/>
  <c r="AS91" i="8" s="1"/>
  <c r="AN133" i="8" a="1"/>
  <c r="AN133" i="8" s="1"/>
  <c r="AO133" i="8" a="1"/>
  <c r="AO133" i="8" s="1"/>
  <c r="AP133" i="8" a="1"/>
  <c r="AP133" i="8" s="1"/>
  <c r="AQ133" i="8" a="1"/>
  <c r="AQ133" i="8" s="1"/>
  <c r="AR133" i="8" a="1"/>
  <c r="AR133" i="8" s="1"/>
  <c r="AT133" i="8" a="1"/>
  <c r="AT133" i="8" s="1"/>
  <c r="AS133" i="8" a="1"/>
  <c r="AS133" i="8" s="1"/>
  <c r="AN44" i="8" a="1"/>
  <c r="AN44" i="8" s="1"/>
  <c r="AQ44" i="8" a="1"/>
  <c r="AQ44" i="8" s="1"/>
  <c r="AO44" i="8" a="1"/>
  <c r="AO44" i="8" s="1"/>
  <c r="AP44" i="8" a="1"/>
  <c r="AP44" i="8" s="1"/>
  <c r="AR44" i="8" a="1"/>
  <c r="AR44" i="8" s="1"/>
  <c r="AS44" i="8" a="1"/>
  <c r="AS44" i="8" s="1"/>
  <c r="AT44" i="8" a="1"/>
  <c r="AT44" i="8" s="1"/>
  <c r="AN159" i="8" a="1"/>
  <c r="AN159" i="8" s="1"/>
  <c r="AT159" i="8" a="1"/>
  <c r="AT159" i="8" s="1"/>
  <c r="AQ159" i="8" a="1"/>
  <c r="AQ159" i="8" s="1"/>
  <c r="AO159" i="8" a="1"/>
  <c r="AO159" i="8" s="1"/>
  <c r="AP159" i="8" a="1"/>
  <c r="AP159" i="8" s="1"/>
  <c r="AR159" i="8" a="1"/>
  <c r="AR159" i="8" s="1"/>
  <c r="AS159" i="8" a="1"/>
  <c r="AS159" i="8" s="1"/>
  <c r="AP146" i="8" a="1"/>
  <c r="AP146" i="8" s="1"/>
  <c r="AQ146" i="8" a="1"/>
  <c r="AQ146" i="8" s="1"/>
  <c r="AR146" i="8" a="1"/>
  <c r="AR146" i="8" s="1"/>
  <c r="AS146" i="8" a="1"/>
  <c r="AS146" i="8" s="1"/>
  <c r="AT146" i="8" a="1"/>
  <c r="AT146" i="8" s="1"/>
  <c r="AN146" i="8" a="1"/>
  <c r="AN146" i="8" s="1"/>
  <c r="AO146" i="8" a="1"/>
  <c r="AO146" i="8" s="1"/>
  <c r="AO152" i="8" a="1"/>
  <c r="AO152" i="8" s="1"/>
  <c r="AP152" i="8" a="1"/>
  <c r="AP152" i="8" s="1"/>
  <c r="AQ152" i="8" a="1"/>
  <c r="AQ152" i="8" s="1"/>
  <c r="AR152" i="8" a="1"/>
  <c r="AR152" i="8" s="1"/>
  <c r="AS152" i="8" a="1"/>
  <c r="AS152" i="8" s="1"/>
  <c r="AN152" i="8" a="1"/>
  <c r="AN152" i="8" s="1"/>
  <c r="AT152" i="8" a="1"/>
  <c r="AT152" i="8" s="1"/>
  <c r="AN148" i="8" a="1"/>
  <c r="AN148" i="8" s="1"/>
  <c r="AO148" i="8" a="1"/>
  <c r="AO148" i="8" s="1"/>
  <c r="AP148" i="8" a="1"/>
  <c r="AP148" i="8" s="1"/>
  <c r="AT148" i="8" a="1"/>
  <c r="AT148" i="8" s="1"/>
  <c r="AQ148" i="8" a="1"/>
  <c r="AQ148" i="8" s="1"/>
  <c r="AR148" i="8" a="1"/>
  <c r="AR148" i="8" s="1"/>
  <c r="AS148" i="8" a="1"/>
  <c r="AS148" i="8" s="1"/>
  <c r="AO88" i="8" a="1"/>
  <c r="AO88" i="8" s="1"/>
  <c r="AP88" i="8" a="1"/>
  <c r="AP88" i="8" s="1"/>
  <c r="AQ88" i="8" a="1"/>
  <c r="AQ88" i="8" s="1"/>
  <c r="AR88" i="8" a="1"/>
  <c r="AR88" i="8" s="1"/>
  <c r="AS88" i="8" a="1"/>
  <c r="AS88" i="8" s="1"/>
  <c r="AN88" i="8" a="1"/>
  <c r="AN88" i="8" s="1"/>
  <c r="AT88" i="8" a="1"/>
  <c r="AT88" i="8" s="1"/>
  <c r="AO99" i="8" a="1"/>
  <c r="AO99" i="8" s="1"/>
  <c r="AP99" i="8" a="1"/>
  <c r="AP99" i="8" s="1"/>
  <c r="AQ99" i="8" a="1"/>
  <c r="AQ99" i="8" s="1"/>
  <c r="AR99" i="8" a="1"/>
  <c r="AR99" i="8" s="1"/>
  <c r="AS99" i="8" a="1"/>
  <c r="AS99" i="8" s="1"/>
  <c r="AN99" i="8" a="1"/>
  <c r="AN99" i="8" s="1"/>
  <c r="AT99" i="8" a="1"/>
  <c r="AT99" i="8" s="1"/>
  <c r="AR62" i="8" a="1"/>
  <c r="AR62" i="8" s="1"/>
  <c r="AT62" i="8" a="1"/>
  <c r="AT62" i="8" s="1"/>
  <c r="AP62" i="8" a="1"/>
  <c r="AP62" i="8" s="1"/>
  <c r="AQ62" i="8" a="1"/>
  <c r="AQ62" i="8" s="1"/>
  <c r="AS62" i="8" a="1"/>
  <c r="AS62" i="8" s="1"/>
  <c r="AN62" i="8" a="1"/>
  <c r="AN62" i="8" s="1"/>
  <c r="AO62" i="8" a="1"/>
  <c r="AO62" i="8" s="1"/>
  <c r="AO124" i="8" a="1"/>
  <c r="AO124" i="8" s="1"/>
  <c r="AP124" i="8" a="1"/>
  <c r="AP124" i="8" s="1"/>
  <c r="AQ124" i="8" a="1"/>
  <c r="AQ124" i="8" s="1"/>
  <c r="AR124" i="8" a="1"/>
  <c r="AR124" i="8" s="1"/>
  <c r="AS124" i="8" a="1"/>
  <c r="AS124" i="8" s="1"/>
  <c r="AN124" i="8" a="1"/>
  <c r="AN124" i="8" s="1"/>
  <c r="AT124" i="8" a="1"/>
  <c r="AT124" i="8" s="1"/>
  <c r="AN30" i="8" a="1"/>
  <c r="AN30" i="8" s="1"/>
  <c r="AP30" i="8" a="1"/>
  <c r="AP30" i="8" s="1"/>
  <c r="AS30" i="8" a="1"/>
  <c r="AS30" i="8" s="1"/>
  <c r="AQ30" i="8" a="1"/>
  <c r="AQ30" i="8" s="1"/>
  <c r="AR30" i="8" a="1"/>
  <c r="AR30" i="8" s="1"/>
  <c r="AT30" i="8" a="1"/>
  <c r="AT30" i="8" s="1"/>
  <c r="AO30" i="8" a="1"/>
  <c r="AO30" i="8" s="1"/>
  <c r="AP63" i="8" a="1"/>
  <c r="AP63" i="8" s="1"/>
  <c r="AN63" i="8" a="1"/>
  <c r="AN63" i="8" s="1"/>
  <c r="AO63" i="8" a="1"/>
  <c r="AO63" i="8" s="1"/>
  <c r="AQ63" i="8" a="1"/>
  <c r="AQ63" i="8" s="1"/>
  <c r="AT63" i="8" a="1"/>
  <c r="AT63" i="8" s="1"/>
  <c r="AR63" i="8" a="1"/>
  <c r="AR63" i="8" s="1"/>
  <c r="AS63" i="8" a="1"/>
  <c r="AS63" i="8" s="1"/>
  <c r="AN68" i="8" a="1"/>
  <c r="AN68" i="8" s="1"/>
  <c r="AQ68" i="8" a="1"/>
  <c r="AQ68" i="8" s="1"/>
  <c r="AR68" i="8" a="1"/>
  <c r="AR68" i="8" s="1"/>
  <c r="AT68" i="8" a="1"/>
  <c r="AT68" i="8" s="1"/>
  <c r="AO68" i="8" a="1"/>
  <c r="AO68" i="8" s="1"/>
  <c r="AP68" i="8" a="1"/>
  <c r="AP68" i="8" s="1"/>
  <c r="AS68" i="8" a="1"/>
  <c r="AS68" i="8" s="1"/>
  <c r="AN15" i="8" a="1"/>
  <c r="AN15" i="8" s="1"/>
  <c r="AR15" i="8" a="1"/>
  <c r="AR15" i="8" s="1"/>
  <c r="AS15" i="8" a="1"/>
  <c r="AS15" i="8" s="1"/>
  <c r="AT15" i="8" a="1"/>
  <c r="AT15" i="8" s="1"/>
  <c r="AO15" i="8" a="1"/>
  <c r="AO15" i="8" s="1"/>
  <c r="AP15" i="8" a="1"/>
  <c r="AP15" i="8" s="1"/>
  <c r="AQ15" i="8" a="1"/>
  <c r="AQ15" i="8" s="1"/>
  <c r="AN66" i="8" a="1"/>
  <c r="AN66" i="8" s="1"/>
  <c r="AP66" i="8" a="1"/>
  <c r="AP66" i="8" s="1"/>
  <c r="AS66" i="8" a="1"/>
  <c r="AS66" i="8" s="1"/>
  <c r="AO66" i="8" a="1"/>
  <c r="AO66" i="8" s="1"/>
  <c r="AR66" i="8" a="1"/>
  <c r="AR66" i="8" s="1"/>
  <c r="AT66" i="8" a="1"/>
  <c r="AT66" i="8" s="1"/>
  <c r="AQ66" i="8" a="1"/>
  <c r="AQ66" i="8" s="1"/>
  <c r="AS101" i="8" a="1"/>
  <c r="AS101" i="8" s="1"/>
  <c r="AT101" i="8" a="1"/>
  <c r="AT101" i="8" s="1"/>
  <c r="AN101" i="8" a="1"/>
  <c r="AN101" i="8" s="1"/>
  <c r="AQ101" i="8" a="1"/>
  <c r="AQ101" i="8" s="1"/>
  <c r="AR101" i="8" a="1"/>
  <c r="AR101" i="8" s="1"/>
  <c r="AP101" i="8" a="1"/>
  <c r="AP101" i="8" s="1"/>
  <c r="AO101" i="8" a="1"/>
  <c r="AO101" i="8" s="1"/>
  <c r="AN136" i="8" a="1"/>
  <c r="AN136" i="8" s="1"/>
  <c r="AO136" i="8" a="1"/>
  <c r="AO136" i="8" s="1"/>
  <c r="AP136" i="8" a="1"/>
  <c r="AP136" i="8" s="1"/>
  <c r="AQ136" i="8" a="1"/>
  <c r="AQ136" i="8" s="1"/>
  <c r="AR136" i="8" a="1"/>
  <c r="AR136" i="8" s="1"/>
  <c r="AT136" i="8" a="1"/>
  <c r="AT136" i="8" s="1"/>
  <c r="AS136" i="8" a="1"/>
  <c r="AS136" i="8" s="1"/>
  <c r="AQ134" i="8" a="1"/>
  <c r="AQ134" i="8" s="1"/>
  <c r="AR134" i="8" a="1"/>
  <c r="AR134" i="8" s="1"/>
  <c r="AS134" i="8" a="1"/>
  <c r="AS134" i="8" s="1"/>
  <c r="AT134" i="8" a="1"/>
  <c r="AT134" i="8" s="1"/>
  <c r="AN134" i="8" a="1"/>
  <c r="AN134" i="8" s="1"/>
  <c r="AP134" i="8" a="1"/>
  <c r="AP134" i="8" s="1"/>
  <c r="AO134" i="8" a="1"/>
  <c r="AO134" i="8" s="1"/>
  <c r="AP143" i="8" a="1"/>
  <c r="AP143" i="8" s="1"/>
  <c r="AQ143" i="8" a="1"/>
  <c r="AQ143" i="8" s="1"/>
  <c r="AR143" i="8" a="1"/>
  <c r="AR143" i="8" s="1"/>
  <c r="AS143" i="8" a="1"/>
  <c r="AS143" i="8" s="1"/>
  <c r="AT143" i="8" a="1"/>
  <c r="AT143" i="8" s="1"/>
  <c r="AN143" i="8" a="1"/>
  <c r="AN143" i="8" s="1"/>
  <c r="AO143" i="8" a="1"/>
  <c r="AO143" i="8" s="1"/>
  <c r="AR156" i="8" a="1"/>
  <c r="AR156" i="8" s="1"/>
  <c r="AS156" i="8" a="1"/>
  <c r="AS156" i="8" s="1"/>
  <c r="AP156" i="8" a="1"/>
  <c r="AP156" i="8" s="1"/>
  <c r="AQ156" i="8" a="1"/>
  <c r="AQ156" i="8" s="1"/>
  <c r="AN156" i="8" a="1"/>
  <c r="AN156" i="8" s="1"/>
  <c r="AT156" i="8" a="1"/>
  <c r="AT156" i="8" s="1"/>
  <c r="AO156" i="8" a="1"/>
  <c r="AO156" i="8" s="1"/>
  <c r="AS144" i="8" a="1"/>
  <c r="AS144" i="8" s="1"/>
  <c r="AT144" i="8" a="1"/>
  <c r="AT144" i="8" s="1"/>
  <c r="AR144" i="8" a="1"/>
  <c r="AR144" i="8" s="1"/>
  <c r="AP144" i="8" a="1"/>
  <c r="AP144" i="8" s="1"/>
  <c r="AN144" i="8" a="1"/>
  <c r="AN144" i="8" s="1"/>
  <c r="AO144" i="8" a="1"/>
  <c r="AO144" i="8" s="1"/>
  <c r="AQ144" i="8" a="1"/>
  <c r="AQ144" i="8" s="1"/>
  <c r="AN74" i="8" a="1"/>
  <c r="AN74" i="8" s="1"/>
  <c r="AS74" i="8" a="1"/>
  <c r="AS74" i="8" s="1"/>
  <c r="AT74" i="8" a="1"/>
  <c r="AT74" i="8" s="1"/>
  <c r="AP74" i="8" a="1"/>
  <c r="AP74" i="8" s="1"/>
  <c r="AR74" i="8" a="1"/>
  <c r="AR74" i="8" s="1"/>
  <c r="AO74" i="8" a="1"/>
  <c r="AO74" i="8" s="1"/>
  <c r="AQ74" i="8" a="1"/>
  <c r="AQ74" i="8" s="1"/>
  <c r="AO13" i="8" a="1"/>
  <c r="AO13" i="8" s="1"/>
  <c r="AP13" i="8" a="1"/>
  <c r="AP13" i="8" s="1"/>
  <c r="AT13" i="8" a="1"/>
  <c r="AT13" i="8" s="1"/>
  <c r="AN13" i="8" a="1"/>
  <c r="AN13" i="8" s="1"/>
  <c r="AR13" i="8" a="1"/>
  <c r="AR13" i="8" s="1"/>
  <c r="AS13" i="8" a="1"/>
  <c r="AS13" i="8" s="1"/>
  <c r="AQ13" i="8" a="1"/>
  <c r="AQ13" i="8" s="1"/>
  <c r="AN145" i="8" a="1"/>
  <c r="AN145" i="8" s="1"/>
  <c r="AO145" i="8" a="1"/>
  <c r="AO145" i="8" s="1"/>
  <c r="AP145" i="8" a="1"/>
  <c r="AP145" i="8" s="1"/>
  <c r="AR145" i="8" a="1"/>
  <c r="AR145" i="8" s="1"/>
  <c r="AS145" i="8" a="1"/>
  <c r="AS145" i="8" s="1"/>
  <c r="AT145" i="8" a="1"/>
  <c r="AT145" i="8" s="1"/>
  <c r="AQ145" i="8" a="1"/>
  <c r="AQ145" i="8" s="1"/>
  <c r="AS67" i="8" a="1"/>
  <c r="AS67" i="8" s="1"/>
  <c r="AN67" i="8" a="1"/>
  <c r="AN67" i="8" s="1"/>
  <c r="AO67" i="8" a="1"/>
  <c r="AO67" i="8" s="1"/>
  <c r="AP67" i="8" a="1"/>
  <c r="AP67" i="8" s="1"/>
  <c r="AQ67" i="8" a="1"/>
  <c r="AQ67" i="8" s="1"/>
  <c r="AR67" i="8" a="1"/>
  <c r="AR67" i="8" s="1"/>
  <c r="AT67" i="8" a="1"/>
  <c r="AT67" i="8" s="1"/>
  <c r="AT14" i="8" a="1"/>
  <c r="AT14" i="8" s="1"/>
  <c r="AN14" i="8" a="1"/>
  <c r="AN14" i="8" s="1"/>
  <c r="AO14" i="8" a="1"/>
  <c r="AO14" i="8" s="1"/>
  <c r="AP14" i="8" a="1"/>
  <c r="AP14" i="8" s="1"/>
  <c r="AR14" i="8" a="1"/>
  <c r="AR14" i="8" s="1"/>
  <c r="AQ14" i="8" a="1"/>
  <c r="AQ14" i="8" s="1"/>
  <c r="AS14" i="8" a="1"/>
  <c r="AS14" i="8" s="1"/>
  <c r="AP121" i="8" a="1"/>
  <c r="AP121" i="8" s="1"/>
  <c r="AQ121" i="8" a="1"/>
  <c r="AQ121" i="8" s="1"/>
  <c r="AR121" i="8" a="1"/>
  <c r="AR121" i="8" s="1"/>
  <c r="AS121" i="8" a="1"/>
  <c r="AS121" i="8" s="1"/>
  <c r="AT121" i="8" a="1"/>
  <c r="AT121" i="8" s="1"/>
  <c r="AN121" i="8" a="1"/>
  <c r="AN121" i="8" s="1"/>
  <c r="AO121" i="8" a="1"/>
  <c r="AO121" i="8" s="1"/>
  <c r="AQ45" i="8" a="1"/>
  <c r="AQ45" i="8" s="1"/>
  <c r="AS45" i="8" a="1"/>
  <c r="AS45" i="8" s="1"/>
  <c r="AN45" i="8" a="1"/>
  <c r="AN45" i="8" s="1"/>
  <c r="AR45" i="8" a="1"/>
  <c r="AR45" i="8" s="1"/>
  <c r="AO45" i="8" a="1"/>
  <c r="AO45" i="8" s="1"/>
  <c r="AP45" i="8" a="1"/>
  <c r="AP45" i="8" s="1"/>
  <c r="AT45" i="8" a="1"/>
  <c r="AT45" i="8" s="1"/>
  <c r="AT60" i="8" a="1"/>
  <c r="AT60" i="8" s="1"/>
  <c r="AO60" i="8" a="1"/>
  <c r="AO60" i="8" s="1"/>
  <c r="AP60" i="8" a="1"/>
  <c r="AP60" i="8" s="1"/>
  <c r="AQ60" i="8" a="1"/>
  <c r="AQ60" i="8" s="1"/>
  <c r="AR60" i="8" a="1"/>
  <c r="AR60" i="8" s="1"/>
  <c r="AS60" i="8" a="1"/>
  <c r="AS60" i="8" s="1"/>
  <c r="AN60" i="8" a="1"/>
  <c r="AN60" i="8" s="1"/>
  <c r="AQ85" i="8" a="1"/>
  <c r="AQ85" i="8" s="1"/>
  <c r="AR85" i="8" a="1"/>
  <c r="AR85" i="8" s="1"/>
  <c r="AS85" i="8" a="1"/>
  <c r="AS85" i="8" s="1"/>
  <c r="AT85" i="8" a="1"/>
  <c r="AT85" i="8" s="1"/>
  <c r="AN85" i="8" a="1"/>
  <c r="AN85" i="8" s="1"/>
  <c r="AP85" i="8" a="1"/>
  <c r="AP85" i="8" s="1"/>
  <c r="AO85" i="8" a="1"/>
  <c r="AO85" i="8" s="1"/>
  <c r="AT110" i="8" a="1"/>
  <c r="AT110" i="8" s="1"/>
  <c r="AN110" i="8" a="1"/>
  <c r="AN110" i="8" s="1"/>
  <c r="AO110" i="8" a="1"/>
  <c r="AO110" i="8" s="1"/>
  <c r="AQ110" i="8" a="1"/>
  <c r="AQ110" i="8" s="1"/>
  <c r="AR110" i="8" a="1"/>
  <c r="AR110" i="8" s="1"/>
  <c r="AS110" i="8" a="1"/>
  <c r="AS110" i="8" s="1"/>
  <c r="AP110" i="8" a="1"/>
  <c r="AP110" i="8" s="1"/>
  <c r="AP12" i="8" a="1"/>
  <c r="AP12" i="8" s="1"/>
  <c r="AQ12" i="8" a="1"/>
  <c r="AQ12" i="8" s="1"/>
  <c r="AR12" i="8" a="1"/>
  <c r="AR12" i="8" s="1"/>
  <c r="AS12" i="8" a="1"/>
  <c r="AS12" i="8" s="1"/>
  <c r="AN12" i="8" a="1"/>
  <c r="AN12" i="8" s="1"/>
  <c r="AO12" i="8" a="1"/>
  <c r="AO12" i="8" s="1"/>
  <c r="AT12" i="8" a="1"/>
  <c r="AT12" i="8" s="1"/>
  <c r="AN94" i="8" a="1"/>
  <c r="AN94" i="8" s="1"/>
  <c r="AO94" i="8" a="1"/>
  <c r="AO94" i="8" s="1"/>
  <c r="AP94" i="8" a="1"/>
  <c r="AP94" i="8" s="1"/>
  <c r="AT94" i="8" a="1"/>
  <c r="AT94" i="8" s="1"/>
  <c r="AQ94" i="8" a="1"/>
  <c r="AQ94" i="8" s="1"/>
  <c r="AR94" i="8" a="1"/>
  <c r="AR94" i="8" s="1"/>
  <c r="AS94" i="8" a="1"/>
  <c r="AS94" i="8" s="1"/>
  <c r="AP28" i="8" a="1"/>
  <c r="AP28" i="8" s="1"/>
  <c r="AR28" i="8" a="1"/>
  <c r="AR28" i="8" s="1"/>
  <c r="AN28" i="8" a="1"/>
  <c r="AN28" i="8" s="1"/>
  <c r="AO28" i="8" a="1"/>
  <c r="AO28" i="8" s="1"/>
  <c r="AQ28" i="8" a="1"/>
  <c r="AQ28" i="8" s="1"/>
  <c r="AS28" i="8" a="1"/>
  <c r="AS28" i="8" s="1"/>
  <c r="AT28" i="8" a="1"/>
  <c r="AT28" i="8" s="1"/>
  <c r="AN120" i="8" a="1"/>
  <c r="AN120" i="8" s="1"/>
  <c r="AO120" i="8" a="1"/>
  <c r="AO120" i="8" s="1"/>
  <c r="AP120" i="8" a="1"/>
  <c r="AP120" i="8" s="1"/>
  <c r="AQ120" i="8" a="1"/>
  <c r="AQ120" i="8" s="1"/>
  <c r="AS120" i="8" a="1"/>
  <c r="AS120" i="8" s="1"/>
  <c r="AT120" i="8" a="1"/>
  <c r="AT120" i="8" s="1"/>
  <c r="AR120" i="8" a="1"/>
  <c r="AR120" i="8" s="1"/>
  <c r="AS119" i="8" a="1"/>
  <c r="AS119" i="8" s="1"/>
  <c r="AT119" i="8" a="1"/>
  <c r="AT119" i="8" s="1"/>
  <c r="AP119" i="8" a="1"/>
  <c r="AP119" i="8" s="1"/>
  <c r="AR119" i="8" a="1"/>
  <c r="AR119" i="8" s="1"/>
  <c r="AN119" i="8" a="1"/>
  <c r="AN119" i="8" s="1"/>
  <c r="AO119" i="8" a="1"/>
  <c r="AO119" i="8" s="1"/>
  <c r="AQ119" i="8" a="1"/>
  <c r="AQ119" i="8" s="1"/>
  <c r="AO46" i="8" a="1"/>
  <c r="AO46" i="8" s="1"/>
  <c r="AQ46" i="8" a="1"/>
  <c r="AQ46" i="8" s="1"/>
  <c r="AR46" i="8" a="1"/>
  <c r="AR46" i="8" s="1"/>
  <c r="AS46" i="8" a="1"/>
  <c r="AS46" i="8" s="1"/>
  <c r="AT46" i="8" a="1"/>
  <c r="AT46" i="8" s="1"/>
  <c r="AN46" i="8" a="1"/>
  <c r="AN46" i="8" s="1"/>
  <c r="AP46" i="8" a="1"/>
  <c r="AP46" i="8" s="1"/>
  <c r="AN22" i="8" a="1"/>
  <c r="AN22" i="8" s="1"/>
  <c r="AP22" i="8" a="1"/>
  <c r="AP22" i="8" s="1"/>
  <c r="AS22" i="8" a="1"/>
  <c r="AS22" i="8" s="1"/>
  <c r="AO22" i="8" a="1"/>
  <c r="AO22" i="8" s="1"/>
  <c r="AQ22" i="8" a="1"/>
  <c r="AQ22" i="8" s="1"/>
  <c r="AR22" i="8" a="1"/>
  <c r="AR22" i="8" s="1"/>
  <c r="AT22" i="8" a="1"/>
  <c r="AT22" i="8" s="1"/>
  <c r="AQ16" i="8" a="1"/>
  <c r="AQ16" i="8" s="1"/>
  <c r="AR16" i="8" a="1"/>
  <c r="AR16" i="8" s="1"/>
  <c r="AO16" i="8" a="1"/>
  <c r="AO16" i="8" s="1"/>
  <c r="AN16" i="8" a="1"/>
  <c r="AN16" i="8" s="1"/>
  <c r="AP16" i="8" a="1"/>
  <c r="AP16" i="8" s="1"/>
  <c r="AS16" i="8" a="1"/>
  <c r="AS16" i="8" s="1"/>
  <c r="AT16" i="8" a="1"/>
  <c r="AT16" i="8" s="1"/>
  <c r="AN135" i="8" a="1"/>
  <c r="AN135" i="8" s="1"/>
  <c r="AQ135" i="8" a="1"/>
  <c r="AQ135" i="8" s="1"/>
  <c r="AS135" i="8" a="1"/>
  <c r="AS135" i="8" s="1"/>
  <c r="AT135" i="8" a="1"/>
  <c r="AT135" i="8" s="1"/>
  <c r="AO135" i="8" a="1"/>
  <c r="AO135" i="8" s="1"/>
  <c r="AP135" i="8" a="1"/>
  <c r="AP135" i="8" s="1"/>
  <c r="AR135" i="8" a="1"/>
  <c r="AR135" i="8" s="1"/>
  <c r="AO49" i="8" a="1"/>
  <c r="AO49" i="8" s="1"/>
  <c r="AR49" i="8" a="1"/>
  <c r="AR49" i="8" s="1"/>
  <c r="AN49" i="8" a="1"/>
  <c r="AN49" i="8" s="1"/>
  <c r="AP49" i="8" a="1"/>
  <c r="AP49" i="8" s="1"/>
  <c r="AQ49" i="8" a="1"/>
  <c r="AQ49" i="8" s="1"/>
  <c r="AS49" i="8" a="1"/>
  <c r="AS49" i="8" s="1"/>
  <c r="AT49" i="8" a="1"/>
  <c r="AT49" i="8" s="1"/>
  <c r="AO37" i="8" a="1"/>
  <c r="AO37" i="8" s="1"/>
  <c r="AR37" i="8" a="1"/>
  <c r="AR37" i="8" s="1"/>
  <c r="AP37" i="8" a="1"/>
  <c r="AP37" i="8" s="1"/>
  <c r="AQ37" i="8" a="1"/>
  <c r="AQ37" i="8" s="1"/>
  <c r="AS37" i="8" a="1"/>
  <c r="AS37" i="8" s="1"/>
  <c r="AT37" i="8" a="1"/>
  <c r="AT37" i="8" s="1"/>
  <c r="AN37" i="8" a="1"/>
  <c r="AN37" i="8" s="1"/>
  <c r="AQ157" i="8" a="1"/>
  <c r="AQ157" i="8" s="1"/>
  <c r="AR157" i="8" a="1"/>
  <c r="AR157" i="8" s="1"/>
  <c r="AN157" i="8" a="1"/>
  <c r="AN157" i="8" s="1"/>
  <c r="AS157" i="8" a="1"/>
  <c r="AS157" i="8" s="1"/>
  <c r="AT157" i="8" a="1"/>
  <c r="AT157" i="8" s="1"/>
  <c r="AO157" i="8" a="1"/>
  <c r="AO157" i="8" s="1"/>
  <c r="AP157" i="8" a="1"/>
  <c r="AP157" i="8" s="1"/>
  <c r="AR50" i="8" a="1"/>
  <c r="AR50" i="8" s="1"/>
  <c r="AT50" i="8" a="1"/>
  <c r="AT50" i="8" s="1"/>
  <c r="AO50" i="8" a="1"/>
  <c r="AO50" i="8" s="1"/>
  <c r="AQ50" i="8" a="1"/>
  <c r="AQ50" i="8" s="1"/>
  <c r="AS50" i="8" a="1"/>
  <c r="AS50" i="8" s="1"/>
  <c r="AN50" i="8" a="1"/>
  <c r="AN50" i="8" s="1"/>
  <c r="AP50" i="8" a="1"/>
  <c r="AP50" i="8" s="1"/>
  <c r="AR150" i="8" a="1"/>
  <c r="AR150" i="8" s="1"/>
  <c r="AS150" i="8" a="1"/>
  <c r="AS150" i="8" s="1"/>
  <c r="AT150" i="8" a="1"/>
  <c r="AT150" i="8" s="1"/>
  <c r="AQ150" i="8" a="1"/>
  <c r="AQ150" i="8" s="1"/>
  <c r="AN150" i="8" a="1"/>
  <c r="AN150" i="8" s="1"/>
  <c r="AO150" i="8" a="1"/>
  <c r="AO150" i="8" s="1"/>
  <c r="AP150" i="8" a="1"/>
  <c r="AP150" i="8" s="1"/>
  <c r="AN90" i="8" a="1"/>
  <c r="AN90" i="8" s="1"/>
  <c r="AQ90" i="8" a="1"/>
  <c r="AQ90" i="8" s="1"/>
  <c r="AS90" i="8" a="1"/>
  <c r="AS90" i="8" s="1"/>
  <c r="AT90" i="8" a="1"/>
  <c r="AT90" i="8" s="1"/>
  <c r="AO90" i="8" a="1"/>
  <c r="AO90" i="8" s="1"/>
  <c r="AP90" i="8" a="1"/>
  <c r="AP90" i="8" s="1"/>
  <c r="AR90" i="8" a="1"/>
  <c r="AR90" i="8" s="1"/>
  <c r="AR11" i="8" a="1"/>
  <c r="AR11" i="8" s="1"/>
  <c r="AS11" i="8" a="1"/>
  <c r="AS11" i="8" s="1"/>
  <c r="AN11" i="8" a="1"/>
  <c r="AN11" i="8" s="1"/>
  <c r="AP11" i="8" a="1"/>
  <c r="AP11" i="8" s="1"/>
  <c r="AQ11" i="8" a="1"/>
  <c r="AQ11" i="8" s="1"/>
  <c r="AO11" i="8" a="1"/>
  <c r="AO11" i="8" s="1"/>
  <c r="AT11" i="8" a="1"/>
  <c r="AT11" i="8" s="1"/>
  <c r="AR100" i="8" a="1"/>
  <c r="AR100" i="8" s="1"/>
  <c r="AS100" i="8" a="1"/>
  <c r="AS100" i="8" s="1"/>
  <c r="AT100" i="8" a="1"/>
  <c r="AT100" i="8" s="1"/>
  <c r="AN100" i="8" a="1"/>
  <c r="AN100" i="8" s="1"/>
  <c r="AP100" i="8" a="1"/>
  <c r="AP100" i="8" s="1"/>
  <c r="AQ100" i="8" a="1"/>
  <c r="AQ100" i="8" s="1"/>
  <c r="AO100" i="8" a="1"/>
  <c r="AO100" i="8" s="1"/>
  <c r="AN105" i="8" a="1"/>
  <c r="AN105" i="8" s="1"/>
  <c r="AO105" i="8" a="1"/>
  <c r="AO105" i="8" s="1"/>
  <c r="AR105" i="8" a="1"/>
  <c r="AR105" i="8" s="1"/>
  <c r="AT105" i="8" a="1"/>
  <c r="AT105" i="8" s="1"/>
  <c r="AQ105" i="8" a="1"/>
  <c r="AQ105" i="8" s="1"/>
  <c r="AS105" i="8" a="1"/>
  <c r="AS105" i="8" s="1"/>
  <c r="AP105" i="8" a="1"/>
  <c r="AP105" i="8" s="1"/>
  <c r="AN25" i="8" a="1"/>
  <c r="AN25" i="8" s="1"/>
  <c r="AP25" i="8" a="1"/>
  <c r="AP25" i="8" s="1"/>
  <c r="AR25" i="8" a="1"/>
  <c r="AR25" i="8" s="1"/>
  <c r="AT25" i="8" a="1"/>
  <c r="AT25" i="8" s="1"/>
  <c r="AO25" i="8" a="1"/>
  <c r="AO25" i="8" s="1"/>
  <c r="AQ25" i="8" a="1"/>
  <c r="AQ25" i="8" s="1"/>
  <c r="AS25" i="8" a="1"/>
  <c r="AS25" i="8" s="1"/>
  <c r="AO59" i="8" a="1"/>
  <c r="AO59" i="8" s="1"/>
  <c r="AQ59" i="8" a="1"/>
  <c r="AQ59" i="8" s="1"/>
  <c r="AT59" i="8" a="1"/>
  <c r="AT59" i="8" s="1"/>
  <c r="AP59" i="8" a="1"/>
  <c r="AP59" i="8" s="1"/>
  <c r="AS59" i="8" a="1"/>
  <c r="AS59" i="8" s="1"/>
  <c r="AN59" i="8" a="1"/>
  <c r="AN59" i="8" s="1"/>
  <c r="AR59" i="8" a="1"/>
  <c r="AR59" i="8" s="1"/>
  <c r="AR108" i="8" a="1"/>
  <c r="AR108" i="8" s="1"/>
  <c r="AS108" i="8" a="1"/>
  <c r="AS108" i="8" s="1"/>
  <c r="AT108" i="8" a="1"/>
  <c r="AT108" i="8" s="1"/>
  <c r="AP108" i="8" a="1"/>
  <c r="AP108" i="8" s="1"/>
  <c r="AQ108" i="8" a="1"/>
  <c r="AQ108" i="8" s="1"/>
  <c r="AN108" i="8" a="1"/>
  <c r="AN108" i="8" s="1"/>
  <c r="AO108" i="8" a="1"/>
  <c r="AO108" i="8" s="1"/>
  <c r="AS76" i="8" a="1"/>
  <c r="AS76" i="8" s="1"/>
  <c r="AP76" i="8" a="1"/>
  <c r="AP76" i="8" s="1"/>
  <c r="AQ76" i="8" a="1"/>
  <c r="AQ76" i="8" s="1"/>
  <c r="AR76" i="8" a="1"/>
  <c r="AR76" i="8" s="1"/>
  <c r="AT76" i="8" a="1"/>
  <c r="AT76" i="8" s="1"/>
  <c r="AN76" i="8" a="1"/>
  <c r="AN76" i="8" s="1"/>
  <c r="AO76" i="8" a="1"/>
  <c r="AO76" i="8" s="1"/>
  <c r="AN9" i="8" a="1"/>
  <c r="AN9" i="8" s="1"/>
  <c r="AO9" i="8" a="1"/>
  <c r="AO9" i="8" s="1"/>
  <c r="AP9" i="8" a="1"/>
  <c r="AP9" i="8" s="1"/>
  <c r="AQ9" i="8" a="1"/>
  <c r="AQ9" i="8" s="1"/>
  <c r="AS9" i="8" a="1"/>
  <c r="AS9" i="8" s="1"/>
  <c r="AT9" i="8" a="1"/>
  <c r="AT9" i="8" s="1"/>
  <c r="AR9" i="8" a="1"/>
  <c r="AR9" i="8" s="1"/>
  <c r="AN129" i="8" a="1"/>
  <c r="AN129" i="8" s="1"/>
  <c r="AO129" i="8" a="1"/>
  <c r="AO129" i="8" s="1"/>
  <c r="AR129" i="8" a="1"/>
  <c r="AR129" i="8" s="1"/>
  <c r="AT129" i="8" a="1"/>
  <c r="AT129" i="8" s="1"/>
  <c r="AP129" i="8" a="1"/>
  <c r="AP129" i="8" s="1"/>
  <c r="AQ129" i="8" a="1"/>
  <c r="AQ129" i="8" s="1"/>
  <c r="AS129" i="8" a="1"/>
  <c r="AS129" i="8" s="1"/>
  <c r="AS109" i="8" a="1"/>
  <c r="AS109" i="8" s="1"/>
  <c r="AT109" i="8" a="1"/>
  <c r="AT109" i="8" s="1"/>
  <c r="AN109" i="8" a="1"/>
  <c r="AN109" i="8" s="1"/>
  <c r="AP109" i="8" a="1"/>
  <c r="AP109" i="8" s="1"/>
  <c r="AQ109" i="8" a="1"/>
  <c r="AQ109" i="8" s="1"/>
  <c r="AR109" i="8" a="1"/>
  <c r="AR109" i="8" s="1"/>
  <c r="AO109" i="8" a="1"/>
  <c r="AO109" i="8" s="1"/>
  <c r="AR38" i="8" a="1"/>
  <c r="AR38" i="8" s="1"/>
  <c r="AT38" i="8" a="1"/>
  <c r="AT38" i="8" s="1"/>
  <c r="AN38" i="8" a="1"/>
  <c r="AN38" i="8" s="1"/>
  <c r="AO38" i="8" a="1"/>
  <c r="AO38" i="8" s="1"/>
  <c r="AS38" i="8" a="1"/>
  <c r="AS38" i="8" s="1"/>
  <c r="AP38" i="8" a="1"/>
  <c r="AP38" i="8" s="1"/>
  <c r="AQ38" i="8" a="1"/>
  <c r="AQ38" i="8" s="1"/>
  <c r="AN10" i="8" a="1"/>
  <c r="AN10" i="8" s="1"/>
  <c r="AO10" i="8" a="1"/>
  <c r="AO10" i="8" s="1"/>
  <c r="AR10" i="8" a="1"/>
  <c r="AR10" i="8" s="1"/>
  <c r="AS10" i="8" a="1"/>
  <c r="AS10" i="8" s="1"/>
  <c r="AT10" i="8" a="1"/>
  <c r="AT10" i="8" s="1"/>
  <c r="AP10" i="8" a="1"/>
  <c r="AP10" i="8" s="1"/>
  <c r="AQ10" i="8" a="1"/>
  <c r="AQ10" i="8" s="1"/>
  <c r="AT48" i="8" a="1"/>
  <c r="AT48" i="8" s="1"/>
  <c r="AR48" i="8" a="1"/>
  <c r="AR48" i="8" s="1"/>
  <c r="AS48" i="8" a="1"/>
  <c r="AS48" i="8" s="1"/>
  <c r="AN48" i="8" a="1"/>
  <c r="AN48" i="8" s="1"/>
  <c r="AP48" i="8" a="1"/>
  <c r="AP48" i="8" s="1"/>
  <c r="AQ48" i="8" a="1"/>
  <c r="AQ48" i="8" s="1"/>
  <c r="AO48" i="8" a="1"/>
  <c r="AO48" i="8" s="1"/>
  <c r="AR3" i="8" a="1"/>
  <c r="AR3" i="8" s="1"/>
  <c r="AS3" i="8" a="1"/>
  <c r="AS3" i="8" s="1"/>
  <c r="AT3" i="8" a="1"/>
  <c r="AT3" i="8" s="1"/>
  <c r="AN3" i="8" a="1"/>
  <c r="AN3" i="8" s="1"/>
  <c r="AO3" i="8" a="1"/>
  <c r="AO3" i="8" s="1"/>
  <c r="AP3" i="8" a="1"/>
  <c r="AP3" i="8" s="1"/>
  <c r="AQ3" i="8" a="1"/>
  <c r="AQ3" i="8" s="1"/>
  <c r="AP40" i="8" a="1"/>
  <c r="AP40" i="8" s="1"/>
  <c r="AR40" i="8" a="1"/>
  <c r="AR40" i="8" s="1"/>
  <c r="AN40" i="8" a="1"/>
  <c r="AN40" i="8" s="1"/>
  <c r="AO40" i="8" a="1"/>
  <c r="AO40" i="8" s="1"/>
  <c r="AQ40" i="8" a="1"/>
  <c r="AQ40" i="8" s="1"/>
  <c r="AS40" i="8" a="1"/>
  <c r="AS40" i="8" s="1"/>
  <c r="AT40" i="8" a="1"/>
  <c r="AT40" i="8" s="1"/>
  <c r="AN117" i="8" a="1"/>
  <c r="AN117" i="8" s="1"/>
  <c r="AO117" i="8" a="1"/>
  <c r="AO117" i="8" s="1"/>
  <c r="AP117" i="8" a="1"/>
  <c r="AP117" i="8" s="1"/>
  <c r="AQ117" i="8" a="1"/>
  <c r="AQ117" i="8" s="1"/>
  <c r="AT117" i="8" a="1"/>
  <c r="AT117" i="8" s="1"/>
  <c r="AS117" i="8" a="1"/>
  <c r="AS117" i="8" s="1"/>
  <c r="AR117" i="8" a="1"/>
  <c r="AR117" i="8" s="1"/>
  <c r="AT116" i="8" a="1"/>
  <c r="AT116" i="8" s="1"/>
  <c r="AP116" i="8" a="1"/>
  <c r="AP116" i="8" s="1"/>
  <c r="AR116" i="8" a="1"/>
  <c r="AR116" i="8" s="1"/>
  <c r="AS116" i="8" a="1"/>
  <c r="AS116" i="8" s="1"/>
  <c r="AQ116" i="8" a="1"/>
  <c r="AQ116" i="8" s="1"/>
  <c r="AO116" i="8" a="1"/>
  <c r="AO116" i="8" s="1"/>
  <c r="AN116" i="8" a="1"/>
  <c r="AN116" i="8" s="1"/>
  <c r="AN132" i="8" a="1"/>
  <c r="AN132" i="8" s="1"/>
  <c r="AO132" i="8" a="1"/>
  <c r="AO132" i="8" s="1"/>
  <c r="AS132" i="8" a="1"/>
  <c r="AS132" i="8" s="1"/>
  <c r="AT132" i="8" a="1"/>
  <c r="AT132" i="8" s="1"/>
  <c r="AR132" i="8" a="1"/>
  <c r="AR132" i="8" s="1"/>
  <c r="AP132" i="8" a="1"/>
  <c r="AP132" i="8" s="1"/>
  <c r="AQ132" i="8" a="1"/>
  <c r="AQ132" i="8" s="1"/>
  <c r="AT70" i="8" a="1"/>
  <c r="AT70" i="8" s="1"/>
  <c r="AN70" i="8" a="1"/>
  <c r="AN70" i="8" s="1"/>
  <c r="AQ70" i="8" a="1"/>
  <c r="AQ70" i="8" s="1"/>
  <c r="AS70" i="8" a="1"/>
  <c r="AS70" i="8" s="1"/>
  <c r="AP70" i="8" a="1"/>
  <c r="AP70" i="8" s="1"/>
  <c r="AR70" i="8" a="1"/>
  <c r="AR70" i="8" s="1"/>
  <c r="AO70" i="8" a="1"/>
  <c r="AO70" i="8" s="1"/>
  <c r="AO58" i="8" a="1"/>
  <c r="AO58" i="8" s="1"/>
  <c r="AN58" i="8" a="1"/>
  <c r="AN58" i="8" s="1"/>
  <c r="AP58" i="8" a="1"/>
  <c r="AP58" i="8" s="1"/>
  <c r="AQ58" i="8" a="1"/>
  <c r="AQ58" i="8" s="1"/>
  <c r="AR58" i="8" a="1"/>
  <c r="AR58" i="8" s="1"/>
  <c r="AS58" i="8" a="1"/>
  <c r="AS58" i="8" s="1"/>
  <c r="AT58" i="8" a="1"/>
  <c r="AT58" i="8" s="1"/>
  <c r="AP51" i="8" a="1"/>
  <c r="AP51" i="8" s="1"/>
  <c r="AN51" i="8" a="1"/>
  <c r="AN51" i="8" s="1"/>
  <c r="AO51" i="8" a="1"/>
  <c r="AO51" i="8" s="1"/>
  <c r="AQ51" i="8" a="1"/>
  <c r="AQ51" i="8" s="1"/>
  <c r="AR51" i="8" a="1"/>
  <c r="AR51" i="8" s="1"/>
  <c r="AS51" i="8" a="1"/>
  <c r="AS51" i="8" s="1"/>
  <c r="AT51" i="8" a="1"/>
  <c r="AT51" i="8" s="1"/>
  <c r="AN56" i="8" a="1"/>
  <c r="AN56" i="8" s="1"/>
  <c r="AQ56" i="8" a="1"/>
  <c r="AQ56" i="8" s="1"/>
  <c r="AO56" i="8" a="1"/>
  <c r="AO56" i="8" s="1"/>
  <c r="AP56" i="8" a="1"/>
  <c r="AP56" i="8" s="1"/>
  <c r="AR56" i="8" a="1"/>
  <c r="AR56" i="8" s="1"/>
  <c r="AS56" i="8" a="1"/>
  <c r="AS56" i="8" s="1"/>
  <c r="AT56" i="8" a="1"/>
  <c r="AT56" i="8" s="1"/>
  <c r="AQ158" i="8" a="1"/>
  <c r="AQ158" i="8" s="1"/>
  <c r="AO158" i="8" a="1"/>
  <c r="AO158" i="8" s="1"/>
  <c r="AN158" i="8" a="1"/>
  <c r="AN158" i="8" s="1"/>
  <c r="AP158" i="8" a="1"/>
  <c r="AP158" i="8" s="1"/>
  <c r="AS158" i="8" a="1"/>
  <c r="AS158" i="8" s="1"/>
  <c r="AT158" i="8" a="1"/>
  <c r="AT158" i="8" s="1"/>
  <c r="AR158" i="8" a="1"/>
  <c r="AR158" i="8" s="1"/>
  <c r="AS97" i="8" a="1"/>
  <c r="AS97" i="8" s="1"/>
  <c r="AT97" i="8" a="1"/>
  <c r="AT97" i="8" s="1"/>
  <c r="AN97" i="8" a="1"/>
  <c r="AN97" i="8" s="1"/>
  <c r="AP97" i="8" a="1"/>
  <c r="AP97" i="8" s="1"/>
  <c r="AQ97" i="8" a="1"/>
  <c r="AQ97" i="8" s="1"/>
  <c r="AR97" i="8" a="1"/>
  <c r="AR97" i="8" s="1"/>
  <c r="AO97" i="8" a="1"/>
  <c r="AO97" i="8" s="1"/>
  <c r="AP8" i="8" a="1"/>
  <c r="AP8" i="8" s="1"/>
  <c r="AQ8" i="8" a="1"/>
  <c r="AQ8" i="8" s="1"/>
  <c r="AT8" i="8" a="1"/>
  <c r="AT8" i="8" s="1"/>
  <c r="AN8" i="8" a="1"/>
  <c r="AN8" i="8" s="1"/>
  <c r="AO8" i="8" a="1"/>
  <c r="AO8" i="8" s="1"/>
  <c r="AS8" i="8" a="1"/>
  <c r="AS8" i="8" s="1"/>
  <c r="AR8" i="8" a="1"/>
  <c r="AR8" i="8" s="1"/>
  <c r="AP112" i="8" a="1"/>
  <c r="AP112" i="8" s="1"/>
  <c r="AQ112" i="8" a="1"/>
  <c r="AQ112" i="8" s="1"/>
  <c r="AR112" i="8" a="1"/>
  <c r="AR112" i="8" s="1"/>
  <c r="AS112" i="8" a="1"/>
  <c r="AS112" i="8" s="1"/>
  <c r="AT112" i="8" a="1"/>
  <c r="AT112" i="8" s="1"/>
  <c r="AO112" i="8" a="1"/>
  <c r="AO112" i="8" s="1"/>
  <c r="AN112" i="8" a="1"/>
  <c r="AN112" i="8" s="1"/>
  <c r="AP72" i="8" a="1"/>
  <c r="AP72" i="8" s="1"/>
  <c r="AT72" i="8" a="1"/>
  <c r="AT72" i="8" s="1"/>
  <c r="AO72" i="8" a="1"/>
  <c r="AO72" i="8" s="1"/>
  <c r="AR72" i="8" a="1"/>
  <c r="AR72" i="8" s="1"/>
  <c r="AS72" i="8" a="1"/>
  <c r="AS72" i="8" s="1"/>
  <c r="AN72" i="8" a="1"/>
  <c r="AN72" i="8" s="1"/>
  <c r="AQ72" i="8" a="1"/>
  <c r="AQ72" i="8" s="1"/>
  <c r="AN154" i="8" a="1"/>
  <c r="AN154" i="8" s="1"/>
  <c r="AO154" i="8" a="1"/>
  <c r="AO154" i="8" s="1"/>
  <c r="AT154" i="8" a="1"/>
  <c r="AT154" i="8" s="1"/>
  <c r="AQ154" i="8" a="1"/>
  <c r="AQ154" i="8" s="1"/>
  <c r="AR154" i="8" a="1"/>
  <c r="AR154" i="8" s="1"/>
  <c r="AS154" i="8" a="1"/>
  <c r="AS154" i="8" s="1"/>
  <c r="AP154" i="8" a="1"/>
  <c r="AP154" i="8" s="1"/>
  <c r="AS147" i="8" a="1"/>
  <c r="AS147" i="8" s="1"/>
  <c r="AT147" i="8" a="1"/>
  <c r="AT147" i="8" s="1"/>
  <c r="AQ147" i="8" a="1"/>
  <c r="AQ147" i="8" s="1"/>
  <c r="AR147" i="8" a="1"/>
  <c r="AR147" i="8" s="1"/>
  <c r="AN147" i="8" a="1"/>
  <c r="AN147" i="8" s="1"/>
  <c r="AO147" i="8" a="1"/>
  <c r="AO147" i="8" s="1"/>
  <c r="AP147" i="8" a="1"/>
  <c r="AP147" i="8" s="1"/>
  <c r="AO61" i="8" a="1"/>
  <c r="AO61" i="8" s="1"/>
  <c r="AR61" i="8" a="1"/>
  <c r="AR61" i="8" s="1"/>
  <c r="AN61" i="8" a="1"/>
  <c r="AN61" i="8" s="1"/>
  <c r="AS61" i="8" a="1"/>
  <c r="AS61" i="8" s="1"/>
  <c r="AQ61" i="8" a="1"/>
  <c r="AQ61" i="8" s="1"/>
  <c r="AP61" i="8" a="1"/>
  <c r="AP61" i="8" s="1"/>
  <c r="AT61" i="8" a="1"/>
  <c r="AT61" i="8" s="1"/>
  <c r="AN106" i="8" a="1"/>
  <c r="AN106" i="8" s="1"/>
  <c r="AO106" i="8" a="1"/>
  <c r="AO106" i="8" s="1"/>
  <c r="AP106" i="8" a="1"/>
  <c r="AP106" i="8" s="1"/>
  <c r="AQ106" i="8" a="1"/>
  <c r="AQ106" i="8" s="1"/>
  <c r="AR106" i="8" a="1"/>
  <c r="AR106" i="8" s="1"/>
  <c r="AT106" i="8" a="1"/>
  <c r="AT106" i="8" s="1"/>
  <c r="AS106" i="8" a="1"/>
  <c r="AS106" i="8" s="1"/>
  <c r="AP21" i="8" a="1"/>
  <c r="AP21" i="8" s="1"/>
  <c r="AN21" i="8" a="1"/>
  <c r="AN21" i="8" s="1"/>
  <c r="AQ21" i="8" a="1"/>
  <c r="AQ21" i="8" s="1"/>
  <c r="AR21" i="8" a="1"/>
  <c r="AR21" i="8" s="1"/>
  <c r="AS21" i="8" a="1"/>
  <c r="AS21" i="8" s="1"/>
  <c r="AT21" i="8" a="1"/>
  <c r="AT21" i="8" s="1"/>
  <c r="AO21" i="8" a="1"/>
  <c r="AO21" i="8" s="1"/>
  <c r="AN142" i="8" a="1"/>
  <c r="AN142" i="8" s="1"/>
  <c r="AO142" i="8" a="1"/>
  <c r="AO142" i="8" s="1"/>
  <c r="AP142" i="8" a="1"/>
  <c r="AP142" i="8" s="1"/>
  <c r="AQ142" i="8" a="1"/>
  <c r="AQ142" i="8" s="1"/>
  <c r="AR142" i="8" a="1"/>
  <c r="AR142" i="8" s="1"/>
  <c r="AS142" i="8" a="1"/>
  <c r="AS142" i="8" s="1"/>
  <c r="AT142" i="8" a="1"/>
  <c r="AT142" i="8" s="1"/>
  <c r="AS122" i="8" a="1"/>
  <c r="AS122" i="8" s="1"/>
  <c r="AT122" i="8" a="1"/>
  <c r="AT122" i="8" s="1"/>
  <c r="AQ122" i="8" a="1"/>
  <c r="AQ122" i="8" s="1"/>
  <c r="AR122" i="8" a="1"/>
  <c r="AR122" i="8" s="1"/>
  <c r="AO122" i="8" a="1"/>
  <c r="AO122" i="8" s="1"/>
  <c r="AN122" i="8" a="1"/>
  <c r="AN122" i="8" s="1"/>
  <c r="AP122" i="8" a="1"/>
  <c r="AP122" i="8" s="1"/>
  <c r="AO24" i="8" a="1"/>
  <c r="AO24" i="8" s="1"/>
  <c r="AN24" i="8" a="1"/>
  <c r="AN24" i="8" s="1"/>
  <c r="AP24" i="8" a="1"/>
  <c r="AP24" i="8" s="1"/>
  <c r="AQ24" i="8" a="1"/>
  <c r="AQ24" i="8" s="1"/>
  <c r="AR24" i="8" a="1"/>
  <c r="AR24" i="8" s="1"/>
  <c r="AT24" i="8" a="1"/>
  <c r="AT24" i="8" s="1"/>
  <c r="AS24" i="8" a="1"/>
  <c r="AS24" i="8" s="1"/>
  <c r="AN139" i="8" a="1"/>
  <c r="AN139" i="8" s="1"/>
  <c r="AO139" i="8" a="1"/>
  <c r="AO139" i="8" s="1"/>
  <c r="AP139" i="8" a="1"/>
  <c r="AP139" i="8" s="1"/>
  <c r="AQ139" i="8" a="1"/>
  <c r="AQ139" i="8" s="1"/>
  <c r="AR139" i="8" a="1"/>
  <c r="AR139" i="8" s="1"/>
  <c r="AS139" i="8" a="1"/>
  <c r="AS139" i="8" s="1"/>
  <c r="AT139" i="8" a="1"/>
  <c r="AT139" i="8" s="1"/>
  <c r="AO127" i="8" a="1"/>
  <c r="AO127" i="8" s="1"/>
  <c r="AP127" i="8" a="1"/>
  <c r="AP127" i="8" s="1"/>
  <c r="AQ127" i="8" a="1"/>
  <c r="AQ127" i="8" s="1"/>
  <c r="AR127" i="8" a="1"/>
  <c r="AR127" i="8" s="1"/>
  <c r="AS127" i="8" a="1"/>
  <c r="AS127" i="8" s="1"/>
  <c r="AN127" i="8" a="1"/>
  <c r="AN127" i="8" s="1"/>
  <c r="AT127" i="8" a="1"/>
  <c r="AT127" i="8" s="1"/>
  <c r="AR71" i="8" a="1"/>
  <c r="AR71" i="8" s="1"/>
  <c r="AO71" i="8" a="1"/>
  <c r="AO71" i="8" s="1"/>
  <c r="AP71" i="8" a="1"/>
  <c r="AP71" i="8" s="1"/>
  <c r="AQ71" i="8" a="1"/>
  <c r="AQ71" i="8" s="1"/>
  <c r="AS71" i="8" a="1"/>
  <c r="AS71" i="8" s="1"/>
  <c r="AN71" i="8" a="1"/>
  <c r="AN71" i="8" s="1"/>
  <c r="AT71" i="8" a="1"/>
  <c r="AT71" i="8" s="1"/>
  <c r="AQ81" i="8" a="1"/>
  <c r="AQ81" i="8" s="1"/>
  <c r="AO81" i="8" a="1"/>
  <c r="AO81" i="8" s="1"/>
  <c r="AP81" i="8" a="1"/>
  <c r="AP81" i="8" s="1"/>
  <c r="AR81" i="8" a="1"/>
  <c r="AR81" i="8" s="1"/>
  <c r="AS81" i="8" a="1"/>
  <c r="AS81" i="8" s="1"/>
  <c r="AT81" i="8" a="1"/>
  <c r="AT81" i="8" s="1"/>
  <c r="AN81" i="8" a="1"/>
  <c r="AN81" i="8" s="1"/>
  <c r="AQ69" i="8" a="1"/>
  <c r="AQ69" i="8" s="1"/>
  <c r="AT69" i="8" a="1"/>
  <c r="AT69" i="8" s="1"/>
  <c r="AO69" i="8" a="1"/>
  <c r="AO69" i="8" s="1"/>
  <c r="AP69" i="8" a="1"/>
  <c r="AP69" i="8" s="1"/>
  <c r="AR69" i="8" a="1"/>
  <c r="AR69" i="8" s="1"/>
  <c r="AS69" i="8" a="1"/>
  <c r="AS69" i="8" s="1"/>
  <c r="AN69" i="8" a="1"/>
  <c r="AN69" i="8" s="1"/>
  <c r="AO18" i="8" a="1"/>
  <c r="AO18" i="8" s="1"/>
  <c r="AS18" i="8" a="1"/>
  <c r="AS18" i="8" s="1"/>
  <c r="AQ18" i="8" a="1"/>
  <c r="AQ18" i="8" s="1"/>
  <c r="AR18" i="8" a="1"/>
  <c r="AR18" i="8" s="1"/>
  <c r="AT18" i="8" a="1"/>
  <c r="AT18" i="8" s="1"/>
  <c r="AN18" i="8" a="1"/>
  <c r="AN18" i="8" s="1"/>
  <c r="AP18" i="8" a="1"/>
  <c r="AP18" i="8" s="1"/>
  <c r="AR153" i="8" a="1"/>
  <c r="AR153" i="8" s="1"/>
  <c r="AS153" i="8" a="1"/>
  <c r="AS153" i="8" s="1"/>
  <c r="AT153" i="8" a="1"/>
  <c r="AT153" i="8" s="1"/>
  <c r="AP153" i="8" a="1"/>
  <c r="AP153" i="8" s="1"/>
  <c r="AQ153" i="8" a="1"/>
  <c r="AQ153" i="8" s="1"/>
  <c r="AN153" i="8" a="1"/>
  <c r="AN153" i="8" s="1"/>
  <c r="AO153" i="8" a="1"/>
  <c r="AO153" i="8" s="1"/>
  <c r="AN73" i="8" a="1"/>
  <c r="AN73" i="8" s="1"/>
  <c r="AO73" i="8" a="1"/>
  <c r="AO73" i="8" s="1"/>
  <c r="AP73" i="8" a="1"/>
  <c r="AP73" i="8" s="1"/>
  <c r="AQ73" i="8" a="1"/>
  <c r="AQ73" i="8" s="1"/>
  <c r="AR73" i="8" a="1"/>
  <c r="AR73" i="8" s="1"/>
  <c r="AS73" i="8" a="1"/>
  <c r="AS73" i="8" s="1"/>
  <c r="AT73" i="8" a="1"/>
  <c r="AT73" i="8" s="1"/>
  <c r="AP118" i="8" a="1"/>
  <c r="AP118" i="8" s="1"/>
  <c r="AQ118" i="8" a="1"/>
  <c r="AQ118" i="8" s="1"/>
  <c r="AR118" i="8" a="1"/>
  <c r="AR118" i="8" s="1"/>
  <c r="AS118" i="8" a="1"/>
  <c r="AS118" i="8" s="1"/>
  <c r="AT118" i="8" a="1"/>
  <c r="AT118" i="8" s="1"/>
  <c r="AN118" i="8" a="1"/>
  <c r="AN118" i="8" s="1"/>
  <c r="AO118" i="8" a="1"/>
  <c r="AO118" i="8" s="1"/>
  <c r="AS82" i="8" a="1"/>
  <c r="AS82" i="8" s="1"/>
  <c r="AT82" i="8" a="1"/>
  <c r="AT82" i="8" s="1"/>
  <c r="AP82" i="8" a="1"/>
  <c r="AP82" i="8" s="1"/>
  <c r="AR82" i="8" a="1"/>
  <c r="AR82" i="8" s="1"/>
  <c r="AN82" i="8" a="1"/>
  <c r="AN82" i="8" s="1"/>
  <c r="AO82" i="8" a="1"/>
  <c r="AO82" i="8" s="1"/>
  <c r="AQ82" i="8" a="1"/>
  <c r="AQ82" i="8" s="1"/>
  <c r="AP92" i="8" a="1"/>
  <c r="AP92" i="8" s="1"/>
  <c r="AQ92" i="8" a="1"/>
  <c r="AQ92" i="8" s="1"/>
  <c r="AR92" i="8" a="1"/>
  <c r="AR92" i="8" s="1"/>
  <c r="AS92" i="8" a="1"/>
  <c r="AS92" i="8" s="1"/>
  <c r="AT92" i="8" a="1"/>
  <c r="AT92" i="8" s="1"/>
  <c r="AO92" i="8" a="1"/>
  <c r="AO92" i="8" s="1"/>
  <c r="AN92" i="8" a="1"/>
  <c r="AN92" i="8" s="1"/>
  <c r="AN80" i="8" a="1"/>
  <c r="AN80" i="8" s="1"/>
  <c r="AO80" i="8" a="1"/>
  <c r="AO80" i="8" s="1"/>
  <c r="AP80" i="8" a="1"/>
  <c r="AP80" i="8" s="1"/>
  <c r="AQ80" i="8" a="1"/>
  <c r="AQ80" i="8" s="1"/>
  <c r="AT80" i="8" a="1"/>
  <c r="AT80" i="8" s="1"/>
  <c r="AR80" i="8" a="1"/>
  <c r="AR80" i="8" s="1"/>
  <c r="AS80" i="8" a="1"/>
  <c r="AS80" i="8" s="1"/>
  <c r="AS43" i="8" a="1"/>
  <c r="AS43" i="8" s="1"/>
  <c r="AP43" i="8" a="1"/>
  <c r="AP43" i="8" s="1"/>
  <c r="AR43" i="8" a="1"/>
  <c r="AR43" i="8" s="1"/>
  <c r="AT43" i="8" a="1"/>
  <c r="AT43" i="8" s="1"/>
  <c r="AO43" i="8" a="1"/>
  <c r="AO43" i="8" s="1"/>
  <c r="AQ43" i="8" a="1"/>
  <c r="AQ43" i="8" s="1"/>
  <c r="AN43" i="8" a="1"/>
  <c r="AN43" i="8" s="1"/>
  <c r="AR89" i="8" a="1"/>
  <c r="AR89" i="8" s="1"/>
  <c r="AS89" i="8" a="1"/>
  <c r="AS89" i="8" s="1"/>
  <c r="AT89" i="8" a="1"/>
  <c r="AT89" i="8" s="1"/>
  <c r="AO89" i="8" a="1"/>
  <c r="AO89" i="8" s="1"/>
  <c r="AQ89" i="8" a="1"/>
  <c r="AQ89" i="8" s="1"/>
  <c r="AN89" i="8" a="1"/>
  <c r="AN89" i="8" s="1"/>
  <c r="AP89" i="8" a="1"/>
  <c r="AP89" i="8" s="1"/>
  <c r="AP64" i="8" a="1"/>
  <c r="AP64" i="8" s="1"/>
  <c r="AR64" i="8" a="1"/>
  <c r="AR64" i="8" s="1"/>
  <c r="AS64" i="8" a="1"/>
  <c r="AS64" i="8" s="1"/>
  <c r="AT64" i="8" a="1"/>
  <c r="AT64" i="8" s="1"/>
  <c r="AO64" i="8" a="1"/>
  <c r="AO64" i="8" s="1"/>
  <c r="AQ64" i="8" a="1"/>
  <c r="AQ64" i="8" s="1"/>
  <c r="AN64" i="8" a="1"/>
  <c r="AN64" i="8" s="1"/>
  <c r="AQ33" i="8" a="1"/>
  <c r="AQ33" i="8" s="1"/>
  <c r="AS33" i="8" a="1"/>
  <c r="AS33" i="8" s="1"/>
  <c r="AN33" i="8" a="1"/>
  <c r="AN33" i="8" s="1"/>
  <c r="AO33" i="8" a="1"/>
  <c r="AO33" i="8" s="1"/>
  <c r="AP33" i="8" a="1"/>
  <c r="AP33" i="8" s="1"/>
  <c r="AR33" i="8" a="1"/>
  <c r="AR33" i="8" s="1"/>
  <c r="AT33" i="8" a="1"/>
  <c r="AT33" i="8" s="1"/>
  <c r="D48" i="25"/>
  <c r="I30" i="25" s="1"/>
  <c r="D19" i="25"/>
  <c r="J24" i="25" s="1"/>
  <c r="D20" i="25"/>
  <c r="K24" i="25" s="1"/>
  <c r="A22" i="25"/>
  <c r="D17" i="25"/>
  <c r="H24" i="25" s="1"/>
  <c r="A53" i="25"/>
  <c r="A24" i="25"/>
  <c r="A25" i="25"/>
  <c r="BK127" i="8" l="1"/>
  <c r="BK146" i="8"/>
  <c r="BK161" i="8"/>
  <c r="BK123" i="8"/>
  <c r="BK76" i="8"/>
  <c r="BK128" i="8"/>
  <c r="BK151" i="8"/>
  <c r="BK58" i="8"/>
  <c r="BK36" i="8"/>
  <c r="BK103" i="8"/>
  <c r="BK3" i="8"/>
  <c r="BK70" i="8"/>
  <c r="BK30" i="8"/>
  <c r="BK73" i="8"/>
  <c r="BK60" i="8"/>
  <c r="BK114" i="8"/>
  <c r="BK113" i="8"/>
  <c r="BK24" i="8"/>
  <c r="BK25" i="8"/>
  <c r="BK118" i="8"/>
  <c r="BK101" i="8"/>
  <c r="BK26" i="8"/>
  <c r="BK74" i="8"/>
  <c r="BK33" i="8"/>
  <c r="BK110" i="8"/>
  <c r="BK160" i="8"/>
  <c r="BK35" i="8"/>
  <c r="BK37" i="8"/>
  <c r="BK40" i="8"/>
  <c r="BK27" i="8"/>
  <c r="BK125" i="8"/>
  <c r="BK95" i="8"/>
  <c r="BK43" i="8"/>
  <c r="BK91" i="8"/>
  <c r="BK63" i="8"/>
  <c r="BK9" i="8"/>
  <c r="BK77" i="8"/>
  <c r="BK126" i="8"/>
  <c r="BK134" i="8"/>
  <c r="BK88" i="8"/>
  <c r="BK121" i="8"/>
  <c r="BK136" i="8"/>
  <c r="BK157" i="8"/>
  <c r="BK115" i="8"/>
  <c r="BK22" i="8"/>
  <c r="BK109" i="8"/>
  <c r="BK132" i="8"/>
  <c r="BK142" i="8"/>
  <c r="BK86" i="8"/>
  <c r="BK55" i="8"/>
  <c r="BK80" i="8"/>
  <c r="BK57" i="8"/>
  <c r="BK100" i="8"/>
  <c r="BK119" i="8"/>
  <c r="BK150" i="8"/>
  <c r="BK66" i="8"/>
  <c r="BK78" i="8"/>
  <c r="BK6" i="8"/>
  <c r="BK138" i="8"/>
  <c r="BK13" i="8"/>
  <c r="BK7" i="8"/>
  <c r="BK137" i="8"/>
  <c r="BK81" i="8"/>
  <c r="BK52" i="8"/>
  <c r="BK139" i="8"/>
  <c r="BK62" i="8"/>
  <c r="BK42" i="8"/>
  <c r="BK154" i="8"/>
  <c r="BK51" i="8"/>
  <c r="BK5" i="8"/>
  <c r="BK48" i="8"/>
  <c r="BK148" i="8"/>
  <c r="BK18" i="8"/>
  <c r="BK145" i="8"/>
  <c r="BK75" i="8"/>
  <c r="BK69" i="8"/>
  <c r="BK59" i="8"/>
  <c r="BK67" i="8"/>
  <c r="BK131" i="8"/>
  <c r="BK98" i="8"/>
  <c r="BK104" i="8"/>
  <c r="BK83" i="8"/>
  <c r="BK156" i="8"/>
  <c r="BK135" i="8"/>
  <c r="BK28" i="8"/>
  <c r="BK17" i="8"/>
  <c r="BK72" i="8"/>
  <c r="BK159" i="8"/>
  <c r="BK31" i="8"/>
  <c r="BK102" i="8"/>
  <c r="BK105" i="8"/>
  <c r="BK4" i="8"/>
  <c r="BK111" i="8"/>
  <c r="BK120" i="8"/>
  <c r="BK89" i="8"/>
  <c r="BK144" i="8"/>
  <c r="BK108" i="8"/>
  <c r="BK23" i="8"/>
  <c r="BK41" i="8"/>
  <c r="BK53" i="8"/>
  <c r="BK82" i="8"/>
  <c r="BK96" i="8"/>
  <c r="BK65" i="8"/>
  <c r="BK107" i="8"/>
  <c r="BK140" i="8"/>
  <c r="BK130" i="8"/>
  <c r="BK20" i="8"/>
  <c r="BK8" i="8"/>
  <c r="BK12" i="8"/>
  <c r="BK147" i="8"/>
  <c r="BK90" i="8"/>
  <c r="BJ164" i="8"/>
  <c r="BK47" i="8"/>
  <c r="BK15" i="8"/>
  <c r="BK87" i="8"/>
  <c r="BJ163" i="8"/>
  <c r="BJ162" i="8"/>
  <c r="BK71" i="8"/>
  <c r="BK99" i="8"/>
  <c r="BJ165" i="8"/>
  <c r="BK92" i="8"/>
  <c r="BJ166" i="8"/>
  <c r="BL162" i="8" a="1"/>
  <c r="BL162" i="8" s="1"/>
  <c r="AF164" i="8" a="1"/>
  <c r="AF164" i="8" s="1"/>
  <c r="BK164" i="8" s="1"/>
  <c r="AP163" i="8" a="1"/>
  <c r="AP163" i="8" s="1"/>
  <c r="AN163" i="8" a="1"/>
  <c r="AN163" i="8" s="1"/>
  <c r="AO163" i="8" a="1"/>
  <c r="AO163" i="8" s="1"/>
  <c r="AR163" i="8" a="1"/>
  <c r="AR163" i="8" s="1"/>
  <c r="AS163" i="8" a="1"/>
  <c r="AS163" i="8" s="1"/>
  <c r="AT163" i="8" a="1"/>
  <c r="AT163" i="8" s="1"/>
  <c r="AQ163" i="8" a="1"/>
  <c r="AQ163" i="8" s="1"/>
  <c r="AN162" i="8" a="1"/>
  <c r="AN162" i="8" s="1"/>
  <c r="AO162" i="8" a="1"/>
  <c r="AO162" i="8" s="1"/>
  <c r="AQ162" i="8" a="1"/>
  <c r="AQ162" i="8" s="1"/>
  <c r="AS162" i="8" a="1"/>
  <c r="AS162" i="8" s="1"/>
  <c r="AR162" i="8" a="1"/>
  <c r="AR162" i="8" s="1"/>
  <c r="AT162" i="8" a="1"/>
  <c r="AT162" i="8" s="1"/>
  <c r="AP162" i="8" a="1"/>
  <c r="AP162" i="8" s="1"/>
  <c r="AF163" i="8" a="1"/>
  <c r="AF163" i="8" s="1"/>
  <c r="BK163" i="8" s="1"/>
  <c r="AP165" i="8" a="1"/>
  <c r="AP165" i="8" s="1"/>
  <c r="AQ165" i="8" a="1"/>
  <c r="AQ165" i="8" s="1"/>
  <c r="AR165" i="8" a="1"/>
  <c r="AR165" i="8" s="1"/>
  <c r="AS165" i="8" a="1"/>
  <c r="AS165" i="8" s="1"/>
  <c r="AN165" i="8" a="1"/>
  <c r="AN165" i="8" s="1"/>
  <c r="AO165" i="8" a="1"/>
  <c r="AO165" i="8" s="1"/>
  <c r="AT165" i="8" a="1"/>
  <c r="AT165" i="8" s="1"/>
  <c r="AQ164" i="8" a="1"/>
  <c r="AQ164" i="8" s="1"/>
  <c r="AR164" i="8" a="1"/>
  <c r="AR164" i="8" s="1"/>
  <c r="AN164" i="8" a="1"/>
  <c r="AN164" i="8" s="1"/>
  <c r="AS164" i="8" a="1"/>
  <c r="AS164" i="8" s="1"/>
  <c r="AT164" i="8" a="1"/>
  <c r="AT164" i="8" s="1"/>
  <c r="AO164" i="8" a="1"/>
  <c r="AO164" i="8" s="1"/>
  <c r="AP164" i="8" a="1"/>
  <c r="AP164" i="8" s="1"/>
  <c r="BL166" i="8" a="1"/>
  <c r="BL166" i="8" s="1"/>
  <c r="AF165" i="8" a="1"/>
  <c r="AF165" i="8" s="1"/>
  <c r="BK165" i="8" s="1"/>
  <c r="AN166" i="8" a="1"/>
  <c r="AN166" i="8" s="1"/>
  <c r="AQ166" i="8" a="1"/>
  <c r="AQ166" i="8" s="1"/>
  <c r="AS166" i="8" a="1"/>
  <c r="AS166" i="8" s="1"/>
  <c r="AR166" i="8" a="1"/>
  <c r="AR166" i="8" s="1"/>
  <c r="AO166" i="8" a="1"/>
  <c r="AO166" i="8" s="1"/>
  <c r="AT166" i="8" a="1"/>
  <c r="AT166" i="8" s="1"/>
  <c r="AP166" i="8" a="1"/>
  <c r="AP166" i="8" s="1"/>
  <c r="D25" i="25"/>
  <c r="K25" i="25" s="1"/>
  <c r="D24" i="25"/>
  <c r="J25" i="25" s="1"/>
  <c r="D53" i="25"/>
  <c r="I31" i="25" s="1"/>
  <c r="A27" i="25"/>
  <c r="D22" i="25"/>
  <c r="H25" i="25" s="1"/>
  <c r="A30" i="25"/>
  <c r="A29" i="25"/>
  <c r="D29" i="25" l="1"/>
  <c r="J26" i="25" s="1"/>
  <c r="D30" i="25"/>
  <c r="K26" i="25" s="1"/>
  <c r="A32" i="25"/>
  <c r="D27" i="25"/>
  <c r="H26" i="25" s="1"/>
  <c r="A34" i="25"/>
  <c r="A35" i="25"/>
  <c r="D35" i="25" l="1"/>
  <c r="K27" i="25" s="1"/>
  <c r="D34" i="25"/>
  <c r="J27" i="25" s="1"/>
  <c r="A37" i="25"/>
  <c r="D32" i="25"/>
  <c r="H27" i="25" s="1"/>
  <c r="A40" i="25"/>
  <c r="A39" i="25"/>
  <c r="D39" i="25" l="1"/>
  <c r="J28" i="25" s="1"/>
  <c r="D40" i="25"/>
  <c r="K28" i="25" s="1"/>
  <c r="A42" i="25"/>
  <c r="D37" i="25"/>
  <c r="H28" i="25" s="1"/>
  <c r="A44" i="25"/>
  <c r="A45" i="25"/>
  <c r="D42" i="25" l="1"/>
  <c r="H29" i="25" s="1"/>
  <c r="A47" i="25"/>
  <c r="D45" i="25"/>
  <c r="K29" i="25" s="1"/>
  <c r="D44" i="25"/>
  <c r="J29" i="25" s="1"/>
  <c r="A50" i="25"/>
  <c r="A49" i="25"/>
  <c r="D47" i="25" l="1"/>
  <c r="H30" i="25" s="1"/>
  <c r="A52" i="25"/>
  <c r="D49" i="25"/>
  <c r="J30" i="25" s="1"/>
  <c r="D50" i="25"/>
  <c r="K30" i="25" s="1"/>
  <c r="A54" i="25"/>
  <c r="A55" i="25"/>
  <c r="D52" i="25" l="1"/>
  <c r="H31" i="25" s="1"/>
  <c r="D55" i="25"/>
  <c r="K31" i="25" s="1"/>
  <c r="D54" i="25"/>
  <c r="J31" i="2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D106731-63C7-4E54-9C75-B8562CE4F620}" keepAlive="1" name="Query - Table1" description="Connection to the 'Table1' query in the workbook." type="5" refreshedVersion="8" background="1" saveData="1">
    <dbPr connection="Provider=Microsoft.Mashup.OleDb.1;Data Source=$Workbook$;Location=Table1;Extended Properties=&quot;&quot;" command="SELECT * FROM [Table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<sst xmlns="http://schemas.openxmlformats.org/spreadsheetml/2006/main" count="16193" uniqueCount="600">
  <si>
    <t>Year</t>
  </si>
  <si>
    <t>PADD</t>
  </si>
  <si>
    <t>State</t>
  </si>
  <si>
    <t>Company  (*converted)</t>
  </si>
  <si>
    <t>Location</t>
  </si>
  <si>
    <t>Crude</t>
  </si>
  <si>
    <t>Vacuum</t>
  </si>
  <si>
    <t>Coking</t>
  </si>
  <si>
    <t>Thermal Cracking</t>
  </si>
  <si>
    <t>Catalytic Cracking</t>
  </si>
  <si>
    <t>Catalytic Reforming</t>
  </si>
  <si>
    <t>Catalytic Hydrocracking</t>
  </si>
  <si>
    <t>Catalytic Hydrotreating</t>
  </si>
  <si>
    <t>Alkylation</t>
  </si>
  <si>
    <t>Plimerization/Dimerization</t>
  </si>
  <si>
    <t>Aromatics</t>
  </si>
  <si>
    <t>Isomerization C4</t>
  </si>
  <si>
    <t>Lube</t>
  </si>
  <si>
    <t>Oxygenates</t>
  </si>
  <si>
    <t>Hydrogen Production (MMcfd)</t>
  </si>
  <si>
    <t>Hydrogen Recovery (MMcfd)</t>
  </si>
  <si>
    <t>Coke (mt/d)</t>
  </si>
  <si>
    <t>Sulfur (mt/d)</t>
  </si>
  <si>
    <t xml:space="preserve"> Asphalt (b/d)</t>
  </si>
  <si>
    <t>Alabama</t>
  </si>
  <si>
    <t>Hunt Refining Co.</t>
  </si>
  <si>
    <t>Tuscaloosa</t>
  </si>
  <si>
    <t>Shell Chemical Co.</t>
  </si>
  <si>
    <t>Saraland</t>
  </si>
  <si>
    <t>Trigeant Petroleum</t>
  </si>
  <si>
    <t>Mobile Bay</t>
  </si>
  <si>
    <t>Alaska</t>
  </si>
  <si>
    <t>BP PLC</t>
  </si>
  <si>
    <t>Kuparuk</t>
  </si>
  <si>
    <t>Prudhoe Bay</t>
  </si>
  <si>
    <t>Flint Hills Resources</t>
  </si>
  <si>
    <t>North Pole</t>
  </si>
  <si>
    <t>Petro Star Inc.</t>
  </si>
  <si>
    <t>Valdez</t>
  </si>
  <si>
    <t>Tesoro Alaska Co.</t>
  </si>
  <si>
    <t>Kenai</t>
  </si>
  <si>
    <t>Arkansas</t>
  </si>
  <si>
    <t>Cross Oil &amp; Refining Co. Inc.</t>
  </si>
  <si>
    <t>Smackover</t>
  </si>
  <si>
    <t>Lion Oil Co.</t>
  </si>
  <si>
    <t>El Dorado</t>
  </si>
  <si>
    <t>California</t>
  </si>
  <si>
    <t>Carson</t>
  </si>
  <si>
    <t>ChevronTexaco Corp.</t>
  </si>
  <si>
    <t>El Segundo</t>
  </si>
  <si>
    <t>Richmond</t>
  </si>
  <si>
    <t>ConocoPhillips</t>
  </si>
  <si>
    <t>Los Angeles (Carson and Wilmington)</t>
  </si>
  <si>
    <t>Rodeo &amp; Santa Maria</t>
  </si>
  <si>
    <t>ExxonMobil Refining &amp; Supply Co.</t>
  </si>
  <si>
    <t>Torrance</t>
  </si>
  <si>
    <t>Kern Oil &amp; Refining Co.</t>
  </si>
  <si>
    <t>Bakersfield</t>
  </si>
  <si>
    <t>Paramount Petroleum Corp.</t>
  </si>
  <si>
    <t>Long Beach</t>
  </si>
  <si>
    <t>San Joaquin Refining Co. Inc.</t>
  </si>
  <si>
    <t>Shell Oil Products US</t>
  </si>
  <si>
    <t>Martinez</t>
  </si>
  <si>
    <t>Wilmington</t>
  </si>
  <si>
    <t>Tesoro Petroleum</t>
  </si>
  <si>
    <t>Golden Eagle</t>
  </si>
  <si>
    <t>Valero Energy Corp.</t>
  </si>
  <si>
    <t>Benicia</t>
  </si>
  <si>
    <t>Colorado</t>
  </si>
  <si>
    <t>Suncor Energy Products - U</t>
  </si>
  <si>
    <t>Commerce City</t>
  </si>
  <si>
    <t>Denver</t>
  </si>
  <si>
    <t>Delaware</t>
  </si>
  <si>
    <t>Premcor Inc.</t>
  </si>
  <si>
    <t>Delaware City</t>
  </si>
  <si>
    <t>Hawaii</t>
  </si>
  <si>
    <t>Kapolei</t>
  </si>
  <si>
    <t>Tesoro Hawaii Corp.</t>
  </si>
  <si>
    <t>Illinois</t>
  </si>
  <si>
    <t>Citgo Petroleum Corp.</t>
  </si>
  <si>
    <t>Lemont</t>
  </si>
  <si>
    <t>Wood River</t>
  </si>
  <si>
    <t>Joliet</t>
  </si>
  <si>
    <t>Marathon Ashland Petroleum LLC</t>
  </si>
  <si>
    <t>Robinson</t>
  </si>
  <si>
    <t>Indiana</t>
  </si>
  <si>
    <t>Whiting</t>
  </si>
  <si>
    <t>Countrymark Cooperative Inc.</t>
  </si>
  <si>
    <t>Mount Vernon</t>
  </si>
  <si>
    <t>Kansas</t>
  </si>
  <si>
    <t>Coffeyville Resources R&amp;M LLC</t>
  </si>
  <si>
    <t>Coffeyville</t>
  </si>
  <si>
    <t>Frontier Oil Corp.</t>
  </si>
  <si>
    <t>National Cooperative Refining Assoc.</t>
  </si>
  <si>
    <t>McPherson</t>
  </si>
  <si>
    <t>Kentucky</t>
  </si>
  <si>
    <t>Catlettsburg</t>
  </si>
  <si>
    <t>Somerset Refinery Inc.</t>
  </si>
  <si>
    <t>Somerset</t>
  </si>
  <si>
    <t>Louisiana</t>
  </si>
  <si>
    <t>Calcasieu Refining Co.</t>
  </si>
  <si>
    <t>Lake Charles</t>
  </si>
  <si>
    <t>Calumet Lubricants Co.</t>
  </si>
  <si>
    <t>Cotton Valley</t>
  </si>
  <si>
    <t>Princeton</t>
  </si>
  <si>
    <t>Shreveport</t>
  </si>
  <si>
    <t>Cit-Con Oil Corp.</t>
  </si>
  <si>
    <t>Belle Chasse</t>
  </si>
  <si>
    <t>Westlake</t>
  </si>
  <si>
    <t>Baton Rouge</t>
  </si>
  <si>
    <t>Chalmette</t>
  </si>
  <si>
    <t>Garyville</t>
  </si>
  <si>
    <t>Motiva Enterprises LLC</t>
  </si>
  <si>
    <t>Convent</t>
  </si>
  <si>
    <t>Norco</t>
  </si>
  <si>
    <t>Murphy Oil USA Inc.</t>
  </si>
  <si>
    <t>Meraux</t>
  </si>
  <si>
    <t>Placid Refining Co. LLC</t>
  </si>
  <si>
    <t>Port Allen</t>
  </si>
  <si>
    <t>St. Rose</t>
  </si>
  <si>
    <t>Krotz Springs</t>
  </si>
  <si>
    <t>Michigan</t>
  </si>
  <si>
    <t>Detroit</t>
  </si>
  <si>
    <t>Minnesota</t>
  </si>
  <si>
    <t>Rosemount</t>
  </si>
  <si>
    <t>St. Paul Park</t>
  </si>
  <si>
    <t>Mississippi</t>
  </si>
  <si>
    <t>Pascagoula</t>
  </si>
  <si>
    <t>Ergon Refining Inc.</t>
  </si>
  <si>
    <t>Vicksburg</t>
  </si>
  <si>
    <t>Montana</t>
  </si>
  <si>
    <t>Cenex Harvest States</t>
  </si>
  <si>
    <t>Laurel</t>
  </si>
  <si>
    <t>Billings</t>
  </si>
  <si>
    <t>Montana Refining Co.</t>
  </si>
  <si>
    <t>Great Falls</t>
  </si>
  <si>
    <t>New Jersey</t>
  </si>
  <si>
    <t>Linden</t>
  </si>
  <si>
    <t>Sunoco Inc.</t>
  </si>
  <si>
    <t>Westville</t>
  </si>
  <si>
    <t>Paulsboro</t>
  </si>
  <si>
    <t>New Mexico</t>
  </si>
  <si>
    <t>Giant Refining Co.</t>
  </si>
  <si>
    <t>Bloomfield</t>
  </si>
  <si>
    <t>Gallup</t>
  </si>
  <si>
    <t>Navajo Refining Co.</t>
  </si>
  <si>
    <t>Artesia</t>
  </si>
  <si>
    <t>North Dakota</t>
  </si>
  <si>
    <t>Tesoro West Coast Co.</t>
  </si>
  <si>
    <t>Mandan</t>
  </si>
  <si>
    <t>Ohio</t>
  </si>
  <si>
    <t>Toledo</t>
  </si>
  <si>
    <t>Canton</t>
  </si>
  <si>
    <t>Premcor Refining Group</t>
  </si>
  <si>
    <t>Lima</t>
  </si>
  <si>
    <t>Oklahoma</t>
  </si>
  <si>
    <t>Ponca City</t>
  </si>
  <si>
    <t>Gary-Williams Energy Corp.</t>
  </si>
  <si>
    <t>Wynnewood</t>
  </si>
  <si>
    <t>Sinclair Oil Corp.</t>
  </si>
  <si>
    <t>Tulsa</t>
  </si>
  <si>
    <t>Ardmore</t>
  </si>
  <si>
    <t>Pennsylvania</t>
  </si>
  <si>
    <t>American Refining Group</t>
  </si>
  <si>
    <t>Bradford</t>
  </si>
  <si>
    <t>Trainer</t>
  </si>
  <si>
    <t>Marcus Hook</t>
  </si>
  <si>
    <t>Philadelphia</t>
  </si>
  <si>
    <t>United Refining Co.</t>
  </si>
  <si>
    <t>Warren</t>
  </si>
  <si>
    <t>Tennessee</t>
  </si>
  <si>
    <t>Premcor Refining</t>
  </si>
  <si>
    <t>Memphis</t>
  </si>
  <si>
    <t>Texas</t>
  </si>
  <si>
    <t>AGE Refining &amp; Manufacturing</t>
  </si>
  <si>
    <t>San Antonio</t>
  </si>
  <si>
    <t>Alon USA</t>
  </si>
  <si>
    <t>Big Spring</t>
  </si>
  <si>
    <t>Texas City</t>
  </si>
  <si>
    <t>Corpus Christi</t>
  </si>
  <si>
    <t>Coastal Refining &amp; Marketing Inc.</t>
  </si>
  <si>
    <t>Borger</t>
  </si>
  <si>
    <t>Sweeny</t>
  </si>
  <si>
    <t>Crown Central Petroleum Corp.</t>
  </si>
  <si>
    <t>Pasadena</t>
  </si>
  <si>
    <t>Baytown</t>
  </si>
  <si>
    <t>Beaumont</t>
  </si>
  <si>
    <t xml:space="preserve">LaGloria Oil &amp; Gas Co. </t>
  </si>
  <si>
    <t>Tyler</t>
  </si>
  <si>
    <t>Lyondell-Citgo Refining LP</t>
  </si>
  <si>
    <t>Houston</t>
  </si>
  <si>
    <t>Port Arthur</t>
  </si>
  <si>
    <t>Shell Deer Park Refining Co.</t>
  </si>
  <si>
    <t>Deer Park</t>
  </si>
  <si>
    <t>Total SA</t>
  </si>
  <si>
    <t>Sunray</t>
  </si>
  <si>
    <t>Three Rivers</t>
  </si>
  <si>
    <t>Western Refining Inc.</t>
  </si>
  <si>
    <t>El Paso</t>
  </si>
  <si>
    <t>Utah</t>
  </si>
  <si>
    <t>Big West Oil LLC - B</t>
  </si>
  <si>
    <t>Salt Lake City</t>
  </si>
  <si>
    <t>Holly Corp.</t>
  </si>
  <si>
    <t>Woods Cross</t>
  </si>
  <si>
    <t>Silver Eagle Refining Inc.</t>
  </si>
  <si>
    <t>Virginia</t>
  </si>
  <si>
    <t>Giant Refining</t>
  </si>
  <si>
    <t>Yorktown</t>
  </si>
  <si>
    <t>Washington</t>
  </si>
  <si>
    <t>Ferndale</t>
  </si>
  <si>
    <t>Anacortes</t>
  </si>
  <si>
    <t>US Oil &amp; Refining Co.</t>
  </si>
  <si>
    <t>Tacoma</t>
  </si>
  <si>
    <t>West Virginia</t>
  </si>
  <si>
    <t>Ergon-West Virginia Inc.</t>
  </si>
  <si>
    <t>Newell</t>
  </si>
  <si>
    <t>Wisconsin</t>
  </si>
  <si>
    <t>Superior</t>
  </si>
  <si>
    <t>Wyoming</t>
  </si>
  <si>
    <t>Frontier Refining Inc.</t>
  </si>
  <si>
    <t>Cheyenne</t>
  </si>
  <si>
    <t>Sinclair / Little America</t>
  </si>
  <si>
    <t>Casper</t>
  </si>
  <si>
    <t>Sinclair</t>
  </si>
  <si>
    <t>Wyoming Refining Co.</t>
  </si>
  <si>
    <t>Newcastle</t>
  </si>
  <si>
    <t xml:space="preserve">Big West Oil LLC  </t>
  </si>
  <si>
    <t>Chevron Corp.</t>
  </si>
  <si>
    <t>Wynnewood Refining Co.</t>
  </si>
  <si>
    <t>Pasadena Refining System</t>
  </si>
  <si>
    <t>Paramount</t>
  </si>
  <si>
    <t>Suncor Energy</t>
  </si>
  <si>
    <t>Marathon Petroleum Co. LLC</t>
  </si>
  <si>
    <t>Chalmette Refining LLC</t>
  </si>
  <si>
    <t>Marathon Petroleum LLC</t>
  </si>
  <si>
    <t>CHS Inc.</t>
  </si>
  <si>
    <t>Delek Refining Ltd.</t>
  </si>
  <si>
    <t xml:space="preserve">Big West Oil LLC </t>
  </si>
  <si>
    <t>Gulf Atlantic Operations</t>
  </si>
  <si>
    <t>Tesoro Corp.</t>
  </si>
  <si>
    <t>WRB Refining LLC</t>
  </si>
  <si>
    <t>Husky Energy Corp.</t>
  </si>
  <si>
    <t>Commerce City/Denver</t>
  </si>
  <si>
    <t>Alon USA.</t>
  </si>
  <si>
    <t>LyondellBasell Industries</t>
  </si>
  <si>
    <t>PBF Energy Co. LLC</t>
  </si>
  <si>
    <t>Marathon Petroleum Co. LP</t>
  </si>
  <si>
    <t>Coffeyville Resources LLC</t>
  </si>
  <si>
    <t>Citgo Oil Corp.</t>
  </si>
  <si>
    <t>Marathon Petroleum LP</t>
  </si>
  <si>
    <t xml:space="preserve">Western Refining  </t>
  </si>
  <si>
    <t>HollyFrontier Corp.</t>
  </si>
  <si>
    <t>Northern Tier Energy LLC</t>
  </si>
  <si>
    <t>PBF Holding Co. LLC</t>
  </si>
  <si>
    <t>NuStar Energy LP</t>
  </si>
  <si>
    <t>Calumet Specialty Products</t>
  </si>
  <si>
    <t>ALABAMA</t>
  </si>
  <si>
    <t>ALASKA</t>
  </si>
  <si>
    <t>Phillips 66</t>
  </si>
  <si>
    <t xml:space="preserve">Flint Hills Resources </t>
  </si>
  <si>
    <t>ARKANSAS</t>
  </si>
  <si>
    <t>CALIFORNIA</t>
  </si>
  <si>
    <t>Rodeo and Santa Maria</t>
  </si>
  <si>
    <t>COLORADO</t>
  </si>
  <si>
    <t xml:space="preserve">Suncor Energy </t>
  </si>
  <si>
    <t>DELAWARE</t>
  </si>
  <si>
    <t>HAWAII</t>
  </si>
  <si>
    <t>ILLINOIS</t>
  </si>
  <si>
    <t>INDIANA</t>
  </si>
  <si>
    <t>KANSAS</t>
  </si>
  <si>
    <t>KENTUCKY</t>
  </si>
  <si>
    <t>Continental Refining Co.</t>
  </si>
  <si>
    <t>LOUISIANA</t>
  </si>
  <si>
    <t>MICHIGAN</t>
  </si>
  <si>
    <t>MINNESOTA</t>
  </si>
  <si>
    <t>MISSISSIPPI</t>
  </si>
  <si>
    <t>MONTANA</t>
  </si>
  <si>
    <t>NEW JERSEY</t>
  </si>
  <si>
    <t>NEW MEXICO</t>
  </si>
  <si>
    <t>NORTH DAKOTA</t>
  </si>
  <si>
    <t>OHIO</t>
  </si>
  <si>
    <t xml:space="preserve">BP PLC </t>
  </si>
  <si>
    <t>OKLAHOMA</t>
  </si>
  <si>
    <t>Holly Frontier Corp.</t>
  </si>
  <si>
    <t>PENNSYLVANIA</t>
  </si>
  <si>
    <t>Delta Air Lines</t>
  </si>
  <si>
    <t>TENNESSEE</t>
  </si>
  <si>
    <t>TEXAS</t>
  </si>
  <si>
    <t xml:space="preserve">Pasadena Refining System </t>
  </si>
  <si>
    <t>UTAH</t>
  </si>
  <si>
    <t>Big West Oil LLC</t>
  </si>
  <si>
    <t>WASHINGTON</t>
  </si>
  <si>
    <t>WEST VIRGINIA</t>
  </si>
  <si>
    <t>WISCONSIN</t>
  </si>
  <si>
    <t>WYOMING</t>
  </si>
  <si>
    <t>Par Petroleum</t>
  </si>
  <si>
    <t>Calumet Specialty Products Partner LP</t>
  </si>
  <si>
    <t>BP-Husky</t>
  </si>
  <si>
    <t>Calumet Specialty Products Partners LP</t>
  </si>
  <si>
    <t>Galveston Bay</t>
  </si>
  <si>
    <t>Delek US Holdings Inc.</t>
  </si>
  <si>
    <t>Los Angeles</t>
  </si>
  <si>
    <t>Dakota Prairie Refining</t>
  </si>
  <si>
    <t>Dickinson</t>
  </si>
  <si>
    <t>BP0Husky</t>
  </si>
  <si>
    <t>Philadelphia Energy Solutions</t>
  </si>
  <si>
    <t>TrailStone Group</t>
  </si>
  <si>
    <t>Ergon0West Virginia Inc.</t>
  </si>
  <si>
    <t xml:space="preserve">Hunt Refining Co. </t>
  </si>
  <si>
    <t>Shell Chemical LP</t>
  </si>
  <si>
    <t>BP Exploration Alaska Inc.</t>
  </si>
  <si>
    <t>ConocoPhillips Alaska Inc.</t>
  </si>
  <si>
    <t>Tesoro Alaska Petroleum Co.</t>
  </si>
  <si>
    <t>Cross Refining &amp; Marketing Co. Inc.</t>
  </si>
  <si>
    <t>Alon-Paramount Petroleum Corp.</t>
  </si>
  <si>
    <t>Long Beach, and Bakersfield</t>
  </si>
  <si>
    <t xml:space="preserve">Cheveron USA Inc. </t>
  </si>
  <si>
    <t xml:space="preserve">Phillips 66 Co. </t>
  </si>
  <si>
    <t>San Francisco (Rodeo and Santa Maria)</t>
  </si>
  <si>
    <t xml:space="preserve">ExxonMobil Refining &amp; Supply Co. </t>
  </si>
  <si>
    <t>Kern Oil &amp; Refining Co. Inc.</t>
  </si>
  <si>
    <t xml:space="preserve">San Joaquin Refining Co. Inc. </t>
  </si>
  <si>
    <t xml:space="preserve">Shell Oil Products US </t>
  </si>
  <si>
    <t xml:space="preserve">Tesoro Refining &amp; Marketing Co. </t>
  </si>
  <si>
    <t>Golden Eagle (Martinez)</t>
  </si>
  <si>
    <t>Valero Refining Co. - California</t>
  </si>
  <si>
    <t>Suncor Energy (USA) Inc.</t>
  </si>
  <si>
    <t>Delaware City Refining Co. LLC</t>
  </si>
  <si>
    <t>Honolulu</t>
  </si>
  <si>
    <t>Par Pacific Holdings Inc.</t>
  </si>
  <si>
    <t>Ewa Beach</t>
  </si>
  <si>
    <t>PDV Midwest Refining LLC</t>
  </si>
  <si>
    <t>Wood River (Roxana)</t>
  </si>
  <si>
    <t xml:space="preserve">BP Products North America Inc. </t>
  </si>
  <si>
    <t>Coffeyville Resources Refining &amp; Marketing LLC</t>
  </si>
  <si>
    <t xml:space="preserve">Frontier El Dorado Refining Co. </t>
  </si>
  <si>
    <t xml:space="preserve">CHS Inc. </t>
  </si>
  <si>
    <t>Catlettburg</t>
  </si>
  <si>
    <t>Continental Refining Co. LLC</t>
  </si>
  <si>
    <t xml:space="preserve">Alon Refining Krotz Springs Inc. </t>
  </si>
  <si>
    <t xml:space="preserve">Calcasieu Refining Co. </t>
  </si>
  <si>
    <t>Calumet Lubricants Co. LP</t>
  </si>
  <si>
    <t xml:space="preserve">Canal Refining Co. </t>
  </si>
  <si>
    <t>Church Point, Evangeline, Jennings</t>
  </si>
  <si>
    <t xml:space="preserve">Citgo Petroleum Corp. </t>
  </si>
  <si>
    <t xml:space="preserve">Motiva Enterprises LLC </t>
  </si>
  <si>
    <t xml:space="preserve">St. Rose </t>
  </si>
  <si>
    <t>Velero Refining New Orleans LLC</t>
  </si>
  <si>
    <t xml:space="preserve">Maraton Petroleum Co. LP </t>
  </si>
  <si>
    <t xml:space="preserve">Flint Hills Resources LP </t>
  </si>
  <si>
    <t xml:space="preserve">Rosemount </t>
  </si>
  <si>
    <t>St. Paul Park Refining Co. LLC</t>
  </si>
  <si>
    <t xml:space="preserve">Ergon Refining Inc. </t>
  </si>
  <si>
    <t xml:space="preserve">Calumet Montana Refining LLC </t>
  </si>
  <si>
    <t xml:space="preserve">Cenex Harvest States Coop </t>
  </si>
  <si>
    <t xml:space="preserve">Paulsboro Refining Co. LLC </t>
  </si>
  <si>
    <t>Western Refining Southwest Inc.</t>
  </si>
  <si>
    <t>Navajo Refining Co. LLC</t>
  </si>
  <si>
    <t>Dakota Prairie Refining LLC</t>
  </si>
  <si>
    <t>BP-Husky Refining LLC</t>
  </si>
  <si>
    <t>Lima Refining Co.</t>
  </si>
  <si>
    <t>Toldedo Refining Co. LLC</t>
  </si>
  <si>
    <t>Phillips 66 Co.</t>
  </si>
  <si>
    <t>Holly Refining &amp; Marketing Co.</t>
  </si>
  <si>
    <t>Valero Refining Co.-Oklahoma</t>
  </si>
  <si>
    <t>American Refining Group Inc.</t>
  </si>
  <si>
    <t>Monroe Energy LLC</t>
  </si>
  <si>
    <t>Premcor Refining Group Inc.</t>
  </si>
  <si>
    <t>Alon USA Energy Inc.</t>
  </si>
  <si>
    <t>Citgo Refining &amp; Chemical Inc.</t>
  </si>
  <si>
    <t>Flint Hills Resources LP</t>
  </si>
  <si>
    <t>Houston Refining LP</t>
  </si>
  <si>
    <t>Pasadena Refining System Inc.</t>
  </si>
  <si>
    <t>Deer Park Refining LP</t>
  </si>
  <si>
    <t>Total Petrochemicals &amp; Refining USA Inc.</t>
  </si>
  <si>
    <t>Valero Refining Co. Texas LP</t>
  </si>
  <si>
    <t>Western Refining Co. LP</t>
  </si>
  <si>
    <t>WRB Refining LP</t>
  </si>
  <si>
    <t>North Salt Lake</t>
  </si>
  <si>
    <t>Chevron USA Inc.</t>
  </si>
  <si>
    <t>Silver Eagle Refining Woods Cross Inc.</t>
  </si>
  <si>
    <t>Tesoro Refining &amp; Marketing Co.</t>
  </si>
  <si>
    <t>BP West Coast Products LLC</t>
  </si>
  <si>
    <t>Cherry Point (Ferndale)</t>
  </si>
  <si>
    <t>Sinclair Casper Refining Co.</t>
  </si>
  <si>
    <t>Evansville</t>
  </si>
  <si>
    <t>Sinclair Wyoming Refining Co.</t>
  </si>
  <si>
    <t>Hunt Consolidated Inc.</t>
  </si>
  <si>
    <t>Royal Dutch Shell PLC</t>
  </si>
  <si>
    <t>Arctic Slope Regional Corp.</t>
  </si>
  <si>
    <t>ConocoPhillips Co.</t>
  </si>
  <si>
    <t>Delek Group Ltd.</t>
  </si>
  <si>
    <t>Martin Resource Management Corp.</t>
  </si>
  <si>
    <t>Alon Israel Oil Co. Ltd.</t>
  </si>
  <si>
    <t>Suncor Energy Inc.</t>
  </si>
  <si>
    <t>One Rock Capital Partners LP</t>
  </si>
  <si>
    <t>Par Petroleum Inc.</t>
  </si>
  <si>
    <t>ExxonMobil Corp.</t>
  </si>
  <si>
    <t>Marathon Petroleum Corp.</t>
  </si>
  <si>
    <t xml:space="preserve">PDV America Inc. (Petroleos de Venezuela SA) </t>
  </si>
  <si>
    <t>CVR Refining LP (CVR Energy Inc.)</t>
  </si>
  <si>
    <t>Canal Companies</t>
  </si>
  <si>
    <t>Placid Oil Co.</t>
  </si>
  <si>
    <t>Transworld Oil USA Inc.</t>
  </si>
  <si>
    <t>Koch Industries Inc.</t>
  </si>
  <si>
    <t>Ergon Inc.</t>
  </si>
  <si>
    <t>Sandersville</t>
  </si>
  <si>
    <t>Husky Energy Inc.</t>
  </si>
  <si>
    <t>Delta Air Lines Inc.</t>
  </si>
  <si>
    <t>Red Apple Group Inc.</t>
  </si>
  <si>
    <t>The Carlyle Group LP</t>
  </si>
  <si>
    <t>LyondellBasell Industries NV (Access Industries Inc.)</t>
  </si>
  <si>
    <t>Petrobras America Inc. (Petroleo Brasileiro SA)</t>
  </si>
  <si>
    <t>FJ Management Inc.</t>
  </si>
  <si>
    <t>Trailstone LP</t>
  </si>
  <si>
    <t>Andeavor</t>
  </si>
  <si>
    <t xml:space="preserve">Delek US Holdings Inc. </t>
  </si>
  <si>
    <t>Andevor</t>
  </si>
  <si>
    <t>Long Beach and Bakersfield</t>
  </si>
  <si>
    <t>Los Angeles (Carson-Wilmington)</t>
  </si>
  <si>
    <t>San Francisco (Rodeo-Arroyo Grande)</t>
  </si>
  <si>
    <t>PDV America Inc. (Petroleos de Venezuela SA)</t>
  </si>
  <si>
    <t>Countrymark Cooperative Holding Corp.</t>
  </si>
  <si>
    <t>Church Point, Evangeline, and Jennings</t>
  </si>
  <si>
    <t>Maraton Petroleum Co. LP</t>
  </si>
  <si>
    <t>St. Paul</t>
  </si>
  <si>
    <t>Nelson Complexity Factor</t>
  </si>
  <si>
    <t>Standarized Nelson Complexity Factor</t>
  </si>
  <si>
    <t>Config</t>
  </si>
  <si>
    <t>Avg Standarized Complexity Index</t>
  </si>
  <si>
    <t>Avg Complexity Index</t>
  </si>
  <si>
    <t>YEAR</t>
  </si>
  <si>
    <t>CONFIG</t>
  </si>
  <si>
    <t>Delta Crude to 2019</t>
  </si>
  <si>
    <t>% of Delta Crude</t>
  </si>
  <si>
    <t>Crude (MBBL/D)</t>
  </si>
  <si>
    <t>G/D Ratio</t>
  </si>
  <si>
    <t>Sulfur</t>
  </si>
  <si>
    <t>API</t>
  </si>
  <si>
    <t>Volume Weighted CI</t>
  </si>
  <si>
    <t>Gasoline</t>
  </si>
  <si>
    <t>Jet Fuel</t>
  </si>
  <si>
    <t>Diesel</t>
  </si>
  <si>
    <t>Fuel Oil</t>
  </si>
  <si>
    <t>Liquid 
Heavy Ends</t>
  </si>
  <si>
    <t>Coke</t>
  </si>
  <si>
    <t>U.S</t>
  </si>
  <si>
    <t>Region</t>
  </si>
  <si>
    <t>Intercept_Coeff</t>
  </si>
  <si>
    <t>API_Coeff</t>
  </si>
  <si>
    <t>Sulfur_Coeff</t>
  </si>
  <si>
    <t>Gasoline_Coeff</t>
  </si>
  <si>
    <t>Diesel_Coeff</t>
  </si>
  <si>
    <t>P Value</t>
  </si>
  <si>
    <t>R Sq</t>
  </si>
  <si>
    <t>Intercept_P Value</t>
  </si>
  <si>
    <t>API_P Value</t>
  </si>
  <si>
    <t>Sulfur_P Value</t>
  </si>
  <si>
    <t>Gasoline_P Value</t>
  </si>
  <si>
    <t>Diesel_P Value</t>
  </si>
  <si>
    <t>MultiReg Projected CI</t>
  </si>
  <si>
    <t>Index</t>
  </si>
  <si>
    <t>Electrification Scenarios</t>
  </si>
  <si>
    <t>API Level</t>
  </si>
  <si>
    <t>Sul Level</t>
  </si>
  <si>
    <t>LOW</t>
  </si>
  <si>
    <t>HEAVY</t>
  </si>
  <si>
    <t>SWEET</t>
  </si>
  <si>
    <t>SOUR</t>
  </si>
  <si>
    <t>LIGHT</t>
  </si>
  <si>
    <t>MEDIUM</t>
  </si>
  <si>
    <t>HIGH</t>
  </si>
  <si>
    <t>REFERENCE</t>
  </si>
  <si>
    <t>Blended Gasoline</t>
  </si>
  <si>
    <t>Jet-A/AVTUR</t>
  </si>
  <si>
    <t>ULSD</t>
  </si>
  <si>
    <t>Liquid Heavy Ends</t>
  </si>
  <si>
    <t>Surplus NCR H2</t>
  </si>
  <si>
    <t>Refinery Fuel Gas (RFG)</t>
  </si>
  <si>
    <t>Sulphur</t>
  </si>
  <si>
    <t>Liquified Petroleum Gas (LPG)</t>
  </si>
  <si>
    <t>Petrochemical Feedstocks</t>
  </si>
  <si>
    <t>Asphalt</t>
  </si>
  <si>
    <t>Atres</t>
  </si>
  <si>
    <t>BTX</t>
  </si>
  <si>
    <t>Naphtha</t>
  </si>
  <si>
    <t>VGO</t>
  </si>
  <si>
    <t>Gasoline %</t>
  </si>
  <si>
    <t>Diesel %</t>
  </si>
  <si>
    <t>ref0</t>
  </si>
  <si>
    <t>ref1</t>
  </si>
  <si>
    <t>ref2</t>
  </si>
  <si>
    <t>ref3</t>
  </si>
  <si>
    <t>ref4</t>
  </si>
  <si>
    <t>ref5</t>
  </si>
  <si>
    <t>ref6</t>
  </si>
  <si>
    <t>Upper0</t>
  </si>
  <si>
    <t>Upper1</t>
  </si>
  <si>
    <t>Upper2</t>
  </si>
  <si>
    <t>Upper3</t>
  </si>
  <si>
    <t>Upper4</t>
  </si>
  <si>
    <t>Upper5</t>
  </si>
  <si>
    <t>Upper6</t>
  </si>
  <si>
    <t>Lower0</t>
  </si>
  <si>
    <t>Lower1</t>
  </si>
  <si>
    <t>Lower2</t>
  </si>
  <si>
    <t>Lower3</t>
  </si>
  <si>
    <t>Lower4</t>
  </si>
  <si>
    <t>Lower5</t>
  </si>
  <si>
    <t>Lower6</t>
  </si>
  <si>
    <t>Total Refinery Production</t>
  </si>
  <si>
    <t>Projected Total Refinery Capacity</t>
  </si>
  <si>
    <t>value</t>
  </si>
  <si>
    <t>period</t>
  </si>
  <si>
    <t>area-name</t>
  </si>
  <si>
    <t>product-name</t>
  </si>
  <si>
    <t>process-name</t>
  </si>
  <si>
    <t>units</t>
  </si>
  <si>
    <t>MBBL/D</t>
  </si>
  <si>
    <t>Crude Oil and Petroleum Products</t>
  </si>
  <si>
    <t>Crude Oil</t>
  </si>
  <si>
    <t>PRODUCTION</t>
  </si>
  <si>
    <t>INPUT</t>
  </si>
  <si>
    <t>UNIT</t>
  </si>
  <si>
    <t>INPUT_1</t>
  </si>
  <si>
    <t>PRODUCTION_1</t>
  </si>
  <si>
    <t>INPUT_2</t>
  </si>
  <si>
    <t>PRODUCTION_2</t>
  </si>
  <si>
    <t>INPUT_3</t>
  </si>
  <si>
    <t>PRODUCTION_3</t>
  </si>
  <si>
    <t>INPUT_4</t>
  </si>
  <si>
    <t>PRODUCTION_4</t>
  </si>
  <si>
    <t>INPUT_5</t>
  </si>
  <si>
    <t>PRODUCTION_5</t>
  </si>
  <si>
    <t>Coefficient</t>
  </si>
  <si>
    <t>Intercept</t>
  </si>
  <si>
    <t>BASELINE</t>
  </si>
  <si>
    <t>REF</t>
  </si>
  <si>
    <t>config</t>
  </si>
  <si>
    <t>15-year max</t>
  </si>
  <si>
    <t>15-year min</t>
  </si>
  <si>
    <t>30-year max</t>
  </si>
  <si>
    <t>30-year min</t>
  </si>
  <si>
    <t>Refinery and Blender Net Input</t>
  </si>
  <si>
    <t>Refinery and Blender Net Production</t>
  </si>
  <si>
    <t>Target_1</t>
  </si>
  <si>
    <t>Target_2</t>
  </si>
  <si>
    <t>Projected CI</t>
  </si>
  <si>
    <t>Est.CI</t>
  </si>
  <si>
    <t>Target_3</t>
  </si>
  <si>
    <t>Refinery Configuration</t>
  </si>
  <si>
    <t xml:space="preserve">Total refinery processes </t>
  </si>
  <si>
    <t>Total refinery processes_GHG</t>
  </si>
  <si>
    <t>Scenario</t>
  </si>
  <si>
    <t>Sulphur Content</t>
  </si>
  <si>
    <t>Sulfur Level</t>
  </si>
  <si>
    <t>Configuration</t>
  </si>
  <si>
    <t>Hydroskimming Configuration (0)</t>
  </si>
  <si>
    <t>Medium Conversion:  FCC (1)</t>
  </si>
  <si>
    <t>Medium Conversion: GO-HC (2)</t>
  </si>
  <si>
    <t>Medium Conversion: FCC &amp; GO-HC (3)</t>
  </si>
  <si>
    <t>Deep Conversion: FCC (4)</t>
  </si>
  <si>
    <t>Deep Conversion: GO-HC (5)</t>
  </si>
  <si>
    <t>Deep Conversion: FCC &amp; GO-HC (6)</t>
  </si>
  <si>
    <t>Cal. Total Capacity</t>
  </si>
  <si>
    <t>Row Labels</t>
  </si>
  <si>
    <t>Grand Total</t>
  </si>
  <si>
    <t>(Multiple Items)</t>
  </si>
  <si>
    <t>Sum of 0</t>
  </si>
  <si>
    <t>Sum of 1</t>
  </si>
  <si>
    <t>Sum of 2</t>
  </si>
  <si>
    <t>Sum of 3</t>
  </si>
  <si>
    <t>Sum of 4</t>
  </si>
  <si>
    <t>Sum of 5</t>
  </si>
  <si>
    <t>Sum of 6</t>
  </si>
  <si>
    <t>Jet %</t>
  </si>
  <si>
    <t>1.08649101180978e-07</t>
  </si>
  <si>
    <t>1.03022736294936e-06</t>
  </si>
  <si>
    <t>3.26365157292202e-06</t>
  </si>
  <si>
    <t>1.45683464100879e-05</t>
  </si>
  <si>
    <t>3.7973829909636e-05</t>
  </si>
  <si>
    <t>Jet.Fuel</t>
  </si>
  <si>
    <t>Intercept_p</t>
  </si>
  <si>
    <t>API_p</t>
  </si>
  <si>
    <t>Gasoline_p</t>
  </si>
  <si>
    <t>Diesel_p</t>
  </si>
  <si>
    <t>Jet.Fuel_p</t>
  </si>
  <si>
    <t>P_Value</t>
  </si>
  <si>
    <t>R-Sq</t>
  </si>
  <si>
    <t>CombineCrudeQuality</t>
  </si>
  <si>
    <t>HEAVY/SOUR</t>
  </si>
  <si>
    <t>LIGHT/SWEET</t>
  </si>
  <si>
    <t>0</t>
  </si>
  <si>
    <t>1</t>
  </si>
  <si>
    <t>2</t>
  </si>
  <si>
    <t>3</t>
  </si>
  <si>
    <t>4</t>
  </si>
  <si>
    <t>5</t>
  </si>
  <si>
    <t>6</t>
  </si>
  <si>
    <t>Attribute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</si>
</sst>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0"/>
      <name val="MS Sans Serif"/>
    </font>
    <font>
      <sz val="11"/>
      <color rgb="FF000000"/>
      <name val="Calibri"/>
      <family val="2"/>
    </font>
    <font>
      <sz val="10"/>
      <name val="Arial"/>
      <family val="2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9">
    <xf numFmtId="0" fontId="0" fillId="0" borderId="0" xfId="0"/>
    <xf numFmtId="10" fontId="0" fillId="0" borderId="0" xfId="0" applyNumberFormat="1"/>
    <xf numFmtId="0" fontId="0" fillId="0" borderId="0" xfId="0" quotePrefix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2" borderId="0" xfId="0" applyFill="1"/>
    <xf numFmtId="0" fontId="3" fillId="0" borderId="0" xfId="1" applyFont="1"/>
    <xf numFmtId="0" fontId="4" fillId="0" borderId="0" xfId="0" applyFont="1"/>
  </cellXfs>
  <cellStyles count="2">
    <cellStyle name="Normal" xfId="0" builtinId="0"/>
    <cellStyle name="Normal 2" xfId="1" xr:uid="{F56D700F-BFB6-41CB-B5AA-EE63DB5B8A9C}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7.8805774278215219E-4"/>
                  <c:y val="-0.1451206620005832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'MultiRegModel Validation'!$T$2:$T$76</c:f>
              <c:numCache>
                <c:formatCode>General</c:formatCode>
                <c:ptCount val="75"/>
                <c:pt idx="0">
                  <c:v>8.2809272811786041</c:v>
                </c:pt>
                <c:pt idx="1">
                  <c:v>8.3081015962586537</c:v>
                </c:pt>
                <c:pt idx="2">
                  <c:v>8.3081015962586537</c:v>
                </c:pt>
                <c:pt idx="3">
                  <c:v>8.3081015962586537</c:v>
                </c:pt>
                <c:pt idx="4">
                  <c:v>8.3081015962586537</c:v>
                </c:pt>
                <c:pt idx="5">
                  <c:v>8.1551627919247576</c:v>
                </c:pt>
                <c:pt idx="6">
                  <c:v>8.1581493158116771</c:v>
                </c:pt>
                <c:pt idx="7">
                  <c:v>8.1604561022904569</c:v>
                </c:pt>
                <c:pt idx="8">
                  <c:v>8.1604561022904569</c:v>
                </c:pt>
                <c:pt idx="9">
                  <c:v>8.1487496012073031</c:v>
                </c:pt>
                <c:pt idx="10">
                  <c:v>8.2589054579555139</c:v>
                </c:pt>
                <c:pt idx="11">
                  <c:v>8.4401269924075528</c:v>
                </c:pt>
                <c:pt idx="12">
                  <c:v>8.4593425137625129</c:v>
                </c:pt>
                <c:pt idx="13">
                  <c:v>8.4425412885800135</c:v>
                </c:pt>
                <c:pt idx="14">
                  <c:v>8.4425412885800135</c:v>
                </c:pt>
                <c:pt idx="15">
                  <c:v>9.5270354362927918</c:v>
                </c:pt>
                <c:pt idx="16">
                  <c:v>9.5418875849903237</c:v>
                </c:pt>
                <c:pt idx="17">
                  <c:v>9.5994688627262121</c:v>
                </c:pt>
                <c:pt idx="18">
                  <c:v>9.664014086783137</c:v>
                </c:pt>
                <c:pt idx="19">
                  <c:v>9.7008964990708098</c:v>
                </c:pt>
                <c:pt idx="20">
                  <c:v>9.69803281196066</c:v>
                </c:pt>
                <c:pt idx="21">
                  <c:v>9.6959735388566042</c:v>
                </c:pt>
                <c:pt idx="22">
                  <c:v>9.5116120773328898</c:v>
                </c:pt>
                <c:pt idx="23">
                  <c:v>9.4706399675842317</c:v>
                </c:pt>
                <c:pt idx="24">
                  <c:v>9.561583641316826</c:v>
                </c:pt>
                <c:pt idx="25">
                  <c:v>9.4982853160840168</c:v>
                </c:pt>
                <c:pt idx="26">
                  <c:v>9.9503530957674435</c:v>
                </c:pt>
                <c:pt idx="27">
                  <c:v>9.8423961122591024</c:v>
                </c:pt>
                <c:pt idx="28">
                  <c:v>9.8435693666462782</c:v>
                </c:pt>
                <c:pt idx="29">
                  <c:v>9.8493657583241934</c:v>
                </c:pt>
                <c:pt idx="30">
                  <c:v>10.080220251346896</c:v>
                </c:pt>
                <c:pt idx="31">
                  <c:v>10.014270514569308</c:v>
                </c:pt>
                <c:pt idx="32">
                  <c:v>9.9923715534326423</c:v>
                </c:pt>
                <c:pt idx="33">
                  <c:v>10.073916936789434</c:v>
                </c:pt>
                <c:pt idx="34">
                  <c:v>10.069187524671534</c:v>
                </c:pt>
                <c:pt idx="35">
                  <c:v>10.022767579265054</c:v>
                </c:pt>
                <c:pt idx="36">
                  <c:v>10.170642960423832</c:v>
                </c:pt>
                <c:pt idx="37">
                  <c:v>10.175691141215125</c:v>
                </c:pt>
                <c:pt idx="38">
                  <c:v>10.227279957670733</c:v>
                </c:pt>
                <c:pt idx="39">
                  <c:v>10.224612255996092</c:v>
                </c:pt>
                <c:pt idx="40">
                  <c:v>10.236855034649144</c:v>
                </c:pt>
                <c:pt idx="41">
                  <c:v>10.167105239015683</c:v>
                </c:pt>
                <c:pt idx="42">
                  <c:v>10.050949683319351</c:v>
                </c:pt>
                <c:pt idx="43">
                  <c:v>10.089910305082503</c:v>
                </c:pt>
                <c:pt idx="44">
                  <c:v>10.058958106663125</c:v>
                </c:pt>
                <c:pt idx="45">
                  <c:v>8.2493359794629306</c:v>
                </c:pt>
                <c:pt idx="46">
                  <c:v>8.2772706826106646</c:v>
                </c:pt>
                <c:pt idx="47">
                  <c:v>8.1885490723372101</c:v>
                </c:pt>
                <c:pt idx="48">
                  <c:v>8.3003123279629065</c:v>
                </c:pt>
                <c:pt idx="49">
                  <c:v>8.4980144924084744</c:v>
                </c:pt>
                <c:pt idx="50">
                  <c:v>8.5062197217342064</c:v>
                </c:pt>
                <c:pt idx="51">
                  <c:v>8.5558130105621597</c:v>
                </c:pt>
                <c:pt idx="52">
                  <c:v>8.5452320381967155</c:v>
                </c:pt>
                <c:pt idx="53">
                  <c:v>8.5452320381967155</c:v>
                </c:pt>
                <c:pt idx="54">
                  <c:v>8.5453981455421317</c:v>
                </c:pt>
                <c:pt idx="55">
                  <c:v>8.5273239338352944</c:v>
                </c:pt>
                <c:pt idx="56">
                  <c:v>9.1047251106331579</c:v>
                </c:pt>
                <c:pt idx="57">
                  <c:v>9.1146626664863639</c:v>
                </c:pt>
                <c:pt idx="58">
                  <c:v>9.1146626664863639</c:v>
                </c:pt>
                <c:pt idx="59">
                  <c:v>9.1115751621795678</c:v>
                </c:pt>
                <c:pt idx="60">
                  <c:v>9.0901171918221984</c:v>
                </c:pt>
                <c:pt idx="61">
                  <c:v>9.0819800573814682</c:v>
                </c:pt>
                <c:pt idx="62">
                  <c:v>9.0785205270498217</c:v>
                </c:pt>
                <c:pt idx="63">
                  <c:v>9.0893719767410968</c:v>
                </c:pt>
                <c:pt idx="64">
                  <c:v>9.0823407353266443</c:v>
                </c:pt>
                <c:pt idx="65">
                  <c:v>9.0050304497202749</c:v>
                </c:pt>
                <c:pt idx="66">
                  <c:v>9.0389864399817608</c:v>
                </c:pt>
                <c:pt idx="67">
                  <c:v>9.0164090834647759</c:v>
                </c:pt>
                <c:pt idx="68">
                  <c:v>9.0158648987406966</c:v>
                </c:pt>
                <c:pt idx="69">
                  <c:v>9.2771938423301652</c:v>
                </c:pt>
                <c:pt idx="70">
                  <c:v>9.4770506958280212</c:v>
                </c:pt>
                <c:pt idx="71">
                  <c:v>9.4757713702545789</c:v>
                </c:pt>
                <c:pt idx="72">
                  <c:v>9.4858511800304637</c:v>
                </c:pt>
                <c:pt idx="73">
                  <c:v>9.470487572473802</c:v>
                </c:pt>
                <c:pt idx="74">
                  <c:v>9.5150135572737913</c:v>
                </c:pt>
              </c:numCache>
            </c:numRef>
          </c:xVal>
          <c:yVal>
            <c:numRef>
              <c:f>'MultiRegModel Validation'!$U$2:$U$76</c:f>
              <c:numCache>
                <c:formatCode>General</c:formatCode>
                <c:ptCount val="75"/>
                <c:pt idx="0">
                  <c:v>14.149055266240557</c:v>
                </c:pt>
                <c:pt idx="1">
                  <c:v>14.159651749745782</c:v>
                </c:pt>
                <c:pt idx="2">
                  <c:v>14.186182266359094</c:v>
                </c:pt>
                <c:pt idx="3">
                  <c:v>13.981779864292928</c:v>
                </c:pt>
                <c:pt idx="4">
                  <c:v>13.716561318352387</c:v>
                </c:pt>
                <c:pt idx="5">
                  <c:v>13.113798919449252</c:v>
                </c:pt>
                <c:pt idx="6">
                  <c:v>13.455851497060092</c:v>
                </c:pt>
                <c:pt idx="7">
                  <c:v>14.291221810521636</c:v>
                </c:pt>
                <c:pt idx="8">
                  <c:v>13.524977186323275</c:v>
                </c:pt>
                <c:pt idx="9">
                  <c:v>14.09481922575702</c:v>
                </c:pt>
                <c:pt idx="10">
                  <c:v>13.923752349439644</c:v>
                </c:pt>
                <c:pt idx="11">
                  <c:v>14.383524509405557</c:v>
                </c:pt>
                <c:pt idx="12">
                  <c:v>14.168568606019409</c:v>
                </c:pt>
                <c:pt idx="13">
                  <c:v>14.305690846624374</c:v>
                </c:pt>
                <c:pt idx="14">
                  <c:v>13.773639148066945</c:v>
                </c:pt>
                <c:pt idx="15">
                  <c:v>16.625578007037028</c:v>
                </c:pt>
                <c:pt idx="16">
                  <c:v>16.475077662677418</c:v>
                </c:pt>
                <c:pt idx="17">
                  <c:v>16.654653779508347</c:v>
                </c:pt>
                <c:pt idx="18">
                  <c:v>16.636302447043214</c:v>
                </c:pt>
                <c:pt idx="19">
                  <c:v>16.308871777074494</c:v>
                </c:pt>
                <c:pt idx="20">
                  <c:v>16.107935517478225</c:v>
                </c:pt>
                <c:pt idx="21">
                  <c:v>16.453356889437149</c:v>
                </c:pt>
                <c:pt idx="22">
                  <c:v>16.611363292076689</c:v>
                </c:pt>
                <c:pt idx="23">
                  <c:v>16.953532613167621</c:v>
                </c:pt>
                <c:pt idx="24">
                  <c:v>17.089804385347772</c:v>
                </c:pt>
                <c:pt idx="25">
                  <c:v>16.970076337344359</c:v>
                </c:pt>
                <c:pt idx="26">
                  <c:v>17.396693806775275</c:v>
                </c:pt>
                <c:pt idx="27">
                  <c:v>17.066482124874156</c:v>
                </c:pt>
                <c:pt idx="28">
                  <c:v>16.94537591211683</c:v>
                </c:pt>
                <c:pt idx="29">
                  <c:v>16.456639855529438</c:v>
                </c:pt>
                <c:pt idx="30">
                  <c:v>14.32077270588846</c:v>
                </c:pt>
                <c:pt idx="31">
                  <c:v>14.27766635226641</c:v>
                </c:pt>
                <c:pt idx="32">
                  <c:v>14.309465436919417</c:v>
                </c:pt>
                <c:pt idx="33">
                  <c:v>14.33689885456217</c:v>
                </c:pt>
                <c:pt idx="34">
                  <c:v>14.199714656748112</c:v>
                </c:pt>
                <c:pt idx="35">
                  <c:v>14.078390330166947</c:v>
                </c:pt>
                <c:pt idx="36">
                  <c:v>13.898871825450758</c:v>
                </c:pt>
                <c:pt idx="37">
                  <c:v>13.836729527184575</c:v>
                </c:pt>
                <c:pt idx="38">
                  <c:v>13.930803767937126</c:v>
                </c:pt>
                <c:pt idx="39">
                  <c:v>13.795009896840076</c:v>
                </c:pt>
                <c:pt idx="40">
                  <c:v>13.611206755405268</c:v>
                </c:pt>
                <c:pt idx="41">
                  <c:v>13.686260947371988</c:v>
                </c:pt>
                <c:pt idx="42">
                  <c:v>13.483814417341948</c:v>
                </c:pt>
                <c:pt idx="43">
                  <c:v>13.377842401970931</c:v>
                </c:pt>
                <c:pt idx="44">
                  <c:v>12.832136332417011</c:v>
                </c:pt>
                <c:pt idx="45">
                  <c:v>28.477249877767317</c:v>
                </c:pt>
                <c:pt idx="46">
                  <c:v>28.681057344353427</c:v>
                </c:pt>
                <c:pt idx="47">
                  <c:v>29.247511305362409</c:v>
                </c:pt>
                <c:pt idx="48">
                  <c:v>29.015593941344118</c:v>
                </c:pt>
                <c:pt idx="49">
                  <c:v>29.93787263276721</c:v>
                </c:pt>
                <c:pt idx="50">
                  <c:v>28.99373472577587</c:v>
                </c:pt>
                <c:pt idx="51">
                  <c:v>29.515017878776408</c:v>
                </c:pt>
                <c:pt idx="52">
                  <c:v>29.706262558254199</c:v>
                </c:pt>
                <c:pt idx="53">
                  <c:v>30.357195179120009</c:v>
                </c:pt>
                <c:pt idx="54">
                  <c:v>29.143672138898069</c:v>
                </c:pt>
                <c:pt idx="55">
                  <c:v>29.620785615872062</c:v>
                </c:pt>
                <c:pt idx="56">
                  <c:v>29.625544853198527</c:v>
                </c:pt>
                <c:pt idx="57">
                  <c:v>30.009923500655734</c:v>
                </c:pt>
                <c:pt idx="58">
                  <c:v>30.947565094942131</c:v>
                </c:pt>
                <c:pt idx="59">
                  <c:v>30.188691992591579</c:v>
                </c:pt>
                <c:pt idx="60">
                  <c:v>6.2193516377718376</c:v>
                </c:pt>
                <c:pt idx="61">
                  <c:v>6.2922535643538771</c:v>
                </c:pt>
                <c:pt idx="62">
                  <c:v>6.4749339272139572</c:v>
                </c:pt>
                <c:pt idx="63">
                  <c:v>6.3290048320866177</c:v>
                </c:pt>
                <c:pt idx="64">
                  <c:v>6.1020186233909035</c:v>
                </c:pt>
                <c:pt idx="65">
                  <c:v>6.0360437086471403</c:v>
                </c:pt>
                <c:pt idx="66">
                  <c:v>6.2086617820105685</c:v>
                </c:pt>
                <c:pt idx="67">
                  <c:v>6.1027355600686626</c:v>
                </c:pt>
                <c:pt idx="68">
                  <c:v>6.3192754452613418</c:v>
                </c:pt>
                <c:pt idx="69">
                  <c:v>6.4500926505385907</c:v>
                </c:pt>
                <c:pt idx="70">
                  <c:v>6.6983611941608974</c:v>
                </c:pt>
                <c:pt idx="71">
                  <c:v>6.2786182200236231</c:v>
                </c:pt>
                <c:pt idx="72">
                  <c:v>6.2606404935255568</c:v>
                </c:pt>
                <c:pt idx="73">
                  <c:v>6.2195638196316629</c:v>
                </c:pt>
                <c:pt idx="74">
                  <c:v>6.4680401963952843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D1E-40D3-8032-732ADBA832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8792367"/>
        <c:axId val="988789455"/>
      </c:scatterChart>
      <c:valAx>
        <c:axId val="988792367"/>
        <c:scaling>
          <c:orientation val="minMax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789455"/>
        <c:crosses val="autoZero"/>
        <c:crossBetween val="midCat"/>
      </c:valAx>
      <c:valAx>
        <c:axId val="988789455"/>
        <c:scaling>
          <c:orientation val="minMax"/>
          <c:min val="7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7923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'LinearReg Model'!$H$21:$H$35</c:f>
              <c:numCache>
                <c:formatCode>General</c:formatCode>
                <c:ptCount val="15"/>
                <c:pt idx="0">
                  <c:v>2260</c:v>
                </c:pt>
                <c:pt idx="1">
                  <c:v>2502</c:v>
                </c:pt>
                <c:pt idx="2">
                  <c:v>2592</c:v>
                </c:pt>
                <c:pt idx="3">
                  <c:v>2953</c:v>
                </c:pt>
                <c:pt idx="4">
                  <c:v>3193</c:v>
                </c:pt>
                <c:pt idx="5">
                  <c:v>3435</c:v>
                </c:pt>
                <c:pt idx="6">
                  <c:v>3610</c:v>
                </c:pt>
                <c:pt idx="7">
                  <c:v>3498</c:v>
                </c:pt>
                <c:pt idx="8">
                  <c:v>3589</c:v>
                </c:pt>
                <c:pt idx="9">
                  <c:v>3659</c:v>
                </c:pt>
                <c:pt idx="10">
                  <c:v>3799</c:v>
                </c:pt>
                <c:pt idx="11">
                  <c:v>3894</c:v>
                </c:pt>
                <c:pt idx="12">
                  <c:v>3871</c:v>
                </c:pt>
                <c:pt idx="13">
                  <c:v>3869</c:v>
                </c:pt>
                <c:pt idx="14">
                  <c:v>3838</c:v>
                </c:pt>
              </c:numCache>
            </c:numRef>
          </c:xVal>
          <c:yVal>
            <c:numRef>
              <c:f>'LinearReg Model'!$M$21:$M$35</c:f>
              <c:numCache>
                <c:formatCode>General</c:formatCode>
                <c:ptCount val="15"/>
                <c:pt idx="0">
                  <c:v>1627</c:v>
                </c:pt>
                <c:pt idx="1">
                  <c:v>1512</c:v>
                </c:pt>
                <c:pt idx="2">
                  <c:v>1513</c:v>
                </c:pt>
                <c:pt idx="3">
                  <c:v>1421</c:v>
                </c:pt>
                <c:pt idx="4">
                  <c:v>1259</c:v>
                </c:pt>
                <c:pt idx="5">
                  <c:v>1118</c:v>
                </c:pt>
                <c:pt idx="6">
                  <c:v>1097</c:v>
                </c:pt>
                <c:pt idx="7">
                  <c:v>919</c:v>
                </c:pt>
                <c:pt idx="8">
                  <c:v>1038</c:v>
                </c:pt>
                <c:pt idx="9">
                  <c:v>1087</c:v>
                </c:pt>
                <c:pt idx="10">
                  <c:v>1122</c:v>
                </c:pt>
                <c:pt idx="11">
                  <c:v>1108</c:v>
                </c:pt>
                <c:pt idx="12">
                  <c:v>1071</c:v>
                </c:pt>
                <c:pt idx="13">
                  <c:v>1045</c:v>
                </c:pt>
                <c:pt idx="14">
                  <c:v>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34-4ECD-A90A-0094865D4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0877664"/>
        <c:axId val="850863520"/>
      </c:scatterChart>
      <c:valAx>
        <c:axId val="850877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0863520"/>
        <c:crosses val="autoZero"/>
        <c:crossBetween val="midCat"/>
      </c:valAx>
      <c:valAx>
        <c:axId val="850863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0877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'LinearReg Model'!$I$21:$I$35</c:f>
              <c:numCache>
                <c:formatCode>General</c:formatCode>
                <c:ptCount val="15"/>
                <c:pt idx="0">
                  <c:v>3583</c:v>
                </c:pt>
                <c:pt idx="1">
                  <c:v>3600</c:v>
                </c:pt>
                <c:pt idx="2">
                  <c:v>3533</c:v>
                </c:pt>
                <c:pt idx="3">
                  <c:v>3814</c:v>
                </c:pt>
                <c:pt idx="4">
                  <c:v>3748</c:v>
                </c:pt>
                <c:pt idx="5">
                  <c:v>4023</c:v>
                </c:pt>
                <c:pt idx="6">
                  <c:v>4116</c:v>
                </c:pt>
                <c:pt idx="7">
                  <c:v>4163</c:v>
                </c:pt>
                <c:pt idx="8">
                  <c:v>4226</c:v>
                </c:pt>
                <c:pt idx="9">
                  <c:v>4444</c:v>
                </c:pt>
                <c:pt idx="10">
                  <c:v>4519</c:v>
                </c:pt>
                <c:pt idx="11">
                  <c:v>4585</c:v>
                </c:pt>
                <c:pt idx="12">
                  <c:v>4652</c:v>
                </c:pt>
                <c:pt idx="13">
                  <c:v>4691</c:v>
                </c:pt>
                <c:pt idx="14">
                  <c:v>4692</c:v>
                </c:pt>
              </c:numCache>
            </c:numRef>
          </c:xVal>
          <c:yVal>
            <c:numRef>
              <c:f>'LinearReg Model'!$N$21:$N$35</c:f>
              <c:numCache>
                <c:formatCode>General</c:formatCode>
                <c:ptCount val="15"/>
                <c:pt idx="0">
                  <c:v>3298</c:v>
                </c:pt>
                <c:pt idx="1">
                  <c:v>3297</c:v>
                </c:pt>
                <c:pt idx="2">
                  <c:v>3226</c:v>
                </c:pt>
                <c:pt idx="3">
                  <c:v>3221</c:v>
                </c:pt>
                <c:pt idx="4">
                  <c:v>3135</c:v>
                </c:pt>
                <c:pt idx="5">
                  <c:v>3281</c:v>
                </c:pt>
                <c:pt idx="6">
                  <c:v>3372</c:v>
                </c:pt>
                <c:pt idx="7">
                  <c:v>3442</c:v>
                </c:pt>
                <c:pt idx="8">
                  <c:v>3406</c:v>
                </c:pt>
                <c:pt idx="9">
                  <c:v>3523</c:v>
                </c:pt>
                <c:pt idx="10">
                  <c:v>3561</c:v>
                </c:pt>
                <c:pt idx="11">
                  <c:v>3621</c:v>
                </c:pt>
                <c:pt idx="12">
                  <c:v>3758</c:v>
                </c:pt>
                <c:pt idx="13">
                  <c:v>3795</c:v>
                </c:pt>
                <c:pt idx="14">
                  <c:v>3803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058-48CC-9D31-F44B8F28CB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0877664"/>
        <c:axId val="850863520"/>
      </c:scatterChart>
      <c:valAx>
        <c:axId val="850877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0863520"/>
        <c:crosses val="autoZero"/>
        <c:crossBetween val="midCat"/>
      </c:valAx>
      <c:valAx>
        <c:axId val="850863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0877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'LinearReg Model'!$J$21:$J$35</c:f>
              <c:numCache>
                <c:formatCode>General</c:formatCode>
                <c:ptCount val="15"/>
                <c:pt idx="0">
                  <c:v>8234</c:v>
                </c:pt>
                <c:pt idx="1">
                  <c:v>8184</c:v>
                </c:pt>
                <c:pt idx="2">
                  <c:v>8257</c:v>
                </c:pt>
                <c:pt idx="3">
                  <c:v>7722</c:v>
                </c:pt>
                <c:pt idx="4">
                  <c:v>7395</c:v>
                </c:pt>
                <c:pt idx="5">
                  <c:v>7435</c:v>
                </c:pt>
                <c:pt idx="6">
                  <c:v>7327</c:v>
                </c:pt>
                <c:pt idx="7">
                  <c:v>7284</c:v>
                </c:pt>
                <c:pt idx="8">
                  <c:v>7569</c:v>
                </c:pt>
                <c:pt idx="9">
                  <c:v>7730</c:v>
                </c:pt>
                <c:pt idx="10">
                  <c:v>7870</c:v>
                </c:pt>
                <c:pt idx="11">
                  <c:v>7873</c:v>
                </c:pt>
                <c:pt idx="12">
                  <c:v>7986</c:v>
                </c:pt>
                <c:pt idx="13">
                  <c:v>8312</c:v>
                </c:pt>
                <c:pt idx="14">
                  <c:v>8165</c:v>
                </c:pt>
              </c:numCache>
            </c:numRef>
          </c:xVal>
          <c:yVal>
            <c:numRef>
              <c:f>'LinearReg Model'!$O$21:$O$35</c:f>
              <c:numCache>
                <c:formatCode>General</c:formatCode>
                <c:ptCount val="15"/>
                <c:pt idx="0">
                  <c:v>7098</c:v>
                </c:pt>
                <c:pt idx="1">
                  <c:v>7260</c:v>
                </c:pt>
                <c:pt idx="2">
                  <c:v>7315</c:v>
                </c:pt>
                <c:pt idx="3">
                  <c:v>6899</c:v>
                </c:pt>
                <c:pt idx="4">
                  <c:v>7020</c:v>
                </c:pt>
                <c:pt idx="5">
                  <c:v>7433</c:v>
                </c:pt>
                <c:pt idx="6">
                  <c:v>7447</c:v>
                </c:pt>
                <c:pt idx="7">
                  <c:v>7734</c:v>
                </c:pt>
                <c:pt idx="8">
                  <c:v>7952</c:v>
                </c:pt>
                <c:pt idx="9">
                  <c:v>8255</c:v>
                </c:pt>
                <c:pt idx="10">
                  <c:v>8512</c:v>
                </c:pt>
                <c:pt idx="11">
                  <c:v>8511</c:v>
                </c:pt>
                <c:pt idx="12">
                  <c:v>8719</c:v>
                </c:pt>
                <c:pt idx="13">
                  <c:v>9035</c:v>
                </c:pt>
                <c:pt idx="14">
                  <c:v>8831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32-4CC2-AB3D-E6DEA99E99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0877664"/>
        <c:axId val="850863520"/>
      </c:scatterChart>
      <c:valAx>
        <c:axId val="850877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0863520"/>
        <c:crosses val="autoZero"/>
        <c:crossBetween val="midCat"/>
      </c:valAx>
      <c:valAx>
        <c:axId val="850863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0877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'LinearReg Model'!$K$21:$K$35</c:f>
              <c:numCache>
                <c:formatCode>General</c:formatCode>
                <c:ptCount val="15"/>
                <c:pt idx="0">
                  <c:v>611</c:v>
                </c:pt>
                <c:pt idx="1">
                  <c:v>601</c:v>
                </c:pt>
                <c:pt idx="2">
                  <c:v>593</c:v>
                </c:pt>
                <c:pt idx="3">
                  <c:v>595</c:v>
                </c:pt>
                <c:pt idx="4">
                  <c:v>611</c:v>
                </c:pt>
                <c:pt idx="5">
                  <c:v>600</c:v>
                </c:pt>
                <c:pt idx="6">
                  <c:v>601</c:v>
                </c:pt>
                <c:pt idx="7">
                  <c:v>631</c:v>
                </c:pt>
                <c:pt idx="8">
                  <c:v>646</c:v>
                </c:pt>
                <c:pt idx="9">
                  <c:v>682</c:v>
                </c:pt>
                <c:pt idx="10">
                  <c:v>663</c:v>
                </c:pt>
                <c:pt idx="11">
                  <c:v>654</c:v>
                </c:pt>
                <c:pt idx="12">
                  <c:v>667</c:v>
                </c:pt>
                <c:pt idx="13">
                  <c:v>664</c:v>
                </c:pt>
                <c:pt idx="14">
                  <c:v>668</c:v>
                </c:pt>
              </c:numCache>
            </c:numRef>
          </c:xVal>
          <c:yVal>
            <c:numRef>
              <c:f>'LinearReg Model'!$P$21:$P$35</c:f>
              <c:numCache>
                <c:formatCode>General</c:formatCode>
                <c:ptCount val="15"/>
                <c:pt idx="0">
                  <c:v>558</c:v>
                </c:pt>
                <c:pt idx="1">
                  <c:v>553</c:v>
                </c:pt>
                <c:pt idx="2">
                  <c:v>542</c:v>
                </c:pt>
                <c:pt idx="3">
                  <c:v>536</c:v>
                </c:pt>
                <c:pt idx="4">
                  <c:v>540</c:v>
                </c:pt>
                <c:pt idx="5">
                  <c:v>540</c:v>
                </c:pt>
                <c:pt idx="6">
                  <c:v>545</c:v>
                </c:pt>
                <c:pt idx="7">
                  <c:v>573</c:v>
                </c:pt>
                <c:pt idx="8">
                  <c:v>578</c:v>
                </c:pt>
                <c:pt idx="9">
                  <c:v>581</c:v>
                </c:pt>
                <c:pt idx="10">
                  <c:v>602</c:v>
                </c:pt>
                <c:pt idx="11">
                  <c:v>598</c:v>
                </c:pt>
                <c:pt idx="12">
                  <c:v>622</c:v>
                </c:pt>
                <c:pt idx="13">
                  <c:v>620</c:v>
                </c:pt>
                <c:pt idx="14">
                  <c:v>629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8F-4F48-A77B-588EC54CB7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0877664"/>
        <c:axId val="850863520"/>
      </c:scatterChart>
      <c:valAx>
        <c:axId val="850877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0863520"/>
        <c:crosses val="autoZero"/>
        <c:crossBetween val="midCat"/>
      </c:valAx>
      <c:valAx>
        <c:axId val="850863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0877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'LinearReg Model'!$L$21:$L$35</c:f>
              <c:numCache>
                <c:formatCode>General</c:formatCode>
                <c:ptCount val="15"/>
                <c:pt idx="0">
                  <c:v>3113</c:v>
                </c:pt>
                <c:pt idx="1">
                  <c:v>3087</c:v>
                </c:pt>
                <c:pt idx="2">
                  <c:v>3019</c:v>
                </c:pt>
                <c:pt idx="3">
                  <c:v>3061</c:v>
                </c:pt>
                <c:pt idx="4">
                  <c:v>2934</c:v>
                </c:pt>
                <c:pt idx="5">
                  <c:v>2959</c:v>
                </c:pt>
                <c:pt idx="6">
                  <c:v>3019</c:v>
                </c:pt>
                <c:pt idx="7">
                  <c:v>2988</c:v>
                </c:pt>
                <c:pt idx="8">
                  <c:v>3077</c:v>
                </c:pt>
                <c:pt idx="9">
                  <c:v>3138</c:v>
                </c:pt>
                <c:pt idx="10">
                  <c:v>3034</c:v>
                </c:pt>
                <c:pt idx="11">
                  <c:v>3073</c:v>
                </c:pt>
                <c:pt idx="12">
                  <c:v>3121</c:v>
                </c:pt>
                <c:pt idx="13">
                  <c:v>3156</c:v>
                </c:pt>
                <c:pt idx="14">
                  <c:v>3077</c:v>
                </c:pt>
              </c:numCache>
            </c:numRef>
          </c:xVal>
          <c:yVal>
            <c:numRef>
              <c:f>'LinearReg Model'!$Q$21:$Q$35</c:f>
              <c:numCache>
                <c:formatCode>General</c:formatCode>
                <c:ptCount val="15"/>
                <c:pt idx="0">
                  <c:v>2638</c:v>
                </c:pt>
                <c:pt idx="1">
                  <c:v>2621</c:v>
                </c:pt>
                <c:pt idx="2">
                  <c:v>2560</c:v>
                </c:pt>
                <c:pt idx="3">
                  <c:v>2571</c:v>
                </c:pt>
                <c:pt idx="4">
                  <c:v>2382</c:v>
                </c:pt>
                <c:pt idx="5">
                  <c:v>2351</c:v>
                </c:pt>
                <c:pt idx="6">
                  <c:v>2346</c:v>
                </c:pt>
                <c:pt idx="7">
                  <c:v>2331</c:v>
                </c:pt>
                <c:pt idx="8">
                  <c:v>2339</c:v>
                </c:pt>
                <c:pt idx="9">
                  <c:v>2402</c:v>
                </c:pt>
                <c:pt idx="10">
                  <c:v>2390</c:v>
                </c:pt>
                <c:pt idx="11">
                  <c:v>2349</c:v>
                </c:pt>
                <c:pt idx="12">
                  <c:v>2420</c:v>
                </c:pt>
                <c:pt idx="13">
                  <c:v>2474</c:v>
                </c:pt>
                <c:pt idx="14">
                  <c:v>2404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23-4DA8-8077-C90FBAE02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0877664"/>
        <c:axId val="850863520"/>
      </c:scatterChart>
      <c:valAx>
        <c:axId val="850877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0863520"/>
        <c:crosses val="autoZero"/>
        <c:crossBetween val="midCat"/>
      </c:valAx>
      <c:valAx>
        <c:axId val="850863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0877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[Refinery Capacity Projection Analysis.xlsm]Sheet1!PivotTable1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Sheet1!$B$5</c:f>
              <c:strCache>
                <c:ptCount val="1"/>
                <c:pt idx="0">
                  <c:v>Sum of 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Sheet1!$A$6:$A$12</c:f>
              <c:multiLvlStrCache>
                <c:ptCount val="4"/>
                <c:lvl>
                  <c:pt idx="0">
                    <c:v>2035</c:v>
                  </c:pt>
                  <c:pt idx="1">
                    <c:v>2050</c:v>
                  </c:pt>
                  <c:pt idx="2">
                    <c:v>2035</c:v>
                  </c:pt>
                  <c:pt idx="3">
                    <c:v>2050</c:v>
                  </c:pt>
                </c:lvl>
                <c:lvl>
                  <c:pt idx="0">
                    <c:v>HEAVY/SOUR</c:v>
                  </c:pt>
                  <c:pt idx="2">
                    <c:v>LIGHT/SWEET</c:v>
                  </c:pt>
                </c:lvl>
              </c:multiLvlStrCache>
            </c:multiLvlStrRef>
          </c:cat>
          <c:val>
            <c:numRef>
              <c:f>Sheet1!$B$6:$B$12</c:f>
              <c:numCache>
                <c:formatCode>General</c:formatCode>
                <c:ptCount val="4"/>
                <c:pt idx="0">
                  <c:v>1359.7389346224766</c:v>
                </c:pt>
                <c:pt idx="1">
                  <c:v>1020.1475609570817</c:v>
                </c:pt>
                <c:pt idx="2">
                  <c:v>1373.6527840794984</c:v>
                </c:pt>
                <c:pt idx="3">
                  <c:v>1529.8361350417654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4C-4887-B5F4-EEB1A572A582}"/>
            </c:ext>
          </c:extLst>
        </c:ser>
        <c:ser>
          <c:idx val="1"/>
          <c:order val="1"/>
          <c:tx>
            <c:strRef>
              <c:f>Sheet1!$C$5</c:f>
              <c:strCache>
                <c:ptCount val="1"/>
                <c:pt idx="0">
                  <c:v>Sum of 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Sheet1!$A$6:$A$12</c:f>
              <c:multiLvlStrCache>
                <c:ptCount val="4"/>
                <c:lvl>
                  <c:pt idx="0">
                    <c:v>2035</c:v>
                  </c:pt>
                  <c:pt idx="1">
                    <c:v>2050</c:v>
                  </c:pt>
                  <c:pt idx="2">
                    <c:v>2035</c:v>
                  </c:pt>
                  <c:pt idx="3">
                    <c:v>2050</c:v>
                  </c:pt>
                </c:lvl>
                <c:lvl>
                  <c:pt idx="0">
                    <c:v>HEAVY/SOUR</c:v>
                  </c:pt>
                  <c:pt idx="2">
                    <c:v>LIGHT/SWEET</c:v>
                  </c:pt>
                </c:lvl>
              </c:multiLvlStrCache>
            </c:multiLvlStrRef>
          </c:cat>
          <c:val>
            <c:numRef>
              <c:f>Sheet1!$C$6:$C$12</c:f>
              <c:numCache>
                <c:formatCode>General</c:formatCode>
                <c:ptCount val="4"/>
                <c:pt idx="0">
                  <c:v>1887.3796382192886</c:v>
                </c:pt>
                <c:pt idx="1">
                  <c:v>1712.721810323354</c:v>
                </c:pt>
                <c:pt idx="2">
                  <c:v>2377.0359503856489</c:v>
                </c:pt>
                <c:pt idx="3">
                  <c:v>1798.8383430653892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44C-4887-B5F4-EEB1A572A582}"/>
            </c:ext>
          </c:extLst>
        </c:ser>
        <c:ser>
          <c:idx val="2"/>
          <c:order val="2"/>
          <c:tx>
            <c:strRef>
              <c:f>Sheet1!$D$5</c:f>
              <c:strCache>
                <c:ptCount val="1"/>
                <c:pt idx="0">
                  <c:v>Sum of 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Sheet1!$A$6:$A$12</c:f>
              <c:multiLvlStrCache>
                <c:ptCount val="4"/>
                <c:lvl>
                  <c:pt idx="0">
                    <c:v>2035</c:v>
                  </c:pt>
                  <c:pt idx="1">
                    <c:v>2050</c:v>
                  </c:pt>
                  <c:pt idx="2">
                    <c:v>2035</c:v>
                  </c:pt>
                  <c:pt idx="3">
                    <c:v>2050</c:v>
                  </c:pt>
                </c:lvl>
                <c:lvl>
                  <c:pt idx="0">
                    <c:v>HEAVY/SOUR</c:v>
                  </c:pt>
                  <c:pt idx="2">
                    <c:v>LIGHT/SWEET</c:v>
                  </c:pt>
                </c:lvl>
              </c:multiLvlStrCache>
            </c:multiLvlStrRef>
          </c:cat>
          <c:val>
            <c:numRef>
              <c:f>Sheet1!$D$6:$D$12</c:f>
              <c:numCache>
                <c:formatCode>General</c:formatCode>
                <c:ptCount val="4"/>
                <c:pt idx="0">
                  <c:v>557.73895381885347</c:v>
                </c:pt>
                <c:pt idx="1">
                  <c:v>545.18258493786334</c:v>
                </c:pt>
                <c:pt idx="2">
                  <c:v>557.85103461633594</c:v>
                </c:pt>
                <c:pt idx="3">
                  <c:v>469.33939422086911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44C-4887-B5F4-EEB1A572A582}"/>
            </c:ext>
          </c:extLst>
        </c:ser>
        <c:ser>
          <c:idx val="3"/>
          <c:order val="3"/>
          <c:tx>
            <c:strRef>
              <c:f>Sheet1!$E$5</c:f>
              <c:strCache>
                <c:ptCount val="1"/>
                <c:pt idx="0">
                  <c:v>Sum of 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Sheet1!$A$6:$A$12</c:f>
              <c:multiLvlStrCache>
                <c:ptCount val="4"/>
                <c:lvl>
                  <c:pt idx="0">
                    <c:v>2035</c:v>
                  </c:pt>
                  <c:pt idx="1">
                    <c:v>2050</c:v>
                  </c:pt>
                  <c:pt idx="2">
                    <c:v>2035</c:v>
                  </c:pt>
                  <c:pt idx="3">
                    <c:v>2050</c:v>
                  </c:pt>
                </c:lvl>
                <c:lvl>
                  <c:pt idx="0">
                    <c:v>HEAVY/SOUR</c:v>
                  </c:pt>
                  <c:pt idx="2">
                    <c:v>LIGHT/SWEET</c:v>
                  </c:pt>
                </c:lvl>
              </c:multiLvlStrCache>
            </c:multiLvlStrRef>
          </c:cat>
          <c:val>
            <c:numRef>
              <c:f>Sheet1!$E$6:$E$12</c:f>
              <c:numCache>
                <c:formatCode>General</c:formatCode>
                <c:ptCount val="4"/>
                <c:pt idx="0">
                  <c:v>1331.1887518875083</c:v>
                </c:pt>
                <c:pt idx="1">
                  <c:v>1117.4458021774788</c:v>
                </c:pt>
                <c:pt idx="2">
                  <c:v>1751.5222004003604</c:v>
                </c:pt>
                <c:pt idx="3">
                  <c:v>981.31940257431597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44C-4887-B5F4-EEB1A572A582}"/>
            </c:ext>
          </c:extLst>
        </c:ser>
        <c:ser>
          <c:idx val="4"/>
          <c:order val="4"/>
          <c:tx>
            <c:strRef>
              <c:f>Sheet1!$F$5</c:f>
              <c:strCache>
                <c:ptCount val="1"/>
                <c:pt idx="0">
                  <c:v>Sum of 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Sheet1!$A$6:$A$12</c:f>
              <c:multiLvlStrCache>
                <c:ptCount val="4"/>
                <c:lvl>
                  <c:pt idx="0">
                    <c:v>2035</c:v>
                  </c:pt>
                  <c:pt idx="1">
                    <c:v>2050</c:v>
                  </c:pt>
                  <c:pt idx="2">
                    <c:v>2035</c:v>
                  </c:pt>
                  <c:pt idx="3">
                    <c:v>2050</c:v>
                  </c:pt>
                </c:lvl>
                <c:lvl>
                  <c:pt idx="0">
                    <c:v>HEAVY/SOUR</c:v>
                  </c:pt>
                  <c:pt idx="2">
                    <c:v>LIGHT/SWEET</c:v>
                  </c:pt>
                </c:lvl>
              </c:multiLvlStrCache>
            </c:multiLvlStrRef>
          </c:cat>
          <c:val>
            <c:numRef>
              <c:f>Sheet1!$F$6:$F$12</c:f>
              <c:numCache>
                <c:formatCode>General</c:formatCode>
                <c:ptCount val="4"/>
                <c:pt idx="0">
                  <c:v>2686.8245381411871</c:v>
                </c:pt>
                <c:pt idx="1">
                  <c:v>2384.8835052471254</c:v>
                </c:pt>
                <c:pt idx="2">
                  <c:v>2754.2893163434492</c:v>
                </c:pt>
                <c:pt idx="3">
                  <c:v>2216.4482455157427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44C-4887-B5F4-EEB1A572A582}"/>
            </c:ext>
          </c:extLst>
        </c:ser>
        <c:ser>
          <c:idx val="5"/>
          <c:order val="5"/>
          <c:tx>
            <c:strRef>
              <c:f>Sheet1!$G$5</c:f>
              <c:strCache>
                <c:ptCount val="1"/>
                <c:pt idx="0">
                  <c:v>Sum of 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Sheet1!$A$6:$A$12</c:f>
              <c:multiLvlStrCache>
                <c:ptCount val="4"/>
                <c:lvl>
                  <c:pt idx="0">
                    <c:v>2035</c:v>
                  </c:pt>
                  <c:pt idx="1">
                    <c:v>2050</c:v>
                  </c:pt>
                  <c:pt idx="2">
                    <c:v>2035</c:v>
                  </c:pt>
                  <c:pt idx="3">
                    <c:v>2050</c:v>
                  </c:pt>
                </c:lvl>
                <c:lvl>
                  <c:pt idx="0">
                    <c:v>HEAVY/SOUR</c:v>
                  </c:pt>
                  <c:pt idx="2">
                    <c:v>LIGHT/SWEET</c:v>
                  </c:pt>
                </c:lvl>
              </c:multiLvlStrCache>
            </c:multiLvlStrRef>
          </c:cat>
          <c:val>
            <c:numRef>
              <c:f>Sheet1!$G$6:$G$12</c:f>
              <c:numCache>
                <c:formatCode>General</c:formatCode>
                <c:ptCount val="4"/>
                <c:pt idx="0">
                  <c:v>162.77890410759554</c:v>
                </c:pt>
                <c:pt idx="1">
                  <c:v>224.71559468504122</c:v>
                </c:pt>
                <c:pt idx="2">
                  <c:v>279.81806457933385</c:v>
                </c:pt>
                <c:pt idx="3">
                  <c:v>296.05467397191694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9021-4126-A3B7-6BB81C24A2F1}"/>
            </c:ext>
          </c:extLst>
        </c:ser>
        <c:ser>
          <c:idx val="6"/>
          <c:order val="6"/>
          <c:tx>
            <c:strRef>
              <c:f>Sheet1!$H$5</c:f>
              <c:strCache>
                <c:ptCount val="1"/>
                <c:pt idx="0">
                  <c:v>Sum of 6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Sheet1!$A$6:$A$12</c:f>
              <c:multiLvlStrCache>
                <c:ptCount val="4"/>
                <c:lvl>
                  <c:pt idx="0">
                    <c:v>2035</c:v>
                  </c:pt>
                  <c:pt idx="1">
                    <c:v>2050</c:v>
                  </c:pt>
                  <c:pt idx="2">
                    <c:v>2035</c:v>
                  </c:pt>
                  <c:pt idx="3">
                    <c:v>2050</c:v>
                  </c:pt>
                </c:lvl>
                <c:lvl>
                  <c:pt idx="0">
                    <c:v>HEAVY/SOUR</c:v>
                  </c:pt>
                  <c:pt idx="2">
                    <c:v>LIGHT/SWEET</c:v>
                  </c:pt>
                </c:lvl>
              </c:multiLvlStrCache>
            </c:multiLvlStrRef>
          </c:cat>
          <c:val>
            <c:numRef>
              <c:f>Sheet1!$H$6:$H$12</c:f>
              <c:numCache>
                <c:formatCode>General</c:formatCode>
                <c:ptCount val="4"/>
                <c:pt idx="0">
                  <c:v>5654.3666656283722</c:v>
                </c:pt>
                <c:pt idx="1">
                  <c:v>5210.1736698794721</c:v>
                </c:pt>
                <c:pt idx="2">
                  <c:v>4437.635157118777</c:v>
                </c:pt>
                <c:pt idx="3">
                  <c:v>4926.821909407925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9021-4126-A3B7-6BB81C24A2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784667711"/>
        <c:axId val="315722527"/>
      </c:barChart>
      <c:catAx>
        <c:axId val="7846677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722527"/>
        <c:crosses val="autoZero"/>
        <c:auto val="1"/>
        <c:lblAlgn val="ctr"/>
        <c:lblOffset val="100"/>
        <c:noMultiLvlLbl val="0"/>
      </c:catAx>
      <c:valAx>
        <c:axId val="315722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667711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276225</xdr:colOff>
      <xdr:row>5</xdr:row>
      <xdr:rowOff>0</xdr:rowOff>
    </xdr:from>
    <xdr:to>
      <xdr:col>18</xdr:col>
      <xdr:colOff>76200</xdr:colOff>
      <xdr:row>22</xdr:row>
      <xdr:rowOff>57150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49696</xdr:colOff>
      <xdr:row>34</xdr:row>
      <xdr:rowOff>185531</xdr:rowOff>
    </xdr:from>
    <xdr:to>
      <xdr:col>13</xdr:col>
      <xdr:colOff>107674</xdr:colOff>
      <xdr:row>55</xdr:row>
      <xdr:rowOff>91109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140804</xdr:colOff>
      <xdr:row>34</xdr:row>
      <xdr:rowOff>182217</xdr:rowOff>
    </xdr:from>
    <xdr:to>
      <xdr:col>20</xdr:col>
      <xdr:colOff>588065</xdr:colOff>
      <xdr:row>55</xdr:row>
      <xdr:rowOff>87795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604632</xdr:colOff>
      <xdr:row>34</xdr:row>
      <xdr:rowOff>182217</xdr:rowOff>
    </xdr:from>
    <xdr:to>
      <xdr:col>28</xdr:col>
      <xdr:colOff>438979</xdr:colOff>
      <xdr:row>55</xdr:row>
      <xdr:rowOff>87795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0</xdr:colOff>
      <xdr:row>35</xdr:row>
      <xdr:rowOff>0</xdr:rowOff>
    </xdr:from>
    <xdr:to>
      <xdr:col>36</xdr:col>
      <xdr:colOff>447261</xdr:colOff>
      <xdr:row>55</xdr:row>
      <xdr:rowOff>96078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571500</xdr:colOff>
      <xdr:row>55</xdr:row>
      <xdr:rowOff>173935</xdr:rowOff>
    </xdr:from>
    <xdr:to>
      <xdr:col>13</xdr:col>
      <xdr:colOff>16565</xdr:colOff>
      <xdr:row>76</xdr:row>
      <xdr:rowOff>79513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</xdr:colOff>
          <xdr:row>174</xdr:row>
          <xdr:rowOff>85725</xdr:rowOff>
        </xdr:from>
        <xdr:to>
          <xdr:col>32</xdr:col>
          <xdr:colOff>447675</xdr:colOff>
          <xdr:row>176</xdr:row>
          <xdr:rowOff>57150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514349</xdr:colOff>
      <xdr:row>1</xdr:row>
      <xdr:rowOff>95250</xdr:rowOff>
    </xdr:from>
    <xdr:to>
      <xdr:col>24</xdr:col>
      <xdr:colOff>38100</xdr:colOff>
      <xdr:row>35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ang Li" refreshedDate="45629.54118472222" createdVersion="8" refreshedVersion="8" minRefreshableVersion="3" recordCount="165" xr:uid="{AEFAAFA1-75C9-424E-85F5-35E2FE281C51}">
  <cacheSource type="worksheet">
    <worksheetSource ref="A1:BM166" sheet="RefCapacityProj"/>
  </cacheSource>
  <cacheFields count="65">
    <cacheField name="Index" numFmtId="0">
      <sharedItems containsString="0" containsBlank="1" containsNumber="1" containsInteger="1" minValue="1" maxValue="160"/>
    </cacheField>
    <cacheField name="Electrification Scenarios" numFmtId="0">
      <sharedItems count="5">
        <s v="LOW"/>
        <s v="MEDIUM"/>
        <s v="HIGH"/>
        <s v="REFERENCE"/>
        <s v="BASELINE"/>
      </sharedItems>
    </cacheField>
    <cacheField name="Year" numFmtId="0">
      <sharedItems containsSemiMixedTypes="0" containsString="0" containsNumber="1" containsInteger="1" minValue="2019" maxValue="2050" count="3">
        <n v="2035"/>
        <n v="2050"/>
        <n v="2019"/>
      </sharedItems>
    </cacheField>
    <cacheField name="PADD" numFmtId="0">
      <sharedItems containsSemiMixedTypes="0" containsString="0" containsNumber="1" containsInteger="1" minValue="1" maxValue="5"/>
    </cacheField>
    <cacheField name="API Level" numFmtId="0">
      <sharedItems/>
    </cacheField>
    <cacheField name="Sul Level" numFmtId="0">
      <sharedItems/>
    </cacheField>
    <cacheField name="Blended Gasoline" numFmtId="0">
      <sharedItems containsSemiMixedTypes="0" containsString="0" containsNumber="1" minValue="28.61" maxValue="3183.1099711418956"/>
    </cacheField>
    <cacheField name="Jet-A/AVTUR" numFmtId="0">
      <sharedItems containsSemiMixedTypes="0" containsString="0" containsNumber="1" minValue="0.84" maxValue="1077.1561660460204"/>
    </cacheField>
    <cacheField name="ULSD" numFmtId="0">
      <sharedItems containsString="0" containsBlank="1" containsNumber="1" minValue="103.12320037306165" maxValue="2542.3070187512535"/>
    </cacheField>
    <cacheField name="Fuel Oil" numFmtId="0">
      <sharedItems containsString="0" containsBlank="1" containsNumber="1" minValue="24.912136029174665" maxValue="1803.4247492233335"/>
    </cacheField>
    <cacheField name="Coke" numFmtId="0">
      <sharedItems containsString="0" containsBlank="1" containsNumber="1" minValue="4.5959626645722889" maxValue="419.77387298964987"/>
    </cacheField>
    <cacheField name="Liquid Heavy Ends" numFmtId="0">
      <sharedItems containsString="0" containsBlank="1" containsNumber="1" minValue="0" maxValue="49.948418930838677"/>
    </cacheField>
    <cacheField name="Surplus NCR H2" numFmtId="0">
      <sharedItems containsString="0" containsBlank="1" containsNumber="1" containsInteger="1" minValue="0" maxValue="0"/>
    </cacheField>
    <cacheField name="Refinery Fuel Gas (RFG)" numFmtId="0">
      <sharedItems containsString="0" containsBlank="1" containsNumber="1" containsInteger="1" minValue="0" maxValue="0"/>
    </cacheField>
    <cacheField name="Sulphur" numFmtId="0">
      <sharedItems containsString="0" containsBlank="1" containsNumber="1" containsInteger="1" minValue="0" maxValue="0"/>
    </cacheField>
    <cacheField name="Liquified Petroleum Gas (LPG)" numFmtId="0">
      <sharedItems containsString="0" containsBlank="1" containsNumber="1" minValue="38.642635853032168" maxValue="366.28540801510849"/>
    </cacheField>
    <cacheField name="Petrochemical Feedstocks" numFmtId="0">
      <sharedItems containsString="0" containsBlank="1" containsNumber="1" containsInteger="1" minValue="0" maxValue="0"/>
    </cacheField>
    <cacheField name="Asphalt" numFmtId="0">
      <sharedItems containsString="0" containsBlank="1" containsNumber="1" containsInteger="1" minValue="0" maxValue="0"/>
    </cacheField>
    <cacheField name="Atres" numFmtId="0">
      <sharedItems containsString="0" containsBlank="1" containsNumber="1" containsInteger="1" minValue="0" maxValue="0"/>
    </cacheField>
    <cacheField name="Lube" numFmtId="0">
      <sharedItems containsString="0" containsBlank="1" containsNumber="1" minValue="0" maxValue="25.739540023388059"/>
    </cacheField>
    <cacheField name="BTX" numFmtId="0">
      <sharedItems containsString="0" containsBlank="1" containsNumber="1" containsInteger="1" minValue="0" maxValue="0"/>
    </cacheField>
    <cacheField name="Naphtha" numFmtId="0">
      <sharedItems containsString="0" containsBlank="1" containsNumber="1" containsInteger="1" minValue="0" maxValue="0"/>
    </cacheField>
    <cacheField name="VGO" numFmtId="0">
      <sharedItems containsString="0" containsBlank="1" containsNumber="1" containsInteger="1" minValue="0" maxValue="0"/>
    </cacheField>
    <cacheField name="Total Refinery Production" numFmtId="0">
      <sharedItems containsString="0" containsBlank="1" containsNumber="1" minValue="350.51018248616668" maxValue="8880.8840899091429"/>
    </cacheField>
    <cacheField name="Projected Total Refinery Capacity" numFmtId="0">
      <sharedItems containsSemiMixedTypes="0" containsString="0" containsNumber="1" minValue="301.98278314095245" maxValue="8965.8296399999999"/>
    </cacheField>
    <cacheField name="Gasoline %" numFmtId="0">
      <sharedItems containsString="0" containsBlank="1" containsNumber="1" minValue="0.16212314240091441" maxValue="0.58548872268373631"/>
    </cacheField>
    <cacheField name="Diesel %" numFmtId="0">
      <sharedItems containsString="0" containsBlank="1" containsNumber="1" minValue="0.16296059784092146" maxValue="0.3874262036296881"/>
    </cacheField>
    <cacheField name="Jet %" numFmtId="0">
      <sharedItems containsString="0" containsBlank="1" containsNumber="1" minValue="2.5802373503501876E-2" maxValue="0.22173404599584579"/>
    </cacheField>
    <cacheField name="API" numFmtId="0">
      <sharedItems containsString="0" containsBlank="1" containsNumber="1" minValue="26.924463078862729" maxValue="37.317276792879753"/>
    </cacheField>
    <cacheField name="Sulfur" numFmtId="0">
      <sharedItems containsString="0" containsBlank="1" containsNumber="1" minValue="0.27799592561789516" maxValue="4.4723269444483442"/>
    </cacheField>
    <cacheField name="Projected CI" numFmtId="0">
      <sharedItems containsString="0" containsBlank="1" containsNumber="1" minValue="6.0732764980409826" maxValue="10.812863744578635"/>
    </cacheField>
    <cacheField name="Est.CI" numFmtId="0">
      <sharedItems containsSemiMixedTypes="0" containsString="0" containsNumber="1" minValue="6.6581103294058259" maxValue="10.802863670489977"/>
    </cacheField>
    <cacheField name="0" numFmtId="0">
      <sharedItems containsSemiMixedTypes="0" containsString="0" containsNumber="1" minValue="5.0469864462120563E-4" maxValue="1341.6855515100883"/>
    </cacheField>
    <cacheField name="1" numFmtId="0">
      <sharedItems containsSemiMixedTypes="0" containsString="0" containsNumber="1" minValue="9.1806163458155513E-4" maxValue="959.2028748244943"/>
    </cacheField>
    <cacheField name="2" numFmtId="0">
      <sharedItems containsSemiMixedTypes="0" containsString="0" containsNumber="1" minValue="0" maxValue="315.88577463814062"/>
    </cacheField>
    <cacheField name="3" numFmtId="0">
      <sharedItems containsSemiMixedTypes="0" containsString="0" containsNumber="1" minValue="0.14721016045558455" maxValue="1744.3924081867713"/>
    </cacheField>
    <cacheField name="4" numFmtId="0">
      <sharedItems containsSemiMixedTypes="0" containsString="0" containsNumber="1" minValue="3.7764703324146759E-10" maxValue="2037.140916158407"/>
    </cacheField>
    <cacheField name="5" numFmtId="0">
      <sharedItems containsSemiMixedTypes="0" containsString="0" containsNumber="1" minValue="0" maxValue="505.88851673747013"/>
    </cacheField>
    <cacheField name="6" numFmtId="0">
      <sharedItems containsSemiMixedTypes="0" containsString="0" containsNumber="1" minValue="3.3299505794480879E-11" maxValue="4923.6836000000003"/>
    </cacheField>
    <cacheField name="ref0" numFmtId="0">
      <sharedItems containsSemiMixedTypes="0" containsString="0" containsNumber="1" minValue="6.9384039391580323" maxValue="272.42579999999998"/>
    </cacheField>
    <cacheField name="ref1" numFmtId="0">
      <sharedItems containsSemiMixedTypes="0" containsString="0" containsNumber="1" minValue="107.55340199351907" maxValue="633.01980000000003"/>
    </cacheField>
    <cacheField name="ref2" numFmtId="0">
      <sharedItems containsSemiMixedTypes="0" containsString="0" containsNumber="1" minValue="0" maxValue="272.15623999999997"/>
    </cacheField>
    <cacheField name="ref3" numFmtId="0">
      <sharedItems containsSemiMixedTypes="0" containsString="0" containsNumber="1" minValue="33.763952926858195" maxValue="929.22299999999984"/>
    </cacheField>
    <cacheField name="ref4" numFmtId="0">
      <sharedItems containsSemiMixedTypes="0" containsString="0" containsNumber="1" minValue="38.676752132971821" maxValue="1900.3612000000001"/>
    </cacheField>
    <cacheField name="ref5" numFmtId="0">
      <sharedItems containsSemiMixedTypes="0" containsString="0" containsNumber="1" minValue="0" maxValue="366.74475929069598"/>
    </cacheField>
    <cacheField name="ref6" numFmtId="0">
      <sharedItems containsSemiMixedTypes="0" containsString="0" containsNumber="1" minValue="44.31517021500747" maxValue="4923.6835999999994"/>
    </cacheField>
    <cacheField name="Upper0" numFmtId="0">
      <sharedItems containsSemiMixedTypes="0" containsString="0" containsNumber="1" minValue="41.247209074424283" maxValue="1341.688193439242"/>
    </cacheField>
    <cacheField name="Upper1" numFmtId="0">
      <sharedItems containsSemiMixedTypes="0" containsString="0" containsNumber="1" minValue="301.95121010669465" maxValue="1166.9533873398473"/>
    </cacheField>
    <cacheField name="Upper2" numFmtId="0">
      <sharedItems containsSemiMixedTypes="0" containsString="0" containsNumber="1" minValue="0" maxValue="315.88917723076923"/>
    </cacheField>
    <cacheField name="Upper3" numFmtId="0">
      <sharedItems containsSemiMixedTypes="0" containsString="0" containsNumber="1" minValue="138.96474358974359" maxValue="2857.6483299595143"/>
    </cacheField>
    <cacheField name="Upper4" numFmtId="0">
      <sharedItems containsSemiMixedTypes="0" containsString="0" containsNumber="1" minValue="195.80557682200353" maxValue="3063.8504634026467"/>
    </cacheField>
    <cacheField name="Upper5" numFmtId="0">
      <sharedItems containsSemiMixedTypes="0" containsString="0" containsNumber="1" minValue="0" maxValue="653.32703349282281"/>
    </cacheField>
    <cacheField name="Upper6" numFmtId="0">
      <sharedItems containsSemiMixedTypes="0" containsString="0" containsNumber="1" minValue="150.98025463940334" maxValue="5773.7168821974883"/>
    </cacheField>
    <cacheField name="Lower0" numFmtId="0">
      <sharedItems containsSemiMixedTypes="0" containsString="0" containsNumber="1" containsInteger="1" minValue="0" maxValue="0"/>
    </cacheField>
    <cacheField name="Lower1" numFmtId="0">
      <sharedItems containsSemiMixedTypes="0" containsString="0" containsNumber="1" containsInteger="1" minValue="0" maxValue="0"/>
    </cacheField>
    <cacheField name="Lower2" numFmtId="0">
      <sharedItems containsSemiMixedTypes="0" containsString="0" containsNumber="1" containsInteger="1" minValue="0" maxValue="0"/>
    </cacheField>
    <cacheField name="Lower3" numFmtId="0">
      <sharedItems containsSemiMixedTypes="0" containsString="0" containsNumber="1" containsInteger="1" minValue="0" maxValue="0"/>
    </cacheField>
    <cacheField name="Lower4" numFmtId="0">
      <sharedItems containsSemiMixedTypes="0" containsString="0" containsNumber="1" containsInteger="1" minValue="0" maxValue="0"/>
    </cacheField>
    <cacheField name="Lower5" numFmtId="0">
      <sharedItems containsSemiMixedTypes="0" containsString="0" containsNumber="1" containsInteger="1" minValue="0" maxValue="0"/>
    </cacheField>
    <cacheField name="Lower6" numFmtId="0">
      <sharedItems containsSemiMixedTypes="0" containsString="0" containsNumber="1" containsInteger="1" minValue="0" maxValue="0"/>
    </cacheField>
    <cacheField name="Cal. Total Capacity" numFmtId="0">
      <sharedItems containsSemiMixedTypes="0" containsString="0" containsNumber="1" minValue="303.88576950978376" maxValue="9015.0676185490247"/>
    </cacheField>
    <cacheField name="Target_1" numFmtId="0">
      <sharedItems containsSemiMixedTypes="0" containsString="0" containsNumber="1" minValue="0" maxValue="89.249377778765847"/>
    </cacheField>
    <cacheField name="Target_2" numFmtId="0">
      <sharedItems containsSemiMixedTypes="0" containsString="0" containsNumber="1" minValue="9.999148614586062E-3" maxValue="10.058958106663127"/>
    </cacheField>
    <cacheField name="Target_3" numFmtId="0">
      <sharedItems containsMixedTypes="1" containsNumber="1" minValue="23.04172130373626" maxValue="515.67159934303004"/>
    </cacheField>
    <cacheField name="CombineCrudeQuality" numFmtId="0">
      <sharedItems count="5">
        <s v="HEAVY/SWEET"/>
        <s v="HEAVY/SOUR"/>
        <s v="LIGHT/SWEET"/>
        <s v="LIGHT/SOUR"/>
        <s v="REF/REF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5">
  <r>
    <n v="1"/>
    <x v="0"/>
    <x v="0"/>
    <n v="1"/>
    <s v="HEAVY"/>
    <s v="SWEET"/>
    <n v="1110.1970668029492"/>
    <n v="83.228414800475107"/>
    <n v="312.27598023090906"/>
    <n v="110.04113489570344"/>
    <n v="126.58285122181967"/>
    <n v="0"/>
    <n v="0"/>
    <n v="0"/>
    <n v="0"/>
    <n v="143.60580193208193"/>
    <n v="0"/>
    <n v="0"/>
    <n v="0"/>
    <n v="10.257393535321418"/>
    <n v="0"/>
    <n v="0"/>
    <n v="0"/>
    <n v="1896.1886434192597"/>
    <n v="635.48053519542464"/>
    <n v="0.58548872268373631"/>
    <n v="0.16468613569365356"/>
    <n v="4.389247614646364E-2"/>
    <n v="30.30214176476078"/>
    <n v="0.41766843364396622"/>
    <n v="8.2424254666023984"/>
    <n v="8.2524252250592003"/>
    <n v="32.309516377966695"/>
    <n v="344.81274364011273"/>
    <n v="0"/>
    <n v="98.716145919736363"/>
    <n v="77.236694709424071"/>
    <n v="0"/>
    <n v="85.86750458883381"/>
    <n v="17.062443347324567"/>
    <n v="341.79077757911961"/>
    <n v="0"/>
    <n v="101.98242000699742"/>
    <n v="81.389815967122928"/>
    <n v="0"/>
    <n v="93.255078294860141"/>
    <n v="91.42693476369206"/>
    <n v="892.71066470160065"/>
    <n v="0"/>
    <n v="378.33333333333331"/>
    <n v="195.80557682200353"/>
    <n v="0"/>
    <n v="187.81193219368552"/>
    <n v="0"/>
    <n v="0"/>
    <n v="0"/>
    <n v="0"/>
    <n v="0"/>
    <n v="0"/>
    <n v="0"/>
    <n v="638.94260523607363"/>
    <n v="3.4620700406489959"/>
    <n v="9.9997584568018993E-3"/>
    <n v="33.091131273381414"/>
    <x v="0"/>
  </r>
  <r>
    <n v="2"/>
    <x v="0"/>
    <x v="0"/>
    <n v="1"/>
    <s v="HEAVY"/>
    <s v="SOUR"/>
    <n v="1110.1970668029492"/>
    <n v="83.228414800475107"/>
    <n v="312.27598023090906"/>
    <n v="110.04113489570344"/>
    <n v="126.58285122181967"/>
    <n v="0"/>
    <n v="0"/>
    <n v="0"/>
    <n v="0"/>
    <n v="143.60580193208193"/>
    <n v="0"/>
    <n v="0"/>
    <n v="0"/>
    <n v="10.257393535321418"/>
    <n v="0"/>
    <n v="0"/>
    <n v="0"/>
    <n v="1896.1886434192597"/>
    <n v="635.48053519542464"/>
    <n v="0.58548872268373631"/>
    <n v="0.16468613569365356"/>
    <n v="4.389247614646364E-2"/>
    <n v="30.30214176476078"/>
    <n v="1.5301400799730309"/>
    <n v="8.2424254666023984"/>
    <n v="8.2524252250592003"/>
    <n v="32.309516377966695"/>
    <n v="344.81274364011273"/>
    <n v="0"/>
    <n v="98.716145919736363"/>
    <n v="77.236694709424071"/>
    <n v="0"/>
    <n v="85.86750458883381"/>
    <n v="17.062443347324567"/>
    <n v="341.79077757911961"/>
    <n v="0"/>
    <n v="101.98242000699742"/>
    <n v="81.389815967122928"/>
    <n v="0"/>
    <n v="93.255078294860141"/>
    <n v="91.42693476369206"/>
    <n v="892.71066470160065"/>
    <n v="0"/>
    <n v="378.33333333333331"/>
    <n v="195.80557682200353"/>
    <n v="0"/>
    <n v="187.81193219368552"/>
    <n v="0"/>
    <n v="0"/>
    <n v="0"/>
    <n v="0"/>
    <n v="0"/>
    <n v="0"/>
    <n v="0"/>
    <n v="638.94260523607363"/>
    <n v="3.4620700406489959"/>
    <n v="9.9997584568018993E-3"/>
    <n v="33.523832316148678"/>
    <x v="1"/>
  </r>
  <r>
    <n v="3"/>
    <x v="0"/>
    <x v="0"/>
    <n v="1"/>
    <s v="LIGHT"/>
    <s v="SWEET"/>
    <n v="1110.1970668029492"/>
    <n v="83.228414800475107"/>
    <n v="312.27598023090906"/>
    <n v="110.04113489570344"/>
    <n v="126.58285122181967"/>
    <n v="0"/>
    <n v="0"/>
    <n v="0"/>
    <n v="0"/>
    <n v="143.60580193208193"/>
    <n v="0"/>
    <n v="0"/>
    <n v="0"/>
    <n v="10.257393535321418"/>
    <n v="0"/>
    <n v="0"/>
    <n v="0"/>
    <n v="1896.1886434192597"/>
    <n v="635.48053519542464"/>
    <n v="0.58548872268373631"/>
    <n v="0.16468613569365356"/>
    <n v="4.389247614646364E-2"/>
    <n v="36.614652924665549"/>
    <n v="0.41766843364396622"/>
    <n v="7.4901986850423734"/>
    <n v="7.500198824962089"/>
    <n v="90.959073204587185"/>
    <n v="354.64842055298772"/>
    <n v="0"/>
    <n v="83.29732181429867"/>
    <n v="58.267495958416603"/>
    <n v="0"/>
    <n v="53.919786961497309"/>
    <n v="17.062443347324567"/>
    <n v="341.79077757911961"/>
    <n v="0"/>
    <n v="101.98242000699742"/>
    <n v="81.389815967122928"/>
    <n v="0"/>
    <n v="93.255078294860141"/>
    <n v="91.42693476369206"/>
    <n v="892.71066470160065"/>
    <n v="0"/>
    <n v="378.33333333333331"/>
    <n v="195.80557682200353"/>
    <n v="0"/>
    <n v="187.81193219368552"/>
    <n v="0"/>
    <n v="0"/>
    <n v="0"/>
    <n v="0"/>
    <n v="0"/>
    <n v="0"/>
    <n v="0"/>
    <n v="641.0920984917874"/>
    <n v="5.6115632963627604"/>
    <n v="1.00001399197156E-2"/>
    <n v="33.885524084395904"/>
    <x v="2"/>
  </r>
  <r>
    <n v="4"/>
    <x v="0"/>
    <x v="0"/>
    <n v="1"/>
    <s v="LIGHT"/>
    <s v="SOUR"/>
    <n v="1110.1970668029492"/>
    <n v="83.228414800475107"/>
    <n v="312.27598023090906"/>
    <n v="110.04113489570344"/>
    <n v="126.58285122181967"/>
    <n v="0"/>
    <n v="0"/>
    <n v="0"/>
    <n v="0"/>
    <n v="143.60580193208193"/>
    <n v="0"/>
    <n v="0"/>
    <n v="0"/>
    <n v="10.257393535321418"/>
    <n v="0"/>
    <n v="0"/>
    <n v="0"/>
    <n v="1896.1886434192597"/>
    <n v="635.48053519542464"/>
    <n v="0.58548872268373631"/>
    <n v="0.16468613569365356"/>
    <n v="4.389247614646364E-2"/>
    <n v="36.614652924665549"/>
    <n v="1.5301400799730309"/>
    <n v="7.4901986850423734"/>
    <n v="7.500198824962089"/>
    <n v="90.959073204587185"/>
    <n v="354.64842055298772"/>
    <n v="0"/>
    <n v="83.29732181429867"/>
    <n v="58.267495958416603"/>
    <n v="0"/>
    <n v="53.919786961497309"/>
    <n v="17.062443347324567"/>
    <n v="341.79077757911961"/>
    <n v="0"/>
    <n v="101.98242000699742"/>
    <n v="81.389815967122928"/>
    <n v="0"/>
    <n v="93.255078294860141"/>
    <n v="91.42693476369206"/>
    <n v="892.71066470160065"/>
    <n v="0"/>
    <n v="378.33333333333331"/>
    <n v="195.80557682200353"/>
    <n v="0"/>
    <n v="187.81193219368552"/>
    <n v="0"/>
    <n v="0"/>
    <n v="0"/>
    <n v="0"/>
    <n v="0"/>
    <n v="0"/>
    <n v="0"/>
    <n v="641.0920984917874"/>
    <n v="5.6115632963627604"/>
    <n v="1.00001399197156E-2"/>
    <n v="32.016645070146197"/>
    <x v="3"/>
  </r>
  <r>
    <n v="5"/>
    <x v="0"/>
    <x v="1"/>
    <n v="1"/>
    <s v="HEAVY"/>
    <s v="SWEET"/>
    <n v="1035.011860720035"/>
    <n v="80.745234797457613"/>
    <n v="336.48167651968691"/>
    <n v="118.57084085832106"/>
    <n v="150.322538005761"/>
    <n v="0"/>
    <n v="0"/>
    <n v="0"/>
    <n v="0"/>
    <n v="175.81576906160231"/>
    <n v="0"/>
    <n v="0"/>
    <n v="0"/>
    <n v="10.451643824017232"/>
    <n v="0"/>
    <n v="0"/>
    <n v="0"/>
    <n v="1907.3995637868816"/>
    <n v="639.23771499922452"/>
    <n v="0.54262980886142187"/>
    <n v="0.17640859466888439"/>
    <n v="4.2332627274564834E-2"/>
    <n v="28.267512206646213"/>
    <n v="0.27799592561789516"/>
    <n v="8.3258898301560471"/>
    <n v="8.3358897793864362"/>
    <n v="25.741691901825451"/>
    <n v="345.50279782437843"/>
    <n v="0"/>
    <n v="100.73939415161627"/>
    <n v="79.525802009743614"/>
    <n v="0"/>
    <n v="89.641283699212025"/>
    <n v="17.163322389242563"/>
    <n v="343.81156237979081"/>
    <n v="0"/>
    <n v="102.58537520007047"/>
    <n v="81.871020592363934"/>
    <n v="0"/>
    <n v="93.806434437756749"/>
    <n v="149.79386952738412"/>
    <n v="1123.1713294032013"/>
    <n v="0"/>
    <n v="559.06666666666661"/>
    <n v="233.91115364400702"/>
    <n v="0"/>
    <n v="194.9338643873711"/>
    <n v="0"/>
    <n v="0"/>
    <n v="0"/>
    <n v="0"/>
    <n v="0"/>
    <n v="0"/>
    <n v="0"/>
    <n v="641.15096958677589"/>
    <n v="1.9132545875513642"/>
    <n v="9.9999492303890491E-3"/>
    <n v="33.061354200032305"/>
    <x v="0"/>
  </r>
  <r>
    <n v="6"/>
    <x v="0"/>
    <x v="1"/>
    <n v="1"/>
    <s v="HEAVY"/>
    <s v="SOUR"/>
    <n v="1035.011860720035"/>
    <n v="80.745234797457613"/>
    <n v="336.48167651968691"/>
    <n v="118.57084085832106"/>
    <n v="150.322538005761"/>
    <n v="0"/>
    <n v="0"/>
    <n v="0"/>
    <n v="0"/>
    <n v="175.81576906160231"/>
    <n v="0"/>
    <n v="0"/>
    <n v="0"/>
    <n v="10.451643824017232"/>
    <n v="0"/>
    <n v="0"/>
    <n v="0"/>
    <n v="1907.3995637868816"/>
    <n v="639.23771499922452"/>
    <n v="0.54262980886142187"/>
    <n v="0.17640859466888439"/>
    <n v="4.2332627274564834E-2"/>
    <n v="28.267512206646213"/>
    <n v="1.8266228074543227"/>
    <n v="8.3258898301560471"/>
    <n v="8.3358897793864362"/>
    <n v="25.741691901825451"/>
    <n v="345.50279782437843"/>
    <n v="0"/>
    <n v="100.73939415161627"/>
    <n v="79.525802009743614"/>
    <n v="0"/>
    <n v="89.641283699212025"/>
    <n v="17.163322389242563"/>
    <n v="343.81156237979081"/>
    <n v="0"/>
    <n v="102.58537520007047"/>
    <n v="81.871020592363934"/>
    <n v="0"/>
    <n v="93.806434437756749"/>
    <n v="149.79386952738412"/>
    <n v="1123.1713294032013"/>
    <n v="0"/>
    <n v="559.06666666666661"/>
    <n v="233.91115364400702"/>
    <n v="0"/>
    <n v="194.9338643873711"/>
    <n v="0"/>
    <n v="0"/>
    <n v="0"/>
    <n v="0"/>
    <n v="0"/>
    <n v="0"/>
    <n v="0"/>
    <n v="641.15096958677589"/>
    <n v="1.9132545875513642"/>
    <n v="9.9999492303890491E-3"/>
    <n v="31.992003368548627"/>
    <x v="1"/>
  </r>
  <r>
    <n v="7"/>
    <x v="0"/>
    <x v="1"/>
    <n v="1"/>
    <s v="LIGHT"/>
    <s v="SWEET"/>
    <n v="1035.011860720035"/>
    <n v="80.745234797457613"/>
    <n v="336.48167651968691"/>
    <n v="118.57084085832106"/>
    <n v="150.322538005761"/>
    <n v="0"/>
    <n v="0"/>
    <n v="0"/>
    <n v="0"/>
    <n v="175.81576906160231"/>
    <n v="0"/>
    <n v="0"/>
    <n v="0"/>
    <n v="10.451643824017232"/>
    <n v="0"/>
    <n v="0"/>
    <n v="0"/>
    <n v="1907.3995637868816"/>
    <n v="639.23771499922452"/>
    <n v="0.54262980886142187"/>
    <n v="0.17640859466888439"/>
    <n v="4.2332627274564834E-2"/>
    <n v="37.317276792879753"/>
    <n v="0.27799592561789516"/>
    <n v="7.2474798097797759"/>
    <n v="7.2574799113662518"/>
    <n v="110.51248037603982"/>
    <n v="359.69138747853333"/>
    <n v="0"/>
    <n v="78.656780792349181"/>
    <n v="52.341828632143496"/>
    <n v="0"/>
    <n v="43.824450547309198"/>
    <n v="17.163322389242563"/>
    <n v="343.81156237979081"/>
    <n v="0"/>
    <n v="102.58537520007047"/>
    <n v="81.871020592363934"/>
    <n v="0"/>
    <n v="93.806434437756749"/>
    <n v="149.79386952738412"/>
    <n v="1123.1713294032013"/>
    <n v="0"/>
    <n v="559.06666666666661"/>
    <n v="233.91115364400702"/>
    <n v="0"/>
    <n v="194.9338643873711"/>
    <n v="0"/>
    <n v="0"/>
    <n v="0"/>
    <n v="0"/>
    <n v="0"/>
    <n v="0"/>
    <n v="0"/>
    <n v="645.02692782637496"/>
    <n v="5.7892128271504362"/>
    <n v="1.0000101586475907E-2"/>
    <n v="32.075597555022675"/>
    <x v="2"/>
  </r>
  <r>
    <n v="8"/>
    <x v="0"/>
    <x v="1"/>
    <n v="1"/>
    <s v="LIGHT"/>
    <s v="SOUR"/>
    <n v="1035.011860720035"/>
    <n v="80.745234797457613"/>
    <n v="336.48167651968691"/>
    <n v="118.57084085832106"/>
    <n v="150.322538005761"/>
    <n v="0"/>
    <n v="0"/>
    <n v="0"/>
    <n v="0"/>
    <n v="175.81576906160231"/>
    <n v="0"/>
    <n v="0"/>
    <n v="0"/>
    <n v="10.451643824017232"/>
    <n v="0"/>
    <n v="0"/>
    <n v="0"/>
    <n v="1907.3995637868816"/>
    <n v="639.23771499922452"/>
    <n v="0.54262980886142187"/>
    <n v="0.17640859466888439"/>
    <n v="4.2332627274564834E-2"/>
    <n v="37.317276792879753"/>
    <n v="1.8266228074543227"/>
    <n v="7.2474798097797759"/>
    <n v="7.2574799113662518"/>
    <n v="110.51248037603982"/>
    <n v="359.69138747853333"/>
    <n v="0"/>
    <n v="78.656780792349181"/>
    <n v="52.341828632143496"/>
    <n v="0"/>
    <n v="43.824450547309198"/>
    <n v="17.163322389242563"/>
    <n v="343.81156237979081"/>
    <n v="0"/>
    <n v="102.58537520007047"/>
    <n v="81.871020592363934"/>
    <n v="0"/>
    <n v="93.806434437756749"/>
    <n v="149.79386952738412"/>
    <n v="1123.1713294032013"/>
    <n v="0"/>
    <n v="559.06666666666661"/>
    <n v="233.91115364400702"/>
    <n v="0"/>
    <n v="194.9338643873711"/>
    <n v="0"/>
    <n v="0"/>
    <n v="0"/>
    <n v="0"/>
    <n v="0"/>
    <n v="0"/>
    <n v="0"/>
    <n v="645.02692782637496"/>
    <n v="5.7892128271504362"/>
    <n v="1.0000101586475907E-2"/>
    <n v="33.262113937042464"/>
    <x v="3"/>
  </r>
  <r>
    <n v="9"/>
    <x v="0"/>
    <x v="0"/>
    <n v="2"/>
    <s v="HEAVY"/>
    <s v="SWEET"/>
    <n v="2334.9472793392815"/>
    <n v="198.11758713828263"/>
    <n v="1211.1971507513754"/>
    <n v="74.484884121821509"/>
    <n v="41.316115877463915"/>
    <n v="29.323153592751066"/>
    <n v="0"/>
    <n v="0"/>
    <n v="0"/>
    <n v="298.48989607922942"/>
    <n v="0"/>
    <n v="0"/>
    <n v="0"/>
    <n v="8.9774380545843417"/>
    <n v="0"/>
    <n v="0"/>
    <n v="0"/>
    <n v="4196.8535049547891"/>
    <n v="3465.8055193604632"/>
    <n v="0.55635663160094861"/>
    <n v="0.28859648051127845"/>
    <n v="4.7206219350850766E-2"/>
    <n v="30.283494646922765"/>
    <n v="0.85848259090407375"/>
    <n v="9.6619726849597658"/>
    <n v="9.6719726889607927"/>
    <n v="69.093112296540269"/>
    <n v="599.03305953025574"/>
    <n v="0"/>
    <n v="432.53681249447618"/>
    <n v="1344.3428935448717"/>
    <n v="0"/>
    <n v="1049.676546229616"/>
    <n v="21.267562482464335"/>
    <n v="523.92748471387574"/>
    <n v="0"/>
    <n v="441.52430096675005"/>
    <n v="1365.2311026991258"/>
    <n v="0"/>
    <n v="1113.855068498247"/>
    <n v="69.095643226583363"/>
    <n v="829.70092482947541"/>
    <n v="0"/>
    <n v="993.12500000000011"/>
    <n v="1991.4122477464978"/>
    <n v="0"/>
    <n v="1360.1267578285858"/>
    <n v="0"/>
    <n v="0"/>
    <n v="0"/>
    <n v="0"/>
    <n v="0"/>
    <n v="0"/>
    <n v="0"/>
    <n v="3494.6824240957603"/>
    <n v="28.876904735297103"/>
    <n v="1.0000004001026852E-2"/>
    <n v="35.587587064639756"/>
    <x v="0"/>
  </r>
  <r>
    <n v="10"/>
    <x v="0"/>
    <x v="0"/>
    <n v="2"/>
    <s v="HEAVY"/>
    <s v="SOUR"/>
    <n v="2334.9472793392815"/>
    <n v="198.11758713828263"/>
    <n v="1211.1971507513754"/>
    <n v="74.484884121821509"/>
    <n v="41.316115877463915"/>
    <n v="29.323153592751066"/>
    <n v="0"/>
    <n v="0"/>
    <n v="0"/>
    <n v="298.48989607922942"/>
    <n v="0"/>
    <n v="0"/>
    <n v="0"/>
    <n v="8.9774380545843417"/>
    <n v="0"/>
    <n v="0"/>
    <n v="0"/>
    <n v="4196.8535049547891"/>
    <n v="3465.8055193604632"/>
    <n v="0.55635663160094861"/>
    <n v="0.28859648051127845"/>
    <n v="4.7206219350850766E-2"/>
    <n v="30.283494646922765"/>
    <n v="2.3964868933205583"/>
    <n v="9.6619726849597658"/>
    <n v="9.6719726889607927"/>
    <n v="69.093112296540269"/>
    <n v="599.03305953025574"/>
    <n v="0"/>
    <n v="432.53681249447618"/>
    <n v="1344.3428935448717"/>
    <n v="0"/>
    <n v="1049.676546229616"/>
    <n v="21.267562482464335"/>
    <n v="523.92748471387574"/>
    <n v="0"/>
    <n v="441.52430096675005"/>
    <n v="1365.2311026991258"/>
    <n v="0"/>
    <n v="1113.855068498247"/>
    <n v="69.095643226583363"/>
    <n v="829.70092482947541"/>
    <n v="0"/>
    <n v="993.12500000000011"/>
    <n v="1991.4122477464978"/>
    <n v="0"/>
    <n v="1360.1267578285858"/>
    <n v="0"/>
    <n v="0"/>
    <n v="0"/>
    <n v="0"/>
    <n v="0"/>
    <n v="0"/>
    <n v="0"/>
    <n v="3494.6824240957603"/>
    <n v="28.876904735297103"/>
    <n v="1.0000004001026852E-2"/>
    <n v="35.999051719998036"/>
    <x v="1"/>
  </r>
  <r>
    <n v="11"/>
    <x v="0"/>
    <x v="0"/>
    <n v="2"/>
    <s v="LIGHT"/>
    <s v="SWEET"/>
    <n v="2334.9472793392815"/>
    <n v="198.11758713828263"/>
    <n v="1211.1971507513754"/>
    <n v="74.484884121821509"/>
    <n v="41.316115877463915"/>
    <n v="29.323153592751066"/>
    <n v="0"/>
    <n v="0"/>
    <n v="0"/>
    <n v="298.48989607922942"/>
    <n v="0"/>
    <n v="0"/>
    <n v="0"/>
    <n v="8.9774380545843417"/>
    <n v="0"/>
    <n v="0"/>
    <n v="0"/>
    <n v="4196.8535049547891"/>
    <n v="3465.8055193604632"/>
    <n v="0.55635663160094861"/>
    <n v="0.28859648051127845"/>
    <n v="4.7206219350850766E-2"/>
    <n v="34.957728681668918"/>
    <n v="0.85848259090407375"/>
    <n v="9.3728395805507958"/>
    <n v="9.3828396241765031"/>
    <n v="69.094409156970343"/>
    <n v="829.69674757506368"/>
    <n v="0"/>
    <n v="463.43746656245816"/>
    <n v="1306.6174475700918"/>
    <n v="0"/>
    <n v="762.305134057788"/>
    <n v="21.267562482464335"/>
    <n v="523.92748471387574"/>
    <n v="0"/>
    <n v="441.52430096675005"/>
    <n v="1365.2311026991258"/>
    <n v="0"/>
    <n v="1113.855068498247"/>
    <n v="69.095643226583363"/>
    <n v="829.70092482947541"/>
    <n v="0"/>
    <n v="993.12500000000011"/>
    <n v="1991.4122477464978"/>
    <n v="0"/>
    <n v="1360.1267578285858"/>
    <n v="0"/>
    <n v="0"/>
    <n v="0"/>
    <n v="0"/>
    <n v="0"/>
    <n v="0"/>
    <n v="0"/>
    <n v="3431.151204922372"/>
    <n v="34.654314438091205"/>
    <n v="1.0000043625707278E-2"/>
    <n v="35.371406658914395"/>
    <x v="2"/>
  </r>
  <r>
    <n v="12"/>
    <x v="0"/>
    <x v="0"/>
    <n v="2"/>
    <s v="LIGHT"/>
    <s v="SOUR"/>
    <n v="2334.9472793392815"/>
    <n v="198.11758713828263"/>
    <n v="1211.1971507513754"/>
    <n v="74.484884121821509"/>
    <n v="41.316115877463915"/>
    <n v="29.323153592751066"/>
    <n v="0"/>
    <n v="0"/>
    <n v="0"/>
    <n v="298.48989607922942"/>
    <n v="0"/>
    <n v="0"/>
    <n v="0"/>
    <n v="8.9774380545843417"/>
    <n v="0"/>
    <n v="0"/>
    <n v="0"/>
    <n v="4196.8535049547891"/>
    <n v="3465.8055193604632"/>
    <n v="0.55635663160094861"/>
    <n v="0.28859648051127845"/>
    <n v="4.7206219350850766E-2"/>
    <n v="34.957728681668918"/>
    <n v="2.3964868933205583"/>
    <n v="9.3728395805507958"/>
    <n v="9.3828396241765031"/>
    <n v="69.094409156970343"/>
    <n v="829.69674757506368"/>
    <n v="0"/>
    <n v="463.43746656245816"/>
    <n v="1306.6174475700918"/>
    <n v="0"/>
    <n v="762.305134057788"/>
    <n v="21.267562482464335"/>
    <n v="523.92748471387574"/>
    <n v="0"/>
    <n v="441.52430096675005"/>
    <n v="1365.2311026991258"/>
    <n v="0"/>
    <n v="1113.855068498247"/>
    <n v="69.095643226583363"/>
    <n v="829.70092482947541"/>
    <n v="0"/>
    <n v="993.12500000000011"/>
    <n v="1991.4122477464978"/>
    <n v="0"/>
    <n v="1360.1267578285858"/>
    <n v="0"/>
    <n v="0"/>
    <n v="0"/>
    <n v="0"/>
    <n v="0"/>
    <n v="0"/>
    <n v="0"/>
    <n v="3431.151204922372"/>
    <n v="34.654314438091205"/>
    <n v="1.0000043625707278E-2"/>
    <n v="33.729731684655583"/>
    <x v="3"/>
  </r>
  <r>
    <n v="13"/>
    <x v="0"/>
    <x v="1"/>
    <n v="2"/>
    <s v="HEAVY"/>
    <s v="SWEET"/>
    <n v="2185.1467938308306"/>
    <n v="195.15645299887345"/>
    <n v="1276.0262266491197"/>
    <n v="78.471672072051305"/>
    <n v="49.225586995672721"/>
    <n v="34.936717005258899"/>
    <n v="0"/>
    <n v="0"/>
    <n v="0"/>
    <n v="366.28540801510849"/>
    <n v="0"/>
    <n v="0"/>
    <n v="0"/>
    <n v="9.1474490742304866"/>
    <n v="0"/>
    <n v="0"/>
    <n v="0"/>
    <n v="4194.3963066411452"/>
    <n v="3463.7763392931734"/>
    <n v="0.52096812844580409"/>
    <n v="0.3042216646597603"/>
    <n v="4.6527900258226652E-2"/>
    <n v="28.354057795771688"/>
    <n v="0.49194998451747501"/>
    <n v="9.6771992137307805"/>
    <n v="9.6871988869052181"/>
    <n v="89.583978716782511"/>
    <n v="540.39022219050958"/>
    <n v="0"/>
    <n v="431.49921869606715"/>
    <n v="1350.9083430698274"/>
    <n v="0"/>
    <n v="1086.0199787939096"/>
    <n v="21.255110625708902"/>
    <n v="523.62073258864882"/>
    <n v="0"/>
    <n v="441.26579473905178"/>
    <n v="1364.4317792156339"/>
    <n v="0"/>
    <n v="1113.2029221241298"/>
    <n v="113.20628645316671"/>
    <n v="1043.8951024062037"/>
    <n v="0"/>
    <n v="1467.5500000000002"/>
    <n v="2378.9594954929953"/>
    <n v="0"/>
    <n v="1411.7035156571721"/>
    <n v="0"/>
    <n v="0"/>
    <n v="0"/>
    <n v="0"/>
    <n v="0"/>
    <n v="0"/>
    <n v="0"/>
    <n v="3498.4017414670961"/>
    <n v="34.625402173922794"/>
    <n v="9.9996731744376177E-3"/>
    <n v="33.033147626459353"/>
    <x v="0"/>
  </r>
  <r>
    <n v="14"/>
    <x v="0"/>
    <x v="1"/>
    <n v="2"/>
    <s v="HEAVY"/>
    <s v="SOUR"/>
    <n v="2185.1467938308306"/>
    <n v="195.15645299887345"/>
    <n v="1276.0262266491197"/>
    <n v="78.471672072051305"/>
    <n v="49.225586995672721"/>
    <n v="34.936717005258899"/>
    <n v="0"/>
    <n v="0"/>
    <n v="0"/>
    <n v="366.28540801510849"/>
    <n v="0"/>
    <n v="0"/>
    <n v="0"/>
    <n v="9.1474490742304866"/>
    <n v="0"/>
    <n v="0"/>
    <n v="0"/>
    <n v="4194.3963066411452"/>
    <n v="3463.7763392931734"/>
    <n v="0.52096812844580409"/>
    <n v="0.3042216646597603"/>
    <n v="4.6527900258226652E-2"/>
    <n v="28.354057795771688"/>
    <n v="4.4723269444483442"/>
    <n v="9.6771992137307805"/>
    <n v="9.6871988869052181"/>
    <n v="89.583978716782511"/>
    <n v="540.39022219050958"/>
    <n v="0"/>
    <n v="431.49921869606715"/>
    <n v="1350.9083430698274"/>
    <n v="0"/>
    <n v="1086.0199787939096"/>
    <n v="21.255110625708902"/>
    <n v="523.62073258864882"/>
    <n v="0"/>
    <n v="441.26579473905178"/>
    <n v="1364.4317792156339"/>
    <n v="0"/>
    <n v="1113.2029221241298"/>
    <n v="113.20628645316671"/>
    <n v="1043.8951024062037"/>
    <n v="0"/>
    <n v="1467.5500000000002"/>
    <n v="2378.9594954929953"/>
    <n v="0"/>
    <n v="1411.7035156571721"/>
    <n v="0"/>
    <n v="0"/>
    <n v="0"/>
    <n v="0"/>
    <n v="0"/>
    <n v="0"/>
    <n v="0"/>
    <n v="3498.4017414670961"/>
    <n v="34.625402173922794"/>
    <n v="9.9996731744376177E-3"/>
    <n v="34.057922908529804"/>
    <x v="1"/>
  </r>
  <r>
    <n v="15"/>
    <x v="0"/>
    <x v="1"/>
    <n v="2"/>
    <s v="LIGHT"/>
    <s v="SWEET"/>
    <n v="2185.1467938308306"/>
    <n v="195.15645299887345"/>
    <n v="1276.0262266491197"/>
    <n v="78.471672072051305"/>
    <n v="49.225586995672721"/>
    <n v="34.936717005258899"/>
    <n v="0"/>
    <n v="0"/>
    <n v="0"/>
    <n v="366.28540801510849"/>
    <n v="0"/>
    <n v="0"/>
    <n v="0"/>
    <n v="9.1474490742304866"/>
    <n v="0"/>
    <n v="0"/>
    <n v="0"/>
    <n v="4194.3963066411452"/>
    <n v="3463.7763392931734"/>
    <n v="0.52096812844580409"/>
    <n v="0.3042216646597603"/>
    <n v="4.6527900258226652E-2"/>
    <n v="34.957728681668918"/>
    <n v="0.49194998451747501"/>
    <n v="9.2687173427886282"/>
    <n v="9.2787173574905104"/>
    <n v="113.20539615678824"/>
    <n v="890.28287429312343"/>
    <n v="0"/>
    <n v="406.02400955810873"/>
    <n v="1272.3102283693113"/>
    <n v="0"/>
    <n v="814.17859708895844"/>
    <n v="21.255110625708902"/>
    <n v="523.62073258864882"/>
    <n v="0"/>
    <n v="441.26579473905178"/>
    <n v="1364.4317792156339"/>
    <n v="0"/>
    <n v="1113.2029221241298"/>
    <n v="113.20628645316671"/>
    <n v="1043.8951024062037"/>
    <n v="0"/>
    <n v="1467.5500000000002"/>
    <n v="2378.9594954929953"/>
    <n v="0"/>
    <n v="1411.7035156571721"/>
    <n v="0"/>
    <n v="0"/>
    <n v="0"/>
    <n v="0"/>
    <n v="0"/>
    <n v="0"/>
    <n v="0"/>
    <n v="3496.00110546629"/>
    <n v="32.224766173116677"/>
    <n v="1.0000014701882165E-2"/>
    <n v="34.516287898982284"/>
    <x v="2"/>
  </r>
  <r>
    <n v="16"/>
    <x v="0"/>
    <x v="1"/>
    <n v="2"/>
    <s v="LIGHT"/>
    <s v="SOUR"/>
    <n v="2185.1467938308306"/>
    <n v="195.15645299887345"/>
    <n v="1276.0262266491197"/>
    <n v="78.471672072051305"/>
    <n v="49.225586995672721"/>
    <n v="34.936717005258899"/>
    <n v="0"/>
    <n v="0"/>
    <n v="0"/>
    <n v="366.28540801510849"/>
    <n v="0"/>
    <n v="0"/>
    <n v="0"/>
    <n v="9.1474490742304866"/>
    <n v="0"/>
    <n v="0"/>
    <n v="0"/>
    <n v="4194.3963066411452"/>
    <n v="3463.7763392931734"/>
    <n v="0.52096812844580409"/>
    <n v="0.3042216646597603"/>
    <n v="4.6527900258226652E-2"/>
    <n v="34.957728681668918"/>
    <n v="4.4723269444483442"/>
    <n v="9.2687173427886282"/>
    <n v="9.2787173574905104"/>
    <n v="113.20539615678824"/>
    <n v="890.28287429312343"/>
    <n v="0"/>
    <n v="406.02400955810873"/>
    <n v="1272.3102283693113"/>
    <n v="0"/>
    <n v="814.17859708895844"/>
    <n v="21.255110625708902"/>
    <n v="523.62073258864882"/>
    <n v="0"/>
    <n v="441.26579473905178"/>
    <n v="1364.4317792156339"/>
    <n v="0"/>
    <n v="1113.2029221241298"/>
    <n v="113.20628645316671"/>
    <n v="1043.8951024062037"/>
    <n v="0"/>
    <n v="1467.5500000000002"/>
    <n v="2378.9594954929953"/>
    <n v="0"/>
    <n v="1411.7035156571721"/>
    <n v="0"/>
    <n v="0"/>
    <n v="0"/>
    <n v="0"/>
    <n v="0"/>
    <n v="0"/>
    <n v="0"/>
    <n v="3496.00110546629"/>
    <n v="32.224766173116677"/>
    <n v="1.0000014701882165E-2"/>
    <n v="33.352327618274856"/>
    <x v="3"/>
  </r>
  <r>
    <n v="17"/>
    <x v="0"/>
    <x v="0"/>
    <n v="3"/>
    <s v="HEAVY"/>
    <s v="SWEET"/>
    <n v="3183.1099711418956"/>
    <n v="684.26784185324789"/>
    <n v="2397.4657885687948"/>
    <n v="1700.6793855468002"/>
    <n v="227.03245314490249"/>
    <n v="42.104798242288538"/>
    <n v="0"/>
    <n v="0"/>
    <n v="0"/>
    <n v="101.2831980294727"/>
    <n v="0"/>
    <n v="0"/>
    <n v="0"/>
    <n v="12.728894991386792"/>
    <n v="0"/>
    <n v="0"/>
    <n v="0"/>
    <n v="8348.6723315187883"/>
    <n v="8390.9136780149947"/>
    <n v="0.38127139798320786"/>
    <n v="0.28716731156373559"/>
    <n v="8.1961276557702203E-2"/>
    <n v="30.30214176476078"/>
    <n v="1.0500146884775321"/>
    <n v="9.6341438077688863"/>
    <n v="9.6441436652801649"/>
    <n v="653.57720075431212"/>
    <n v="666.5137214314617"/>
    <n v="305.84922712588525"/>
    <n v="777.98687259593373"/>
    <n v="1663.3948481400043"/>
    <n v="6.6099425128713918E-3"/>
    <n v="4407.4818920318639"/>
    <n v="254.95703836105648"/>
    <n v="592.42866656501815"/>
    <n v="254.7047633589803"/>
    <n v="869.63842652559333"/>
    <n v="1778.504324363784"/>
    <n v="32.718259654931856"/>
    <n v="4607.9621991856302"/>
    <n v="818.90159671962101"/>
    <n v="927.50919366992355"/>
    <n v="305.85558861538459"/>
    <n v="1933.836664979757"/>
    <n v="2564.7302317013236"/>
    <n v="53.6302514614692"/>
    <n v="5562.7734410987441"/>
    <n v="0"/>
    <n v="0"/>
    <n v="0"/>
    <n v="0"/>
    <n v="0"/>
    <n v="0"/>
    <n v="0"/>
    <n v="8474.8103720219733"/>
    <n v="83.896694006978578"/>
    <n v="9.9998575112785204E-3"/>
    <n v="37.220644600468333"/>
    <x v="0"/>
  </r>
  <r>
    <n v="18"/>
    <x v="0"/>
    <x v="0"/>
    <n v="3"/>
    <s v="HEAVY"/>
    <s v="SOUR"/>
    <n v="3183.1099711418956"/>
    <n v="684.26784185324789"/>
    <n v="2397.4657885687948"/>
    <n v="1700.6793855468002"/>
    <n v="227.03245314490249"/>
    <n v="42.104798242288538"/>
    <n v="0"/>
    <n v="0"/>
    <n v="0"/>
    <n v="101.2831980294727"/>
    <n v="0"/>
    <n v="0"/>
    <n v="0"/>
    <n v="12.728894991386792"/>
    <n v="0"/>
    <n v="0"/>
    <n v="0"/>
    <n v="8348.6723315187883"/>
    <n v="8390.9136780149947"/>
    <n v="0.38127139798320786"/>
    <n v="0.28716731156373559"/>
    <n v="8.1961276557702203E-2"/>
    <n v="30.30214176476078"/>
    <n v="1.975455919496689"/>
    <n v="9.6341438077688863"/>
    <n v="9.6441436652801649"/>
    <n v="653.57720075431212"/>
    <n v="666.5137214314617"/>
    <n v="305.84922712588525"/>
    <n v="777.98687259593373"/>
    <n v="1663.3948481400043"/>
    <n v="6.6099425128713918E-3"/>
    <n v="4407.4818920318639"/>
    <n v="254.95703836105648"/>
    <n v="592.42866656501815"/>
    <n v="254.7047633589803"/>
    <n v="869.63842652559333"/>
    <n v="1778.504324363784"/>
    <n v="32.718259654931856"/>
    <n v="4607.9621991856302"/>
    <n v="818.90159671962101"/>
    <n v="927.50919366992355"/>
    <n v="305.85558861538459"/>
    <n v="1933.836664979757"/>
    <n v="2564.7302317013236"/>
    <n v="53.6302514614692"/>
    <n v="5562.7734410987441"/>
    <n v="0"/>
    <n v="0"/>
    <n v="0"/>
    <n v="0"/>
    <n v="0"/>
    <n v="0"/>
    <n v="0"/>
    <n v="8474.8103720219733"/>
    <n v="83.896694006978578"/>
    <n v="9.9998575112785204E-3"/>
    <n v="36.867428827642655"/>
    <x v="1"/>
  </r>
  <r>
    <n v="19"/>
    <x v="0"/>
    <x v="0"/>
    <n v="3"/>
    <s v="LIGHT"/>
    <s v="SWEET"/>
    <n v="3183.1099711418956"/>
    <n v="684.26784185324789"/>
    <n v="2397.4657885687948"/>
    <n v="1700.6793855468002"/>
    <n v="227.03245314490249"/>
    <n v="42.104798242288538"/>
    <n v="0"/>
    <n v="0"/>
    <n v="0"/>
    <n v="101.2831980294727"/>
    <n v="0"/>
    <n v="0"/>
    <n v="0"/>
    <n v="12.728894991386792"/>
    <n v="0"/>
    <n v="0"/>
    <n v="0"/>
    <n v="8348.6723315187883"/>
    <n v="8390.9136780149947"/>
    <n v="0.38127139798320786"/>
    <n v="0.28716731156373559"/>
    <n v="8.1961276557702203E-2"/>
    <n v="36.614652924665549"/>
    <n v="1.0500146884775321"/>
    <n v="9.1716068977002774"/>
    <n v="9.1816068420679198"/>
    <n v="818.90133857978287"/>
    <n v="927.5088238876989"/>
    <n v="305.85516035670582"/>
    <n v="1379.0242050532147"/>
    <n v="1828.6437956180544"/>
    <n v="53.629988209043283"/>
    <n v="2993.4424935979669"/>
    <n v="254.95703836105648"/>
    <n v="592.42866656501815"/>
    <n v="254.7047633589803"/>
    <n v="869.63842652559333"/>
    <n v="1778.504324363784"/>
    <n v="32.718259654931856"/>
    <n v="4607.9621991856302"/>
    <n v="818.90159671962101"/>
    <n v="927.50919366992355"/>
    <n v="305.85558861538459"/>
    <n v="1933.836664979757"/>
    <n v="2564.7302317013236"/>
    <n v="53.6302514614692"/>
    <n v="5562.7734410987441"/>
    <n v="0"/>
    <n v="0"/>
    <n v="0"/>
    <n v="0"/>
    <n v="0"/>
    <n v="0"/>
    <n v="0"/>
    <n v="8307.0058053024659"/>
    <n v="83.907872712528842"/>
    <n v="9.9999443676423994E-3"/>
    <n v="36.53047779778781"/>
    <x v="2"/>
  </r>
  <r>
    <n v="20"/>
    <x v="0"/>
    <x v="0"/>
    <n v="3"/>
    <s v="LIGHT"/>
    <s v="SOUR"/>
    <n v="3183.1099711418956"/>
    <n v="684.26784185324789"/>
    <n v="2397.4657885687948"/>
    <n v="1700.6793855468002"/>
    <n v="227.03245314490249"/>
    <n v="42.104798242288538"/>
    <n v="0"/>
    <n v="0"/>
    <n v="0"/>
    <n v="101.2831980294727"/>
    <n v="0"/>
    <n v="0"/>
    <n v="0"/>
    <n v="12.728894991386792"/>
    <n v="0"/>
    <n v="0"/>
    <n v="0"/>
    <n v="8348.6723315187883"/>
    <n v="8390.9136780149947"/>
    <n v="0.38127139798320786"/>
    <n v="0.28716731156373559"/>
    <n v="8.1961276557702203E-2"/>
    <n v="36.614652924665549"/>
    <n v="1.975455919496689"/>
    <n v="9.1716068977002774"/>
    <n v="9.1816068420679198"/>
    <n v="818.90133857978287"/>
    <n v="927.5088238876989"/>
    <n v="305.85516035670582"/>
    <n v="1379.0242050532147"/>
    <n v="1828.6437956180544"/>
    <n v="53.629988209043283"/>
    <n v="2993.4424935979669"/>
    <n v="254.95703836105648"/>
    <n v="592.42866656501815"/>
    <n v="254.7047633589803"/>
    <n v="869.63842652559333"/>
    <n v="1778.504324363784"/>
    <n v="32.718259654931856"/>
    <n v="4607.9621991856302"/>
    <n v="818.90159671962101"/>
    <n v="927.50919366992355"/>
    <n v="305.85558861538459"/>
    <n v="1933.836664979757"/>
    <n v="2564.7302317013236"/>
    <n v="53.6302514614692"/>
    <n v="5562.7734410987441"/>
    <n v="0"/>
    <n v="0"/>
    <n v="0"/>
    <n v="0"/>
    <n v="0"/>
    <n v="0"/>
    <n v="0"/>
    <n v="8307.0058053024659"/>
    <n v="83.907872712528842"/>
    <n v="9.9999443676423994E-3"/>
    <n v="36.238790360977305"/>
    <x v="3"/>
  </r>
  <r>
    <n v="21"/>
    <x v="0"/>
    <x v="1"/>
    <n v="3"/>
    <s v="HEAVY"/>
    <s v="SWEET"/>
    <n v="3001.470395855767"/>
    <n v="637.69345190601518"/>
    <n v="2542.3070187512535"/>
    <n v="1803.4247492233335"/>
    <n v="269.32588574164436"/>
    <n v="49.948418930838677"/>
    <n v="0"/>
    <n v="0"/>
    <n v="0"/>
    <n v="124.2815058048555"/>
    <n v="0"/>
    <n v="0"/>
    <n v="0"/>
    <n v="12.969949555427933"/>
    <n v="0"/>
    <n v="0"/>
    <n v="0"/>
    <n v="8441.4213757691377"/>
    <n v="8484.1319998174858"/>
    <n v="0.35556457405045594"/>
    <n v="0.30117049079540964"/>
    <n v="7.5543373979232484E-2"/>
    <n v="28.267512206646213"/>
    <n v="1.0693086579627853"/>
    <n v="9.7624536969087075"/>
    <n v="9.7724528455232935"/>
    <n v="524.98586005351535"/>
    <n v="651.28165208421024"/>
    <n v="315.8815829100223"/>
    <n v="821.83186125789837"/>
    <n v="1725.2652108193568"/>
    <n v="7.2177124606499334E-3"/>
    <n v="4529.6423745205293"/>
    <n v="257.78946736220593"/>
    <n v="599.01021515484263"/>
    <n v="257.53438972704009"/>
    <n v="879.29961931179446"/>
    <n v="1798.2625050336733"/>
    <n v="33.081741079525941"/>
    <n v="4659.1540621484028"/>
    <n v="1341.688193439242"/>
    <n v="1166.9533873398473"/>
    <n v="315.88917723076923"/>
    <n v="2857.6483299595143"/>
    <n v="3063.8504634026467"/>
    <n v="69.2605029229384"/>
    <n v="5773.7168821974883"/>
    <n v="0"/>
    <n v="0"/>
    <n v="0"/>
    <n v="0"/>
    <n v="0"/>
    <n v="0"/>
    <n v="0"/>
    <n v="8568.8957593579926"/>
    <n v="84.763759540506726"/>
    <n v="9.999148614586062E-3"/>
    <n v="36.98998109211216"/>
    <x v="0"/>
  </r>
  <r>
    <n v="22"/>
    <x v="0"/>
    <x v="1"/>
    <n v="3"/>
    <s v="HEAVY"/>
    <s v="SOUR"/>
    <n v="3001.470395855767"/>
    <n v="637.69345190601518"/>
    <n v="2542.3070187512535"/>
    <n v="1803.4247492233335"/>
    <n v="269.32588574164436"/>
    <n v="49.948418930838677"/>
    <n v="0"/>
    <n v="0"/>
    <n v="0"/>
    <n v="124.2815058048555"/>
    <n v="0"/>
    <n v="0"/>
    <n v="0"/>
    <n v="12.969949555427933"/>
    <n v="0"/>
    <n v="0"/>
    <n v="0"/>
    <n v="8441.4213757691377"/>
    <n v="8484.1319998174858"/>
    <n v="0.35556457405045594"/>
    <n v="0.30117049079540964"/>
    <n v="7.5543373979232484E-2"/>
    <n v="28.267512206646213"/>
    <n v="2.673413137685352"/>
    <n v="9.7624536969087075"/>
    <n v="9.7724528455232935"/>
    <n v="524.98586005351535"/>
    <n v="651.28165208421024"/>
    <n v="315.8815829100223"/>
    <n v="821.83186125789837"/>
    <n v="1725.2652108193568"/>
    <n v="7.2177124606499334E-3"/>
    <n v="4529.6423745205293"/>
    <n v="257.78946736220593"/>
    <n v="599.01021515484263"/>
    <n v="257.53438972704009"/>
    <n v="879.29961931179446"/>
    <n v="1798.2625050336733"/>
    <n v="33.081741079525941"/>
    <n v="4659.1540621484028"/>
    <n v="1341.688193439242"/>
    <n v="1166.9533873398473"/>
    <n v="315.88917723076923"/>
    <n v="2857.6483299595143"/>
    <n v="3063.8504634026467"/>
    <n v="69.2605029229384"/>
    <n v="5773.7168821974883"/>
    <n v="0"/>
    <n v="0"/>
    <n v="0"/>
    <n v="0"/>
    <n v="0"/>
    <n v="0"/>
    <n v="0"/>
    <n v="8568.8957593579926"/>
    <n v="84.763759540506726"/>
    <n v="9.999148614586062E-3"/>
    <n v="37.24377459716645"/>
    <x v="1"/>
  </r>
  <r>
    <n v="23"/>
    <x v="0"/>
    <x v="1"/>
    <n v="3"/>
    <s v="LIGHT"/>
    <s v="SWEET"/>
    <n v="3001.470395855767"/>
    <n v="637.69345190601518"/>
    <n v="2542.3070187512535"/>
    <n v="1803.4247492233335"/>
    <n v="269.32588574164436"/>
    <n v="49.948418930838677"/>
    <n v="0"/>
    <n v="0"/>
    <n v="0"/>
    <n v="124.2815058048555"/>
    <n v="0"/>
    <n v="0"/>
    <n v="0"/>
    <n v="12.969949555427933"/>
    <n v="0"/>
    <n v="0"/>
    <n v="0"/>
    <n v="8441.4213757691377"/>
    <n v="8484.1319998174858"/>
    <n v="0.35556457405045594"/>
    <n v="0.30117049079540964"/>
    <n v="7.5543373979232484E-2"/>
    <n v="37.317276792879753"/>
    <n v="1.0693086579627853"/>
    <n v="9.0993498951836393"/>
    <n v="9.1093498997964719"/>
    <n v="1212.1346752428269"/>
    <n v="759.72797575357652"/>
    <n v="315.87415017675528"/>
    <n v="634.78468860485441"/>
    <n v="1496.3607368823516"/>
    <n v="3.2539849613758397E-3"/>
    <n v="4148.5279065860686"/>
    <n v="257.78946736220593"/>
    <n v="599.01021515484263"/>
    <n v="257.53438972704009"/>
    <n v="879.29961931179446"/>
    <n v="1798.2625050336733"/>
    <n v="33.081741079525941"/>
    <n v="4659.1540621484028"/>
    <n v="1341.688193439242"/>
    <n v="1166.9533873398473"/>
    <n v="315.88917723076923"/>
    <n v="2857.6483299595143"/>
    <n v="3063.8504634026467"/>
    <n v="69.2605029229384"/>
    <n v="5773.7168821974883"/>
    <n v="0"/>
    <n v="0"/>
    <n v="0"/>
    <n v="0"/>
    <n v="0"/>
    <n v="0"/>
    <n v="0"/>
    <n v="8567.4133872313942"/>
    <n v="83.281387413908305"/>
    <n v="1.0000004612832569E-2"/>
    <n v="35.873355233431411"/>
    <x v="2"/>
  </r>
  <r>
    <n v="24"/>
    <x v="0"/>
    <x v="1"/>
    <n v="3"/>
    <s v="LIGHT"/>
    <s v="SOUR"/>
    <n v="3001.470395855767"/>
    <n v="637.69345190601518"/>
    <n v="2542.3070187512535"/>
    <n v="1803.4247492233335"/>
    <n v="269.32588574164436"/>
    <n v="49.948418930838677"/>
    <n v="0"/>
    <n v="0"/>
    <n v="0"/>
    <n v="124.2815058048555"/>
    <n v="0"/>
    <n v="0"/>
    <n v="0"/>
    <n v="12.969949555427933"/>
    <n v="0"/>
    <n v="0"/>
    <n v="0"/>
    <n v="8441.4213757691377"/>
    <n v="8484.1319998174858"/>
    <n v="0.35556457405045594"/>
    <n v="0.30117049079540964"/>
    <n v="7.5543373979232484E-2"/>
    <n v="37.317276792879753"/>
    <n v="2.673413137685352"/>
    <n v="9.0993498951836393"/>
    <n v="9.1093498997964719"/>
    <n v="1212.1346752428269"/>
    <n v="759.72797575357652"/>
    <n v="315.87415017675528"/>
    <n v="634.78468860485441"/>
    <n v="1496.3607368823516"/>
    <n v="3.2539849613758397E-3"/>
    <n v="4148.5279065860686"/>
    <n v="257.78946736220593"/>
    <n v="599.01021515484263"/>
    <n v="257.53438972704009"/>
    <n v="879.29961931179446"/>
    <n v="1798.2625050336733"/>
    <n v="33.081741079525941"/>
    <n v="4659.1540621484028"/>
    <n v="1341.688193439242"/>
    <n v="1166.9533873398473"/>
    <n v="315.88917723076923"/>
    <n v="2857.6483299595143"/>
    <n v="3063.8504634026467"/>
    <n v="69.2605029229384"/>
    <n v="5773.7168821974883"/>
    <n v="0"/>
    <n v="0"/>
    <n v="0"/>
    <n v="0"/>
    <n v="0"/>
    <n v="0"/>
    <n v="0"/>
    <n v="8567.4133872313942"/>
    <n v="83.281387413908305"/>
    <n v="1.0000004612832569E-2"/>
    <n v="34.765355701497612"/>
    <x v="3"/>
  </r>
  <r>
    <n v="25"/>
    <x v="0"/>
    <x v="0"/>
    <n v="4"/>
    <s v="HEAVY"/>
    <s v="SWEET"/>
    <n v="335.76119925999257"/>
    <n v="20.444107162091317"/>
    <n v="170.00639635193204"/>
    <n v="41.069540670068839"/>
    <n v="4.5959626645722889"/>
    <n v="2.1462026217592438"/>
    <n v="0"/>
    <n v="0"/>
    <n v="0"/>
    <n v="153.51055198997955"/>
    <n v="0"/>
    <n v="0"/>
    <n v="0"/>
    <n v="0"/>
    <n v="0"/>
    <n v="0"/>
    <n v="0"/>
    <n v="727.53396072039595"/>
    <n v="660.83917752183493"/>
    <n v="0.4615058779215277"/>
    <n v="0.23367485991113543"/>
    <n v="2.8100553741639486E-2"/>
    <n v="29.333484298143549"/>
    <n v="1.1317892699899461"/>
    <n v="6.7508836220775752"/>
    <n v="8.1495633175967175"/>
    <n v="41.247209074374091"/>
    <n v="311.65678471726608"/>
    <n v="0"/>
    <n v="138.96474358920781"/>
    <n v="162.30854184767787"/>
    <n v="0"/>
    <n v="7.3428630665131843E-11"/>
    <n v="14.401648657190901"/>
    <n v="223.24245186339502"/>
    <n v="0"/>
    <n v="70.081908115247458"/>
    <n v="212.85762240928253"/>
    <n v="0"/>
    <n v="140.25554647671905"/>
    <n v="41.247209074424283"/>
    <n v="311.65678471726699"/>
    <n v="0"/>
    <n v="138.96474358974359"/>
    <n v="273.7118603838083"/>
    <n v="0"/>
    <n v="150.98025463940334"/>
    <n v="0"/>
    <n v="0"/>
    <n v="0"/>
    <n v="0"/>
    <n v="0"/>
    <n v="0"/>
    <n v="0"/>
    <n v="654.17727922859922"/>
    <n v="6.6618982932357085"/>
    <n v="1.3986796955191423"/>
    <n v="35.096726276649662"/>
    <x v="0"/>
  </r>
  <r>
    <n v="26"/>
    <x v="0"/>
    <x v="0"/>
    <n v="4"/>
    <s v="HEAVY"/>
    <s v="SOUR"/>
    <n v="335.76119925999257"/>
    <n v="20.444107162091317"/>
    <n v="170.00639635193204"/>
    <n v="41.069540670068839"/>
    <n v="4.5959626645722889"/>
    <n v="2.1462026217592438"/>
    <n v="0"/>
    <n v="0"/>
    <n v="0"/>
    <n v="153.51055198997955"/>
    <n v="0"/>
    <n v="0"/>
    <n v="0"/>
    <n v="0"/>
    <n v="0"/>
    <n v="0"/>
    <n v="0"/>
    <n v="727.53396072039595"/>
    <n v="660.83917752183493"/>
    <n v="0.4615058779215277"/>
    <n v="0.23367485991113543"/>
    <n v="2.8100553741639486E-2"/>
    <n v="29.333484298143549"/>
    <n v="2.5473042893453721"/>
    <n v="6.7508836220775752"/>
    <n v="8.1495633175967175"/>
    <n v="41.247209074374091"/>
    <n v="311.65678471726608"/>
    <n v="0"/>
    <n v="138.96474358920781"/>
    <n v="162.30854184767787"/>
    <n v="0"/>
    <n v="7.3428630665131843E-11"/>
    <n v="14.401648657190901"/>
    <n v="223.24245186339502"/>
    <n v="0"/>
    <n v="70.081908115247458"/>
    <n v="212.85762240928253"/>
    <n v="0"/>
    <n v="140.25554647671905"/>
    <n v="41.247209074424283"/>
    <n v="311.65678471726699"/>
    <n v="0"/>
    <n v="138.96474358974359"/>
    <n v="273.7118603838083"/>
    <n v="0"/>
    <n v="150.98025463940334"/>
    <n v="0"/>
    <n v="0"/>
    <n v="0"/>
    <n v="0"/>
    <n v="0"/>
    <n v="0"/>
    <n v="0"/>
    <n v="654.17727922859922"/>
    <n v="6.6618982932357085"/>
    <n v="1.3986796955191423"/>
    <n v="33.369851936133202"/>
    <x v="1"/>
  </r>
  <r>
    <n v="27"/>
    <x v="0"/>
    <x v="0"/>
    <n v="4"/>
    <s v="LIGHT"/>
    <s v="SWEET"/>
    <n v="335.76119925999257"/>
    <n v="20.444107162091317"/>
    <n v="170.00639635193204"/>
    <n v="41.069540670068839"/>
    <n v="4.5959626645722889"/>
    <n v="2.1462026217592438"/>
    <n v="0"/>
    <n v="0"/>
    <n v="0"/>
    <n v="153.51055198997955"/>
    <n v="0"/>
    <n v="0"/>
    <n v="0"/>
    <n v="0"/>
    <n v="0"/>
    <n v="0"/>
    <n v="0"/>
    <n v="727.53396072039595"/>
    <n v="660.83917752183493"/>
    <n v="0.4615058779215277"/>
    <n v="0.23367485991113543"/>
    <n v="2.8100553741639486E-2"/>
    <n v="34.027824378954648"/>
    <n v="1.1317892699899461"/>
    <n v="6.5900181221706458"/>
    <n v="8.1497101814233854"/>
    <n v="41.247209074410449"/>
    <n v="311.65678471723101"/>
    <n v="0"/>
    <n v="138.96474358945324"/>
    <n v="162.3618236670888"/>
    <n v="0"/>
    <n v="7.9800740468368622E-11"/>
    <n v="14.401648657190901"/>
    <n v="223.24245186339502"/>
    <n v="0"/>
    <n v="70.081908115247458"/>
    <n v="212.85762240928253"/>
    <n v="0"/>
    <n v="140.25554647671905"/>
    <n v="41.247209074424283"/>
    <n v="311.65678471726699"/>
    <n v="0"/>
    <n v="138.96474358974359"/>
    <n v="273.7118603838083"/>
    <n v="0"/>
    <n v="150.98025463940334"/>
    <n v="0"/>
    <n v="0"/>
    <n v="0"/>
    <n v="0"/>
    <n v="0"/>
    <n v="0"/>
    <n v="0"/>
    <n v="654.23056104826333"/>
    <n v="6.6086164735716011"/>
    <n v="1.5596920592527397"/>
    <n v="36.401706472803319"/>
    <x v="2"/>
  </r>
  <r>
    <n v="28"/>
    <x v="0"/>
    <x v="0"/>
    <n v="4"/>
    <s v="LIGHT"/>
    <s v="SOUR"/>
    <n v="335.76119925999257"/>
    <n v="20.444107162091317"/>
    <n v="170.00639635193204"/>
    <n v="41.069540670068839"/>
    <n v="4.5959626645722889"/>
    <n v="2.1462026217592438"/>
    <n v="0"/>
    <n v="0"/>
    <n v="0"/>
    <n v="153.51055198997955"/>
    <n v="0"/>
    <n v="0"/>
    <n v="0"/>
    <n v="0"/>
    <n v="0"/>
    <n v="0"/>
    <n v="0"/>
    <n v="727.53396072039595"/>
    <n v="660.83917752183493"/>
    <n v="0.4615058779215277"/>
    <n v="0.23367485991113543"/>
    <n v="2.8100553741639486E-2"/>
    <n v="34.027824378954648"/>
    <n v="2.5473042893453721"/>
    <n v="6.5900181221706458"/>
    <n v="8.1497101814233854"/>
    <n v="41.247209074410449"/>
    <n v="311.65678471723101"/>
    <n v="0"/>
    <n v="138.96474358945324"/>
    <n v="162.3618236670888"/>
    <n v="0"/>
    <n v="7.9800740468368622E-11"/>
    <n v="14.401648657190901"/>
    <n v="223.24245186339502"/>
    <n v="0"/>
    <n v="70.081908115247458"/>
    <n v="212.85762240928253"/>
    <n v="0"/>
    <n v="140.25554647671905"/>
    <n v="41.247209074424283"/>
    <n v="311.65678471726699"/>
    <n v="0"/>
    <n v="138.96474358974359"/>
    <n v="273.7118603838083"/>
    <n v="0"/>
    <n v="150.98025463940334"/>
    <n v="0"/>
    <n v="0"/>
    <n v="0"/>
    <n v="0"/>
    <n v="0"/>
    <n v="0"/>
    <n v="0"/>
    <n v="654.23056104826333"/>
    <n v="6.6086164735716011"/>
    <n v="1.5596920592527397"/>
    <n v="34.055768575590591"/>
    <x v="3"/>
  </r>
  <r>
    <n v="29"/>
    <x v="0"/>
    <x v="1"/>
    <n v="4"/>
    <s v="HEAVY"/>
    <s v="SWEET"/>
    <n v="316.52366436777658"/>
    <n v="19.459955188057229"/>
    <n v="179.05965176001402"/>
    <n v="43.256593917224599"/>
    <n v="5.489384803663925"/>
    <n v="2.5634089998782152"/>
    <n v="0"/>
    <n v="0"/>
    <n v="0"/>
    <n v="187.83978707366825"/>
    <n v="0"/>
    <n v="0"/>
    <n v="0"/>
    <n v="0"/>
    <n v="0"/>
    <n v="0"/>
    <n v="0"/>
    <n v="754.19244611028284"/>
    <n v="685.05381561458671"/>
    <n v="0.41968554047476159"/>
    <n v="0.23741904693358698"/>
    <n v="2.5802373503501876E-2"/>
    <n v="26.924463078862729"/>
    <n v="1.1684886308416846"/>
    <n v="6.3023651776214802"/>
    <n v="7.5812222807580003"/>
    <n v="67.579418148747223"/>
    <n v="392.11356943425875"/>
    <n v="0"/>
    <n v="205.34948717726684"/>
    <n v="13.094856883224784"/>
    <n v="0"/>
    <n v="6.102300632119987E-10"/>
    <n v="14.929357549209975"/>
    <n v="231.42255885868897"/>
    <n v="0"/>
    <n v="72.649867309531345"/>
    <n v="220.6572058287357"/>
    <n v="0"/>
    <n v="145.39482606842071"/>
    <n v="67.579418148848575"/>
    <n v="392.11356943453399"/>
    <n v="0"/>
    <n v="205.34948717948717"/>
    <n v="326.97872076761655"/>
    <n v="0"/>
    <n v="156.70550927880672"/>
    <n v="0"/>
    <n v="0"/>
    <n v="0"/>
    <n v="0"/>
    <n v="0"/>
    <n v="0"/>
    <n v="0"/>
    <n v="678.13733164410792"/>
    <n v="6.9164839704787937"/>
    <n v="1.2788571031365201"/>
    <n v="34.606766865019445"/>
    <x v="0"/>
  </r>
  <r>
    <n v="30"/>
    <x v="0"/>
    <x v="1"/>
    <n v="4"/>
    <s v="HEAVY"/>
    <s v="SOUR"/>
    <n v="316.52366436777658"/>
    <n v="19.459955188057229"/>
    <n v="179.05965176001402"/>
    <n v="43.256593917224599"/>
    <n v="5.489384803663925"/>
    <n v="2.5634089998782152"/>
    <n v="0"/>
    <n v="0"/>
    <n v="0"/>
    <n v="187.83978707366825"/>
    <n v="0"/>
    <n v="0"/>
    <n v="0"/>
    <n v="0"/>
    <n v="0"/>
    <n v="0"/>
    <n v="0"/>
    <n v="754.19244611028284"/>
    <n v="685.05381561458671"/>
    <n v="0.41968554047476159"/>
    <n v="0.23741904693358698"/>
    <n v="2.5802373503501876E-2"/>
    <n v="26.924463078862729"/>
    <n v="3.7883857319296892"/>
    <n v="6.3023651776214802"/>
    <n v="7.5812222807580003"/>
    <n v="67.579418148747223"/>
    <n v="392.11356943425875"/>
    <n v="0"/>
    <n v="205.34948717726684"/>
    <n v="13.094856883224784"/>
    <n v="0"/>
    <n v="6.102300632119987E-10"/>
    <n v="14.929357549209975"/>
    <n v="231.42255885868897"/>
    <n v="0"/>
    <n v="72.649867309531345"/>
    <n v="220.6572058287357"/>
    <n v="0"/>
    <n v="145.39482606842071"/>
    <n v="67.579418148848575"/>
    <n v="392.11356943453399"/>
    <n v="0"/>
    <n v="205.34948717948717"/>
    <n v="326.97872076761655"/>
    <n v="0"/>
    <n v="156.70550927880672"/>
    <n v="0"/>
    <n v="0"/>
    <n v="0"/>
    <n v="0"/>
    <n v="0"/>
    <n v="0"/>
    <n v="0"/>
    <n v="678.13733164410792"/>
    <n v="6.9164839704787937"/>
    <n v="1.2788571031365201"/>
    <n v="33.984397601643508"/>
    <x v="1"/>
  </r>
  <r>
    <n v="31"/>
    <x v="0"/>
    <x v="1"/>
    <n v="4"/>
    <s v="LIGHT"/>
    <s v="SWEET"/>
    <n v="316.52366436777658"/>
    <n v="19.459955188057229"/>
    <n v="179.05965176001402"/>
    <n v="43.256593917224599"/>
    <n v="5.489384803663925"/>
    <n v="2.5634089998782152"/>
    <n v="0"/>
    <n v="0"/>
    <n v="0"/>
    <n v="187.83978707366825"/>
    <n v="0"/>
    <n v="0"/>
    <n v="0"/>
    <n v="0"/>
    <n v="0"/>
    <n v="0"/>
    <n v="0"/>
    <n v="754.19244611028284"/>
    <n v="685.05381561458671"/>
    <n v="0.41968554047476159"/>
    <n v="0.23741904693358698"/>
    <n v="2.5802373503501876E-2"/>
    <n v="33.609676323697812"/>
    <n v="1.1684886308416846"/>
    <n v="6.0732764980409826"/>
    <n v="7.5813420441332493"/>
    <n v="67.579418148754712"/>
    <n v="392.1135694342791"/>
    <n v="0"/>
    <n v="205.34948717743092"/>
    <n v="13.129103343605934"/>
    <n v="0"/>
    <n v="5.6521976483622757E-10"/>
    <n v="14.929357549209975"/>
    <n v="231.42255885868897"/>
    <n v="0"/>
    <n v="72.649867309531345"/>
    <n v="220.6572058287357"/>
    <n v="0"/>
    <n v="145.39482606842071"/>
    <n v="67.579418148848575"/>
    <n v="392.11356943453399"/>
    <n v="0"/>
    <n v="205.34948717948717"/>
    <n v="326.97872076761655"/>
    <n v="0"/>
    <n v="156.70550927880672"/>
    <n v="0"/>
    <n v="0"/>
    <n v="0"/>
    <n v="0"/>
    <n v="0"/>
    <n v="0"/>
    <n v="0"/>
    <n v="678.17157810463596"/>
    <n v="6.8822375099507553"/>
    <n v="1.5080655460922667"/>
    <n v="31.952411044147386"/>
    <x v="2"/>
  </r>
  <r>
    <n v="32"/>
    <x v="0"/>
    <x v="1"/>
    <n v="4"/>
    <s v="LIGHT"/>
    <s v="SOUR"/>
    <n v="316.52366436777658"/>
    <n v="19.459955188057229"/>
    <n v="179.05965176001402"/>
    <n v="43.256593917224599"/>
    <n v="5.489384803663925"/>
    <n v="2.5634089998782152"/>
    <n v="0"/>
    <n v="0"/>
    <n v="0"/>
    <n v="187.83978707366825"/>
    <n v="0"/>
    <n v="0"/>
    <n v="0"/>
    <n v="0"/>
    <n v="0"/>
    <n v="0"/>
    <n v="0"/>
    <n v="754.19244611028284"/>
    <n v="685.05381561458671"/>
    <n v="0.41968554047476159"/>
    <n v="0.23741904693358698"/>
    <n v="2.5802373503501876E-2"/>
    <n v="33.609676323697812"/>
    <n v="3.7883857319296892"/>
    <n v="6.0732764980409826"/>
    <n v="7.5813420441332493"/>
    <n v="67.579418148754712"/>
    <n v="392.1135694342791"/>
    <n v="0"/>
    <n v="205.34948717743092"/>
    <n v="13.129103343605934"/>
    <n v="0"/>
    <n v="5.6521976483622757E-10"/>
    <n v="14.929357549209975"/>
    <n v="231.42255885868897"/>
    <n v="0"/>
    <n v="72.649867309531345"/>
    <n v="220.6572058287357"/>
    <n v="0"/>
    <n v="145.39482606842071"/>
    <n v="67.579418148848575"/>
    <n v="392.11356943453399"/>
    <n v="0"/>
    <n v="205.34948717948717"/>
    <n v="326.97872076761655"/>
    <n v="0"/>
    <n v="156.70550927880672"/>
    <n v="0"/>
    <n v="0"/>
    <n v="0"/>
    <n v="0"/>
    <n v="0"/>
    <n v="0"/>
    <n v="0"/>
    <n v="678.17157810463596"/>
    <n v="6.8822375099507553"/>
    <n v="1.5080655460922667"/>
    <n v="33.979944678431131"/>
    <x v="3"/>
  </r>
  <r>
    <n v="33"/>
    <x v="0"/>
    <x v="0"/>
    <n v="5"/>
    <s v="HEAVY"/>
    <s v="SWEET"/>
    <n v="1507.34833458495"/>
    <n v="254.15197548338458"/>
    <n v="811.16918397342829"/>
    <n v="426.09643625044845"/>
    <n v="353.7995949044448"/>
    <n v="26.363897406863835"/>
    <n v="0"/>
    <n v="0"/>
    <n v="0"/>
    <n v="58.232075223202372"/>
    <n v="0"/>
    <n v="0"/>
    <n v="0"/>
    <n v="25.261154693326308"/>
    <n v="0"/>
    <n v="0"/>
    <n v="0"/>
    <n v="3462.4226525200484"/>
    <n v="2761.5962662460593"/>
    <n v="0.4353449840931059"/>
    <n v="0.2342779219582094"/>
    <n v="7.3402932278763142E-2"/>
    <n v="28.769370330956527"/>
    <n v="1.439026873673878"/>
    <n v="7.4558263965767555"/>
    <n v="8.029495193630785"/>
    <n v="539.89181304250531"/>
    <n v="301.95121010662348"/>
    <n v="252.01742846855842"/>
    <n v="492.06309040250432"/>
    <n v="278.37419353373269"/>
    <n v="505.88851672020553"/>
    <n v="363.79353643404363"/>
    <n v="187.46668628192256"/>
    <n v="215.09815713740892"/>
    <n v="234.06328483144384"/>
    <n v="246.78672492997362"/>
    <n v="215.29020906342447"/>
    <n v="344.20506440135813"/>
    <n v="1318.6861396005274"/>
    <n v="539.89181304421595"/>
    <n v="301.95121010669465"/>
    <n v="252.01742847049914"/>
    <n v="492.06309041835357"/>
    <n v="278.3741935541737"/>
    <n v="505.88851674641143"/>
    <n v="1427.387315315184"/>
    <n v="0"/>
    <n v="0"/>
    <n v="0"/>
    <n v="0"/>
    <n v="0"/>
    <n v="0"/>
    <n v="0"/>
    <n v="2733.9797887081736"/>
    <n v="27.616477537885658"/>
    <n v="0.57366879705402951"/>
    <n v="35.656780451362096"/>
    <x v="0"/>
  </r>
  <r>
    <n v="34"/>
    <x v="0"/>
    <x v="0"/>
    <n v="5"/>
    <s v="HEAVY"/>
    <s v="SOUR"/>
    <n v="1507.34833458495"/>
    <n v="254.15197548338458"/>
    <n v="811.16918397342829"/>
    <n v="426.09643625044845"/>
    <n v="353.7995949044448"/>
    <n v="26.363897406863835"/>
    <n v="0"/>
    <n v="0"/>
    <n v="0"/>
    <n v="58.232075223202372"/>
    <n v="0"/>
    <n v="0"/>
    <n v="0"/>
    <n v="25.261154693326308"/>
    <n v="0"/>
    <n v="0"/>
    <n v="0"/>
    <n v="3462.4226525200484"/>
    <n v="2761.5962662460593"/>
    <n v="0.4353449840931059"/>
    <n v="0.2342779219582094"/>
    <n v="7.3402932278763142E-2"/>
    <n v="28.769370330956527"/>
    <n v="1.664030724437416"/>
    <n v="7.4558263965767555"/>
    <n v="8.029495193630785"/>
    <n v="539.89181304250531"/>
    <n v="301.95121010662348"/>
    <n v="252.01742846855842"/>
    <n v="492.06309040250432"/>
    <n v="278.37419353373269"/>
    <n v="505.88851672020553"/>
    <n v="363.79353643404363"/>
    <n v="187.46668628192256"/>
    <n v="215.09815713740892"/>
    <n v="234.06328483144384"/>
    <n v="246.78672492997362"/>
    <n v="215.29020906342447"/>
    <n v="344.20506440135813"/>
    <n v="1318.6861396005274"/>
    <n v="539.89181304421595"/>
    <n v="301.95121010669465"/>
    <n v="252.01742847049914"/>
    <n v="492.06309041835357"/>
    <n v="278.3741935541737"/>
    <n v="505.88851674641143"/>
    <n v="1427.387315315184"/>
    <n v="0"/>
    <n v="0"/>
    <n v="0"/>
    <n v="0"/>
    <n v="0"/>
    <n v="0"/>
    <n v="0"/>
    <n v="2733.9797887081736"/>
    <n v="27.616477537885658"/>
    <n v="0.57366879705402951"/>
    <n v="35.581576760450275"/>
    <x v="1"/>
  </r>
  <r>
    <n v="35"/>
    <x v="0"/>
    <x v="0"/>
    <n v="5"/>
    <s v="LIGHT"/>
    <s v="SWEET"/>
    <n v="1507.34833458495"/>
    <n v="254.15197548338458"/>
    <n v="811.16918397342829"/>
    <n v="426.09643625044845"/>
    <n v="353.7995949044448"/>
    <n v="26.363897406863835"/>
    <n v="0"/>
    <n v="0"/>
    <n v="0"/>
    <n v="58.232075223202372"/>
    <n v="0"/>
    <n v="0"/>
    <n v="0"/>
    <n v="25.261154693326308"/>
    <n v="0"/>
    <n v="0"/>
    <n v="0"/>
    <n v="3462.4226525200484"/>
    <n v="2761.5962662460593"/>
    <n v="0.4353449840931059"/>
    <n v="0.2342779219582094"/>
    <n v="7.3402932278763142E-2"/>
    <n v="31.950804958677317"/>
    <n v="1.439026873673878"/>
    <n v="8.1174747533634335"/>
    <n v="8.1274747533454885"/>
    <n v="539.89180844892269"/>
    <n v="301.95118830941209"/>
    <n v="252.0174178020404"/>
    <n v="492.06308102903228"/>
    <n v="56.393176359510598"/>
    <n v="505.88849403224742"/>
    <n v="585.77514146880856"/>
    <n v="187.46668628192256"/>
    <n v="215.09815713740892"/>
    <n v="234.06328483144384"/>
    <n v="246.78672492997362"/>
    <n v="215.29020906342447"/>
    <n v="344.20506440135813"/>
    <n v="1318.6861396005274"/>
    <n v="539.89181304421595"/>
    <n v="301.95121010669465"/>
    <n v="252.01742847049914"/>
    <n v="492.06309041835357"/>
    <n v="278.3741935541737"/>
    <n v="505.88851674641143"/>
    <n v="1427.387315315184"/>
    <n v="0"/>
    <n v="0"/>
    <n v="0"/>
    <n v="0"/>
    <n v="0"/>
    <n v="0"/>
    <n v="0"/>
    <n v="2733.9803074499741"/>
    <n v="27.615958796085124"/>
    <n v="9.99999998205503E-3"/>
    <n v="35.596892401445103"/>
    <x v="2"/>
  </r>
  <r>
    <n v="36"/>
    <x v="0"/>
    <x v="0"/>
    <n v="5"/>
    <s v="LIGHT"/>
    <s v="SOUR"/>
    <n v="1507.34833458495"/>
    <n v="254.15197548338458"/>
    <n v="811.16918397342829"/>
    <n v="426.09643625044845"/>
    <n v="353.7995949044448"/>
    <n v="26.363897406863835"/>
    <n v="0"/>
    <n v="0"/>
    <n v="0"/>
    <n v="58.232075223202372"/>
    <n v="0"/>
    <n v="0"/>
    <n v="0"/>
    <n v="25.261154693326308"/>
    <n v="0"/>
    <n v="0"/>
    <n v="0"/>
    <n v="3462.4226525200484"/>
    <n v="2761.5962662460593"/>
    <n v="0.4353449840931059"/>
    <n v="0.2342779219582094"/>
    <n v="7.3402932278763142E-2"/>
    <n v="31.950804958677317"/>
    <n v="1.664030724437416"/>
    <n v="8.1174747533634335"/>
    <n v="8.1274747533454885"/>
    <n v="539.89180844892269"/>
    <n v="301.95118830941209"/>
    <n v="252.0174178020404"/>
    <n v="492.06308102903228"/>
    <n v="56.393176359510598"/>
    <n v="505.88849403224742"/>
    <n v="585.77514146880856"/>
    <n v="187.46668628192256"/>
    <n v="215.09815713740892"/>
    <n v="234.06328483144384"/>
    <n v="246.78672492997362"/>
    <n v="215.29020906342447"/>
    <n v="344.20506440135813"/>
    <n v="1318.6861396005274"/>
    <n v="539.89181304421595"/>
    <n v="301.95121010669465"/>
    <n v="252.01742847049914"/>
    <n v="492.06309041835357"/>
    <n v="278.3741935541737"/>
    <n v="505.88851674641143"/>
    <n v="1427.387315315184"/>
    <n v="0"/>
    <n v="0"/>
    <n v="0"/>
    <n v="0"/>
    <n v="0"/>
    <n v="0"/>
    <n v="0"/>
    <n v="2733.9803074499741"/>
    <n v="27.615958796085124"/>
    <n v="9.99999998205503E-3"/>
    <n v="35.76086215819155"/>
    <x v="3"/>
  </r>
  <r>
    <n v="37"/>
    <x v="0"/>
    <x v="1"/>
    <n v="5"/>
    <s v="HEAVY"/>
    <s v="SWEET"/>
    <n v="1412.5116946425601"/>
    <n v="234.13944510678027"/>
    <n v="867.20050564551502"/>
    <n v="455.52894793183503"/>
    <n v="419.77387298964987"/>
    <n v="31.280067815142612"/>
    <n v="0"/>
    <n v="0"/>
    <n v="0"/>
    <n v="71.310153574703051"/>
    <n v="0"/>
    <n v="0"/>
    <n v="0"/>
    <n v="25.739540023388059"/>
    <n v="0"/>
    <n v="0"/>
    <n v="0"/>
    <n v="3517.4842277295743"/>
    <n v="2805.5128690910587"/>
    <n v="0.40156873583319291"/>
    <n v="0.24653998411963476"/>
    <n v="6.6564461970000058E-2"/>
    <n v="29.834929643303958"/>
    <n v="1.5923770961611641"/>
    <n v="7.5427334063797655"/>
    <n v="7.5527334254031109"/>
    <n v="843.41276176594806"/>
    <n v="354.93971997336962"/>
    <n v="260.28115428676932"/>
    <n v="123.87792576805181"/>
    <n v="54.739741647133542"/>
    <n v="154.48625690453457"/>
    <n v="1039.7080345746347"/>
    <n v="190.44789686246213"/>
    <n v="218.51878036722511"/>
    <n v="237.78550318978176"/>
    <n v="250.71127926061089"/>
    <n v="218.71388642112441"/>
    <n v="349.67882510103493"/>
    <n v="1339.6566978888193"/>
    <n v="884.55862608843188"/>
    <n v="379.90242021338935"/>
    <n v="260.28485694099828"/>
    <n v="727.12618083670714"/>
    <n v="332.5483871083473"/>
    <n v="653.32703349282281"/>
    <n v="1481.5146306303682"/>
    <n v="0"/>
    <n v="0"/>
    <n v="0"/>
    <n v="0"/>
    <n v="0"/>
    <n v="0"/>
    <n v="0"/>
    <n v="2831.4455949204421"/>
    <n v="25.932725829383344"/>
    <n v="1.0000019023345352E-2"/>
    <n v="34.036193959803242"/>
    <x v="0"/>
  </r>
  <r>
    <n v="38"/>
    <x v="0"/>
    <x v="1"/>
    <n v="5"/>
    <s v="HEAVY"/>
    <s v="SOUR"/>
    <n v="1412.5116946425601"/>
    <n v="234.13944510678027"/>
    <n v="867.20050564551502"/>
    <n v="455.52894793183503"/>
    <n v="419.77387298964987"/>
    <n v="31.280067815142612"/>
    <n v="0"/>
    <n v="0"/>
    <n v="0"/>
    <n v="71.310153574703051"/>
    <n v="0"/>
    <n v="0"/>
    <n v="0"/>
    <n v="25.739540023388059"/>
    <n v="0"/>
    <n v="0"/>
    <n v="0"/>
    <n v="3517.4842277295743"/>
    <n v="2805.5128690910587"/>
    <n v="0.40156873583319291"/>
    <n v="0.24653998411963476"/>
    <n v="6.6564461970000058E-2"/>
    <n v="29.834929643303958"/>
    <n v="1.8659991154487672"/>
    <n v="7.5427334063797655"/>
    <n v="7.5527334254031109"/>
    <n v="843.41276176594806"/>
    <n v="354.93971997336962"/>
    <n v="260.28115428676932"/>
    <n v="123.87792576805181"/>
    <n v="54.739741647133542"/>
    <n v="154.48625690453457"/>
    <n v="1039.7080345746347"/>
    <n v="190.44789686246213"/>
    <n v="218.51878036722511"/>
    <n v="237.78550318978176"/>
    <n v="250.71127926061089"/>
    <n v="218.71388642112441"/>
    <n v="349.67882510103493"/>
    <n v="1339.6566978888193"/>
    <n v="884.55862608843188"/>
    <n v="379.90242021338935"/>
    <n v="260.28485694099828"/>
    <n v="727.12618083670714"/>
    <n v="332.5483871083473"/>
    <n v="653.32703349282281"/>
    <n v="1481.5146306303682"/>
    <n v="0"/>
    <n v="0"/>
    <n v="0"/>
    <n v="0"/>
    <n v="0"/>
    <n v="0"/>
    <n v="0"/>
    <n v="2831.4455949204421"/>
    <n v="25.932725829383344"/>
    <n v="1.0000019023345352E-2"/>
    <n v="33.786688575404156"/>
    <x v="1"/>
  </r>
  <r>
    <n v="39"/>
    <x v="0"/>
    <x v="1"/>
    <n v="5"/>
    <s v="LIGHT"/>
    <s v="SWEET"/>
    <n v="1412.5116946425601"/>
    <n v="234.13944510678027"/>
    <n v="867.20050564551502"/>
    <n v="455.52894793183503"/>
    <n v="419.77387298964987"/>
    <n v="31.280067815142612"/>
    <n v="0"/>
    <n v="0"/>
    <n v="0"/>
    <n v="71.310153574703051"/>
    <n v="0"/>
    <n v="0"/>
    <n v="0"/>
    <n v="25.739540023388059"/>
    <n v="0"/>
    <n v="0"/>
    <n v="0"/>
    <n v="3517.4842277295743"/>
    <n v="2805.5128690910587"/>
    <n v="0.40156873583319291"/>
    <n v="0.24653998411963476"/>
    <n v="6.6564461970000058E-2"/>
    <n v="34.263678151264266"/>
    <n v="1.5923770961611641"/>
    <n v="8.4637877468905032"/>
    <n v="8.4737877857177129"/>
    <n v="532.76454242210013"/>
    <n v="290.25307096801936"/>
    <n v="260.27984205068401"/>
    <n v="184.45435883747342"/>
    <n v="132.97482294251103"/>
    <n v="247.6077300856991"/>
    <n v="1182.7347450469808"/>
    <n v="190.44789686246213"/>
    <n v="218.51878036722511"/>
    <n v="237.78550318978176"/>
    <n v="250.71127926061089"/>
    <n v="218.71388642112441"/>
    <n v="349.67882510103493"/>
    <n v="1339.6566978888193"/>
    <n v="884.55862608843188"/>
    <n v="379.90242021338935"/>
    <n v="260.28485694099828"/>
    <n v="727.12618083670714"/>
    <n v="332.5483871083473"/>
    <n v="653.32703349282281"/>
    <n v="1481.5146306303682"/>
    <n v="0"/>
    <n v="0"/>
    <n v="0"/>
    <n v="0"/>
    <n v="0"/>
    <n v="0"/>
    <n v="0"/>
    <n v="2831.069112353468"/>
    <n v="25.556243262409225"/>
    <n v="1.0000038827209679E-2"/>
    <n v="35.351347604487991"/>
    <x v="2"/>
  </r>
  <r>
    <n v="40"/>
    <x v="0"/>
    <x v="1"/>
    <n v="5"/>
    <s v="LIGHT"/>
    <s v="SOUR"/>
    <n v="1412.5116946425601"/>
    <n v="234.13944510678027"/>
    <n v="867.20050564551502"/>
    <n v="455.52894793183503"/>
    <n v="419.77387298964987"/>
    <n v="31.280067815142612"/>
    <n v="0"/>
    <n v="0"/>
    <n v="0"/>
    <n v="71.310153574703051"/>
    <n v="0"/>
    <n v="0"/>
    <n v="0"/>
    <n v="25.739540023388059"/>
    <n v="0"/>
    <n v="0"/>
    <n v="0"/>
    <n v="3517.4842277295743"/>
    <n v="2805.5128690910587"/>
    <n v="0.40156873583319291"/>
    <n v="0.24653998411963476"/>
    <n v="6.6564461970000058E-2"/>
    <n v="34.263678151264266"/>
    <n v="1.8659991154487672"/>
    <n v="8.4637877468905032"/>
    <n v="8.4737877857177129"/>
    <n v="532.76454242210013"/>
    <n v="290.25307096801936"/>
    <n v="260.27984205068401"/>
    <n v="184.45435883747342"/>
    <n v="132.97482294251103"/>
    <n v="247.6077300856991"/>
    <n v="1182.7347450469808"/>
    <n v="190.44789686246213"/>
    <n v="218.51878036722511"/>
    <n v="237.78550318978176"/>
    <n v="250.71127926061089"/>
    <n v="218.71388642112441"/>
    <n v="349.67882510103493"/>
    <n v="1339.6566978888193"/>
    <n v="884.55862608843188"/>
    <n v="379.90242021338935"/>
    <n v="260.28485694099828"/>
    <n v="727.12618083670714"/>
    <n v="332.5483871083473"/>
    <n v="653.32703349282281"/>
    <n v="1481.5146306303682"/>
    <n v="0"/>
    <n v="0"/>
    <n v="0"/>
    <n v="0"/>
    <n v="0"/>
    <n v="0"/>
    <n v="0"/>
    <n v="2831.069112353468"/>
    <n v="25.556243262409225"/>
    <n v="1.0000038827209679E-2"/>
    <n v="35.501699125954019"/>
    <x v="3"/>
  </r>
  <r>
    <n v="41"/>
    <x v="1"/>
    <x v="0"/>
    <n v="1"/>
    <s v="HEAVY"/>
    <s v="SWEET"/>
    <n v="757.83607394130411"/>
    <n v="103.30655223670755"/>
    <n v="285.20049437211475"/>
    <n v="100.50016030793273"/>
    <n v="126.58285122181967"/>
    <n v="0"/>
    <n v="0"/>
    <n v="0"/>
    <n v="0"/>
    <n v="134.68606816978306"/>
    <n v="0"/>
    <n v="0"/>
    <n v="0"/>
    <n v="10.257393535321418"/>
    <n v="0"/>
    <n v="0"/>
    <n v="0"/>
    <n v="1518.3695937849832"/>
    <n v="508.85987817278374"/>
    <n v="0.49911172947831139"/>
    <n v="0.18783338097621446"/>
    <n v="6.8037816786877009E-2"/>
    <n v="30.30214176476078"/>
    <n v="0.41766843364396622"/>
    <n v="8.1481119829947097"/>
    <n v="8.1581119839300822"/>
    <n v="31.797506701249795"/>
    <n v="277.14411541541801"/>
    <n v="0"/>
    <n v="77.559055484078357"/>
    <n v="60.003679356076788"/>
    <n v="0"/>
    <n v="65.614813113844079"/>
    <n v="13.662720354415848"/>
    <n v="273.68834103786736"/>
    <n v="0"/>
    <n v="81.662236601106201"/>
    <n v="65.172746518190522"/>
    <n v="0"/>
    <n v="74.673833661203844"/>
    <n v="91.42693476369206"/>
    <n v="892.71066470160065"/>
    <n v="0"/>
    <n v="378.33333333333331"/>
    <n v="195.80557682200353"/>
    <n v="0"/>
    <n v="187.81193219368552"/>
    <n v="0"/>
    <n v="0"/>
    <n v="0"/>
    <n v="0"/>
    <n v="0"/>
    <n v="0"/>
    <n v="0"/>
    <n v="512.119170070667"/>
    <n v="3.2592918978832586"/>
    <n v="1.0000000935372455E-2"/>
    <n v="33.128999684402402"/>
    <x v="0"/>
  </r>
  <r>
    <n v="42"/>
    <x v="1"/>
    <x v="0"/>
    <n v="1"/>
    <s v="HEAVY"/>
    <s v="SOUR"/>
    <n v="757.83607394130411"/>
    <n v="103.30655223670755"/>
    <n v="285.20049437211475"/>
    <n v="100.50016030793273"/>
    <n v="126.58285122181967"/>
    <n v="0"/>
    <n v="0"/>
    <n v="0"/>
    <n v="0"/>
    <n v="134.68606816978306"/>
    <n v="0"/>
    <n v="0"/>
    <n v="0"/>
    <n v="10.257393535321418"/>
    <n v="0"/>
    <n v="0"/>
    <n v="0"/>
    <n v="1518.3695937849832"/>
    <n v="508.85987817278374"/>
    <n v="0.49911172947831139"/>
    <n v="0.18783338097621446"/>
    <n v="6.8037816786877009E-2"/>
    <n v="30.30214176476078"/>
    <n v="1.5301400799730309"/>
    <n v="8.1481119829947097"/>
    <n v="8.1581119839300822"/>
    <n v="31.797506701249795"/>
    <n v="277.14411541541801"/>
    <n v="0"/>
    <n v="77.559055484078357"/>
    <n v="60.003679356076788"/>
    <n v="0"/>
    <n v="65.614813113844079"/>
    <n v="13.662720354415848"/>
    <n v="273.68834103786736"/>
    <n v="0"/>
    <n v="81.662236601106201"/>
    <n v="65.172746518190522"/>
    <n v="0"/>
    <n v="74.673833661203844"/>
    <n v="91.42693476369206"/>
    <n v="892.71066470160065"/>
    <n v="0"/>
    <n v="378.33333333333331"/>
    <n v="195.80557682200353"/>
    <n v="0"/>
    <n v="187.81193219368552"/>
    <n v="0"/>
    <n v="0"/>
    <n v="0"/>
    <n v="0"/>
    <n v="0"/>
    <n v="0"/>
    <n v="0"/>
    <n v="512.119170070667"/>
    <n v="3.2592918978832586"/>
    <n v="1.0000000935372455E-2"/>
    <n v="31.181638822411447"/>
    <x v="1"/>
  </r>
  <r>
    <n v="43"/>
    <x v="1"/>
    <x v="0"/>
    <n v="1"/>
    <s v="LIGHT"/>
    <s v="SWEET"/>
    <n v="757.83607394130411"/>
    <n v="103.30655223670755"/>
    <n v="285.20049437211475"/>
    <n v="100.50016030793273"/>
    <n v="126.58285122181967"/>
    <n v="0"/>
    <n v="0"/>
    <n v="0"/>
    <n v="0"/>
    <n v="134.68606816978306"/>
    <n v="0"/>
    <n v="0"/>
    <n v="0"/>
    <n v="10.257393535321418"/>
    <n v="0"/>
    <n v="0"/>
    <n v="0"/>
    <n v="1518.3695937849832"/>
    <n v="508.85987817278374"/>
    <n v="0.49911172947831139"/>
    <n v="0.18783338097621446"/>
    <n v="6.8037816786877009E-2"/>
    <n v="36.614652924665549"/>
    <n v="0.41766843364396622"/>
    <n v="7.3958852014346856"/>
    <n v="7.405885415006872"/>
    <n v="78.662322399776414"/>
    <n v="284.84224581276931"/>
    <n v="0"/>
    <n v="65.076985304232991"/>
    <n v="44.686741748434663"/>
    <n v="0"/>
    <n v="39.928065339282625"/>
    <n v="13.662720354415848"/>
    <n v="273.68834103786736"/>
    <n v="0"/>
    <n v="81.662236601106201"/>
    <n v="65.172746518190522"/>
    <n v="0"/>
    <n v="74.673833661203844"/>
    <n v="91.42693476369206"/>
    <n v="892.71066470160065"/>
    <n v="0"/>
    <n v="378.33333333333331"/>
    <n v="195.80557682200353"/>
    <n v="0"/>
    <n v="187.81193219368552"/>
    <n v="0"/>
    <n v="0"/>
    <n v="0"/>
    <n v="0"/>
    <n v="0"/>
    <n v="0"/>
    <n v="0"/>
    <n v="513.19636060449602"/>
    <n v="4.3364824317122839"/>
    <n v="1.0000213572186389E-2"/>
    <n v="31.809034867166631"/>
    <x v="2"/>
  </r>
  <r>
    <n v="44"/>
    <x v="1"/>
    <x v="0"/>
    <n v="1"/>
    <s v="LIGHT"/>
    <s v="SOUR"/>
    <n v="757.83607394130411"/>
    <n v="103.30655223670755"/>
    <n v="285.20049437211475"/>
    <n v="100.50016030793273"/>
    <n v="126.58285122181967"/>
    <n v="0"/>
    <n v="0"/>
    <n v="0"/>
    <n v="0"/>
    <n v="134.68606816978306"/>
    <n v="0"/>
    <n v="0"/>
    <n v="0"/>
    <n v="10.257393535321418"/>
    <n v="0"/>
    <n v="0"/>
    <n v="0"/>
    <n v="1518.3695937849832"/>
    <n v="508.85987817278374"/>
    <n v="0.49911172947831139"/>
    <n v="0.18783338097621446"/>
    <n v="6.8037816786877009E-2"/>
    <n v="36.614652924665549"/>
    <n v="1.5301400799730309"/>
    <n v="7.3958852014346856"/>
    <n v="7.405885415006872"/>
    <n v="78.662322399776414"/>
    <n v="284.84224581276931"/>
    <n v="0"/>
    <n v="65.076985304232991"/>
    <n v="44.686741748434663"/>
    <n v="0"/>
    <n v="39.928065339282625"/>
    <n v="13.662720354415848"/>
    <n v="273.68834103786736"/>
    <n v="0"/>
    <n v="81.662236601106201"/>
    <n v="65.172746518190522"/>
    <n v="0"/>
    <n v="74.673833661203844"/>
    <n v="91.42693476369206"/>
    <n v="892.71066470160065"/>
    <n v="0"/>
    <n v="378.33333333333331"/>
    <n v="195.80557682200353"/>
    <n v="0"/>
    <n v="187.81193219368552"/>
    <n v="0"/>
    <n v="0"/>
    <n v="0"/>
    <n v="0"/>
    <n v="0"/>
    <n v="0"/>
    <n v="0"/>
    <n v="513.19636060449602"/>
    <n v="4.3364824317122839"/>
    <n v="1.0000213572186389E-2"/>
    <n v="30.037320632384681"/>
    <x v="3"/>
  </r>
  <r>
    <n v="45"/>
    <x v="1"/>
    <x v="1"/>
    <n v="1"/>
    <s v="HEAVY"/>
    <s v="SWEET"/>
    <n v="482.05779265283218"/>
    <n v="127.36328456880523"/>
    <n v="273.06975535188661"/>
    <n v="96.225479021455186"/>
    <n v="150.322538005761"/>
    <n v="0"/>
    <n v="0"/>
    <n v="0"/>
    <n v="0"/>
    <n v="146.56830592434775"/>
    <n v="0"/>
    <n v="0"/>
    <n v="0"/>
    <n v="10.451643824017232"/>
    <n v="0"/>
    <n v="0"/>
    <n v="0"/>
    <n v="1286.0587993491054"/>
    <n v="431.00423417231275"/>
    <n v="0.3748334002277417"/>
    <n v="0.21233069241475702"/>
    <n v="9.9033795836757851E-2"/>
    <n v="28.267512206646213"/>
    <n v="0.27799592561789516"/>
    <n v="8.1456937523236519"/>
    <n v="8.1556937548971753"/>
    <n v="27.006337577694442"/>
    <n v="234.70830464958354"/>
    <n v="0"/>
    <n v="65.604787544750337"/>
    <n v="50.727911303009996"/>
    <n v="0"/>
    <n v="55.451180806042572"/>
    <n v="11.572321921332463"/>
    <n v="231.81398041144655"/>
    <n v="0"/>
    <n v="69.167901138998616"/>
    <n v="55.201305716700816"/>
    <n v="0"/>
    <n v="63.248724983834322"/>
    <n v="149.79386952738412"/>
    <n v="1123.1713294032013"/>
    <n v="0"/>
    <n v="559.06666666666661"/>
    <n v="233.91115364400702"/>
    <n v="0"/>
    <n v="194.9338643873711"/>
    <n v="0"/>
    <n v="0"/>
    <n v="0"/>
    <n v="0"/>
    <n v="0"/>
    <n v="0"/>
    <n v="0"/>
    <n v="433.49852188108093"/>
    <n v="2.4942877087681836"/>
    <n v="1.0000002573523403E-2"/>
    <n v="29.982507135364465"/>
    <x v="0"/>
  </r>
  <r>
    <n v="46"/>
    <x v="1"/>
    <x v="1"/>
    <n v="1"/>
    <s v="HEAVY"/>
    <s v="SOUR"/>
    <n v="482.05779265283218"/>
    <n v="127.36328456880523"/>
    <n v="273.06975535188661"/>
    <n v="96.225479021455186"/>
    <n v="150.322538005761"/>
    <n v="0"/>
    <n v="0"/>
    <n v="0"/>
    <n v="0"/>
    <n v="146.56830592434775"/>
    <n v="0"/>
    <n v="0"/>
    <n v="0"/>
    <n v="10.451643824017232"/>
    <n v="0"/>
    <n v="0"/>
    <n v="0"/>
    <n v="1286.0587993491054"/>
    <n v="431.00423417231275"/>
    <n v="0.3748334002277417"/>
    <n v="0.21233069241475702"/>
    <n v="9.9033795836757851E-2"/>
    <n v="28.267512206646213"/>
    <n v="1.8266228074543227"/>
    <n v="8.1456937523236519"/>
    <n v="8.1556937548971753"/>
    <n v="27.006337577694442"/>
    <n v="234.70830464958354"/>
    <n v="0"/>
    <n v="65.604787544750337"/>
    <n v="50.727911303009996"/>
    <n v="0"/>
    <n v="55.451180806042572"/>
    <n v="11.572321921332463"/>
    <n v="231.81398041144655"/>
    <n v="0"/>
    <n v="69.167901138998616"/>
    <n v="55.201305716700816"/>
    <n v="0"/>
    <n v="63.248724983834322"/>
    <n v="149.79386952738412"/>
    <n v="1123.1713294032013"/>
    <n v="0"/>
    <n v="559.06666666666661"/>
    <n v="233.91115364400702"/>
    <n v="0"/>
    <n v="194.9338643873711"/>
    <n v="0"/>
    <n v="0"/>
    <n v="0"/>
    <n v="0"/>
    <n v="0"/>
    <n v="0"/>
    <n v="0"/>
    <n v="433.49852188108093"/>
    <n v="2.4942877087681836"/>
    <n v="1.0000002573523403E-2"/>
    <n v="29.575045940743102"/>
    <x v="1"/>
  </r>
  <r>
    <n v="47"/>
    <x v="1"/>
    <x v="1"/>
    <n v="1"/>
    <s v="LIGHT"/>
    <s v="SWEET"/>
    <n v="482.05779265283218"/>
    <n v="127.36328456880523"/>
    <n v="273.06975535188661"/>
    <n v="96.225479021455186"/>
    <n v="150.322538005761"/>
    <n v="0"/>
    <n v="0"/>
    <n v="0"/>
    <n v="0"/>
    <n v="146.56830592434775"/>
    <n v="0"/>
    <n v="0"/>
    <n v="0"/>
    <n v="10.451643824017232"/>
    <n v="0"/>
    <n v="0"/>
    <n v="0"/>
    <n v="1286.0587993491054"/>
    <n v="431.00423417231275"/>
    <n v="0.3748334002277417"/>
    <n v="0.21233069241475702"/>
    <n v="9.9033795836757851E-2"/>
    <n v="37.317276792879753"/>
    <n v="0.27799592561789516"/>
    <n v="7.0672837319473807"/>
    <n v="7.0772841357249501"/>
    <n v="83.861243805622564"/>
    <n v="243.9993645510765"/>
    <n v="0"/>
    <n v="50.403085343875077"/>
    <n v="32.086865193458195"/>
    <n v="0"/>
    <n v="24.229805363559297"/>
    <n v="11.572321921332463"/>
    <n v="231.81398041144655"/>
    <n v="0"/>
    <n v="69.167901138998616"/>
    <n v="55.201305716700816"/>
    <n v="0"/>
    <n v="63.248724983834322"/>
    <n v="149.79386952738412"/>
    <n v="1123.1713294032013"/>
    <n v="0"/>
    <n v="559.06666666666661"/>
    <n v="233.91115364400702"/>
    <n v="0"/>
    <n v="194.9338643873711"/>
    <n v="0"/>
    <n v="0"/>
    <n v="0"/>
    <n v="0"/>
    <n v="0"/>
    <n v="0"/>
    <n v="0"/>
    <n v="434.58036425759167"/>
    <n v="3.5761300852789191"/>
    <n v="1.0000403777569389E-2"/>
    <n v="30.237953644835006"/>
    <x v="2"/>
  </r>
  <r>
    <n v="48"/>
    <x v="1"/>
    <x v="1"/>
    <n v="1"/>
    <s v="LIGHT"/>
    <s v="SOUR"/>
    <n v="482.05779265283218"/>
    <n v="127.36328456880523"/>
    <n v="273.06975535188661"/>
    <n v="96.225479021455186"/>
    <n v="150.322538005761"/>
    <n v="0"/>
    <n v="0"/>
    <n v="0"/>
    <n v="0"/>
    <n v="146.56830592434775"/>
    <n v="0"/>
    <n v="0"/>
    <n v="0"/>
    <n v="10.451643824017232"/>
    <n v="0"/>
    <n v="0"/>
    <n v="0"/>
    <n v="1286.0587993491054"/>
    <n v="431.00423417231275"/>
    <n v="0.3748334002277417"/>
    <n v="0.21233069241475702"/>
    <n v="9.9033795836757851E-2"/>
    <n v="37.317276792879753"/>
    <n v="1.8266228074543227"/>
    <n v="7.0672837319473807"/>
    <n v="7.0772841357249501"/>
    <n v="83.861243805622564"/>
    <n v="243.9993645510765"/>
    <n v="0"/>
    <n v="50.403085343875077"/>
    <n v="32.086865193458195"/>
    <n v="0"/>
    <n v="24.229805363559297"/>
    <n v="11.572321921332463"/>
    <n v="231.81398041144655"/>
    <n v="0"/>
    <n v="69.167901138998616"/>
    <n v="55.201305716700816"/>
    <n v="0"/>
    <n v="63.248724983834322"/>
    <n v="149.79386952738412"/>
    <n v="1123.1713294032013"/>
    <n v="0"/>
    <n v="559.06666666666661"/>
    <n v="233.91115364400702"/>
    <n v="0"/>
    <n v="194.9338643873711"/>
    <n v="0"/>
    <n v="0"/>
    <n v="0"/>
    <n v="0"/>
    <n v="0"/>
    <n v="0"/>
    <n v="0"/>
    <n v="434.58036425759167"/>
    <n v="3.5761300852789191"/>
    <n v="1.0000403777569389E-2"/>
    <n v="23.04172130373626"/>
    <x v="3"/>
  </r>
  <r>
    <n v="49"/>
    <x v="1"/>
    <x v="0"/>
    <n v="2"/>
    <s v="HEAVY"/>
    <s v="SWEET"/>
    <n v="1600.604576313722"/>
    <n v="243.18273200131145"/>
    <n v="1128.3857632408719"/>
    <n v="69.392239543801637"/>
    <n v="41.316115877463915"/>
    <n v="29.323153592751066"/>
    <n v="0"/>
    <n v="0"/>
    <n v="0"/>
    <n v="281.84341296408508"/>
    <n v="0"/>
    <n v="0"/>
    <n v="0"/>
    <n v="8.9774380545843417"/>
    <n v="0"/>
    <n v="0"/>
    <n v="0"/>
    <n v="3403.0254315885909"/>
    <n v="2810.2539937120855"/>
    <n v="0.4703475211957297"/>
    <n v="0.33158311212329733"/>
    <n v="7.1460744825462427E-2"/>
    <n v="30.283494646922765"/>
    <n v="0.85848259090407375"/>
    <n v="9.7348591886718356"/>
    <n v="9.744858778156626"/>
    <n v="52.891534854121709"/>
    <n v="435.28545140251737"/>
    <n v="0"/>
    <n v="355.45912010671123"/>
    <n v="1102.6063161531092"/>
    <n v="0"/>
    <n v="892.0788276855169"/>
    <n v="17.244837331177028"/>
    <n v="424.82744577208405"/>
    <n v="0"/>
    <n v="358.01069136207826"/>
    <n v="1106.9998409513005"/>
    <n v="0"/>
    <n v="903.17117829544532"/>
    <n v="69.095643226583363"/>
    <n v="829.70092482947541"/>
    <n v="0"/>
    <n v="993.12500000000011"/>
    <n v="1991.4122477464978"/>
    <n v="0"/>
    <n v="1360.1267578285858"/>
    <n v="0"/>
    <n v="0"/>
    <n v="0"/>
    <n v="0"/>
    <n v="0"/>
    <n v="0"/>
    <n v="0"/>
    <n v="2838.3212502019765"/>
    <n v="28.067256489890951"/>
    <n v="9.9995894847904054E-3"/>
    <n v="33.697504753699434"/>
    <x v="0"/>
  </r>
  <r>
    <n v="50"/>
    <x v="1"/>
    <x v="0"/>
    <n v="2"/>
    <s v="HEAVY"/>
    <s v="SOUR"/>
    <n v="1600.604576313722"/>
    <n v="243.18273200131145"/>
    <n v="1128.3857632408719"/>
    <n v="69.392239543801637"/>
    <n v="41.316115877463915"/>
    <n v="29.323153592751066"/>
    <n v="0"/>
    <n v="0"/>
    <n v="0"/>
    <n v="281.84341296408508"/>
    <n v="0"/>
    <n v="0"/>
    <n v="0"/>
    <n v="8.9774380545843417"/>
    <n v="0"/>
    <n v="0"/>
    <n v="0"/>
    <n v="3403.0254315885909"/>
    <n v="2810.2539937120855"/>
    <n v="0.4703475211957297"/>
    <n v="0.33158311212329733"/>
    <n v="7.1460744825462427E-2"/>
    <n v="30.283494646922765"/>
    <n v="2.3964868933205583"/>
    <n v="9.7348591886718356"/>
    <n v="9.744858778156626"/>
    <n v="52.891534854121709"/>
    <n v="435.28545140251737"/>
    <n v="0"/>
    <n v="355.45912010671123"/>
    <n v="1102.6063161531092"/>
    <n v="0"/>
    <n v="892.0788276855169"/>
    <n v="17.244837331177028"/>
    <n v="424.82744577208405"/>
    <n v="0"/>
    <n v="358.01069136207826"/>
    <n v="1106.9998409513005"/>
    <n v="0"/>
    <n v="903.17117829544532"/>
    <n v="69.095643226583363"/>
    <n v="829.70092482947541"/>
    <n v="0"/>
    <n v="993.12500000000011"/>
    <n v="1991.4122477464978"/>
    <n v="0"/>
    <n v="1360.1267578285858"/>
    <n v="0"/>
    <n v="0"/>
    <n v="0"/>
    <n v="0"/>
    <n v="0"/>
    <n v="0"/>
    <n v="0"/>
    <n v="2838.3212502019765"/>
    <n v="28.067256489890951"/>
    <n v="9.9995894847904054E-3"/>
    <n v="40.657233978832473"/>
    <x v="1"/>
  </r>
  <r>
    <n v="51"/>
    <x v="1"/>
    <x v="0"/>
    <n v="2"/>
    <s v="LIGHT"/>
    <s v="SWEET"/>
    <n v="1600.604576313722"/>
    <n v="243.18273200131145"/>
    <n v="1128.3857632408719"/>
    <n v="69.392239543801637"/>
    <n v="41.316115877463915"/>
    <n v="29.323153592751066"/>
    <n v="0"/>
    <n v="0"/>
    <n v="0"/>
    <n v="281.84341296408508"/>
    <n v="0"/>
    <n v="0"/>
    <n v="0"/>
    <n v="8.9774380545843417"/>
    <n v="0"/>
    <n v="0"/>
    <n v="0"/>
    <n v="3403.0254315885909"/>
    <n v="2810.2539937120855"/>
    <n v="0.4703475211957297"/>
    <n v="0.33158311212329733"/>
    <n v="7.1460744825462427E-2"/>
    <n v="34.957728681668918"/>
    <n v="0.85848259090407375"/>
    <n v="9.4457260842628656"/>
    <n v="9.4557261006776123"/>
    <n v="69.094488610184683"/>
    <n v="630.29174057553485"/>
    <n v="0"/>
    <n v="340.17437073860054"/>
    <n v="1057.555840586029"/>
    <n v="0"/>
    <n v="738.76501899637913"/>
    <n v="17.244837331177028"/>
    <n v="424.82744577208405"/>
    <n v="0"/>
    <n v="358.01069136207826"/>
    <n v="1106.9998409513005"/>
    <n v="0"/>
    <n v="903.17117829544532"/>
    <n v="69.095643226583363"/>
    <n v="829.70092482947541"/>
    <n v="0"/>
    <n v="993.12500000000011"/>
    <n v="1991.4122477464978"/>
    <n v="0"/>
    <n v="1360.1267578285858"/>
    <n v="0"/>
    <n v="0"/>
    <n v="0"/>
    <n v="0"/>
    <n v="0"/>
    <n v="0"/>
    <n v="0"/>
    <n v="2835.8814595067283"/>
    <n v="25.627465794642831"/>
    <n v="1.0000016414746682E-2"/>
    <n v="33.155868242344575"/>
    <x v="2"/>
  </r>
  <r>
    <n v="52"/>
    <x v="1"/>
    <x v="0"/>
    <n v="2"/>
    <s v="LIGHT"/>
    <s v="SOUR"/>
    <n v="1600.604576313722"/>
    <n v="243.18273200131145"/>
    <n v="1128.3857632408719"/>
    <n v="69.392239543801637"/>
    <n v="41.316115877463915"/>
    <n v="29.323153592751066"/>
    <n v="0"/>
    <n v="0"/>
    <n v="0"/>
    <n v="281.84341296408508"/>
    <n v="0"/>
    <n v="0"/>
    <n v="0"/>
    <n v="8.9774380545843417"/>
    <n v="0"/>
    <n v="0"/>
    <n v="0"/>
    <n v="3403.0254315885909"/>
    <n v="2810.2539937120855"/>
    <n v="0.4703475211957297"/>
    <n v="0.33158311212329733"/>
    <n v="7.1460744825462427E-2"/>
    <n v="34.957728681668918"/>
    <n v="2.3964868933205583"/>
    <n v="9.4457260842628656"/>
    <n v="9.4557261006776123"/>
    <n v="69.094488610184683"/>
    <n v="630.29174057553485"/>
    <n v="0"/>
    <n v="340.17437073860054"/>
    <n v="1057.555840586029"/>
    <n v="0"/>
    <n v="738.76501899637913"/>
    <n v="17.244837331177028"/>
    <n v="424.82744577208405"/>
    <n v="0"/>
    <n v="358.01069136207826"/>
    <n v="1106.9998409513005"/>
    <n v="0"/>
    <n v="903.17117829544532"/>
    <n v="69.095643226583363"/>
    <n v="829.70092482947541"/>
    <n v="0"/>
    <n v="993.12500000000011"/>
    <n v="1991.4122477464978"/>
    <n v="0"/>
    <n v="1360.1267578285858"/>
    <n v="0"/>
    <n v="0"/>
    <n v="0"/>
    <n v="0"/>
    <n v="0"/>
    <n v="0"/>
    <n v="0"/>
    <n v="2835.8814595067283"/>
    <n v="25.627465794642831"/>
    <n v="1.0000016414746682E-2"/>
    <n v="33.503768447452572"/>
    <x v="3"/>
  </r>
  <r>
    <n v="53"/>
    <x v="1"/>
    <x v="1"/>
    <n v="2"/>
    <s v="HEAVY"/>
    <s v="SWEET"/>
    <n v="1030.9280608638626"/>
    <n v="299.79012097977647"/>
    <n v="1076.0030112912934"/>
    <n v="66.170862077279367"/>
    <n v="49.225586995672721"/>
    <n v="34.936717005258899"/>
    <n v="0"/>
    <n v="0"/>
    <n v="0"/>
    <n v="312.26627116074047"/>
    <n v="0"/>
    <n v="0"/>
    <n v="0"/>
    <n v="9.1474490742304866"/>
    <n v="0"/>
    <n v="0"/>
    <n v="0"/>
    <n v="2878.4680794481137"/>
    <n v="2377.0690459593857"/>
    <n v="0.35815163913908038"/>
    <n v="0.3738109930673939"/>
    <n v="0.10414919071718697"/>
    <n v="28.354057795771688"/>
    <n v="0.49194998451747501"/>
    <n v="9.9030860618888763"/>
    <n v="9.8930860634723814"/>
    <n v="2.4582631682981138"/>
    <n v="356.01004588546914"/>
    <n v="0"/>
    <n v="305.59491603283112"/>
    <n v="939.87744069247333"/>
    <n v="0"/>
    <n v="770.54675969550351"/>
    <n v="14.586642031028276"/>
    <n v="359.34266919585434"/>
    <n v="0"/>
    <n v="302.82534406621443"/>
    <n v="936.36200204503371"/>
    <n v="0"/>
    <n v="763.95238862125484"/>
    <n v="113.20628645316671"/>
    <n v="1043.8951024062037"/>
    <n v="0"/>
    <n v="1467.5500000000002"/>
    <n v="2378.9594954929953"/>
    <n v="0"/>
    <n v="1411.7035156571721"/>
    <n v="0"/>
    <n v="0"/>
    <n v="0"/>
    <n v="0"/>
    <n v="0"/>
    <n v="0"/>
    <n v="0"/>
    <n v="2374.487425474575"/>
    <n v="2.5816204848106281"/>
    <n v="9.9999984164949041E-3"/>
    <n v="31.01650786789186"/>
    <x v="0"/>
  </r>
  <r>
    <n v="54"/>
    <x v="1"/>
    <x v="1"/>
    <n v="2"/>
    <s v="HEAVY"/>
    <s v="SOUR"/>
    <n v="1030.9280608638626"/>
    <n v="299.79012097977647"/>
    <n v="1076.0030112912934"/>
    <n v="66.170862077279367"/>
    <n v="49.225586995672721"/>
    <n v="34.936717005258899"/>
    <n v="0"/>
    <n v="0"/>
    <n v="0"/>
    <n v="312.26627116074047"/>
    <n v="0"/>
    <n v="0"/>
    <n v="0"/>
    <n v="9.1474490742304866"/>
    <n v="0"/>
    <n v="0"/>
    <n v="0"/>
    <n v="2878.4680794481137"/>
    <n v="2377.0690459593857"/>
    <n v="0.35815163913908038"/>
    <n v="0.3738109930673939"/>
    <n v="0.10414919071718697"/>
    <n v="28.354057795771688"/>
    <n v="4.4723269444483442"/>
    <n v="9.9030860618888763"/>
    <n v="9.8930860634723814"/>
    <n v="2.4582631682981138"/>
    <n v="356.01004588546914"/>
    <n v="0"/>
    <n v="305.59491603283112"/>
    <n v="939.87744069247333"/>
    <n v="0"/>
    <n v="770.54675969550351"/>
    <n v="14.586642031028276"/>
    <n v="359.34266919585434"/>
    <n v="0"/>
    <n v="302.82534406621443"/>
    <n v="936.36200204503371"/>
    <n v="0"/>
    <n v="763.95238862125484"/>
    <n v="113.20628645316671"/>
    <n v="1043.8951024062037"/>
    <n v="0"/>
    <n v="1467.5500000000002"/>
    <n v="2378.9594954929953"/>
    <n v="0"/>
    <n v="1411.7035156571721"/>
    <n v="0"/>
    <n v="0"/>
    <n v="0"/>
    <n v="0"/>
    <n v="0"/>
    <n v="0"/>
    <n v="0"/>
    <n v="2374.487425474575"/>
    <n v="2.5816204848106281"/>
    <n v="9.9999984164949041E-3"/>
    <n v="33.051126910874942"/>
    <x v="1"/>
  </r>
  <r>
    <n v="55"/>
    <x v="1"/>
    <x v="1"/>
    <n v="2"/>
    <s v="LIGHT"/>
    <s v="SWEET"/>
    <n v="1030.9280608638626"/>
    <n v="299.79012097977647"/>
    <n v="1076.0030112912934"/>
    <n v="66.170862077279367"/>
    <n v="49.225586995672721"/>
    <n v="34.936717005258899"/>
    <n v="0"/>
    <n v="0"/>
    <n v="0"/>
    <n v="312.26627116074047"/>
    <n v="0"/>
    <n v="0"/>
    <n v="0"/>
    <n v="9.1474490742304866"/>
    <n v="0"/>
    <n v="0"/>
    <n v="0"/>
    <n v="2878.4680794481137"/>
    <n v="2377.0690459593857"/>
    <n v="0.35815163913908038"/>
    <n v="0.3738109930673939"/>
    <n v="0.10414919071718697"/>
    <n v="34.957728681668918"/>
    <n v="0.49194998451747501"/>
    <n v="9.494604190946724"/>
    <n v="9.504604191610559"/>
    <n v="113.04652047400619"/>
    <n v="381.76541345241344"/>
    <n v="0"/>
    <n v="281.30720853755304"/>
    <n v="908.6176408598094"/>
    <n v="0"/>
    <n v="713.5830769093244"/>
    <n v="14.586642031028276"/>
    <n v="359.34266919585434"/>
    <n v="0"/>
    <n v="302.82534406621443"/>
    <n v="936.36200204503371"/>
    <n v="0"/>
    <n v="763.95238862125484"/>
    <n v="113.20628645316671"/>
    <n v="1043.8951024062037"/>
    <n v="0"/>
    <n v="1467.5500000000002"/>
    <n v="2378.9594954929953"/>
    <n v="0"/>
    <n v="1411.7035156571721"/>
    <n v="0"/>
    <n v="0"/>
    <n v="0"/>
    <n v="0"/>
    <n v="0"/>
    <n v="0"/>
    <n v="0"/>
    <n v="2398.3198602331063"/>
    <n v="21.250814273720607"/>
    <n v="1.0000000663834996E-2"/>
    <n v="32.818129988048568"/>
    <x v="2"/>
  </r>
  <r>
    <n v="56"/>
    <x v="1"/>
    <x v="1"/>
    <n v="2"/>
    <s v="LIGHT"/>
    <s v="SOUR"/>
    <n v="1030.9280608638626"/>
    <n v="299.79012097977647"/>
    <n v="1076.0030112912934"/>
    <n v="66.170862077279367"/>
    <n v="49.225586995672721"/>
    <n v="34.936717005258899"/>
    <n v="0"/>
    <n v="0"/>
    <n v="0"/>
    <n v="312.26627116074047"/>
    <n v="0"/>
    <n v="0"/>
    <n v="0"/>
    <n v="9.1474490742304866"/>
    <n v="0"/>
    <n v="0"/>
    <n v="0"/>
    <n v="2878.4680794481137"/>
    <n v="2377.0690459593857"/>
    <n v="0.35815163913908038"/>
    <n v="0.3738109930673939"/>
    <n v="0.10414919071718697"/>
    <n v="34.957728681668918"/>
    <n v="4.4723269444483442"/>
    <n v="9.494604190946724"/>
    <n v="9.504604191610559"/>
    <n v="113.04652047400619"/>
    <n v="381.76541345241344"/>
    <n v="0"/>
    <n v="281.30720853755304"/>
    <n v="908.6176408598094"/>
    <n v="0"/>
    <n v="713.5830769093244"/>
    <n v="14.586642031028276"/>
    <n v="359.34266919585434"/>
    <n v="0"/>
    <n v="302.82534406621443"/>
    <n v="936.36200204503371"/>
    <n v="0"/>
    <n v="763.95238862125484"/>
    <n v="113.20628645316671"/>
    <n v="1043.8951024062037"/>
    <n v="0"/>
    <n v="1467.5500000000002"/>
    <n v="2378.9594954929953"/>
    <n v="0"/>
    <n v="1411.7035156571721"/>
    <n v="0"/>
    <n v="0"/>
    <n v="0"/>
    <n v="0"/>
    <n v="0"/>
    <n v="0"/>
    <n v="0"/>
    <n v="2398.3198602331063"/>
    <n v="21.250814273720607"/>
    <n v="1.0000000663834996E-2"/>
    <n v="33.707262421269689"/>
    <x v="3"/>
  </r>
  <r>
    <n v="57"/>
    <x v="1"/>
    <x v="0"/>
    <n v="3"/>
    <s v="HEAVY"/>
    <s v="SWEET"/>
    <n v="2201.1081157521826"/>
    <n v="873.5420138934935"/>
    <n v="2246.5261036750953"/>
    <n v="1593.6079888313188"/>
    <n v="227.03245314490249"/>
    <n v="42.104798242288538"/>
    <n v="0"/>
    <n v="0"/>
    <n v="0"/>
    <n v="95.602193859938268"/>
    <n v="0"/>
    <n v="0"/>
    <n v="0"/>
    <n v="12.728894991386792"/>
    <n v="0"/>
    <n v="0"/>
    <n v="0"/>
    <n v="7292.2525623906058"/>
    <n v="7329.1487963058908"/>
    <n v="0.30184200244301429"/>
    <n v="0.30807025462357557"/>
    <n v="0.11979042228991611"/>
    <n v="30.30214176476078"/>
    <n v="1.0500146884775321"/>
    <n v="9.4777460127523945"/>
    <n v="9.4877460170210171"/>
    <n v="693.95987825600753"/>
    <n v="594.43793904012409"/>
    <n v="305.84893220391581"/>
    <n v="635.15926508702057"/>
    <n v="1400.5100847948934"/>
    <n v="9.7498775429940253E-3"/>
    <n v="3768.1880587687106"/>
    <n v="222.69542299185034"/>
    <n v="517.46424943311717"/>
    <n v="222.47507022709135"/>
    <n v="759.59659121403388"/>
    <n v="1553.4569092622664"/>
    <n v="28.5781742690857"/>
    <n v="4024.8823789084454"/>
    <n v="818.90159671962101"/>
    <n v="927.50919366992355"/>
    <n v="305.85558861538459"/>
    <n v="1933.836664979757"/>
    <n v="2564.7302317013236"/>
    <n v="53.6302514614692"/>
    <n v="5562.7734410987441"/>
    <n v="0"/>
    <n v="0"/>
    <n v="0"/>
    <n v="0"/>
    <n v="0"/>
    <n v="0"/>
    <n v="0"/>
    <n v="7398.1139080282155"/>
    <n v="68.965111722324764"/>
    <n v="1.0000004268622575E-2"/>
    <n v="36.694919712181999"/>
    <x v="0"/>
  </r>
  <r>
    <n v="58"/>
    <x v="1"/>
    <x v="0"/>
    <n v="3"/>
    <s v="HEAVY"/>
    <s v="SOUR"/>
    <n v="2201.1081157521826"/>
    <n v="873.5420138934935"/>
    <n v="2246.5261036750953"/>
    <n v="1593.6079888313188"/>
    <n v="227.03245314490249"/>
    <n v="42.104798242288538"/>
    <n v="0"/>
    <n v="0"/>
    <n v="0"/>
    <n v="95.602193859938268"/>
    <n v="0"/>
    <n v="0"/>
    <n v="0"/>
    <n v="12.728894991386792"/>
    <n v="0"/>
    <n v="0"/>
    <n v="0"/>
    <n v="7292.2525623906058"/>
    <n v="7329.1487963058908"/>
    <n v="0.30184200244301429"/>
    <n v="0.30807025462357557"/>
    <n v="0.11979042228991611"/>
    <n v="30.30214176476078"/>
    <n v="1.975455919496689"/>
    <n v="9.4777460127523945"/>
    <n v="9.4877460170210171"/>
    <n v="693.95987825600753"/>
    <n v="594.43793904012409"/>
    <n v="305.84893220391581"/>
    <n v="635.15926508702057"/>
    <n v="1400.5100847948934"/>
    <n v="9.7498775429940253E-3"/>
    <n v="3768.1880587687106"/>
    <n v="222.69542299185034"/>
    <n v="517.46424943311717"/>
    <n v="222.47507022709135"/>
    <n v="759.59659121403388"/>
    <n v="1553.4569092622664"/>
    <n v="28.5781742690857"/>
    <n v="4024.8823789084454"/>
    <n v="818.90159671962101"/>
    <n v="927.50919366992355"/>
    <n v="305.85558861538459"/>
    <n v="1933.836664979757"/>
    <n v="2564.7302317013236"/>
    <n v="53.6302514614692"/>
    <n v="5562.7734410987441"/>
    <n v="0"/>
    <n v="0"/>
    <n v="0"/>
    <n v="0"/>
    <n v="0"/>
    <n v="0"/>
    <n v="0"/>
    <n v="7398.1139080282155"/>
    <n v="68.965111722324764"/>
    <n v="1.0000004268622575E-2"/>
    <n v="38.030367834888594"/>
    <x v="1"/>
  </r>
  <r>
    <n v="59"/>
    <x v="1"/>
    <x v="0"/>
    <n v="3"/>
    <s v="LIGHT"/>
    <s v="SWEET"/>
    <n v="2201.1081157521826"/>
    <n v="873.5420138934935"/>
    <n v="2246.5261036750953"/>
    <n v="1593.6079888313188"/>
    <n v="227.03245314490249"/>
    <n v="42.104798242288538"/>
    <n v="0"/>
    <n v="0"/>
    <n v="0"/>
    <n v="95.602193859938268"/>
    <n v="0"/>
    <n v="0"/>
    <n v="0"/>
    <n v="12.728894991386792"/>
    <n v="0"/>
    <n v="0"/>
    <n v="0"/>
    <n v="7292.2525623906058"/>
    <n v="7329.1487963058908"/>
    <n v="0.30184200244301429"/>
    <n v="0.30807025462357557"/>
    <n v="0.11979042228991611"/>
    <n v="36.614652924665549"/>
    <n v="1.0500146884775321"/>
    <n v="9.0152091026837855"/>
    <n v="9.0252091116691524"/>
    <n v="818.90118910197498"/>
    <n v="927.50795751294345"/>
    <n v="305.85497689399369"/>
    <n v="1042.4465049574546"/>
    <n v="1475.1651664718361"/>
    <n v="53.628397637799566"/>
    <n v="2632.3560463105177"/>
    <n v="222.69542299185034"/>
    <n v="517.46424943311717"/>
    <n v="222.47507022709135"/>
    <n v="759.59659121403388"/>
    <n v="1553.4569092622664"/>
    <n v="28.5781742690857"/>
    <n v="4024.8823789084454"/>
    <n v="818.90159671962101"/>
    <n v="927.50919366992355"/>
    <n v="305.85558861538459"/>
    <n v="1933.836664979757"/>
    <n v="2564.7302317013236"/>
    <n v="53.6302514614692"/>
    <n v="5562.7734410987441"/>
    <n v="0"/>
    <n v="0"/>
    <n v="0"/>
    <n v="0"/>
    <n v="0"/>
    <n v="0"/>
    <n v="0"/>
    <n v="7255.8602388865211"/>
    <n v="73.288557419369681"/>
    <n v="1.0000008985366904E-2"/>
    <n v="35.610008158424442"/>
    <x v="2"/>
  </r>
  <r>
    <n v="60"/>
    <x v="1"/>
    <x v="0"/>
    <n v="3"/>
    <s v="LIGHT"/>
    <s v="SOUR"/>
    <n v="2201.1081157521826"/>
    <n v="873.5420138934935"/>
    <n v="2246.5261036750953"/>
    <n v="1593.6079888313188"/>
    <n v="227.03245314490249"/>
    <n v="42.104798242288538"/>
    <n v="0"/>
    <n v="0"/>
    <n v="0"/>
    <n v="95.602193859938268"/>
    <n v="0"/>
    <n v="0"/>
    <n v="0"/>
    <n v="12.728894991386792"/>
    <n v="0"/>
    <n v="0"/>
    <n v="0"/>
    <n v="7292.2525623906058"/>
    <n v="7329.1487963058908"/>
    <n v="0.30184200244301429"/>
    <n v="0.30807025462357557"/>
    <n v="0.11979042228991611"/>
    <n v="36.614652924665549"/>
    <n v="1.975455919496689"/>
    <n v="9.0152091026837855"/>
    <n v="9.0252091116691524"/>
    <n v="818.90118910197498"/>
    <n v="927.50795751294345"/>
    <n v="305.85497689399369"/>
    <n v="1042.4465049574546"/>
    <n v="1475.1651664718361"/>
    <n v="53.628397637799566"/>
    <n v="2632.3560463105177"/>
    <n v="222.69542299185034"/>
    <n v="517.46424943311717"/>
    <n v="222.47507022709135"/>
    <n v="759.59659121403388"/>
    <n v="1553.4569092622664"/>
    <n v="28.5781742690857"/>
    <n v="4024.8823789084454"/>
    <n v="818.90159671962101"/>
    <n v="927.50919366992355"/>
    <n v="305.85558861538459"/>
    <n v="1933.836664979757"/>
    <n v="2564.7302317013236"/>
    <n v="53.6302514614692"/>
    <n v="5562.7734410987441"/>
    <n v="0"/>
    <n v="0"/>
    <n v="0"/>
    <n v="0"/>
    <n v="0"/>
    <n v="0"/>
    <n v="0"/>
    <n v="7255.8602388865211"/>
    <n v="73.288557419369681"/>
    <n v="1.0000008985366904E-2"/>
    <n v="35.473579400188797"/>
    <x v="3"/>
  </r>
  <r>
    <n v="61"/>
    <x v="1"/>
    <x v="1"/>
    <n v="3"/>
    <s v="HEAVY"/>
    <s v="SWEET"/>
    <n v="1447.8167547805631"/>
    <n v="1077.1561660460204"/>
    <n v="2163.4248727932877"/>
    <n v="1534.6588472218261"/>
    <n v="269.32588574164436"/>
    <n v="49.948418930838677"/>
    <n v="0"/>
    <n v="0"/>
    <n v="0"/>
    <n v="105.83663421026799"/>
    <n v="0"/>
    <n v="0"/>
    <n v="0"/>
    <n v="12.969949555427933"/>
    <n v="0"/>
    <n v="0"/>
    <n v="0"/>
    <n v="6661.1375292798766"/>
    <n v="6694.840543035838"/>
    <n v="0.21735277922374377"/>
    <n v="0.32478309647318926"/>
    <n v="0.16170754038799584"/>
    <n v="28.267512206646213"/>
    <n v="1.0693086579627853"/>
    <n v="9.4379849692162647"/>
    <n v="9.4479849723226561"/>
    <n v="650.56393677184928"/>
    <n v="539.2841745976167"/>
    <n v="315.87463712705085"/>
    <n v="566.14908047313031"/>
    <n v="1263.7832760525337"/>
    <n v="1.898154746330788E-2"/>
    <n v="3421.233624096516"/>
    <n v="203.42203276672706"/>
    <n v="472.67980674953327"/>
    <n v="203.22075064457636"/>
    <n v="693.85657141723141"/>
    <n v="1419.0114823743447"/>
    <n v="26.104848606573892"/>
    <n v="3676.545050476851"/>
    <n v="1341.688193439242"/>
    <n v="1166.9533873398473"/>
    <n v="315.88917723076923"/>
    <n v="2857.6483299595143"/>
    <n v="3063.8504634026467"/>
    <n v="69.2605029229384"/>
    <n v="5773.7168821974883"/>
    <n v="0"/>
    <n v="0"/>
    <n v="0"/>
    <n v="0"/>
    <n v="0"/>
    <n v="0"/>
    <n v="0"/>
    <n v="6756.9077106661598"/>
    <n v="62.067167630321819"/>
    <n v="1.0000003106391375E-2"/>
    <n v="35.423851785631044"/>
    <x v="0"/>
  </r>
  <r>
    <n v="62"/>
    <x v="1"/>
    <x v="1"/>
    <n v="3"/>
    <s v="HEAVY"/>
    <s v="SOUR"/>
    <n v="1447.8167547805631"/>
    <n v="1077.1561660460204"/>
    <n v="2163.4248727932877"/>
    <n v="1534.6588472218261"/>
    <n v="269.32588574164436"/>
    <n v="49.948418930838677"/>
    <n v="0"/>
    <n v="0"/>
    <n v="0"/>
    <n v="105.83663421026799"/>
    <n v="0"/>
    <n v="0"/>
    <n v="0"/>
    <n v="12.969949555427933"/>
    <n v="0"/>
    <n v="0"/>
    <n v="0"/>
    <n v="6661.1375292798766"/>
    <n v="6694.840543035838"/>
    <n v="0.21735277922374377"/>
    <n v="0.32478309647318926"/>
    <n v="0.16170754038799584"/>
    <n v="28.267512206646213"/>
    <n v="2.673413137685352"/>
    <n v="9.4379849692162647"/>
    <n v="9.4479849723226561"/>
    <n v="650.56393677184928"/>
    <n v="539.2841745976167"/>
    <n v="315.87463712705085"/>
    <n v="566.14908047313031"/>
    <n v="1263.7832760525337"/>
    <n v="1.898154746330788E-2"/>
    <n v="3421.233624096516"/>
    <n v="203.42203276672706"/>
    <n v="472.67980674953327"/>
    <n v="203.22075064457636"/>
    <n v="693.85657141723141"/>
    <n v="1419.0114823743447"/>
    <n v="26.104848606573892"/>
    <n v="3676.545050476851"/>
    <n v="1341.688193439242"/>
    <n v="1166.9533873398473"/>
    <n v="315.88917723076923"/>
    <n v="2857.6483299595143"/>
    <n v="3063.8504634026467"/>
    <n v="69.2605029229384"/>
    <n v="5773.7168821974883"/>
    <n v="0"/>
    <n v="0"/>
    <n v="0"/>
    <n v="0"/>
    <n v="0"/>
    <n v="0"/>
    <n v="0"/>
    <n v="6756.9077106661598"/>
    <n v="62.067167630321819"/>
    <n v="1.0000003106391375E-2"/>
    <n v="35.089671624951954"/>
    <x v="1"/>
  </r>
  <r>
    <n v="63"/>
    <x v="1"/>
    <x v="1"/>
    <n v="3"/>
    <s v="LIGHT"/>
    <s v="SWEET"/>
    <n v="1447.8167547805631"/>
    <n v="1077.1561660460204"/>
    <n v="2163.4248727932877"/>
    <n v="1534.6588472218261"/>
    <n v="269.32588574164436"/>
    <n v="49.948418930838677"/>
    <n v="0"/>
    <n v="0"/>
    <n v="0"/>
    <n v="105.83663421026799"/>
    <n v="0"/>
    <n v="0"/>
    <n v="0"/>
    <n v="12.969949555427933"/>
    <n v="0"/>
    <n v="0"/>
    <n v="0"/>
    <n v="6661.1375292798766"/>
    <n v="6694.840543035838"/>
    <n v="0.21735277922374377"/>
    <n v="0.32478309647318926"/>
    <n v="0.16170754038799584"/>
    <n v="37.317276792879753"/>
    <n v="1.0693086579627853"/>
    <n v="8.7748811674911948"/>
    <n v="8.7848811778640243"/>
    <n v="1192.8167096811103"/>
    <n v="625.58803990845809"/>
    <n v="315.88577463814062"/>
    <n v="419.55240036057899"/>
    <n v="1084.2023146111464"/>
    <n v="3.3795835552402394E-3"/>
    <n v="3121.6774402132387"/>
    <n v="203.42203276672706"/>
    <n v="472.67980674953327"/>
    <n v="203.22075064457636"/>
    <n v="693.85657141723141"/>
    <n v="1419.0114823743447"/>
    <n v="26.104848606573892"/>
    <n v="3676.545050476851"/>
    <n v="1341.688193439242"/>
    <n v="1166.9533873398473"/>
    <n v="315.88917723076923"/>
    <n v="2857.6483299595143"/>
    <n v="3063.8504634026467"/>
    <n v="69.2605029229384"/>
    <n v="5773.7168821974883"/>
    <n v="0"/>
    <n v="0"/>
    <n v="0"/>
    <n v="0"/>
    <n v="0"/>
    <n v="0"/>
    <n v="0"/>
    <n v="6759.7260589962279"/>
    <n v="64.885515960389966"/>
    <n v="1.0000010372829493E-2"/>
    <n v="32.78494264660344"/>
    <x v="2"/>
  </r>
  <r>
    <n v="64"/>
    <x v="1"/>
    <x v="1"/>
    <n v="3"/>
    <s v="LIGHT"/>
    <s v="SOUR"/>
    <n v="1447.8167547805631"/>
    <n v="1077.1561660460204"/>
    <n v="2163.4248727932877"/>
    <n v="1534.6588472218261"/>
    <n v="269.32588574164436"/>
    <n v="49.948418930838677"/>
    <n v="0"/>
    <n v="0"/>
    <n v="0"/>
    <n v="105.83663421026799"/>
    <n v="0"/>
    <n v="0"/>
    <n v="0"/>
    <n v="12.969949555427933"/>
    <n v="0"/>
    <n v="0"/>
    <n v="0"/>
    <n v="6661.1375292798766"/>
    <n v="6694.840543035838"/>
    <n v="0.21735277922374377"/>
    <n v="0.32478309647318926"/>
    <n v="0.16170754038799584"/>
    <n v="37.317276792879753"/>
    <n v="2.673413137685352"/>
    <n v="8.7748811674911948"/>
    <n v="8.7848811778640243"/>
    <n v="1192.8167096811103"/>
    <n v="625.58803990845809"/>
    <n v="315.88577463814062"/>
    <n v="419.55240036057899"/>
    <n v="1084.2023146111464"/>
    <n v="3.3795835552402394E-3"/>
    <n v="3121.6774402132387"/>
    <n v="203.42203276672706"/>
    <n v="472.67980674953327"/>
    <n v="203.22075064457636"/>
    <n v="693.85657141723141"/>
    <n v="1419.0114823743447"/>
    <n v="26.104848606573892"/>
    <n v="3676.545050476851"/>
    <n v="1341.688193439242"/>
    <n v="1166.9533873398473"/>
    <n v="315.88917723076923"/>
    <n v="2857.6483299595143"/>
    <n v="3063.8504634026467"/>
    <n v="69.2605029229384"/>
    <n v="5773.7168821974883"/>
    <n v="0"/>
    <n v="0"/>
    <n v="0"/>
    <n v="0"/>
    <n v="0"/>
    <n v="0"/>
    <n v="0"/>
    <n v="6759.7260589962279"/>
    <n v="64.885515960389966"/>
    <n v="1.0000010372829493E-2"/>
    <n v="34.04842229617995"/>
    <x v="3"/>
  </r>
  <r>
    <n v="65"/>
    <x v="1"/>
    <x v="0"/>
    <n v="4"/>
    <s v="HEAVY"/>
    <s v="SWEET"/>
    <n v="231.96148124169673"/>
    <n v="25.722246412711044"/>
    <n v="157.53395879384433"/>
    <n v="38.056493558086117"/>
    <n v="4.5959626645722889"/>
    <n v="2.1462026217592438"/>
    <n v="0"/>
    <n v="0"/>
    <n v="0"/>
    <n v="143.6758380967627"/>
    <n v="0"/>
    <n v="0"/>
    <n v="0"/>
    <n v="0"/>
    <n v="0"/>
    <n v="0"/>
    <n v="0"/>
    <n v="603.69218338943256"/>
    <n v="548.35027295826023"/>
    <n v="0.38423800675925257"/>
    <n v="0.26095080096841605"/>
    <n v="4.2608215114354094E-2"/>
    <n v="29.333484298143549"/>
    <n v="1.1317892699899461"/>
    <n v="6.6472538852919429"/>
    <n v="7.7793814023738808"/>
    <n v="41.247209074210645"/>
    <n v="311.65678471707122"/>
    <n v="0"/>
    <n v="138.96474358863489"/>
    <n v="50.890440431536689"/>
    <n v="0"/>
    <n v="7.3937196011215188E-11"/>
    <n v="11.950181285913034"/>
    <n v="185.24183126403577"/>
    <n v="0"/>
    <n v="58.15247453781884"/>
    <n v="176.62472099048603"/>
    <n v="0"/>
    <n v="116.38106488000656"/>
    <n v="41.247209074424283"/>
    <n v="311.65678471726699"/>
    <n v="0"/>
    <n v="138.96474358974359"/>
    <n v="273.7118603838083"/>
    <n v="0"/>
    <n v="150.98025463940334"/>
    <n v="0"/>
    <n v="0"/>
    <n v="0"/>
    <n v="0"/>
    <n v="0"/>
    <n v="0"/>
    <n v="0"/>
    <n v="542.75917781152737"/>
    <n v="5.5910951467328687"/>
    <n v="1.1321275170819378"/>
    <n v="515.67159934303004"/>
    <x v="0"/>
  </r>
  <r>
    <n v="66"/>
    <x v="1"/>
    <x v="0"/>
    <n v="4"/>
    <s v="HEAVY"/>
    <s v="SOUR"/>
    <n v="231.96148124169673"/>
    <n v="25.722246412711044"/>
    <n v="157.53395879384433"/>
    <n v="38.056493558086117"/>
    <n v="4.5959626645722889"/>
    <n v="2.1462026217592438"/>
    <n v="0"/>
    <n v="0"/>
    <n v="0"/>
    <n v="143.6758380967627"/>
    <n v="0"/>
    <n v="0"/>
    <n v="0"/>
    <n v="0"/>
    <n v="0"/>
    <n v="0"/>
    <n v="0"/>
    <n v="603.69218338943256"/>
    <n v="548.35027295826023"/>
    <n v="0.38423800675925257"/>
    <n v="0.26095080096841605"/>
    <n v="4.2608215114354094E-2"/>
    <n v="29.333484298143549"/>
    <n v="2.5473042893453721"/>
    <n v="6.6472538852919429"/>
    <n v="7.7793814023738808"/>
    <n v="41.247209074210645"/>
    <n v="311.65678471707122"/>
    <n v="0"/>
    <n v="138.96474358863489"/>
    <n v="50.890440431536689"/>
    <n v="0"/>
    <n v="7.3937196011215188E-11"/>
    <n v="11.950181285913034"/>
    <n v="185.24183126403577"/>
    <n v="0"/>
    <n v="58.15247453781884"/>
    <n v="176.62472099048603"/>
    <n v="0"/>
    <n v="116.38106488000656"/>
    <n v="41.247209074424283"/>
    <n v="311.65678471726699"/>
    <n v="0"/>
    <n v="138.96474358974359"/>
    <n v="273.7118603838083"/>
    <n v="0"/>
    <n v="150.98025463940334"/>
    <n v="0"/>
    <n v="0"/>
    <n v="0"/>
    <n v="0"/>
    <n v="0"/>
    <n v="0"/>
    <n v="0"/>
    <n v="542.75917781152737"/>
    <n v="5.5910951467328687"/>
    <n v="1.1321275170819378"/>
    <n v="34.064945151103437"/>
    <x v="1"/>
  </r>
  <r>
    <n v="67"/>
    <x v="1"/>
    <x v="0"/>
    <n v="4"/>
    <s v="LIGHT"/>
    <s v="SWEET"/>
    <n v="231.96148124169673"/>
    <n v="25.722246412711044"/>
    <n v="157.53395879384433"/>
    <n v="38.056493558086117"/>
    <n v="4.5959626645722889"/>
    <n v="2.1462026217592438"/>
    <n v="0"/>
    <n v="0"/>
    <n v="0"/>
    <n v="143.6758380967627"/>
    <n v="0"/>
    <n v="0"/>
    <n v="0"/>
    <n v="0"/>
    <n v="0"/>
    <n v="0"/>
    <n v="0"/>
    <n v="603.69218338943256"/>
    <n v="548.35027295826023"/>
    <n v="0.38423800675925257"/>
    <n v="0.26095080096841605"/>
    <n v="4.2608215114354094E-2"/>
    <n v="34.027824378954648"/>
    <n v="1.1317892699899461"/>
    <n v="6.4863883853850135"/>
    <n v="7.7797988696423594"/>
    <n v="41.24720907441997"/>
    <n v="311.65678471678405"/>
    <n v="0"/>
    <n v="138.96474357729718"/>
    <n v="50.994710143010515"/>
    <n v="0"/>
    <n v="1.0205422238471658E-10"/>
    <n v="11.950181285913034"/>
    <n v="185.24183126403577"/>
    <n v="0"/>
    <n v="58.15247453781884"/>
    <n v="176.62472099048603"/>
    <n v="0"/>
    <n v="116.38106488000656"/>
    <n v="41.247209074424283"/>
    <n v="311.65678471726699"/>
    <n v="0"/>
    <n v="138.96474358974359"/>
    <n v="273.7118603838083"/>
    <n v="0"/>
    <n v="150.98025463940334"/>
    <n v="0"/>
    <n v="0"/>
    <n v="0"/>
    <n v="0"/>
    <n v="0"/>
    <n v="0"/>
    <n v="0"/>
    <n v="542.8634475116138"/>
    <n v="5.486825446646435"/>
    <n v="1.2934104842573459"/>
    <n v="33.450936320427786"/>
    <x v="2"/>
  </r>
  <r>
    <n v="68"/>
    <x v="1"/>
    <x v="0"/>
    <n v="4"/>
    <s v="LIGHT"/>
    <s v="SOUR"/>
    <n v="231.96148124169673"/>
    <n v="25.722246412711044"/>
    <n v="157.53395879384433"/>
    <n v="38.056493558086117"/>
    <n v="4.5959626645722889"/>
    <n v="2.1462026217592438"/>
    <n v="0"/>
    <n v="0"/>
    <n v="0"/>
    <n v="143.6758380967627"/>
    <n v="0"/>
    <n v="0"/>
    <n v="0"/>
    <n v="0"/>
    <n v="0"/>
    <n v="0"/>
    <n v="0"/>
    <n v="603.69218338943256"/>
    <n v="548.35027295826023"/>
    <n v="0.38423800675925257"/>
    <n v="0.26095080096841605"/>
    <n v="4.2608215114354094E-2"/>
    <n v="34.027824378954648"/>
    <n v="2.5473042893453721"/>
    <n v="6.4863883853850135"/>
    <n v="7.7797988696423594"/>
    <n v="41.24720907441997"/>
    <n v="311.65678471678405"/>
    <n v="0"/>
    <n v="138.96474357729718"/>
    <n v="50.994710143010515"/>
    <n v="0"/>
    <n v="1.0205422238471658E-10"/>
    <n v="11.950181285913034"/>
    <n v="185.24183126403577"/>
    <n v="0"/>
    <n v="58.15247453781884"/>
    <n v="176.62472099048603"/>
    <n v="0"/>
    <n v="116.38106488000656"/>
    <n v="41.247209074424283"/>
    <n v="311.65678471726699"/>
    <n v="0"/>
    <n v="138.96474358974359"/>
    <n v="273.7118603838083"/>
    <n v="0"/>
    <n v="150.98025463940334"/>
    <n v="0"/>
    <n v="0"/>
    <n v="0"/>
    <n v="0"/>
    <n v="0"/>
    <n v="0"/>
    <n v="0"/>
    <n v="542.8634475116138"/>
    <n v="5.486825446646435"/>
    <n v="1.2934104842573459"/>
    <n v="32.722535695078136"/>
    <x v="3"/>
  </r>
  <r>
    <n v="69"/>
    <x v="1"/>
    <x v="1"/>
    <n v="4"/>
    <s v="HEAVY"/>
    <s v="SWEET"/>
    <n v="151.87490279349262"/>
    <n v="31.714904585976345"/>
    <n v="147.90704096680022"/>
    <n v="35.730856983761392"/>
    <n v="5.489384803663925"/>
    <n v="2.5634089998782152"/>
    <n v="0"/>
    <n v="0"/>
    <n v="0"/>
    <n v="155.50737146823388"/>
    <n v="0"/>
    <n v="0"/>
    <n v="0"/>
    <n v="0"/>
    <n v="0"/>
    <n v="0"/>
    <n v="0"/>
    <n v="530.78787060180662"/>
    <n v="482.12927338778803"/>
    <n v="0.28613107270386012"/>
    <n v="0.27865565352709248"/>
    <n v="5.9750620431506897E-2"/>
    <n v="26.924463078862729"/>
    <n v="1.1684886308416846"/>
    <n v="6.3189964485475514"/>
    <n v="6.7137042646000218"/>
    <n v="67.579418148830513"/>
    <n v="392.11356943448055"/>
    <n v="0"/>
    <n v="17.600178738034419"/>
    <n v="3.7764703324146759E-10"/>
    <n v="0"/>
    <n v="8.1403624709828754E-11"/>
    <n v="10.507029000180975"/>
    <n v="162.87127756230919"/>
    <n v="0"/>
    <n v="51.129746217441181"/>
    <n v="155.29480442138083"/>
    <n v="0"/>
    <n v="102.32641618647587"/>
    <n v="67.579418148848575"/>
    <n v="392.11356943453399"/>
    <n v="0"/>
    <n v="205.34948717948717"/>
    <n v="326.97872076761655"/>
    <n v="0"/>
    <n v="156.70550927880672"/>
    <n v="0"/>
    <n v="0"/>
    <n v="0"/>
    <n v="0"/>
    <n v="0"/>
    <n v="0"/>
    <n v="0"/>
    <n v="477.29316632180451"/>
    <n v="4.8361070659835264"/>
    <n v="0.39470781605247041"/>
    <n v="31.408956008476498"/>
    <x v="0"/>
  </r>
  <r>
    <n v="70"/>
    <x v="1"/>
    <x v="1"/>
    <n v="4"/>
    <s v="HEAVY"/>
    <s v="SOUR"/>
    <n v="151.87490279349262"/>
    <n v="31.714904585976345"/>
    <n v="147.90704096680022"/>
    <n v="35.730856983761392"/>
    <n v="5.489384803663925"/>
    <n v="2.5634089998782152"/>
    <n v="0"/>
    <n v="0"/>
    <n v="0"/>
    <n v="155.50737146823388"/>
    <n v="0"/>
    <n v="0"/>
    <n v="0"/>
    <n v="0"/>
    <n v="0"/>
    <n v="0"/>
    <n v="0"/>
    <n v="530.78787060180662"/>
    <n v="482.12927338778803"/>
    <n v="0.28613107270386012"/>
    <n v="0.27865565352709248"/>
    <n v="5.9750620431506897E-2"/>
    <n v="26.924463078862729"/>
    <n v="3.7883857319296892"/>
    <n v="6.3189964485475514"/>
    <n v="6.7137042646000218"/>
    <n v="67.579418148830513"/>
    <n v="392.11356943448055"/>
    <n v="0"/>
    <n v="17.600178738034419"/>
    <n v="3.7764703324146759E-10"/>
    <n v="0"/>
    <n v="8.1403624709828754E-11"/>
    <n v="10.507029000180975"/>
    <n v="162.87127756230919"/>
    <n v="0"/>
    <n v="51.129746217441181"/>
    <n v="155.29480442138083"/>
    <n v="0"/>
    <n v="102.32641618647587"/>
    <n v="67.579418148848575"/>
    <n v="392.11356943453399"/>
    <n v="0"/>
    <n v="205.34948717948717"/>
    <n v="326.97872076761655"/>
    <n v="0"/>
    <n v="156.70550927880672"/>
    <n v="0"/>
    <n v="0"/>
    <n v="0"/>
    <n v="0"/>
    <n v="0"/>
    <n v="0"/>
    <n v="0"/>
    <n v="477.29316632180451"/>
    <n v="4.8361070659835264"/>
    <n v="0.39470781605247041"/>
    <n v="30.20191350327007"/>
    <x v="1"/>
  </r>
  <r>
    <n v="71"/>
    <x v="1"/>
    <x v="1"/>
    <n v="4"/>
    <s v="LIGHT"/>
    <s v="SWEET"/>
    <n v="151.87490279349262"/>
    <n v="31.714904585976345"/>
    <n v="147.90704096680022"/>
    <n v="35.730856983761392"/>
    <n v="5.489384803663925"/>
    <n v="2.5634089998782152"/>
    <n v="0"/>
    <n v="0"/>
    <n v="0"/>
    <n v="155.50737146823388"/>
    <n v="0"/>
    <n v="0"/>
    <n v="0"/>
    <n v="0"/>
    <n v="0"/>
    <n v="0"/>
    <n v="0"/>
    <n v="530.78787060180662"/>
    <n v="482.12927338778803"/>
    <n v="0.28613107270386012"/>
    <n v="0.27865565352709248"/>
    <n v="5.9750620431506897E-2"/>
    <n v="33.609676323697812"/>
    <n v="1.1684886308416846"/>
    <n v="6.0899077689670538"/>
    <n v="6.7137481165764532"/>
    <n v="67.579418148827656"/>
    <n v="392.11356943447208"/>
    <n v="0"/>
    <n v="17.607377569642246"/>
    <n v="4.3751894408463119E-10"/>
    <n v="0"/>
    <n v="9.4324674702181719E-11"/>
    <n v="10.507029000180975"/>
    <n v="162.87127756230919"/>
    <n v="0"/>
    <n v="51.129746217441181"/>
    <n v="155.29480442138083"/>
    <n v="0"/>
    <n v="102.32641618647587"/>
    <n v="67.579418148848575"/>
    <n v="392.11356943453399"/>
    <n v="0"/>
    <n v="205.34948717948717"/>
    <n v="326.97872076761655"/>
    <n v="0"/>
    <n v="156.70550927880672"/>
    <n v="0"/>
    <n v="0"/>
    <n v="0"/>
    <n v="0"/>
    <n v="0"/>
    <n v="0"/>
    <n v="0"/>
    <n v="477.30036515347382"/>
    <n v="4.8289082343142127"/>
    <n v="0.62384034760939944"/>
    <n v="32.097069567918112"/>
    <x v="2"/>
  </r>
  <r>
    <n v="72"/>
    <x v="1"/>
    <x v="1"/>
    <n v="4"/>
    <s v="LIGHT"/>
    <s v="SOUR"/>
    <n v="151.87490279349262"/>
    <n v="31.714904585976345"/>
    <n v="147.90704096680022"/>
    <n v="35.730856983761392"/>
    <n v="5.489384803663925"/>
    <n v="2.5634089998782152"/>
    <n v="0"/>
    <n v="0"/>
    <n v="0"/>
    <n v="155.50737146823388"/>
    <n v="0"/>
    <n v="0"/>
    <n v="0"/>
    <n v="0"/>
    <n v="0"/>
    <n v="0"/>
    <n v="0"/>
    <n v="530.78787060180662"/>
    <n v="482.12927338778803"/>
    <n v="0.28613107270386012"/>
    <n v="0.27865565352709248"/>
    <n v="5.9750620431506897E-2"/>
    <n v="33.609676323697812"/>
    <n v="3.7883857319296892"/>
    <n v="6.0899077689670538"/>
    <n v="6.7137481165764532"/>
    <n v="67.579418148827656"/>
    <n v="392.11356943447208"/>
    <n v="0"/>
    <n v="17.607377569642246"/>
    <n v="4.3751894408463119E-10"/>
    <n v="0"/>
    <n v="9.4324674702181719E-11"/>
    <n v="10.507029000180975"/>
    <n v="162.87127756230919"/>
    <n v="0"/>
    <n v="51.129746217441181"/>
    <n v="155.29480442138083"/>
    <n v="0"/>
    <n v="102.32641618647587"/>
    <n v="67.579418148848575"/>
    <n v="392.11356943453399"/>
    <n v="0"/>
    <n v="205.34948717948717"/>
    <n v="326.97872076761655"/>
    <n v="0"/>
    <n v="156.70550927880672"/>
    <n v="0"/>
    <n v="0"/>
    <n v="0"/>
    <n v="0"/>
    <n v="0"/>
    <n v="0"/>
    <n v="0"/>
    <n v="477.30036515347382"/>
    <n v="4.8289082343142127"/>
    <n v="0.62384034760939944"/>
    <n v="32.424447937804359"/>
    <x v="3"/>
  </r>
  <r>
    <n v="73"/>
    <x v="1"/>
    <x v="0"/>
    <n v="5"/>
    <s v="HEAVY"/>
    <s v="SWEET"/>
    <n v="1035.4935588604817"/>
    <n v="326.96315130646633"/>
    <n v="748.40085214611031"/>
    <n v="393.12506230106305"/>
    <n v="353.7995949044448"/>
    <n v="26.363897406863835"/>
    <n v="0"/>
    <n v="0"/>
    <n v="0"/>
    <n v="54.640781109050373"/>
    <n v="0"/>
    <n v="0"/>
    <n v="0"/>
    <n v="25.261154693326308"/>
    <n v="0"/>
    <n v="0"/>
    <n v="0"/>
    <n v="2964.0480527278064"/>
    <n v="2364.0972974311421"/>
    <n v="0.34935113751193048"/>
    <n v="0.25249282023527209"/>
    <n v="0.11030966620313827"/>
    <n v="28.769370330956527"/>
    <n v="1.439026873673878"/>
    <n v="8.0437931460748651"/>
    <n v="8.0537931452279956"/>
    <n v="539.8428057368867"/>
    <n v="268.8553476441582"/>
    <n v="251.89002161493767"/>
    <n v="124.04656762106337"/>
    <n v="72.814017405571434"/>
    <n v="162.76915423005255"/>
    <n v="928.48496606022729"/>
    <n v="160.48308429961375"/>
    <n v="184.13733324683562"/>
    <n v="200.3726561558758"/>
    <n v="211.26470823409261"/>
    <n v="184.30174158009169"/>
    <n v="294.660835278251"/>
    <n v="1128.8769386363815"/>
    <n v="539.89181304421595"/>
    <n v="301.95121010669465"/>
    <n v="252.01742847049914"/>
    <n v="492.06309041835357"/>
    <n v="278.3741935541737"/>
    <n v="505.88851674641143"/>
    <n v="1427.387315315184"/>
    <n v="0"/>
    <n v="0"/>
    <n v="0"/>
    <n v="0"/>
    <n v="0"/>
    <n v="0"/>
    <n v="0"/>
    <n v="2348.7028803128969"/>
    <n v="15.394417118245201"/>
    <n v="9.9999991531305454E-3"/>
    <n v="34.354968011642185"/>
    <x v="0"/>
  </r>
  <r>
    <n v="74"/>
    <x v="1"/>
    <x v="0"/>
    <n v="5"/>
    <s v="HEAVY"/>
    <s v="SOUR"/>
    <n v="1035.4935588604817"/>
    <n v="326.96315130646633"/>
    <n v="748.40085214611031"/>
    <n v="393.12506230106305"/>
    <n v="353.7995949044448"/>
    <n v="26.363897406863835"/>
    <n v="0"/>
    <n v="0"/>
    <n v="0"/>
    <n v="54.640781109050373"/>
    <n v="0"/>
    <n v="0"/>
    <n v="0"/>
    <n v="25.261154693326308"/>
    <n v="0"/>
    <n v="0"/>
    <n v="0"/>
    <n v="2964.0480527278064"/>
    <n v="2364.0972974311421"/>
    <n v="0.34935113751193048"/>
    <n v="0.25249282023527209"/>
    <n v="0.11030966620313827"/>
    <n v="28.769370330956527"/>
    <n v="1.664030724437416"/>
    <n v="8.0437931460748651"/>
    <n v="8.0537931452279956"/>
    <n v="539.8428057368867"/>
    <n v="268.8553476441582"/>
    <n v="251.89002161493767"/>
    <n v="124.04656762106337"/>
    <n v="72.814017405571434"/>
    <n v="162.76915423005255"/>
    <n v="928.48496606022729"/>
    <n v="160.48308429961375"/>
    <n v="184.13733324683562"/>
    <n v="200.3726561558758"/>
    <n v="211.26470823409261"/>
    <n v="184.30174158009169"/>
    <n v="294.660835278251"/>
    <n v="1128.8769386363815"/>
    <n v="539.89181304421595"/>
    <n v="301.95121010669465"/>
    <n v="252.01742847049914"/>
    <n v="492.06309041835357"/>
    <n v="278.3741935541737"/>
    <n v="505.88851674641143"/>
    <n v="1427.387315315184"/>
    <n v="0"/>
    <n v="0"/>
    <n v="0"/>
    <n v="0"/>
    <n v="0"/>
    <n v="0"/>
    <n v="0"/>
    <n v="2348.7028803128969"/>
    <n v="15.394417118245201"/>
    <n v="9.9999991531305454E-3"/>
    <n v="34.237174892482287"/>
    <x v="1"/>
  </r>
  <r>
    <n v="75"/>
    <x v="1"/>
    <x v="0"/>
    <n v="5"/>
    <s v="LIGHT"/>
    <s v="SWEET"/>
    <n v="1035.4935588604817"/>
    <n v="326.96315130646633"/>
    <n v="748.40085214611031"/>
    <n v="393.12506230106305"/>
    <n v="353.7995949044448"/>
    <n v="26.363897406863835"/>
    <n v="0"/>
    <n v="0"/>
    <n v="0"/>
    <n v="54.640781109050373"/>
    <n v="0"/>
    <n v="0"/>
    <n v="0"/>
    <n v="25.261154693326308"/>
    <n v="0"/>
    <n v="0"/>
    <n v="0"/>
    <n v="2964.0480527278064"/>
    <n v="2364.0972974311421"/>
    <n v="0.34935113751193048"/>
    <n v="0.25249282023527209"/>
    <n v="0.11030966620313827"/>
    <n v="31.950804958677317"/>
    <n v="1.439026873673878"/>
    <n v="8.7054415028615431"/>
    <n v="8.7154415358756498"/>
    <n v="365.74757489314226"/>
    <n v="222.73722176761726"/>
    <n v="251.99605772234224"/>
    <n v="164.85959582277493"/>
    <n v="125.88685739413913"/>
    <n v="226.18966694153431"/>
    <n v="1026.5860264724954"/>
    <n v="160.48308429961375"/>
    <n v="184.13733324683562"/>
    <n v="200.3726561558758"/>
    <n v="211.26470823409261"/>
    <n v="184.30174158009169"/>
    <n v="294.660835278251"/>
    <n v="1128.8769386363815"/>
    <n v="539.89181304421595"/>
    <n v="301.95121010669465"/>
    <n v="252.01742847049914"/>
    <n v="492.06309041835357"/>
    <n v="278.3741935541737"/>
    <n v="505.88851674641143"/>
    <n v="1427.387315315184"/>
    <n v="0"/>
    <n v="0"/>
    <n v="0"/>
    <n v="0"/>
    <n v="0"/>
    <n v="0"/>
    <n v="0"/>
    <n v="2384.0030010140454"/>
    <n v="19.905703582903243"/>
    <n v="1.0000033014106791E-2"/>
    <n v="35.253384142387844"/>
    <x v="2"/>
  </r>
  <r>
    <n v="76"/>
    <x v="1"/>
    <x v="0"/>
    <n v="5"/>
    <s v="LIGHT"/>
    <s v="SOUR"/>
    <n v="1035.4935588604817"/>
    <n v="326.96315130646633"/>
    <n v="748.40085214611031"/>
    <n v="393.12506230106305"/>
    <n v="353.7995949044448"/>
    <n v="26.363897406863835"/>
    <n v="0"/>
    <n v="0"/>
    <n v="0"/>
    <n v="54.640781109050373"/>
    <n v="0"/>
    <n v="0"/>
    <n v="0"/>
    <n v="25.261154693326308"/>
    <n v="0"/>
    <n v="0"/>
    <n v="0"/>
    <n v="2964.0480527278064"/>
    <n v="2364.0972974311421"/>
    <n v="0.34935113751193048"/>
    <n v="0.25249282023527209"/>
    <n v="0.11030966620313827"/>
    <n v="31.950804958677317"/>
    <n v="1.664030724437416"/>
    <n v="8.7054415028615431"/>
    <n v="8.7154415358756498"/>
    <n v="365.74757489314226"/>
    <n v="222.73722176761726"/>
    <n v="251.99605772234224"/>
    <n v="164.85959582277493"/>
    <n v="125.88685739413913"/>
    <n v="226.18966694153431"/>
    <n v="1026.5860264724954"/>
    <n v="160.48308429961375"/>
    <n v="184.13733324683562"/>
    <n v="200.3726561558758"/>
    <n v="211.26470823409261"/>
    <n v="184.30174158009169"/>
    <n v="294.660835278251"/>
    <n v="1128.8769386363815"/>
    <n v="539.89181304421595"/>
    <n v="301.95121010669465"/>
    <n v="252.01742847049914"/>
    <n v="492.06309041835357"/>
    <n v="278.3741935541737"/>
    <n v="505.88851674641143"/>
    <n v="1427.387315315184"/>
    <n v="0"/>
    <n v="0"/>
    <n v="0"/>
    <n v="0"/>
    <n v="0"/>
    <n v="0"/>
    <n v="0"/>
    <n v="2384.0030010140454"/>
    <n v="19.905703582903243"/>
    <n v="1.0000033014106791E-2"/>
    <n v="35.029152753963352"/>
    <x v="3"/>
  </r>
  <r>
    <n v="77"/>
    <x v="1"/>
    <x v="1"/>
    <n v="5"/>
    <s v="HEAVY"/>
    <s v="SWEET"/>
    <n v="668.66508815328916"/>
    <n v="403.19471874513545"/>
    <n v="714.25021280059491"/>
    <n v="375.18618344780128"/>
    <n v="419.77387298964987"/>
    <n v="31.280067815142612"/>
    <n v="0"/>
    <n v="0"/>
    <n v="0"/>
    <n v="59.542867080691309"/>
    <n v="0"/>
    <n v="0"/>
    <n v="0"/>
    <n v="25.739540023388059"/>
    <n v="0"/>
    <n v="0"/>
    <n v="0"/>
    <n v="2697.6325510556931"/>
    <n v="2151.6067587176512"/>
    <n v="0.24787107787960722"/>
    <n v="0.26476927427387387"/>
    <n v="0.1494624308960644"/>
    <n v="29.834929643303958"/>
    <n v="1.5923770961611641"/>
    <n v="8.9404572396062338"/>
    <n v="8.9504572396142823"/>
    <n v="272.53960529040938"/>
    <n v="190.60571575620398"/>
    <n v="229.30794781081246"/>
    <n v="162.4968393887327"/>
    <n v="130.49487719873093"/>
    <n v="224.69661313757791"/>
    <n v="962.94210528132885"/>
    <n v="146.05849311452073"/>
    <n v="167.58664339942447"/>
    <n v="182.36269789557909"/>
    <n v="192.27574711451825"/>
    <n v="167.73627433103107"/>
    <n v="268.17603717198079"/>
    <n v="1027.4108656905967"/>
    <n v="884.55862608843188"/>
    <n v="379.90242021338935"/>
    <n v="260.28485694099828"/>
    <n v="727.12618083670714"/>
    <n v="332.5483871083473"/>
    <n v="653.32703349282281"/>
    <n v="1481.5146306303682"/>
    <n v="0"/>
    <n v="0"/>
    <n v="0"/>
    <n v="0"/>
    <n v="0"/>
    <n v="0"/>
    <n v="0"/>
    <n v="2173.0837038637965"/>
    <n v="21.476945146145226"/>
    <n v="1.000000000804846E-2"/>
    <n v="35.597505722263634"/>
    <x v="0"/>
  </r>
  <r>
    <n v="78"/>
    <x v="1"/>
    <x v="1"/>
    <n v="5"/>
    <s v="HEAVY"/>
    <s v="SOUR"/>
    <n v="668.66508815328916"/>
    <n v="403.19471874513545"/>
    <n v="714.25021280059491"/>
    <n v="375.18618344780128"/>
    <n v="419.77387298964987"/>
    <n v="31.280067815142612"/>
    <n v="0"/>
    <n v="0"/>
    <n v="0"/>
    <n v="59.542867080691309"/>
    <n v="0"/>
    <n v="0"/>
    <n v="0"/>
    <n v="25.739540023388059"/>
    <n v="0"/>
    <n v="0"/>
    <n v="0"/>
    <n v="2697.6325510556931"/>
    <n v="2151.6067587176512"/>
    <n v="0.24787107787960722"/>
    <n v="0.26476927427387387"/>
    <n v="0.1494624308960644"/>
    <n v="29.834929643303958"/>
    <n v="1.8659991154487672"/>
    <n v="8.9404572396062338"/>
    <n v="8.9504572396142823"/>
    <n v="272.53960529040938"/>
    <n v="190.60571575620398"/>
    <n v="229.30794781081246"/>
    <n v="162.4968393887327"/>
    <n v="130.49487719873093"/>
    <n v="224.69661313757791"/>
    <n v="962.94210528132885"/>
    <n v="146.05849311452073"/>
    <n v="167.58664339942447"/>
    <n v="182.36269789557909"/>
    <n v="192.27574711451825"/>
    <n v="167.73627433103107"/>
    <n v="268.17603717198079"/>
    <n v="1027.4108656905967"/>
    <n v="884.55862608843188"/>
    <n v="379.90242021338935"/>
    <n v="260.28485694099828"/>
    <n v="727.12618083670714"/>
    <n v="332.5483871083473"/>
    <n v="653.32703349282281"/>
    <n v="1481.5146306303682"/>
    <n v="0"/>
    <n v="0"/>
    <n v="0"/>
    <n v="0"/>
    <n v="0"/>
    <n v="0"/>
    <n v="0"/>
    <n v="2173.0837038637965"/>
    <n v="21.476945146145226"/>
    <n v="1.000000000804846E-2"/>
    <n v="34.616298291792639"/>
    <x v="1"/>
  </r>
  <r>
    <n v="79"/>
    <x v="1"/>
    <x v="1"/>
    <n v="5"/>
    <s v="LIGHT"/>
    <s v="SWEET"/>
    <n v="668.66508815328916"/>
    <n v="403.19471874513545"/>
    <n v="714.25021280059491"/>
    <n v="375.18618344780128"/>
    <n v="419.77387298964987"/>
    <n v="31.280067815142612"/>
    <n v="0"/>
    <n v="0"/>
    <n v="0"/>
    <n v="59.542867080691309"/>
    <n v="0"/>
    <n v="0"/>
    <n v="0"/>
    <n v="25.739540023388059"/>
    <n v="0"/>
    <n v="0"/>
    <n v="0"/>
    <n v="2697.6325510556931"/>
    <n v="2151.6067587176512"/>
    <n v="0.24787107787960722"/>
    <n v="0.26476927427387387"/>
    <n v="0.1494624308960644"/>
    <n v="34.263678151264266"/>
    <n v="1.5923770961611641"/>
    <n v="9.8615115801169715"/>
    <n v="9.8515115811689782"/>
    <n v="72.532242932198571"/>
    <n v="155.37195571896908"/>
    <n v="153.45361958272849"/>
    <n v="212.44933076266659"/>
    <n v="191.54142485089093"/>
    <n v="296.05129438836173"/>
    <n v="1067.3315869217076"/>
    <n v="146.05849311452073"/>
    <n v="167.58664339942447"/>
    <n v="182.36269789557909"/>
    <n v="192.27574711451825"/>
    <n v="167.73627433103107"/>
    <n v="268.17603717198079"/>
    <n v="1027.4108656905967"/>
    <n v="884.55862608843188"/>
    <n v="379.90242021338935"/>
    <n v="260.28485694099828"/>
    <n v="727.12618083670714"/>
    <n v="332.5483871083473"/>
    <n v="653.32703349282281"/>
    <n v="1481.5146306303682"/>
    <n v="0"/>
    <n v="0"/>
    <n v="0"/>
    <n v="0"/>
    <n v="0"/>
    <n v="0"/>
    <n v="0"/>
    <n v="2148.7314551575232"/>
    <n v="2.8753035601280317"/>
    <n v="9.9999989479933049E-3"/>
    <n v="35.626073315162408"/>
    <x v="2"/>
  </r>
  <r>
    <n v="80"/>
    <x v="1"/>
    <x v="1"/>
    <n v="5"/>
    <s v="LIGHT"/>
    <s v="SOUR"/>
    <n v="668.66508815328916"/>
    <n v="403.19471874513545"/>
    <n v="714.25021280059491"/>
    <n v="375.18618344780128"/>
    <n v="419.77387298964987"/>
    <n v="31.280067815142612"/>
    <n v="0"/>
    <n v="0"/>
    <n v="0"/>
    <n v="59.542867080691309"/>
    <n v="0"/>
    <n v="0"/>
    <n v="0"/>
    <n v="25.739540023388059"/>
    <n v="0"/>
    <n v="0"/>
    <n v="0"/>
    <n v="2697.6325510556931"/>
    <n v="2151.6067587176512"/>
    <n v="0.24787107787960722"/>
    <n v="0.26476927427387387"/>
    <n v="0.1494624308960644"/>
    <n v="34.263678151264266"/>
    <n v="1.8659991154487672"/>
    <n v="9.8615115801169715"/>
    <n v="9.8515115811689782"/>
    <n v="72.532242932198571"/>
    <n v="155.37195571896908"/>
    <n v="153.45361958272849"/>
    <n v="212.44933076266659"/>
    <n v="191.54142485089093"/>
    <n v="296.05129438836173"/>
    <n v="1067.3315869217076"/>
    <n v="146.05849311452073"/>
    <n v="167.58664339942447"/>
    <n v="182.36269789557909"/>
    <n v="192.27574711451825"/>
    <n v="167.73627433103107"/>
    <n v="268.17603717198079"/>
    <n v="1027.4108656905967"/>
    <n v="884.55862608843188"/>
    <n v="379.90242021338935"/>
    <n v="260.28485694099828"/>
    <n v="727.12618083670714"/>
    <n v="332.5483871083473"/>
    <n v="653.32703349282281"/>
    <n v="1481.5146306303682"/>
    <n v="0"/>
    <n v="0"/>
    <n v="0"/>
    <n v="0"/>
    <n v="0"/>
    <n v="0"/>
    <n v="0"/>
    <n v="2148.7314551575232"/>
    <n v="2.8753035601280317"/>
    <n v="9.9999989479933049E-3"/>
    <n v="34.423812756340638"/>
    <x v="3"/>
  </r>
  <r>
    <n v="81"/>
    <x v="2"/>
    <x v="0"/>
    <n v="1"/>
    <s v="HEAVY"/>
    <s v="SWEET"/>
    <n v="700.92713373333675"/>
    <n v="103.30655223670755"/>
    <n v="256.75218715042314"/>
    <n v="90.475425103445417"/>
    <n v="126.58285122181967"/>
    <n v="0"/>
    <n v="0"/>
    <n v="0"/>
    <n v="0"/>
    <n v="118.64163594996619"/>
    <n v="0"/>
    <n v="0"/>
    <n v="0"/>
    <n v="10.257393535321418"/>
    <n v="0"/>
    <n v="0"/>
    <n v="0"/>
    <n v="1406.9431789310202"/>
    <n v="471.51690705435192"/>
    <n v="0.49819150071568163"/>
    <n v="0.18248937909880669"/>
    <n v="7.3426243350636744E-2"/>
    <n v="30.30214176476078"/>
    <n v="0.41766843364396622"/>
    <n v="8.1411693935557796"/>
    <n v="8.1511693970741117"/>
    <n v="29.846612737622394"/>
    <n v="256.85668773754702"/>
    <n v="0"/>
    <n v="71.74441699529612"/>
    <n v="55.453024982798475"/>
    <n v="0"/>
    <n v="60.562486045342425"/>
    <n v="12.660073862760395"/>
    <n v="253.6035667154589"/>
    <n v="0"/>
    <n v="75.669406995809268"/>
    <n v="60.390007506270841"/>
    <n v="0"/>
    <n v="69.193851974052507"/>
    <n v="91.42693476369206"/>
    <n v="892.71066470160065"/>
    <n v="0"/>
    <n v="378.33333333333331"/>
    <n v="195.80557682200353"/>
    <n v="0"/>
    <n v="187.81193219368552"/>
    <n v="0"/>
    <n v="0"/>
    <n v="0"/>
    <n v="0"/>
    <n v="0"/>
    <n v="0"/>
    <n v="0"/>
    <n v="474.46322849860638"/>
    <n v="2.9463214442544654"/>
    <n v="1.0000003518332079E-2"/>
    <n v="32.692924009206429"/>
    <x v="0"/>
  </r>
  <r>
    <n v="82"/>
    <x v="2"/>
    <x v="0"/>
    <n v="1"/>
    <s v="HEAVY"/>
    <s v="SOUR"/>
    <n v="700.92713373333675"/>
    <n v="103.30655223670755"/>
    <n v="256.75218715042314"/>
    <n v="90.475425103445417"/>
    <n v="126.58285122181967"/>
    <n v="0"/>
    <n v="0"/>
    <n v="0"/>
    <n v="0"/>
    <n v="118.64163594996619"/>
    <n v="0"/>
    <n v="0"/>
    <n v="0"/>
    <n v="10.257393535321418"/>
    <n v="0"/>
    <n v="0"/>
    <n v="0"/>
    <n v="1406.9431789310202"/>
    <n v="471.51690705435192"/>
    <n v="0.49819150071568163"/>
    <n v="0.18248937909880669"/>
    <n v="7.3426243350636744E-2"/>
    <n v="30.30214176476078"/>
    <n v="1.5301400799730309"/>
    <n v="8.1411693935557796"/>
    <n v="8.1511693970741117"/>
    <n v="29.846612737622394"/>
    <n v="256.85668773754702"/>
    <n v="0"/>
    <n v="71.74441699529612"/>
    <n v="55.453024982798475"/>
    <n v="0"/>
    <n v="60.562486045342425"/>
    <n v="12.660073862760395"/>
    <n v="253.6035667154589"/>
    <n v="0"/>
    <n v="75.669406995809268"/>
    <n v="60.390007506270841"/>
    <n v="0"/>
    <n v="69.193851974052507"/>
    <n v="91.42693476369206"/>
    <n v="892.71066470160065"/>
    <n v="0"/>
    <n v="378.33333333333331"/>
    <n v="195.80557682200353"/>
    <n v="0"/>
    <n v="187.81193219368552"/>
    <n v="0"/>
    <n v="0"/>
    <n v="0"/>
    <n v="0"/>
    <n v="0"/>
    <n v="0"/>
    <n v="0"/>
    <n v="474.46322849860638"/>
    <n v="2.9463214442544654"/>
    <n v="1.0000003518332079E-2"/>
    <n v="31.683565611775627"/>
    <x v="1"/>
  </r>
  <r>
    <n v="83"/>
    <x v="2"/>
    <x v="0"/>
    <n v="1"/>
    <s v="LIGHT"/>
    <s v="SWEET"/>
    <n v="700.92713373333675"/>
    <n v="103.30655223670755"/>
    <n v="256.75218715042314"/>
    <n v="90.475425103445417"/>
    <n v="126.58285122181967"/>
    <n v="0"/>
    <n v="0"/>
    <n v="0"/>
    <n v="0"/>
    <n v="118.64163594996619"/>
    <n v="0"/>
    <n v="0"/>
    <n v="0"/>
    <n v="10.257393535321418"/>
    <n v="0"/>
    <n v="0"/>
    <n v="0"/>
    <n v="1406.9431789310202"/>
    <n v="471.51690705435192"/>
    <n v="0.49819150071568163"/>
    <n v="0.18248937909880669"/>
    <n v="7.3426243350636744E-2"/>
    <n v="36.614652924665549"/>
    <n v="0.41766843364396622"/>
    <n v="7.3889426119957555"/>
    <n v="7.3989428824007257"/>
    <n v="73.263358328750613"/>
    <n v="263.99138403853522"/>
    <n v="0"/>
    <n v="60.179024156308721"/>
    <n v="41.261160868430416"/>
    <n v="0"/>
    <n v="36.761535327932144"/>
    <n v="12.660073862760395"/>
    <n v="253.6035667154589"/>
    <n v="0"/>
    <n v="75.669406995809268"/>
    <n v="60.390007506270841"/>
    <n v="0"/>
    <n v="69.193851974052507"/>
    <n v="91.42693476369206"/>
    <n v="892.71066470160065"/>
    <n v="0"/>
    <n v="378.33333333333331"/>
    <n v="195.80557682200353"/>
    <n v="0"/>
    <n v="187.81193219368552"/>
    <n v="0"/>
    <n v="0"/>
    <n v="0"/>
    <n v="0"/>
    <n v="0"/>
    <n v="0"/>
    <n v="0"/>
    <n v="475.45646271995713"/>
    <n v="3.9395556656052122"/>
    <n v="1.0000270404970202E-2"/>
    <n v="31.589161412203527"/>
    <x v="2"/>
  </r>
  <r>
    <n v="84"/>
    <x v="2"/>
    <x v="0"/>
    <n v="1"/>
    <s v="LIGHT"/>
    <s v="SOUR"/>
    <n v="700.92713373333675"/>
    <n v="103.30655223670755"/>
    <n v="256.75218715042314"/>
    <n v="90.475425103445417"/>
    <n v="126.58285122181967"/>
    <n v="0"/>
    <n v="0"/>
    <n v="0"/>
    <n v="0"/>
    <n v="118.64163594996619"/>
    <n v="0"/>
    <n v="0"/>
    <n v="0"/>
    <n v="10.257393535321418"/>
    <n v="0"/>
    <n v="0"/>
    <n v="0"/>
    <n v="1406.9431789310202"/>
    <n v="471.51690705435192"/>
    <n v="0.49819150071568163"/>
    <n v="0.18248937909880669"/>
    <n v="7.3426243350636744E-2"/>
    <n v="36.614652924665549"/>
    <n v="1.5301400799730309"/>
    <n v="7.3889426119957555"/>
    <n v="7.3989428824007257"/>
    <n v="73.263358328750613"/>
    <n v="263.99138403853522"/>
    <n v="0"/>
    <n v="60.179024156308721"/>
    <n v="41.261160868430416"/>
    <n v="0"/>
    <n v="36.761535327932144"/>
    <n v="12.660073862760395"/>
    <n v="253.6035667154589"/>
    <n v="0"/>
    <n v="75.669406995809268"/>
    <n v="60.390007506270841"/>
    <n v="0"/>
    <n v="69.193851974052507"/>
    <n v="91.42693476369206"/>
    <n v="892.71066470160065"/>
    <n v="0"/>
    <n v="378.33333333333331"/>
    <n v="195.80557682200353"/>
    <n v="0"/>
    <n v="187.81193219368552"/>
    <n v="0"/>
    <n v="0"/>
    <n v="0"/>
    <n v="0"/>
    <n v="0"/>
    <n v="0"/>
    <n v="0"/>
    <n v="475.45646271995713"/>
    <n v="3.9395556656052122"/>
    <n v="1.0000270404970202E-2"/>
    <n v="30.8541794498678"/>
    <x v="3"/>
  </r>
  <r>
    <n v="85"/>
    <x v="2"/>
    <x v="1"/>
    <n v="1"/>
    <s v="HEAVY"/>
    <s v="SWEET"/>
    <n v="258.56592002123028"/>
    <n v="127.36328456880523"/>
    <n v="191.73364259885309"/>
    <n v="67.563914501729741"/>
    <n v="150.322538005761"/>
    <n v="0"/>
    <n v="0"/>
    <n v="0"/>
    <n v="0"/>
    <n v="95.075159029184661"/>
    <n v="0"/>
    <n v="0"/>
    <n v="0"/>
    <n v="10.451643824017232"/>
    <n v="0"/>
    <n v="0"/>
    <n v="0"/>
    <n v="901.07610254958115"/>
    <n v="301.98278314095245"/>
    <n v="0.28695236649781514"/>
    <n v="0.2127829625670303"/>
    <n v="0.14134575782049125"/>
    <n v="28.267512206646213"/>
    <n v="0.27799592561789516"/>
    <n v="7.996055376687254"/>
    <n v="8.0060555449450579"/>
    <n v="24.441641175859235"/>
    <n v="165.37425637709649"/>
    <n v="0"/>
    <n v="44.502242022212954"/>
    <n v="33.743799507007274"/>
    <n v="0"/>
    <n v="35.823830427607803"/>
    <n v="8.1081383989603584"/>
    <n v="162.42028598643367"/>
    <n v="0"/>
    <n v="48.462436407579148"/>
    <n v="38.676752132971821"/>
    <n v="0"/>
    <n v="44.31517021500747"/>
    <n v="149.79386952738412"/>
    <n v="1123.1713294032013"/>
    <n v="0"/>
    <n v="559.06666666666661"/>
    <n v="233.91115364400702"/>
    <n v="0"/>
    <n v="194.9338643873711"/>
    <n v="0"/>
    <n v="0"/>
    <n v="0"/>
    <n v="0"/>
    <n v="0"/>
    <n v="0"/>
    <n v="0"/>
    <n v="303.88576950978376"/>
    <n v="1.9029863688313071"/>
    <n v="1.0000168257803921E-2"/>
    <n v="28.036808446616845"/>
    <x v="0"/>
  </r>
  <r>
    <n v="86"/>
    <x v="2"/>
    <x v="1"/>
    <n v="1"/>
    <s v="HEAVY"/>
    <s v="SOUR"/>
    <n v="258.56592002123028"/>
    <n v="127.36328456880523"/>
    <n v="191.73364259885309"/>
    <n v="67.563914501729741"/>
    <n v="150.322538005761"/>
    <n v="0"/>
    <n v="0"/>
    <n v="0"/>
    <n v="0"/>
    <n v="95.075159029184661"/>
    <n v="0"/>
    <n v="0"/>
    <n v="0"/>
    <n v="10.451643824017232"/>
    <n v="0"/>
    <n v="0"/>
    <n v="0"/>
    <n v="901.07610254958115"/>
    <n v="301.98278314095245"/>
    <n v="0.28695236649781514"/>
    <n v="0.2127829625670303"/>
    <n v="0.14134575782049125"/>
    <n v="28.267512206646213"/>
    <n v="1.8266228074543227"/>
    <n v="7.996055376687254"/>
    <n v="8.0060555449450579"/>
    <n v="24.441641175859235"/>
    <n v="165.37425637709649"/>
    <n v="0"/>
    <n v="44.502242022212954"/>
    <n v="33.743799507007274"/>
    <n v="0"/>
    <n v="35.823830427607803"/>
    <n v="8.1081383989603584"/>
    <n v="162.42028598643367"/>
    <n v="0"/>
    <n v="48.462436407579148"/>
    <n v="38.676752132971821"/>
    <n v="0"/>
    <n v="44.31517021500747"/>
    <n v="149.79386952738412"/>
    <n v="1123.1713294032013"/>
    <n v="0"/>
    <n v="559.06666666666661"/>
    <n v="233.91115364400702"/>
    <n v="0"/>
    <n v="194.9338643873711"/>
    <n v="0"/>
    <n v="0"/>
    <n v="0"/>
    <n v="0"/>
    <n v="0"/>
    <n v="0"/>
    <n v="0"/>
    <n v="303.88576950978376"/>
    <n v="1.9029863688313071"/>
    <n v="1.0000168257803921E-2"/>
    <n v="29.897979494562456"/>
    <x v="1"/>
  </r>
  <r>
    <n v="87"/>
    <x v="2"/>
    <x v="1"/>
    <n v="1"/>
    <s v="LIGHT"/>
    <s v="SWEET"/>
    <n v="258.56592002123028"/>
    <n v="127.36328456880523"/>
    <n v="191.73364259885309"/>
    <n v="67.563914501729741"/>
    <n v="150.322538005761"/>
    <n v="0"/>
    <n v="0"/>
    <n v="0"/>
    <n v="0"/>
    <n v="95.075159029184661"/>
    <n v="0"/>
    <n v="0"/>
    <n v="0"/>
    <n v="10.451643824017232"/>
    <n v="0"/>
    <n v="0"/>
    <n v="0"/>
    <n v="901.07610254958115"/>
    <n v="301.98278314095245"/>
    <n v="0.28695236649781514"/>
    <n v="0.2127829625670303"/>
    <n v="0.14134575782049125"/>
    <n v="37.317276792879753"/>
    <n v="0.27799592561789516"/>
    <n v="6.9176453563109828"/>
    <n v="6.9276466734005542"/>
    <n v="64.139843666176475"/>
    <n v="171.80857891618004"/>
    <n v="0"/>
    <n v="33.764979964566116"/>
    <n v="20.600964467987716"/>
    <n v="0"/>
    <n v="13.864545204072517"/>
    <n v="8.1081383989603584"/>
    <n v="162.42028598643367"/>
    <n v="0"/>
    <n v="48.462436407579148"/>
    <n v="38.676752132971821"/>
    <n v="0"/>
    <n v="44.31517021500747"/>
    <n v="149.79386952738412"/>
    <n v="1123.1713294032013"/>
    <n v="0"/>
    <n v="559.06666666666661"/>
    <n v="233.91115364400702"/>
    <n v="0"/>
    <n v="194.9338643873711"/>
    <n v="0"/>
    <n v="0"/>
    <n v="0"/>
    <n v="0"/>
    <n v="0"/>
    <n v="0"/>
    <n v="0"/>
    <n v="304.17891221898282"/>
    <n v="2.1961290780303671"/>
    <n v="1.0001317089571415E-2"/>
    <n v="28.412615785627008"/>
    <x v="2"/>
  </r>
  <r>
    <n v="88"/>
    <x v="2"/>
    <x v="1"/>
    <n v="1"/>
    <s v="LIGHT"/>
    <s v="SOUR"/>
    <n v="258.56592002123028"/>
    <n v="127.36328456880523"/>
    <n v="191.73364259885309"/>
    <n v="67.563914501729741"/>
    <n v="150.322538005761"/>
    <n v="0"/>
    <n v="0"/>
    <n v="0"/>
    <n v="0"/>
    <n v="95.075159029184661"/>
    <n v="0"/>
    <n v="0"/>
    <n v="0"/>
    <n v="10.451643824017232"/>
    <n v="0"/>
    <n v="0"/>
    <n v="0"/>
    <n v="901.07610254958115"/>
    <n v="301.98278314095245"/>
    <n v="0.28695236649781514"/>
    <n v="0.2127829625670303"/>
    <n v="0.14134575782049125"/>
    <n v="37.317276792879753"/>
    <n v="1.8266228074543227"/>
    <n v="6.9176453563109828"/>
    <n v="6.9276466734005542"/>
    <n v="64.139843666176475"/>
    <n v="171.80857891618004"/>
    <n v="0"/>
    <n v="33.764979964566116"/>
    <n v="20.600964467987716"/>
    <n v="0"/>
    <n v="13.864545204072517"/>
    <n v="8.1081383989603584"/>
    <n v="162.42028598643367"/>
    <n v="0"/>
    <n v="48.462436407579148"/>
    <n v="38.676752132971821"/>
    <n v="0"/>
    <n v="44.31517021500747"/>
    <n v="149.79386952738412"/>
    <n v="1123.1713294032013"/>
    <n v="0"/>
    <n v="559.06666666666661"/>
    <n v="233.91115364400702"/>
    <n v="0"/>
    <n v="194.9338643873711"/>
    <n v="0"/>
    <n v="0"/>
    <n v="0"/>
    <n v="0"/>
    <n v="0"/>
    <n v="0"/>
    <n v="0"/>
    <n v="304.17891221898282"/>
    <n v="2.1961290780303671"/>
    <n v="1.0001317089571415E-2"/>
    <n v="27.338857130722211"/>
    <x v="3"/>
  </r>
  <r>
    <n v="89"/>
    <x v="2"/>
    <x v="0"/>
    <n v="2"/>
    <s v="HEAVY"/>
    <s v="SWEET"/>
    <n v="1478.9530540164449"/>
    <n v="243.18273200131145"/>
    <n v="1019.0557681167865"/>
    <n v="62.668782497353874"/>
    <n v="41.316115877463915"/>
    <n v="29.323153592751066"/>
    <n v="0"/>
    <n v="0"/>
    <n v="0"/>
    <n v="248.05364587990755"/>
    <n v="0"/>
    <n v="0"/>
    <n v="0"/>
    <n v="8.9774380545843417"/>
    <n v="0"/>
    <n v="0"/>
    <n v="0"/>
    <n v="3131.5306900366031"/>
    <n v="2586.0507965699071"/>
    <n v="0.47227800089008803"/>
    <n v="0.32541778094624874"/>
    <n v="7.7656186725242979E-2"/>
    <n v="30.283494646922765"/>
    <n v="0.85848259090407375"/>
    <n v="9.7905323113461531"/>
    <n v="9.8005323262098223"/>
    <n v="31.11138107340858"/>
    <n v="396.40481566115278"/>
    <n v="0"/>
    <n v="329.86889818033472"/>
    <n v="1018.3887749946243"/>
    <n v="0"/>
    <n v="828.22145545169667"/>
    <n v="15.869037253142235"/>
    <n v="390.93454079304576"/>
    <n v="0"/>
    <n v="329.44845400059546"/>
    <n v="1018.682947128716"/>
    <n v="0"/>
    <n v="831.11581739440749"/>
    <n v="69.095643226583363"/>
    <n v="829.70092482947541"/>
    <n v="0"/>
    <n v="993.12500000000011"/>
    <n v="1991.4122477464978"/>
    <n v="0"/>
    <n v="1360.1267578285858"/>
    <n v="0"/>
    <n v="0"/>
    <n v="0"/>
    <n v="0"/>
    <n v="0"/>
    <n v="0"/>
    <n v="0"/>
    <n v="2603.9953253612171"/>
    <n v="17.944528791309949"/>
    <n v="1.0000014863669193E-2"/>
    <n v="35.014671803807829"/>
    <x v="0"/>
  </r>
  <r>
    <n v="90"/>
    <x v="2"/>
    <x v="0"/>
    <n v="2"/>
    <s v="HEAVY"/>
    <s v="SOUR"/>
    <n v="1478.9530540164449"/>
    <n v="243.18273200131145"/>
    <n v="1019.0557681167865"/>
    <n v="62.668782497353874"/>
    <n v="41.316115877463915"/>
    <n v="29.323153592751066"/>
    <n v="0"/>
    <n v="0"/>
    <n v="0"/>
    <n v="248.05364587990755"/>
    <n v="0"/>
    <n v="0"/>
    <n v="0"/>
    <n v="8.9774380545843417"/>
    <n v="0"/>
    <n v="0"/>
    <n v="0"/>
    <n v="3131.5306900366031"/>
    <n v="2586.0507965699071"/>
    <n v="0.47227800089008803"/>
    <n v="0.32541778094624874"/>
    <n v="7.7656186725242979E-2"/>
    <n v="30.283494646922765"/>
    <n v="2.3964868933205583"/>
    <n v="9.7905323113461531"/>
    <n v="9.8005323262098223"/>
    <n v="31.11138107340858"/>
    <n v="396.40481566115278"/>
    <n v="0"/>
    <n v="329.86889818033472"/>
    <n v="1018.3887749946243"/>
    <n v="0"/>
    <n v="828.22145545169667"/>
    <n v="15.869037253142235"/>
    <n v="390.93454079304576"/>
    <n v="0"/>
    <n v="329.44845400059546"/>
    <n v="1018.682947128716"/>
    <n v="0"/>
    <n v="831.11581739440749"/>
    <n v="69.095643226583363"/>
    <n v="829.70092482947541"/>
    <n v="0"/>
    <n v="993.12500000000011"/>
    <n v="1991.4122477464978"/>
    <n v="0"/>
    <n v="1360.1267578285858"/>
    <n v="0"/>
    <n v="0"/>
    <n v="0"/>
    <n v="0"/>
    <n v="0"/>
    <n v="0"/>
    <n v="0"/>
    <n v="2603.9953253612171"/>
    <n v="17.944528791309949"/>
    <n v="1.0000014863669193E-2"/>
    <n v="34.346457263213033"/>
    <x v="1"/>
  </r>
  <r>
    <n v="91"/>
    <x v="2"/>
    <x v="0"/>
    <n v="2"/>
    <s v="LIGHT"/>
    <s v="SWEET"/>
    <n v="1478.9530540164449"/>
    <n v="243.18273200131145"/>
    <n v="1019.0557681167865"/>
    <n v="62.668782497353874"/>
    <n v="41.316115877463915"/>
    <n v="29.323153592751066"/>
    <n v="0"/>
    <n v="0"/>
    <n v="0"/>
    <n v="248.05364587990755"/>
    <n v="0"/>
    <n v="0"/>
    <n v="0"/>
    <n v="8.9774380545843417"/>
    <n v="0"/>
    <n v="0"/>
    <n v="0"/>
    <n v="3131.5306900366031"/>
    <n v="2586.0507965699071"/>
    <n v="0.47227800089008803"/>
    <n v="0.32541778094624874"/>
    <n v="7.7656186725242979E-2"/>
    <n v="34.957728681668918"/>
    <n v="0.85848259090407375"/>
    <n v="9.5013992069371831"/>
    <n v="9.5113992248297272"/>
    <n v="69.093712131299313"/>
    <n v="527.08292418742781"/>
    <n v="0"/>
    <n v="314.26366958839816"/>
    <n v="982.07603718161386"/>
    <n v="0"/>
    <n v="716.59230130470542"/>
    <n v="15.869037253142235"/>
    <n v="390.93454079304576"/>
    <n v="0"/>
    <n v="329.44845400059546"/>
    <n v="1018.682947128716"/>
    <n v="0"/>
    <n v="831.11581739440749"/>
    <n v="69.095643226583363"/>
    <n v="829.70092482947541"/>
    <n v="0"/>
    <n v="993.12500000000011"/>
    <n v="1991.4122477464978"/>
    <n v="0"/>
    <n v="1360.1267578285858"/>
    <n v="0"/>
    <n v="0"/>
    <n v="0"/>
    <n v="0"/>
    <n v="0"/>
    <n v="0"/>
    <n v="0"/>
    <n v="2609.1086443934446"/>
    <n v="23.057847823537486"/>
    <n v="1.0000017892544122E-2"/>
    <n v="34.597854044575612"/>
    <x v="2"/>
  </r>
  <r>
    <n v="92"/>
    <x v="2"/>
    <x v="0"/>
    <n v="2"/>
    <s v="LIGHT"/>
    <s v="SOUR"/>
    <n v="1478.9530540164449"/>
    <n v="243.18273200131145"/>
    <n v="1019.0557681167865"/>
    <n v="62.668782497353874"/>
    <n v="41.316115877463915"/>
    <n v="29.323153592751066"/>
    <n v="0"/>
    <n v="0"/>
    <n v="0"/>
    <n v="248.05364587990755"/>
    <n v="0"/>
    <n v="0"/>
    <n v="0"/>
    <n v="8.9774380545843417"/>
    <n v="0"/>
    <n v="0"/>
    <n v="0"/>
    <n v="3131.5306900366031"/>
    <n v="2586.0507965699071"/>
    <n v="0.47227800089008803"/>
    <n v="0.32541778094624874"/>
    <n v="7.7656186725242979E-2"/>
    <n v="34.957728681668918"/>
    <n v="2.3964868933205583"/>
    <n v="9.5013992069371831"/>
    <n v="9.5113992248297272"/>
    <n v="69.093712131299313"/>
    <n v="527.08292418742781"/>
    <n v="0"/>
    <n v="314.26366958839816"/>
    <n v="982.07603718161386"/>
    <n v="0"/>
    <n v="716.59230130470542"/>
    <n v="15.869037253142235"/>
    <n v="390.93454079304576"/>
    <n v="0"/>
    <n v="329.44845400059546"/>
    <n v="1018.682947128716"/>
    <n v="0"/>
    <n v="831.11581739440749"/>
    <n v="69.095643226583363"/>
    <n v="829.70092482947541"/>
    <n v="0"/>
    <n v="993.12500000000011"/>
    <n v="1991.4122477464978"/>
    <n v="0"/>
    <n v="1360.1267578285858"/>
    <n v="0"/>
    <n v="0"/>
    <n v="0"/>
    <n v="0"/>
    <n v="0"/>
    <n v="0"/>
    <n v="0"/>
    <n v="2609.1086443934446"/>
    <n v="23.057847823537486"/>
    <n v="1.0000017892544122E-2"/>
    <n v="33.161729943238292"/>
    <x v="3"/>
  </r>
  <r>
    <n v="93"/>
    <x v="2"/>
    <x v="1"/>
    <n v="2"/>
    <s v="HEAVY"/>
    <s v="SWEET"/>
    <n v="555.70477118807173"/>
    <n v="299.79012097977647"/>
    <n v="759.21731253436189"/>
    <n v="46.689519961569694"/>
    <n v="49.225586995672721"/>
    <n v="34.936717005258899"/>
    <n v="0"/>
    <n v="0"/>
    <n v="0"/>
    <n v="204.93220516496709"/>
    <n v="0"/>
    <n v="0"/>
    <n v="0"/>
    <n v="9.1474490742304866"/>
    <n v="0"/>
    <n v="0"/>
    <n v="0"/>
    <n v="1959.6436829039092"/>
    <n v="1618.2942492917437"/>
    <n v="0.28357439469026197"/>
    <n v="0.3874262036296881"/>
    <n v="0.15298195462530759"/>
    <n v="28.354057795771688"/>
    <n v="0.49194998451747501"/>
    <n v="10.193360625560519"/>
    <n v="10.183360627716088"/>
    <n v="1.5544844879371439E-3"/>
    <n v="113.83695407572873"/>
    <n v="0"/>
    <n v="215.47776861229607"/>
    <n v="665.64181724712364"/>
    <n v="0"/>
    <n v="620.1442771648326"/>
    <n v="9.9304977932448413"/>
    <n v="244.63831880411112"/>
    <n v="0"/>
    <n v="206.16166521337203"/>
    <n v="637.46959548379573"/>
    <n v="0"/>
    <n v="520.09417199721986"/>
    <n v="113.20628645316671"/>
    <n v="1043.8951024062037"/>
    <n v="0"/>
    <n v="1467.5500000000002"/>
    <n v="2378.9594954929953"/>
    <n v="0"/>
    <n v="1411.7035156571721"/>
    <n v="0"/>
    <n v="0"/>
    <n v="0"/>
    <n v="0"/>
    <n v="0"/>
    <n v="0"/>
    <n v="0"/>
    <n v="1615.102371584469"/>
    <n v="3.1918777072746707"/>
    <n v="9.9999978444316184E-3"/>
    <n v="30.785018406377695"/>
    <x v="0"/>
  </r>
  <r>
    <n v="94"/>
    <x v="2"/>
    <x v="1"/>
    <n v="2"/>
    <s v="HEAVY"/>
    <s v="SOUR"/>
    <n v="555.70477118807173"/>
    <n v="299.79012097977647"/>
    <n v="759.21731253436189"/>
    <n v="46.689519961569694"/>
    <n v="49.225586995672721"/>
    <n v="34.936717005258899"/>
    <n v="0"/>
    <n v="0"/>
    <n v="0"/>
    <n v="204.93220516496709"/>
    <n v="0"/>
    <n v="0"/>
    <n v="0"/>
    <n v="9.1474490742304866"/>
    <n v="0"/>
    <n v="0"/>
    <n v="0"/>
    <n v="1959.6436829039092"/>
    <n v="1618.2942492917437"/>
    <n v="0.28357439469026197"/>
    <n v="0.3874262036296881"/>
    <n v="0.15298195462530759"/>
    <n v="28.354057795771688"/>
    <n v="4.4723269444483442"/>
    <n v="10.193360625560519"/>
    <n v="10.183360627716088"/>
    <n v="1.5544844879371439E-3"/>
    <n v="113.83695407572873"/>
    <n v="0"/>
    <n v="215.47776861229607"/>
    <n v="665.64181724712364"/>
    <n v="0"/>
    <n v="620.1442771648326"/>
    <n v="9.9304977932448413"/>
    <n v="244.63831880411112"/>
    <n v="0"/>
    <n v="206.16166521337203"/>
    <n v="637.46959548379573"/>
    <n v="0"/>
    <n v="520.09417199721986"/>
    <n v="113.20628645316671"/>
    <n v="1043.8951024062037"/>
    <n v="0"/>
    <n v="1467.5500000000002"/>
    <n v="2378.9594954929953"/>
    <n v="0"/>
    <n v="1411.7035156571721"/>
    <n v="0"/>
    <n v="0"/>
    <n v="0"/>
    <n v="0"/>
    <n v="0"/>
    <n v="0"/>
    <n v="0"/>
    <n v="1615.102371584469"/>
    <n v="3.1918777072746707"/>
    <n v="9.9999978444316184E-3"/>
    <n v="32.742185371807935"/>
    <x v="1"/>
  </r>
  <r>
    <n v="95"/>
    <x v="2"/>
    <x v="1"/>
    <n v="2"/>
    <s v="LIGHT"/>
    <s v="SWEET"/>
    <n v="555.70477118807173"/>
    <n v="299.79012097977647"/>
    <n v="759.21731253436189"/>
    <n v="46.689519961569694"/>
    <n v="49.225586995672721"/>
    <n v="34.936717005258899"/>
    <n v="0"/>
    <n v="0"/>
    <n v="0"/>
    <n v="204.93220516496709"/>
    <n v="0"/>
    <n v="0"/>
    <n v="0"/>
    <n v="9.1474490742304866"/>
    <n v="0"/>
    <n v="0"/>
    <n v="0"/>
    <n v="1959.6436829039092"/>
    <n v="1618.2942492917437"/>
    <n v="0.28357439469026197"/>
    <n v="0.3874262036296881"/>
    <n v="0.15298195462530759"/>
    <n v="34.957728681668918"/>
    <n v="0.49194998451747501"/>
    <n v="9.7848787546183669"/>
    <n v="9.7948787757214646"/>
    <n v="20.577497308714069"/>
    <n v="248.4510153950194"/>
    <n v="0"/>
    <n v="206.42754893132076"/>
    <n v="637.2335572339814"/>
    <n v="0"/>
    <n v="518.031763714112"/>
    <n v="9.9304977932448413"/>
    <n v="244.63831880411112"/>
    <n v="0"/>
    <n v="206.16166521337203"/>
    <n v="637.46959548379573"/>
    <n v="0"/>
    <n v="520.09417199721986"/>
    <n v="113.20628645316671"/>
    <n v="1043.8951024062037"/>
    <n v="0"/>
    <n v="1467.5500000000002"/>
    <n v="2378.9594954929953"/>
    <n v="0"/>
    <n v="1411.7035156571721"/>
    <n v="0"/>
    <n v="0"/>
    <n v="0"/>
    <n v="0"/>
    <n v="0"/>
    <n v="0"/>
    <n v="0"/>
    <n v="1630.7213825831477"/>
    <n v="12.427133291404061"/>
    <n v="1.0000021103097723E-2"/>
    <n v="31.302601387338854"/>
    <x v="2"/>
  </r>
  <r>
    <n v="96"/>
    <x v="2"/>
    <x v="1"/>
    <n v="2"/>
    <s v="LIGHT"/>
    <s v="SOUR"/>
    <n v="555.70477118807173"/>
    <n v="299.79012097977647"/>
    <n v="759.21731253436189"/>
    <n v="46.689519961569694"/>
    <n v="49.225586995672721"/>
    <n v="34.936717005258899"/>
    <n v="0"/>
    <n v="0"/>
    <n v="0"/>
    <n v="204.93220516496709"/>
    <n v="0"/>
    <n v="0"/>
    <n v="0"/>
    <n v="9.1474490742304866"/>
    <n v="0"/>
    <n v="0"/>
    <n v="0"/>
    <n v="1959.6436829039092"/>
    <n v="1618.2942492917437"/>
    <n v="0.28357439469026197"/>
    <n v="0.3874262036296881"/>
    <n v="0.15298195462530759"/>
    <n v="34.957728681668918"/>
    <n v="4.4723269444483442"/>
    <n v="9.7848787546183669"/>
    <n v="9.7948787757214646"/>
    <n v="20.577497308714069"/>
    <n v="248.4510153950194"/>
    <n v="0"/>
    <n v="206.42754893132076"/>
    <n v="637.2335572339814"/>
    <n v="0"/>
    <n v="518.031763714112"/>
    <n v="9.9304977932448413"/>
    <n v="244.63831880411112"/>
    <n v="0"/>
    <n v="206.16166521337203"/>
    <n v="637.46959548379573"/>
    <n v="0"/>
    <n v="520.09417199721986"/>
    <n v="113.20628645316671"/>
    <n v="1043.8951024062037"/>
    <n v="0"/>
    <n v="1467.5500000000002"/>
    <n v="2378.9594954929953"/>
    <n v="0"/>
    <n v="1411.7035156571721"/>
    <n v="0"/>
    <n v="0"/>
    <n v="0"/>
    <n v="0"/>
    <n v="0"/>
    <n v="0"/>
    <n v="0"/>
    <n v="1630.7213825831477"/>
    <n v="12.427133291404061"/>
    <n v="1.0000021103097723E-2"/>
    <n v="34.124352062252029"/>
    <x v="3"/>
  </r>
  <r>
    <n v="97"/>
    <x v="2"/>
    <x v="0"/>
    <n v="3"/>
    <s v="HEAVY"/>
    <s v="SWEET"/>
    <n v="2030.7207078801459"/>
    <n v="873.5420138934935"/>
    <n v="2022.2299169981034"/>
    <n v="1434.500024597955"/>
    <n v="227.03245314490249"/>
    <n v="42.104798242288538"/>
    <n v="0"/>
    <n v="0"/>
    <n v="0"/>
    <n v="84.135906604071025"/>
    <n v="0"/>
    <n v="0"/>
    <n v="0"/>
    <n v="12.728894991386792"/>
    <n v="0"/>
    <n v="0"/>
    <n v="0"/>
    <n v="6726.9947163523466"/>
    <n v="6761.0309443186552"/>
    <n v="0.30187636433603238"/>
    <n v="0.30061416758398163"/>
    <n v="0.12985620633386849"/>
    <n v="30.30214176476078"/>
    <n v="1.0500146884775321"/>
    <n v="9.4473137659125968"/>
    <n v="9.4573137701504777"/>
    <n v="654.99048633637051"/>
    <n v="546.58970379827178"/>
    <n v="305.84544722538271"/>
    <n v="575.69984114834119"/>
    <n v="1280.5159588136223"/>
    <n v="1.3871638809558644E-2"/>
    <n v="3460.3052713523684"/>
    <n v="205.43322121730222"/>
    <n v="477.35308699958819"/>
    <n v="205.22994906352184"/>
    <n v="700.71657720819826"/>
    <n v="1433.0409336868165"/>
    <n v="26.362941445916228"/>
    <n v="3712.8942346973122"/>
    <n v="818.90159671962101"/>
    <n v="927.50919366992355"/>
    <n v="305.85558861538459"/>
    <n v="1933.836664979757"/>
    <n v="2564.7302317013236"/>
    <n v="53.6302514614692"/>
    <n v="5562.7734410987441"/>
    <n v="0"/>
    <n v="0"/>
    <n v="0"/>
    <n v="0"/>
    <n v="0"/>
    <n v="0"/>
    <n v="0"/>
    <n v="6823.9605803131672"/>
    <n v="62.929635994511955"/>
    <n v="1.0000004237880944E-2"/>
    <n v="36.635634951885237"/>
    <x v="0"/>
  </r>
  <r>
    <n v="98"/>
    <x v="2"/>
    <x v="0"/>
    <n v="3"/>
    <s v="HEAVY"/>
    <s v="SOUR"/>
    <n v="2030.7207078801459"/>
    <n v="873.5420138934935"/>
    <n v="2022.2299169981034"/>
    <n v="1434.500024597955"/>
    <n v="227.03245314490249"/>
    <n v="42.104798242288538"/>
    <n v="0"/>
    <n v="0"/>
    <n v="0"/>
    <n v="84.135906604071025"/>
    <n v="0"/>
    <n v="0"/>
    <n v="0"/>
    <n v="12.728894991386792"/>
    <n v="0"/>
    <n v="0"/>
    <n v="0"/>
    <n v="6726.9947163523466"/>
    <n v="6761.0309443186552"/>
    <n v="0.30187636433603238"/>
    <n v="0.30061416758398163"/>
    <n v="0.12985620633386849"/>
    <n v="30.30214176476078"/>
    <n v="1.975455919496689"/>
    <n v="9.4473137659125968"/>
    <n v="9.4573137701504777"/>
    <n v="654.99048633637051"/>
    <n v="546.58970379827178"/>
    <n v="305.84544722538271"/>
    <n v="575.69984114834119"/>
    <n v="1280.5159588136223"/>
    <n v="1.3871638809558644E-2"/>
    <n v="3460.3052713523684"/>
    <n v="205.43322121730222"/>
    <n v="477.35308699958819"/>
    <n v="205.22994906352184"/>
    <n v="700.71657720819826"/>
    <n v="1433.0409336868165"/>
    <n v="26.362941445916228"/>
    <n v="3712.8942346973122"/>
    <n v="818.90159671962101"/>
    <n v="927.50919366992355"/>
    <n v="305.85558861538459"/>
    <n v="1933.836664979757"/>
    <n v="2564.7302317013236"/>
    <n v="53.6302514614692"/>
    <n v="5562.7734410987441"/>
    <n v="0"/>
    <n v="0"/>
    <n v="0"/>
    <n v="0"/>
    <n v="0"/>
    <n v="0"/>
    <n v="0"/>
    <n v="6823.9605803131672"/>
    <n v="62.929635994511955"/>
    <n v="1.0000004237880944E-2"/>
    <n v="35.501113117319555"/>
    <x v="1"/>
  </r>
  <r>
    <n v="99"/>
    <x v="2"/>
    <x v="0"/>
    <n v="3"/>
    <s v="LIGHT"/>
    <s v="SWEET"/>
    <n v="2030.7207078801459"/>
    <n v="873.5420138934935"/>
    <n v="2022.2299169981034"/>
    <n v="1434.500024597955"/>
    <n v="227.03245314490249"/>
    <n v="42.104798242288538"/>
    <n v="0"/>
    <n v="0"/>
    <n v="0"/>
    <n v="84.135906604071025"/>
    <n v="0"/>
    <n v="0"/>
    <n v="0"/>
    <n v="12.728894991386792"/>
    <n v="0"/>
    <n v="0"/>
    <n v="0"/>
    <n v="6726.9947163523466"/>
    <n v="6761.0309443186552"/>
    <n v="0.30187636433603238"/>
    <n v="0.30061416758398163"/>
    <n v="0.12985620633386849"/>
    <n v="36.614652924665549"/>
    <n v="1.0500146884775321"/>
    <n v="8.9847768558439878"/>
    <n v="8.9947768599742499"/>
    <n v="818.89930874557979"/>
    <n v="927.50795488196491"/>
    <n v="305.85107963292057"/>
    <n v="629.09023697296732"/>
    <n v="1176.1991491937183"/>
    <n v="53.616836517145714"/>
    <n v="2782.2756814007839"/>
    <n v="205.43322121730222"/>
    <n v="477.35308699958819"/>
    <n v="205.22994906352184"/>
    <n v="700.71657720819826"/>
    <n v="1433.0409336868165"/>
    <n v="26.362941445916228"/>
    <n v="3712.8942346973122"/>
    <n v="818.90159671962101"/>
    <n v="927.50919366992355"/>
    <n v="305.85558861538459"/>
    <n v="1933.836664979757"/>
    <n v="2564.7302317013236"/>
    <n v="53.6302514614692"/>
    <n v="5562.7734410987441"/>
    <n v="0"/>
    <n v="0"/>
    <n v="0"/>
    <n v="0"/>
    <n v="0"/>
    <n v="0"/>
    <n v="0"/>
    <n v="6693.4402473450809"/>
    <n v="67.590696973574268"/>
    <n v="1.0000004130262141E-2"/>
    <n v="34.527010746805786"/>
    <x v="2"/>
  </r>
  <r>
    <n v="100"/>
    <x v="2"/>
    <x v="0"/>
    <n v="3"/>
    <s v="LIGHT"/>
    <s v="SOUR"/>
    <n v="2030.7207078801459"/>
    <n v="873.5420138934935"/>
    <n v="2022.2299169981034"/>
    <n v="1434.500024597955"/>
    <n v="227.03245314490249"/>
    <n v="42.104798242288538"/>
    <n v="0"/>
    <n v="0"/>
    <n v="0"/>
    <n v="84.135906604071025"/>
    <n v="0"/>
    <n v="0"/>
    <n v="0"/>
    <n v="12.728894991386792"/>
    <n v="0"/>
    <n v="0"/>
    <n v="0"/>
    <n v="6726.9947163523466"/>
    <n v="6761.0309443186552"/>
    <n v="0.30187636433603238"/>
    <n v="0.30061416758398163"/>
    <n v="0.12985620633386849"/>
    <n v="36.614652924665549"/>
    <n v="1.975455919496689"/>
    <n v="8.9847768558439878"/>
    <n v="8.9947768599742499"/>
    <n v="818.89930874557979"/>
    <n v="927.50795488196491"/>
    <n v="305.85107963292057"/>
    <n v="629.09023697296732"/>
    <n v="1176.1991491937183"/>
    <n v="53.616836517145714"/>
    <n v="2782.2756814007839"/>
    <n v="205.43322121730222"/>
    <n v="477.35308699958819"/>
    <n v="205.22994906352184"/>
    <n v="700.71657720819826"/>
    <n v="1433.0409336868165"/>
    <n v="26.362941445916228"/>
    <n v="3712.8942346973122"/>
    <n v="818.90159671962101"/>
    <n v="927.50919366992355"/>
    <n v="305.85558861538459"/>
    <n v="1933.836664979757"/>
    <n v="2564.7302317013236"/>
    <n v="53.6302514614692"/>
    <n v="5562.7734410987441"/>
    <n v="0"/>
    <n v="0"/>
    <n v="0"/>
    <n v="0"/>
    <n v="0"/>
    <n v="0"/>
    <n v="0"/>
    <n v="6693.4402473450809"/>
    <n v="67.590696973574268"/>
    <n v="1.0000004130262141E-2"/>
    <n v="34.504240787230636"/>
    <x v="3"/>
  </r>
  <r>
    <n v="101"/>
    <x v="2"/>
    <x v="1"/>
    <n v="3"/>
    <s v="HEAVY"/>
    <s v="SWEET"/>
    <n v="787.5738780285177"/>
    <n v="1077.1561660460204"/>
    <n v="1516.0615477566978"/>
    <n v="1075.4416741976411"/>
    <n v="269.32588574164436"/>
    <n v="49.948418930838677"/>
    <n v="0"/>
    <n v="0"/>
    <n v="0"/>
    <n v="69.39697171997085"/>
    <n v="0"/>
    <n v="0"/>
    <n v="0"/>
    <n v="12.969949555427933"/>
    <n v="0"/>
    <n v="0"/>
    <n v="0"/>
    <n v="4857.8744919767578"/>
    <n v="4882.4536288145955"/>
    <n v="0.16212314240091441"/>
    <n v="0.31208330932810591"/>
    <n v="0.22173404599584579"/>
    <n v="28.267512206646213"/>
    <n v="1.0693086579627853"/>
    <n v="9.2177680246871319"/>
    <n v="9.2277676144626621"/>
    <n v="579.7592199702359"/>
    <n v="400.3865446936066"/>
    <n v="290.77856079284686"/>
    <n v="369.81685152810604"/>
    <n v="871.49089105230644"/>
    <n v="1.058203520278897E-3"/>
    <n v="2419.0398676237351"/>
    <n v="148.35284510187495"/>
    <n v="344.71877603303307"/>
    <n v="148.20605286367407"/>
    <n v="506.01989893798435"/>
    <n v="1034.8652394201035"/>
    <n v="19.03790120011228"/>
    <n v="2681.2529152578136"/>
    <n v="1341.688193439242"/>
    <n v="1166.9533873398473"/>
    <n v="315.88917723076923"/>
    <n v="2857.6483299595143"/>
    <n v="3063.8504634026467"/>
    <n v="69.2605029229384"/>
    <n v="5773.7168821974883"/>
    <n v="0"/>
    <n v="0"/>
    <n v="0"/>
    <n v="0"/>
    <n v="0"/>
    <n v="0"/>
    <n v="0"/>
    <n v="4931.272993864357"/>
    <n v="48.819365049761473"/>
    <n v="9.9995897755302821E-3"/>
    <n v="34.027133660966392"/>
    <x v="0"/>
  </r>
  <r>
    <n v="102"/>
    <x v="2"/>
    <x v="1"/>
    <n v="3"/>
    <s v="HEAVY"/>
    <s v="SOUR"/>
    <n v="787.5738780285177"/>
    <n v="1077.1561660460204"/>
    <n v="1516.0615477566978"/>
    <n v="1075.4416741976411"/>
    <n v="269.32588574164436"/>
    <n v="49.948418930838677"/>
    <n v="0"/>
    <n v="0"/>
    <n v="0"/>
    <n v="69.39697171997085"/>
    <n v="0"/>
    <n v="0"/>
    <n v="0"/>
    <n v="12.969949555427933"/>
    <n v="0"/>
    <n v="0"/>
    <n v="0"/>
    <n v="4857.8744919767578"/>
    <n v="4882.4536288145955"/>
    <n v="0.16212314240091441"/>
    <n v="0.31208330932810591"/>
    <n v="0.22173404599584579"/>
    <n v="28.267512206646213"/>
    <n v="2.673413137685352"/>
    <n v="9.2177680246871319"/>
    <n v="9.2277676144626621"/>
    <n v="579.7592199702359"/>
    <n v="400.3865446936066"/>
    <n v="290.77856079284686"/>
    <n v="369.81685152810604"/>
    <n v="871.49089105230644"/>
    <n v="1.058203520278897E-3"/>
    <n v="2419.0398676237351"/>
    <n v="148.35284510187495"/>
    <n v="344.71877603303307"/>
    <n v="148.20605286367407"/>
    <n v="506.01989893798435"/>
    <n v="1034.8652394201035"/>
    <n v="19.03790120011228"/>
    <n v="2681.2529152578136"/>
    <n v="1341.688193439242"/>
    <n v="1166.9533873398473"/>
    <n v="315.88917723076923"/>
    <n v="2857.6483299595143"/>
    <n v="3063.8504634026467"/>
    <n v="69.2605029229384"/>
    <n v="5773.7168821974883"/>
    <n v="0"/>
    <n v="0"/>
    <n v="0"/>
    <n v="0"/>
    <n v="0"/>
    <n v="0"/>
    <n v="0"/>
    <n v="4931.272993864357"/>
    <n v="48.819365049761473"/>
    <n v="9.9995897755302821E-3"/>
    <n v="33.598370629745958"/>
    <x v="1"/>
  </r>
  <r>
    <n v="103"/>
    <x v="2"/>
    <x v="1"/>
    <n v="3"/>
    <s v="LIGHT"/>
    <s v="SWEET"/>
    <n v="787.5738780285177"/>
    <n v="1077.1561660460204"/>
    <n v="1516.0615477566978"/>
    <n v="1075.4416741976411"/>
    <n v="269.32588574164436"/>
    <n v="49.948418930838677"/>
    <n v="0"/>
    <n v="0"/>
    <n v="0"/>
    <n v="69.39697171997085"/>
    <n v="0"/>
    <n v="0"/>
    <n v="0"/>
    <n v="12.969949555427933"/>
    <n v="0"/>
    <n v="0"/>
    <n v="0"/>
    <n v="4857.8744919767578"/>
    <n v="4882.4536288145955"/>
    <n v="0.16212314240091441"/>
    <n v="0.31208330932810591"/>
    <n v="0.22173404599584579"/>
    <n v="37.317276792879753"/>
    <n v="1.0693086579627853"/>
    <n v="8.5546642229620637"/>
    <n v="8.5646642356512945"/>
    <n v="964.14913463690755"/>
    <n v="456.68303786972717"/>
    <n v="315.88421627417631"/>
    <n v="258.6292642427585"/>
    <n v="736.54505440286175"/>
    <n v="5.0811922240385334E-3"/>
    <n v="2197.7633659736102"/>
    <n v="148.35284510187495"/>
    <n v="344.71877603303307"/>
    <n v="148.20605286367407"/>
    <n v="506.01989893798435"/>
    <n v="1034.8652394201035"/>
    <n v="19.03790120011228"/>
    <n v="2681.2529152578136"/>
    <n v="1341.688193439242"/>
    <n v="1166.9533873398473"/>
    <n v="315.88917723076923"/>
    <n v="2857.6483299595143"/>
    <n v="3063.8504634026467"/>
    <n v="69.2605029229384"/>
    <n v="5773.7168821974883"/>
    <n v="0"/>
    <n v="0"/>
    <n v="0"/>
    <n v="0"/>
    <n v="0"/>
    <n v="0"/>
    <n v="0"/>
    <n v="4929.6591545922656"/>
    <n v="47.205525777670118"/>
    <n v="1.0000012689230786E-2"/>
    <n v="33.587385658435863"/>
    <x v="2"/>
  </r>
  <r>
    <n v="104"/>
    <x v="2"/>
    <x v="1"/>
    <n v="3"/>
    <s v="LIGHT"/>
    <s v="SOUR"/>
    <n v="787.5738780285177"/>
    <n v="1077.1561660460204"/>
    <n v="1516.0615477566978"/>
    <n v="1075.4416741976411"/>
    <n v="269.32588574164436"/>
    <n v="49.948418930838677"/>
    <n v="0"/>
    <n v="0"/>
    <n v="0"/>
    <n v="69.39697171997085"/>
    <n v="0"/>
    <n v="0"/>
    <n v="0"/>
    <n v="12.969949555427933"/>
    <n v="0"/>
    <n v="0"/>
    <n v="0"/>
    <n v="4857.8744919767578"/>
    <n v="4882.4536288145955"/>
    <n v="0.16212314240091441"/>
    <n v="0.31208330932810591"/>
    <n v="0.22173404599584579"/>
    <n v="37.317276792879753"/>
    <n v="2.673413137685352"/>
    <n v="8.5546642229620637"/>
    <n v="8.5646642356512945"/>
    <n v="964.14913463690755"/>
    <n v="456.68303786972717"/>
    <n v="315.88421627417631"/>
    <n v="258.6292642427585"/>
    <n v="736.54505440286175"/>
    <n v="5.0811922240385334E-3"/>
    <n v="2197.7633659736102"/>
    <n v="148.35284510187495"/>
    <n v="344.71877603303307"/>
    <n v="148.20605286367407"/>
    <n v="506.01989893798435"/>
    <n v="1034.8652394201035"/>
    <n v="19.03790120011228"/>
    <n v="2681.2529152578136"/>
    <n v="1341.688193439242"/>
    <n v="1166.9533873398473"/>
    <n v="315.88917723076923"/>
    <n v="2857.6483299595143"/>
    <n v="3063.8504634026467"/>
    <n v="69.2605029229384"/>
    <n v="5773.7168821974883"/>
    <n v="0"/>
    <n v="0"/>
    <n v="0"/>
    <n v="0"/>
    <n v="0"/>
    <n v="0"/>
    <n v="0"/>
    <n v="4929.6591545922656"/>
    <n v="47.205525777670118"/>
    <n v="1.0000012689230786E-2"/>
    <n v="33.048061195495691"/>
    <x v="3"/>
  </r>
  <r>
    <n v="105"/>
    <x v="2"/>
    <x v="0"/>
    <n v="4"/>
    <s v="HEAVY"/>
    <s v="SWEET"/>
    <n v="214.04372005514037"/>
    <n v="25.722246412711044"/>
    <n v="142.05245209060811"/>
    <n v="34.316526222584876"/>
    <n v="4.5959626645722889"/>
    <n v="2.1462026217592438"/>
    <n v="0"/>
    <n v="0"/>
    <n v="0"/>
    <n v="126.56370242469572"/>
    <n v="0"/>
    <n v="0"/>
    <n v="0"/>
    <n v="0"/>
    <n v="0"/>
    <n v="0"/>
    <n v="0"/>
    <n v="549.44081249207159"/>
    <n v="499.07225535514476"/>
    <n v="0.38956647411085615"/>
    <n v="0.25854004446140033"/>
    <n v="4.6815318097765471E-2"/>
    <n v="29.333484298143549"/>
    <n v="1.1317892699899461"/>
    <n v="6.81078544249816"/>
    <n v="7.5652375361538935"/>
    <n v="41.24720907441128"/>
    <n v="311.6567847172322"/>
    <n v="0"/>
    <n v="138.96474358943971"/>
    <n v="2.2107750220059335"/>
    <n v="0"/>
    <n v="8.1655699017820402E-11"/>
    <n v="10.876266905254983"/>
    <n v="168.59489832349661"/>
    <n v="0"/>
    <n v="52.926547233215331"/>
    <n v="160.75217284136338"/>
    <n v="0"/>
    <n v="105.92237005181445"/>
    <n v="41.247209074424283"/>
    <n v="311.65678471726699"/>
    <n v="0"/>
    <n v="138.96474358974359"/>
    <n v="273.7118603838083"/>
    <n v="0"/>
    <n v="150.98025463940334"/>
    <n v="0"/>
    <n v="0"/>
    <n v="0"/>
    <n v="0"/>
    <n v="0"/>
    <n v="0"/>
    <n v="0"/>
    <n v="494.07951240317078"/>
    <n v="4.9927429519739803"/>
    <n v="0.75445209365573351"/>
    <n v="33.861816098316581"/>
    <x v="0"/>
  </r>
  <r>
    <n v="106"/>
    <x v="2"/>
    <x v="0"/>
    <n v="4"/>
    <s v="HEAVY"/>
    <s v="SOUR"/>
    <n v="214.04372005514037"/>
    <n v="25.722246412711044"/>
    <n v="142.05245209060811"/>
    <n v="34.316526222584876"/>
    <n v="4.5959626645722889"/>
    <n v="2.1462026217592438"/>
    <n v="0"/>
    <n v="0"/>
    <n v="0"/>
    <n v="126.56370242469572"/>
    <n v="0"/>
    <n v="0"/>
    <n v="0"/>
    <n v="0"/>
    <n v="0"/>
    <n v="0"/>
    <n v="0"/>
    <n v="549.44081249207159"/>
    <n v="499.07225535514476"/>
    <n v="0.38956647411085615"/>
    <n v="0.25854004446140033"/>
    <n v="4.6815318097765471E-2"/>
    <n v="29.333484298143549"/>
    <n v="2.5473042893453721"/>
    <n v="6.81078544249816"/>
    <n v="7.5652375361538935"/>
    <n v="41.24720907441128"/>
    <n v="311.6567847172322"/>
    <n v="0"/>
    <n v="138.96474358943971"/>
    <n v="2.2107750220059335"/>
    <n v="0"/>
    <n v="8.1655699017820402E-11"/>
    <n v="10.876266905254983"/>
    <n v="168.59489832349661"/>
    <n v="0"/>
    <n v="52.926547233215331"/>
    <n v="160.75217284136338"/>
    <n v="0"/>
    <n v="105.92237005181445"/>
    <n v="41.247209074424283"/>
    <n v="311.65678471726699"/>
    <n v="0"/>
    <n v="138.96474358974359"/>
    <n v="273.7118603838083"/>
    <n v="0"/>
    <n v="150.98025463940334"/>
    <n v="0"/>
    <n v="0"/>
    <n v="0"/>
    <n v="0"/>
    <n v="0"/>
    <n v="0"/>
    <n v="0"/>
    <n v="494.07951240317078"/>
    <n v="4.9927429519739803"/>
    <n v="0.75445209365573351"/>
    <n v="33.955319026999419"/>
    <x v="1"/>
  </r>
  <r>
    <n v="107"/>
    <x v="2"/>
    <x v="0"/>
    <n v="4"/>
    <s v="LIGHT"/>
    <s v="SWEET"/>
    <n v="214.04372005514037"/>
    <n v="25.722246412711044"/>
    <n v="142.05245209060811"/>
    <n v="34.316526222584876"/>
    <n v="4.5959626645722889"/>
    <n v="2.1462026217592438"/>
    <n v="0"/>
    <n v="0"/>
    <n v="0"/>
    <n v="126.56370242469572"/>
    <n v="0"/>
    <n v="0"/>
    <n v="0"/>
    <n v="0"/>
    <n v="0"/>
    <n v="0"/>
    <n v="0"/>
    <n v="549.44081249207159"/>
    <n v="499.07225535514476"/>
    <n v="0.38956647411085615"/>
    <n v="0.25854004446140033"/>
    <n v="4.6815318097765471E-2"/>
    <n v="34.027824378954648"/>
    <n v="1.1317892699899461"/>
    <n v="6.6499199425912305"/>
    <n v="7.5652457997891656"/>
    <n v="41.247209074418777"/>
    <n v="311.65678471725317"/>
    <n v="0"/>
    <n v="138.96474358962212"/>
    <n v="2.2124850540237637"/>
    <n v="0"/>
    <n v="3.3299505794480879E-11"/>
    <n v="10.876266905254983"/>
    <n v="168.59489832349661"/>
    <n v="0"/>
    <n v="52.926547233215331"/>
    <n v="160.75217284136338"/>
    <n v="0"/>
    <n v="105.92237005181445"/>
    <n v="41.247209074424283"/>
    <n v="311.65678471726699"/>
    <n v="0"/>
    <n v="138.96474358974359"/>
    <n v="273.7118603838083"/>
    <n v="0"/>
    <n v="150.98025463940334"/>
    <n v="0"/>
    <n v="0"/>
    <n v="0"/>
    <n v="0"/>
    <n v="0"/>
    <n v="0"/>
    <n v="0"/>
    <n v="494.08122243535115"/>
    <n v="4.9910329197936107"/>
    <n v="0.91532585719793502"/>
    <n v="33.511698129071313"/>
    <x v="2"/>
  </r>
  <r>
    <n v="108"/>
    <x v="2"/>
    <x v="0"/>
    <n v="4"/>
    <s v="LIGHT"/>
    <s v="SOUR"/>
    <n v="214.04372005514037"/>
    <n v="25.722246412711044"/>
    <n v="142.05245209060811"/>
    <n v="34.316526222584876"/>
    <n v="4.5959626645722889"/>
    <n v="2.1462026217592438"/>
    <n v="0"/>
    <n v="0"/>
    <n v="0"/>
    <n v="126.56370242469572"/>
    <n v="0"/>
    <n v="0"/>
    <n v="0"/>
    <n v="0"/>
    <n v="0"/>
    <n v="0"/>
    <n v="0"/>
    <n v="549.44081249207159"/>
    <n v="499.07225535514476"/>
    <n v="0.38956647411085615"/>
    <n v="0.25854004446140033"/>
    <n v="4.6815318097765471E-2"/>
    <n v="34.027824378954648"/>
    <n v="2.5473042893453721"/>
    <n v="6.6499199425912305"/>
    <n v="7.5652457997891656"/>
    <n v="41.247209074418777"/>
    <n v="311.65678471725317"/>
    <n v="0"/>
    <n v="138.96474358962212"/>
    <n v="2.2124850540237637"/>
    <n v="0"/>
    <n v="3.3299505794480879E-11"/>
    <n v="10.876266905254983"/>
    <n v="168.59489832349661"/>
    <n v="0"/>
    <n v="52.926547233215331"/>
    <n v="160.75217284136338"/>
    <n v="0"/>
    <n v="105.92237005181445"/>
    <n v="41.247209074424283"/>
    <n v="311.65678471726699"/>
    <n v="0"/>
    <n v="138.96474358974359"/>
    <n v="273.7118603838083"/>
    <n v="0"/>
    <n v="150.98025463940334"/>
    <n v="0"/>
    <n v="0"/>
    <n v="0"/>
    <n v="0"/>
    <n v="0"/>
    <n v="0"/>
    <n v="0"/>
    <n v="494.08122243535115"/>
    <n v="4.9910329197936107"/>
    <n v="0.91532585719793502"/>
    <n v="32.444622904321903"/>
    <x v="3"/>
  </r>
  <r>
    <n v="109"/>
    <x v="2"/>
    <x v="1"/>
    <n v="4"/>
    <s v="HEAVY"/>
    <s v="SWEET"/>
    <n v="82.286607396377974"/>
    <n v="31.714904585976345"/>
    <n v="103.12320037306165"/>
    <n v="24.912136029174665"/>
    <n v="5.489384803663925"/>
    <n v="2.5634089998782152"/>
    <n v="0"/>
    <n v="0"/>
    <n v="0"/>
    <n v="100.4205402980339"/>
    <n v="0"/>
    <n v="0"/>
    <n v="0"/>
    <n v="0"/>
    <n v="0"/>
    <n v="0"/>
    <n v="0"/>
    <n v="350.51018248616668"/>
    <n v="318.37807334495886"/>
    <n v="0.23476238782200148"/>
    <n v="0.294208857618941"/>
    <n v="9.0482120550743242E-2"/>
    <n v="26.924463078862729"/>
    <n v="1.1684886308416846"/>
    <n v="6.8771989812634953"/>
    <n v="6.8871990148081093"/>
    <n v="67.367271238158281"/>
    <n v="178.21447123844959"/>
    <n v="0"/>
    <n v="7.6964475279972602"/>
    <n v="62.469180553090382"/>
    <n v="0"/>
    <n v="0.21229974233764759"/>
    <n v="6.9384039391580323"/>
    <n v="107.55340199351907"/>
    <n v="0"/>
    <n v="33.763952926858195"/>
    <n v="102.55021497604375"/>
    <n v="0"/>
    <n v="67.572099509379811"/>
    <n v="67.579418148848575"/>
    <n v="392.11356943453399"/>
    <n v="0"/>
    <n v="205.34948717948717"/>
    <n v="326.97872076761655"/>
    <n v="0"/>
    <n v="156.70550927880672"/>
    <n v="0"/>
    <n v="0"/>
    <n v="0"/>
    <n v="0"/>
    <n v="0"/>
    <n v="0"/>
    <n v="0"/>
    <n v="315.95967030003311"/>
    <n v="2.4184030449257534"/>
    <n v="1.0000033544613984E-2"/>
    <n v="30.078276630770912"/>
    <x v="0"/>
  </r>
  <r>
    <n v="110"/>
    <x v="2"/>
    <x v="1"/>
    <n v="4"/>
    <s v="HEAVY"/>
    <s v="SOUR"/>
    <n v="82.286607396377974"/>
    <n v="31.714904585976345"/>
    <n v="103.12320037306165"/>
    <n v="24.912136029174665"/>
    <n v="5.489384803663925"/>
    <n v="2.5634089998782152"/>
    <n v="0"/>
    <n v="0"/>
    <n v="0"/>
    <n v="100.4205402980339"/>
    <n v="0"/>
    <n v="0"/>
    <n v="0"/>
    <n v="0"/>
    <n v="0"/>
    <n v="0"/>
    <n v="0"/>
    <n v="350.51018248616668"/>
    <n v="318.37807334495886"/>
    <n v="0.23476238782200148"/>
    <n v="0.294208857618941"/>
    <n v="9.0482120550743242E-2"/>
    <n v="26.924463078862729"/>
    <n v="3.7883857319296892"/>
    <n v="6.8771989812634953"/>
    <n v="6.8871990148081093"/>
    <n v="67.367271238158281"/>
    <n v="178.21447123844959"/>
    <n v="0"/>
    <n v="7.6964475279972602"/>
    <n v="62.469180553090382"/>
    <n v="0"/>
    <n v="0.21229974233764759"/>
    <n v="6.9384039391580323"/>
    <n v="107.55340199351907"/>
    <n v="0"/>
    <n v="33.763952926858195"/>
    <n v="102.55021497604375"/>
    <n v="0"/>
    <n v="67.572099509379811"/>
    <n v="67.579418148848575"/>
    <n v="392.11356943453399"/>
    <n v="0"/>
    <n v="205.34948717948717"/>
    <n v="326.97872076761655"/>
    <n v="0"/>
    <n v="156.70550927880672"/>
    <n v="0"/>
    <n v="0"/>
    <n v="0"/>
    <n v="0"/>
    <n v="0"/>
    <n v="0"/>
    <n v="0"/>
    <n v="315.95967030003311"/>
    <n v="2.4184030449257534"/>
    <n v="1.0000033544613984E-2"/>
    <n v="28.333301674105989"/>
    <x v="1"/>
  </r>
  <r>
    <n v="111"/>
    <x v="2"/>
    <x v="1"/>
    <n v="4"/>
    <s v="LIGHT"/>
    <s v="SWEET"/>
    <n v="82.286607396377974"/>
    <n v="31.714904585976345"/>
    <n v="103.12320037306165"/>
    <n v="24.912136029174665"/>
    <n v="5.489384803663925"/>
    <n v="2.5634089998782152"/>
    <n v="0"/>
    <n v="0"/>
    <n v="0"/>
    <n v="100.4205402980339"/>
    <n v="0"/>
    <n v="0"/>
    <n v="0"/>
    <n v="0"/>
    <n v="0"/>
    <n v="0"/>
    <n v="0"/>
    <n v="350.51018248616668"/>
    <n v="318.37807334495886"/>
    <n v="0.23476238782200148"/>
    <n v="0.294208857618941"/>
    <n v="9.0482120550743242E-2"/>
    <n v="33.609676323697812"/>
    <n v="1.1684886308416846"/>
    <n v="6.6481103016829977"/>
    <n v="6.6581103294058259"/>
    <n v="67.347741376179044"/>
    <n v="208.03299570310043"/>
    <n v="0"/>
    <n v="0.14721016045558455"/>
    <n v="41.677433065274414"/>
    <n v="0"/>
    <n v="0.20156596162119694"/>
    <n v="6.9384039391580323"/>
    <n v="107.55340199351907"/>
    <n v="0"/>
    <n v="33.763952926858195"/>
    <n v="102.55021497604375"/>
    <n v="0"/>
    <n v="67.572099509379811"/>
    <n v="67.579418148848575"/>
    <n v="392.11356943453399"/>
    <n v="0"/>
    <n v="205.34948717948717"/>
    <n v="326.97872076761655"/>
    <n v="0"/>
    <n v="156.70550927880672"/>
    <n v="0"/>
    <n v="0"/>
    <n v="0"/>
    <n v="0"/>
    <n v="0"/>
    <n v="0"/>
    <n v="0"/>
    <n v="317.40694626663071"/>
    <n v="0.97112707832815204"/>
    <n v="1.0000027722828264E-2"/>
    <n v="28.972041861885803"/>
    <x v="2"/>
  </r>
  <r>
    <n v="112"/>
    <x v="2"/>
    <x v="1"/>
    <n v="4"/>
    <s v="LIGHT"/>
    <s v="SOUR"/>
    <n v="82.286607396377974"/>
    <n v="31.714904585976345"/>
    <n v="103.12320037306165"/>
    <n v="24.912136029174665"/>
    <n v="5.489384803663925"/>
    <n v="2.5634089998782152"/>
    <n v="0"/>
    <n v="0"/>
    <n v="0"/>
    <n v="100.4205402980339"/>
    <n v="0"/>
    <n v="0"/>
    <n v="0"/>
    <n v="0"/>
    <n v="0"/>
    <n v="0"/>
    <n v="0"/>
    <n v="350.51018248616668"/>
    <n v="318.37807334495886"/>
    <n v="0.23476238782200148"/>
    <n v="0.294208857618941"/>
    <n v="9.0482120550743242E-2"/>
    <n v="33.609676323697812"/>
    <n v="3.7883857319296892"/>
    <n v="6.6481103016829977"/>
    <n v="6.6581103294058259"/>
    <n v="67.347741376179044"/>
    <n v="208.03299570310043"/>
    <n v="0"/>
    <n v="0.14721016045558455"/>
    <n v="41.677433065274414"/>
    <n v="0"/>
    <n v="0.20156596162119694"/>
    <n v="6.9384039391580323"/>
    <n v="107.55340199351907"/>
    <n v="0"/>
    <n v="33.763952926858195"/>
    <n v="102.55021497604375"/>
    <n v="0"/>
    <n v="67.572099509379811"/>
    <n v="67.579418148848575"/>
    <n v="392.11356943453399"/>
    <n v="0"/>
    <n v="205.34948717948717"/>
    <n v="326.97872076761655"/>
    <n v="0"/>
    <n v="156.70550927880672"/>
    <n v="0"/>
    <n v="0"/>
    <n v="0"/>
    <n v="0"/>
    <n v="0"/>
    <n v="0"/>
    <n v="0"/>
    <n v="317.40694626663071"/>
    <n v="0.97112707832815204"/>
    <n v="1.0000027722828264E-2"/>
    <n v="27.411257797913972"/>
    <x v="3"/>
  </r>
  <r>
    <n v="113"/>
    <x v="2"/>
    <x v="0"/>
    <n v="5"/>
    <s v="HEAVY"/>
    <s v="SWEET"/>
    <n v="956.75398005601301"/>
    <n v="326.96315130646633"/>
    <n v="672.267463270289"/>
    <n v="353.13320077502198"/>
    <n v="353.7995949044448"/>
    <n v="26.363897406863835"/>
    <n v="0"/>
    <n v="0"/>
    <n v="0"/>
    <n v="48.123433515785095"/>
    <n v="0"/>
    <n v="0"/>
    <n v="0"/>
    <n v="25.261154693326308"/>
    <n v="0"/>
    <n v="0"/>
    <n v="0"/>
    <n v="2762.6658759282104"/>
    <n v="2203.4767368148646"/>
    <n v="0.3463154876572106"/>
    <n v="0.24334012633518998"/>
    <n v="0.11835059539967427"/>
    <n v="28.769370330956527"/>
    <n v="1.439026873673878"/>
    <n v="8.2251314263199653"/>
    <n v="8.2351314785384062"/>
    <n v="460.53089753752039"/>
    <n v="230.32383304914859"/>
    <n v="252.00298125934944"/>
    <n v="126.94147992352545"/>
    <n v="83.649053873070486"/>
    <n v="171.2652519992796"/>
    <n v="897.58063646305095"/>
    <n v="149.57960625848457"/>
    <n v="171.62674760865946"/>
    <n v="186.75901665004795"/>
    <n v="196.91104524743517"/>
    <n v="171.77998577616719"/>
    <n v="274.64110571573207"/>
    <n v="1052.179229558338"/>
    <n v="539.89181304421595"/>
    <n v="301.95121010669465"/>
    <n v="252.01742847049914"/>
    <n v="492.06309041835357"/>
    <n v="278.3741935541737"/>
    <n v="505.88851674641143"/>
    <n v="1427.387315315184"/>
    <n v="0"/>
    <n v="0"/>
    <n v="0"/>
    <n v="0"/>
    <n v="0"/>
    <n v="0"/>
    <n v="0"/>
    <n v="2222.294134104945"/>
    <n v="18.817397290080407"/>
    <n v="1.0000052218440914E-2"/>
    <n v="35.205316419857319"/>
    <x v="0"/>
  </r>
  <r>
    <n v="114"/>
    <x v="2"/>
    <x v="0"/>
    <n v="5"/>
    <s v="HEAVY"/>
    <s v="SOUR"/>
    <n v="956.75398005601301"/>
    <n v="326.96315130646633"/>
    <n v="672.267463270289"/>
    <n v="353.13320077502198"/>
    <n v="353.7995949044448"/>
    <n v="26.363897406863835"/>
    <n v="0"/>
    <n v="0"/>
    <n v="0"/>
    <n v="48.123433515785095"/>
    <n v="0"/>
    <n v="0"/>
    <n v="0"/>
    <n v="25.261154693326308"/>
    <n v="0"/>
    <n v="0"/>
    <n v="0"/>
    <n v="2762.6658759282104"/>
    <n v="2203.4767368148646"/>
    <n v="0.3463154876572106"/>
    <n v="0.24334012633518998"/>
    <n v="0.11835059539967427"/>
    <n v="28.769370330956527"/>
    <n v="1.664030724437416"/>
    <n v="8.2251314263199653"/>
    <n v="8.2351314785384062"/>
    <n v="460.53089753752039"/>
    <n v="230.32383304914859"/>
    <n v="252.00298125934944"/>
    <n v="126.94147992352545"/>
    <n v="83.649053873070486"/>
    <n v="171.2652519992796"/>
    <n v="897.58063646305095"/>
    <n v="149.57960625848457"/>
    <n v="171.62674760865946"/>
    <n v="186.75901665004795"/>
    <n v="196.91104524743517"/>
    <n v="171.77998577616719"/>
    <n v="274.64110571573207"/>
    <n v="1052.179229558338"/>
    <n v="539.89181304421595"/>
    <n v="301.95121010669465"/>
    <n v="252.01742847049914"/>
    <n v="492.06309041835357"/>
    <n v="278.3741935541737"/>
    <n v="505.88851674641143"/>
    <n v="1427.387315315184"/>
    <n v="0"/>
    <n v="0"/>
    <n v="0"/>
    <n v="0"/>
    <n v="0"/>
    <n v="0"/>
    <n v="0"/>
    <n v="2222.294134104945"/>
    <n v="18.817397290080407"/>
    <n v="1.0000052218440914E-2"/>
    <n v="34.282754454015006"/>
    <x v="1"/>
  </r>
  <r>
    <n v="115"/>
    <x v="2"/>
    <x v="0"/>
    <n v="5"/>
    <s v="LIGHT"/>
    <s v="SWEET"/>
    <n v="956.75398005601301"/>
    <n v="326.96315130646633"/>
    <n v="672.267463270289"/>
    <n v="353.13320077502198"/>
    <n v="353.7995949044448"/>
    <n v="26.363897406863835"/>
    <n v="0"/>
    <n v="0"/>
    <n v="0"/>
    <n v="48.123433515785095"/>
    <n v="0"/>
    <n v="0"/>
    <n v="0"/>
    <n v="25.261154693326308"/>
    <n v="0"/>
    <n v="0"/>
    <n v="0"/>
    <n v="2762.6658759282104"/>
    <n v="2203.4767368148646"/>
    <n v="0.3463154876572106"/>
    <n v="0.24334012633518998"/>
    <n v="0.11835059539967427"/>
    <n v="31.950804958677317"/>
    <n v="1.439026873673878"/>
    <n v="8.8867797831066433"/>
    <n v="8.8967797831227085"/>
    <n v="291.44018212638889"/>
    <n v="197.19224455891424"/>
    <n v="239.1699009526358"/>
    <n v="163.14702742374243"/>
    <n v="129.63262005276886"/>
    <n v="225.47910638856581"/>
    <n v="979.41927430376052"/>
    <n v="149.57960625848457"/>
    <n v="171.62674760865946"/>
    <n v="186.75901665004795"/>
    <n v="196.91104524743517"/>
    <n v="171.77998577616719"/>
    <n v="274.64110571573207"/>
    <n v="1052.179229558338"/>
    <n v="539.89181304421595"/>
    <n v="301.95121010669465"/>
    <n v="252.01742847049914"/>
    <n v="492.06309041835357"/>
    <n v="278.3741935541737"/>
    <n v="505.88851674641143"/>
    <n v="1427.387315315184"/>
    <n v="0"/>
    <n v="0"/>
    <n v="0"/>
    <n v="0"/>
    <n v="0"/>
    <n v="0"/>
    <n v="0"/>
    <n v="2225.4803558067765"/>
    <n v="22.003618991911935"/>
    <n v="1.0000000016065158E-2"/>
    <n v="34.976211630172173"/>
    <x v="2"/>
  </r>
  <r>
    <n v="116"/>
    <x v="2"/>
    <x v="0"/>
    <n v="5"/>
    <s v="LIGHT"/>
    <s v="SOUR"/>
    <n v="956.75398005601301"/>
    <n v="326.96315130646633"/>
    <n v="672.267463270289"/>
    <n v="353.13320077502198"/>
    <n v="353.7995949044448"/>
    <n v="26.363897406863835"/>
    <n v="0"/>
    <n v="0"/>
    <n v="0"/>
    <n v="48.123433515785095"/>
    <n v="0"/>
    <n v="0"/>
    <n v="0"/>
    <n v="25.261154693326308"/>
    <n v="0"/>
    <n v="0"/>
    <n v="0"/>
    <n v="2762.6658759282104"/>
    <n v="2203.4767368148646"/>
    <n v="0.3463154876572106"/>
    <n v="0.24334012633518998"/>
    <n v="0.11835059539967427"/>
    <n v="31.950804958677317"/>
    <n v="1.664030724437416"/>
    <n v="8.8867797831066433"/>
    <n v="8.8967797831227085"/>
    <n v="291.44018212638889"/>
    <n v="197.19224455891424"/>
    <n v="239.1699009526358"/>
    <n v="163.14702742374243"/>
    <n v="129.63262005276886"/>
    <n v="225.47910638856581"/>
    <n v="979.41927430376052"/>
    <n v="149.57960625848457"/>
    <n v="171.62674760865946"/>
    <n v="186.75901665004795"/>
    <n v="196.91104524743517"/>
    <n v="171.77998577616719"/>
    <n v="274.64110571573207"/>
    <n v="1052.179229558338"/>
    <n v="539.89181304421595"/>
    <n v="301.95121010669465"/>
    <n v="252.01742847049914"/>
    <n v="492.06309041835357"/>
    <n v="278.3741935541737"/>
    <n v="505.88851674641143"/>
    <n v="1427.387315315184"/>
    <n v="0"/>
    <n v="0"/>
    <n v="0"/>
    <n v="0"/>
    <n v="0"/>
    <n v="0"/>
    <n v="0"/>
    <n v="2225.4803558067765"/>
    <n v="22.003618991911935"/>
    <n v="1.0000000016065158E-2"/>
    <n v="35.120419218216384"/>
    <x v="3"/>
  </r>
  <r>
    <n v="117"/>
    <x v="2"/>
    <x v="1"/>
    <n v="5"/>
    <s v="HEAVY"/>
    <s v="SWEET"/>
    <n v="361.26345574708961"/>
    <n v="403.19471874513545"/>
    <n v="500.87389443332125"/>
    <n v="263.10242751518609"/>
    <n v="419.77387298964987"/>
    <n v="31.280067815142612"/>
    <n v="0"/>
    <n v="0"/>
    <n v="0"/>
    <n v="38.642635853032168"/>
    <n v="0"/>
    <n v="0"/>
    <n v="0"/>
    <n v="25.739540023388059"/>
    <n v="0"/>
    <n v="0"/>
    <n v="0"/>
    <n v="2043.8706131219449"/>
    <n v="1630.1722869619898"/>
    <n v="0.17675456236208201"/>
    <n v="0.2450614492021356"/>
    <n v="0.19727017755261367"/>
    <n v="29.834929643303958"/>
    <n v="1.5923770961611641"/>
    <n v="9.8918094040678994"/>
    <n v="9.8818094049212952"/>
    <n v="49.482279308556166"/>
    <n v="116.86779442172569"/>
    <n v="115.22113307438458"/>
    <n v="162.18882497701671"/>
    <n v="146.97261771549623"/>
    <n v="226.13247119539255"/>
    <n v="811.37589014279979"/>
    <n v="110.66172142563227"/>
    <n v="126.97259879288835"/>
    <n v="138.1677274811006"/>
    <n v="145.6783834364835"/>
    <n v="127.08596718466771"/>
    <n v="203.18450016656618"/>
    <n v="778.42138847465105"/>
    <n v="884.55862608843188"/>
    <n v="379.90242021338935"/>
    <n v="260.28485694099828"/>
    <n v="727.12618083670714"/>
    <n v="332.5483871083473"/>
    <n v="653.32703349282281"/>
    <n v="1481.5146306303682"/>
    <n v="0"/>
    <n v="0"/>
    <n v="0"/>
    <n v="0"/>
    <n v="0"/>
    <n v="0"/>
    <n v="0"/>
    <n v="1628.2410108353715"/>
    <n v="1.9312761266182861"/>
    <n v="9.9999991466042104E-3"/>
    <n v="35.32777866166893"/>
    <x v="0"/>
  </r>
  <r>
    <n v="118"/>
    <x v="2"/>
    <x v="1"/>
    <n v="5"/>
    <s v="HEAVY"/>
    <s v="SOUR"/>
    <n v="361.26345574708961"/>
    <n v="403.19471874513545"/>
    <n v="500.87389443332125"/>
    <n v="263.10242751518609"/>
    <n v="419.77387298964987"/>
    <n v="31.280067815142612"/>
    <n v="0"/>
    <n v="0"/>
    <n v="0"/>
    <n v="38.642635853032168"/>
    <n v="0"/>
    <n v="0"/>
    <n v="0"/>
    <n v="25.739540023388059"/>
    <n v="0"/>
    <n v="0"/>
    <n v="0"/>
    <n v="2043.8706131219449"/>
    <n v="1630.1722869619898"/>
    <n v="0.17675456236208201"/>
    <n v="0.2450614492021356"/>
    <n v="0.19727017755261367"/>
    <n v="29.834929643303958"/>
    <n v="1.8659991154487672"/>
    <n v="9.8918094040678994"/>
    <n v="9.8818094049212952"/>
    <n v="49.482279308556166"/>
    <n v="116.86779442172569"/>
    <n v="115.22113307438458"/>
    <n v="162.18882497701671"/>
    <n v="146.97261771549623"/>
    <n v="226.13247119539255"/>
    <n v="811.37589014279979"/>
    <n v="110.66172142563227"/>
    <n v="126.97259879288835"/>
    <n v="138.1677274811006"/>
    <n v="145.6783834364835"/>
    <n v="127.08596718466771"/>
    <n v="203.18450016656618"/>
    <n v="778.42138847465105"/>
    <n v="884.55862608843188"/>
    <n v="379.90242021338935"/>
    <n v="260.28485694099828"/>
    <n v="727.12618083670714"/>
    <n v="332.5483871083473"/>
    <n v="653.32703349282281"/>
    <n v="1481.5146306303682"/>
    <n v="0"/>
    <n v="0"/>
    <n v="0"/>
    <n v="0"/>
    <n v="0"/>
    <n v="0"/>
    <n v="0"/>
    <n v="1628.2410108353715"/>
    <n v="1.9312761266182861"/>
    <n v="9.9999991466042104E-3"/>
    <n v="36.083101220513456"/>
    <x v="1"/>
  </r>
  <r>
    <n v="119"/>
    <x v="2"/>
    <x v="1"/>
    <n v="5"/>
    <s v="LIGHT"/>
    <s v="SWEET"/>
    <n v="361.26345574708961"/>
    <n v="403.19471874513545"/>
    <n v="500.87389443332125"/>
    <n v="263.10242751518609"/>
    <n v="419.77387298964987"/>
    <n v="31.280067815142612"/>
    <n v="0"/>
    <n v="0"/>
    <n v="0"/>
    <n v="38.642635853032168"/>
    <n v="0"/>
    <n v="0"/>
    <n v="0"/>
    <n v="25.739540023388059"/>
    <n v="0"/>
    <n v="0"/>
    <n v="0"/>
    <n v="2043.8706131219449"/>
    <n v="1630.1722869619898"/>
    <n v="0.17675456236208201"/>
    <n v="0.2450614492021356"/>
    <n v="0.19727017755261367"/>
    <n v="34.263678151264266"/>
    <n v="1.5923770961611641"/>
    <n v="10.812863744578635"/>
    <n v="10.802863670489977"/>
    <n v="5.0469864462120563E-4"/>
    <n v="9.1806163458155513E-4"/>
    <n v="1.0439240297750395E-3"/>
    <n v="84.084582216496571"/>
    <n v="146.08175755164308"/>
    <n v="290.23468556588517"/>
    <n v="1093.4693207254597"/>
    <n v="110.66172142563227"/>
    <n v="126.97259879288835"/>
    <n v="138.1677274811006"/>
    <n v="145.6783834364835"/>
    <n v="127.08596718466771"/>
    <n v="203.18450016656618"/>
    <n v="778.42138847465105"/>
    <n v="884.55862608843188"/>
    <n v="379.90242021338935"/>
    <n v="260.28485694099828"/>
    <n v="727.12618083670714"/>
    <n v="332.5483871083473"/>
    <n v="653.32703349282281"/>
    <n v="1481.5146306303682"/>
    <n v="0"/>
    <n v="0"/>
    <n v="0"/>
    <n v="0"/>
    <n v="0"/>
    <n v="0"/>
    <n v="0"/>
    <n v="1613.8728127437935"/>
    <n v="16.299474218196337"/>
    <n v="1.000007408865855E-2"/>
    <n v="34.748492551028605"/>
    <x v="2"/>
  </r>
  <r>
    <n v="120"/>
    <x v="2"/>
    <x v="1"/>
    <n v="5"/>
    <s v="LIGHT"/>
    <s v="SOUR"/>
    <n v="361.26345574708961"/>
    <n v="403.19471874513545"/>
    <n v="500.87389443332125"/>
    <n v="263.10242751518609"/>
    <n v="419.77387298964987"/>
    <n v="31.280067815142612"/>
    <n v="0"/>
    <n v="0"/>
    <n v="0"/>
    <n v="38.642635853032168"/>
    <n v="0"/>
    <n v="0"/>
    <n v="0"/>
    <n v="25.739540023388059"/>
    <n v="0"/>
    <n v="0"/>
    <n v="0"/>
    <n v="2043.8706131219449"/>
    <n v="1630.1722869619898"/>
    <n v="0.17675456236208201"/>
    <n v="0.2450614492021356"/>
    <n v="0.19727017755261367"/>
    <n v="34.263678151264266"/>
    <n v="1.8659991154487672"/>
    <n v="10.812863744578635"/>
    <n v="10.802863670489977"/>
    <n v="5.0469864462120563E-4"/>
    <n v="9.1806163458155513E-4"/>
    <n v="1.0439240297750395E-3"/>
    <n v="84.084582216496571"/>
    <n v="146.08175755164308"/>
    <n v="290.23468556588517"/>
    <n v="1093.4693207254597"/>
    <n v="110.66172142563227"/>
    <n v="126.97259879288835"/>
    <n v="138.1677274811006"/>
    <n v="145.6783834364835"/>
    <n v="127.08596718466771"/>
    <n v="203.18450016656618"/>
    <n v="778.42138847465105"/>
    <n v="884.55862608843188"/>
    <n v="379.90242021338935"/>
    <n v="260.28485694099828"/>
    <n v="727.12618083670714"/>
    <n v="332.5483871083473"/>
    <n v="653.32703349282281"/>
    <n v="1481.5146306303682"/>
    <n v="0"/>
    <n v="0"/>
    <n v="0"/>
    <n v="0"/>
    <n v="0"/>
    <n v="0"/>
    <n v="0"/>
    <n v="1613.8728127437935"/>
    <n v="16.299474218196337"/>
    <n v="1.000007408865855E-2"/>
    <n v="35.289351908415938"/>
    <x v="3"/>
  </r>
  <r>
    <n v="121"/>
    <x v="3"/>
    <x v="0"/>
    <n v="1"/>
    <s v="HEAVY"/>
    <s v="SWEET"/>
    <n v="1110.1970668029492"/>
    <n v="103.30655223670755"/>
    <n v="312.27598023090906"/>
    <n v="110.04113489570344"/>
    <n v="126.58285122181967"/>
    <n v="0"/>
    <n v="0"/>
    <n v="0"/>
    <n v="0"/>
    <n v="143.60580193208193"/>
    <n v="0"/>
    <n v="0"/>
    <n v="0"/>
    <n v="10.257393535321418"/>
    <n v="0"/>
    <n v="0"/>
    <n v="0"/>
    <n v="1916.2667808554922"/>
    <n v="642.20943612412998"/>
    <n v="0.57935412641621653"/>
    <n v="0.16296059784092146"/>
    <n v="5.3910318369443155E-2"/>
    <n v="30.30214176476078"/>
    <n v="0.41766843364396622"/>
    <n v="8.2761253271489181"/>
    <n v="8.2861251927597976"/>
    <n v="29.907412831345923"/>
    <n v="347.91846682823092"/>
    <n v="0"/>
    <n v="100.34817351632172"/>
    <n v="78.800831867477655"/>
    <n v="0"/>
    <n v="88.105196258262765"/>
    <n v="17.243112123985821"/>
    <n v="345.40989123138559"/>
    <n v="0"/>
    <n v="103.06227936175431"/>
    <n v="82.251626798323159"/>
    <n v="0"/>
    <n v="94.242526608681118"/>
    <n v="91.42693476369206"/>
    <n v="892.71066470160065"/>
    <n v="0"/>
    <n v="378.33333333333331"/>
    <n v="195.80557682200353"/>
    <n v="0"/>
    <n v="187.81193219368552"/>
    <n v="0"/>
    <n v="0"/>
    <n v="0"/>
    <n v="0"/>
    <n v="0"/>
    <n v="0"/>
    <n v="0"/>
    <n v="645.08008130163898"/>
    <n v="2.8706451775090045"/>
    <n v="9.9998656108795103E-3"/>
    <n v="33.933643921839405"/>
    <x v="0"/>
  </r>
  <r>
    <n v="122"/>
    <x v="3"/>
    <x v="0"/>
    <n v="1"/>
    <s v="HEAVY"/>
    <s v="SOUR"/>
    <n v="1110.1970668029492"/>
    <n v="103.30655223670755"/>
    <n v="312.27598023090906"/>
    <n v="110.04113489570344"/>
    <n v="126.58285122181967"/>
    <n v="0"/>
    <n v="0"/>
    <n v="0"/>
    <n v="0"/>
    <n v="143.60580193208193"/>
    <n v="0"/>
    <n v="0"/>
    <n v="0"/>
    <n v="10.257393535321418"/>
    <n v="0"/>
    <n v="0"/>
    <n v="0"/>
    <n v="1916.2667808554922"/>
    <n v="642.20943612412998"/>
    <n v="0.57935412641621653"/>
    <n v="0.16296059784092146"/>
    <n v="5.3910318369443155E-2"/>
    <n v="30.30214176476078"/>
    <n v="1.5301400799730309"/>
    <n v="8.2761253271489181"/>
    <n v="8.2861251927597976"/>
    <n v="29.907412831345923"/>
    <n v="347.91846682823092"/>
    <n v="0"/>
    <n v="100.34817351632172"/>
    <n v="78.800831867477655"/>
    <n v="0"/>
    <n v="88.105196258262765"/>
    <n v="17.243112123985821"/>
    <n v="345.40989123138559"/>
    <n v="0"/>
    <n v="103.06227936175431"/>
    <n v="82.251626798323159"/>
    <n v="0"/>
    <n v="94.242526608681118"/>
    <n v="91.42693476369206"/>
    <n v="892.71066470160065"/>
    <n v="0"/>
    <n v="378.33333333333331"/>
    <n v="195.80557682200353"/>
    <n v="0"/>
    <n v="187.81193219368552"/>
    <n v="0"/>
    <n v="0"/>
    <n v="0"/>
    <n v="0"/>
    <n v="0"/>
    <n v="0"/>
    <n v="0"/>
    <n v="645.08008130163898"/>
    <n v="2.8706451775090045"/>
    <n v="9.9998656108795103E-3"/>
    <n v="33.183647228691299"/>
    <x v="1"/>
  </r>
  <r>
    <n v="123"/>
    <x v="3"/>
    <x v="0"/>
    <n v="1"/>
    <s v="LIGHT"/>
    <s v="SWEET"/>
    <n v="1110.1970668029492"/>
    <n v="103.30655223670755"/>
    <n v="312.27598023090906"/>
    <n v="110.04113489570344"/>
    <n v="126.58285122181967"/>
    <n v="0"/>
    <n v="0"/>
    <n v="0"/>
    <n v="0"/>
    <n v="143.60580193208193"/>
    <n v="0"/>
    <n v="0"/>
    <n v="0"/>
    <n v="10.257393535321418"/>
    <n v="0"/>
    <n v="0"/>
    <n v="0"/>
    <n v="1916.2667808554922"/>
    <n v="642.20943612412998"/>
    <n v="0.57935412641621653"/>
    <n v="0.16296059784092146"/>
    <n v="5.3910318369443155E-2"/>
    <n v="36.614652924665549"/>
    <n v="0.41766843364396622"/>
    <n v="7.5238985455888931"/>
    <n v="7.5338986469247642"/>
    <n v="89.324377789495102"/>
    <n v="357.92474438549544"/>
    <n v="0"/>
    <n v="84.900378803323648"/>
    <n v="59.774122211769537"/>
    <n v="0"/>
    <n v="55.99711956124785"/>
    <n v="17.243112123985821"/>
    <n v="345.40989123138559"/>
    <n v="0"/>
    <n v="103.06227936175431"/>
    <n v="82.251626798323159"/>
    <n v="0"/>
    <n v="94.242526608681118"/>
    <n v="91.42693476369206"/>
    <n v="892.71066470160065"/>
    <n v="0"/>
    <n v="378.33333333333331"/>
    <n v="195.80557682200353"/>
    <n v="0"/>
    <n v="187.81193219368552"/>
    <n v="0"/>
    <n v="0"/>
    <n v="0"/>
    <n v="0"/>
    <n v="0"/>
    <n v="0"/>
    <n v="0"/>
    <n v="647.92074275133155"/>
    <n v="5.7113066272015658"/>
    <n v="1.0000101335871037E-2"/>
    <n v="33.689859860956219"/>
    <x v="2"/>
  </r>
  <r>
    <n v="124"/>
    <x v="3"/>
    <x v="0"/>
    <n v="1"/>
    <s v="LIGHT"/>
    <s v="SOUR"/>
    <n v="1110.1970668029492"/>
    <n v="103.30655223670755"/>
    <n v="312.27598023090906"/>
    <n v="110.04113489570344"/>
    <n v="126.58285122181967"/>
    <n v="0"/>
    <n v="0"/>
    <n v="0"/>
    <n v="0"/>
    <n v="143.60580193208193"/>
    <n v="0"/>
    <n v="0"/>
    <n v="0"/>
    <n v="10.257393535321418"/>
    <n v="0"/>
    <n v="0"/>
    <n v="0"/>
    <n v="1916.2667808554922"/>
    <n v="642.20943612412998"/>
    <n v="0.57935412641621653"/>
    <n v="0.16296059784092146"/>
    <n v="5.3910318369443155E-2"/>
    <n v="36.614652924665549"/>
    <n v="1.5301400799730309"/>
    <n v="7.5238985455888931"/>
    <n v="7.5338986469247642"/>
    <n v="89.324377789495102"/>
    <n v="357.92474438549544"/>
    <n v="0"/>
    <n v="84.900378803323648"/>
    <n v="59.774122211769537"/>
    <n v="0"/>
    <n v="55.99711956124785"/>
    <n v="17.243112123985821"/>
    <n v="345.40989123138559"/>
    <n v="0"/>
    <n v="103.06227936175431"/>
    <n v="82.251626798323159"/>
    <n v="0"/>
    <n v="94.242526608681118"/>
    <n v="91.42693476369206"/>
    <n v="892.71066470160065"/>
    <n v="0"/>
    <n v="378.33333333333331"/>
    <n v="195.80557682200353"/>
    <n v="0"/>
    <n v="187.81193219368552"/>
    <n v="0"/>
    <n v="0"/>
    <n v="0"/>
    <n v="0"/>
    <n v="0"/>
    <n v="0"/>
    <n v="0"/>
    <n v="647.92074275133155"/>
    <n v="5.7113066272015658"/>
    <n v="1.0000101335871037E-2"/>
    <n v="32.264460768394045"/>
    <x v="3"/>
  </r>
  <r>
    <n v="125"/>
    <x v="3"/>
    <x v="1"/>
    <n v="1"/>
    <s v="HEAVY"/>
    <s v="SWEET"/>
    <n v="1035.011860720035"/>
    <n v="127.36328456880523"/>
    <n v="336.48167651968691"/>
    <n v="118.57084085832106"/>
    <n v="150.322538005761"/>
    <n v="0"/>
    <n v="0"/>
    <n v="0"/>
    <n v="0"/>
    <n v="175.81576906160231"/>
    <n v="0"/>
    <n v="0"/>
    <n v="0"/>
    <n v="10.451643824017232"/>
    <n v="0"/>
    <n v="0"/>
    <n v="0"/>
    <n v="1954.0176135582292"/>
    <n v="654.86108840211682"/>
    <n v="0.52968399749237571"/>
    <n v="0.17219991989067085"/>
    <n v="6.5180213159327205E-2"/>
    <n v="28.267512206646213"/>
    <n v="0.27799592561789516"/>
    <n v="8.4064166910957177"/>
    <n v="8.4164166910868978"/>
    <n v="19.737411841762302"/>
    <n v="352.64677224150063"/>
    <n v="0"/>
    <n v="104.63912904738407"/>
    <n v="83.293614251777413"/>
    <n v="0"/>
    <n v="95.065406842398261"/>
    <n v="17.582804826260038"/>
    <n v="352.21453406505469"/>
    <n v="0"/>
    <n v="105.09262654776114"/>
    <n v="83.872000033309362"/>
    <n v="0"/>
    <n v="96.099122929731578"/>
    <n v="149.79386952738412"/>
    <n v="1123.1713294032013"/>
    <n v="0"/>
    <n v="559.06666666666661"/>
    <n v="233.91115364400702"/>
    <n v="0"/>
    <n v="194.9338643873711"/>
    <n v="0"/>
    <n v="0"/>
    <n v="0"/>
    <n v="0"/>
    <n v="0"/>
    <n v="0"/>
    <n v="0"/>
    <n v="655.38233422482267"/>
    <n v="0.52124582270585051"/>
    <n v="9.9999999911801751E-3"/>
    <n v="34.043967313851709"/>
    <x v="0"/>
  </r>
  <r>
    <n v="126"/>
    <x v="3"/>
    <x v="1"/>
    <n v="1"/>
    <s v="HEAVY"/>
    <s v="SOUR"/>
    <n v="1035.011860720035"/>
    <n v="127.36328456880523"/>
    <n v="336.48167651968691"/>
    <n v="118.57084085832106"/>
    <n v="150.322538005761"/>
    <n v="0"/>
    <n v="0"/>
    <n v="0"/>
    <n v="0"/>
    <n v="175.81576906160231"/>
    <n v="0"/>
    <n v="0"/>
    <n v="0"/>
    <n v="10.451643824017232"/>
    <n v="0"/>
    <n v="0"/>
    <n v="0"/>
    <n v="1954.0176135582292"/>
    <n v="654.86108840211682"/>
    <n v="0.52968399749237571"/>
    <n v="0.17219991989067085"/>
    <n v="6.5180213159327205E-2"/>
    <n v="28.267512206646213"/>
    <n v="1.8266228074543227"/>
    <n v="8.4064166910957177"/>
    <n v="8.4164166910868978"/>
    <n v="19.737411841762302"/>
    <n v="352.64677224150063"/>
    <n v="0"/>
    <n v="104.63912904738407"/>
    <n v="83.293614251777413"/>
    <n v="0"/>
    <n v="95.065406842398261"/>
    <n v="17.582804826260038"/>
    <n v="352.21453406505469"/>
    <n v="0"/>
    <n v="105.09262654776114"/>
    <n v="83.872000033309362"/>
    <n v="0"/>
    <n v="96.099122929731578"/>
    <n v="149.79386952738412"/>
    <n v="1123.1713294032013"/>
    <n v="0"/>
    <n v="559.06666666666661"/>
    <n v="233.91115364400702"/>
    <n v="0"/>
    <n v="194.9338643873711"/>
    <n v="0"/>
    <n v="0"/>
    <n v="0"/>
    <n v="0"/>
    <n v="0"/>
    <n v="0"/>
    <n v="0"/>
    <n v="655.38233422482267"/>
    <n v="0.52124582270585051"/>
    <n v="9.9999999911801751E-3"/>
    <n v="33.557144053066978"/>
    <x v="1"/>
  </r>
  <r>
    <n v="127"/>
    <x v="3"/>
    <x v="1"/>
    <n v="1"/>
    <s v="LIGHT"/>
    <s v="SWEET"/>
    <n v="1035.011860720035"/>
    <n v="127.36328456880523"/>
    <n v="336.48167651968691"/>
    <n v="118.57084085832106"/>
    <n v="150.322538005761"/>
    <n v="0"/>
    <n v="0"/>
    <n v="0"/>
    <n v="0"/>
    <n v="175.81576906160231"/>
    <n v="0"/>
    <n v="0"/>
    <n v="0"/>
    <n v="10.451643824017232"/>
    <n v="0"/>
    <n v="0"/>
    <n v="0"/>
    <n v="1954.0176135582292"/>
    <n v="654.86108840211682"/>
    <n v="0.52968399749237571"/>
    <n v="0.17219991989067085"/>
    <n v="6.5180213159327205E-2"/>
    <n v="37.317276792879753"/>
    <n v="0.27799592561789516"/>
    <n v="7.3280066707194473"/>
    <n v="7.33800676254923"/>
    <n v="106.78273547267676"/>
    <n v="367.45390746032865"/>
    <n v="0"/>
    <n v="82.330237224834846"/>
    <n v="55.76254955384568"/>
    <n v="0"/>
    <n v="48.465079047657795"/>
    <n v="17.582804826260038"/>
    <n v="352.21453406505469"/>
    <n v="0"/>
    <n v="105.09262654776114"/>
    <n v="83.872000033309362"/>
    <n v="0"/>
    <n v="96.099122929731578"/>
    <n v="149.79386952738412"/>
    <n v="1123.1713294032013"/>
    <n v="0"/>
    <n v="559.06666666666661"/>
    <n v="233.91115364400702"/>
    <n v="0"/>
    <n v="194.9338643873711"/>
    <n v="0"/>
    <n v="0"/>
    <n v="0"/>
    <n v="0"/>
    <n v="0"/>
    <n v="0"/>
    <n v="0"/>
    <n v="660.79450875934378"/>
    <n v="5.9334203572269644"/>
    <n v="1.0000091829782676E-2"/>
    <n v="32.402953477900546"/>
    <x v="2"/>
  </r>
  <r>
    <n v="128"/>
    <x v="3"/>
    <x v="1"/>
    <n v="1"/>
    <s v="LIGHT"/>
    <s v="SOUR"/>
    <n v="1035.011860720035"/>
    <n v="127.36328456880523"/>
    <n v="336.48167651968691"/>
    <n v="118.57084085832106"/>
    <n v="150.322538005761"/>
    <n v="0"/>
    <n v="0"/>
    <n v="0"/>
    <n v="0"/>
    <n v="175.81576906160231"/>
    <n v="0"/>
    <n v="0"/>
    <n v="0"/>
    <n v="10.451643824017232"/>
    <n v="0"/>
    <n v="0"/>
    <n v="0"/>
    <n v="1954.0176135582292"/>
    <n v="654.86108840211682"/>
    <n v="0.52968399749237571"/>
    <n v="0.17219991989067085"/>
    <n v="6.5180213159327205E-2"/>
    <n v="37.317276792879753"/>
    <n v="1.8266228074543227"/>
    <n v="7.3280066707194473"/>
    <n v="7.33800676254923"/>
    <n v="106.78273547267676"/>
    <n v="367.45390746032865"/>
    <n v="0"/>
    <n v="82.330237224834846"/>
    <n v="55.76254955384568"/>
    <n v="0"/>
    <n v="48.465079047657795"/>
    <n v="17.582804826260038"/>
    <n v="352.21453406505469"/>
    <n v="0"/>
    <n v="105.09262654776114"/>
    <n v="83.872000033309362"/>
    <n v="0"/>
    <n v="96.099122929731578"/>
    <n v="149.79386952738412"/>
    <n v="1123.1713294032013"/>
    <n v="0"/>
    <n v="559.06666666666661"/>
    <n v="233.91115364400702"/>
    <n v="0"/>
    <n v="194.9338643873711"/>
    <n v="0"/>
    <n v="0"/>
    <n v="0"/>
    <n v="0"/>
    <n v="0"/>
    <n v="0"/>
    <n v="0"/>
    <n v="660.79450875934378"/>
    <n v="5.9334203572269644"/>
    <n v="1.0000091829782676E-2"/>
    <n v="31.237941518412001"/>
    <x v="3"/>
  </r>
  <r>
    <n v="129"/>
    <x v="3"/>
    <x v="0"/>
    <n v="2"/>
    <s v="HEAVY"/>
    <s v="SWEET"/>
    <n v="2334.9472793392815"/>
    <n v="243.18273200131145"/>
    <n v="1211.1971507513754"/>
    <n v="74.484884121821509"/>
    <n v="41.316115877463915"/>
    <n v="29.323153592751066"/>
    <n v="0"/>
    <n v="0"/>
    <n v="0"/>
    <n v="298.48989607922942"/>
    <n v="0"/>
    <n v="0"/>
    <n v="0"/>
    <n v="8.9774380545843417"/>
    <n v="0"/>
    <n v="0"/>
    <n v="0"/>
    <n v="4241.9186498178178"/>
    <n v="3503.0207873255399"/>
    <n v="0.55044602975579526"/>
    <n v="0.28553049946004833"/>
    <n v="5.7328476115815111E-2"/>
    <n v="30.283494646922765"/>
    <n v="0.85848259090407375"/>
    <n v="9.7410106004251542"/>
    <n v="9.7510106001849621"/>
    <n v="63.299440479860891"/>
    <n v="542.1768701857718"/>
    <n v="0"/>
    <n v="443.80976462081776"/>
    <n v="1375.3008160666207"/>
    <n v="0"/>
    <n v="1113.463231725081"/>
    <n v="21.495930182939048"/>
    <n v="529.55333464370483"/>
    <n v="0"/>
    <n v="446.26531862679548"/>
    <n v="1379.8907369565554"/>
    <n v="0"/>
    <n v="1125.8154669155449"/>
    <n v="69.095643226583363"/>
    <n v="829.70092482947541"/>
    <n v="0"/>
    <n v="993.12500000000011"/>
    <n v="1991.4122477464978"/>
    <n v="0"/>
    <n v="1360.1267578285858"/>
    <n v="0"/>
    <n v="0"/>
    <n v="0"/>
    <n v="0"/>
    <n v="0"/>
    <n v="0"/>
    <n v="0"/>
    <n v="3538.050123078152"/>
    <n v="35.029335752612042"/>
    <n v="9.9999997598079204E-3"/>
    <n v="34.897841529755354"/>
    <x v="0"/>
  </r>
  <r>
    <n v="130"/>
    <x v="3"/>
    <x v="0"/>
    <n v="2"/>
    <s v="HEAVY"/>
    <s v="SOUR"/>
    <n v="2334.9472793392815"/>
    <n v="243.18273200131145"/>
    <n v="1211.1971507513754"/>
    <n v="74.484884121821509"/>
    <n v="41.316115877463915"/>
    <n v="29.323153592751066"/>
    <n v="0"/>
    <n v="0"/>
    <n v="0"/>
    <n v="298.48989607922942"/>
    <n v="0"/>
    <n v="0"/>
    <n v="0"/>
    <n v="8.9774380545843417"/>
    <n v="0"/>
    <n v="0"/>
    <n v="0"/>
    <n v="4241.9186498178178"/>
    <n v="3503.0207873255399"/>
    <n v="0.55044602975579526"/>
    <n v="0.28553049946004833"/>
    <n v="5.7328476115815111E-2"/>
    <n v="30.283494646922765"/>
    <n v="2.3964868933205583"/>
    <n v="9.7410106004251542"/>
    <n v="9.7510106001849621"/>
    <n v="63.299440479860891"/>
    <n v="542.1768701857718"/>
    <n v="0"/>
    <n v="443.80976462081776"/>
    <n v="1375.3008160666207"/>
    <n v="0"/>
    <n v="1113.463231725081"/>
    <n v="21.495930182939048"/>
    <n v="529.55333464370483"/>
    <n v="0"/>
    <n v="446.26531862679548"/>
    <n v="1379.8907369565554"/>
    <n v="0"/>
    <n v="1125.8154669155449"/>
    <n v="69.095643226583363"/>
    <n v="829.70092482947541"/>
    <n v="0"/>
    <n v="993.12500000000011"/>
    <n v="1991.4122477464978"/>
    <n v="0"/>
    <n v="1360.1267578285858"/>
    <n v="0"/>
    <n v="0"/>
    <n v="0"/>
    <n v="0"/>
    <n v="0"/>
    <n v="0"/>
    <n v="0"/>
    <n v="3538.050123078152"/>
    <n v="35.029335752612042"/>
    <n v="9.9999997598079204E-3"/>
    <n v="35.067330565923854"/>
    <x v="1"/>
  </r>
  <r>
    <n v="131"/>
    <x v="3"/>
    <x v="0"/>
    <n v="2"/>
    <s v="LIGHT"/>
    <s v="SWEET"/>
    <n v="2334.9472793392815"/>
    <n v="243.18273200131145"/>
    <n v="1211.1971507513754"/>
    <n v="74.484884121821509"/>
    <n v="41.316115877463915"/>
    <n v="29.323153592751066"/>
    <n v="0"/>
    <n v="0"/>
    <n v="0"/>
    <n v="298.48989607922942"/>
    <n v="0"/>
    <n v="0"/>
    <n v="0"/>
    <n v="8.9774380545843417"/>
    <n v="0"/>
    <n v="0"/>
    <n v="0"/>
    <n v="4241.9186498178178"/>
    <n v="3503.0207873255399"/>
    <n v="0.55044602975579526"/>
    <n v="0.28553049946004833"/>
    <n v="5.7328476115815111E-2"/>
    <n v="34.957728681668918"/>
    <n v="0.85848259090407375"/>
    <n v="9.4518774960161842"/>
    <n v="9.4618775057292996"/>
    <n v="69.094920865061709"/>
    <n v="816.59006309727226"/>
    <n v="0"/>
    <n v="426.9999152003702"/>
    <n v="1317.2794690949197"/>
    <n v="0"/>
    <n v="905.51584960106732"/>
    <n v="21.495930182939048"/>
    <n v="529.55333464370483"/>
    <n v="0"/>
    <n v="446.26531862679548"/>
    <n v="1379.8907369565554"/>
    <n v="0"/>
    <n v="1125.8154669155449"/>
    <n v="69.095643226583363"/>
    <n v="829.70092482947541"/>
    <n v="0"/>
    <n v="993.12500000000011"/>
    <n v="1991.4122477464978"/>
    <n v="0"/>
    <n v="1360.1267578285858"/>
    <n v="0"/>
    <n v="0"/>
    <n v="0"/>
    <n v="0"/>
    <n v="0"/>
    <n v="0"/>
    <n v="0"/>
    <n v="3535.480217858691"/>
    <n v="32.459430533151135"/>
    <n v="1.0000009713115432E-2"/>
    <n v="35.905320888703571"/>
    <x v="2"/>
  </r>
  <r>
    <n v="132"/>
    <x v="3"/>
    <x v="0"/>
    <n v="2"/>
    <s v="LIGHT"/>
    <s v="SOUR"/>
    <n v="2334.9472793392815"/>
    <n v="243.18273200131145"/>
    <n v="1211.1971507513754"/>
    <n v="74.484884121821509"/>
    <n v="41.316115877463915"/>
    <n v="29.323153592751066"/>
    <n v="0"/>
    <n v="0"/>
    <n v="0"/>
    <n v="298.48989607922942"/>
    <n v="0"/>
    <n v="0"/>
    <n v="0"/>
    <n v="8.9774380545843417"/>
    <n v="0"/>
    <n v="0"/>
    <n v="0"/>
    <n v="4241.9186498178178"/>
    <n v="3503.0207873255399"/>
    <n v="0.55044602975579526"/>
    <n v="0.28553049946004833"/>
    <n v="5.7328476115815111E-2"/>
    <n v="34.957728681668918"/>
    <n v="2.3964868933205583"/>
    <n v="9.4518774960161842"/>
    <n v="9.4618775057292996"/>
    <n v="69.094920865061709"/>
    <n v="816.59006309727226"/>
    <n v="0"/>
    <n v="426.9999152003702"/>
    <n v="1317.2794690949197"/>
    <n v="0"/>
    <n v="905.51584960106732"/>
    <n v="21.495930182939048"/>
    <n v="529.55333464370483"/>
    <n v="0"/>
    <n v="446.26531862679548"/>
    <n v="1379.8907369565554"/>
    <n v="0"/>
    <n v="1125.8154669155449"/>
    <n v="69.095643226583363"/>
    <n v="829.70092482947541"/>
    <n v="0"/>
    <n v="993.12500000000011"/>
    <n v="1991.4122477464978"/>
    <n v="0"/>
    <n v="1360.1267578285858"/>
    <n v="0"/>
    <n v="0"/>
    <n v="0"/>
    <n v="0"/>
    <n v="0"/>
    <n v="0"/>
    <n v="0"/>
    <n v="3535.480217858691"/>
    <n v="32.459430533151135"/>
    <n v="1.0000009713115432E-2"/>
    <n v="34.533989243704696"/>
    <x v="3"/>
  </r>
  <r>
    <n v="133"/>
    <x v="3"/>
    <x v="1"/>
    <n v="2"/>
    <s v="HEAVY"/>
    <s v="SWEET"/>
    <n v="2185.1467938308306"/>
    <n v="299.79012097977647"/>
    <n v="1276.0262266491197"/>
    <n v="78.471672072051305"/>
    <n v="49.225586995672721"/>
    <n v="34.936717005258899"/>
    <n v="0"/>
    <n v="0"/>
    <n v="0"/>
    <n v="366.28540801510849"/>
    <n v="0"/>
    <n v="0"/>
    <n v="0"/>
    <n v="9.1474490742304866"/>
    <n v="0"/>
    <n v="0"/>
    <n v="0"/>
    <n v="4299.029974622048"/>
    <n v="3550.1839166772806"/>
    <n v="0.50828833637591442"/>
    <n v="0.29681724346695265"/>
    <n v="6.9734363972684954E-2"/>
    <n v="28.354057795771688"/>
    <n v="0.49194998451747501"/>
    <n v="9.8608082364475855"/>
    <n v="9.8508082364206988"/>
    <n v="21.842136163309998"/>
    <n v="535.02369333891943"/>
    <n v="0"/>
    <n v="452.47374344526207"/>
    <n v="1398.5296716605742"/>
    <n v="0"/>
    <n v="1141.9641550886083"/>
    <n v="21.785341921351243"/>
    <n v="536.68300755652672"/>
    <n v="0"/>
    <n v="452.27363836721594"/>
    <n v="1398.4689782144492"/>
    <n v="0"/>
    <n v="1140.9729506177373"/>
    <n v="113.20628645316671"/>
    <n v="1043.8951024062037"/>
    <n v="0"/>
    <n v="1467.5500000000002"/>
    <n v="2378.9594954929953"/>
    <n v="0"/>
    <n v="1411.7035156571721"/>
    <n v="0"/>
    <n v="0"/>
    <n v="0"/>
    <n v="0"/>
    <n v="0"/>
    <n v="0"/>
    <n v="0"/>
    <n v="3549.833399696674"/>
    <n v="0.35051698060669878"/>
    <n v="1.0000000026886724E-2"/>
    <n v="34.665992526134971"/>
    <x v="0"/>
  </r>
  <r>
    <n v="134"/>
    <x v="3"/>
    <x v="1"/>
    <n v="2"/>
    <s v="HEAVY"/>
    <s v="SOUR"/>
    <n v="2185.1467938308306"/>
    <n v="299.79012097977647"/>
    <n v="1276.0262266491197"/>
    <n v="78.471672072051305"/>
    <n v="49.225586995672721"/>
    <n v="34.936717005258899"/>
    <n v="0"/>
    <n v="0"/>
    <n v="0"/>
    <n v="366.28540801510849"/>
    <n v="0"/>
    <n v="0"/>
    <n v="0"/>
    <n v="9.1474490742304866"/>
    <n v="0"/>
    <n v="0"/>
    <n v="0"/>
    <n v="4299.029974622048"/>
    <n v="3550.1839166772806"/>
    <n v="0.50828833637591442"/>
    <n v="0.29681724346695265"/>
    <n v="6.9734363972684954E-2"/>
    <n v="28.354057795771688"/>
    <n v="4.4723269444483442"/>
    <n v="9.8608082364475855"/>
    <n v="9.8508082364206988"/>
    <n v="21.842136163309998"/>
    <n v="535.02369333891943"/>
    <n v="0"/>
    <n v="452.47374344526207"/>
    <n v="1398.5296716605742"/>
    <n v="0"/>
    <n v="1141.9641550886083"/>
    <n v="21.785341921351243"/>
    <n v="536.68300755652672"/>
    <n v="0"/>
    <n v="452.27363836721594"/>
    <n v="1398.4689782144492"/>
    <n v="0"/>
    <n v="1140.9729506177373"/>
    <n v="113.20628645316671"/>
    <n v="1043.8951024062037"/>
    <n v="0"/>
    <n v="1467.5500000000002"/>
    <n v="2378.9594954929953"/>
    <n v="0"/>
    <n v="1411.7035156571721"/>
    <n v="0"/>
    <n v="0"/>
    <n v="0"/>
    <n v="0"/>
    <n v="0"/>
    <n v="0"/>
    <n v="0"/>
    <n v="3549.833399696674"/>
    <n v="0.35051698060669878"/>
    <n v="1.0000000026886724E-2"/>
    <n v="34.64655463973093"/>
    <x v="1"/>
  </r>
  <r>
    <n v="135"/>
    <x v="3"/>
    <x v="1"/>
    <n v="2"/>
    <s v="LIGHT"/>
    <s v="SWEET"/>
    <n v="2185.1467938308306"/>
    <n v="299.79012097977647"/>
    <n v="1276.0262266491197"/>
    <n v="78.471672072051305"/>
    <n v="49.225586995672721"/>
    <n v="34.936717005258899"/>
    <n v="0"/>
    <n v="0"/>
    <n v="0"/>
    <n v="366.28540801510849"/>
    <n v="0"/>
    <n v="0"/>
    <n v="0"/>
    <n v="9.1474490742304866"/>
    <n v="0"/>
    <n v="0"/>
    <n v="0"/>
    <n v="4299.029974622048"/>
    <n v="3550.1839166772806"/>
    <n v="0.50828833637591442"/>
    <n v="0.29681724346695265"/>
    <n v="6.9734363972684954E-2"/>
    <n v="34.957728681668918"/>
    <n v="0.49194998451747501"/>
    <n v="9.4523263655054333"/>
    <n v="9.4623263760730474"/>
    <n v="113.20489197273511"/>
    <n v="733.50216494027768"/>
    <n v="0"/>
    <n v="426.30506638108415"/>
    <n v="1340.970067077604"/>
    <n v="0"/>
    <n v="968.78462164151574"/>
    <n v="21.785341921351243"/>
    <n v="536.68300755652672"/>
    <n v="0"/>
    <n v="452.27363836721594"/>
    <n v="1398.4689782144492"/>
    <n v="0"/>
    <n v="1140.9729506177373"/>
    <n v="113.20628645316671"/>
    <n v="1043.8951024062037"/>
    <n v="0"/>
    <n v="1467.5500000000002"/>
    <n v="2378.9594954929953"/>
    <n v="0"/>
    <n v="1411.7035156571721"/>
    <n v="0"/>
    <n v="0"/>
    <n v="0"/>
    <n v="0"/>
    <n v="0"/>
    <n v="0"/>
    <n v="0"/>
    <n v="3582.7668120132166"/>
    <n v="32.582895335935973"/>
    <n v="1.0000010567614126E-2"/>
    <n v="34.159564673488021"/>
    <x v="2"/>
  </r>
  <r>
    <n v="136"/>
    <x v="3"/>
    <x v="1"/>
    <n v="2"/>
    <s v="LIGHT"/>
    <s v="SOUR"/>
    <n v="2185.1467938308306"/>
    <n v="299.79012097977647"/>
    <n v="1276.0262266491197"/>
    <n v="78.471672072051305"/>
    <n v="49.225586995672721"/>
    <n v="34.936717005258899"/>
    <n v="0"/>
    <n v="0"/>
    <n v="0"/>
    <n v="366.28540801510849"/>
    <n v="0"/>
    <n v="0"/>
    <n v="0"/>
    <n v="9.1474490742304866"/>
    <n v="0"/>
    <n v="0"/>
    <n v="0"/>
    <n v="4299.029974622048"/>
    <n v="3550.1839166772806"/>
    <n v="0.50828833637591442"/>
    <n v="0.29681724346695265"/>
    <n v="6.9734363972684954E-2"/>
    <n v="34.957728681668918"/>
    <n v="4.4723269444483442"/>
    <n v="9.4523263655054333"/>
    <n v="9.4623263760730474"/>
    <n v="113.20489197273511"/>
    <n v="733.50216494027768"/>
    <n v="0"/>
    <n v="426.30506638108415"/>
    <n v="1340.970067077604"/>
    <n v="0"/>
    <n v="968.78462164151574"/>
    <n v="21.785341921351243"/>
    <n v="536.68300755652672"/>
    <n v="0"/>
    <n v="452.27363836721594"/>
    <n v="1398.4689782144492"/>
    <n v="0"/>
    <n v="1140.9729506177373"/>
    <n v="113.20628645316671"/>
    <n v="1043.8951024062037"/>
    <n v="0"/>
    <n v="1467.5500000000002"/>
    <n v="2378.9594954929953"/>
    <n v="0"/>
    <n v="1411.7035156571721"/>
    <n v="0"/>
    <n v="0"/>
    <n v="0"/>
    <n v="0"/>
    <n v="0"/>
    <n v="0"/>
    <n v="0"/>
    <n v="3582.7668120132166"/>
    <n v="32.582895335935973"/>
    <n v="1.0000010567614126E-2"/>
    <n v="36.918225492877738"/>
    <x v="3"/>
  </r>
  <r>
    <n v="137"/>
    <x v="3"/>
    <x v="0"/>
    <n v="3"/>
    <s v="HEAVY"/>
    <s v="SWEET"/>
    <n v="3183.1099711418956"/>
    <n v="873.5420138934935"/>
    <n v="2397.4657885687948"/>
    <n v="1700.6793855468002"/>
    <n v="227.03245314490249"/>
    <n v="42.104798242288538"/>
    <n v="0"/>
    <n v="0"/>
    <n v="0"/>
    <n v="101.2831980294727"/>
    <n v="0"/>
    <n v="0"/>
    <n v="0"/>
    <n v="12.728894991386792"/>
    <n v="0"/>
    <n v="0"/>
    <n v="0"/>
    <n v="8537.9465035590347"/>
    <n v="8581.1455108145146"/>
    <n v="0.37281915151553352"/>
    <n v="0.28080121930600216"/>
    <n v="0.10231289380055947"/>
    <n v="30.30214176476078"/>
    <n v="1.0500146884775321"/>
    <n v="9.582212802151286"/>
    <n v="9.592212537832129"/>
    <n v="726.12738940484292"/>
    <n v="692.06144448113525"/>
    <n v="305.16439419050681"/>
    <n v="781.86926461767462"/>
    <n v="1683.9383799639343"/>
    <n v="1.5202501503043322E-3"/>
    <n v="4477.7806980528258"/>
    <n v="260.73721279183849"/>
    <n v="605.85971774349946"/>
    <n v="260.47921842023283"/>
    <n v="889.35414737543408"/>
    <n v="1818.8250987452493"/>
    <n v="33.460020890835864"/>
    <n v="4712.4300948474238"/>
    <n v="818.90159671962101"/>
    <n v="927.50919366992355"/>
    <n v="305.85558861538459"/>
    <n v="1933.836664979757"/>
    <n v="2564.7302317013236"/>
    <n v="53.6302514614692"/>
    <n v="5562.7734410987441"/>
    <n v="0"/>
    <n v="0"/>
    <n v="0"/>
    <n v="0"/>
    <n v="0"/>
    <n v="0"/>
    <n v="0"/>
    <n v="8666.9430909610692"/>
    <n v="85.797580146554537"/>
    <n v="9.9997356808430027E-3"/>
    <n v="37.367750268182157"/>
    <x v="0"/>
  </r>
  <r>
    <n v="138"/>
    <x v="3"/>
    <x v="0"/>
    <n v="3"/>
    <s v="HEAVY"/>
    <s v="SOUR"/>
    <n v="3183.1099711418956"/>
    <n v="873.5420138934935"/>
    <n v="2397.4657885687948"/>
    <n v="1700.6793855468002"/>
    <n v="227.03245314490249"/>
    <n v="42.104798242288538"/>
    <n v="0"/>
    <n v="0"/>
    <n v="0"/>
    <n v="101.2831980294727"/>
    <n v="0"/>
    <n v="0"/>
    <n v="0"/>
    <n v="12.728894991386792"/>
    <n v="0"/>
    <n v="0"/>
    <n v="0"/>
    <n v="8537.9465035590347"/>
    <n v="8581.1455108145146"/>
    <n v="0.37281915151553352"/>
    <n v="0.28080121930600216"/>
    <n v="0.10231289380055947"/>
    <n v="30.30214176476078"/>
    <n v="1.975455919496689"/>
    <n v="9.582212802151286"/>
    <n v="9.592212537832129"/>
    <n v="726.12738940484292"/>
    <n v="692.06144448113525"/>
    <n v="305.16439419050681"/>
    <n v="781.86926461767462"/>
    <n v="1683.9383799639343"/>
    <n v="1.5202501503043322E-3"/>
    <n v="4477.7806980528258"/>
    <n v="260.73721279183849"/>
    <n v="605.85971774349946"/>
    <n v="260.47921842023283"/>
    <n v="889.35414737543408"/>
    <n v="1818.8250987452493"/>
    <n v="33.460020890835864"/>
    <n v="4712.4300948474238"/>
    <n v="818.90159671962101"/>
    <n v="927.50919366992355"/>
    <n v="305.85558861538459"/>
    <n v="1933.836664979757"/>
    <n v="2564.7302317013236"/>
    <n v="53.6302514614692"/>
    <n v="5562.7734410987441"/>
    <n v="0"/>
    <n v="0"/>
    <n v="0"/>
    <n v="0"/>
    <n v="0"/>
    <n v="0"/>
    <n v="0"/>
    <n v="8666.9430909610692"/>
    <n v="85.797580146554537"/>
    <n v="9.9997356808430027E-3"/>
    <n v="36.72359955842191"/>
    <x v="1"/>
  </r>
  <r>
    <n v="139"/>
    <x v="3"/>
    <x v="0"/>
    <n v="3"/>
    <s v="LIGHT"/>
    <s v="SWEET"/>
    <n v="3183.1099711418956"/>
    <n v="873.5420138934935"/>
    <n v="2397.4657885687948"/>
    <n v="1700.6793855468002"/>
    <n v="227.03245314490249"/>
    <n v="42.104798242288538"/>
    <n v="0"/>
    <n v="0"/>
    <n v="0"/>
    <n v="101.2831980294727"/>
    <n v="0"/>
    <n v="0"/>
    <n v="0"/>
    <n v="12.728894991386792"/>
    <n v="0"/>
    <n v="0"/>
    <n v="0"/>
    <n v="8537.9465035590347"/>
    <n v="8581.1455108145146"/>
    <n v="0.37281915151553352"/>
    <n v="0.28080121930600216"/>
    <n v="0.10231289380055947"/>
    <n v="36.614652924665549"/>
    <n v="1.0500146884775321"/>
    <n v="9.119675892082677"/>
    <n v="9.1296760388028702"/>
    <n v="818.9013510241092"/>
    <n v="927.5088968347618"/>
    <n v="305.85522143619306"/>
    <n v="1744.3924081867713"/>
    <n v="2037.140916158407"/>
    <n v="53.629860155475498"/>
    <n v="2607.9061610677609"/>
    <n v="260.73721279183849"/>
    <n v="605.85971774349946"/>
    <n v="260.47921842023283"/>
    <n v="889.35414737543408"/>
    <n v="1818.8250987452493"/>
    <n v="33.460020890835864"/>
    <n v="4712.4300948474238"/>
    <n v="818.90159671962101"/>
    <n v="927.50919366992355"/>
    <n v="305.85558861538459"/>
    <n v="1933.836664979757"/>
    <n v="2564.7302317013236"/>
    <n v="53.6302514614692"/>
    <n v="5562.7734410987441"/>
    <n v="0"/>
    <n v="0"/>
    <n v="0"/>
    <n v="0"/>
    <n v="0"/>
    <n v="0"/>
    <n v="0"/>
    <n v="8495.3348148634796"/>
    <n v="85.810695951035086"/>
    <n v="1.0000146720193115E-2"/>
    <n v="35.897182061403321"/>
    <x v="2"/>
  </r>
  <r>
    <n v="140"/>
    <x v="3"/>
    <x v="0"/>
    <n v="3"/>
    <s v="LIGHT"/>
    <s v="SOUR"/>
    <n v="3183.1099711418956"/>
    <n v="873.5420138934935"/>
    <n v="2397.4657885687948"/>
    <n v="1700.6793855468002"/>
    <n v="227.03245314490249"/>
    <n v="42.104798242288538"/>
    <n v="0"/>
    <n v="0"/>
    <n v="0"/>
    <n v="101.2831980294727"/>
    <n v="0"/>
    <n v="0"/>
    <n v="0"/>
    <n v="12.728894991386792"/>
    <n v="0"/>
    <n v="0"/>
    <n v="0"/>
    <n v="8537.9465035590347"/>
    <n v="8581.1455108145146"/>
    <n v="0.37281915151553352"/>
    <n v="0.28080121930600216"/>
    <n v="0.10231289380055947"/>
    <n v="36.614652924665549"/>
    <n v="1.975455919496689"/>
    <n v="9.119675892082677"/>
    <n v="9.1296760388028702"/>
    <n v="818.9013510241092"/>
    <n v="927.5088968347618"/>
    <n v="305.85522143619306"/>
    <n v="1744.3924081867713"/>
    <n v="2037.140916158407"/>
    <n v="53.629860155475498"/>
    <n v="2607.9061610677609"/>
    <n v="260.73721279183849"/>
    <n v="605.85971774349946"/>
    <n v="260.47921842023283"/>
    <n v="889.35414737543408"/>
    <n v="1818.8250987452493"/>
    <n v="33.460020890835864"/>
    <n v="4712.4300948474238"/>
    <n v="818.90159671962101"/>
    <n v="927.50919366992355"/>
    <n v="305.85558861538459"/>
    <n v="1933.836664979757"/>
    <n v="2564.7302317013236"/>
    <n v="53.6302514614692"/>
    <n v="5562.7734410987441"/>
    <n v="0"/>
    <n v="0"/>
    <n v="0"/>
    <n v="0"/>
    <n v="0"/>
    <n v="0"/>
    <n v="0"/>
    <n v="8495.3348148634796"/>
    <n v="85.810695951035086"/>
    <n v="1.0000146720193115E-2"/>
    <n v="35.81686004853541"/>
    <x v="3"/>
  </r>
  <r>
    <n v="141"/>
    <x v="3"/>
    <x v="1"/>
    <n v="3"/>
    <s v="HEAVY"/>
    <s v="SWEET"/>
    <n v="3001.470395855767"/>
    <n v="1077.1561660460204"/>
    <n v="2542.3070187512535"/>
    <n v="1803.4247492233335"/>
    <n v="269.32588574164436"/>
    <n v="49.948418930838677"/>
    <n v="0"/>
    <n v="0"/>
    <n v="0"/>
    <n v="124.2815058048555"/>
    <n v="0"/>
    <n v="0"/>
    <n v="0"/>
    <n v="12.969949555427933"/>
    <n v="0"/>
    <n v="0"/>
    <n v="0"/>
    <n v="8880.8840899091429"/>
    <n v="8925.8182407702589"/>
    <n v="0.3379697747959769"/>
    <n v="0.28626733476230554"/>
    <n v="0.12128929452754972"/>
    <n v="28.267512206646213"/>
    <n v="1.0693086579627853"/>
    <n v="9.647562657439277"/>
    <n v="9.6575624010437533"/>
    <n v="684.90764536492156"/>
    <n v="709.02078852593843"/>
    <n v="315.44720364417634"/>
    <n v="832.89746652572751"/>
    <n v="1775.4925923068965"/>
    <n v="3.6931062777274787E-2"/>
    <n v="4697.2649911185863"/>
    <n v="271.21005780078934"/>
    <n v="630.19485139455992"/>
    <n v="270.94170075391349"/>
    <n v="925.07619887625503"/>
    <n v="1891.8805447001621"/>
    <n v="34.803985601641237"/>
    <n v="4901.7109016429367"/>
    <n v="1341.688193439242"/>
    <n v="1166.9533873398473"/>
    <n v="315.88917723076923"/>
    <n v="2857.6483299595143"/>
    <n v="3063.8504634026467"/>
    <n v="69.2605029229384"/>
    <n v="5773.7168821974883"/>
    <n v="0"/>
    <n v="0"/>
    <n v="0"/>
    <n v="0"/>
    <n v="0"/>
    <n v="0"/>
    <n v="0"/>
    <n v="9015.0676185490247"/>
    <n v="89.249377778765847"/>
    <n v="9.9997436044763077E-3"/>
    <n v="36.117112431818043"/>
    <x v="0"/>
  </r>
  <r>
    <n v="142"/>
    <x v="3"/>
    <x v="1"/>
    <n v="3"/>
    <s v="HEAVY"/>
    <s v="SOUR"/>
    <n v="3001.470395855767"/>
    <n v="1077.1561660460204"/>
    <n v="2542.3070187512535"/>
    <n v="1803.4247492233335"/>
    <n v="269.32588574164436"/>
    <n v="49.948418930838677"/>
    <n v="0"/>
    <n v="0"/>
    <n v="0"/>
    <n v="124.2815058048555"/>
    <n v="0"/>
    <n v="0"/>
    <n v="0"/>
    <n v="12.969949555427933"/>
    <n v="0"/>
    <n v="0"/>
    <n v="0"/>
    <n v="8880.8840899091429"/>
    <n v="8925.8182407702589"/>
    <n v="0.3379697747959769"/>
    <n v="0.28626733476230554"/>
    <n v="0.12128929452754972"/>
    <n v="28.267512206646213"/>
    <n v="2.673413137685352"/>
    <n v="9.647562657439277"/>
    <n v="9.6575624010437533"/>
    <n v="684.90764536492156"/>
    <n v="709.02078852593843"/>
    <n v="315.44720364417634"/>
    <n v="832.89746652572751"/>
    <n v="1775.4925923068965"/>
    <n v="3.6931062777274787E-2"/>
    <n v="4697.2649911185863"/>
    <n v="271.21005780078934"/>
    <n v="630.19485139455992"/>
    <n v="270.94170075391349"/>
    <n v="925.07619887625503"/>
    <n v="1891.8805447001621"/>
    <n v="34.803985601641237"/>
    <n v="4901.7109016429367"/>
    <n v="1341.688193439242"/>
    <n v="1166.9533873398473"/>
    <n v="315.88917723076923"/>
    <n v="2857.6483299595143"/>
    <n v="3063.8504634026467"/>
    <n v="69.2605029229384"/>
    <n v="5773.7168821974883"/>
    <n v="0"/>
    <n v="0"/>
    <n v="0"/>
    <n v="0"/>
    <n v="0"/>
    <n v="0"/>
    <n v="0"/>
    <n v="9015.0676185490247"/>
    <n v="89.249377778765847"/>
    <n v="9.9997436044763077E-3"/>
    <n v="37.882941174445833"/>
    <x v="1"/>
  </r>
  <r>
    <n v="143"/>
    <x v="3"/>
    <x v="1"/>
    <n v="3"/>
    <s v="LIGHT"/>
    <s v="SWEET"/>
    <n v="3001.470395855767"/>
    <n v="1077.1561660460204"/>
    <n v="2542.3070187512535"/>
    <n v="1803.4247492233335"/>
    <n v="269.32588574164436"/>
    <n v="49.948418930838677"/>
    <n v="0"/>
    <n v="0"/>
    <n v="0"/>
    <n v="124.2815058048555"/>
    <n v="0"/>
    <n v="0"/>
    <n v="0"/>
    <n v="12.969949555427933"/>
    <n v="0"/>
    <n v="0"/>
    <n v="0"/>
    <n v="8880.8840899091429"/>
    <n v="8925.8182407702589"/>
    <n v="0.3379697747959769"/>
    <n v="0.28626733476230554"/>
    <n v="0.12128929452754972"/>
    <n v="37.317276792879753"/>
    <n v="1.0693086579627853"/>
    <n v="8.9844588557142089"/>
    <n v="8.994458853245801"/>
    <n v="1341.6855515100883"/>
    <n v="959.2028748244943"/>
    <n v="315.8823737558148"/>
    <n v="641.67960137582475"/>
    <n v="1521.8089264352661"/>
    <n v="7.9701702835490662E-2"/>
    <n v="4216.2366450240352"/>
    <n v="271.21005780078934"/>
    <n v="630.19485139455992"/>
    <n v="270.94170075391349"/>
    <n v="925.07619887625503"/>
    <n v="1891.8805447001621"/>
    <n v="34.803985601641237"/>
    <n v="4901.7109016429367"/>
    <n v="1341.688193439242"/>
    <n v="1166.9533873398473"/>
    <n v="315.88917723076923"/>
    <n v="2857.6483299595143"/>
    <n v="3063.8504634026467"/>
    <n v="69.2605029229384"/>
    <n v="5773.7168821974883"/>
    <n v="0"/>
    <n v="0"/>
    <n v="0"/>
    <n v="0"/>
    <n v="0"/>
    <n v="0"/>
    <n v="0"/>
    <n v="8996.5756746283587"/>
    <n v="70.75743385809983"/>
    <n v="9.9999975315920864E-3"/>
    <n v="35.900060223201145"/>
    <x v="2"/>
  </r>
  <r>
    <n v="144"/>
    <x v="3"/>
    <x v="1"/>
    <n v="3"/>
    <s v="LIGHT"/>
    <s v="SOUR"/>
    <n v="3001.470395855767"/>
    <n v="1077.1561660460204"/>
    <n v="2542.3070187512535"/>
    <n v="1803.4247492233335"/>
    <n v="269.32588574164436"/>
    <n v="49.948418930838677"/>
    <n v="0"/>
    <n v="0"/>
    <n v="0"/>
    <n v="124.2815058048555"/>
    <n v="0"/>
    <n v="0"/>
    <n v="0"/>
    <n v="12.969949555427933"/>
    <n v="0"/>
    <n v="0"/>
    <n v="0"/>
    <n v="8880.8840899091429"/>
    <n v="8925.8182407702589"/>
    <n v="0.3379697747959769"/>
    <n v="0.28626733476230554"/>
    <n v="0.12128929452754972"/>
    <n v="37.317276792879753"/>
    <n v="2.673413137685352"/>
    <n v="8.9844588557142089"/>
    <n v="8.994458853245801"/>
    <n v="1341.6855515100883"/>
    <n v="959.2028748244943"/>
    <n v="315.8823737558148"/>
    <n v="641.67960137582475"/>
    <n v="1521.8089264352661"/>
    <n v="7.9701702835490662E-2"/>
    <n v="4216.2366450240352"/>
    <n v="271.21005780078934"/>
    <n v="630.19485139455992"/>
    <n v="270.94170075391349"/>
    <n v="925.07619887625503"/>
    <n v="1891.8805447001621"/>
    <n v="34.803985601641237"/>
    <n v="4901.7109016429367"/>
    <n v="1341.688193439242"/>
    <n v="1166.9533873398473"/>
    <n v="315.88917723076923"/>
    <n v="2857.6483299595143"/>
    <n v="3063.8504634026467"/>
    <n v="69.2605029229384"/>
    <n v="5773.7168821974883"/>
    <n v="0"/>
    <n v="0"/>
    <n v="0"/>
    <n v="0"/>
    <n v="0"/>
    <n v="0"/>
    <n v="0"/>
    <n v="8996.5756746283587"/>
    <n v="70.75743385809983"/>
    <n v="9.9999975315920864E-3"/>
    <n v="35.877881660171951"/>
    <x v="3"/>
  </r>
  <r>
    <n v="145"/>
    <x v="3"/>
    <x v="0"/>
    <n v="4"/>
    <s v="HEAVY"/>
    <s v="SWEET"/>
    <n v="335.76119925999257"/>
    <n v="25.722246412711044"/>
    <n v="170.00639635193204"/>
    <n v="41.069540670068839"/>
    <n v="4.5959626645722889"/>
    <n v="2.1462026217592438"/>
    <n v="0"/>
    <n v="0"/>
    <n v="0"/>
    <n v="153.51055198997955"/>
    <n v="0"/>
    <n v="0"/>
    <n v="0"/>
    <n v="0"/>
    <n v="0"/>
    <n v="0"/>
    <n v="0"/>
    <n v="732.81209997101564"/>
    <n v="665.63345708752206"/>
    <n v="0.45818184398602679"/>
    <n v="0.23199179756810262"/>
    <n v="3.5100739212314339E-2"/>
    <n v="29.333484298143549"/>
    <n v="1.1317892699899461"/>
    <n v="6.9067266987998188"/>
    <n v="8.1626953428551605"/>
    <n v="41.24720907441354"/>
    <n v="311.65678471723726"/>
    <n v="0"/>
    <n v="138.96474358951389"/>
    <n v="167.10736510010722"/>
    <n v="0"/>
    <n v="6.6674307805092085E-11"/>
    <n v="14.50613025001701"/>
    <n v="224.8620391420672"/>
    <n v="0"/>
    <n v="70.590340834477672"/>
    <n v="214.40186945792826"/>
    <n v="0"/>
    <n v="141.27307740303189"/>
    <n v="41.247209074424283"/>
    <n v="311.65678471726699"/>
    <n v="0"/>
    <n v="138.96474358974359"/>
    <n v="273.7118603838083"/>
    <n v="0"/>
    <n v="150.98025463940334"/>
    <n v="0"/>
    <n v="0"/>
    <n v="0"/>
    <n v="0"/>
    <n v="0"/>
    <n v="0"/>
    <n v="0"/>
    <n v="658.97610248133856"/>
    <n v="6.6573546061835032"/>
    <n v="1.2559686440553417"/>
    <n v="35.032625852945657"/>
    <x v="0"/>
  </r>
  <r>
    <n v="146"/>
    <x v="3"/>
    <x v="0"/>
    <n v="4"/>
    <s v="HEAVY"/>
    <s v="SOUR"/>
    <n v="335.76119925999257"/>
    <n v="25.722246412711044"/>
    <n v="170.00639635193204"/>
    <n v="41.069540670068839"/>
    <n v="4.5959626645722889"/>
    <n v="2.1462026217592438"/>
    <n v="0"/>
    <n v="0"/>
    <n v="0"/>
    <n v="153.51055198997955"/>
    <n v="0"/>
    <n v="0"/>
    <n v="0"/>
    <n v="0"/>
    <n v="0"/>
    <n v="0"/>
    <n v="0"/>
    <n v="732.81209997101564"/>
    <n v="665.63345708752206"/>
    <n v="0.45818184398602679"/>
    <n v="0.23199179756810262"/>
    <n v="3.5100739212314339E-2"/>
    <n v="29.333484298143549"/>
    <n v="2.5473042893453721"/>
    <n v="6.9067266987998188"/>
    <n v="8.1626953428551605"/>
    <n v="41.24720907441354"/>
    <n v="311.65678471723726"/>
    <n v="0"/>
    <n v="138.96474358951389"/>
    <n v="167.10736510010722"/>
    <n v="0"/>
    <n v="6.6674307805092085E-11"/>
    <n v="14.50613025001701"/>
    <n v="224.8620391420672"/>
    <n v="0"/>
    <n v="70.590340834477672"/>
    <n v="214.40186945792826"/>
    <n v="0"/>
    <n v="141.27307740303189"/>
    <n v="41.247209074424283"/>
    <n v="311.65678471726699"/>
    <n v="0"/>
    <n v="138.96474358974359"/>
    <n v="273.7118603838083"/>
    <n v="0"/>
    <n v="150.98025463940334"/>
    <n v="0"/>
    <n v="0"/>
    <n v="0"/>
    <n v="0"/>
    <n v="0"/>
    <n v="0"/>
    <n v="0"/>
    <n v="658.97610248133856"/>
    <n v="6.6573546061835032"/>
    <n v="1.2559686440553417"/>
    <n v="34.939946761822412"/>
    <x v="1"/>
  </r>
  <r>
    <n v="147"/>
    <x v="3"/>
    <x v="0"/>
    <n v="4"/>
    <s v="LIGHT"/>
    <s v="SWEET"/>
    <n v="335.76119925999257"/>
    <n v="25.722246412711044"/>
    <n v="170.00639635193204"/>
    <n v="41.069540670068839"/>
    <n v="4.5959626645722889"/>
    <n v="2.1462026217592438"/>
    <n v="0"/>
    <n v="0"/>
    <n v="0"/>
    <n v="153.51055198997955"/>
    <n v="0"/>
    <n v="0"/>
    <n v="0"/>
    <n v="0"/>
    <n v="0"/>
    <n v="0"/>
    <n v="0"/>
    <n v="732.81209997101564"/>
    <n v="665.63345708752206"/>
    <n v="0.45818184398602679"/>
    <n v="0.23199179756810262"/>
    <n v="3.5100739212314339E-2"/>
    <n v="34.027824378954648"/>
    <n v="1.1317892699899461"/>
    <n v="6.7458611988928894"/>
    <n v="8.1626925824170655"/>
    <n v="41.247209074411444"/>
    <n v="311.65678471723089"/>
    <n v="0"/>
    <n v="138.96474358945034"/>
    <n v="167.10634895767373"/>
    <n v="0"/>
    <n v="7.9348345412476647E-11"/>
    <n v="14.50613025001701"/>
    <n v="224.8620391420672"/>
    <n v="0"/>
    <n v="70.590340834477672"/>
    <n v="214.40186945792826"/>
    <n v="0"/>
    <n v="141.27307740303189"/>
    <n v="41.247209074424283"/>
    <n v="311.65678471726699"/>
    <n v="0"/>
    <n v="138.96474358974359"/>
    <n v="273.7118603838083"/>
    <n v="0"/>
    <n v="150.98025463940334"/>
    <n v="0"/>
    <n v="0"/>
    <n v="0"/>
    <n v="0"/>
    <n v="0"/>
    <n v="0"/>
    <n v="0"/>
    <n v="658.97508633884581"/>
    <n v="6.6583707486762478"/>
    <n v="1.4168313835241761"/>
    <n v="37.647349619835126"/>
    <x v="2"/>
  </r>
  <r>
    <n v="148"/>
    <x v="3"/>
    <x v="0"/>
    <n v="4"/>
    <s v="LIGHT"/>
    <s v="SOUR"/>
    <n v="335.76119925999257"/>
    <n v="25.722246412711044"/>
    <n v="170.00639635193204"/>
    <n v="41.069540670068839"/>
    <n v="4.5959626645722889"/>
    <n v="2.1462026217592438"/>
    <n v="0"/>
    <n v="0"/>
    <n v="0"/>
    <n v="153.51055198997955"/>
    <n v="0"/>
    <n v="0"/>
    <n v="0"/>
    <n v="0"/>
    <n v="0"/>
    <n v="0"/>
    <n v="0"/>
    <n v="732.81209997101564"/>
    <n v="665.63345708752206"/>
    <n v="0.45818184398602679"/>
    <n v="0.23199179756810262"/>
    <n v="3.5100739212314339E-2"/>
    <n v="34.027824378954648"/>
    <n v="2.5473042893453721"/>
    <n v="6.7458611988928894"/>
    <n v="8.1626925824170655"/>
    <n v="41.247209074411444"/>
    <n v="311.65678471723089"/>
    <n v="0"/>
    <n v="138.96474358945034"/>
    <n v="167.10634895767373"/>
    <n v="0"/>
    <n v="7.9348345412476647E-11"/>
    <n v="14.50613025001701"/>
    <n v="224.8620391420672"/>
    <n v="0"/>
    <n v="70.590340834477672"/>
    <n v="214.40186945792826"/>
    <n v="0"/>
    <n v="141.27307740303189"/>
    <n v="41.247209074424283"/>
    <n v="311.65678471726699"/>
    <n v="0"/>
    <n v="138.96474358974359"/>
    <n v="273.7118603838083"/>
    <n v="0"/>
    <n v="150.98025463940334"/>
    <n v="0"/>
    <n v="0"/>
    <n v="0"/>
    <n v="0"/>
    <n v="0"/>
    <n v="0"/>
    <n v="0"/>
    <n v="658.97508633884581"/>
    <n v="6.6583707486762478"/>
    <n v="1.4168313835241761"/>
    <n v="33.633227822042421"/>
    <x v="3"/>
  </r>
  <r>
    <n v="149"/>
    <x v="3"/>
    <x v="1"/>
    <n v="4"/>
    <s v="HEAVY"/>
    <s v="SWEET"/>
    <n v="316.52366436777658"/>
    <n v="31.714904585976345"/>
    <n v="179.05965176001402"/>
    <n v="43.256593917224599"/>
    <n v="5.489384803663925"/>
    <n v="2.5634089998782152"/>
    <n v="0"/>
    <n v="0"/>
    <n v="0"/>
    <n v="187.83978707366825"/>
    <n v="0"/>
    <n v="0"/>
    <n v="0"/>
    <n v="0"/>
    <n v="0"/>
    <n v="0"/>
    <n v="0"/>
    <n v="766.44739550820191"/>
    <n v="696.18532440721197"/>
    <n v="0.41297506681186108"/>
    <n v="0.23362288502694489"/>
    <n v="4.1379101516741935E-2"/>
    <n v="26.924463078862729"/>
    <n v="1.1684886308416846"/>
    <n v="6.6568186783345498"/>
    <n v="7.6193444547340272"/>
    <n v="67.579418148792087"/>
    <n v="392.11356943438057"/>
    <n v="0"/>
    <n v="205.34948717824963"/>
    <n v="24.173461141935817"/>
    <n v="0"/>
    <n v="3.4010786799325068E-10"/>
    <n v="15.171946191210582"/>
    <n v="235.18296744270106"/>
    <n v="0"/>
    <n v="73.830362357228566"/>
    <n v="224.24268710167058"/>
    <n v="0"/>
    <n v="147.75736131440115"/>
    <n v="67.579418148848575"/>
    <n v="392.11356943453399"/>
    <n v="0"/>
    <n v="205.34948717948717"/>
    <n v="326.97872076761655"/>
    <n v="0"/>
    <n v="156.70550927880672"/>
    <n v="0"/>
    <n v="0"/>
    <n v="0"/>
    <n v="0"/>
    <n v="0"/>
    <n v="0"/>
    <n v="0"/>
    <n v="689.21593590369832"/>
    <n v="6.9693885035136418"/>
    <n v="0.96252577639947745"/>
    <n v="33.955576723226933"/>
    <x v="0"/>
  </r>
  <r>
    <n v="150"/>
    <x v="3"/>
    <x v="1"/>
    <n v="4"/>
    <s v="HEAVY"/>
    <s v="SOUR"/>
    <n v="316.52366436777658"/>
    <n v="31.714904585976345"/>
    <n v="179.05965176001402"/>
    <n v="43.256593917224599"/>
    <n v="5.489384803663925"/>
    <n v="2.5634089998782152"/>
    <n v="0"/>
    <n v="0"/>
    <n v="0"/>
    <n v="187.83978707366825"/>
    <n v="0"/>
    <n v="0"/>
    <n v="0"/>
    <n v="0"/>
    <n v="0"/>
    <n v="0"/>
    <n v="0"/>
    <n v="766.44739550820191"/>
    <n v="696.18532440721197"/>
    <n v="0.41297506681186108"/>
    <n v="0.23362288502694489"/>
    <n v="4.1379101516741935E-2"/>
    <n v="26.924463078862729"/>
    <n v="3.7883857319296892"/>
    <n v="6.6568186783345498"/>
    <n v="7.6193444547340272"/>
    <n v="67.579418148792087"/>
    <n v="392.11356943438057"/>
    <n v="0"/>
    <n v="205.34948717824963"/>
    <n v="24.173461141935817"/>
    <n v="0"/>
    <n v="3.4010786799325068E-10"/>
    <n v="15.171946191210582"/>
    <n v="235.18296744270106"/>
    <n v="0"/>
    <n v="73.830362357228566"/>
    <n v="224.24268710167058"/>
    <n v="0"/>
    <n v="147.75736131440115"/>
    <n v="67.579418148848575"/>
    <n v="392.11356943453399"/>
    <n v="0"/>
    <n v="205.34948717948717"/>
    <n v="326.97872076761655"/>
    <n v="0"/>
    <n v="156.70550927880672"/>
    <n v="0"/>
    <n v="0"/>
    <n v="0"/>
    <n v="0"/>
    <n v="0"/>
    <n v="0"/>
    <n v="0"/>
    <n v="689.21593590369832"/>
    <n v="6.9693885035136418"/>
    <n v="0.96252577639947745"/>
    <n v="33.386765084423537"/>
    <x v="1"/>
  </r>
  <r>
    <n v="151"/>
    <x v="3"/>
    <x v="1"/>
    <n v="4"/>
    <s v="LIGHT"/>
    <s v="SWEET"/>
    <n v="316.52366436777658"/>
    <n v="31.714904585976345"/>
    <n v="179.05965176001402"/>
    <n v="43.256593917224599"/>
    <n v="5.489384803663925"/>
    <n v="2.5634089998782152"/>
    <n v="0"/>
    <n v="0"/>
    <n v="0"/>
    <n v="187.83978707366825"/>
    <n v="0"/>
    <n v="0"/>
    <n v="0"/>
    <n v="0"/>
    <n v="0"/>
    <n v="0"/>
    <n v="0"/>
    <n v="766.44739550820191"/>
    <n v="696.18532440721197"/>
    <n v="0.41297506681186108"/>
    <n v="0.23362288502694489"/>
    <n v="4.1379101516741935E-2"/>
    <n v="33.609676323697812"/>
    <n v="1.1684886308416846"/>
    <n v="6.427729998754053"/>
    <n v="7.6187788986663394"/>
    <n v="67.579418148802631"/>
    <n v="392.11356943440921"/>
    <n v="0"/>
    <n v="205.34948717848067"/>
    <n v="24.006461526885428"/>
    <n v="0"/>
    <n v="2.7660921527374504E-10"/>
    <n v="15.171946191210582"/>
    <n v="235.18296744270106"/>
    <n v="0"/>
    <n v="73.830362357228566"/>
    <n v="224.24268710167058"/>
    <n v="0"/>
    <n v="147.75736131440115"/>
    <n v="67.579418148848575"/>
    <n v="392.11356943453399"/>
    <n v="0"/>
    <n v="205.34948717948717"/>
    <n v="326.97872076761655"/>
    <n v="0"/>
    <n v="156.70550927880672"/>
    <n v="0"/>
    <n v="0"/>
    <n v="0"/>
    <n v="0"/>
    <n v="0"/>
    <n v="0"/>
    <n v="0"/>
    <n v="689.04893628885463"/>
    <n v="7.1363881183573312"/>
    <n v="1.1910488999122864"/>
    <n v="35.011029351325469"/>
    <x v="2"/>
  </r>
  <r>
    <n v="152"/>
    <x v="3"/>
    <x v="1"/>
    <n v="4"/>
    <s v="LIGHT"/>
    <s v="SOUR"/>
    <n v="316.52366436777658"/>
    <n v="31.714904585976345"/>
    <n v="179.05965176001402"/>
    <n v="43.256593917224599"/>
    <n v="5.489384803663925"/>
    <n v="2.5634089998782152"/>
    <n v="0"/>
    <n v="0"/>
    <n v="0"/>
    <n v="187.83978707366825"/>
    <n v="0"/>
    <n v="0"/>
    <n v="0"/>
    <n v="0"/>
    <n v="0"/>
    <n v="0"/>
    <n v="0"/>
    <n v="766.44739550820191"/>
    <n v="696.18532440721197"/>
    <n v="0.41297506681186108"/>
    <n v="0.23362288502694489"/>
    <n v="4.1379101516741935E-2"/>
    <n v="33.609676323697812"/>
    <n v="3.7883857319296892"/>
    <n v="6.427729998754053"/>
    <n v="7.6187788986663394"/>
    <n v="67.579418148802631"/>
    <n v="392.11356943440921"/>
    <n v="0"/>
    <n v="205.34948717848067"/>
    <n v="24.006461526885428"/>
    <n v="0"/>
    <n v="2.7660921527374504E-10"/>
    <n v="15.171946191210582"/>
    <n v="235.18296744270106"/>
    <n v="0"/>
    <n v="73.830362357228566"/>
    <n v="224.24268710167058"/>
    <n v="0"/>
    <n v="147.75736131440115"/>
    <n v="67.579418148848575"/>
    <n v="392.11356943453399"/>
    <n v="0"/>
    <n v="205.34948717948717"/>
    <n v="326.97872076761655"/>
    <n v="0"/>
    <n v="156.70550927880672"/>
    <n v="0"/>
    <n v="0"/>
    <n v="0"/>
    <n v="0"/>
    <n v="0"/>
    <n v="0"/>
    <n v="0"/>
    <n v="689.04893628885463"/>
    <n v="7.1363881183573312"/>
    <n v="1.1910488999122864"/>
    <n v="32.968822945178751"/>
    <x v="3"/>
  </r>
  <r>
    <n v="153"/>
    <x v="3"/>
    <x v="0"/>
    <n v="5"/>
    <s v="HEAVY"/>
    <s v="SWEET"/>
    <n v="1507.8047452737985"/>
    <n v="327.19561581463148"/>
    <n v="810.70324467831176"/>
    <n v="428.53933155506098"/>
    <n v="353.56901161648807"/>
    <n v="26.363897406863835"/>
    <n v="0"/>
    <n v="0"/>
    <n v="0"/>
    <n v="58.343300938698711"/>
    <n v="0"/>
    <n v="0"/>
    <n v="0"/>
    <n v="25.186204195093957"/>
    <n v="0"/>
    <n v="0"/>
    <n v="0"/>
    <n v="3537.7053514789473"/>
    <n v="2821.6410502664344"/>
    <n v="0.42620981553578413"/>
    <n v="0.2291607593434527"/>
    <n v="9.2488091377606246E-2"/>
    <n v="28.769370330956527"/>
    <n v="1.439026873673878"/>
    <n v="7.7970413786426862"/>
    <n v="8.0961045089719015"/>
    <n v="539.89181304325245"/>
    <n v="301.95121010455534"/>
    <n v="252.01742846889371"/>
    <n v="492.0630904132376"/>
    <n v="278.37419354749989"/>
    <n v="505.88851673747013"/>
    <n v="423.23835525837274"/>
    <n v="191.54273346752899"/>
    <n v="219.77498935447048"/>
    <n v="239.15247167478648"/>
    <n v="252.15255475044154"/>
    <n v="219.97121702353695"/>
    <n v="351.68903988441934"/>
    <n v="1347.3580441112504"/>
    <n v="539.89181304421595"/>
    <n v="301.95121010669465"/>
    <n v="252.01742847049914"/>
    <n v="492.06309041835357"/>
    <n v="278.3741935541737"/>
    <n v="505.88851674641143"/>
    <n v="1427.387315315184"/>
    <n v="0"/>
    <n v="0"/>
    <n v="0"/>
    <n v="0"/>
    <n v="0"/>
    <n v="0"/>
    <n v="0"/>
    <n v="2793.4246075732822"/>
    <n v="28.216442693152203"/>
    <n v="0.29906313032921528"/>
    <n v="35.424214896450522"/>
    <x v="0"/>
  </r>
  <r>
    <n v="154"/>
    <x v="3"/>
    <x v="0"/>
    <n v="5"/>
    <s v="HEAVY"/>
    <s v="SOUR"/>
    <n v="1507.8047452737985"/>
    <n v="327.19561581463148"/>
    <n v="810.70324467831176"/>
    <n v="428.53933155506098"/>
    <n v="353.56901161648807"/>
    <n v="26.363897406863835"/>
    <n v="0"/>
    <n v="0"/>
    <n v="0"/>
    <n v="58.343300938698711"/>
    <n v="0"/>
    <n v="0"/>
    <n v="0"/>
    <n v="25.186204195093957"/>
    <n v="0"/>
    <n v="0"/>
    <n v="0"/>
    <n v="3537.7053514789473"/>
    <n v="2821.6410502664344"/>
    <n v="0.42620981553578413"/>
    <n v="0.2291607593434527"/>
    <n v="9.2488091377606246E-2"/>
    <n v="28.769370330956527"/>
    <n v="1.664030724437416"/>
    <n v="7.7970413786426862"/>
    <n v="8.0961045089719015"/>
    <n v="539.89181304325245"/>
    <n v="301.95121010455534"/>
    <n v="252.01742846889371"/>
    <n v="492.0630904132376"/>
    <n v="278.37419354749989"/>
    <n v="505.88851673747013"/>
    <n v="423.23835525837274"/>
    <n v="191.54273346752899"/>
    <n v="219.77498935447048"/>
    <n v="239.15247167478648"/>
    <n v="252.15255475044154"/>
    <n v="219.97121702353695"/>
    <n v="351.68903988441934"/>
    <n v="1347.3580441112504"/>
    <n v="539.89181304421595"/>
    <n v="301.95121010669465"/>
    <n v="252.01742847049914"/>
    <n v="492.06309041835357"/>
    <n v="278.3741935541737"/>
    <n v="505.88851674641143"/>
    <n v="1427.387315315184"/>
    <n v="0"/>
    <n v="0"/>
    <n v="0"/>
    <n v="0"/>
    <n v="0"/>
    <n v="0"/>
    <n v="0"/>
    <n v="2793.4246075732822"/>
    <n v="28.216442693152203"/>
    <n v="0.29906313032921528"/>
    <n v="36.132944550757131"/>
    <x v="1"/>
  </r>
  <r>
    <n v="155"/>
    <x v="3"/>
    <x v="0"/>
    <n v="5"/>
    <s v="LIGHT"/>
    <s v="SWEET"/>
    <n v="1507.8047452737985"/>
    <n v="327.19561581463148"/>
    <n v="810.70324467831176"/>
    <n v="428.53933155506098"/>
    <n v="353.56901161648807"/>
    <n v="26.363897406863835"/>
    <n v="0"/>
    <n v="0"/>
    <n v="0"/>
    <n v="58.343300938698711"/>
    <n v="0"/>
    <n v="0"/>
    <n v="0"/>
    <n v="25.186204195093957"/>
    <n v="0"/>
    <n v="0"/>
    <n v="0"/>
    <n v="3537.7053514789473"/>
    <n v="2821.6410502664344"/>
    <n v="0.42620981553578413"/>
    <n v="0.2291607593434527"/>
    <n v="9.2488091377606246E-2"/>
    <n v="31.950804958677317"/>
    <n v="1.439026873673878"/>
    <n v="8.4586897354293651"/>
    <n v="8.4686897368091589"/>
    <n v="539.78000386455187"/>
    <n v="297.22237936162469"/>
    <n v="251.5647209315598"/>
    <n v="186.04872400515933"/>
    <n v="133.57820025577783"/>
    <n v="248.2667695656265"/>
    <n v="1186.7691858585601"/>
    <n v="191.54273346752899"/>
    <n v="219.77498935447048"/>
    <n v="239.15247167478648"/>
    <n v="252.15255475044154"/>
    <n v="219.97121702353695"/>
    <n v="351.68903988441934"/>
    <n v="1347.3580441112504"/>
    <n v="539.89181304421595"/>
    <n v="301.95121010669465"/>
    <n v="252.01742847049914"/>
    <n v="492.06309041835357"/>
    <n v="278.3741935541737"/>
    <n v="505.88851674641143"/>
    <n v="1427.387315315184"/>
    <n v="0"/>
    <n v="0"/>
    <n v="0"/>
    <n v="0"/>
    <n v="0"/>
    <n v="0"/>
    <n v="0"/>
    <n v="2843.2299838428598"/>
    <n v="21.588933576425461"/>
    <n v="1.0000001379793844E-2"/>
    <n v="35.151415366950907"/>
    <x v="2"/>
  </r>
  <r>
    <n v="156"/>
    <x v="3"/>
    <x v="0"/>
    <n v="5"/>
    <s v="LIGHT"/>
    <s v="SOUR"/>
    <n v="1507.8047452737985"/>
    <n v="327.19561581463148"/>
    <n v="810.70324467831176"/>
    <n v="428.53933155506098"/>
    <n v="353.56901161648807"/>
    <n v="26.363897406863835"/>
    <n v="0"/>
    <n v="0"/>
    <n v="0"/>
    <n v="58.343300938698711"/>
    <n v="0"/>
    <n v="0"/>
    <n v="0"/>
    <n v="25.186204195093957"/>
    <n v="0"/>
    <n v="0"/>
    <n v="0"/>
    <n v="3537.7053514789473"/>
    <n v="2821.6410502664344"/>
    <n v="0.42620981553578413"/>
    <n v="0.2291607593434527"/>
    <n v="9.2488091377606246E-2"/>
    <n v="31.950804958677317"/>
    <n v="1.664030724437416"/>
    <n v="8.4586897354293651"/>
    <n v="8.4686897368091589"/>
    <n v="539.78000386455187"/>
    <n v="297.22237936162469"/>
    <n v="251.5647209315598"/>
    <n v="186.04872400515933"/>
    <n v="133.57820025577783"/>
    <n v="248.2667695656265"/>
    <n v="1186.7691858585601"/>
    <n v="191.54273346752899"/>
    <n v="219.77498935447048"/>
    <n v="239.15247167478648"/>
    <n v="252.15255475044154"/>
    <n v="219.97121702353695"/>
    <n v="351.68903988441934"/>
    <n v="1347.3580441112504"/>
    <n v="539.89181304421595"/>
    <n v="301.95121010669465"/>
    <n v="252.01742847049914"/>
    <n v="492.06309041835357"/>
    <n v="278.3741935541737"/>
    <n v="505.88851674641143"/>
    <n v="1427.387315315184"/>
    <n v="0"/>
    <n v="0"/>
    <n v="0"/>
    <n v="0"/>
    <n v="0"/>
    <n v="0"/>
    <n v="0"/>
    <n v="2843.2299838428598"/>
    <n v="21.588933576425461"/>
    <n v="1.0000001379793844E-2"/>
    <n v="35.617830275898982"/>
    <x v="3"/>
  </r>
  <r>
    <n v="157"/>
    <x v="3"/>
    <x v="1"/>
    <n v="5"/>
    <s v="HEAVY"/>
    <s v="SWEET"/>
    <n v="1412.9393897020007"/>
    <n v="403.48138243067109"/>
    <n v="866.70238170255902"/>
    <n v="458.14058565828554"/>
    <n v="419.50029200983431"/>
    <n v="31.280067815142612"/>
    <n v="0"/>
    <n v="0"/>
    <n v="0"/>
    <n v="71.446358970493918"/>
    <n v="0"/>
    <n v="0"/>
    <n v="0"/>
    <n v="25.663170143529239"/>
    <n v="0"/>
    <n v="0"/>
    <n v="0"/>
    <n v="3689.1536284325161"/>
    <n v="2942.4347944559167"/>
    <n v="0.38299825163484563"/>
    <n v="0.23493258047668025"/>
    <n v="0.10936963408653334"/>
    <n v="29.834929643303958"/>
    <n v="1.5923770961611641"/>
    <n v="8.3064140766335299"/>
    <n v="8.3164140798909028"/>
    <n v="619.5369846082416"/>
    <n v="318.39234409546407"/>
    <n v="260.28138749644381"/>
    <n v="183.62288817831916"/>
    <n v="126.27844786109597"/>
    <n v="243.67257591491133"/>
    <n v="1215.0111384940972"/>
    <n v="199.74262974620208"/>
    <n v="229.18350141195677"/>
    <n v="249.39052888019847"/>
    <n v="262.94714224496823"/>
    <n v="229.38812953821744"/>
    <n v="366.74475929069598"/>
    <n v="1405.0381033436774"/>
    <n v="884.55862608843188"/>
    <n v="379.90242021338935"/>
    <n v="260.28485694099828"/>
    <n v="727.12618083670714"/>
    <n v="332.5483871083473"/>
    <n v="653.32703349282281"/>
    <n v="1481.5146306303682"/>
    <n v="0"/>
    <n v="0"/>
    <n v="0"/>
    <n v="0"/>
    <n v="0"/>
    <n v="0"/>
    <n v="0"/>
    <n v="2966.7957666485727"/>
    <n v="24.360972192655936"/>
    <n v="1.0000003257372825E-2"/>
    <n v="34.773727169052897"/>
    <x v="0"/>
  </r>
  <r>
    <n v="158"/>
    <x v="3"/>
    <x v="1"/>
    <n v="5"/>
    <s v="HEAVY"/>
    <s v="SOUR"/>
    <n v="1412.9393897020007"/>
    <n v="403.48138243067109"/>
    <n v="866.70238170255902"/>
    <n v="458.14058565828554"/>
    <n v="419.50029200983431"/>
    <n v="31.280067815142612"/>
    <n v="0"/>
    <n v="0"/>
    <n v="0"/>
    <n v="71.446358970493918"/>
    <n v="0"/>
    <n v="0"/>
    <n v="0"/>
    <n v="25.663170143529239"/>
    <n v="0"/>
    <n v="0"/>
    <n v="0"/>
    <n v="3689.1536284325161"/>
    <n v="2942.4347944559167"/>
    <n v="0.38299825163484563"/>
    <n v="0.23493258047668025"/>
    <n v="0.10936963408653334"/>
    <n v="29.834929643303958"/>
    <n v="1.8659991154487672"/>
    <n v="8.3064140766335299"/>
    <n v="8.3164140798909028"/>
    <n v="619.5369846082416"/>
    <n v="318.39234409546407"/>
    <n v="260.28138749644381"/>
    <n v="183.62288817831916"/>
    <n v="126.27844786109597"/>
    <n v="243.67257591491133"/>
    <n v="1215.0111384940972"/>
    <n v="199.74262974620208"/>
    <n v="229.18350141195677"/>
    <n v="249.39052888019847"/>
    <n v="262.94714224496823"/>
    <n v="229.38812953821744"/>
    <n v="366.74475929069598"/>
    <n v="1405.0381033436774"/>
    <n v="884.55862608843188"/>
    <n v="379.90242021338935"/>
    <n v="260.28485694099828"/>
    <n v="727.12618083670714"/>
    <n v="332.5483871083473"/>
    <n v="653.32703349282281"/>
    <n v="1481.5146306303682"/>
    <n v="0"/>
    <n v="0"/>
    <n v="0"/>
    <n v="0"/>
    <n v="0"/>
    <n v="0"/>
    <n v="0"/>
    <n v="2966.7957666485727"/>
    <n v="24.360972192655936"/>
    <n v="1.0000003257372825E-2"/>
    <n v="34.939605340314799"/>
    <x v="1"/>
  </r>
  <r>
    <n v="159"/>
    <x v="3"/>
    <x v="1"/>
    <n v="5"/>
    <s v="LIGHT"/>
    <s v="SWEET"/>
    <n v="1412.9393897020007"/>
    <n v="403.48138243067109"/>
    <n v="866.70238170255902"/>
    <n v="458.14058565828554"/>
    <n v="419.50029200983431"/>
    <n v="31.280067815142612"/>
    <n v="0"/>
    <n v="0"/>
    <n v="0"/>
    <n v="71.446358970493918"/>
    <n v="0"/>
    <n v="0"/>
    <n v="0"/>
    <n v="25.663170143529239"/>
    <n v="0"/>
    <n v="0"/>
    <n v="0"/>
    <n v="3689.1536284325161"/>
    <n v="2942.4347944559167"/>
    <n v="0.38299825163484563"/>
    <n v="0.23493258047668025"/>
    <n v="0.10936963408653334"/>
    <n v="34.263678151264266"/>
    <n v="1.5923770961611641"/>
    <n v="9.2274684171442658"/>
    <n v="9.2374684305265369"/>
    <n v="294.31939397848396"/>
    <n v="251.01254312484252"/>
    <n v="260.24031271882109"/>
    <n v="247.65867525283127"/>
    <n v="208.85074236634455"/>
    <n v="341.82467807266289"/>
    <n v="1365.3844583741363"/>
    <n v="199.74262974620208"/>
    <n v="229.18350141195677"/>
    <n v="249.39052888019847"/>
    <n v="262.94714224496823"/>
    <n v="229.38812953821744"/>
    <n v="366.74475929069598"/>
    <n v="1405.0381033436774"/>
    <n v="884.55862608843188"/>
    <n v="379.90242021338935"/>
    <n v="260.28485694099828"/>
    <n v="727.12618083670714"/>
    <n v="332.5483871083473"/>
    <n v="653.32703349282281"/>
    <n v="1481.5146306303682"/>
    <n v="0"/>
    <n v="0"/>
    <n v="0"/>
    <n v="0"/>
    <n v="0"/>
    <n v="0"/>
    <n v="0"/>
    <n v="2969.2908038881224"/>
    <n v="26.85600943220561"/>
    <n v="1.0000013382271078E-2"/>
    <n v="35.678764757194848"/>
    <x v="2"/>
  </r>
  <r>
    <n v="160"/>
    <x v="3"/>
    <x v="1"/>
    <n v="5"/>
    <s v="LIGHT"/>
    <s v="SOUR"/>
    <n v="1412.9393897020007"/>
    <n v="403.48138243067109"/>
    <n v="866.70238170255902"/>
    <n v="458.14058565828554"/>
    <n v="419.50029200983431"/>
    <n v="31.280067815142612"/>
    <n v="0"/>
    <n v="0"/>
    <n v="0"/>
    <n v="71.446358970493918"/>
    <n v="0"/>
    <n v="0"/>
    <n v="0"/>
    <n v="25.663170143529239"/>
    <n v="0"/>
    <n v="0"/>
    <n v="0"/>
    <n v="3689.1536284325161"/>
    <n v="2942.4347944559167"/>
    <n v="0.38299825163484563"/>
    <n v="0.23493258047668025"/>
    <n v="0.10936963408653334"/>
    <n v="34.263678151264266"/>
    <n v="1.8659991154487672"/>
    <n v="9.2274684171442658"/>
    <n v="9.2374684305265369"/>
    <n v="294.31939397848396"/>
    <n v="251.01254312484252"/>
    <n v="260.24031271882109"/>
    <n v="247.65867525283127"/>
    <n v="208.85074236634455"/>
    <n v="341.82467807266289"/>
    <n v="1365.3844583741363"/>
    <n v="199.74262974620208"/>
    <n v="229.18350141195677"/>
    <n v="249.39052888019847"/>
    <n v="262.94714224496823"/>
    <n v="229.38812953821744"/>
    <n v="366.74475929069598"/>
    <n v="1405.0381033436774"/>
    <n v="884.55862608843188"/>
    <n v="379.90242021338935"/>
    <n v="260.28485694099828"/>
    <n v="727.12618083670714"/>
    <n v="332.5483871083473"/>
    <n v="653.32703349282281"/>
    <n v="1481.5146306303682"/>
    <n v="0"/>
    <n v="0"/>
    <n v="0"/>
    <n v="0"/>
    <n v="0"/>
    <n v="0"/>
    <n v="0"/>
    <n v="2969.2908038881224"/>
    <n v="26.85600943220561"/>
    <n v="1.0000013382271078E-2"/>
    <n v="35.73948685540168"/>
    <x v="3"/>
  </r>
  <r>
    <m/>
    <x v="4"/>
    <x v="2"/>
    <n v="1"/>
    <s v="REF"/>
    <s v="REF"/>
    <n v="35.450000000000003"/>
    <n v="0.84"/>
    <m/>
    <m/>
    <m/>
    <m/>
    <m/>
    <m/>
    <m/>
    <m/>
    <m/>
    <m/>
    <m/>
    <m/>
    <m/>
    <m/>
    <m/>
    <m/>
    <n v="905.00549999999987"/>
    <m/>
    <m/>
    <m/>
    <m/>
    <m/>
    <m/>
    <n v="8.4425412885800153"/>
    <n v="24.299100000000003"/>
    <n v="486.75374999999997"/>
    <n v="0"/>
    <n v="145.23599999999999"/>
    <n v="115.90949999999999"/>
    <n v="0"/>
    <n v="132.80715000000001"/>
    <n v="24.299099999999999"/>
    <n v="486.75374999999997"/>
    <n v="0"/>
    <n v="145.23599999999996"/>
    <n v="115.90949999999997"/>
    <n v="0"/>
    <n v="132.80714999999998"/>
    <n v="149.79386952738412"/>
    <n v="1123.1713294032013"/>
    <n v="0"/>
    <n v="559.06666666666661"/>
    <n v="233.91115364400702"/>
    <n v="0"/>
    <n v="194.9338643873711"/>
    <n v="0"/>
    <n v="0"/>
    <n v="0"/>
    <n v="0"/>
    <n v="0"/>
    <n v="0"/>
    <n v="0"/>
    <n v="905.00549999999987"/>
    <n v="0"/>
    <n v="8.4425412885800153"/>
    <e v="#N/A"/>
    <x v="4"/>
  </r>
  <r>
    <m/>
    <x v="4"/>
    <x v="2"/>
    <n v="2"/>
    <s v="REF"/>
    <s v="REF"/>
    <n v="33.78"/>
    <n v="1.35"/>
    <m/>
    <m/>
    <m/>
    <m/>
    <m/>
    <m/>
    <m/>
    <m/>
    <m/>
    <m/>
    <m/>
    <m/>
    <m/>
    <m/>
    <m/>
    <m/>
    <n v="3749.9498142197799"/>
    <m/>
    <m/>
    <m/>
    <m/>
    <m/>
    <m/>
    <n v="9.8493657583241951"/>
    <n v="23.011184999999998"/>
    <n v="566.88171421978018"/>
    <n v="0"/>
    <n v="477.72270000000003"/>
    <n v="1477.1596649999999"/>
    <n v="0"/>
    <n v="1205.17455"/>
    <n v="23.011184999999994"/>
    <n v="566.88171421978006"/>
    <n v="0"/>
    <n v="477.72269999999997"/>
    <n v="1477.1596649999999"/>
    <n v="0"/>
    <n v="1205.1745499999997"/>
    <n v="113.20628645316671"/>
    <n v="1043.8951024062037"/>
    <n v="0"/>
    <n v="1467.5500000000002"/>
    <n v="2378.9594954929953"/>
    <n v="0"/>
    <n v="1411.7035156571721"/>
    <n v="0"/>
    <n v="0"/>
    <n v="0"/>
    <n v="0"/>
    <n v="0"/>
    <n v="0"/>
    <n v="0"/>
    <n v="3749.9498142197799"/>
    <n v="0"/>
    <n v="9.8493657583241951"/>
    <e v="#N/A"/>
    <x v="4"/>
  </r>
  <r>
    <m/>
    <x v="4"/>
    <x v="2"/>
    <n v="3"/>
    <s v="REF"/>
    <s v="REF"/>
    <n v="33.54"/>
    <n v="1.27"/>
    <m/>
    <m/>
    <m/>
    <m/>
    <m/>
    <m/>
    <m/>
    <m/>
    <m/>
    <m/>
    <m/>
    <m/>
    <m/>
    <m/>
    <m/>
    <m/>
    <n v="8965.8296399999999"/>
    <m/>
    <m/>
    <m/>
    <m/>
    <m/>
    <m/>
    <n v="10.058958106663127"/>
    <n v="272.42580000000004"/>
    <n v="633.01980000000003"/>
    <n v="272.15624000000003"/>
    <n v="929.22300000000007"/>
    <n v="1900.3612000000003"/>
    <n v="34.96"/>
    <n v="4923.6836000000003"/>
    <n v="272.42579999999998"/>
    <n v="633.01980000000003"/>
    <n v="272.15623999999997"/>
    <n v="929.22299999999984"/>
    <n v="1900.3612000000001"/>
    <n v="34.96"/>
    <n v="4923.6835999999994"/>
    <n v="1341.688193439242"/>
    <n v="1166.9533873398473"/>
    <n v="315.88917723076923"/>
    <n v="2857.6483299595143"/>
    <n v="3063.8504634026467"/>
    <n v="69.2605029229384"/>
    <n v="5773.7168821974883"/>
    <n v="0"/>
    <n v="0"/>
    <n v="0"/>
    <n v="0"/>
    <n v="0"/>
    <n v="0"/>
    <n v="0"/>
    <n v="8965.8296399999999"/>
    <n v="0"/>
    <n v="10.058958106663127"/>
    <e v="#N/A"/>
    <x v="4"/>
  </r>
  <r>
    <m/>
    <x v="4"/>
    <x v="2"/>
    <n v="4"/>
    <s v="REF"/>
    <s v="REF"/>
    <n v="33.04"/>
    <n v="1.41"/>
    <m/>
    <m/>
    <m/>
    <m/>
    <m/>
    <m/>
    <m/>
    <m/>
    <m/>
    <m/>
    <m/>
    <m/>
    <m/>
    <m/>
    <m/>
    <m/>
    <n v="628.27460999999994"/>
    <m/>
    <m/>
    <m/>
    <m/>
    <m/>
    <m/>
    <n v="9.1115751621795695"/>
    <n v="13.691969999999998"/>
    <n v="212.24159999999998"/>
    <n v="0"/>
    <n v="66.628439999999998"/>
    <n v="202.36850999999999"/>
    <n v="0"/>
    <n v="133.34408999999999"/>
    <n v="13.691969999999998"/>
    <n v="212.24159999999995"/>
    <n v="0"/>
    <n v="66.628439999999998"/>
    <n v="202.36850999999999"/>
    <n v="0"/>
    <n v="133.34408999999999"/>
    <n v="67.579418148848575"/>
    <n v="392.11356943453399"/>
    <n v="0"/>
    <n v="205.34948717948717"/>
    <n v="326.97872076761655"/>
    <n v="0"/>
    <n v="156.70550927880672"/>
    <n v="0"/>
    <n v="0"/>
    <n v="0"/>
    <n v="0"/>
    <n v="0"/>
    <n v="0"/>
    <n v="0"/>
    <n v="628.27460999999994"/>
    <n v="0"/>
    <n v="9.1115751621795695"/>
    <e v="#N/A"/>
    <x v="4"/>
  </r>
  <r>
    <m/>
    <x v="4"/>
    <x v="2"/>
    <n v="5"/>
    <s v="REF"/>
    <s v="REF"/>
    <n v="28.61"/>
    <n v="1.4"/>
    <m/>
    <m/>
    <m/>
    <m/>
    <m/>
    <m/>
    <m/>
    <m/>
    <m/>
    <m/>
    <m/>
    <m/>
    <m/>
    <m/>
    <m/>
    <m/>
    <n v="2553.7858800000004"/>
    <m/>
    <m/>
    <m/>
    <m/>
    <m/>
    <m/>
    <n v="9.5150135572737913"/>
    <n v="173.35980000000001"/>
    <n v="198.91200000000001"/>
    <n v="216.45"/>
    <n v="228.21600000000001"/>
    <n v="199.08959999999999"/>
    <n v="318.30360000000002"/>
    <n v="1219.45488"/>
    <n v="173.35980000000001"/>
    <n v="198.91200000000003"/>
    <n v="216.45000000000002"/>
    <n v="228.21600000000001"/>
    <n v="199.08959999999999"/>
    <n v="318.30360000000002"/>
    <n v="1219.45488"/>
    <n v="884.55862608843188"/>
    <n v="379.90242021338935"/>
    <n v="260.28485694099828"/>
    <n v="727.12618083670714"/>
    <n v="332.5483871083473"/>
    <n v="653.32703349282281"/>
    <n v="1481.5146306303682"/>
    <n v="0"/>
    <n v="0"/>
    <n v="0"/>
    <n v="0"/>
    <n v="0"/>
    <n v="0"/>
    <n v="0"/>
    <n v="2553.7858800000004"/>
    <n v="0"/>
    <n v="9.5150135572737913"/>
    <e v="#N/A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BD21F8-F1C3-44E6-BBE6-16A3B08F8E87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5:H12" firstHeaderRow="0" firstDataRow="1" firstDataCol="1" rowPageCount="1" colPageCount="1"/>
  <pivotFields count="65">
    <pivotField showAll="0"/>
    <pivotField axis="axisPage" multipleItemSelectionAllowed="1" showAll="0">
      <items count="6">
        <item x="4"/>
        <item h="1" x="0"/>
        <item x="1"/>
        <item h="1" x="2"/>
        <item h="1" x="3"/>
        <item t="default"/>
      </items>
    </pivotField>
    <pivotField axis="axisRow" multipleItemSelectionAllowed="1" showAll="0">
      <items count="4">
        <item h="1" x="2"/>
        <item x="0"/>
        <item x="1"/>
        <item t="default"/>
      </items>
    </pivotField>
    <pivotField showAll="0"/>
    <pivotField multipleItemSelectionAllowed="1" showAll="0"/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multipleItemSelectionAllowed="1" showAll="0">
      <items count="6">
        <item x="1"/>
        <item h="1" x="0"/>
        <item h="1" x="3"/>
        <item x="2"/>
        <item h="1" x="4"/>
        <item t="default"/>
      </items>
    </pivotField>
  </pivotFields>
  <rowFields count="2">
    <field x="64"/>
    <field x="2"/>
  </rowFields>
  <rowItems count="7">
    <i>
      <x/>
    </i>
    <i r="1">
      <x v="1"/>
    </i>
    <i r="1">
      <x v="2"/>
    </i>
    <i>
      <x v="3"/>
    </i>
    <i r="1">
      <x v="1"/>
    </i>
    <i r="1">
      <x v="2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pageFields count="1">
    <pageField fld="1" hier="-1"/>
  </pageFields>
  <dataFields count="7">
    <dataField name="Sum of 0" fld="32" baseField="0" baseItem="0"/>
    <dataField name="Sum of 1" fld="33" baseField="0" baseItem="0"/>
    <dataField name="Sum of 2" fld="34" baseField="0" baseItem="0"/>
    <dataField name="Sum of 3" fld="35" baseField="0" baseItem="0"/>
    <dataField name="Sum of 4" fld="36" baseField="0" baseItem="0"/>
    <dataField name="Sum of 5" fld="37" baseField="0" baseItem="0"/>
    <dataField name="Sum of 6" fld="38" baseField="0" baseItem="0"/>
  </dataFields>
  <chartFormats count="24">
    <chartFormat chart="0" format="35" series="1">
      <pivotArea type="data" outline="0" fieldPosition="0">
        <references count="1">
          <reference field="64" count="1" selected="0">
            <x v="0"/>
          </reference>
        </references>
      </pivotArea>
    </chartFormat>
    <chartFormat chart="0" format="36" series="1">
      <pivotArea type="data" outline="0" fieldPosition="0">
        <references count="1">
          <reference field="64" count="1" selected="0">
            <x v="1"/>
          </reference>
        </references>
      </pivotArea>
    </chartFormat>
    <chartFormat chart="0" format="37" series="1">
      <pivotArea type="data" outline="0" fieldPosition="0">
        <references count="1">
          <reference field="64" count="1" selected="0">
            <x v="2"/>
          </reference>
        </references>
      </pivotArea>
    </chartFormat>
    <chartFormat chart="0" format="38" series="1">
      <pivotArea type="data" outline="0" fieldPosition="0">
        <references count="1">
          <reference field="64" count="1" selected="0">
            <x v="3"/>
          </reference>
        </references>
      </pivotArea>
    </chartFormat>
    <chartFormat chart="0" format="39" series="1">
      <pivotArea type="data" outline="0" fieldPosition="0">
        <references count="1">
          <reference field="64" count="1" selected="0">
            <x v="4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1"/>
          </reference>
          <reference field="64" count="1" selected="0">
            <x v="2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0"/>
          </reference>
          <reference field="64" count="1" selected="0">
            <x v="3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1"/>
          </reference>
          <reference field="64" count="1" selected="0">
            <x v="3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64" count="1" selected="0">
            <x v="4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1"/>
          </reference>
          <reference field="64" count="1" selected="0">
            <x v="4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2"/>
          </reference>
          <reference field="64" count="1" selected="0">
            <x v="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2"/>
          </reference>
          <reference field="64" count="1" selected="0">
            <x v="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3"/>
          </reference>
          <reference field="64" count="1" selected="0">
            <x v="3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3"/>
          </reference>
          <reference field="64" count="1" selected="0">
            <x v="4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4"/>
          </reference>
          <reference field="64" count="1" selected="0">
            <x v="4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5"/>
          </reference>
          <reference field="64" count="1" selected="0">
            <x v="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6"/>
          </reference>
          <reference field="64" count="1" selected="0">
            <x v="4"/>
          </reference>
        </references>
      </pivotArea>
    </chartFormat>
    <chartFormat chart="0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5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5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5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58" series="1">
      <pivotArea type="data" outline="0" fieldPosition="0">
        <references count="1">
          <reference field="4294967294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E4A48D33-8F70-4F15-8E60-322E1AB047E8}" autoFormatId="16" applyNumberFormats="0" applyBorderFormats="0" applyFontFormats="0" applyPatternFormats="0" applyAlignmentFormats="0" applyWidthHeightFormats="0">
  <queryTableRefresh nextId="8">
    <queryTableFields count="7">
      <queryTableField id="1" name="Electrification Scenarios" tableColumnId="1"/>
      <queryTableField id="2" name="Year" tableColumnId="2"/>
      <queryTableField id="3" name="PADD" tableColumnId="3"/>
      <queryTableField id="4" name="API Level" tableColumnId="4"/>
      <queryTableField id="5" name="Sul Level" tableColumnId="5"/>
      <queryTableField id="6" name="Attribute" tableColumnId="6"/>
      <queryTableField id="7" name="Config" tableColumnId="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64B396-1610-4221-83F4-F1214DFA424B}" name="Table1" displayName="Table1" ref="A1:M166" totalsRowShown="0">
  <autoFilter ref="A1:M166" xr:uid="{2464B396-1610-4221-83F4-F1214DFA424B}"/>
  <tableColumns count="13">
    <tableColumn id="1" xr3:uid="{7F96FEE3-1557-41C5-B588-A159708422AE}" name="Index"/>
    <tableColumn id="2" xr3:uid="{DA2E7DAB-4855-45CF-A3AB-898BC707C109}" name="Electrification Scenarios">
      <calculatedColumnFormula>RefCapacityProj!B2</calculatedColumnFormula>
    </tableColumn>
    <tableColumn id="3" xr3:uid="{6F5C3961-A2C8-417A-BA0A-2A1B8B1BC86D}" name="Year">
      <calculatedColumnFormula>RefCapacityProj!C2</calculatedColumnFormula>
    </tableColumn>
    <tableColumn id="4" xr3:uid="{E603C6AE-D520-4A9D-94ED-58AEE7E5D21A}" name="PADD">
      <calculatedColumnFormula>RefCapacityProj!D2</calculatedColumnFormula>
    </tableColumn>
    <tableColumn id="5" xr3:uid="{3622AA54-D5EE-4297-AB66-AF97C905F8A1}" name="API Level">
      <calculatedColumnFormula>RefCapacityProj!E2</calculatedColumnFormula>
    </tableColumn>
    <tableColumn id="6" xr3:uid="{6428ED90-B13B-4196-9025-9CBBBE2F46BD}" name="Sul Level">
      <calculatedColumnFormula>RefCapacityProj!F2</calculatedColumnFormula>
    </tableColumn>
    <tableColumn id="7" xr3:uid="{D6BE79ED-4B7E-4E2E-BBBE-A4D56151C978}" name="0">
      <calculatedColumnFormula>RefCapacityProj!AG2</calculatedColumnFormula>
    </tableColumn>
    <tableColumn id="8" xr3:uid="{8D91D78C-884C-47BF-A815-6B426410D205}" name="1">
      <calculatedColumnFormula>RefCapacityProj!AH2</calculatedColumnFormula>
    </tableColumn>
    <tableColumn id="9" xr3:uid="{DE47AF68-FA39-4BEA-8589-3A79D24865BD}" name="2">
      <calculatedColumnFormula>RefCapacityProj!AI2</calculatedColumnFormula>
    </tableColumn>
    <tableColumn id="10" xr3:uid="{0BAB1518-1B11-4CD5-ACA4-5159941B2038}" name="3">
      <calculatedColumnFormula>RefCapacityProj!AJ2</calculatedColumnFormula>
    </tableColumn>
    <tableColumn id="11" xr3:uid="{106FDCA4-EB2B-418D-B7FE-9E5C321D27DE}" name="4">
      <calculatedColumnFormula>RefCapacityProj!AK2</calculatedColumnFormula>
    </tableColumn>
    <tableColumn id="12" xr3:uid="{839AAA0F-C23F-4F51-8980-0118084B5960}" name="5">
      <calculatedColumnFormula>RefCapacityProj!AL2</calculatedColumnFormula>
    </tableColumn>
    <tableColumn id="13" xr3:uid="{01BDE9E8-AA70-48DC-AE6B-C3DECFF0D2BE}" name="6">
      <calculatedColumnFormula>RefCapacityProj!AM2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29C18F-298E-4999-BCF2-63AEBF050935}" name="Table1_1" displayName="Table1_1" ref="P1:V1156" tableType="queryTable" totalsRowShown="0">
  <tableColumns count="7">
    <tableColumn id="1" xr3:uid="{ED6FC071-4A21-40BC-8CAD-E895F257982B}" uniqueName="1" name="Electrification Scenarios" queryTableFieldId="1" dataDxfId="3"/>
    <tableColumn id="2" xr3:uid="{FFAF2AD3-9002-4C09-91E1-01F3212F4BF9}" uniqueName="2" name="Year" queryTableFieldId="2"/>
    <tableColumn id="3" xr3:uid="{7031F6CC-CB45-4417-BFA5-0E6D0259E226}" uniqueName="3" name="PADD" queryTableFieldId="3"/>
    <tableColumn id="4" xr3:uid="{427B58D0-CC14-44D2-BD59-DEA871A97A4E}" uniqueName="4" name="API Level" queryTableFieldId="4" dataDxfId="2"/>
    <tableColumn id="5" xr3:uid="{0CC0BF63-A113-4B27-97E0-D34E26670BB3}" uniqueName="5" name="Sul Level" queryTableFieldId="5" dataDxfId="1"/>
    <tableColumn id="6" xr3:uid="{5729A3FB-436B-4B3B-9749-C16E58ADC548}" uniqueName="6" name="Attribute" queryTableFieldId="6" dataDxfId="0"/>
    <tableColumn id="7" xr3:uid="{E9A8C067-3020-4CB7-87F8-7F6560B50A82}" uniqueName="7" name="Config" queryTableField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2105C-E586-4156-B142-E39777B2AD0C}">
  <sheetPr codeName="Sheet1"/>
  <dimension ref="A1:B19"/>
  <sheetViews>
    <sheetView workbookViewId="0">
      <selection activeCell="D8" sqref="D8"/>
    </sheetView>
  </sheetViews>
  <sheetFormatPr defaultRowHeight="15" x14ac:dyDescent="0.25"/>
  <sheetData>
    <row r="1" spans="1:2" x14ac:dyDescent="0.25">
      <c r="A1" t="s">
        <v>5</v>
      </c>
      <c r="B1">
        <v>1</v>
      </c>
    </row>
    <row r="2" spans="1:2" x14ac:dyDescent="0.25">
      <c r="A2" t="s">
        <v>6</v>
      </c>
      <c r="B2">
        <v>1.3</v>
      </c>
    </row>
    <row r="3" spans="1:2" x14ac:dyDescent="0.25">
      <c r="A3" t="s">
        <v>7</v>
      </c>
      <c r="B3">
        <v>7.5</v>
      </c>
    </row>
    <row r="4" spans="1:2" x14ac:dyDescent="0.25">
      <c r="A4" t="s">
        <v>8</v>
      </c>
      <c r="B4">
        <v>2.75</v>
      </c>
    </row>
    <row r="5" spans="1:2" x14ac:dyDescent="0.25">
      <c r="A5" t="s">
        <v>9</v>
      </c>
      <c r="B5">
        <v>6</v>
      </c>
    </row>
    <row r="6" spans="1:2" x14ac:dyDescent="0.25">
      <c r="A6" t="s">
        <v>10</v>
      </c>
      <c r="B6">
        <v>5</v>
      </c>
    </row>
    <row r="7" spans="1:2" x14ac:dyDescent="0.25">
      <c r="A7" t="s">
        <v>11</v>
      </c>
      <c r="B7">
        <v>8</v>
      </c>
    </row>
    <row r="8" spans="1:2" x14ac:dyDescent="0.25">
      <c r="A8" t="s">
        <v>12</v>
      </c>
      <c r="B8">
        <v>2.5</v>
      </c>
    </row>
    <row r="9" spans="1:2" x14ac:dyDescent="0.25">
      <c r="A9" t="s">
        <v>13</v>
      </c>
      <c r="B9">
        <v>10</v>
      </c>
    </row>
    <row r="10" spans="1:2" x14ac:dyDescent="0.25">
      <c r="A10" t="s">
        <v>14</v>
      </c>
      <c r="B10">
        <v>10</v>
      </c>
    </row>
    <row r="11" spans="1:2" x14ac:dyDescent="0.25">
      <c r="A11" t="s">
        <v>15</v>
      </c>
      <c r="B11">
        <v>20</v>
      </c>
    </row>
    <row r="12" spans="1:2" x14ac:dyDescent="0.25">
      <c r="A12" t="s">
        <v>16</v>
      </c>
      <c r="B12">
        <v>3</v>
      </c>
    </row>
    <row r="13" spans="1:2" x14ac:dyDescent="0.25">
      <c r="A13" t="s">
        <v>17</v>
      </c>
      <c r="B13">
        <v>60</v>
      </c>
    </row>
    <row r="14" spans="1:2" x14ac:dyDescent="0.25">
      <c r="A14" t="s">
        <v>18</v>
      </c>
      <c r="B14">
        <v>10</v>
      </c>
    </row>
    <row r="15" spans="1:2" x14ac:dyDescent="0.25">
      <c r="A15" t="s">
        <v>19</v>
      </c>
      <c r="B15">
        <v>1</v>
      </c>
    </row>
    <row r="16" spans="1:2" x14ac:dyDescent="0.25">
      <c r="A16" t="s">
        <v>20</v>
      </c>
      <c r="B16">
        <v>1</v>
      </c>
    </row>
    <row r="17" spans="1:2" x14ac:dyDescent="0.25">
      <c r="A17" t="s">
        <v>21</v>
      </c>
      <c r="B17">
        <v>0</v>
      </c>
    </row>
    <row r="18" spans="1:2" x14ac:dyDescent="0.25">
      <c r="A18" t="s">
        <v>22</v>
      </c>
      <c r="B18">
        <v>240</v>
      </c>
    </row>
    <row r="19" spans="1:2" x14ac:dyDescent="0.25">
      <c r="A19" t="s">
        <v>23</v>
      </c>
      <c r="B19">
        <v>1.5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81BD0-FC32-4409-B5FD-76F4E4AAE4E2}">
  <sheetPr codeName="Sheet2"/>
  <dimension ref="A1:AA1899"/>
  <sheetViews>
    <sheetView topLeftCell="D1" workbookViewId="0">
      <selection activeCell="Z13" sqref="Z13"/>
    </sheetView>
  </sheetViews>
  <sheetFormatPr defaultRowHeight="15" x14ac:dyDescent="0.25"/>
  <cols>
    <col min="26" max="26" width="24.140625" bestFit="1" customWidth="1"/>
    <col min="27" max="27" width="35.42578125" bestFit="1" customWidth="1"/>
  </cols>
  <sheetData>
    <row r="1" spans="1:27" x14ac:dyDescent="0.25">
      <c r="A1" t="s">
        <v>0</v>
      </c>
      <c r="B1" t="s">
        <v>1</v>
      </c>
      <c r="C1" t="s">
        <v>428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426</v>
      </c>
      <c r="AA1" t="s">
        <v>427</v>
      </c>
    </row>
    <row r="2" spans="1:27" x14ac:dyDescent="0.25">
      <c r="A2">
        <v>2005</v>
      </c>
      <c r="B2">
        <v>3</v>
      </c>
      <c r="C2">
        <v>4</v>
      </c>
      <c r="D2" t="s">
        <v>24</v>
      </c>
      <c r="E2" t="s">
        <v>25</v>
      </c>
      <c r="F2" t="s">
        <v>26</v>
      </c>
      <c r="G2">
        <v>43225</v>
      </c>
      <c r="H2">
        <v>14250</v>
      </c>
      <c r="I2">
        <v>12600</v>
      </c>
      <c r="J2">
        <v>0</v>
      </c>
      <c r="K2">
        <v>0</v>
      </c>
      <c r="L2">
        <v>6480</v>
      </c>
      <c r="M2">
        <v>0</v>
      </c>
      <c r="N2">
        <v>31500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6.1</v>
      </c>
      <c r="V2">
        <v>7</v>
      </c>
      <c r="W2">
        <v>500</v>
      </c>
      <c r="X2">
        <v>80</v>
      </c>
      <c r="Y2">
        <v>10800</v>
      </c>
      <c r="Z2" cm="1">
        <f t="array" ref="Z2">MMULT($G2:$Y2,'Nelson Factor_2019'!$B$1:$B$19)/$G2-$S2/$G2-$X2/$G2</f>
        <v>7.0036576055523421</v>
      </c>
      <c r="AA2" cm="1">
        <f t="array" ref="AA2">MMULT($G2:$R2,'Nelson Factor_2019'!$B$1:$B$12)/$G2</f>
        <v>6.1862348178137649</v>
      </c>
    </row>
    <row r="3" spans="1:27" x14ac:dyDescent="0.25">
      <c r="A3">
        <v>2005</v>
      </c>
      <c r="B3">
        <v>3</v>
      </c>
      <c r="C3">
        <v>2</v>
      </c>
      <c r="D3" t="s">
        <v>24</v>
      </c>
      <c r="E3" t="s">
        <v>27</v>
      </c>
      <c r="F3" t="s">
        <v>28</v>
      </c>
      <c r="G3">
        <v>85000</v>
      </c>
      <c r="H3">
        <v>28000</v>
      </c>
      <c r="I3">
        <v>0</v>
      </c>
      <c r="J3">
        <v>0</v>
      </c>
      <c r="K3">
        <v>0</v>
      </c>
      <c r="L3">
        <v>22500</v>
      </c>
      <c r="M3">
        <v>30000</v>
      </c>
      <c r="N3">
        <v>43000</v>
      </c>
      <c r="O3">
        <v>0</v>
      </c>
      <c r="P3">
        <v>0</v>
      </c>
      <c r="Q3">
        <v>0</v>
      </c>
      <c r="R3">
        <v>7500</v>
      </c>
      <c r="S3">
        <v>0</v>
      </c>
      <c r="T3">
        <v>0</v>
      </c>
      <c r="U3">
        <v>0</v>
      </c>
      <c r="V3">
        <v>6</v>
      </c>
      <c r="W3">
        <v>0</v>
      </c>
      <c r="X3">
        <v>20</v>
      </c>
      <c r="Y3">
        <v>0</v>
      </c>
      <c r="Z3" cm="1">
        <f t="array" ref="Z3">MMULT($G3:$Y3,'Nelson Factor_2019'!$B$1:$B$19)/$G3</f>
        <v>7.1612470588235295</v>
      </c>
      <c r="AA3" cm="1">
        <f t="array" ref="AA3">MMULT($G3:$R3,'Nelson Factor_2019'!$B$1:$B$12)/$G3</f>
        <v>7.104705882352941</v>
      </c>
    </row>
    <row r="4" spans="1:27" x14ac:dyDescent="0.25">
      <c r="A4">
        <v>2005</v>
      </c>
      <c r="B4">
        <v>3</v>
      </c>
      <c r="C4">
        <v>0</v>
      </c>
      <c r="D4" t="s">
        <v>24</v>
      </c>
      <c r="E4" t="s">
        <v>29</v>
      </c>
      <c r="F4" t="s">
        <v>30</v>
      </c>
      <c r="G4">
        <v>20000</v>
      </c>
      <c r="H4">
        <v>15000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 cm="1">
        <f t="array" ref="Z4">MMULT($G4:$Y4,'Nelson Factor_2019'!$B$1:$B$19)/$G4</f>
        <v>1.9750000000000001</v>
      </c>
      <c r="AA4" cm="1">
        <f t="array" ref="AA4">MMULT($G4:$R4,'Nelson Factor_2019'!$B$1:$B$12)/$G4</f>
        <v>1.9750000000000001</v>
      </c>
    </row>
    <row r="5" spans="1:27" x14ac:dyDescent="0.25">
      <c r="A5">
        <v>2005</v>
      </c>
      <c r="B5">
        <v>5</v>
      </c>
      <c r="C5">
        <v>4</v>
      </c>
      <c r="D5" t="s">
        <v>31</v>
      </c>
      <c r="E5" t="s">
        <v>32</v>
      </c>
      <c r="F5" t="s">
        <v>33</v>
      </c>
      <c r="G5">
        <v>14500</v>
      </c>
      <c r="H5">
        <v>0</v>
      </c>
      <c r="I5">
        <v>14500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 cm="1">
        <f t="array" ref="Z5">MMULT($G5:$Y5,'Nelson Factor_2019'!$B$1:$B$19)/$G5</f>
        <v>8.5</v>
      </c>
      <c r="AA5" cm="1">
        <f t="array" ref="AA5">MMULT($G5:$R5,'Nelson Factor_2019'!$B$1:$B$12)/$G5</f>
        <v>8.5</v>
      </c>
    </row>
    <row r="6" spans="1:27" x14ac:dyDescent="0.25">
      <c r="A6">
        <v>2005</v>
      </c>
      <c r="B6">
        <v>5</v>
      </c>
      <c r="C6">
        <v>4</v>
      </c>
      <c r="D6" t="s">
        <v>31</v>
      </c>
      <c r="E6" t="s">
        <v>32</v>
      </c>
      <c r="F6" t="s">
        <v>34</v>
      </c>
      <c r="G6">
        <v>15000</v>
      </c>
      <c r="H6">
        <v>0</v>
      </c>
      <c r="I6">
        <v>15000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 cm="1">
        <f t="array" ref="Z6">MMULT($G6:$Y6,'Nelson Factor_2019'!$B$1:$B$19)/$G6</f>
        <v>8.5</v>
      </c>
      <c r="AA6" cm="1">
        <f t="array" ref="AA6">MMULT($G6:$R6,'Nelson Factor_2019'!$B$1:$B$12)/$G6</f>
        <v>8.5</v>
      </c>
    </row>
    <row r="7" spans="1:27" x14ac:dyDescent="0.25">
      <c r="A7">
        <v>2005</v>
      </c>
      <c r="B7">
        <v>5</v>
      </c>
      <c r="C7">
        <v>0</v>
      </c>
      <c r="D7" t="s">
        <v>31</v>
      </c>
      <c r="E7" t="s">
        <v>35</v>
      </c>
      <c r="F7" t="s">
        <v>36</v>
      </c>
      <c r="G7">
        <v>209000</v>
      </c>
      <c r="H7">
        <v>7600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2520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2070</v>
      </c>
      <c r="Z7" cm="1">
        <f t="array" ref="Z7">MMULT($G7:$Y7,'Nelson Factor_2019'!$B$1:$B$19)/$G7</f>
        <v>1.3032775119617226</v>
      </c>
      <c r="AA7" cm="1">
        <f t="array" ref="AA7">MMULT($G7:$R7,'Nelson Factor_2019'!$B$1:$B$12)/$G7</f>
        <v>1.2884210526315789</v>
      </c>
    </row>
    <row r="8" spans="1:27" x14ac:dyDescent="0.25">
      <c r="A8">
        <v>2005</v>
      </c>
      <c r="B8">
        <v>5</v>
      </c>
      <c r="C8">
        <v>0</v>
      </c>
      <c r="D8" t="s">
        <v>31</v>
      </c>
      <c r="E8" t="s">
        <v>37</v>
      </c>
      <c r="F8" t="s">
        <v>36</v>
      </c>
      <c r="G8">
        <v>17500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 cm="1">
        <f t="array" ref="Z8">MMULT($G8:$Y8,'Nelson Factor_2019'!$B$1:$B$19)/$G8</f>
        <v>1</v>
      </c>
      <c r="AA8" cm="1">
        <f t="array" ref="AA8">MMULT($G8:$R8,'Nelson Factor_2019'!$B$1:$B$12)/$G8</f>
        <v>1</v>
      </c>
    </row>
    <row r="9" spans="1:27" x14ac:dyDescent="0.25">
      <c r="A9">
        <v>2005</v>
      </c>
      <c r="B9">
        <v>5</v>
      </c>
      <c r="C9">
        <v>0</v>
      </c>
      <c r="D9" t="s">
        <v>31</v>
      </c>
      <c r="E9" t="s">
        <v>37</v>
      </c>
      <c r="F9" t="s">
        <v>38</v>
      </c>
      <c r="G9">
        <v>48000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 cm="1">
        <f t="array" ref="Z9">MMULT($G9:$Y9,'Nelson Factor_2019'!$B$1:$B$19)/$G9</f>
        <v>1</v>
      </c>
      <c r="AA9" cm="1">
        <f t="array" ref="AA9">MMULT($G9:$R9,'Nelson Factor_2019'!$B$1:$B$12)/$G9</f>
        <v>1</v>
      </c>
    </row>
    <row r="10" spans="1:27" x14ac:dyDescent="0.25">
      <c r="A10">
        <v>2005</v>
      </c>
      <c r="B10">
        <v>5</v>
      </c>
      <c r="C10">
        <v>2</v>
      </c>
      <c r="D10" t="s">
        <v>31</v>
      </c>
      <c r="E10" t="s">
        <v>39</v>
      </c>
      <c r="F10" t="s">
        <v>40</v>
      </c>
      <c r="G10">
        <v>72000</v>
      </c>
      <c r="H10">
        <v>19000</v>
      </c>
      <c r="I10">
        <v>0</v>
      </c>
      <c r="J10">
        <v>0</v>
      </c>
      <c r="K10">
        <v>0</v>
      </c>
      <c r="L10">
        <v>12000</v>
      </c>
      <c r="M10">
        <v>12500</v>
      </c>
      <c r="N10">
        <v>12500</v>
      </c>
      <c r="O10">
        <v>0</v>
      </c>
      <c r="P10">
        <v>0</v>
      </c>
      <c r="Q10">
        <v>0</v>
      </c>
      <c r="R10">
        <v>4000</v>
      </c>
      <c r="S10">
        <v>0</v>
      </c>
      <c r="T10">
        <v>0</v>
      </c>
      <c r="U10">
        <v>13</v>
      </c>
      <c r="V10">
        <v>0</v>
      </c>
      <c r="W10">
        <v>0</v>
      </c>
      <c r="X10">
        <v>19</v>
      </c>
      <c r="Y10">
        <v>1000</v>
      </c>
      <c r="Z10" cm="1">
        <f t="array" ref="Z10">MMULT($G10:$Y10,'Nelson Factor_2019'!$B$1:$B$19)/$G10</f>
        <v>4.2503194444444441</v>
      </c>
      <c r="AA10" cm="1">
        <f t="array" ref="AA10">MMULT($G10:$R10,'Nelson Factor_2019'!$B$1:$B$12)/$G10</f>
        <v>4.165972222222222</v>
      </c>
    </row>
    <row r="11" spans="1:27" x14ac:dyDescent="0.25">
      <c r="A11">
        <v>2005</v>
      </c>
      <c r="B11">
        <v>3</v>
      </c>
      <c r="C11">
        <v>0</v>
      </c>
      <c r="D11" t="s">
        <v>41</v>
      </c>
      <c r="E11" t="s">
        <v>42</v>
      </c>
      <c r="F11" t="s">
        <v>43</v>
      </c>
      <c r="G11">
        <v>7000</v>
      </c>
      <c r="H11">
        <v>3000</v>
      </c>
      <c r="I11">
        <v>0</v>
      </c>
      <c r="J11">
        <v>0</v>
      </c>
      <c r="K11">
        <v>0</v>
      </c>
      <c r="L11">
        <v>0</v>
      </c>
      <c r="M11">
        <v>0</v>
      </c>
      <c r="N11">
        <v>4500</v>
      </c>
      <c r="O11">
        <v>0</v>
      </c>
      <c r="P11">
        <v>0</v>
      </c>
      <c r="Q11">
        <v>0</v>
      </c>
      <c r="R11">
        <v>0</v>
      </c>
      <c r="S11">
        <v>4500</v>
      </c>
      <c r="T11">
        <v>0</v>
      </c>
      <c r="U11">
        <v>2.5</v>
      </c>
      <c r="V11">
        <v>0</v>
      </c>
      <c r="W11">
        <v>0</v>
      </c>
      <c r="X11">
        <v>0</v>
      </c>
      <c r="Y11">
        <v>1500</v>
      </c>
      <c r="Z11" cm="1">
        <f t="array" ref="Z11">MMULT($G11:$Y11,'Nelson Factor_2019'!$B$1:$B$19)/$G11</f>
        <v>42.057499999999997</v>
      </c>
      <c r="AA11" cm="1">
        <f t="array" ref="AA11">MMULT($G11:$R11,'Nelson Factor_2019'!$B$1:$B$12)/$G11</f>
        <v>3.1642857142857141</v>
      </c>
    </row>
    <row r="12" spans="1:27" x14ac:dyDescent="0.25">
      <c r="A12">
        <v>2005</v>
      </c>
      <c r="B12">
        <v>3</v>
      </c>
      <c r="C12">
        <v>1</v>
      </c>
      <c r="D12" t="s">
        <v>41</v>
      </c>
      <c r="E12" t="s">
        <v>44</v>
      </c>
      <c r="F12" t="s">
        <v>45</v>
      </c>
      <c r="G12">
        <v>68000</v>
      </c>
      <c r="H12">
        <v>30500</v>
      </c>
      <c r="I12">
        <v>0</v>
      </c>
      <c r="J12">
        <v>0</v>
      </c>
      <c r="K12">
        <v>19500</v>
      </c>
      <c r="L12">
        <v>14000</v>
      </c>
      <c r="M12">
        <v>0</v>
      </c>
      <c r="N12">
        <v>49500</v>
      </c>
      <c r="O12">
        <v>4900</v>
      </c>
      <c r="P12">
        <v>0</v>
      </c>
      <c r="Q12">
        <v>0</v>
      </c>
      <c r="R12">
        <v>6500</v>
      </c>
      <c r="S12">
        <v>0</v>
      </c>
      <c r="T12">
        <v>0</v>
      </c>
      <c r="U12">
        <v>0</v>
      </c>
      <c r="V12">
        <v>0</v>
      </c>
      <c r="W12">
        <v>0</v>
      </c>
      <c r="X12">
        <v>142</v>
      </c>
      <c r="Y12">
        <v>11800</v>
      </c>
      <c r="Z12" cm="1">
        <f t="array" ref="Z12">MMULT($G12:$Y12,'Nelson Factor_2019'!$B$1:$B$19)/$G12</f>
        <v>7.921764705882353</v>
      </c>
      <c r="AA12" cm="1">
        <f t="array" ref="AA12">MMULT($G12:$R12,'Nelson Factor_2019'!$B$1:$B$12)/$G12</f>
        <v>7.1602941176470587</v>
      </c>
    </row>
    <row r="13" spans="1:27" x14ac:dyDescent="0.25">
      <c r="A13">
        <v>2005</v>
      </c>
      <c r="B13">
        <v>5</v>
      </c>
      <c r="C13">
        <v>6</v>
      </c>
      <c r="D13" t="s">
        <v>46</v>
      </c>
      <c r="E13" t="s">
        <v>32</v>
      </c>
      <c r="F13" t="s">
        <v>47</v>
      </c>
      <c r="G13">
        <v>247000</v>
      </c>
      <c r="H13">
        <v>123500</v>
      </c>
      <c r="I13">
        <v>58500</v>
      </c>
      <c r="J13">
        <v>0</v>
      </c>
      <c r="K13">
        <v>86400</v>
      </c>
      <c r="L13">
        <v>46800</v>
      </c>
      <c r="M13">
        <v>38700</v>
      </c>
      <c r="N13">
        <v>171000</v>
      </c>
      <c r="O13">
        <v>15000</v>
      </c>
      <c r="P13">
        <v>2800</v>
      </c>
      <c r="Q13">
        <v>0</v>
      </c>
      <c r="R13">
        <v>41600</v>
      </c>
      <c r="S13">
        <v>0</v>
      </c>
      <c r="T13">
        <v>2700</v>
      </c>
      <c r="U13">
        <v>105</v>
      </c>
      <c r="V13">
        <v>0</v>
      </c>
      <c r="W13">
        <v>2400</v>
      </c>
      <c r="X13">
        <v>350</v>
      </c>
      <c r="Y13">
        <v>0</v>
      </c>
      <c r="Z13" cm="1">
        <f t="array" ref="Z13">MMULT($G13:$Y13,'Nelson Factor_2019'!$B$1:$B$19)/$G13</f>
        <v>11.13240890688259</v>
      </c>
      <c r="AA13" cm="1">
        <f t="array" ref="AA13">MMULT($G13:$R13,'Nelson Factor_2019'!$B$1:$B$12)/$G13</f>
        <v>10.682591093117409</v>
      </c>
    </row>
    <row r="14" spans="1:27" x14ac:dyDescent="0.25">
      <c r="A14">
        <v>2005</v>
      </c>
      <c r="B14">
        <v>5</v>
      </c>
      <c r="C14">
        <v>6</v>
      </c>
      <c r="D14" t="s">
        <v>46</v>
      </c>
      <c r="E14" t="s">
        <v>48</v>
      </c>
      <c r="F14" t="s">
        <v>49</v>
      </c>
      <c r="G14">
        <v>260000</v>
      </c>
      <c r="H14">
        <v>120000</v>
      </c>
      <c r="I14">
        <v>64000</v>
      </c>
      <c r="J14">
        <v>0</v>
      </c>
      <c r="K14">
        <v>62000</v>
      </c>
      <c r="L14">
        <v>40000</v>
      </c>
      <c r="M14">
        <v>45000</v>
      </c>
      <c r="N14">
        <v>198000</v>
      </c>
      <c r="O14">
        <v>21000</v>
      </c>
      <c r="P14">
        <v>0</v>
      </c>
      <c r="Q14">
        <v>0</v>
      </c>
      <c r="R14">
        <v>22800</v>
      </c>
      <c r="S14">
        <v>0</v>
      </c>
      <c r="T14">
        <v>0</v>
      </c>
      <c r="U14">
        <v>139</v>
      </c>
      <c r="V14">
        <v>0</v>
      </c>
      <c r="W14">
        <v>3447</v>
      </c>
      <c r="X14">
        <v>406</v>
      </c>
      <c r="Y14">
        <v>0</v>
      </c>
      <c r="Z14" cm="1">
        <f t="array" ref="Z14">MMULT($G14:$Y14,'Nelson Factor_2019'!$B$1:$B$19)/$G14</f>
        <v>10.380688461538462</v>
      </c>
      <c r="AA14" cm="1">
        <f t="array" ref="AA14">MMULT($G14:$R14,'Nelson Factor_2019'!$B$1:$B$12)/$G14</f>
        <v>10.005384615384616</v>
      </c>
    </row>
    <row r="15" spans="1:27" x14ac:dyDescent="0.25">
      <c r="A15">
        <v>2005</v>
      </c>
      <c r="B15">
        <v>5</v>
      </c>
      <c r="C15">
        <v>3</v>
      </c>
      <c r="D15" t="s">
        <v>46</v>
      </c>
      <c r="E15" t="s">
        <v>48</v>
      </c>
      <c r="F15" t="s">
        <v>50</v>
      </c>
      <c r="G15">
        <v>225000</v>
      </c>
      <c r="H15">
        <v>110000</v>
      </c>
      <c r="I15">
        <v>0</v>
      </c>
      <c r="J15">
        <v>0</v>
      </c>
      <c r="K15">
        <v>65000</v>
      </c>
      <c r="L15">
        <v>45000</v>
      </c>
      <c r="M15">
        <v>109000</v>
      </c>
      <c r="N15">
        <v>144000</v>
      </c>
      <c r="O15">
        <v>20000</v>
      </c>
      <c r="P15">
        <v>1800</v>
      </c>
      <c r="Q15">
        <v>0</v>
      </c>
      <c r="R15">
        <v>28900</v>
      </c>
      <c r="S15">
        <v>14000</v>
      </c>
      <c r="T15">
        <v>0</v>
      </c>
      <c r="U15">
        <v>145</v>
      </c>
      <c r="V15">
        <v>10</v>
      </c>
      <c r="W15">
        <v>0</v>
      </c>
      <c r="X15">
        <v>350</v>
      </c>
      <c r="Y15">
        <v>0</v>
      </c>
      <c r="Z15" cm="1">
        <f t="array" ref="Z15">MMULT($G15:$Y15,'Nelson Factor_2019'!$B$1:$B$19)/$G15</f>
        <v>15.306022222222222</v>
      </c>
      <c r="AA15" cm="1">
        <f t="array" ref="AA15">MMULT($G15:$R15,'Nelson Factor_2019'!$B$1:$B$12)/$G15</f>
        <v>11.198666666666666</v>
      </c>
    </row>
    <row r="16" spans="1:27" x14ac:dyDescent="0.25">
      <c r="A16">
        <v>2005</v>
      </c>
      <c r="B16">
        <v>5</v>
      </c>
      <c r="C16">
        <v>6</v>
      </c>
      <c r="D16" t="s">
        <v>46</v>
      </c>
      <c r="E16" t="s">
        <v>51</v>
      </c>
      <c r="F16" t="s">
        <v>52</v>
      </c>
      <c r="G16">
        <v>138700</v>
      </c>
      <c r="H16">
        <v>78000</v>
      </c>
      <c r="I16">
        <v>48000</v>
      </c>
      <c r="J16">
        <v>0</v>
      </c>
      <c r="K16">
        <v>45000</v>
      </c>
      <c r="L16">
        <v>35200</v>
      </c>
      <c r="M16">
        <v>24750</v>
      </c>
      <c r="N16">
        <v>135850</v>
      </c>
      <c r="O16">
        <v>14200</v>
      </c>
      <c r="P16">
        <v>0</v>
      </c>
      <c r="Q16">
        <v>0</v>
      </c>
      <c r="R16">
        <v>17500</v>
      </c>
      <c r="S16">
        <v>0</v>
      </c>
      <c r="T16">
        <v>0</v>
      </c>
      <c r="U16">
        <v>100.8</v>
      </c>
      <c r="V16">
        <v>0</v>
      </c>
      <c r="W16">
        <v>2000</v>
      </c>
      <c r="X16">
        <v>340</v>
      </c>
      <c r="Y16">
        <v>0</v>
      </c>
      <c r="Z16" cm="1">
        <f t="array" ref="Z16">MMULT($G16:$Y16,'Nelson Factor_2019'!$B$1:$B$19)/$G16</f>
        <v>13.409702956020189</v>
      </c>
      <c r="AA16" cm="1">
        <f t="array" ref="AA16">MMULT($G16:$R16,'Nelson Factor_2019'!$B$1:$B$12)/$G16</f>
        <v>12.820656092285509</v>
      </c>
    </row>
    <row r="17" spans="1:27" x14ac:dyDescent="0.25">
      <c r="A17">
        <v>2005</v>
      </c>
      <c r="B17">
        <v>5</v>
      </c>
      <c r="C17">
        <v>5</v>
      </c>
      <c r="D17" t="s">
        <v>46</v>
      </c>
      <c r="E17" t="s">
        <v>51</v>
      </c>
      <c r="F17" t="s">
        <v>53</v>
      </c>
      <c r="G17">
        <v>106000</v>
      </c>
      <c r="H17">
        <v>78300</v>
      </c>
      <c r="I17">
        <v>47500</v>
      </c>
      <c r="J17">
        <v>0</v>
      </c>
      <c r="K17">
        <v>0</v>
      </c>
      <c r="L17">
        <v>30600</v>
      </c>
      <c r="M17">
        <v>34200</v>
      </c>
      <c r="N17">
        <v>46000</v>
      </c>
      <c r="O17">
        <v>0</v>
      </c>
      <c r="P17">
        <v>0</v>
      </c>
      <c r="Q17">
        <v>0</v>
      </c>
      <c r="R17">
        <v>9000</v>
      </c>
      <c r="S17">
        <v>0</v>
      </c>
      <c r="T17">
        <v>0</v>
      </c>
      <c r="U17">
        <v>86.33</v>
      </c>
      <c r="V17">
        <v>2.6</v>
      </c>
      <c r="W17">
        <v>2370</v>
      </c>
      <c r="X17">
        <v>484</v>
      </c>
      <c r="Y17">
        <v>0</v>
      </c>
      <c r="Z17" cm="1">
        <f t="array" ref="Z17">MMULT($G17:$Y17,'Nelson Factor_2019'!$B$1:$B$19)/$G17</f>
        <v>11.78197103773585</v>
      </c>
      <c r="AA17" cm="1">
        <f t="array" ref="AA17">MMULT($G17:$R17,'Nelson Factor_2019'!$B$1:$B$12)/$G17</f>
        <v>10.685283018867924</v>
      </c>
    </row>
    <row r="18" spans="1:27" x14ac:dyDescent="0.25">
      <c r="A18">
        <v>2005</v>
      </c>
      <c r="B18">
        <v>5</v>
      </c>
      <c r="C18">
        <v>6</v>
      </c>
      <c r="D18" t="s">
        <v>46</v>
      </c>
      <c r="E18" t="s">
        <v>54</v>
      </c>
      <c r="F18" t="s">
        <v>55</v>
      </c>
      <c r="G18">
        <v>149500</v>
      </c>
      <c r="H18">
        <v>98500</v>
      </c>
      <c r="I18">
        <v>52500</v>
      </c>
      <c r="J18">
        <v>0</v>
      </c>
      <c r="K18">
        <v>96000</v>
      </c>
      <c r="L18">
        <v>19000</v>
      </c>
      <c r="M18">
        <v>20500</v>
      </c>
      <c r="N18">
        <v>142500</v>
      </c>
      <c r="O18">
        <v>23500</v>
      </c>
      <c r="P18">
        <v>0</v>
      </c>
      <c r="Q18">
        <v>0</v>
      </c>
      <c r="R18">
        <v>0</v>
      </c>
      <c r="S18">
        <v>0</v>
      </c>
      <c r="T18">
        <v>0</v>
      </c>
      <c r="U18">
        <v>135.5</v>
      </c>
      <c r="V18">
        <v>14</v>
      </c>
      <c r="W18">
        <v>3215</v>
      </c>
      <c r="X18">
        <v>400</v>
      </c>
      <c r="Y18">
        <v>0</v>
      </c>
      <c r="Z18" cm="1">
        <f t="array" ref="Z18">MMULT($G18:$Y18,'Nelson Factor_2019'!$B$1:$B$19)/$G18</f>
        <v>14.673575250836121</v>
      </c>
      <c r="AA18" cm="1">
        <f t="array" ref="AA18">MMULT($G18:$R18,'Nelson Factor_2019'!$B$1:$B$12)/$G18</f>
        <v>14.030434782608696</v>
      </c>
    </row>
    <row r="19" spans="1:27" x14ac:dyDescent="0.25">
      <c r="A19">
        <v>2005</v>
      </c>
      <c r="B19">
        <v>5</v>
      </c>
      <c r="C19">
        <v>0</v>
      </c>
      <c r="D19" t="s">
        <v>46</v>
      </c>
      <c r="E19" t="s">
        <v>56</v>
      </c>
      <c r="F19" t="s">
        <v>57</v>
      </c>
      <c r="G19">
        <v>25000</v>
      </c>
      <c r="H19">
        <v>0</v>
      </c>
      <c r="I19">
        <v>0</v>
      </c>
      <c r="J19">
        <v>0</v>
      </c>
      <c r="K19">
        <v>0</v>
      </c>
      <c r="L19">
        <v>3000</v>
      </c>
      <c r="M19">
        <v>0</v>
      </c>
      <c r="N19">
        <v>13000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4.5</v>
      </c>
      <c r="Y19">
        <v>0</v>
      </c>
      <c r="Z19" cm="1">
        <f t="array" ref="Z19">MMULT($G19:$Y19,'Nelson Factor_2019'!$B$1:$B$19)/$G19</f>
        <v>2.9432</v>
      </c>
      <c r="AA19" cm="1">
        <f t="array" ref="AA19">MMULT($G19:$R19,'Nelson Factor_2019'!$B$1:$B$12)/$G19</f>
        <v>2.9</v>
      </c>
    </row>
    <row r="20" spans="1:27" x14ac:dyDescent="0.25">
      <c r="A20">
        <v>2005</v>
      </c>
      <c r="B20">
        <v>5</v>
      </c>
      <c r="C20">
        <v>0</v>
      </c>
      <c r="D20" t="s">
        <v>46</v>
      </c>
      <c r="E20" t="s">
        <v>58</v>
      </c>
      <c r="F20" t="s">
        <v>59</v>
      </c>
      <c r="G20">
        <v>52000</v>
      </c>
      <c r="H20">
        <v>30000</v>
      </c>
      <c r="I20">
        <v>0</v>
      </c>
      <c r="J20">
        <v>0</v>
      </c>
      <c r="K20">
        <v>0</v>
      </c>
      <c r="L20">
        <v>10000</v>
      </c>
      <c r="M20">
        <v>0</v>
      </c>
      <c r="N20">
        <v>36300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38</v>
      </c>
      <c r="X20">
        <v>0</v>
      </c>
      <c r="Y20">
        <v>16500</v>
      </c>
      <c r="Z20" cm="1">
        <f t="array" ref="Z20">MMULT($G20:$Y20,'Nelson Factor_2019'!$B$1:$B$19)/$G20</f>
        <v>4.9326923076923075</v>
      </c>
      <c r="AA20" cm="1">
        <f t="array" ref="AA20">MMULT($G20:$R20,'Nelson Factor_2019'!$B$1:$B$12)/$G20</f>
        <v>4.4567307692307692</v>
      </c>
    </row>
    <row r="21" spans="1:27" x14ac:dyDescent="0.25">
      <c r="A21">
        <v>2005</v>
      </c>
      <c r="B21">
        <v>5</v>
      </c>
      <c r="C21">
        <v>0</v>
      </c>
      <c r="D21" t="s">
        <v>46</v>
      </c>
      <c r="E21" t="s">
        <v>60</v>
      </c>
      <c r="F21" t="s">
        <v>57</v>
      </c>
      <c r="G21">
        <v>24300</v>
      </c>
      <c r="H21">
        <v>14300</v>
      </c>
      <c r="I21">
        <v>0</v>
      </c>
      <c r="J21">
        <v>10000</v>
      </c>
      <c r="K21">
        <v>0</v>
      </c>
      <c r="L21">
        <v>0</v>
      </c>
      <c r="M21">
        <v>0</v>
      </c>
      <c r="N21">
        <v>5000</v>
      </c>
      <c r="O21">
        <v>0</v>
      </c>
      <c r="P21">
        <v>0</v>
      </c>
      <c r="Q21">
        <v>0</v>
      </c>
      <c r="R21">
        <v>0</v>
      </c>
      <c r="S21">
        <v>4000</v>
      </c>
      <c r="T21">
        <v>0</v>
      </c>
      <c r="U21">
        <v>3.5</v>
      </c>
      <c r="V21">
        <v>3.5</v>
      </c>
      <c r="W21">
        <v>0</v>
      </c>
      <c r="X21">
        <v>6</v>
      </c>
      <c r="Y21">
        <v>5000</v>
      </c>
      <c r="Z21" cm="1">
        <f t="array" ref="Z21">MMULT($G21:$Y21,'Nelson Factor_2019'!$B$1:$B$19)/$G21</f>
        <v>13.655843621399177</v>
      </c>
      <c r="AA21" cm="1">
        <f t="array" ref="AA21">MMULT($G21:$R21,'Nelson Factor_2019'!$B$1:$B$12)/$G21</f>
        <v>3.411111111111111</v>
      </c>
    </row>
    <row r="22" spans="1:27" x14ac:dyDescent="0.25">
      <c r="A22">
        <v>2005</v>
      </c>
      <c r="B22">
        <v>5</v>
      </c>
      <c r="C22">
        <v>5</v>
      </c>
      <c r="D22" t="s">
        <v>46</v>
      </c>
      <c r="E22" t="s">
        <v>61</v>
      </c>
      <c r="F22" t="s">
        <v>57</v>
      </c>
      <c r="G22">
        <v>65000</v>
      </c>
      <c r="H22">
        <v>39000</v>
      </c>
      <c r="I22">
        <v>22000</v>
      </c>
      <c r="J22">
        <v>0</v>
      </c>
      <c r="K22">
        <v>0</v>
      </c>
      <c r="L22">
        <v>14700</v>
      </c>
      <c r="M22">
        <v>23500</v>
      </c>
      <c r="N22">
        <v>21900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24.7</v>
      </c>
      <c r="V22">
        <v>5</v>
      </c>
      <c r="W22">
        <v>1200</v>
      </c>
      <c r="X22">
        <v>103</v>
      </c>
      <c r="Y22">
        <v>0</v>
      </c>
      <c r="Z22" cm="1">
        <f t="array" ref="Z22">MMULT($G22:$Y22,'Nelson Factor_2019'!$B$1:$B$19)/$G22</f>
        <v>9.564610769230768</v>
      </c>
      <c r="AA22" cm="1">
        <f t="array" ref="AA22">MMULT($G22:$R22,'Nelson Factor_2019'!$B$1:$B$12)/$G22</f>
        <v>9.1838461538461544</v>
      </c>
    </row>
    <row r="23" spans="1:27" x14ac:dyDescent="0.25">
      <c r="A23">
        <v>2005</v>
      </c>
      <c r="B23">
        <v>5</v>
      </c>
      <c r="C23">
        <v>6</v>
      </c>
      <c r="D23" t="s">
        <v>46</v>
      </c>
      <c r="E23" t="s">
        <v>61</v>
      </c>
      <c r="F23" t="s">
        <v>62</v>
      </c>
      <c r="G23">
        <v>157600</v>
      </c>
      <c r="H23">
        <v>92200</v>
      </c>
      <c r="I23">
        <v>46900</v>
      </c>
      <c r="J23">
        <v>0</v>
      </c>
      <c r="K23">
        <v>70700</v>
      </c>
      <c r="L23">
        <v>29400</v>
      </c>
      <c r="M23">
        <v>36800</v>
      </c>
      <c r="N23">
        <v>191400</v>
      </c>
      <c r="O23">
        <v>11000</v>
      </c>
      <c r="P23">
        <v>2600</v>
      </c>
      <c r="Q23">
        <v>0</v>
      </c>
      <c r="R23">
        <v>14500</v>
      </c>
      <c r="S23">
        <v>0</v>
      </c>
      <c r="T23">
        <v>0</v>
      </c>
      <c r="U23">
        <v>101.3</v>
      </c>
      <c r="V23">
        <v>0</v>
      </c>
      <c r="W23">
        <v>1181</v>
      </c>
      <c r="X23">
        <v>402</v>
      </c>
      <c r="Y23">
        <v>15000</v>
      </c>
      <c r="Z23" cm="1">
        <f t="array" ref="Z23">MMULT($G23:$Y23,'Nelson Factor_2019'!$B$1:$B$19)/$G23</f>
        <v>14.415553934010152</v>
      </c>
      <c r="AA23" cm="1">
        <f t="array" ref="AA23">MMULT($G23:$R23,'Nelson Factor_2019'!$B$1:$B$12)/$G23</f>
        <v>13.65996192893401</v>
      </c>
    </row>
    <row r="24" spans="1:27" x14ac:dyDescent="0.25">
      <c r="A24">
        <v>2005</v>
      </c>
      <c r="B24">
        <v>5</v>
      </c>
      <c r="C24">
        <v>6</v>
      </c>
      <c r="D24" t="s">
        <v>46</v>
      </c>
      <c r="E24" t="s">
        <v>61</v>
      </c>
      <c r="F24" t="s">
        <v>63</v>
      </c>
      <c r="G24">
        <v>100000</v>
      </c>
      <c r="H24">
        <v>62000</v>
      </c>
      <c r="I24">
        <v>40000</v>
      </c>
      <c r="J24">
        <v>0</v>
      </c>
      <c r="K24">
        <v>36000</v>
      </c>
      <c r="L24">
        <v>32500</v>
      </c>
      <c r="M24">
        <v>32000</v>
      </c>
      <c r="N24">
        <v>100250</v>
      </c>
      <c r="O24">
        <v>12000</v>
      </c>
      <c r="P24">
        <v>0</v>
      </c>
      <c r="Q24">
        <v>0</v>
      </c>
      <c r="R24">
        <v>7500</v>
      </c>
      <c r="S24">
        <v>0</v>
      </c>
      <c r="T24">
        <v>0</v>
      </c>
      <c r="U24">
        <v>55</v>
      </c>
      <c r="V24">
        <v>55</v>
      </c>
      <c r="W24">
        <v>1615</v>
      </c>
      <c r="X24">
        <v>268</v>
      </c>
      <c r="Y24">
        <v>0</v>
      </c>
      <c r="Z24" cm="1">
        <f t="array" ref="Z24">MMULT($G24:$Y24,'Nelson Factor_2019'!$B$1:$B$19)/$G24</f>
        <v>15.72655</v>
      </c>
      <c r="AA24" cm="1">
        <f t="array" ref="AA24">MMULT($G24:$R24,'Nelson Factor_2019'!$B$1:$B$12)/$G24</f>
        <v>15.08225</v>
      </c>
    </row>
    <row r="25" spans="1:27" x14ac:dyDescent="0.25">
      <c r="A25">
        <v>2005</v>
      </c>
      <c r="B25">
        <v>5</v>
      </c>
      <c r="C25">
        <v>6</v>
      </c>
      <c r="D25" t="s">
        <v>46</v>
      </c>
      <c r="E25" t="s">
        <v>64</v>
      </c>
      <c r="F25" t="s">
        <v>65</v>
      </c>
      <c r="G25">
        <v>161000</v>
      </c>
      <c r="H25">
        <v>144000</v>
      </c>
      <c r="I25">
        <v>42000</v>
      </c>
      <c r="J25">
        <v>0</v>
      </c>
      <c r="K25">
        <v>66500</v>
      </c>
      <c r="L25">
        <v>42000</v>
      </c>
      <c r="M25">
        <v>32000</v>
      </c>
      <c r="N25">
        <v>172500</v>
      </c>
      <c r="O25">
        <v>14000</v>
      </c>
      <c r="P25">
        <v>0</v>
      </c>
      <c r="Q25">
        <v>0</v>
      </c>
      <c r="R25">
        <v>0</v>
      </c>
      <c r="S25">
        <v>0</v>
      </c>
      <c r="T25">
        <v>0</v>
      </c>
      <c r="U25">
        <v>105</v>
      </c>
      <c r="V25">
        <v>0</v>
      </c>
      <c r="W25">
        <v>1500</v>
      </c>
      <c r="X25">
        <v>140</v>
      </c>
      <c r="Y25">
        <v>0</v>
      </c>
      <c r="Z25" cm="1">
        <f t="array" ref="Z25">MMULT($G25:$Y25,'Nelson Factor_2019'!$B$1:$B$19)/$G25</f>
        <v>13.249409937888199</v>
      </c>
      <c r="AA25" cm="1">
        <f t="array" ref="AA25">MMULT($G25:$R25,'Nelson Factor_2019'!$B$1:$B$12)/$G25</f>
        <v>13.040062111801243</v>
      </c>
    </row>
    <row r="26" spans="1:27" x14ac:dyDescent="0.25">
      <c r="A26">
        <v>2005</v>
      </c>
      <c r="B26">
        <v>5</v>
      </c>
      <c r="C26">
        <v>6</v>
      </c>
      <c r="D26" t="s">
        <v>46</v>
      </c>
      <c r="E26" t="s">
        <v>66</v>
      </c>
      <c r="F26" t="s">
        <v>67</v>
      </c>
      <c r="G26">
        <v>139500</v>
      </c>
      <c r="H26">
        <v>78500</v>
      </c>
      <c r="I26">
        <v>27000</v>
      </c>
      <c r="J26">
        <v>0</v>
      </c>
      <c r="K26">
        <v>69000</v>
      </c>
      <c r="L26">
        <v>36000</v>
      </c>
      <c r="M26">
        <v>34000</v>
      </c>
      <c r="N26">
        <v>167000</v>
      </c>
      <c r="O26">
        <v>15000</v>
      </c>
      <c r="P26">
        <v>2500</v>
      </c>
      <c r="Q26">
        <v>0</v>
      </c>
      <c r="R26">
        <v>0</v>
      </c>
      <c r="S26">
        <v>0</v>
      </c>
      <c r="T26">
        <v>0</v>
      </c>
      <c r="U26">
        <v>131.5</v>
      </c>
      <c r="V26">
        <v>0</v>
      </c>
      <c r="W26">
        <v>1080</v>
      </c>
      <c r="X26">
        <v>275</v>
      </c>
      <c r="Y26">
        <v>5000</v>
      </c>
      <c r="Z26" cm="1">
        <f t="array" ref="Z26">MMULT($G26:$Y26,'Nelson Factor_2019'!$B$1:$B$19)/$G26</f>
        <v>14.166175627240143</v>
      </c>
      <c r="AA26" cm="1">
        <f t="array" ref="AA26">MMULT($G26:$R26,'Nelson Factor_2019'!$B$1:$B$12)/$G26</f>
        <v>13.638351254480288</v>
      </c>
    </row>
    <row r="27" spans="1:27" x14ac:dyDescent="0.25">
      <c r="A27">
        <v>2005</v>
      </c>
      <c r="B27">
        <v>5</v>
      </c>
      <c r="C27">
        <v>4</v>
      </c>
      <c r="D27" t="s">
        <v>46</v>
      </c>
      <c r="E27" t="s">
        <v>66</v>
      </c>
      <c r="F27" t="s">
        <v>63</v>
      </c>
      <c r="G27">
        <v>78000</v>
      </c>
      <c r="H27">
        <v>45000</v>
      </c>
      <c r="I27">
        <v>28000</v>
      </c>
      <c r="J27">
        <v>0</v>
      </c>
      <c r="K27">
        <v>54000</v>
      </c>
      <c r="L27">
        <v>16500</v>
      </c>
      <c r="M27">
        <v>0</v>
      </c>
      <c r="N27">
        <v>141000</v>
      </c>
      <c r="O27">
        <v>14500</v>
      </c>
      <c r="P27">
        <v>0</v>
      </c>
      <c r="Q27">
        <v>0</v>
      </c>
      <c r="R27">
        <v>10200</v>
      </c>
      <c r="S27">
        <v>0</v>
      </c>
      <c r="T27">
        <v>0</v>
      </c>
      <c r="U27">
        <v>50</v>
      </c>
      <c r="V27">
        <v>0</v>
      </c>
      <c r="W27">
        <v>1800</v>
      </c>
      <c r="X27">
        <v>250</v>
      </c>
      <c r="Y27">
        <v>0</v>
      </c>
      <c r="Z27" cm="1">
        <f t="array" ref="Z27">MMULT($G27:$Y27,'Nelson Factor_2019'!$B$1:$B$19)/$G27</f>
        <v>17.194230769230771</v>
      </c>
      <c r="AA27" cm="1">
        <f t="array" ref="AA27">MMULT($G27:$R27,'Nelson Factor_2019'!$B$1:$B$12)/$G27</f>
        <v>16.424358974358974</v>
      </c>
    </row>
    <row r="28" spans="1:27" x14ac:dyDescent="0.25">
      <c r="A28">
        <v>2005</v>
      </c>
      <c r="B28">
        <v>4</v>
      </c>
      <c r="C28">
        <v>1</v>
      </c>
      <c r="D28" t="s">
        <v>68</v>
      </c>
      <c r="E28" t="s">
        <v>69</v>
      </c>
      <c r="F28" t="s">
        <v>70</v>
      </c>
      <c r="G28">
        <v>60000</v>
      </c>
      <c r="H28">
        <v>25000</v>
      </c>
      <c r="I28">
        <v>0</v>
      </c>
      <c r="J28">
        <v>0</v>
      </c>
      <c r="K28">
        <v>19000</v>
      </c>
      <c r="L28">
        <v>9600</v>
      </c>
      <c r="M28">
        <v>0</v>
      </c>
      <c r="N28">
        <v>34100</v>
      </c>
      <c r="O28">
        <v>0</v>
      </c>
      <c r="P28">
        <v>2600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90</v>
      </c>
      <c r="Y28">
        <v>10500</v>
      </c>
      <c r="Z28" cm="1">
        <f t="array" ref="Z28">MMULT($G28:$Y28,'Nelson Factor_2019'!$B$1:$B$19)/$G28</f>
        <v>6.7183333333333337</v>
      </c>
      <c r="AA28" cm="1">
        <f t="array" ref="AA28">MMULT($G28:$R28,'Nelson Factor_2019'!$B$1:$B$12)/$G28</f>
        <v>6.0958333333333332</v>
      </c>
    </row>
    <row r="29" spans="1:27" x14ac:dyDescent="0.25">
      <c r="A29">
        <v>2005</v>
      </c>
      <c r="B29">
        <v>4</v>
      </c>
      <c r="C29">
        <v>1</v>
      </c>
      <c r="D29" t="s">
        <v>68</v>
      </c>
      <c r="E29" t="s">
        <v>66</v>
      </c>
      <c r="F29" t="s">
        <v>71</v>
      </c>
      <c r="G29">
        <v>28000</v>
      </c>
      <c r="H29">
        <v>9500</v>
      </c>
      <c r="I29">
        <v>0</v>
      </c>
      <c r="J29">
        <v>0</v>
      </c>
      <c r="K29">
        <v>8000</v>
      </c>
      <c r="L29">
        <v>9000</v>
      </c>
      <c r="M29">
        <v>0</v>
      </c>
      <c r="N29">
        <v>9000</v>
      </c>
      <c r="O29">
        <v>0</v>
      </c>
      <c r="P29">
        <v>900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4</v>
      </c>
      <c r="Y29">
        <v>0</v>
      </c>
      <c r="Z29" cm="1">
        <f t="array" ref="Z29">MMULT($G29:$Y29,'Nelson Factor_2019'!$B$1:$B$19)/$G29</f>
        <v>5.921785714285714</v>
      </c>
      <c r="AA29" cm="1">
        <f t="array" ref="AA29">MMULT($G29:$R29,'Nelson Factor_2019'!$B$1:$B$12)/$G29</f>
        <v>5.8875000000000002</v>
      </c>
    </row>
    <row r="30" spans="1:27" x14ac:dyDescent="0.25">
      <c r="A30">
        <v>2005</v>
      </c>
      <c r="B30">
        <v>1</v>
      </c>
      <c r="C30">
        <v>6</v>
      </c>
      <c r="D30" t="s">
        <v>72</v>
      </c>
      <c r="E30" t="s">
        <v>73</v>
      </c>
      <c r="F30" t="s">
        <v>74</v>
      </c>
      <c r="G30">
        <v>175000</v>
      </c>
      <c r="H30">
        <v>91000</v>
      </c>
      <c r="I30">
        <v>47000</v>
      </c>
      <c r="J30">
        <v>0</v>
      </c>
      <c r="K30">
        <v>73000</v>
      </c>
      <c r="L30">
        <v>39000</v>
      </c>
      <c r="M30">
        <v>18000</v>
      </c>
      <c r="N30">
        <v>134000</v>
      </c>
      <c r="O30">
        <v>8190</v>
      </c>
      <c r="P30">
        <v>5040</v>
      </c>
      <c r="Q30">
        <v>1260</v>
      </c>
      <c r="R30">
        <v>6000</v>
      </c>
      <c r="S30">
        <v>0</v>
      </c>
      <c r="T30">
        <v>4514</v>
      </c>
      <c r="U30">
        <v>38</v>
      </c>
      <c r="V30">
        <v>22</v>
      </c>
      <c r="W30">
        <v>1700</v>
      </c>
      <c r="X30">
        <v>514</v>
      </c>
      <c r="Y30">
        <v>0</v>
      </c>
      <c r="Z30" cm="1">
        <f t="array" ref="Z30">MMULT($G30:$Y30,'Nelson Factor_2019'!$B$1:$B$19)/$G30</f>
        <v>12.010628571428571</v>
      </c>
      <c r="AA30" cm="1">
        <f t="array" ref="AA30">MMULT($G30:$R30,'Nelson Factor_2019'!$B$1:$B$12)/$G30</f>
        <v>11.047428571428572</v>
      </c>
    </row>
    <row r="31" spans="1:27" x14ac:dyDescent="0.25">
      <c r="A31">
        <v>2005</v>
      </c>
      <c r="B31">
        <v>5</v>
      </c>
      <c r="C31">
        <v>1</v>
      </c>
      <c r="D31" t="s">
        <v>75</v>
      </c>
      <c r="E31" t="s">
        <v>48</v>
      </c>
      <c r="F31" t="s">
        <v>76</v>
      </c>
      <c r="G31">
        <v>54000</v>
      </c>
      <c r="H31">
        <v>30000</v>
      </c>
      <c r="I31">
        <v>0</v>
      </c>
      <c r="J31">
        <v>0</v>
      </c>
      <c r="K31">
        <v>21000</v>
      </c>
      <c r="L31">
        <v>0</v>
      </c>
      <c r="M31">
        <v>0</v>
      </c>
      <c r="N31">
        <v>3000</v>
      </c>
      <c r="O31">
        <v>4000</v>
      </c>
      <c r="P31">
        <v>1000</v>
      </c>
      <c r="Q31">
        <v>0</v>
      </c>
      <c r="R31">
        <v>1200</v>
      </c>
      <c r="S31">
        <v>0</v>
      </c>
      <c r="T31">
        <v>0</v>
      </c>
      <c r="U31">
        <v>2</v>
      </c>
      <c r="V31">
        <v>0</v>
      </c>
      <c r="W31">
        <v>0</v>
      </c>
      <c r="X31">
        <v>0</v>
      </c>
      <c r="Y31">
        <v>1300</v>
      </c>
      <c r="Z31" cm="1">
        <f t="array" ref="Z31">MMULT($G31:$Y31,'Nelson Factor_2019'!$B$1:$B$19)/$G31</f>
        <v>5.2231851851851854</v>
      </c>
      <c r="AA31" cm="1">
        <f t="array" ref="AA31">MMULT($G31:$R31,'Nelson Factor_2019'!$B$1:$B$12)/$G31</f>
        <v>5.1870370370370367</v>
      </c>
    </row>
    <row r="32" spans="1:27" x14ac:dyDescent="0.25">
      <c r="A32">
        <v>2005</v>
      </c>
      <c r="B32">
        <v>5</v>
      </c>
      <c r="C32">
        <v>2</v>
      </c>
      <c r="D32" t="s">
        <v>75</v>
      </c>
      <c r="E32" t="s">
        <v>77</v>
      </c>
      <c r="F32" t="s">
        <v>76</v>
      </c>
      <c r="G32">
        <v>93700</v>
      </c>
      <c r="H32">
        <v>39500</v>
      </c>
      <c r="I32">
        <v>0</v>
      </c>
      <c r="J32">
        <v>11500</v>
      </c>
      <c r="K32">
        <v>0</v>
      </c>
      <c r="L32">
        <v>12800</v>
      </c>
      <c r="M32">
        <v>17600</v>
      </c>
      <c r="N32">
        <v>12800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18</v>
      </c>
      <c r="V32">
        <v>0</v>
      </c>
      <c r="W32">
        <v>0</v>
      </c>
      <c r="X32">
        <v>34</v>
      </c>
      <c r="Y32">
        <v>1000</v>
      </c>
      <c r="Z32" cm="1">
        <f t="array" ref="Z32">MMULT($G32:$Y32,'Nelson Factor_2019'!$B$1:$B$19)/$G32</f>
        <v>4.5160405549626468</v>
      </c>
      <c r="AA32" cm="1">
        <f t="array" ref="AA32">MMULT($G32:$R32,'Nelson Factor_2019'!$B$1:$B$12)/$G32</f>
        <v>4.4127534685165424</v>
      </c>
    </row>
    <row r="33" spans="1:27" x14ac:dyDescent="0.25">
      <c r="A33">
        <v>2005</v>
      </c>
      <c r="B33">
        <v>2</v>
      </c>
      <c r="C33">
        <v>4</v>
      </c>
      <c r="D33" t="s">
        <v>78</v>
      </c>
      <c r="E33" t="s">
        <v>79</v>
      </c>
      <c r="F33" t="s">
        <v>80</v>
      </c>
      <c r="G33">
        <v>158650</v>
      </c>
      <c r="H33">
        <v>71250</v>
      </c>
      <c r="I33">
        <v>36000</v>
      </c>
      <c r="J33">
        <v>0</v>
      </c>
      <c r="K33">
        <v>60300</v>
      </c>
      <c r="L33">
        <v>28080</v>
      </c>
      <c r="M33">
        <v>0</v>
      </c>
      <c r="N33">
        <v>103410</v>
      </c>
      <c r="O33">
        <v>18900</v>
      </c>
      <c r="P33">
        <v>0</v>
      </c>
      <c r="Q33">
        <v>6030</v>
      </c>
      <c r="R33">
        <v>0</v>
      </c>
      <c r="S33">
        <v>0</v>
      </c>
      <c r="T33">
        <v>0</v>
      </c>
      <c r="U33">
        <v>4.5</v>
      </c>
      <c r="V33">
        <v>0</v>
      </c>
      <c r="W33">
        <v>2102</v>
      </c>
      <c r="X33">
        <v>344</v>
      </c>
      <c r="Y33">
        <v>0</v>
      </c>
      <c r="Z33" cm="1">
        <f t="array" ref="Z33">MMULT($G33:$Y33,'Nelson Factor_2019'!$B$1:$B$19)/$G33</f>
        <v>10.55256539552474</v>
      </c>
      <c r="AA33" cm="1">
        <f t="array" ref="AA33">MMULT($G33:$R33,'Nelson Factor_2019'!$B$1:$B$12)/$G33</f>
        <v>10.032146233848094</v>
      </c>
    </row>
    <row r="34" spans="1:27" x14ac:dyDescent="0.25">
      <c r="A34">
        <v>2005</v>
      </c>
      <c r="B34">
        <v>2</v>
      </c>
      <c r="C34">
        <v>6</v>
      </c>
      <c r="D34" t="s">
        <v>78</v>
      </c>
      <c r="E34" t="s">
        <v>51</v>
      </c>
      <c r="F34" t="s">
        <v>81</v>
      </c>
      <c r="G34">
        <v>306000</v>
      </c>
      <c r="H34">
        <v>117800</v>
      </c>
      <c r="I34">
        <v>16200</v>
      </c>
      <c r="J34">
        <v>0</v>
      </c>
      <c r="K34">
        <v>90000</v>
      </c>
      <c r="L34">
        <v>85000</v>
      </c>
      <c r="M34">
        <v>28500</v>
      </c>
      <c r="N34">
        <v>202300</v>
      </c>
      <c r="O34">
        <v>20500</v>
      </c>
      <c r="P34">
        <v>0</v>
      </c>
      <c r="Q34">
        <v>3500</v>
      </c>
      <c r="R34">
        <v>0</v>
      </c>
      <c r="S34">
        <v>0</v>
      </c>
      <c r="T34">
        <v>0</v>
      </c>
      <c r="U34">
        <v>51.5</v>
      </c>
      <c r="V34">
        <v>0</v>
      </c>
      <c r="W34">
        <v>1250</v>
      </c>
      <c r="X34">
        <v>435</v>
      </c>
      <c r="Y34">
        <v>40000</v>
      </c>
      <c r="Z34" cm="1">
        <f t="array" ref="Z34">MMULT($G34:$Y34,'Nelson Factor_2019'!$B$1:$B$19)/$G34</f>
        <v>8.8851029411764699</v>
      </c>
      <c r="AA34" cm="1">
        <f t="array" ref="AA34">MMULT($G34:$R34,'Nelson Factor_2019'!$B$1:$B$12)/$G34</f>
        <v>8.3476797385620909</v>
      </c>
    </row>
    <row r="35" spans="1:27" x14ac:dyDescent="0.25">
      <c r="A35">
        <v>2005</v>
      </c>
      <c r="B35">
        <v>2</v>
      </c>
      <c r="C35">
        <v>4</v>
      </c>
      <c r="D35" t="s">
        <v>78</v>
      </c>
      <c r="E35" t="s">
        <v>54</v>
      </c>
      <c r="F35" t="s">
        <v>82</v>
      </c>
      <c r="G35">
        <v>238000</v>
      </c>
      <c r="H35">
        <v>114000</v>
      </c>
      <c r="I35">
        <v>55500</v>
      </c>
      <c r="J35">
        <v>0</v>
      </c>
      <c r="K35">
        <v>93000</v>
      </c>
      <c r="L35">
        <v>49500</v>
      </c>
      <c r="M35">
        <v>0</v>
      </c>
      <c r="N35">
        <v>247000</v>
      </c>
      <c r="O35">
        <v>27000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3330</v>
      </c>
      <c r="X35">
        <v>660</v>
      </c>
      <c r="Y35">
        <v>10500</v>
      </c>
      <c r="Z35" cm="1">
        <f t="array" ref="Z35">MMULT($G35:$Y35,'Nelson Factor_2019'!$B$1:$B$19)/$G35</f>
        <v>11.216806722689075</v>
      </c>
      <c r="AA35" cm="1">
        <f t="array" ref="AA35">MMULT($G35:$R35,'Nelson Factor_2019'!$B$1:$B$12)/$G35</f>
        <v>10.485084033613445</v>
      </c>
    </row>
    <row r="36" spans="1:27" x14ac:dyDescent="0.25">
      <c r="A36">
        <v>2005</v>
      </c>
      <c r="B36">
        <v>2</v>
      </c>
      <c r="C36">
        <v>6</v>
      </c>
      <c r="D36" t="s">
        <v>78</v>
      </c>
      <c r="E36" t="s">
        <v>83</v>
      </c>
      <c r="F36" t="s">
        <v>84</v>
      </c>
      <c r="G36">
        <v>192000</v>
      </c>
      <c r="H36">
        <v>61900</v>
      </c>
      <c r="I36">
        <v>27500</v>
      </c>
      <c r="J36">
        <v>0</v>
      </c>
      <c r="K36">
        <v>50400</v>
      </c>
      <c r="L36">
        <v>71300</v>
      </c>
      <c r="M36">
        <v>25700</v>
      </c>
      <c r="N36">
        <v>123500</v>
      </c>
      <c r="O36">
        <v>12400</v>
      </c>
      <c r="P36">
        <v>0</v>
      </c>
      <c r="Q36">
        <v>0</v>
      </c>
      <c r="R36">
        <v>13300</v>
      </c>
      <c r="S36">
        <v>0</v>
      </c>
      <c r="T36">
        <v>0</v>
      </c>
      <c r="U36">
        <v>0</v>
      </c>
      <c r="V36">
        <v>0</v>
      </c>
      <c r="W36">
        <v>0</v>
      </c>
      <c r="X36">
        <v>202</v>
      </c>
      <c r="Y36">
        <v>0</v>
      </c>
      <c r="Z36" cm="1">
        <f t="array" ref="Z36">MMULT($G36:$Y36,'Nelson Factor_2019'!$B$1:$B$19)/$G36</f>
        <v>9.7101562500000007</v>
      </c>
      <c r="AA36" cm="1">
        <f t="array" ref="AA36">MMULT($G36:$R36,'Nelson Factor_2019'!$B$1:$B$12)/$G36</f>
        <v>9.4576562499999994</v>
      </c>
    </row>
    <row r="37" spans="1:27" x14ac:dyDescent="0.25">
      <c r="A37">
        <v>2005</v>
      </c>
      <c r="B37">
        <v>2</v>
      </c>
      <c r="C37">
        <v>4</v>
      </c>
      <c r="D37" t="s">
        <v>85</v>
      </c>
      <c r="E37" t="s">
        <v>32</v>
      </c>
      <c r="F37" t="s">
        <v>86</v>
      </c>
      <c r="G37">
        <v>399000</v>
      </c>
      <c r="H37">
        <v>242250</v>
      </c>
      <c r="I37">
        <v>31500</v>
      </c>
      <c r="J37">
        <v>0</v>
      </c>
      <c r="K37">
        <v>148500</v>
      </c>
      <c r="L37">
        <v>79200</v>
      </c>
      <c r="M37">
        <v>0</v>
      </c>
      <c r="N37">
        <v>384200</v>
      </c>
      <c r="O37">
        <v>30600</v>
      </c>
      <c r="P37">
        <v>0</v>
      </c>
      <c r="Q37">
        <v>16200</v>
      </c>
      <c r="R37">
        <v>32400</v>
      </c>
      <c r="S37">
        <v>0</v>
      </c>
      <c r="T37">
        <v>3800</v>
      </c>
      <c r="U37">
        <v>29.5</v>
      </c>
      <c r="V37">
        <v>0</v>
      </c>
      <c r="W37">
        <v>1690</v>
      </c>
      <c r="X37">
        <v>449</v>
      </c>
      <c r="Y37">
        <v>60000</v>
      </c>
      <c r="Z37" cm="1">
        <f t="array" ref="Z37">MMULT($G37:$Y37,'Nelson Factor_2019'!$B$1:$B$19)/$G37</f>
        <v>10.427730576441103</v>
      </c>
      <c r="AA37" cm="1">
        <f t="array" ref="AA37">MMULT($G37:$R37,'Nelson Factor_2019'!$B$1:$B$12)/$G37</f>
        <v>9.8367794486215541</v>
      </c>
    </row>
    <row r="38" spans="1:27" x14ac:dyDescent="0.25">
      <c r="A38">
        <v>2005</v>
      </c>
      <c r="B38">
        <v>2</v>
      </c>
      <c r="C38">
        <v>1</v>
      </c>
      <c r="D38" t="s">
        <v>85</v>
      </c>
      <c r="E38" t="s">
        <v>87</v>
      </c>
      <c r="F38" t="s">
        <v>88</v>
      </c>
      <c r="G38">
        <v>23500</v>
      </c>
      <c r="H38">
        <v>8000</v>
      </c>
      <c r="I38">
        <v>0</v>
      </c>
      <c r="J38">
        <v>0</v>
      </c>
      <c r="K38">
        <v>7850</v>
      </c>
      <c r="L38">
        <v>6500</v>
      </c>
      <c r="M38">
        <v>0</v>
      </c>
      <c r="N38">
        <v>10000</v>
      </c>
      <c r="O38">
        <v>2000</v>
      </c>
      <c r="P38">
        <v>0</v>
      </c>
      <c r="Q38">
        <v>0</v>
      </c>
      <c r="R38">
        <v>2200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 cm="1">
        <f t="array" ref="Z38">MMULT($G38:$Y38,'Nelson Factor_2019'!$B$1:$B$19)/$G38</f>
        <v>7.0255319148936168</v>
      </c>
      <c r="AA38" cm="1">
        <f t="array" ref="AA38">MMULT($G38:$R38,'Nelson Factor_2019'!$B$1:$B$12)/$G38</f>
        <v>7.0255319148936168</v>
      </c>
    </row>
    <row r="39" spans="1:27" x14ac:dyDescent="0.25">
      <c r="A39">
        <v>2005</v>
      </c>
      <c r="B39">
        <v>2</v>
      </c>
      <c r="C39">
        <v>4</v>
      </c>
      <c r="D39" t="s">
        <v>89</v>
      </c>
      <c r="E39" t="s">
        <v>90</v>
      </c>
      <c r="F39" t="s">
        <v>91</v>
      </c>
      <c r="G39">
        <v>100000</v>
      </c>
      <c r="H39">
        <v>50000</v>
      </c>
      <c r="I39">
        <v>19000</v>
      </c>
      <c r="J39">
        <v>0</v>
      </c>
      <c r="K39">
        <v>29100</v>
      </c>
      <c r="L39">
        <v>17000</v>
      </c>
      <c r="M39">
        <v>0</v>
      </c>
      <c r="N39">
        <v>61000</v>
      </c>
      <c r="O39">
        <v>9200</v>
      </c>
      <c r="P39">
        <v>0</v>
      </c>
      <c r="Q39">
        <v>0</v>
      </c>
      <c r="R39">
        <v>8500</v>
      </c>
      <c r="S39">
        <v>0</v>
      </c>
      <c r="T39">
        <v>0</v>
      </c>
      <c r="U39">
        <v>0</v>
      </c>
      <c r="V39">
        <v>0</v>
      </c>
      <c r="W39">
        <v>890</v>
      </c>
      <c r="X39">
        <v>0</v>
      </c>
      <c r="Y39">
        <v>0</v>
      </c>
      <c r="Z39" cm="1">
        <f t="array" ref="Z39">MMULT($G39:$Y39,'Nelson Factor_2019'!$B$1:$B$19)/$G39</f>
        <v>8.3710000000000004</v>
      </c>
      <c r="AA39" cm="1">
        <f t="array" ref="AA39">MMULT($G39:$R39,'Nelson Factor_2019'!$B$1:$B$12)/$G39</f>
        <v>8.3710000000000004</v>
      </c>
    </row>
    <row r="40" spans="1:27" x14ac:dyDescent="0.25">
      <c r="A40">
        <v>2005</v>
      </c>
      <c r="B40">
        <v>2</v>
      </c>
      <c r="C40">
        <v>4</v>
      </c>
      <c r="D40" t="s">
        <v>89</v>
      </c>
      <c r="E40" t="s">
        <v>92</v>
      </c>
      <c r="F40" t="s">
        <v>45</v>
      </c>
      <c r="G40">
        <v>110000</v>
      </c>
      <c r="H40">
        <v>39000</v>
      </c>
      <c r="I40">
        <v>18000</v>
      </c>
      <c r="J40">
        <v>0</v>
      </c>
      <c r="K40">
        <v>37200</v>
      </c>
      <c r="L40">
        <v>29500</v>
      </c>
      <c r="M40">
        <v>0</v>
      </c>
      <c r="N40">
        <v>122900</v>
      </c>
      <c r="O40">
        <v>12500</v>
      </c>
      <c r="P40">
        <v>0</v>
      </c>
      <c r="Q40">
        <v>3000</v>
      </c>
      <c r="R40">
        <v>12500</v>
      </c>
      <c r="S40">
        <v>0</v>
      </c>
      <c r="T40">
        <v>0</v>
      </c>
      <c r="U40">
        <v>6</v>
      </c>
      <c r="V40">
        <v>12</v>
      </c>
      <c r="W40">
        <v>860</v>
      </c>
      <c r="X40">
        <v>250</v>
      </c>
      <c r="Y40">
        <v>0</v>
      </c>
      <c r="Z40" cm="1">
        <f t="array" ref="Z40">MMULT($G40:$Y40,'Nelson Factor_2019'!$B$1:$B$19)/$G40</f>
        <v>11.419709090909091</v>
      </c>
      <c r="AA40" cm="1">
        <f t="array" ref="AA40">MMULT($G40:$R40,'Nelson Factor_2019'!$B$1:$B$12)/$G40</f>
        <v>10.87409090909091</v>
      </c>
    </row>
    <row r="41" spans="1:27" x14ac:dyDescent="0.25">
      <c r="A41">
        <v>2005</v>
      </c>
      <c r="B41">
        <v>2</v>
      </c>
      <c r="C41">
        <v>4</v>
      </c>
      <c r="D41" t="s">
        <v>89</v>
      </c>
      <c r="E41" t="s">
        <v>93</v>
      </c>
      <c r="F41" t="s">
        <v>94</v>
      </c>
      <c r="G41">
        <v>79000</v>
      </c>
      <c r="H41">
        <v>31600</v>
      </c>
      <c r="I41">
        <v>20400</v>
      </c>
      <c r="J41">
        <v>0</v>
      </c>
      <c r="K41">
        <v>20900</v>
      </c>
      <c r="L41">
        <v>20900</v>
      </c>
      <c r="M41">
        <v>0</v>
      </c>
      <c r="N41">
        <v>78500</v>
      </c>
      <c r="O41">
        <v>6300</v>
      </c>
      <c r="P41">
        <v>0</v>
      </c>
      <c r="Q41">
        <v>0</v>
      </c>
      <c r="R41">
        <v>13500</v>
      </c>
      <c r="S41">
        <v>0</v>
      </c>
      <c r="T41">
        <v>0</v>
      </c>
      <c r="U41">
        <v>0</v>
      </c>
      <c r="V41">
        <v>0</v>
      </c>
      <c r="W41">
        <v>612</v>
      </c>
      <c r="X41">
        <v>81</v>
      </c>
      <c r="Y41">
        <v>0</v>
      </c>
      <c r="Z41" cm="1">
        <f t="array" ref="Z41">MMULT($G41:$Y41,'Nelson Factor_2019'!$B$1:$B$19)/$G41</f>
        <v>10.407215189873417</v>
      </c>
      <c r="AA41" cm="1">
        <f t="array" ref="AA41">MMULT($G41:$R41,'Nelson Factor_2019'!$B$1:$B$12)/$G41</f>
        <v>10.16113924050633</v>
      </c>
    </row>
    <row r="42" spans="1:27" x14ac:dyDescent="0.25">
      <c r="A42">
        <v>2005</v>
      </c>
      <c r="B42">
        <v>2</v>
      </c>
      <c r="C42">
        <v>1</v>
      </c>
      <c r="D42" t="s">
        <v>95</v>
      </c>
      <c r="E42" t="s">
        <v>83</v>
      </c>
      <c r="F42" t="s">
        <v>96</v>
      </c>
      <c r="G42">
        <v>222000</v>
      </c>
      <c r="H42">
        <v>109300</v>
      </c>
      <c r="I42">
        <v>0</v>
      </c>
      <c r="J42">
        <v>0</v>
      </c>
      <c r="K42">
        <v>90300</v>
      </c>
      <c r="L42">
        <v>47500</v>
      </c>
      <c r="M42">
        <v>0</v>
      </c>
      <c r="N42">
        <v>232400</v>
      </c>
      <c r="O42">
        <v>13300</v>
      </c>
      <c r="P42">
        <v>0</v>
      </c>
      <c r="Q42">
        <v>11100</v>
      </c>
      <c r="R42">
        <v>12400</v>
      </c>
      <c r="S42">
        <v>8900</v>
      </c>
      <c r="T42">
        <v>0</v>
      </c>
      <c r="U42">
        <v>0</v>
      </c>
      <c r="V42">
        <v>0</v>
      </c>
      <c r="W42">
        <v>0</v>
      </c>
      <c r="X42">
        <v>448</v>
      </c>
      <c r="Y42">
        <v>25500</v>
      </c>
      <c r="Z42" cm="1">
        <f t="array" ref="Z42">MMULT($G42:$Y42,'Nelson Factor_2019'!$B$1:$B$19)/$G42</f>
        <v>12.596216216216217</v>
      </c>
      <c r="AA42" cm="1">
        <f t="array" ref="AA42">MMULT($G42:$R42,'Nelson Factor_2019'!$B$1:$B$12)/$G42</f>
        <v>9.5341891891891883</v>
      </c>
    </row>
    <row r="43" spans="1:27" x14ac:dyDescent="0.25">
      <c r="A43">
        <v>2005</v>
      </c>
      <c r="B43">
        <v>2</v>
      </c>
      <c r="C43">
        <v>0</v>
      </c>
      <c r="D43" t="s">
        <v>95</v>
      </c>
      <c r="E43" t="s">
        <v>97</v>
      </c>
      <c r="F43" t="s">
        <v>98</v>
      </c>
      <c r="G43">
        <v>5500</v>
      </c>
      <c r="H43">
        <v>0</v>
      </c>
      <c r="I43">
        <v>0</v>
      </c>
      <c r="J43">
        <v>0</v>
      </c>
      <c r="K43">
        <v>0</v>
      </c>
      <c r="L43">
        <v>1500</v>
      </c>
      <c r="M43">
        <v>0</v>
      </c>
      <c r="N43">
        <v>2000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 cm="1">
        <f t="array" ref="Z43">MMULT($G43:$Y43,'Nelson Factor_2019'!$B$1:$B$19)/$G43</f>
        <v>3.2727272727272729</v>
      </c>
      <c r="AA43" cm="1">
        <f t="array" ref="AA43">MMULT($G43:$R43,'Nelson Factor_2019'!$B$1:$B$12)/$G43</f>
        <v>3.2727272727272729</v>
      </c>
    </row>
    <row r="44" spans="1:27" x14ac:dyDescent="0.25">
      <c r="A44">
        <v>2005</v>
      </c>
      <c r="B44">
        <v>3</v>
      </c>
      <c r="C44">
        <v>0</v>
      </c>
      <c r="D44" t="s">
        <v>99</v>
      </c>
      <c r="E44" t="s">
        <v>100</v>
      </c>
      <c r="F44" t="s">
        <v>101</v>
      </c>
      <c r="G44">
        <v>15680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 cm="1">
        <f t="array" ref="Z44">MMULT($G44:$Y44,'Nelson Factor_2019'!$B$1:$B$19)/$G44</f>
        <v>1</v>
      </c>
      <c r="AA44" cm="1">
        <f t="array" ref="AA44">MMULT($G44:$R44,'Nelson Factor_2019'!$B$1:$B$12)/$G44</f>
        <v>1</v>
      </c>
    </row>
    <row r="45" spans="1:27" x14ac:dyDescent="0.25">
      <c r="A45">
        <v>2005</v>
      </c>
      <c r="B45">
        <v>3</v>
      </c>
      <c r="C45">
        <v>0</v>
      </c>
      <c r="D45" t="s">
        <v>99</v>
      </c>
      <c r="E45" t="s">
        <v>102</v>
      </c>
      <c r="F45" t="s">
        <v>103</v>
      </c>
      <c r="G45">
        <v>8500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4000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2.5</v>
      </c>
      <c r="V45">
        <v>2.5</v>
      </c>
      <c r="W45">
        <v>0</v>
      </c>
      <c r="X45">
        <v>0</v>
      </c>
      <c r="Y45">
        <v>0</v>
      </c>
      <c r="Z45" cm="1">
        <f t="array" ref="Z45">MMULT($G45:$Y45,'Nelson Factor_2019'!$B$1:$B$19)/$G45</f>
        <v>2.1770588235294119</v>
      </c>
      <c r="AA45" cm="1">
        <f t="array" ref="AA45">MMULT($G45:$R45,'Nelson Factor_2019'!$B$1:$B$12)/$G45</f>
        <v>2.1764705882352939</v>
      </c>
    </row>
    <row r="46" spans="1:27" x14ac:dyDescent="0.25">
      <c r="A46">
        <v>2005</v>
      </c>
      <c r="B46">
        <v>3</v>
      </c>
      <c r="C46">
        <v>2</v>
      </c>
      <c r="D46" t="s">
        <v>99</v>
      </c>
      <c r="E46" t="s">
        <v>102</v>
      </c>
      <c r="F46" t="s">
        <v>104</v>
      </c>
      <c r="G46">
        <v>9500</v>
      </c>
      <c r="H46">
        <v>8500</v>
      </c>
      <c r="I46">
        <v>0</v>
      </c>
      <c r="J46">
        <v>0</v>
      </c>
      <c r="K46">
        <v>0</v>
      </c>
      <c r="L46">
        <v>0</v>
      </c>
      <c r="M46">
        <v>8000</v>
      </c>
      <c r="N46">
        <v>0</v>
      </c>
      <c r="O46">
        <v>0</v>
      </c>
      <c r="P46">
        <v>0</v>
      </c>
      <c r="Q46">
        <v>0</v>
      </c>
      <c r="R46">
        <v>0</v>
      </c>
      <c r="S46">
        <v>7000</v>
      </c>
      <c r="T46">
        <v>0</v>
      </c>
      <c r="U46">
        <v>4.5</v>
      </c>
      <c r="V46">
        <v>4.5</v>
      </c>
      <c r="W46">
        <v>0</v>
      </c>
      <c r="X46">
        <v>3</v>
      </c>
      <c r="Y46">
        <v>0</v>
      </c>
      <c r="Z46" cm="1">
        <f t="array" ref="Z46">MMULT($G46:$Y46,'Nelson Factor_2019'!$B$1:$B$19)/$G46</f>
        <v>53.187263157894733</v>
      </c>
      <c r="AA46" cm="1">
        <f t="array" ref="AA46">MMULT($G46:$R46,'Nelson Factor_2019'!$B$1:$B$12)/$G46</f>
        <v>8.9</v>
      </c>
    </row>
    <row r="47" spans="1:27" x14ac:dyDescent="0.25">
      <c r="A47">
        <v>2005</v>
      </c>
      <c r="B47">
        <v>3</v>
      </c>
      <c r="C47">
        <v>2</v>
      </c>
      <c r="D47" t="s">
        <v>99</v>
      </c>
      <c r="E47" t="s">
        <v>102</v>
      </c>
      <c r="F47" t="s">
        <v>105</v>
      </c>
      <c r="G47">
        <v>15000</v>
      </c>
      <c r="H47">
        <v>10000</v>
      </c>
      <c r="I47">
        <v>0</v>
      </c>
      <c r="J47">
        <v>0</v>
      </c>
      <c r="K47">
        <v>0</v>
      </c>
      <c r="L47">
        <v>0</v>
      </c>
      <c r="M47">
        <v>7200</v>
      </c>
      <c r="N47">
        <v>1100</v>
      </c>
      <c r="O47">
        <v>0</v>
      </c>
      <c r="P47">
        <v>0</v>
      </c>
      <c r="Q47">
        <v>0</v>
      </c>
      <c r="R47">
        <v>0</v>
      </c>
      <c r="S47">
        <v>7000</v>
      </c>
      <c r="T47">
        <v>0</v>
      </c>
      <c r="U47">
        <v>6.1</v>
      </c>
      <c r="V47">
        <v>6.1</v>
      </c>
      <c r="W47">
        <v>0</v>
      </c>
      <c r="X47">
        <v>15</v>
      </c>
      <c r="Y47">
        <v>0</v>
      </c>
      <c r="Z47" cm="1">
        <f t="array" ref="Z47">MMULT($G47:$Y47,'Nelson Factor_2019'!$B$1:$B$19)/$G47</f>
        <v>34.130813333333329</v>
      </c>
      <c r="AA47" cm="1">
        <f t="array" ref="AA47">MMULT($G47:$R47,'Nelson Factor_2019'!$B$1:$B$12)/$G47</f>
        <v>5.89</v>
      </c>
    </row>
    <row r="48" spans="1:27" x14ac:dyDescent="0.25">
      <c r="A48">
        <v>2005</v>
      </c>
      <c r="B48">
        <v>3</v>
      </c>
      <c r="C48">
        <v>0</v>
      </c>
      <c r="D48" t="s">
        <v>99</v>
      </c>
      <c r="E48" t="s">
        <v>106</v>
      </c>
      <c r="F48" t="s">
        <v>101</v>
      </c>
      <c r="G48">
        <v>0</v>
      </c>
      <c r="H48">
        <v>36100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8550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 cm="1">
        <f t="array" ref="Z48">MMULT($G48:$Y48,'Nelson Factor_2019'!$B$1:$B$19)/$H48</f>
        <v>15.510526315789473</v>
      </c>
      <c r="AA48" cm="1">
        <f t="array" ref="AA48">MMULT($G48:$R48,'Nelson Factor_2019'!$B$1:$B$12)/$H48</f>
        <v>1.3</v>
      </c>
    </row>
    <row r="49" spans="1:27" x14ac:dyDescent="0.25">
      <c r="A49">
        <v>2005</v>
      </c>
      <c r="B49">
        <v>3</v>
      </c>
      <c r="C49">
        <v>6</v>
      </c>
      <c r="D49" t="s">
        <v>99</v>
      </c>
      <c r="E49" t="s">
        <v>79</v>
      </c>
      <c r="F49" t="s">
        <v>101</v>
      </c>
      <c r="G49">
        <v>308085</v>
      </c>
      <c r="H49">
        <v>79800</v>
      </c>
      <c r="I49">
        <v>88200</v>
      </c>
      <c r="J49">
        <v>0</v>
      </c>
      <c r="K49">
        <v>126000</v>
      </c>
      <c r="L49">
        <v>94500</v>
      </c>
      <c r="M49">
        <v>37800</v>
      </c>
      <c r="N49">
        <v>233100</v>
      </c>
      <c r="O49">
        <v>20700</v>
      </c>
      <c r="P49">
        <v>0</v>
      </c>
      <c r="Q49">
        <v>13500</v>
      </c>
      <c r="R49">
        <v>28800</v>
      </c>
      <c r="S49">
        <v>9900</v>
      </c>
      <c r="T49">
        <v>3150</v>
      </c>
      <c r="U49">
        <v>47.7</v>
      </c>
      <c r="V49">
        <v>10.8</v>
      </c>
      <c r="W49">
        <v>3870</v>
      </c>
      <c r="X49">
        <v>567</v>
      </c>
      <c r="Y49">
        <v>0</v>
      </c>
      <c r="Z49" cm="1">
        <f t="array" ref="Z49">MMULT($G49:$Y49,'Nelson Factor_2019'!$B$1:$B$19)/$G49</f>
        <v>14.64535274356103</v>
      </c>
      <c r="AA49" cm="1">
        <f t="array" ref="AA49">MMULT($G49:$R49,'Nelson Factor_2019'!$B$1:$B$12)/$G49</f>
        <v>12.173182725546521</v>
      </c>
    </row>
    <row r="50" spans="1:27" x14ac:dyDescent="0.25">
      <c r="A50">
        <v>2005</v>
      </c>
      <c r="B50">
        <v>3</v>
      </c>
      <c r="C50">
        <v>4</v>
      </c>
      <c r="D50" t="s">
        <v>99</v>
      </c>
      <c r="E50" t="s">
        <v>51</v>
      </c>
      <c r="F50" t="s">
        <v>107</v>
      </c>
      <c r="G50">
        <v>247000</v>
      </c>
      <c r="H50">
        <v>92000</v>
      </c>
      <c r="I50">
        <v>25200</v>
      </c>
      <c r="J50">
        <v>0</v>
      </c>
      <c r="K50">
        <v>104000</v>
      </c>
      <c r="L50">
        <v>42000</v>
      </c>
      <c r="M50">
        <v>0</v>
      </c>
      <c r="N50">
        <v>144400</v>
      </c>
      <c r="O50">
        <v>38000</v>
      </c>
      <c r="P50">
        <v>0</v>
      </c>
      <c r="Q50">
        <v>31800</v>
      </c>
      <c r="R50">
        <v>0</v>
      </c>
      <c r="S50">
        <v>0</v>
      </c>
      <c r="T50">
        <v>0</v>
      </c>
      <c r="U50">
        <v>0</v>
      </c>
      <c r="V50">
        <v>10.4</v>
      </c>
      <c r="W50">
        <v>800</v>
      </c>
      <c r="X50">
        <v>70</v>
      </c>
      <c r="Y50">
        <v>0</v>
      </c>
      <c r="Z50" cm="1">
        <f t="array" ref="Z50">MMULT($G50:$Y50,'Nelson Factor_2019'!$B$1:$B$19)/$G50</f>
        <v>11.268868016194332</v>
      </c>
      <c r="AA50" cm="1">
        <f t="array" ref="AA50">MMULT($G50:$R50,'Nelson Factor_2019'!$B$1:$B$12)/$G50</f>
        <v>11.20080971659919</v>
      </c>
    </row>
    <row r="51" spans="1:27" x14ac:dyDescent="0.25">
      <c r="A51">
        <v>2005</v>
      </c>
      <c r="B51">
        <v>3</v>
      </c>
      <c r="C51">
        <v>6</v>
      </c>
      <c r="D51" t="s">
        <v>99</v>
      </c>
      <c r="E51" t="s">
        <v>51</v>
      </c>
      <c r="F51" t="s">
        <v>108</v>
      </c>
      <c r="G51">
        <v>239000</v>
      </c>
      <c r="H51">
        <v>106200</v>
      </c>
      <c r="I51">
        <v>57800</v>
      </c>
      <c r="J51">
        <v>0</v>
      </c>
      <c r="K51">
        <v>44800</v>
      </c>
      <c r="L51">
        <v>33000</v>
      </c>
      <c r="M51">
        <v>29000</v>
      </c>
      <c r="N51">
        <v>146400</v>
      </c>
      <c r="O51">
        <v>7500</v>
      </c>
      <c r="P51">
        <v>1000</v>
      </c>
      <c r="Q51">
        <v>0</v>
      </c>
      <c r="R51">
        <v>0</v>
      </c>
      <c r="S51">
        <v>0</v>
      </c>
      <c r="T51">
        <v>0</v>
      </c>
      <c r="U51">
        <v>0</v>
      </c>
      <c r="V51">
        <v>90.5</v>
      </c>
      <c r="W51">
        <v>3600</v>
      </c>
      <c r="X51">
        <v>349</v>
      </c>
      <c r="Y51">
        <v>0</v>
      </c>
      <c r="Z51" cm="1">
        <f t="array" ref="Z51">MMULT($G51:$Y51,'Nelson Factor_2019'!$B$1:$B$19)/$G51</f>
        <v>8.4151066945606701</v>
      </c>
      <c r="AA51" cm="1">
        <f t="array" ref="AA51">MMULT($G51:$R51,'Nelson Factor_2019'!$B$1:$B$12)/$G51</f>
        <v>8.0642677824267786</v>
      </c>
    </row>
    <row r="52" spans="1:27" x14ac:dyDescent="0.25">
      <c r="A52">
        <v>2005</v>
      </c>
      <c r="B52">
        <v>3</v>
      </c>
      <c r="C52">
        <v>6</v>
      </c>
      <c r="D52" t="s">
        <v>99</v>
      </c>
      <c r="E52" t="s">
        <v>54</v>
      </c>
      <c r="F52" t="s">
        <v>109</v>
      </c>
      <c r="G52">
        <v>493500</v>
      </c>
      <c r="H52">
        <v>223000</v>
      </c>
      <c r="I52">
        <v>112500</v>
      </c>
      <c r="J52">
        <v>0</v>
      </c>
      <c r="K52">
        <v>229000</v>
      </c>
      <c r="L52">
        <v>75500</v>
      </c>
      <c r="M52">
        <v>24000</v>
      </c>
      <c r="N52">
        <v>435500</v>
      </c>
      <c r="O52">
        <v>36000</v>
      </c>
      <c r="P52">
        <v>9500</v>
      </c>
      <c r="Q52">
        <v>0</v>
      </c>
      <c r="R52">
        <v>0</v>
      </c>
      <c r="S52">
        <v>16000</v>
      </c>
      <c r="T52">
        <v>7000</v>
      </c>
      <c r="U52">
        <v>0</v>
      </c>
      <c r="V52">
        <v>24</v>
      </c>
      <c r="W52">
        <v>5000</v>
      </c>
      <c r="X52">
        <v>690</v>
      </c>
      <c r="Y52">
        <v>0</v>
      </c>
      <c r="Z52" cm="1">
        <f t="array" ref="Z52">MMULT($G52:$Y52,'Nelson Factor_2019'!$B$1:$B$19)/$G52</f>
        <v>12.7862695035461</v>
      </c>
      <c r="AA52" cm="1">
        <f t="array" ref="AA52">MMULT($G52:$R52,'Nelson Factor_2019'!$B$1:$B$12)/$G52</f>
        <v>10.363525835866261</v>
      </c>
    </row>
    <row r="53" spans="1:27" x14ac:dyDescent="0.25">
      <c r="A53">
        <v>2005</v>
      </c>
      <c r="B53">
        <v>3</v>
      </c>
      <c r="C53">
        <v>6</v>
      </c>
      <c r="D53" t="s">
        <v>99</v>
      </c>
      <c r="E53" t="s">
        <v>54</v>
      </c>
      <c r="F53" t="s">
        <v>110</v>
      </c>
      <c r="G53">
        <v>187000</v>
      </c>
      <c r="H53">
        <v>107000</v>
      </c>
      <c r="I53">
        <v>33000</v>
      </c>
      <c r="J53">
        <v>0</v>
      </c>
      <c r="K53">
        <v>68000</v>
      </c>
      <c r="L53">
        <v>46000</v>
      </c>
      <c r="M53">
        <v>18500</v>
      </c>
      <c r="N53">
        <v>128000</v>
      </c>
      <c r="O53">
        <v>12500</v>
      </c>
      <c r="P53">
        <v>0</v>
      </c>
      <c r="Q53">
        <v>10000</v>
      </c>
      <c r="R53">
        <v>9500</v>
      </c>
      <c r="S53">
        <v>0</v>
      </c>
      <c r="T53">
        <v>0</v>
      </c>
      <c r="U53">
        <v>0</v>
      </c>
      <c r="V53">
        <v>0</v>
      </c>
      <c r="W53">
        <v>2050</v>
      </c>
      <c r="X53">
        <v>920</v>
      </c>
      <c r="Y53">
        <v>0</v>
      </c>
      <c r="Z53" cm="1">
        <f t="array" ref="Z53">MMULT($G53:$Y53,'Nelson Factor_2019'!$B$1:$B$19)/$G53</f>
        <v>12.052941176470588</v>
      </c>
      <c r="AA53" cm="1">
        <f t="array" ref="AA53">MMULT($G53:$R53,'Nelson Factor_2019'!$B$1:$B$12)/$G53</f>
        <v>10.872192513368985</v>
      </c>
    </row>
    <row r="54" spans="1:27" x14ac:dyDescent="0.25">
      <c r="A54">
        <v>2005</v>
      </c>
      <c r="B54">
        <v>3</v>
      </c>
      <c r="C54">
        <v>4</v>
      </c>
      <c r="D54" t="s">
        <v>99</v>
      </c>
      <c r="E54" t="s">
        <v>83</v>
      </c>
      <c r="F54" t="s">
        <v>111</v>
      </c>
      <c r="G54">
        <v>232000</v>
      </c>
      <c r="H54">
        <v>118800</v>
      </c>
      <c r="I54">
        <v>32800</v>
      </c>
      <c r="J54">
        <v>0</v>
      </c>
      <c r="K54">
        <v>115000</v>
      </c>
      <c r="L54">
        <v>46600</v>
      </c>
      <c r="M54">
        <v>0</v>
      </c>
      <c r="N54">
        <v>210900</v>
      </c>
      <c r="O54">
        <v>29500</v>
      </c>
      <c r="P54">
        <v>0</v>
      </c>
      <c r="Q54">
        <v>0</v>
      </c>
      <c r="R54">
        <v>41800</v>
      </c>
      <c r="S54">
        <v>0</v>
      </c>
      <c r="T54">
        <v>0</v>
      </c>
      <c r="U54">
        <v>0</v>
      </c>
      <c r="V54">
        <v>0</v>
      </c>
      <c r="W54">
        <v>2500</v>
      </c>
      <c r="X54">
        <v>1176</v>
      </c>
      <c r="Y54">
        <v>39900</v>
      </c>
      <c r="Z54" cm="1">
        <f t="array" ref="Z54">MMULT($G54:$Y54,'Nelson Factor_2019'!$B$1:$B$19)/$G54</f>
        <v>12.263706896551724</v>
      </c>
      <c r="AA54" cm="1">
        <f t="array" ref="AA54">MMULT($G54:$R54,'Nelson Factor_2019'!$B$1:$B$12)/$G54</f>
        <v>10.789181034482759</v>
      </c>
    </row>
    <row r="55" spans="1:27" x14ac:dyDescent="0.25">
      <c r="A55">
        <v>2005</v>
      </c>
      <c r="B55">
        <v>3</v>
      </c>
      <c r="C55">
        <v>3</v>
      </c>
      <c r="D55" t="s">
        <v>99</v>
      </c>
      <c r="E55" t="s">
        <v>112</v>
      </c>
      <c r="F55" t="s">
        <v>113</v>
      </c>
      <c r="G55">
        <v>235000</v>
      </c>
      <c r="H55">
        <v>100000</v>
      </c>
      <c r="I55">
        <v>0</v>
      </c>
      <c r="J55">
        <v>0</v>
      </c>
      <c r="K55">
        <v>85000</v>
      </c>
      <c r="L55">
        <v>36000</v>
      </c>
      <c r="M55">
        <v>45000</v>
      </c>
      <c r="N55">
        <v>210000</v>
      </c>
      <c r="O55">
        <v>13050</v>
      </c>
      <c r="P55">
        <v>3600</v>
      </c>
      <c r="Q55">
        <v>0</v>
      </c>
      <c r="R55">
        <v>11250</v>
      </c>
      <c r="S55">
        <v>0</v>
      </c>
      <c r="T55">
        <v>4750</v>
      </c>
      <c r="U55">
        <v>58</v>
      </c>
      <c r="V55">
        <v>0</v>
      </c>
      <c r="W55">
        <v>0</v>
      </c>
      <c r="X55">
        <v>700</v>
      </c>
      <c r="Y55">
        <v>0</v>
      </c>
      <c r="Z55" cm="1">
        <f t="array" ref="Z55">MMULT($G55:$Y55,'Nelson Factor_2019'!$B$1:$B$19)/$G55</f>
        <v>10.024714893617022</v>
      </c>
      <c r="AA55" cm="1">
        <f t="array" ref="AA55">MMULT($G55:$R55,'Nelson Factor_2019'!$B$1:$B$12)/$G55</f>
        <v>9.1074468085106375</v>
      </c>
    </row>
    <row r="56" spans="1:27" x14ac:dyDescent="0.25">
      <c r="A56">
        <v>2005</v>
      </c>
      <c r="B56">
        <v>3</v>
      </c>
      <c r="C56">
        <v>6</v>
      </c>
      <c r="D56" t="s">
        <v>99</v>
      </c>
      <c r="E56" t="s">
        <v>112</v>
      </c>
      <c r="F56" t="s">
        <v>114</v>
      </c>
      <c r="G56">
        <v>220000</v>
      </c>
      <c r="H56">
        <v>78000</v>
      </c>
      <c r="I56">
        <v>21300</v>
      </c>
      <c r="J56">
        <v>0</v>
      </c>
      <c r="K56">
        <v>105000</v>
      </c>
      <c r="L56">
        <v>57300</v>
      </c>
      <c r="M56">
        <v>31500</v>
      </c>
      <c r="N56">
        <v>122800</v>
      </c>
      <c r="O56">
        <v>14800</v>
      </c>
      <c r="P56">
        <v>0</v>
      </c>
      <c r="Q56">
        <v>0</v>
      </c>
      <c r="R56">
        <v>0</v>
      </c>
      <c r="S56">
        <v>0</v>
      </c>
      <c r="T56">
        <v>7500</v>
      </c>
      <c r="U56">
        <v>49.4</v>
      </c>
      <c r="V56">
        <v>0</v>
      </c>
      <c r="W56">
        <v>900</v>
      </c>
      <c r="X56">
        <v>140</v>
      </c>
      <c r="Y56">
        <v>0</v>
      </c>
      <c r="Z56" cm="1">
        <f t="array" ref="Z56">MMULT($G56:$Y56,'Nelson Factor_2019'!$B$1:$B$19)/$G56</f>
        <v>10.060451818181818</v>
      </c>
      <c r="AA56" cm="1">
        <f t="array" ref="AA56">MMULT($G56:$R56,'Nelson Factor_2019'!$B$1:$B$12)/$G56</f>
        <v>9.5665909090909089</v>
      </c>
    </row>
    <row r="57" spans="1:27" x14ac:dyDescent="0.25">
      <c r="A57">
        <v>2005</v>
      </c>
      <c r="B57">
        <v>3</v>
      </c>
      <c r="C57">
        <v>1</v>
      </c>
      <c r="D57" t="s">
        <v>99</v>
      </c>
      <c r="E57" t="s">
        <v>115</v>
      </c>
      <c r="F57" t="s">
        <v>116</v>
      </c>
      <c r="G57">
        <v>125000</v>
      </c>
      <c r="H57">
        <v>50000</v>
      </c>
      <c r="I57">
        <v>0</v>
      </c>
      <c r="J57">
        <v>0</v>
      </c>
      <c r="K57">
        <v>37000</v>
      </c>
      <c r="L57">
        <v>0</v>
      </c>
      <c r="M57">
        <v>0</v>
      </c>
      <c r="N57">
        <v>123750</v>
      </c>
      <c r="O57">
        <v>85000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1800</v>
      </c>
      <c r="Y57">
        <v>0</v>
      </c>
      <c r="Z57" cm="1">
        <f t="array" ref="Z57">MMULT($G57:$Y57,'Nelson Factor_2019'!$B$1:$B$19)/$G57</f>
        <v>16.027000000000001</v>
      </c>
      <c r="AA57" cm="1">
        <f t="array" ref="AA57">MMULT($G57:$R57,'Nelson Factor_2019'!$B$1:$B$12)/$G57</f>
        <v>12.571</v>
      </c>
    </row>
    <row r="58" spans="1:27" x14ac:dyDescent="0.25">
      <c r="A58">
        <v>2005</v>
      </c>
      <c r="B58">
        <v>3</v>
      </c>
      <c r="C58">
        <v>1</v>
      </c>
      <c r="D58" t="s">
        <v>99</v>
      </c>
      <c r="E58" t="s">
        <v>117</v>
      </c>
      <c r="F58" t="s">
        <v>118</v>
      </c>
      <c r="G58">
        <v>48000</v>
      </c>
      <c r="H58">
        <v>20000</v>
      </c>
      <c r="I58">
        <v>0</v>
      </c>
      <c r="J58">
        <v>0</v>
      </c>
      <c r="K58">
        <v>19000</v>
      </c>
      <c r="L58">
        <v>9700</v>
      </c>
      <c r="M58">
        <v>0</v>
      </c>
      <c r="N58">
        <v>21700</v>
      </c>
      <c r="O58">
        <v>3800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28</v>
      </c>
      <c r="Y58">
        <v>0</v>
      </c>
      <c r="Z58" cm="1">
        <f t="array" ref="Z58">MMULT($G58:$Y58,'Nelson Factor_2019'!$B$1:$B$19)/$G58</f>
        <v>6.9889583333333336</v>
      </c>
      <c r="AA58" cm="1">
        <f t="array" ref="AA58">MMULT($G58:$R58,'Nelson Factor_2019'!$B$1:$B$12)/$G58</f>
        <v>6.848958333333333</v>
      </c>
    </row>
    <row r="59" spans="1:27" x14ac:dyDescent="0.25">
      <c r="A59">
        <v>2005</v>
      </c>
      <c r="B59">
        <v>3</v>
      </c>
      <c r="C59">
        <v>0</v>
      </c>
      <c r="D59" t="s">
        <v>99</v>
      </c>
      <c r="E59" t="s">
        <v>27</v>
      </c>
      <c r="F59" t="s">
        <v>119</v>
      </c>
      <c r="G59">
        <v>55000</v>
      </c>
      <c r="H59">
        <v>28000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 cm="1">
        <f t="array" ref="Z59">MMULT($G59:$Y59,'Nelson Factor_2019'!$B$1:$B$19)/$G59</f>
        <v>1.6618181818181819</v>
      </c>
      <c r="AA59" cm="1">
        <f t="array" ref="AA59">MMULT($G59:$R59,'Nelson Factor_2019'!$B$1:$B$12)/$G59</f>
        <v>1.6618181818181819</v>
      </c>
    </row>
    <row r="60" spans="1:27" x14ac:dyDescent="0.25">
      <c r="A60">
        <v>2005</v>
      </c>
      <c r="B60">
        <v>3</v>
      </c>
      <c r="C60">
        <v>1</v>
      </c>
      <c r="D60" t="s">
        <v>99</v>
      </c>
      <c r="E60" t="s">
        <v>66</v>
      </c>
      <c r="F60" t="s">
        <v>120</v>
      </c>
      <c r="G60">
        <v>80000</v>
      </c>
      <c r="H60">
        <v>35000</v>
      </c>
      <c r="I60">
        <v>0</v>
      </c>
      <c r="J60">
        <v>0</v>
      </c>
      <c r="K60">
        <v>33000</v>
      </c>
      <c r="L60">
        <v>12000</v>
      </c>
      <c r="M60">
        <v>0</v>
      </c>
      <c r="N60">
        <v>17300</v>
      </c>
      <c r="O60">
        <v>0</v>
      </c>
      <c r="P60">
        <v>2100</v>
      </c>
      <c r="Q60">
        <v>0</v>
      </c>
      <c r="R60">
        <v>3800</v>
      </c>
      <c r="S60">
        <v>0</v>
      </c>
      <c r="T60">
        <v>1700</v>
      </c>
      <c r="U60">
        <v>0</v>
      </c>
      <c r="V60">
        <v>0</v>
      </c>
      <c r="W60">
        <v>0</v>
      </c>
      <c r="X60">
        <v>20</v>
      </c>
      <c r="Y60">
        <v>0</v>
      </c>
      <c r="Z60" cm="1">
        <f t="array" ref="Z60">MMULT($G60:$Y60,'Nelson Factor_2019'!$B$1:$B$19)/$G60</f>
        <v>6.0118749999999999</v>
      </c>
      <c r="AA60" cm="1">
        <f t="array" ref="AA60">MMULT($G60:$R60,'Nelson Factor_2019'!$B$1:$B$12)/$G60</f>
        <v>5.7393749999999999</v>
      </c>
    </row>
    <row r="61" spans="1:27" x14ac:dyDescent="0.25">
      <c r="A61">
        <v>2005</v>
      </c>
      <c r="B61">
        <v>3</v>
      </c>
      <c r="C61">
        <v>4</v>
      </c>
      <c r="D61" t="s">
        <v>99</v>
      </c>
      <c r="E61" t="s">
        <v>66</v>
      </c>
      <c r="F61" t="s">
        <v>114</v>
      </c>
      <c r="G61">
        <v>185000</v>
      </c>
      <c r="H61">
        <v>200000</v>
      </c>
      <c r="I61">
        <v>70000</v>
      </c>
      <c r="J61">
        <v>0</v>
      </c>
      <c r="K61">
        <v>100000</v>
      </c>
      <c r="L61">
        <v>25000</v>
      </c>
      <c r="M61">
        <v>0</v>
      </c>
      <c r="N61">
        <v>130000</v>
      </c>
      <c r="O61">
        <v>19000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4083</v>
      </c>
      <c r="X61">
        <v>457</v>
      </c>
      <c r="Y61">
        <v>0</v>
      </c>
      <c r="Z61" cm="1">
        <f t="array" ref="Z61">MMULT($G61:$Y61,'Nelson Factor_2019'!$B$1:$B$19)/$G61</f>
        <v>12.53881081081081</v>
      </c>
      <c r="AA61" cm="1">
        <f t="array" ref="AA61">MMULT($G61:$R61,'Nelson Factor_2019'!$B$1:$B$12)/$G61</f>
        <v>11.945945945945946</v>
      </c>
    </row>
    <row r="62" spans="1:27" x14ac:dyDescent="0.25">
      <c r="A62">
        <v>2005</v>
      </c>
      <c r="B62">
        <v>2</v>
      </c>
      <c r="C62">
        <v>1</v>
      </c>
      <c r="D62" t="s">
        <v>121</v>
      </c>
      <c r="E62" t="s">
        <v>83</v>
      </c>
      <c r="F62" t="s">
        <v>122</v>
      </c>
      <c r="G62">
        <v>74000</v>
      </c>
      <c r="H62">
        <v>36100</v>
      </c>
      <c r="I62">
        <v>0</v>
      </c>
      <c r="J62">
        <v>0</v>
      </c>
      <c r="K62">
        <v>27600</v>
      </c>
      <c r="L62">
        <v>19000</v>
      </c>
      <c r="M62">
        <v>0</v>
      </c>
      <c r="N62">
        <v>48800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147</v>
      </c>
      <c r="Y62">
        <v>20900</v>
      </c>
      <c r="Z62" cm="1">
        <f t="array" ref="Z62">MMULT($G62:$Y62,'Nelson Factor_2019'!$B$1:$B$19)/$G62</f>
        <v>7.7048648648648648</v>
      </c>
      <c r="AA62" cm="1">
        <f t="array" ref="AA62">MMULT($G62:$R62,'Nelson Factor_2019'!$B$1:$B$12)/$G62</f>
        <v>6.8044594594594594</v>
      </c>
    </row>
    <row r="63" spans="1:27" x14ac:dyDescent="0.25">
      <c r="A63">
        <v>2005</v>
      </c>
      <c r="B63">
        <v>2</v>
      </c>
      <c r="C63">
        <v>4</v>
      </c>
      <c r="D63" t="s">
        <v>123</v>
      </c>
      <c r="E63" t="s">
        <v>35</v>
      </c>
      <c r="F63" t="s">
        <v>124</v>
      </c>
      <c r="G63">
        <v>257213</v>
      </c>
      <c r="H63">
        <v>162450</v>
      </c>
      <c r="I63">
        <v>55080</v>
      </c>
      <c r="J63">
        <v>0</v>
      </c>
      <c r="K63">
        <v>69660</v>
      </c>
      <c r="L63">
        <v>39690</v>
      </c>
      <c r="M63">
        <v>0</v>
      </c>
      <c r="N63">
        <v>245430</v>
      </c>
      <c r="O63">
        <v>9882</v>
      </c>
      <c r="P63">
        <v>3807</v>
      </c>
      <c r="Q63">
        <v>0</v>
      </c>
      <c r="R63">
        <v>14580</v>
      </c>
      <c r="S63">
        <v>0</v>
      </c>
      <c r="T63">
        <v>0</v>
      </c>
      <c r="U63">
        <v>89.1</v>
      </c>
      <c r="V63">
        <v>8.1</v>
      </c>
      <c r="W63">
        <v>3240</v>
      </c>
      <c r="X63">
        <v>729</v>
      </c>
      <c r="Y63">
        <v>20250</v>
      </c>
      <c r="Z63" cm="1">
        <f t="array" ref="Z63">MMULT($G63:$Y63,'Nelson Factor_2019'!$B$1:$B$19)/$G63</f>
        <v>9.7100270981637795</v>
      </c>
      <c r="AA63" cm="1">
        <f t="array" ref="AA63">MMULT($G63:$R63,'Nelson Factor_2019'!$B$1:$B$12)/$G63</f>
        <v>8.9113419617204421</v>
      </c>
    </row>
    <row r="64" spans="1:27" x14ac:dyDescent="0.25">
      <c r="A64">
        <v>2005</v>
      </c>
      <c r="B64">
        <v>2</v>
      </c>
      <c r="C64">
        <v>1</v>
      </c>
      <c r="D64" t="s">
        <v>123</v>
      </c>
      <c r="E64" t="s">
        <v>83</v>
      </c>
      <c r="F64" t="s">
        <v>125</v>
      </c>
      <c r="G64">
        <v>70000</v>
      </c>
      <c r="H64">
        <v>30400</v>
      </c>
      <c r="I64">
        <v>0</v>
      </c>
      <c r="J64">
        <v>0</v>
      </c>
      <c r="K64">
        <v>24700</v>
      </c>
      <c r="L64">
        <v>20000</v>
      </c>
      <c r="M64">
        <v>0</v>
      </c>
      <c r="N64">
        <v>73300</v>
      </c>
      <c r="O64">
        <v>5200</v>
      </c>
      <c r="P64">
        <v>0</v>
      </c>
      <c r="Q64">
        <v>0</v>
      </c>
      <c r="R64">
        <v>8600</v>
      </c>
      <c r="S64">
        <v>0</v>
      </c>
      <c r="T64">
        <v>0</v>
      </c>
      <c r="U64">
        <v>9.5</v>
      </c>
      <c r="V64">
        <v>0</v>
      </c>
      <c r="W64">
        <v>0</v>
      </c>
      <c r="X64">
        <v>103</v>
      </c>
      <c r="Y64">
        <v>11400</v>
      </c>
      <c r="Z64" cm="1">
        <f t="array" ref="Z64">MMULT($G64:$Y64,'Nelson Factor_2019'!$B$1:$B$19)/$G64</f>
        <v>9.4371357142857146</v>
      </c>
      <c r="AA64" cm="1">
        <f t="array" ref="AA64">MMULT($G64:$R64,'Nelson Factor_2019'!$B$1:$B$12)/$G64</f>
        <v>8.8395714285714284</v>
      </c>
    </row>
    <row r="65" spans="1:27" x14ac:dyDescent="0.25">
      <c r="A65">
        <v>2005</v>
      </c>
      <c r="B65">
        <v>3</v>
      </c>
      <c r="C65">
        <v>6</v>
      </c>
      <c r="D65" t="s">
        <v>126</v>
      </c>
      <c r="E65" t="s">
        <v>48</v>
      </c>
      <c r="F65" t="s">
        <v>127</v>
      </c>
      <c r="G65">
        <v>325000</v>
      </c>
      <c r="H65">
        <v>240000</v>
      </c>
      <c r="I65">
        <v>92000</v>
      </c>
      <c r="J65">
        <v>0</v>
      </c>
      <c r="K65">
        <v>63000</v>
      </c>
      <c r="L65">
        <v>71000</v>
      </c>
      <c r="M65">
        <v>58000</v>
      </c>
      <c r="N65">
        <v>238500</v>
      </c>
      <c r="O65">
        <v>14800</v>
      </c>
      <c r="P65">
        <v>2100</v>
      </c>
      <c r="Q65">
        <v>19000</v>
      </c>
      <c r="R65">
        <v>0</v>
      </c>
      <c r="S65">
        <v>0</v>
      </c>
      <c r="T65">
        <v>0</v>
      </c>
      <c r="U65">
        <v>205</v>
      </c>
      <c r="V65">
        <v>0</v>
      </c>
      <c r="W65">
        <v>6440</v>
      </c>
      <c r="X65">
        <v>1067</v>
      </c>
      <c r="Y65">
        <v>0</v>
      </c>
      <c r="Z65" cm="1">
        <f t="array" ref="Z65">MMULT($G65:$Y65,'Nelson Factor_2019'!$B$1:$B$19)/$G65</f>
        <v>12.078569230769231</v>
      </c>
      <c r="AA65" cm="1">
        <f t="array" ref="AA65">MMULT($G65:$R65,'Nelson Factor_2019'!$B$1:$B$12)/$G65</f>
        <v>11.29</v>
      </c>
    </row>
    <row r="66" spans="1:27" x14ac:dyDescent="0.25">
      <c r="A66">
        <v>2005</v>
      </c>
      <c r="B66">
        <v>3</v>
      </c>
      <c r="C66">
        <v>0</v>
      </c>
      <c r="D66" t="s">
        <v>126</v>
      </c>
      <c r="E66" t="s">
        <v>128</v>
      </c>
      <c r="F66" t="s">
        <v>129</v>
      </c>
      <c r="G66">
        <v>23000</v>
      </c>
      <c r="H66">
        <v>10200</v>
      </c>
      <c r="I66">
        <v>0</v>
      </c>
      <c r="J66">
        <v>0</v>
      </c>
      <c r="K66">
        <v>0</v>
      </c>
      <c r="L66">
        <v>3600</v>
      </c>
      <c r="M66">
        <v>0</v>
      </c>
      <c r="N66">
        <v>12000</v>
      </c>
      <c r="O66">
        <v>0</v>
      </c>
      <c r="P66">
        <v>0</v>
      </c>
      <c r="Q66">
        <v>0</v>
      </c>
      <c r="R66">
        <v>0</v>
      </c>
      <c r="S66">
        <v>11300</v>
      </c>
      <c r="T66">
        <v>0</v>
      </c>
      <c r="U66">
        <v>7.7</v>
      </c>
      <c r="V66">
        <v>0</v>
      </c>
      <c r="W66">
        <v>0</v>
      </c>
      <c r="X66">
        <v>0</v>
      </c>
      <c r="Y66">
        <v>9600</v>
      </c>
      <c r="Z66" cm="1">
        <f t="array" ref="Z66">MMULT($G66:$Y66,'Nelson Factor_2019'!$B$1:$B$19)/$G66</f>
        <v>33.768160869565214</v>
      </c>
      <c r="AA66" cm="1">
        <f t="array" ref="AA66">MMULT($G66:$R66,'Nelson Factor_2019'!$B$1:$B$12)/$G66</f>
        <v>3.6634782608695651</v>
      </c>
    </row>
    <row r="67" spans="1:27" x14ac:dyDescent="0.25">
      <c r="A67">
        <v>2005</v>
      </c>
      <c r="B67">
        <v>4</v>
      </c>
      <c r="C67">
        <v>1</v>
      </c>
      <c r="D67" t="s">
        <v>130</v>
      </c>
      <c r="E67" t="s">
        <v>131</v>
      </c>
      <c r="F67" t="s">
        <v>132</v>
      </c>
      <c r="G67">
        <v>56000</v>
      </c>
      <c r="H67">
        <v>28000</v>
      </c>
      <c r="I67">
        <v>0</v>
      </c>
      <c r="J67">
        <v>0</v>
      </c>
      <c r="K67">
        <v>13300</v>
      </c>
      <c r="L67">
        <v>11800</v>
      </c>
      <c r="M67">
        <v>0</v>
      </c>
      <c r="N67">
        <v>44100</v>
      </c>
      <c r="O67">
        <v>4200</v>
      </c>
      <c r="P67">
        <v>0</v>
      </c>
      <c r="Q67">
        <v>0</v>
      </c>
      <c r="R67">
        <v>2500</v>
      </c>
      <c r="S67">
        <v>0</v>
      </c>
      <c r="T67">
        <v>0</v>
      </c>
      <c r="U67">
        <v>12</v>
      </c>
      <c r="V67">
        <v>12</v>
      </c>
      <c r="W67">
        <v>0</v>
      </c>
      <c r="X67">
        <v>125</v>
      </c>
      <c r="Y67">
        <v>16500</v>
      </c>
      <c r="Z67" cm="1">
        <f t="array" ref="Z67">MMULT($G67:$Y67,'Nelson Factor_2019'!$B$1:$B$19)/$G67</f>
        <v>7.9593571428571428</v>
      </c>
      <c r="AA67" cm="1">
        <f t="array" ref="AA67">MMULT($G67:$R67,'Nelson Factor_2019'!$B$1:$B$12)/$G67</f>
        <v>6.9812500000000002</v>
      </c>
    </row>
    <row r="68" spans="1:27" x14ac:dyDescent="0.25">
      <c r="A68">
        <v>2005</v>
      </c>
      <c r="B68">
        <v>4</v>
      </c>
      <c r="C68">
        <v>4</v>
      </c>
      <c r="D68" t="s">
        <v>130</v>
      </c>
      <c r="E68" t="s">
        <v>51</v>
      </c>
      <c r="F68" t="s">
        <v>133</v>
      </c>
      <c r="G68">
        <v>58000</v>
      </c>
      <c r="H68">
        <v>31500</v>
      </c>
      <c r="I68">
        <v>17500</v>
      </c>
      <c r="J68">
        <v>0</v>
      </c>
      <c r="K68">
        <v>18450</v>
      </c>
      <c r="L68">
        <v>12200</v>
      </c>
      <c r="M68">
        <v>0</v>
      </c>
      <c r="N68">
        <v>57900</v>
      </c>
      <c r="O68">
        <v>6500</v>
      </c>
      <c r="P68">
        <v>0</v>
      </c>
      <c r="Q68">
        <v>0</v>
      </c>
      <c r="R68">
        <v>3550</v>
      </c>
      <c r="S68">
        <v>0</v>
      </c>
      <c r="T68">
        <v>0</v>
      </c>
      <c r="U68">
        <v>17.5</v>
      </c>
      <c r="V68">
        <v>10.4</v>
      </c>
      <c r="W68">
        <v>825</v>
      </c>
      <c r="X68">
        <v>224</v>
      </c>
      <c r="Y68">
        <v>0</v>
      </c>
      <c r="Z68" cm="1">
        <f t="array" ref="Z68">MMULT($G68:$Y68,'Nelson Factor_2019'!$B$1:$B$19)/$G68</f>
        <v>11.656687931034483</v>
      </c>
      <c r="AA68" cm="1">
        <f t="array" ref="AA68">MMULT($G68:$R68,'Nelson Factor_2019'!$B$1:$B$12)/$G68</f>
        <v>10.729310344827587</v>
      </c>
    </row>
    <row r="69" spans="1:27" x14ac:dyDescent="0.25">
      <c r="A69">
        <v>2005</v>
      </c>
      <c r="B69">
        <v>4</v>
      </c>
      <c r="C69">
        <v>6</v>
      </c>
      <c r="D69" t="s">
        <v>130</v>
      </c>
      <c r="E69" t="s">
        <v>54</v>
      </c>
      <c r="F69" t="s">
        <v>133</v>
      </c>
      <c r="G69">
        <v>60000</v>
      </c>
      <c r="H69">
        <v>27500</v>
      </c>
      <c r="I69">
        <v>9000</v>
      </c>
      <c r="J69">
        <v>0</v>
      </c>
      <c r="K69">
        <v>22500</v>
      </c>
      <c r="L69">
        <v>12000</v>
      </c>
      <c r="M69">
        <v>5500</v>
      </c>
      <c r="N69">
        <v>63500</v>
      </c>
      <c r="O69">
        <v>4500</v>
      </c>
      <c r="P69">
        <v>0</v>
      </c>
      <c r="Q69">
        <v>0</v>
      </c>
      <c r="R69">
        <v>0</v>
      </c>
      <c r="S69">
        <v>0</v>
      </c>
      <c r="T69">
        <v>0</v>
      </c>
      <c r="U69">
        <v>22</v>
      </c>
      <c r="V69">
        <v>4.5</v>
      </c>
      <c r="W69">
        <v>410</v>
      </c>
      <c r="X69">
        <v>0</v>
      </c>
      <c r="Y69">
        <v>13000</v>
      </c>
      <c r="Z69" cm="1">
        <f t="array" ref="Z69">MMULT($G69:$Y69,'Nelson Factor_2019'!$B$1:$B$19)/$G69</f>
        <v>10.425441666666666</v>
      </c>
      <c r="AA69" cm="1">
        <f t="array" ref="AA69">MMULT($G69:$R69,'Nelson Factor_2019'!$B$1:$B$12)/$G69</f>
        <v>10.1</v>
      </c>
    </row>
    <row r="70" spans="1:27" x14ac:dyDescent="0.25">
      <c r="A70">
        <v>2005</v>
      </c>
      <c r="B70">
        <v>4</v>
      </c>
      <c r="C70">
        <v>1</v>
      </c>
      <c r="D70" t="s">
        <v>130</v>
      </c>
      <c r="E70" t="s">
        <v>134</v>
      </c>
      <c r="F70" t="s">
        <v>135</v>
      </c>
      <c r="G70">
        <v>8200</v>
      </c>
      <c r="H70">
        <v>5000</v>
      </c>
      <c r="I70">
        <v>0</v>
      </c>
      <c r="J70">
        <v>0</v>
      </c>
      <c r="K70">
        <v>2500</v>
      </c>
      <c r="L70">
        <v>900</v>
      </c>
      <c r="M70">
        <v>0</v>
      </c>
      <c r="N70">
        <v>7100</v>
      </c>
      <c r="O70">
        <v>0</v>
      </c>
      <c r="P70">
        <v>0</v>
      </c>
      <c r="Q70">
        <v>0</v>
      </c>
      <c r="R70">
        <v>600</v>
      </c>
      <c r="S70">
        <v>0</v>
      </c>
      <c r="T70">
        <v>0</v>
      </c>
      <c r="U70">
        <v>2.1</v>
      </c>
      <c r="V70">
        <v>0</v>
      </c>
      <c r="W70">
        <v>0</v>
      </c>
      <c r="X70">
        <v>0</v>
      </c>
      <c r="Y70">
        <v>3000</v>
      </c>
      <c r="Z70" cm="1">
        <f t="array" ref="Z70">MMULT($G70:$Y70,'Nelson Factor_2019'!$B$1:$B$19)/$G70</f>
        <v>7.1039146341463413</v>
      </c>
      <c r="AA70" cm="1">
        <f t="array" ref="AA70">MMULT($G70:$R70,'Nelson Factor_2019'!$B$1:$B$12)/$G70</f>
        <v>6.5548780487804876</v>
      </c>
    </row>
    <row r="71" spans="1:27" x14ac:dyDescent="0.25">
      <c r="A71">
        <v>2005</v>
      </c>
      <c r="B71">
        <v>1</v>
      </c>
      <c r="C71">
        <v>1</v>
      </c>
      <c r="D71" t="s">
        <v>136</v>
      </c>
      <c r="E71" t="s">
        <v>51</v>
      </c>
      <c r="F71" t="s">
        <v>137</v>
      </c>
      <c r="G71">
        <v>238000</v>
      </c>
      <c r="H71">
        <v>71250</v>
      </c>
      <c r="I71">
        <v>0</v>
      </c>
      <c r="J71">
        <v>0</v>
      </c>
      <c r="K71">
        <v>130500</v>
      </c>
      <c r="L71">
        <v>28800</v>
      </c>
      <c r="M71">
        <v>0</v>
      </c>
      <c r="N71">
        <v>197100</v>
      </c>
      <c r="O71">
        <v>15750</v>
      </c>
      <c r="P71">
        <v>0</v>
      </c>
      <c r="Q71">
        <v>0</v>
      </c>
      <c r="R71">
        <v>24500</v>
      </c>
      <c r="S71">
        <v>0</v>
      </c>
      <c r="T71">
        <v>0</v>
      </c>
      <c r="U71">
        <v>0</v>
      </c>
      <c r="V71">
        <v>56.45</v>
      </c>
      <c r="W71">
        <v>0</v>
      </c>
      <c r="X71">
        <v>340</v>
      </c>
      <c r="Y71">
        <v>0</v>
      </c>
      <c r="Z71" cm="1">
        <f t="array" ref="Z71">MMULT($G71:$Y71,'Nelson Factor_2019'!$B$1:$B$19)/$G71</f>
        <v>8.6681993697478994</v>
      </c>
      <c r="AA71" cm="1">
        <f t="array" ref="AA71">MMULT($G71:$R71,'Nelson Factor_2019'!$B$1:$B$12)/$G71</f>
        <v>8.3251050420168067</v>
      </c>
    </row>
    <row r="72" spans="1:27" x14ac:dyDescent="0.25">
      <c r="A72">
        <v>2005</v>
      </c>
      <c r="B72">
        <v>1</v>
      </c>
      <c r="C72">
        <v>1</v>
      </c>
      <c r="D72" t="s">
        <v>136</v>
      </c>
      <c r="E72" t="s">
        <v>138</v>
      </c>
      <c r="F72" t="s">
        <v>139</v>
      </c>
      <c r="G72">
        <v>150000</v>
      </c>
      <c r="H72">
        <v>47500</v>
      </c>
      <c r="I72">
        <v>0</v>
      </c>
      <c r="J72">
        <v>0</v>
      </c>
      <c r="K72">
        <v>55000</v>
      </c>
      <c r="L72">
        <v>28000</v>
      </c>
      <c r="M72">
        <v>0</v>
      </c>
      <c r="N72">
        <v>29000</v>
      </c>
      <c r="O72">
        <v>4000</v>
      </c>
      <c r="P72">
        <v>3300</v>
      </c>
      <c r="Q72">
        <v>17000</v>
      </c>
      <c r="R72">
        <v>10000</v>
      </c>
      <c r="S72">
        <v>0</v>
      </c>
      <c r="T72">
        <v>0</v>
      </c>
      <c r="U72">
        <v>0</v>
      </c>
      <c r="V72">
        <v>0</v>
      </c>
      <c r="W72">
        <v>0</v>
      </c>
      <c r="X72">
        <v>20</v>
      </c>
      <c r="Y72">
        <v>0</v>
      </c>
      <c r="Z72" cm="1">
        <f t="array" ref="Z72">MMULT($G72:$Y72,'Nelson Factor_2019'!$B$1:$B$19)/$G72</f>
        <v>8.0136666666666674</v>
      </c>
      <c r="AA72" cm="1">
        <f t="array" ref="AA72">MMULT($G72:$R72,'Nelson Factor_2019'!$B$1:$B$12)/$G72</f>
        <v>7.9816666666666665</v>
      </c>
    </row>
    <row r="73" spans="1:27" x14ac:dyDescent="0.25">
      <c r="A73">
        <v>2005</v>
      </c>
      <c r="B73">
        <v>1</v>
      </c>
      <c r="C73">
        <v>4</v>
      </c>
      <c r="D73" t="s">
        <v>136</v>
      </c>
      <c r="E73" t="s">
        <v>66</v>
      </c>
      <c r="F73" t="s">
        <v>140</v>
      </c>
      <c r="G73">
        <v>166000</v>
      </c>
      <c r="H73">
        <v>90000</v>
      </c>
      <c r="I73">
        <v>27000</v>
      </c>
      <c r="J73">
        <v>0</v>
      </c>
      <c r="K73">
        <v>55000</v>
      </c>
      <c r="L73">
        <v>32000</v>
      </c>
      <c r="M73">
        <v>0</v>
      </c>
      <c r="N73">
        <v>156250</v>
      </c>
      <c r="O73">
        <v>11200</v>
      </c>
      <c r="P73">
        <v>0</v>
      </c>
      <c r="Q73">
        <v>0</v>
      </c>
      <c r="R73">
        <v>0</v>
      </c>
      <c r="S73">
        <v>11500</v>
      </c>
      <c r="T73">
        <v>0</v>
      </c>
      <c r="U73">
        <v>13.5</v>
      </c>
      <c r="V73">
        <v>9</v>
      </c>
      <c r="W73">
        <v>1470</v>
      </c>
      <c r="X73">
        <v>230</v>
      </c>
      <c r="Y73">
        <v>16000</v>
      </c>
      <c r="Z73" cm="1">
        <f t="array" ref="Z73">MMULT($G73:$Y73,'Nelson Factor_2019'!$B$1:$B$19)/$G73</f>
        <v>13.538237951807229</v>
      </c>
      <c r="AA73" cm="1">
        <f t="array" ref="AA73">MMULT($G73:$R73,'Nelson Factor_2019'!$B$1:$B$12)/$G73</f>
        <v>8.9043674698795172</v>
      </c>
    </row>
    <row r="74" spans="1:27" x14ac:dyDescent="0.25">
      <c r="A74">
        <v>2005</v>
      </c>
      <c r="B74">
        <v>3</v>
      </c>
      <c r="C74">
        <v>1</v>
      </c>
      <c r="D74" t="s">
        <v>141</v>
      </c>
      <c r="E74" t="s">
        <v>142</v>
      </c>
      <c r="F74" t="s">
        <v>143</v>
      </c>
      <c r="G74">
        <v>18600</v>
      </c>
      <c r="H74">
        <v>0</v>
      </c>
      <c r="I74">
        <v>0</v>
      </c>
      <c r="J74">
        <v>0</v>
      </c>
      <c r="K74">
        <v>6000</v>
      </c>
      <c r="L74">
        <v>4800</v>
      </c>
      <c r="M74">
        <v>0</v>
      </c>
      <c r="N74">
        <v>7800</v>
      </c>
      <c r="O74">
        <v>0</v>
      </c>
      <c r="P74">
        <v>2000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1</v>
      </c>
      <c r="Y74">
        <v>0</v>
      </c>
      <c r="Z74" cm="1">
        <f t="array" ref="Z74">MMULT($G74:$Y74,'Nelson Factor_2019'!$B$1:$B$19)/$G74</f>
        <v>6.3623655913978494</v>
      </c>
      <c r="AA74" cm="1">
        <f t="array" ref="AA74">MMULT($G74:$R74,'Nelson Factor_2019'!$B$1:$B$12)/$G74</f>
        <v>6.349462365591398</v>
      </c>
    </row>
    <row r="75" spans="1:27" x14ac:dyDescent="0.25">
      <c r="A75">
        <v>2005</v>
      </c>
      <c r="B75">
        <v>3</v>
      </c>
      <c r="C75">
        <v>1</v>
      </c>
      <c r="D75" t="s">
        <v>141</v>
      </c>
      <c r="E75" t="s">
        <v>142</v>
      </c>
      <c r="F75" t="s">
        <v>144</v>
      </c>
      <c r="G75">
        <v>26000</v>
      </c>
      <c r="H75">
        <v>0</v>
      </c>
      <c r="I75">
        <v>0</v>
      </c>
      <c r="J75">
        <v>0</v>
      </c>
      <c r="K75">
        <v>8500</v>
      </c>
      <c r="L75">
        <v>7300</v>
      </c>
      <c r="M75">
        <v>0</v>
      </c>
      <c r="N75">
        <v>11500</v>
      </c>
      <c r="O75">
        <v>1800</v>
      </c>
      <c r="P75">
        <v>0</v>
      </c>
      <c r="Q75">
        <v>0</v>
      </c>
      <c r="R75">
        <v>4000</v>
      </c>
      <c r="S75">
        <v>0</v>
      </c>
      <c r="T75">
        <v>0</v>
      </c>
      <c r="U75">
        <v>0</v>
      </c>
      <c r="V75">
        <v>0</v>
      </c>
      <c r="W75">
        <v>0</v>
      </c>
      <c r="X75">
        <v>2</v>
      </c>
      <c r="Y75">
        <v>0</v>
      </c>
      <c r="Z75" cm="1">
        <f t="array" ref="Z75">MMULT($G75:$Y75,'Nelson Factor_2019'!$B$1:$B$19)/$G75</f>
        <v>6.6434615384615388</v>
      </c>
      <c r="AA75" cm="1">
        <f t="array" ref="AA75">MMULT($G75:$R75,'Nelson Factor_2019'!$B$1:$B$12)/$G75</f>
        <v>6.625</v>
      </c>
    </row>
    <row r="76" spans="1:27" x14ac:dyDescent="0.25">
      <c r="A76">
        <v>2005</v>
      </c>
      <c r="B76">
        <v>3</v>
      </c>
      <c r="C76">
        <v>1</v>
      </c>
      <c r="D76" t="s">
        <v>141</v>
      </c>
      <c r="E76" t="s">
        <v>145</v>
      </c>
      <c r="F76" t="s">
        <v>146</v>
      </c>
      <c r="G76">
        <v>60000</v>
      </c>
      <c r="H76">
        <v>20000</v>
      </c>
      <c r="I76">
        <v>0</v>
      </c>
      <c r="J76">
        <v>0</v>
      </c>
      <c r="K76">
        <v>18500</v>
      </c>
      <c r="L76">
        <v>12500</v>
      </c>
      <c r="M76">
        <v>0</v>
      </c>
      <c r="N76">
        <v>50500</v>
      </c>
      <c r="O76">
        <v>7800</v>
      </c>
      <c r="P76">
        <v>0</v>
      </c>
      <c r="Q76">
        <v>0</v>
      </c>
      <c r="R76">
        <v>10000</v>
      </c>
      <c r="S76">
        <v>0</v>
      </c>
      <c r="T76">
        <v>0</v>
      </c>
      <c r="U76">
        <v>0</v>
      </c>
      <c r="V76">
        <v>0</v>
      </c>
      <c r="W76">
        <v>0</v>
      </c>
      <c r="X76">
        <v>30</v>
      </c>
      <c r="Y76">
        <v>3500</v>
      </c>
      <c r="Z76" cm="1">
        <f t="array" ref="Z76">MMULT($G76:$Y76,'Nelson Factor_2019'!$B$1:$B$19)/$G76</f>
        <v>8.4366666666666674</v>
      </c>
      <c r="AA76" cm="1">
        <f t="array" ref="AA76">MMULT($G76:$R76,'Nelson Factor_2019'!$B$1:$B$12)/$G76</f>
        <v>8.2291666666666661</v>
      </c>
    </row>
    <row r="77" spans="1:27" x14ac:dyDescent="0.25">
      <c r="A77">
        <v>2005</v>
      </c>
      <c r="B77">
        <v>2</v>
      </c>
      <c r="C77">
        <v>1</v>
      </c>
      <c r="D77" t="s">
        <v>147</v>
      </c>
      <c r="E77" t="s">
        <v>148</v>
      </c>
      <c r="F77" t="s">
        <v>149</v>
      </c>
      <c r="G77">
        <v>58000</v>
      </c>
      <c r="H77">
        <v>0</v>
      </c>
      <c r="I77">
        <v>0</v>
      </c>
      <c r="J77">
        <v>0</v>
      </c>
      <c r="K77">
        <v>24700</v>
      </c>
      <c r="L77">
        <v>11500</v>
      </c>
      <c r="M77">
        <v>0</v>
      </c>
      <c r="N77">
        <v>23600</v>
      </c>
      <c r="O77">
        <v>4200</v>
      </c>
      <c r="P77">
        <v>1100</v>
      </c>
      <c r="Q77">
        <v>0</v>
      </c>
      <c r="R77">
        <v>4800</v>
      </c>
      <c r="S77">
        <v>0</v>
      </c>
      <c r="T77">
        <v>0</v>
      </c>
      <c r="U77">
        <v>0</v>
      </c>
      <c r="V77">
        <v>0</v>
      </c>
      <c r="W77">
        <v>0</v>
      </c>
      <c r="X77">
        <v>15</v>
      </c>
      <c r="Y77">
        <v>0</v>
      </c>
      <c r="Z77" cm="1">
        <f t="array" ref="Z77">MMULT($G77:$Y77,'Nelson Factor_2019'!$B$1:$B$19)/$G77</f>
        <v>6.7879310344827584</v>
      </c>
      <c r="AA77" cm="1">
        <f t="array" ref="AA77">MMULT($G77:$R77,'Nelson Factor_2019'!$B$1:$B$12)/$G77</f>
        <v>6.7258620689655171</v>
      </c>
    </row>
    <row r="78" spans="1:27" x14ac:dyDescent="0.25">
      <c r="A78">
        <v>2005</v>
      </c>
      <c r="B78">
        <v>2</v>
      </c>
      <c r="C78">
        <v>6</v>
      </c>
      <c r="D78" t="s">
        <v>150</v>
      </c>
      <c r="E78" t="s">
        <v>32</v>
      </c>
      <c r="F78" t="s">
        <v>151</v>
      </c>
      <c r="G78">
        <v>147250</v>
      </c>
      <c r="H78">
        <v>65550</v>
      </c>
      <c r="I78">
        <v>31500</v>
      </c>
      <c r="J78">
        <v>0</v>
      </c>
      <c r="K78">
        <v>54000</v>
      </c>
      <c r="L78">
        <v>38700</v>
      </c>
      <c r="M78">
        <v>27000</v>
      </c>
      <c r="N78">
        <v>123500</v>
      </c>
      <c r="O78">
        <v>10800</v>
      </c>
      <c r="P78">
        <v>0</v>
      </c>
      <c r="Q78">
        <v>0</v>
      </c>
      <c r="R78">
        <v>0</v>
      </c>
      <c r="S78">
        <v>0</v>
      </c>
      <c r="T78">
        <v>0</v>
      </c>
      <c r="U78">
        <v>33</v>
      </c>
      <c r="V78">
        <v>32</v>
      </c>
      <c r="W78">
        <v>1736</v>
      </c>
      <c r="X78">
        <v>314</v>
      </c>
      <c r="Y78">
        <v>8600</v>
      </c>
      <c r="Z78" cm="1">
        <f t="array" ref="Z78">MMULT($G78:$Y78,'Nelson Factor_2019'!$B$1:$B$19)/$G78</f>
        <v>11.594499151103566</v>
      </c>
      <c r="AA78" cm="1">
        <f t="array" ref="AA78">MMULT($G78:$R78,'Nelson Factor_2019'!$B$1:$B$12)/$G78</f>
        <v>10.994668930390493</v>
      </c>
    </row>
    <row r="79" spans="1:27" x14ac:dyDescent="0.25">
      <c r="A79">
        <v>2005</v>
      </c>
      <c r="B79">
        <v>2</v>
      </c>
      <c r="C79">
        <v>1</v>
      </c>
      <c r="D79" t="s">
        <v>150</v>
      </c>
      <c r="E79" t="s">
        <v>83</v>
      </c>
      <c r="F79" t="s">
        <v>152</v>
      </c>
      <c r="G79">
        <v>73000</v>
      </c>
      <c r="H79">
        <v>28500</v>
      </c>
      <c r="I79">
        <v>0</v>
      </c>
      <c r="J79">
        <v>0</v>
      </c>
      <c r="K79">
        <v>22800</v>
      </c>
      <c r="L79">
        <v>19000</v>
      </c>
      <c r="M79">
        <v>0</v>
      </c>
      <c r="N79">
        <v>57100</v>
      </c>
      <c r="O79">
        <v>6700</v>
      </c>
      <c r="P79">
        <v>800</v>
      </c>
      <c r="Q79">
        <v>0</v>
      </c>
      <c r="R79">
        <v>3800</v>
      </c>
      <c r="S79">
        <v>0</v>
      </c>
      <c r="T79">
        <v>0</v>
      </c>
      <c r="U79">
        <v>0</v>
      </c>
      <c r="V79">
        <v>0</v>
      </c>
      <c r="W79">
        <v>0</v>
      </c>
      <c r="X79">
        <v>110</v>
      </c>
      <c r="Y79">
        <v>10900</v>
      </c>
      <c r="Z79" cm="1">
        <f t="array" ref="Z79">MMULT($G79:$Y79,'Nelson Factor_2019'!$B$1:$B$19)/$G79</f>
        <v>8.4075342465753433</v>
      </c>
      <c r="AA79" cm="1">
        <f t="array" ref="AA79">MMULT($G79:$R79,'Nelson Factor_2019'!$B$1:$B$12)/$G79</f>
        <v>7.8219178082191778</v>
      </c>
    </row>
    <row r="80" spans="1:27" x14ac:dyDescent="0.25">
      <c r="A80">
        <v>2005</v>
      </c>
      <c r="B80">
        <v>2</v>
      </c>
      <c r="C80">
        <v>6</v>
      </c>
      <c r="D80" t="s">
        <v>150</v>
      </c>
      <c r="E80" t="s">
        <v>153</v>
      </c>
      <c r="F80" t="s">
        <v>154</v>
      </c>
      <c r="G80">
        <v>156750</v>
      </c>
      <c r="H80">
        <v>49400</v>
      </c>
      <c r="I80">
        <v>20250</v>
      </c>
      <c r="J80">
        <v>0</v>
      </c>
      <c r="K80">
        <v>36000</v>
      </c>
      <c r="L80">
        <v>49950</v>
      </c>
      <c r="M80">
        <v>23400</v>
      </c>
      <c r="N80">
        <v>56700</v>
      </c>
      <c r="O80">
        <v>0</v>
      </c>
      <c r="P80">
        <v>0</v>
      </c>
      <c r="Q80">
        <v>6300</v>
      </c>
      <c r="R80">
        <v>16830</v>
      </c>
      <c r="S80">
        <v>0</v>
      </c>
      <c r="T80">
        <v>0</v>
      </c>
      <c r="U80">
        <v>0</v>
      </c>
      <c r="V80">
        <v>9.4</v>
      </c>
      <c r="W80">
        <v>720</v>
      </c>
      <c r="X80">
        <v>47</v>
      </c>
      <c r="Y80">
        <v>0</v>
      </c>
      <c r="Z80" cm="1">
        <f t="array" ref="Z80">MMULT($G80:$Y80,'Nelson Factor_2019'!$B$1:$B$19)/$G80</f>
        <v>8.6464076555023919</v>
      </c>
      <c r="AA80" cm="1">
        <f t="array" ref="AA80">MMULT($G80:$R80,'Nelson Factor_2019'!$B$1:$B$12)/$G80</f>
        <v>8.5743859649122811</v>
      </c>
    </row>
    <row r="81" spans="1:27" x14ac:dyDescent="0.25">
      <c r="A81">
        <v>2005</v>
      </c>
      <c r="B81">
        <v>2</v>
      </c>
      <c r="C81">
        <v>3</v>
      </c>
      <c r="D81" t="s">
        <v>150</v>
      </c>
      <c r="E81" t="s">
        <v>138</v>
      </c>
      <c r="F81" t="s">
        <v>151</v>
      </c>
      <c r="G81">
        <v>140000</v>
      </c>
      <c r="H81">
        <v>30000</v>
      </c>
      <c r="I81">
        <v>0</v>
      </c>
      <c r="J81">
        <v>0</v>
      </c>
      <c r="K81">
        <v>60000</v>
      </c>
      <c r="L81">
        <v>45600</v>
      </c>
      <c r="M81">
        <v>28200</v>
      </c>
      <c r="N81">
        <v>48000</v>
      </c>
      <c r="O81">
        <v>9000</v>
      </c>
      <c r="P81">
        <v>0</v>
      </c>
      <c r="Q81">
        <v>9000</v>
      </c>
      <c r="R81">
        <v>0</v>
      </c>
      <c r="S81">
        <v>0</v>
      </c>
      <c r="T81">
        <v>0</v>
      </c>
      <c r="U81">
        <v>52</v>
      </c>
      <c r="V81">
        <v>0</v>
      </c>
      <c r="W81">
        <v>0</v>
      </c>
      <c r="X81">
        <v>0</v>
      </c>
      <c r="Y81">
        <v>0</v>
      </c>
      <c r="Z81" cm="1">
        <f t="array" ref="Z81">MMULT($G81:$Y81,'Nelson Factor_2019'!$B$1:$B$19)/$G81</f>
        <v>9.8760857142857148</v>
      </c>
      <c r="AA81" cm="1">
        <f t="array" ref="AA81">MMULT($G81:$R81,'Nelson Factor_2019'!$B$1:$B$12)/$G81</f>
        <v>9.8757142857142863</v>
      </c>
    </row>
    <row r="82" spans="1:27" x14ac:dyDescent="0.25">
      <c r="A82">
        <v>2005</v>
      </c>
      <c r="B82">
        <v>2</v>
      </c>
      <c r="C82">
        <v>4</v>
      </c>
      <c r="D82" t="s">
        <v>155</v>
      </c>
      <c r="E82" t="s">
        <v>51</v>
      </c>
      <c r="F82" t="s">
        <v>156</v>
      </c>
      <c r="G82">
        <v>187000</v>
      </c>
      <c r="H82">
        <v>74500</v>
      </c>
      <c r="I82">
        <v>26500</v>
      </c>
      <c r="J82">
        <v>0</v>
      </c>
      <c r="K82">
        <v>64000</v>
      </c>
      <c r="L82">
        <v>48300</v>
      </c>
      <c r="M82">
        <v>0</v>
      </c>
      <c r="N82">
        <v>177700</v>
      </c>
      <c r="O82">
        <v>14500</v>
      </c>
      <c r="P82">
        <v>2400</v>
      </c>
      <c r="Q82">
        <v>0</v>
      </c>
      <c r="R82">
        <v>17300</v>
      </c>
      <c r="S82">
        <v>0</v>
      </c>
      <c r="T82">
        <v>0</v>
      </c>
      <c r="U82">
        <v>10</v>
      </c>
      <c r="V82">
        <v>15</v>
      </c>
      <c r="W82">
        <v>1425</v>
      </c>
      <c r="X82">
        <v>118</v>
      </c>
      <c r="Y82">
        <v>0</v>
      </c>
      <c r="Z82" cm="1">
        <f t="array" ref="Z82">MMULT($G82:$Y82,'Nelson Factor_2019'!$B$1:$B$19)/$G82</f>
        <v>9.6341978609625674</v>
      </c>
      <c r="AA82" cm="1">
        <f t="array" ref="AA82">MMULT($G82:$R82,'Nelson Factor_2019'!$B$1:$B$12)/$G82</f>
        <v>9.4826203208556148</v>
      </c>
    </row>
    <row r="83" spans="1:27" x14ac:dyDescent="0.25">
      <c r="A83">
        <v>2005</v>
      </c>
      <c r="B83">
        <v>2</v>
      </c>
      <c r="C83">
        <v>3</v>
      </c>
      <c r="D83" t="s">
        <v>155</v>
      </c>
      <c r="E83" t="s">
        <v>157</v>
      </c>
      <c r="F83" t="s">
        <v>158</v>
      </c>
      <c r="G83">
        <v>52500</v>
      </c>
      <c r="H83">
        <v>15500</v>
      </c>
      <c r="I83">
        <v>0</v>
      </c>
      <c r="J83">
        <v>0</v>
      </c>
      <c r="K83">
        <v>18500</v>
      </c>
      <c r="L83">
        <v>13000</v>
      </c>
      <c r="M83">
        <v>5000</v>
      </c>
      <c r="N83">
        <v>12000</v>
      </c>
      <c r="O83">
        <v>4000</v>
      </c>
      <c r="P83">
        <v>0</v>
      </c>
      <c r="Q83">
        <v>0</v>
      </c>
      <c r="R83">
        <v>3500</v>
      </c>
      <c r="S83">
        <v>0</v>
      </c>
      <c r="T83">
        <v>0</v>
      </c>
      <c r="U83">
        <v>9</v>
      </c>
      <c r="V83">
        <v>0</v>
      </c>
      <c r="W83">
        <v>0</v>
      </c>
      <c r="X83">
        <v>0</v>
      </c>
      <c r="Y83">
        <v>5000</v>
      </c>
      <c r="Z83" cm="1">
        <f t="array" ref="Z83">MMULT($G83:$Y83,'Nelson Factor_2019'!$B$1:$B$19)/$G83</f>
        <v>7.1744571428571424</v>
      </c>
      <c r="AA83" cm="1">
        <f t="array" ref="AA83">MMULT($G83:$R83,'Nelson Factor_2019'!$B$1:$B$12)/$G83</f>
        <v>7.0314285714285711</v>
      </c>
    </row>
    <row r="84" spans="1:27" x14ac:dyDescent="0.25">
      <c r="A84">
        <v>2005</v>
      </c>
      <c r="B84">
        <v>2</v>
      </c>
      <c r="C84">
        <v>1</v>
      </c>
      <c r="D84" t="s">
        <v>155</v>
      </c>
      <c r="E84" t="s">
        <v>159</v>
      </c>
      <c r="F84" t="s">
        <v>160</v>
      </c>
      <c r="G84">
        <v>50000</v>
      </c>
      <c r="H84">
        <v>25175</v>
      </c>
      <c r="I84">
        <v>0</v>
      </c>
      <c r="J84">
        <v>0</v>
      </c>
      <c r="K84">
        <v>16200</v>
      </c>
      <c r="L84">
        <v>10800</v>
      </c>
      <c r="M84">
        <v>0</v>
      </c>
      <c r="N84">
        <v>26300</v>
      </c>
      <c r="O84">
        <v>2700</v>
      </c>
      <c r="P84">
        <v>0</v>
      </c>
      <c r="Q84">
        <v>0</v>
      </c>
      <c r="R84">
        <v>5400</v>
      </c>
      <c r="S84">
        <v>0</v>
      </c>
      <c r="T84">
        <v>0</v>
      </c>
      <c r="U84">
        <v>0</v>
      </c>
      <c r="V84">
        <v>0</v>
      </c>
      <c r="W84">
        <v>0</v>
      </c>
      <c r="X84">
        <v>19</v>
      </c>
      <c r="Y84">
        <v>2250</v>
      </c>
      <c r="Z84" cm="1">
        <f t="array" ref="Z84">MMULT($G84:$Y84,'Nelson Factor_2019'!$B$1:$B$19)/$G84</f>
        <v>7.0162500000000003</v>
      </c>
      <c r="AA84" cm="1">
        <f t="array" ref="AA84">MMULT($G84:$R84,'Nelson Factor_2019'!$B$1:$B$12)/$G84</f>
        <v>6.8575499999999998</v>
      </c>
    </row>
    <row r="85" spans="1:27" x14ac:dyDescent="0.25">
      <c r="A85">
        <v>2005</v>
      </c>
      <c r="B85">
        <v>2</v>
      </c>
      <c r="C85">
        <v>4</v>
      </c>
      <c r="D85" t="s">
        <v>155</v>
      </c>
      <c r="E85" t="s">
        <v>138</v>
      </c>
      <c r="F85" t="s">
        <v>160</v>
      </c>
      <c r="G85">
        <v>85000</v>
      </c>
      <c r="H85">
        <v>30000</v>
      </c>
      <c r="I85">
        <v>8500</v>
      </c>
      <c r="J85">
        <v>0</v>
      </c>
      <c r="K85">
        <v>0</v>
      </c>
      <c r="L85">
        <v>17500</v>
      </c>
      <c r="M85">
        <v>0</v>
      </c>
      <c r="N85">
        <v>34500</v>
      </c>
      <c r="O85">
        <v>0</v>
      </c>
      <c r="P85">
        <v>0</v>
      </c>
      <c r="Q85">
        <v>0</v>
      </c>
      <c r="R85">
        <v>0</v>
      </c>
      <c r="S85">
        <v>8500</v>
      </c>
      <c r="T85">
        <v>0</v>
      </c>
      <c r="U85">
        <v>0</v>
      </c>
      <c r="V85">
        <v>0</v>
      </c>
      <c r="W85">
        <v>350</v>
      </c>
      <c r="X85">
        <v>0</v>
      </c>
      <c r="Y85">
        <v>0</v>
      </c>
      <c r="Z85" cm="1">
        <f t="array" ref="Z85">MMULT($G85:$Y85,'Nelson Factor_2019'!$B$1:$B$19)/$G85</f>
        <v>10.252941176470589</v>
      </c>
      <c r="AA85" cm="1">
        <f t="array" ref="AA85">MMULT($G85:$R85,'Nelson Factor_2019'!$B$1:$B$12)/$G85</f>
        <v>4.2529411764705882</v>
      </c>
    </row>
    <row r="86" spans="1:27" x14ac:dyDescent="0.25">
      <c r="A86">
        <v>2005</v>
      </c>
      <c r="B86">
        <v>2</v>
      </c>
      <c r="C86">
        <v>1</v>
      </c>
      <c r="D86" t="s">
        <v>155</v>
      </c>
      <c r="E86" t="s">
        <v>66</v>
      </c>
      <c r="F86" t="s">
        <v>161</v>
      </c>
      <c r="G86">
        <v>85000</v>
      </c>
      <c r="H86">
        <v>32000</v>
      </c>
      <c r="I86">
        <v>0</v>
      </c>
      <c r="J86">
        <v>0</v>
      </c>
      <c r="K86">
        <v>25400</v>
      </c>
      <c r="L86">
        <v>21000</v>
      </c>
      <c r="M86">
        <v>0</v>
      </c>
      <c r="N86">
        <v>90200</v>
      </c>
      <c r="O86">
        <v>6400</v>
      </c>
      <c r="P86">
        <v>0</v>
      </c>
      <c r="Q86">
        <v>0</v>
      </c>
      <c r="R86">
        <v>7000</v>
      </c>
      <c r="S86">
        <v>0</v>
      </c>
      <c r="T86">
        <v>0</v>
      </c>
      <c r="U86">
        <v>26</v>
      </c>
      <c r="V86">
        <v>0</v>
      </c>
      <c r="W86">
        <v>0</v>
      </c>
      <c r="X86">
        <v>100</v>
      </c>
      <c r="Y86">
        <v>11000</v>
      </c>
      <c r="Z86" cm="1">
        <f t="array" ref="Z86">MMULT($G86:$Y86,'Nelson Factor_2019'!$B$1:$B$19)/$G86</f>
        <v>8.6473647058823531</v>
      </c>
      <c r="AA86" cm="1">
        <f t="array" ref="AA86">MMULT($G86:$R86,'Nelson Factor_2019'!$B$1:$B$12)/$G86</f>
        <v>8.170588235294117</v>
      </c>
    </row>
    <row r="87" spans="1:27" x14ac:dyDescent="0.25">
      <c r="A87">
        <v>2005</v>
      </c>
      <c r="B87">
        <v>1</v>
      </c>
      <c r="C87">
        <v>0</v>
      </c>
      <c r="D87" t="s">
        <v>162</v>
      </c>
      <c r="E87" t="s">
        <v>163</v>
      </c>
      <c r="F87" t="s">
        <v>164</v>
      </c>
      <c r="G87">
        <v>10000</v>
      </c>
      <c r="H87">
        <v>0</v>
      </c>
      <c r="I87">
        <v>0</v>
      </c>
      <c r="J87">
        <v>0</v>
      </c>
      <c r="K87">
        <v>0</v>
      </c>
      <c r="L87">
        <v>1800</v>
      </c>
      <c r="M87">
        <v>0</v>
      </c>
      <c r="N87">
        <v>3500</v>
      </c>
      <c r="O87">
        <v>0</v>
      </c>
      <c r="P87">
        <v>0</v>
      </c>
      <c r="Q87">
        <v>0</v>
      </c>
      <c r="R87">
        <v>600</v>
      </c>
      <c r="S87">
        <v>2600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 cm="1">
        <f t="array" ref="Z87">MMULT($G87:$Y87,'Nelson Factor_2019'!$B$1:$B$19)/$G87</f>
        <v>18.555</v>
      </c>
      <c r="AA87" cm="1">
        <f t="array" ref="AA87">MMULT($G87:$R87,'Nelson Factor_2019'!$B$1:$B$12)/$G87</f>
        <v>2.9550000000000001</v>
      </c>
    </row>
    <row r="88" spans="1:27" x14ac:dyDescent="0.25">
      <c r="A88">
        <v>2005</v>
      </c>
      <c r="B88">
        <v>1</v>
      </c>
      <c r="C88">
        <v>3</v>
      </c>
      <c r="D88" t="s">
        <v>162</v>
      </c>
      <c r="E88" t="s">
        <v>51</v>
      </c>
      <c r="F88" t="s">
        <v>165</v>
      </c>
      <c r="G88">
        <v>185000</v>
      </c>
      <c r="H88">
        <v>75400</v>
      </c>
      <c r="I88">
        <v>0</v>
      </c>
      <c r="J88">
        <v>0</v>
      </c>
      <c r="K88">
        <v>48400</v>
      </c>
      <c r="L88">
        <v>48800</v>
      </c>
      <c r="M88">
        <v>19900</v>
      </c>
      <c r="N88">
        <v>131500</v>
      </c>
      <c r="O88">
        <v>11800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160</v>
      </c>
      <c r="Y88">
        <v>0</v>
      </c>
      <c r="Z88" cm="1">
        <f t="array" ref="Z88">MMULT($G88:$Y88,'Nelson Factor_2019'!$B$1:$B$19)/$G88</f>
        <v>7.9014594594594598</v>
      </c>
      <c r="AA88" cm="1">
        <f t="array" ref="AA88">MMULT($G88:$R88,'Nelson Factor_2019'!$B$1:$B$12)/$G88</f>
        <v>7.6938918918918917</v>
      </c>
    </row>
    <row r="89" spans="1:27" x14ac:dyDescent="0.25">
      <c r="A89">
        <v>2005</v>
      </c>
      <c r="B89">
        <v>1</v>
      </c>
      <c r="C89">
        <v>1</v>
      </c>
      <c r="D89" t="s">
        <v>162</v>
      </c>
      <c r="E89" t="s">
        <v>138</v>
      </c>
      <c r="F89" t="s">
        <v>166</v>
      </c>
      <c r="G89">
        <v>175000</v>
      </c>
      <c r="H89">
        <v>26400</v>
      </c>
      <c r="I89">
        <v>0</v>
      </c>
      <c r="J89">
        <v>0</v>
      </c>
      <c r="K89">
        <v>93000</v>
      </c>
      <c r="L89">
        <v>15600</v>
      </c>
      <c r="M89">
        <v>0</v>
      </c>
      <c r="N89">
        <v>48000</v>
      </c>
      <c r="O89">
        <v>10000</v>
      </c>
      <c r="P89">
        <v>0</v>
      </c>
      <c r="Q89">
        <v>21600</v>
      </c>
      <c r="R89">
        <v>0</v>
      </c>
      <c r="S89">
        <v>0</v>
      </c>
      <c r="T89">
        <v>2600</v>
      </c>
      <c r="U89">
        <v>6</v>
      </c>
      <c r="V89">
        <v>0</v>
      </c>
      <c r="W89">
        <v>0</v>
      </c>
      <c r="X89">
        <v>0</v>
      </c>
      <c r="Y89">
        <v>0</v>
      </c>
      <c r="Z89" cm="1">
        <f t="array" ref="Z89">MMULT($G89:$Y89,'Nelson Factor_2019'!$B$1:$B$19)/$G89</f>
        <v>8.70472</v>
      </c>
      <c r="AA89" cm="1">
        <f t="array" ref="AA89">MMULT($G89:$R89,'Nelson Factor_2019'!$B$1:$B$12)/$G89</f>
        <v>8.5561142857142851</v>
      </c>
    </row>
    <row r="90" spans="1:27" x14ac:dyDescent="0.25">
      <c r="A90">
        <v>2005</v>
      </c>
      <c r="B90">
        <v>1</v>
      </c>
      <c r="C90">
        <v>1</v>
      </c>
      <c r="D90" t="s">
        <v>162</v>
      </c>
      <c r="E90" t="s">
        <v>138</v>
      </c>
      <c r="F90" t="s">
        <v>167</v>
      </c>
      <c r="G90">
        <v>330000</v>
      </c>
      <c r="H90">
        <v>157400</v>
      </c>
      <c r="I90">
        <v>0</v>
      </c>
      <c r="J90">
        <v>0</v>
      </c>
      <c r="K90">
        <v>113500</v>
      </c>
      <c r="L90">
        <v>68000</v>
      </c>
      <c r="M90">
        <v>0</v>
      </c>
      <c r="N90">
        <v>163600</v>
      </c>
      <c r="O90">
        <v>16700</v>
      </c>
      <c r="P90">
        <v>0</v>
      </c>
      <c r="Q90">
        <v>13700</v>
      </c>
      <c r="R90">
        <v>7300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 cm="1">
        <f t="array" ref="Z90">MMULT($G90:$Y90,'Nelson Factor_2019'!$B$1:$B$19)/$G90</f>
        <v>7.3561212121212121</v>
      </c>
      <c r="AA90" cm="1">
        <f t="array" ref="AA90">MMULT($G90:$R90,'Nelson Factor_2019'!$B$1:$B$12)/$G90</f>
        <v>7.3561212121212121</v>
      </c>
    </row>
    <row r="91" spans="1:27" x14ac:dyDescent="0.25">
      <c r="A91">
        <v>2005</v>
      </c>
      <c r="B91">
        <v>1</v>
      </c>
      <c r="C91">
        <v>1</v>
      </c>
      <c r="D91" t="s">
        <v>162</v>
      </c>
      <c r="E91" t="s">
        <v>168</v>
      </c>
      <c r="F91" t="s">
        <v>169</v>
      </c>
      <c r="G91">
        <v>66700</v>
      </c>
      <c r="H91">
        <v>27000</v>
      </c>
      <c r="I91">
        <v>0</v>
      </c>
      <c r="J91">
        <v>0</v>
      </c>
      <c r="K91">
        <v>23000</v>
      </c>
      <c r="L91">
        <v>16000</v>
      </c>
      <c r="M91">
        <v>0</v>
      </c>
      <c r="N91">
        <v>40000</v>
      </c>
      <c r="O91">
        <v>3500</v>
      </c>
      <c r="P91">
        <v>1000</v>
      </c>
      <c r="Q91">
        <v>0</v>
      </c>
      <c r="R91">
        <v>6800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12000</v>
      </c>
      <c r="Z91" cm="1">
        <f t="array" ref="Z91">MMULT($G91:$Y91,'Nelson Factor_2019'!$B$1:$B$19)/$G91</f>
        <v>7.5442278860569711</v>
      </c>
      <c r="AA91" cm="1">
        <f t="array" ref="AA91">MMULT($G91:$R91,'Nelson Factor_2019'!$B$1:$B$12)/$G91</f>
        <v>7.2743628185907045</v>
      </c>
    </row>
    <row r="92" spans="1:27" x14ac:dyDescent="0.25">
      <c r="A92">
        <v>2005</v>
      </c>
      <c r="B92">
        <v>2</v>
      </c>
      <c r="C92">
        <v>1</v>
      </c>
      <c r="D92" t="s">
        <v>170</v>
      </c>
      <c r="E92" t="s">
        <v>171</v>
      </c>
      <c r="F92" t="s">
        <v>172</v>
      </c>
      <c r="G92">
        <v>190000</v>
      </c>
      <c r="H92">
        <v>0</v>
      </c>
      <c r="I92">
        <v>0</v>
      </c>
      <c r="J92">
        <v>0</v>
      </c>
      <c r="K92">
        <v>68000</v>
      </c>
      <c r="L92">
        <v>36000</v>
      </c>
      <c r="M92">
        <v>0</v>
      </c>
      <c r="N92">
        <v>123000</v>
      </c>
      <c r="O92">
        <v>12000</v>
      </c>
      <c r="P92">
        <v>0</v>
      </c>
      <c r="Q92">
        <v>0</v>
      </c>
      <c r="R92">
        <v>4000</v>
      </c>
      <c r="S92">
        <v>0</v>
      </c>
      <c r="T92">
        <v>0</v>
      </c>
      <c r="U92">
        <v>0</v>
      </c>
      <c r="V92">
        <v>0</v>
      </c>
      <c r="W92">
        <v>0</v>
      </c>
      <c r="X92">
        <v>45</v>
      </c>
      <c r="Y92">
        <v>0</v>
      </c>
      <c r="Z92" cm="1">
        <f t="array" ref="Z92">MMULT($G92:$Y92,'Nelson Factor_2019'!$B$1:$B$19)/$G92</f>
        <v>6.4647368421052631</v>
      </c>
      <c r="AA92" cm="1">
        <f t="array" ref="AA92">MMULT($G92:$R92,'Nelson Factor_2019'!$B$1:$B$12)/$G92</f>
        <v>6.4078947368421053</v>
      </c>
    </row>
    <row r="93" spans="1:27" x14ac:dyDescent="0.25">
      <c r="A93">
        <v>2005</v>
      </c>
      <c r="B93">
        <v>3</v>
      </c>
      <c r="C93">
        <v>0</v>
      </c>
      <c r="D93" t="s">
        <v>173</v>
      </c>
      <c r="E93" t="s">
        <v>174</v>
      </c>
      <c r="F93" t="s">
        <v>175</v>
      </c>
      <c r="G93">
        <v>10000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1200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 cm="1">
        <f t="array" ref="Z93">MMULT($G93:$Y93,'Nelson Factor_2019'!$B$1:$B$19)/$G93</f>
        <v>3.4</v>
      </c>
      <c r="AA93" cm="1">
        <f t="array" ref="AA93">MMULT($G93:$R93,'Nelson Factor_2019'!$B$1:$B$12)/$G93</f>
        <v>3.4</v>
      </c>
    </row>
    <row r="94" spans="1:27" x14ac:dyDescent="0.25">
      <c r="A94">
        <v>2005</v>
      </c>
      <c r="B94">
        <v>3</v>
      </c>
      <c r="C94">
        <v>1</v>
      </c>
      <c r="D94" t="s">
        <v>173</v>
      </c>
      <c r="E94" t="s">
        <v>176</v>
      </c>
      <c r="F94" t="s">
        <v>177</v>
      </c>
      <c r="G94">
        <v>62000</v>
      </c>
      <c r="H94">
        <v>24000</v>
      </c>
      <c r="I94">
        <v>0</v>
      </c>
      <c r="J94">
        <v>0</v>
      </c>
      <c r="K94">
        <v>23000</v>
      </c>
      <c r="L94">
        <v>21000</v>
      </c>
      <c r="M94">
        <v>0</v>
      </c>
      <c r="N94">
        <v>65400</v>
      </c>
      <c r="O94">
        <v>4500</v>
      </c>
      <c r="P94">
        <v>0</v>
      </c>
      <c r="Q94">
        <v>4900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131</v>
      </c>
      <c r="Y94">
        <v>8500</v>
      </c>
      <c r="Z94" cm="1">
        <f t="array" ref="Z94">MMULT($G94:$Y94,'Nelson Factor_2019'!$B$1:$B$19)/$G94</f>
        <v>11.078870967741935</v>
      </c>
      <c r="AA94" cm="1">
        <f t="array" ref="AA94">MMULT($G94:$R94,'Nelson Factor_2019'!$B$1:$B$12)/$G94</f>
        <v>10.366129032258064</v>
      </c>
    </row>
    <row r="95" spans="1:27" x14ac:dyDescent="0.25">
      <c r="A95">
        <v>2005</v>
      </c>
      <c r="B95">
        <v>3</v>
      </c>
      <c r="C95">
        <v>6</v>
      </c>
      <c r="D95" t="s">
        <v>173</v>
      </c>
      <c r="E95" t="s">
        <v>32</v>
      </c>
      <c r="F95" t="s">
        <v>178</v>
      </c>
      <c r="G95">
        <v>446500</v>
      </c>
      <c r="H95">
        <v>225150</v>
      </c>
      <c r="I95">
        <v>38700</v>
      </c>
      <c r="J95">
        <v>0</v>
      </c>
      <c r="K95">
        <v>183600</v>
      </c>
      <c r="L95">
        <v>124200</v>
      </c>
      <c r="M95">
        <v>114000</v>
      </c>
      <c r="N95">
        <v>363900</v>
      </c>
      <c r="O95">
        <v>58900</v>
      </c>
      <c r="P95">
        <v>0</v>
      </c>
      <c r="Q95">
        <v>43700</v>
      </c>
      <c r="R95">
        <v>24300</v>
      </c>
      <c r="S95">
        <v>0</v>
      </c>
      <c r="T95">
        <v>0</v>
      </c>
      <c r="U95">
        <v>180</v>
      </c>
      <c r="V95">
        <v>22.8</v>
      </c>
      <c r="W95">
        <v>2585</v>
      </c>
      <c r="X95">
        <v>1123</v>
      </c>
      <c r="Y95">
        <v>0</v>
      </c>
      <c r="Z95" cm="1">
        <f t="array" ref="Z95">MMULT($G95:$Y95,'Nelson Factor_2019'!$B$1:$B$19)/$G95</f>
        <v>14.287609854423291</v>
      </c>
      <c r="AA95" cm="1">
        <f t="array" ref="AA95">MMULT($G95:$R95,'Nelson Factor_2019'!$B$1:$B$12)/$G95</f>
        <v>13.683527435610303</v>
      </c>
    </row>
    <row r="96" spans="1:27" x14ac:dyDescent="0.25">
      <c r="A96">
        <v>2005</v>
      </c>
      <c r="B96">
        <v>3</v>
      </c>
      <c r="C96">
        <v>4</v>
      </c>
      <c r="D96" t="s">
        <v>173</v>
      </c>
      <c r="E96" t="s">
        <v>79</v>
      </c>
      <c r="F96" t="s">
        <v>179</v>
      </c>
      <c r="G96">
        <v>156750</v>
      </c>
      <c r="H96">
        <v>73625</v>
      </c>
      <c r="I96">
        <v>37800</v>
      </c>
      <c r="J96">
        <v>0</v>
      </c>
      <c r="K96">
        <v>72450</v>
      </c>
      <c r="L96">
        <v>45450</v>
      </c>
      <c r="M96">
        <v>0</v>
      </c>
      <c r="N96">
        <v>148230</v>
      </c>
      <c r="O96">
        <v>18090</v>
      </c>
      <c r="P96">
        <v>0</v>
      </c>
      <c r="Q96">
        <v>30105</v>
      </c>
      <c r="R96">
        <v>0</v>
      </c>
      <c r="S96">
        <v>0</v>
      </c>
      <c r="T96">
        <v>3600</v>
      </c>
      <c r="U96">
        <v>0</v>
      </c>
      <c r="V96">
        <v>0</v>
      </c>
      <c r="W96">
        <v>2123</v>
      </c>
      <c r="X96">
        <v>281.7</v>
      </c>
      <c r="Y96">
        <v>0</v>
      </c>
      <c r="Z96" cm="1">
        <f t="array" ref="Z96">MMULT($G96:$Y96,'Nelson Factor_2019'!$B$1:$B$19)/$G96</f>
        <v>15.662491228070175</v>
      </c>
      <c r="AA96" cm="1">
        <f t="array" ref="AA96">MMULT($G96:$R96,'Nelson Factor_2019'!$B$1:$B$12)/$G96</f>
        <v>15.001515151515152</v>
      </c>
    </row>
    <row r="97" spans="1:27" x14ac:dyDescent="0.25">
      <c r="A97">
        <v>2005</v>
      </c>
      <c r="B97">
        <v>3</v>
      </c>
      <c r="C97">
        <v>6</v>
      </c>
      <c r="D97" t="s">
        <v>173</v>
      </c>
      <c r="E97" t="s">
        <v>180</v>
      </c>
      <c r="F97" t="s">
        <v>179</v>
      </c>
      <c r="G97">
        <v>100000</v>
      </c>
      <c r="H97">
        <v>56000</v>
      </c>
      <c r="I97">
        <v>17500</v>
      </c>
      <c r="J97">
        <v>10000</v>
      </c>
      <c r="K97">
        <v>20000</v>
      </c>
      <c r="L97">
        <v>30000</v>
      </c>
      <c r="M97">
        <v>11000</v>
      </c>
      <c r="N97">
        <v>82000</v>
      </c>
      <c r="O97">
        <v>3000</v>
      </c>
      <c r="P97">
        <v>2000</v>
      </c>
      <c r="Q97">
        <v>20500</v>
      </c>
      <c r="R97">
        <v>5200</v>
      </c>
      <c r="S97">
        <v>0</v>
      </c>
      <c r="T97">
        <v>0</v>
      </c>
      <c r="U97">
        <v>24</v>
      </c>
      <c r="V97">
        <v>15</v>
      </c>
      <c r="W97">
        <v>1000</v>
      </c>
      <c r="X97">
        <v>280</v>
      </c>
      <c r="Y97">
        <v>12000</v>
      </c>
      <c r="Z97" cm="1">
        <f t="array" ref="Z97">MMULT($G97:$Y97,'Nelson Factor_2019'!$B$1:$B$19)/$G97</f>
        <v>14.553890000000001</v>
      </c>
      <c r="AA97" cm="1">
        <f t="array" ref="AA97">MMULT($G97:$R97,'Nelson Factor_2019'!$B$1:$B$12)/$G97</f>
        <v>13.701499999999999</v>
      </c>
    </row>
    <row r="98" spans="1:27" x14ac:dyDescent="0.25">
      <c r="A98">
        <v>2005</v>
      </c>
      <c r="B98">
        <v>3</v>
      </c>
      <c r="C98">
        <v>1</v>
      </c>
      <c r="D98" t="s">
        <v>173</v>
      </c>
      <c r="E98" t="s">
        <v>51</v>
      </c>
      <c r="F98" t="s">
        <v>181</v>
      </c>
      <c r="G98">
        <v>146000</v>
      </c>
      <c r="H98">
        <v>0</v>
      </c>
      <c r="I98">
        <v>0</v>
      </c>
      <c r="J98">
        <v>0</v>
      </c>
      <c r="K98">
        <v>58300</v>
      </c>
      <c r="L98">
        <v>28600</v>
      </c>
      <c r="M98">
        <v>0</v>
      </c>
      <c r="N98">
        <v>158000</v>
      </c>
      <c r="O98">
        <v>17000</v>
      </c>
      <c r="P98">
        <v>0</v>
      </c>
      <c r="Q98">
        <v>0</v>
      </c>
      <c r="R98">
        <v>44450</v>
      </c>
      <c r="S98">
        <v>0</v>
      </c>
      <c r="T98">
        <v>0</v>
      </c>
      <c r="U98">
        <v>65</v>
      </c>
      <c r="V98">
        <v>6</v>
      </c>
      <c r="W98">
        <v>0</v>
      </c>
      <c r="X98">
        <v>400</v>
      </c>
      <c r="Y98">
        <v>0</v>
      </c>
      <c r="Z98" cm="1">
        <f t="array" ref="Z98">MMULT($G98:$Y98,'Nelson Factor_2019'!$B$1:$B$19)/$G98</f>
        <v>9.8165821917808227</v>
      </c>
      <c r="AA98" cm="1">
        <f t="array" ref="AA98">MMULT($G98:$R98,'Nelson Factor_2019'!$B$1:$B$12)/$G98</f>
        <v>9.1585616438356166</v>
      </c>
    </row>
    <row r="99" spans="1:27" x14ac:dyDescent="0.25">
      <c r="A99">
        <v>2005</v>
      </c>
      <c r="B99">
        <v>3</v>
      </c>
      <c r="C99">
        <v>4</v>
      </c>
      <c r="D99" t="s">
        <v>173</v>
      </c>
      <c r="E99" t="s">
        <v>51</v>
      </c>
      <c r="F99" t="s">
        <v>182</v>
      </c>
      <c r="G99">
        <v>219700</v>
      </c>
      <c r="H99">
        <v>111150</v>
      </c>
      <c r="I99">
        <v>65000</v>
      </c>
      <c r="J99">
        <v>0</v>
      </c>
      <c r="K99">
        <v>95400</v>
      </c>
      <c r="L99">
        <v>32400</v>
      </c>
      <c r="M99">
        <v>0</v>
      </c>
      <c r="N99">
        <v>217349.7</v>
      </c>
      <c r="O99">
        <v>16650</v>
      </c>
      <c r="P99">
        <v>0</v>
      </c>
      <c r="Q99">
        <v>17340</v>
      </c>
      <c r="R99">
        <v>9100</v>
      </c>
      <c r="S99">
        <v>0</v>
      </c>
      <c r="T99">
        <v>0</v>
      </c>
      <c r="U99">
        <v>0</v>
      </c>
      <c r="V99">
        <v>165</v>
      </c>
      <c r="W99">
        <v>3970</v>
      </c>
      <c r="X99">
        <v>532</v>
      </c>
      <c r="Y99">
        <v>0</v>
      </c>
      <c r="Z99" cm="1">
        <f t="array" ref="Z99">MMULT($G99:$Y99,'Nelson Factor_2019'!$B$1:$B$19)/$G99</f>
        <v>12.735158170232134</v>
      </c>
      <c r="AA99" cm="1">
        <f t="array" ref="AA99">MMULT($G99:$R99,'Nelson Factor_2019'!$B$1:$B$12)/$G99</f>
        <v>12.153251024123804</v>
      </c>
    </row>
    <row r="100" spans="1:27" x14ac:dyDescent="0.25">
      <c r="A100">
        <v>2005</v>
      </c>
      <c r="B100">
        <v>3</v>
      </c>
      <c r="C100">
        <v>4</v>
      </c>
      <c r="D100" t="s">
        <v>173</v>
      </c>
      <c r="E100" t="s">
        <v>183</v>
      </c>
      <c r="F100" t="s">
        <v>184</v>
      </c>
      <c r="G100">
        <v>100000</v>
      </c>
      <c r="H100">
        <v>41000</v>
      </c>
      <c r="I100">
        <v>12000</v>
      </c>
      <c r="J100">
        <v>0</v>
      </c>
      <c r="K100">
        <v>50000</v>
      </c>
      <c r="L100">
        <v>20000</v>
      </c>
      <c r="M100">
        <v>0</v>
      </c>
      <c r="N100">
        <v>44000</v>
      </c>
      <c r="O100">
        <v>11000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500</v>
      </c>
      <c r="X100">
        <v>24</v>
      </c>
      <c r="Y100">
        <v>0</v>
      </c>
      <c r="Z100" cm="1">
        <f t="array" ref="Z100">MMULT($G100:$Y100,'Nelson Factor_2019'!$B$1:$B$19)/$G100</f>
        <v>8.6905999999999999</v>
      </c>
      <c r="AA100" cm="1">
        <f t="array" ref="AA100">MMULT($G100:$R100,'Nelson Factor_2019'!$B$1:$B$12)/$G100</f>
        <v>8.6329999999999991</v>
      </c>
    </row>
    <row r="101" spans="1:27" x14ac:dyDescent="0.25">
      <c r="A101">
        <v>2005</v>
      </c>
      <c r="B101">
        <v>3</v>
      </c>
      <c r="C101">
        <v>6</v>
      </c>
      <c r="D101" t="s">
        <v>173</v>
      </c>
      <c r="E101" t="s">
        <v>54</v>
      </c>
      <c r="F101" t="s">
        <v>185</v>
      </c>
      <c r="G101">
        <v>557000</v>
      </c>
      <c r="H101">
        <v>265000</v>
      </c>
      <c r="I101">
        <v>82000</v>
      </c>
      <c r="J101">
        <v>0</v>
      </c>
      <c r="K101">
        <v>202500</v>
      </c>
      <c r="L101">
        <v>122000</v>
      </c>
      <c r="M101">
        <v>26000</v>
      </c>
      <c r="N101">
        <v>727000</v>
      </c>
      <c r="O101">
        <v>34500</v>
      </c>
      <c r="P101">
        <v>0</v>
      </c>
      <c r="Q101">
        <v>0</v>
      </c>
      <c r="R101">
        <v>0</v>
      </c>
      <c r="S101">
        <v>21000</v>
      </c>
      <c r="T101">
        <v>6500</v>
      </c>
      <c r="U101">
        <v>83.5</v>
      </c>
      <c r="V101">
        <v>56.5</v>
      </c>
      <c r="W101">
        <v>3280</v>
      </c>
      <c r="X101">
        <v>1630</v>
      </c>
      <c r="Y101">
        <v>0</v>
      </c>
      <c r="Z101" cm="1">
        <f t="array" ref="Z101">MMULT($G101:$Y101,'Nelson Factor_2019'!$B$1:$B$19)/$G101</f>
        <v>13.336337522441651</v>
      </c>
      <c r="AA101" cm="1">
        <f t="array" ref="AA101">MMULT($G101:$R101,'Nelson Factor_2019'!$B$1:$B$12)/$G101</f>
        <v>10.254937163375224</v>
      </c>
    </row>
    <row r="102" spans="1:27" x14ac:dyDescent="0.25">
      <c r="A102">
        <v>2005</v>
      </c>
      <c r="B102">
        <v>3</v>
      </c>
      <c r="C102">
        <v>6</v>
      </c>
      <c r="D102" t="s">
        <v>173</v>
      </c>
      <c r="E102" t="s">
        <v>54</v>
      </c>
      <c r="F102" t="s">
        <v>186</v>
      </c>
      <c r="G102">
        <v>348500</v>
      </c>
      <c r="H102">
        <v>143000</v>
      </c>
      <c r="I102">
        <v>48000</v>
      </c>
      <c r="J102">
        <v>0</v>
      </c>
      <c r="K102">
        <v>108500</v>
      </c>
      <c r="L102">
        <v>147000</v>
      </c>
      <c r="M102">
        <v>61500</v>
      </c>
      <c r="N102">
        <v>289500</v>
      </c>
      <c r="O102">
        <v>15500</v>
      </c>
      <c r="P102">
        <v>0</v>
      </c>
      <c r="Q102">
        <v>0</v>
      </c>
      <c r="R102">
        <v>24500</v>
      </c>
      <c r="S102">
        <v>12500</v>
      </c>
      <c r="T102">
        <v>4500</v>
      </c>
      <c r="U102">
        <v>0</v>
      </c>
      <c r="V102">
        <v>54.5</v>
      </c>
      <c r="W102">
        <v>2900</v>
      </c>
      <c r="X102">
        <v>580</v>
      </c>
      <c r="Y102">
        <v>0</v>
      </c>
      <c r="Z102" cm="1">
        <f t="array" ref="Z102">MMULT($G102:$Y102,'Nelson Factor_2019'!$B$1:$B$19)/$G102</f>
        <v>13.36844906743185</v>
      </c>
      <c r="AA102" cm="1">
        <f t="array" ref="AA102">MMULT($G102:$R102,'Nelson Factor_2019'!$B$1:$B$12)/$G102</f>
        <v>10.687661406025825</v>
      </c>
    </row>
    <row r="103" spans="1:27" x14ac:dyDescent="0.25">
      <c r="A103">
        <v>2005</v>
      </c>
      <c r="B103">
        <v>3</v>
      </c>
      <c r="C103">
        <v>6</v>
      </c>
      <c r="D103" t="s">
        <v>173</v>
      </c>
      <c r="E103" t="s">
        <v>35</v>
      </c>
      <c r="F103" t="s">
        <v>179</v>
      </c>
      <c r="G103">
        <v>279300</v>
      </c>
      <c r="H103">
        <v>83125</v>
      </c>
      <c r="I103">
        <v>12600</v>
      </c>
      <c r="J103">
        <v>0</v>
      </c>
      <c r="K103">
        <v>96030</v>
      </c>
      <c r="L103">
        <v>63000</v>
      </c>
      <c r="M103">
        <v>12600</v>
      </c>
      <c r="N103">
        <v>219240</v>
      </c>
      <c r="O103">
        <v>12870</v>
      </c>
      <c r="P103">
        <v>0</v>
      </c>
      <c r="Q103">
        <v>45180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590</v>
      </c>
      <c r="X103">
        <v>242</v>
      </c>
      <c r="Y103">
        <v>0</v>
      </c>
      <c r="Z103" cm="1">
        <f t="array" ref="Z103">MMULT($G103:$Y103,'Nelson Factor_2019'!$B$1:$B$19)/$G103</f>
        <v>11.143295739348371</v>
      </c>
      <c r="AA103" cm="1">
        <f t="array" ref="AA103">MMULT($G103:$R103,'Nelson Factor_2019'!$B$1:$B$12)/$G103</f>
        <v>10.935347296813463</v>
      </c>
    </row>
    <row r="104" spans="1:27" x14ac:dyDescent="0.25">
      <c r="A104">
        <v>2005</v>
      </c>
      <c r="B104">
        <v>3</v>
      </c>
      <c r="C104">
        <v>4</v>
      </c>
      <c r="D104" t="s">
        <v>173</v>
      </c>
      <c r="E104" t="s">
        <v>187</v>
      </c>
      <c r="F104" t="s">
        <v>188</v>
      </c>
      <c r="G104">
        <v>60000</v>
      </c>
      <c r="H104">
        <v>15000</v>
      </c>
      <c r="I104">
        <v>6500</v>
      </c>
      <c r="J104">
        <v>0</v>
      </c>
      <c r="K104">
        <v>20200</v>
      </c>
      <c r="L104">
        <v>17500</v>
      </c>
      <c r="M104">
        <v>0</v>
      </c>
      <c r="N104">
        <v>32000</v>
      </c>
      <c r="O104">
        <v>4750</v>
      </c>
      <c r="P104">
        <v>0</v>
      </c>
      <c r="Q104">
        <v>0</v>
      </c>
      <c r="R104">
        <v>5000</v>
      </c>
      <c r="S104">
        <v>0</v>
      </c>
      <c r="T104">
        <v>0</v>
      </c>
      <c r="U104">
        <v>0</v>
      </c>
      <c r="V104">
        <v>0</v>
      </c>
      <c r="W104">
        <v>250</v>
      </c>
      <c r="X104">
        <v>18</v>
      </c>
      <c r="Y104">
        <v>0</v>
      </c>
      <c r="Z104" cm="1">
        <f t="array" ref="Z104">MMULT($G104:$Y104,'Nelson Factor_2019'!$B$1:$B$19)/$G104</f>
        <v>8.0628333333333337</v>
      </c>
      <c r="AA104" cm="1">
        <f t="array" ref="AA104">MMULT($G104:$R104,'Nelson Factor_2019'!$B$1:$B$12)/$G104</f>
        <v>7.9908333333333337</v>
      </c>
    </row>
    <row r="105" spans="1:27" x14ac:dyDescent="0.25">
      <c r="A105">
        <v>2005</v>
      </c>
      <c r="B105">
        <v>3</v>
      </c>
      <c r="C105">
        <v>4</v>
      </c>
      <c r="D105" t="s">
        <v>173</v>
      </c>
      <c r="E105" t="s">
        <v>189</v>
      </c>
      <c r="F105" t="s">
        <v>190</v>
      </c>
      <c r="G105">
        <v>268850</v>
      </c>
      <c r="H105">
        <v>187625</v>
      </c>
      <c r="I105">
        <v>87300</v>
      </c>
      <c r="J105">
        <v>0</v>
      </c>
      <c r="K105">
        <v>89100</v>
      </c>
      <c r="L105">
        <v>60300</v>
      </c>
      <c r="M105">
        <v>0</v>
      </c>
      <c r="N105">
        <v>281070</v>
      </c>
      <c r="O105">
        <v>18810</v>
      </c>
      <c r="P105">
        <v>0</v>
      </c>
      <c r="Q105">
        <v>9630</v>
      </c>
      <c r="R105">
        <v>0</v>
      </c>
      <c r="S105">
        <v>3700</v>
      </c>
      <c r="T105">
        <v>2610</v>
      </c>
      <c r="U105">
        <v>0</v>
      </c>
      <c r="V105">
        <v>0</v>
      </c>
      <c r="W105">
        <v>5000</v>
      </c>
      <c r="X105">
        <v>1042</v>
      </c>
      <c r="Y105">
        <v>0</v>
      </c>
      <c r="Z105" cm="1">
        <f t="array" ref="Z105">MMULT($G105:$Y105,'Nelson Factor_2019'!$B$1:$B$19)/$G105</f>
        <v>13.335196206062861</v>
      </c>
      <c r="AA105" cm="1">
        <f t="array" ref="AA105">MMULT($G105:$R105,'Nelson Factor_2019'!$B$1:$B$12)/$G105</f>
        <v>11.482192672493955</v>
      </c>
    </row>
    <row r="106" spans="1:27" x14ac:dyDescent="0.25">
      <c r="A106">
        <v>2005</v>
      </c>
      <c r="B106">
        <v>3</v>
      </c>
      <c r="C106">
        <v>1</v>
      </c>
      <c r="D106" t="s">
        <v>173</v>
      </c>
      <c r="E106" t="s">
        <v>83</v>
      </c>
      <c r="F106" t="s">
        <v>178</v>
      </c>
      <c r="G106">
        <v>72000</v>
      </c>
      <c r="H106">
        <v>0</v>
      </c>
      <c r="I106">
        <v>0</v>
      </c>
      <c r="J106">
        <v>0</v>
      </c>
      <c r="K106">
        <v>48500</v>
      </c>
      <c r="L106">
        <v>10500</v>
      </c>
      <c r="M106">
        <v>0</v>
      </c>
      <c r="N106">
        <v>0</v>
      </c>
      <c r="O106">
        <v>12800</v>
      </c>
      <c r="P106">
        <v>0</v>
      </c>
      <c r="Q106">
        <v>2400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 cm="1">
        <f t="array" ref="Z106">MMULT($G106:$Y106,'Nelson Factor_2019'!$B$1:$B$19)/$G106</f>
        <v>8.2152777777777786</v>
      </c>
      <c r="AA106" cm="1">
        <f t="array" ref="AA106">MMULT($G106:$R106,'Nelson Factor_2019'!$B$1:$B$12)/$G106</f>
        <v>8.2152777777777786</v>
      </c>
    </row>
    <row r="107" spans="1:27" x14ac:dyDescent="0.25">
      <c r="A107">
        <v>2005</v>
      </c>
      <c r="B107">
        <v>3</v>
      </c>
      <c r="C107">
        <v>6</v>
      </c>
      <c r="D107" t="s">
        <v>173</v>
      </c>
      <c r="E107" t="s">
        <v>112</v>
      </c>
      <c r="F107" t="s">
        <v>191</v>
      </c>
      <c r="G107">
        <v>275000</v>
      </c>
      <c r="H107">
        <v>121000</v>
      </c>
      <c r="I107">
        <v>49500</v>
      </c>
      <c r="J107">
        <v>0</v>
      </c>
      <c r="K107">
        <v>86000</v>
      </c>
      <c r="L107">
        <v>45000</v>
      </c>
      <c r="M107">
        <v>17800</v>
      </c>
      <c r="N107">
        <v>198000</v>
      </c>
      <c r="O107">
        <v>18000</v>
      </c>
      <c r="P107">
        <v>0</v>
      </c>
      <c r="Q107">
        <v>0</v>
      </c>
      <c r="R107">
        <v>0</v>
      </c>
      <c r="S107">
        <v>22000</v>
      </c>
      <c r="T107">
        <v>0</v>
      </c>
      <c r="U107">
        <v>0</v>
      </c>
      <c r="V107">
        <v>0</v>
      </c>
      <c r="W107">
        <v>2450</v>
      </c>
      <c r="X107">
        <v>544</v>
      </c>
      <c r="Y107">
        <v>0</v>
      </c>
      <c r="Z107" cm="1">
        <f t="array" ref="Z107">MMULT($G107:$Y107,'Nelson Factor_2019'!$B$1:$B$19)/$G107</f>
        <v>13.863672727272727</v>
      </c>
      <c r="AA107" cm="1">
        <f t="array" ref="AA107">MMULT($G107:$R107,'Nelson Factor_2019'!$B$1:$B$12)/$G107</f>
        <v>8.588909090909091</v>
      </c>
    </row>
    <row r="108" spans="1:27" x14ac:dyDescent="0.25">
      <c r="A108">
        <v>2005</v>
      </c>
      <c r="B108">
        <v>3</v>
      </c>
      <c r="C108">
        <v>6</v>
      </c>
      <c r="D108" t="s">
        <v>173</v>
      </c>
      <c r="E108" t="s">
        <v>153</v>
      </c>
      <c r="F108" t="s">
        <v>191</v>
      </c>
      <c r="G108">
        <v>250000</v>
      </c>
      <c r="H108">
        <v>135000</v>
      </c>
      <c r="I108">
        <v>100000</v>
      </c>
      <c r="J108">
        <v>0</v>
      </c>
      <c r="K108">
        <v>80000</v>
      </c>
      <c r="L108">
        <v>53000</v>
      </c>
      <c r="M108">
        <v>45000</v>
      </c>
      <c r="N108">
        <v>243000</v>
      </c>
      <c r="O108">
        <v>20000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105</v>
      </c>
      <c r="V108">
        <v>6</v>
      </c>
      <c r="W108">
        <v>6200</v>
      </c>
      <c r="X108">
        <v>850</v>
      </c>
      <c r="Y108">
        <v>0</v>
      </c>
      <c r="Z108" cm="1">
        <f t="array" ref="Z108">MMULT($G108:$Y108,'Nelson Factor_2019'!$B$1:$B$19)/$G108</f>
        <v>13.168443999999999</v>
      </c>
      <c r="AA108" cm="1">
        <f t="array" ref="AA108">MMULT($G108:$R108,'Nelson Factor_2019'!$B$1:$B$12)/$G108</f>
        <v>12.352</v>
      </c>
    </row>
    <row r="109" spans="1:27" x14ac:dyDescent="0.25">
      <c r="A109">
        <v>2005</v>
      </c>
      <c r="B109">
        <v>3</v>
      </c>
      <c r="C109">
        <v>6</v>
      </c>
      <c r="D109" t="s">
        <v>173</v>
      </c>
      <c r="E109" t="s">
        <v>192</v>
      </c>
      <c r="F109" t="s">
        <v>193</v>
      </c>
      <c r="G109">
        <v>333700</v>
      </c>
      <c r="H109">
        <v>171500</v>
      </c>
      <c r="I109">
        <v>81100</v>
      </c>
      <c r="J109">
        <v>0</v>
      </c>
      <c r="K109">
        <v>67500</v>
      </c>
      <c r="L109">
        <v>69400</v>
      </c>
      <c r="M109">
        <v>61600</v>
      </c>
      <c r="N109">
        <v>294700</v>
      </c>
      <c r="O109">
        <v>18100</v>
      </c>
      <c r="P109">
        <v>0</v>
      </c>
      <c r="Q109">
        <v>0</v>
      </c>
      <c r="R109">
        <v>0</v>
      </c>
      <c r="S109">
        <v>0</v>
      </c>
      <c r="T109">
        <v>6100</v>
      </c>
      <c r="U109">
        <v>65.8</v>
      </c>
      <c r="V109">
        <v>36.5</v>
      </c>
      <c r="W109">
        <v>5235</v>
      </c>
      <c r="X109">
        <v>1150</v>
      </c>
      <c r="Y109">
        <v>4600</v>
      </c>
      <c r="Z109" cm="1">
        <f t="array" ref="Z109">MMULT($G109:$Y109,'Nelson Factor_2019'!$B$1:$B$19)/$G109</f>
        <v>11.002254420137847</v>
      </c>
      <c r="AA109" cm="1">
        <f t="array" ref="AA109">MMULT($G109:$R109,'Nelson Factor_2019'!$B$1:$B$12)/$G109</f>
        <v>9.9713814803715906</v>
      </c>
    </row>
    <row r="110" spans="1:27" x14ac:dyDescent="0.25">
      <c r="A110">
        <v>2005</v>
      </c>
      <c r="B110">
        <v>3</v>
      </c>
      <c r="C110">
        <v>1</v>
      </c>
      <c r="D110" t="s">
        <v>173</v>
      </c>
      <c r="E110" t="s">
        <v>194</v>
      </c>
      <c r="F110" t="s">
        <v>191</v>
      </c>
      <c r="G110">
        <v>174575</v>
      </c>
      <c r="H110">
        <v>50433</v>
      </c>
      <c r="I110">
        <v>0</v>
      </c>
      <c r="J110">
        <v>0</v>
      </c>
      <c r="K110">
        <v>53329</v>
      </c>
      <c r="L110">
        <v>36467</v>
      </c>
      <c r="M110">
        <v>0</v>
      </c>
      <c r="N110">
        <v>122945</v>
      </c>
      <c r="O110">
        <v>5168</v>
      </c>
      <c r="P110">
        <v>0</v>
      </c>
      <c r="Q110">
        <v>0</v>
      </c>
      <c r="R110">
        <v>13578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270</v>
      </c>
      <c r="Y110">
        <v>0</v>
      </c>
      <c r="Z110" cm="1">
        <f t="array" ref="Z110">MMULT($G110:$Y110,'Nelson Factor_2019'!$B$1:$B$19)/$G110</f>
        <v>6.9140678791350414</v>
      </c>
      <c r="AA110" cm="1">
        <f t="array" ref="AA110">MMULT($G110:$R110,'Nelson Factor_2019'!$B$1:$B$12)/$G110</f>
        <v>6.5428807102964335</v>
      </c>
    </row>
    <row r="111" spans="1:27" x14ac:dyDescent="0.25">
      <c r="A111">
        <v>2005</v>
      </c>
      <c r="B111">
        <v>3</v>
      </c>
      <c r="C111">
        <v>6</v>
      </c>
      <c r="D111" t="s">
        <v>173</v>
      </c>
      <c r="E111" t="s">
        <v>66</v>
      </c>
      <c r="F111" t="s">
        <v>179</v>
      </c>
      <c r="G111">
        <v>152000</v>
      </c>
      <c r="H111">
        <v>85000</v>
      </c>
      <c r="I111">
        <v>17500</v>
      </c>
      <c r="J111">
        <v>0</v>
      </c>
      <c r="K111">
        <v>115000</v>
      </c>
      <c r="L111">
        <v>67000</v>
      </c>
      <c r="M111">
        <v>49000</v>
      </c>
      <c r="N111">
        <v>194700</v>
      </c>
      <c r="O111">
        <v>18500</v>
      </c>
      <c r="P111">
        <v>0</v>
      </c>
      <c r="Q111">
        <v>17000</v>
      </c>
      <c r="R111">
        <v>16000</v>
      </c>
      <c r="S111">
        <v>0</v>
      </c>
      <c r="T111">
        <v>23700</v>
      </c>
      <c r="U111">
        <v>94</v>
      </c>
      <c r="V111">
        <v>63</v>
      </c>
      <c r="W111">
        <v>998</v>
      </c>
      <c r="X111">
        <v>790</v>
      </c>
      <c r="Y111">
        <v>40000</v>
      </c>
      <c r="Z111" cm="1">
        <f t="array" ref="Z111">MMULT($G111:$Y111,'Nelson Factor_2019'!$B$1:$B$19)/$G111</f>
        <v>22.087217105263157</v>
      </c>
      <c r="AA111" cm="1">
        <f t="array" ref="AA111">MMULT($G111:$R111,'Nelson Factor_2019'!$B$1:$B$12)/$G111</f>
        <v>18.88486842105263</v>
      </c>
    </row>
    <row r="112" spans="1:27" x14ac:dyDescent="0.25">
      <c r="A112">
        <v>2005</v>
      </c>
      <c r="B112">
        <v>3</v>
      </c>
      <c r="C112">
        <v>1</v>
      </c>
      <c r="D112" t="s">
        <v>173</v>
      </c>
      <c r="E112" t="s">
        <v>66</v>
      </c>
      <c r="F112" t="s">
        <v>190</v>
      </c>
      <c r="G112">
        <v>90000</v>
      </c>
      <c r="H112">
        <v>39000</v>
      </c>
      <c r="I112">
        <v>0</v>
      </c>
      <c r="J112">
        <v>0</v>
      </c>
      <c r="K112">
        <v>65000</v>
      </c>
      <c r="L112">
        <v>10000</v>
      </c>
      <c r="M112">
        <v>0</v>
      </c>
      <c r="N112">
        <v>45500</v>
      </c>
      <c r="O112">
        <v>9000</v>
      </c>
      <c r="P112">
        <v>1500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100</v>
      </c>
      <c r="Y112">
        <v>4500</v>
      </c>
      <c r="Z112" cm="1">
        <f t="array" ref="Z112">MMULT($G112:$Y112,'Nelson Factor_2019'!$B$1:$B$19)/$G112</f>
        <v>9.224444444444444</v>
      </c>
      <c r="AA112" cm="1">
        <f t="array" ref="AA112">MMULT($G112:$R112,'Nelson Factor_2019'!$B$1:$B$12)/$G112</f>
        <v>8.8827777777777772</v>
      </c>
    </row>
    <row r="113" spans="1:27" x14ac:dyDescent="0.25">
      <c r="A113">
        <v>2005</v>
      </c>
      <c r="B113">
        <v>3</v>
      </c>
      <c r="C113">
        <v>3</v>
      </c>
      <c r="D113" t="s">
        <v>173</v>
      </c>
      <c r="E113" t="s">
        <v>66</v>
      </c>
      <c r="F113" t="s">
        <v>195</v>
      </c>
      <c r="G113">
        <v>164000</v>
      </c>
      <c r="H113">
        <v>48000</v>
      </c>
      <c r="I113">
        <v>0</v>
      </c>
      <c r="J113">
        <v>0</v>
      </c>
      <c r="K113">
        <v>54500</v>
      </c>
      <c r="L113">
        <v>46000</v>
      </c>
      <c r="M113">
        <v>30000</v>
      </c>
      <c r="N113">
        <v>86200</v>
      </c>
      <c r="O113">
        <v>9000</v>
      </c>
      <c r="P113">
        <v>0</v>
      </c>
      <c r="Q113">
        <v>0</v>
      </c>
      <c r="R113">
        <v>7000</v>
      </c>
      <c r="S113">
        <v>0</v>
      </c>
      <c r="T113">
        <v>3400</v>
      </c>
      <c r="U113">
        <v>0</v>
      </c>
      <c r="V113">
        <v>0</v>
      </c>
      <c r="W113">
        <v>0</v>
      </c>
      <c r="X113">
        <v>60</v>
      </c>
      <c r="Y113">
        <v>0</v>
      </c>
      <c r="Z113" cm="1">
        <f t="array" ref="Z113">MMULT($G113:$Y113,'Nelson Factor_2019'!$B$1:$B$19)/$G113</f>
        <v>8.5262195121951212</v>
      </c>
      <c r="AA113" cm="1">
        <f t="array" ref="AA113">MMULT($G113:$R113,'Nelson Factor_2019'!$B$1:$B$12)/$G113</f>
        <v>8.2310975609756092</v>
      </c>
    </row>
    <row r="114" spans="1:27" x14ac:dyDescent="0.25">
      <c r="A114">
        <v>2005</v>
      </c>
      <c r="B114">
        <v>3</v>
      </c>
      <c r="C114">
        <v>4</v>
      </c>
      <c r="D114" t="s">
        <v>173</v>
      </c>
      <c r="E114" t="s">
        <v>66</v>
      </c>
      <c r="F114" t="s">
        <v>178</v>
      </c>
      <c r="G114">
        <v>221000</v>
      </c>
      <c r="H114">
        <v>210000</v>
      </c>
      <c r="I114">
        <v>50000</v>
      </c>
      <c r="J114">
        <v>0</v>
      </c>
      <c r="K114">
        <v>80000</v>
      </c>
      <c r="L114">
        <v>14000</v>
      </c>
      <c r="M114">
        <v>0</v>
      </c>
      <c r="N114">
        <v>272500</v>
      </c>
      <c r="O114">
        <v>12000</v>
      </c>
      <c r="P114">
        <v>0</v>
      </c>
      <c r="Q114">
        <v>0</v>
      </c>
      <c r="R114">
        <v>6500</v>
      </c>
      <c r="S114">
        <v>0</v>
      </c>
      <c r="T114">
        <v>2500</v>
      </c>
      <c r="U114">
        <v>0</v>
      </c>
      <c r="V114">
        <v>77</v>
      </c>
      <c r="W114">
        <v>3000</v>
      </c>
      <c r="X114">
        <v>1000</v>
      </c>
      <c r="Y114">
        <v>0</v>
      </c>
      <c r="Z114" cm="1">
        <f t="array" ref="Z114">MMULT($G114:$Y114,'Nelson Factor_2019'!$B$1:$B$19)/$G114</f>
        <v>11.334058823529412</v>
      </c>
      <c r="AA114" cm="1">
        <f t="array" ref="AA114">MMULT($G114:$R114,'Nelson Factor_2019'!$B$1:$B$12)/$G114</f>
        <v>10.134615384615385</v>
      </c>
    </row>
    <row r="115" spans="1:27" x14ac:dyDescent="0.25">
      <c r="A115">
        <v>2005</v>
      </c>
      <c r="B115">
        <v>3</v>
      </c>
      <c r="C115">
        <v>3</v>
      </c>
      <c r="D115" t="s">
        <v>173</v>
      </c>
      <c r="E115" t="s">
        <v>66</v>
      </c>
      <c r="F115" t="s">
        <v>196</v>
      </c>
      <c r="G115">
        <v>97000</v>
      </c>
      <c r="H115">
        <v>29000</v>
      </c>
      <c r="I115">
        <v>0</v>
      </c>
      <c r="J115">
        <v>0</v>
      </c>
      <c r="K115">
        <v>23000</v>
      </c>
      <c r="L115">
        <v>30500</v>
      </c>
      <c r="M115">
        <v>29000</v>
      </c>
      <c r="N115">
        <v>80750</v>
      </c>
      <c r="O115">
        <v>5800</v>
      </c>
      <c r="P115">
        <v>0</v>
      </c>
      <c r="Q115">
        <v>9600</v>
      </c>
      <c r="R115">
        <v>0</v>
      </c>
      <c r="S115">
        <v>1200</v>
      </c>
      <c r="T115">
        <v>0</v>
      </c>
      <c r="U115">
        <v>6</v>
      </c>
      <c r="V115">
        <v>9.6</v>
      </c>
      <c r="W115">
        <v>0</v>
      </c>
      <c r="X115">
        <v>50</v>
      </c>
      <c r="Y115">
        <v>0</v>
      </c>
      <c r="Z115" cm="1">
        <f t="array" ref="Z115">MMULT($G115:$Y115,'Nelson Factor_2019'!$B$1:$B$19)/$G115</f>
        <v>12.299903092783506</v>
      </c>
      <c r="AA115" cm="1">
        <f t="array" ref="AA115">MMULT($G115:$R115,'Nelson Factor_2019'!$B$1:$B$12)/$G115</f>
        <v>11.433762886597938</v>
      </c>
    </row>
    <row r="116" spans="1:27" x14ac:dyDescent="0.25">
      <c r="A116">
        <v>2005</v>
      </c>
      <c r="B116">
        <v>3</v>
      </c>
      <c r="C116">
        <v>1</v>
      </c>
      <c r="D116" t="s">
        <v>173</v>
      </c>
      <c r="E116" t="s">
        <v>197</v>
      </c>
      <c r="F116" t="s">
        <v>198</v>
      </c>
      <c r="G116">
        <v>90000</v>
      </c>
      <c r="H116">
        <v>34700</v>
      </c>
      <c r="I116">
        <v>0</v>
      </c>
      <c r="J116">
        <v>0</v>
      </c>
      <c r="K116">
        <v>28000</v>
      </c>
      <c r="L116">
        <v>17700</v>
      </c>
      <c r="M116">
        <v>0</v>
      </c>
      <c r="N116">
        <v>37800</v>
      </c>
      <c r="O116">
        <v>8200</v>
      </c>
      <c r="P116">
        <v>0</v>
      </c>
      <c r="Q116">
        <v>0</v>
      </c>
      <c r="R116">
        <v>2500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20</v>
      </c>
      <c r="Y116">
        <v>4800</v>
      </c>
      <c r="Z116" cm="1">
        <f t="array" ref="Z116">MMULT($G116:$Y116,'Nelson Factor_2019'!$B$1:$B$19)/$G116</f>
        <v>6.5289999999999999</v>
      </c>
      <c r="AA116" cm="1">
        <f t="array" ref="AA116">MMULT($G116:$R116,'Nelson Factor_2019'!$B$1:$B$12)/$G116</f>
        <v>6.3956666666666671</v>
      </c>
    </row>
    <row r="117" spans="1:27" x14ac:dyDescent="0.25">
      <c r="A117">
        <v>2005</v>
      </c>
      <c r="B117">
        <v>4</v>
      </c>
      <c r="C117">
        <v>1</v>
      </c>
      <c r="D117" t="s">
        <v>199</v>
      </c>
      <c r="E117" t="s">
        <v>200</v>
      </c>
      <c r="F117" t="s">
        <v>201</v>
      </c>
      <c r="G117">
        <v>25000</v>
      </c>
      <c r="H117">
        <v>5500</v>
      </c>
      <c r="I117">
        <v>0</v>
      </c>
      <c r="J117">
        <v>0</v>
      </c>
      <c r="K117">
        <v>10000</v>
      </c>
      <c r="L117">
        <v>6000</v>
      </c>
      <c r="M117">
        <v>0</v>
      </c>
      <c r="N117">
        <v>14000</v>
      </c>
      <c r="O117">
        <v>2000</v>
      </c>
      <c r="P117">
        <v>0</v>
      </c>
      <c r="Q117">
        <v>0</v>
      </c>
      <c r="R117">
        <v>3200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4</v>
      </c>
      <c r="Y117">
        <v>0</v>
      </c>
      <c r="Z117" cm="1">
        <f t="array" ref="Z117">MMULT($G117:$Y117,'Nelson Factor_2019'!$B$1:$B$19)/$G117</f>
        <v>7.5084</v>
      </c>
      <c r="AA117" cm="1">
        <f t="array" ref="AA117">MMULT($G117:$R117,'Nelson Factor_2019'!$B$1:$B$12)/$G117</f>
        <v>7.47</v>
      </c>
    </row>
    <row r="118" spans="1:27" x14ac:dyDescent="0.25">
      <c r="A118">
        <v>2005</v>
      </c>
      <c r="B118">
        <v>4</v>
      </c>
      <c r="C118">
        <v>4</v>
      </c>
      <c r="D118" t="s">
        <v>199</v>
      </c>
      <c r="E118" t="s">
        <v>48</v>
      </c>
      <c r="F118" t="s">
        <v>201</v>
      </c>
      <c r="G118">
        <v>45000</v>
      </c>
      <c r="H118">
        <v>25600</v>
      </c>
      <c r="I118">
        <v>7200</v>
      </c>
      <c r="J118">
        <v>0</v>
      </c>
      <c r="K118">
        <v>13000</v>
      </c>
      <c r="L118">
        <v>7000</v>
      </c>
      <c r="M118">
        <v>0</v>
      </c>
      <c r="N118">
        <v>24000</v>
      </c>
      <c r="O118">
        <v>4500</v>
      </c>
      <c r="P118">
        <v>0</v>
      </c>
      <c r="Q118">
        <v>0</v>
      </c>
      <c r="R118">
        <v>1000</v>
      </c>
      <c r="S118">
        <v>0</v>
      </c>
      <c r="T118">
        <v>0</v>
      </c>
      <c r="U118">
        <v>0</v>
      </c>
      <c r="V118">
        <v>0</v>
      </c>
      <c r="W118">
        <v>281</v>
      </c>
      <c r="X118">
        <v>18</v>
      </c>
      <c r="Y118">
        <v>0</v>
      </c>
      <c r="Z118" cm="1">
        <f t="array" ref="Z118">MMULT($G118:$Y118,'Nelson Factor_2019'!$B$1:$B$19)/$G118</f>
        <v>7.9466666666666663</v>
      </c>
      <c r="AA118" cm="1">
        <f t="array" ref="AA118">MMULT($G118:$R118,'Nelson Factor_2019'!$B$1:$B$12)/$G118</f>
        <v>7.8506666666666662</v>
      </c>
    </row>
    <row r="119" spans="1:27" x14ac:dyDescent="0.25">
      <c r="A119">
        <v>2005</v>
      </c>
      <c r="B119">
        <v>4</v>
      </c>
      <c r="C119">
        <v>1</v>
      </c>
      <c r="D119" t="s">
        <v>199</v>
      </c>
      <c r="E119" t="s">
        <v>202</v>
      </c>
      <c r="F119" t="s">
        <v>203</v>
      </c>
      <c r="G119">
        <v>25000</v>
      </c>
      <c r="H119">
        <v>5500</v>
      </c>
      <c r="I119">
        <v>0</v>
      </c>
      <c r="J119">
        <v>0</v>
      </c>
      <c r="K119">
        <v>7680</v>
      </c>
      <c r="L119">
        <v>7200</v>
      </c>
      <c r="M119">
        <v>0</v>
      </c>
      <c r="N119">
        <v>13700</v>
      </c>
      <c r="O119">
        <v>2400</v>
      </c>
      <c r="P119">
        <v>0</v>
      </c>
      <c r="Q119">
        <v>0</v>
      </c>
      <c r="R119">
        <v>2600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4</v>
      </c>
      <c r="Y119">
        <v>800</v>
      </c>
      <c r="Z119" cm="1">
        <f t="array" ref="Z119">MMULT($G119:$Y119,'Nelson Factor_2019'!$B$1:$B$19)/$G119</f>
        <v>7.2976000000000001</v>
      </c>
      <c r="AA119" cm="1">
        <f t="array" ref="AA119">MMULT($G119:$R119,'Nelson Factor_2019'!$B$1:$B$12)/$G119</f>
        <v>7.2111999999999998</v>
      </c>
    </row>
    <row r="120" spans="1:27" x14ac:dyDescent="0.25">
      <c r="A120">
        <v>2005</v>
      </c>
      <c r="B120">
        <v>4</v>
      </c>
      <c r="C120">
        <v>0</v>
      </c>
      <c r="D120" t="s">
        <v>199</v>
      </c>
      <c r="E120" t="s">
        <v>204</v>
      </c>
      <c r="F120" t="s">
        <v>203</v>
      </c>
      <c r="G120">
        <v>12500</v>
      </c>
      <c r="H120">
        <v>6000</v>
      </c>
      <c r="I120">
        <v>0</v>
      </c>
      <c r="J120">
        <v>0</v>
      </c>
      <c r="K120">
        <v>0</v>
      </c>
      <c r="L120">
        <v>2200</v>
      </c>
      <c r="M120">
        <v>0</v>
      </c>
      <c r="N120">
        <v>6200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1200</v>
      </c>
      <c r="Z120" cm="1">
        <f t="array" ref="Z120">MMULT($G120:$Y120,'Nelson Factor_2019'!$B$1:$B$19)/$G120</f>
        <v>3.8879999999999999</v>
      </c>
      <c r="AA120" cm="1">
        <f t="array" ref="AA120">MMULT($G120:$R120,'Nelson Factor_2019'!$B$1:$B$12)/$G120</f>
        <v>3.7440000000000002</v>
      </c>
    </row>
    <row r="121" spans="1:27" x14ac:dyDescent="0.25">
      <c r="A121">
        <v>2005</v>
      </c>
      <c r="B121">
        <v>4</v>
      </c>
      <c r="C121">
        <v>1</v>
      </c>
      <c r="D121" t="s">
        <v>199</v>
      </c>
      <c r="E121" t="s">
        <v>148</v>
      </c>
      <c r="F121" t="s">
        <v>201</v>
      </c>
      <c r="G121">
        <v>60000</v>
      </c>
      <c r="H121">
        <v>0</v>
      </c>
      <c r="I121">
        <v>0</v>
      </c>
      <c r="J121">
        <v>0</v>
      </c>
      <c r="K121">
        <v>23000</v>
      </c>
      <c r="L121">
        <v>12000</v>
      </c>
      <c r="M121">
        <v>0</v>
      </c>
      <c r="N121">
        <v>12000</v>
      </c>
      <c r="O121">
        <v>6000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15</v>
      </c>
      <c r="Y121">
        <v>0</v>
      </c>
      <c r="Z121" cm="1">
        <f t="array" ref="Z121">MMULT($G121:$Y121,'Nelson Factor_2019'!$B$1:$B$19)/$G121</f>
        <v>5.86</v>
      </c>
      <c r="AA121" cm="1">
        <f t="array" ref="AA121">MMULT($G121:$R121,'Nelson Factor_2019'!$B$1:$B$12)/$G121</f>
        <v>5.8</v>
      </c>
    </row>
    <row r="122" spans="1:27" x14ac:dyDescent="0.25">
      <c r="A122">
        <v>2005</v>
      </c>
      <c r="B122">
        <v>1</v>
      </c>
      <c r="C122">
        <v>4</v>
      </c>
      <c r="D122" t="s">
        <v>205</v>
      </c>
      <c r="E122" t="s">
        <v>206</v>
      </c>
      <c r="F122" t="s">
        <v>207</v>
      </c>
      <c r="G122">
        <v>58900</v>
      </c>
      <c r="H122">
        <v>33000</v>
      </c>
      <c r="I122">
        <v>17100</v>
      </c>
      <c r="J122">
        <v>0</v>
      </c>
      <c r="K122">
        <v>26700</v>
      </c>
      <c r="L122">
        <v>10800</v>
      </c>
      <c r="M122">
        <v>0</v>
      </c>
      <c r="N122">
        <v>29300</v>
      </c>
      <c r="O122">
        <v>0</v>
      </c>
      <c r="P122">
        <v>4000</v>
      </c>
      <c r="Q122">
        <v>0</v>
      </c>
      <c r="R122">
        <v>0</v>
      </c>
      <c r="S122">
        <v>0</v>
      </c>
      <c r="T122">
        <v>660</v>
      </c>
      <c r="U122">
        <v>0</v>
      </c>
      <c r="V122">
        <v>0</v>
      </c>
      <c r="W122">
        <v>905</v>
      </c>
      <c r="X122">
        <v>36</v>
      </c>
      <c r="Y122">
        <v>0</v>
      </c>
      <c r="Z122" cm="1">
        <f t="array" ref="Z122">MMULT($G122:$Y122,'Nelson Factor_2019'!$B$1:$B$19)/$G122</f>
        <v>9.723938879456707</v>
      </c>
      <c r="AA122" cm="1">
        <f t="array" ref="AA122">MMULT($G122:$R122,'Nelson Factor_2019'!$B$1:$B$12)/$G122</f>
        <v>9.4651952461799667</v>
      </c>
    </row>
    <row r="123" spans="1:27" x14ac:dyDescent="0.25">
      <c r="A123">
        <v>2005</v>
      </c>
      <c r="B123">
        <v>5</v>
      </c>
      <c r="C123">
        <v>5</v>
      </c>
      <c r="D123" t="s">
        <v>208</v>
      </c>
      <c r="E123" t="s">
        <v>32</v>
      </c>
      <c r="F123" t="s">
        <v>209</v>
      </c>
      <c r="G123">
        <v>220400</v>
      </c>
      <c r="H123">
        <v>95950</v>
      </c>
      <c r="I123">
        <v>56700</v>
      </c>
      <c r="J123">
        <v>0</v>
      </c>
      <c r="K123">
        <v>0</v>
      </c>
      <c r="L123">
        <v>56700</v>
      </c>
      <c r="M123">
        <v>51300</v>
      </c>
      <c r="N123">
        <v>74700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92</v>
      </c>
      <c r="V123">
        <v>33</v>
      </c>
      <c r="W123">
        <v>2700</v>
      </c>
      <c r="X123">
        <v>211</v>
      </c>
      <c r="Y123">
        <v>0</v>
      </c>
      <c r="Z123" cm="1">
        <f t="array" ref="Z123">MMULT($G123:$Y123,'Nelson Factor_2019'!$B$1:$B$19)/$G123</f>
        <v>7.721415607985481</v>
      </c>
      <c r="AA123" cm="1">
        <f t="array" ref="AA123">MMULT($G123:$R123,'Nelson Factor_2019'!$B$1:$B$12)/$G123</f>
        <v>7.4910843920145194</v>
      </c>
    </row>
    <row r="124" spans="1:27" x14ac:dyDescent="0.25">
      <c r="A124">
        <v>2005</v>
      </c>
      <c r="B124">
        <v>5</v>
      </c>
      <c r="C124">
        <v>1</v>
      </c>
      <c r="D124" t="s">
        <v>208</v>
      </c>
      <c r="E124" t="s">
        <v>51</v>
      </c>
      <c r="F124" t="s">
        <v>209</v>
      </c>
      <c r="G124">
        <v>93000</v>
      </c>
      <c r="H124">
        <v>46400</v>
      </c>
      <c r="I124">
        <v>0</v>
      </c>
      <c r="J124">
        <v>0</v>
      </c>
      <c r="K124">
        <v>28350</v>
      </c>
      <c r="L124">
        <v>15700</v>
      </c>
      <c r="M124">
        <v>0</v>
      </c>
      <c r="N124">
        <v>74578.2</v>
      </c>
      <c r="O124">
        <v>8550</v>
      </c>
      <c r="P124">
        <v>0</v>
      </c>
      <c r="Q124">
        <v>0</v>
      </c>
      <c r="R124">
        <v>3960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46</v>
      </c>
      <c r="Y124">
        <v>0</v>
      </c>
      <c r="Z124" cm="1">
        <f t="array" ref="Z124">MMULT($G124:$Y124,'Nelson Factor_2019'!$B$1:$B$19)/$G124</f>
        <v>7.4923172043010755</v>
      </c>
      <c r="AA124" cm="1">
        <f t="array" ref="AA124">MMULT($G124:$R124,'Nelson Factor_2019'!$B$1:$B$12)/$G124</f>
        <v>7.3736075268817203</v>
      </c>
    </row>
    <row r="125" spans="1:27" x14ac:dyDescent="0.25">
      <c r="A125">
        <v>2005</v>
      </c>
      <c r="B125">
        <v>5</v>
      </c>
      <c r="C125">
        <v>4</v>
      </c>
      <c r="D125" t="s">
        <v>208</v>
      </c>
      <c r="E125" t="s">
        <v>61</v>
      </c>
      <c r="F125" t="s">
        <v>210</v>
      </c>
      <c r="G125">
        <v>148600</v>
      </c>
      <c r="H125">
        <v>62300</v>
      </c>
      <c r="I125">
        <v>25700</v>
      </c>
      <c r="J125">
        <v>0</v>
      </c>
      <c r="K125">
        <v>57900</v>
      </c>
      <c r="L125">
        <v>31800</v>
      </c>
      <c r="M125">
        <v>0</v>
      </c>
      <c r="N125">
        <v>127700</v>
      </c>
      <c r="O125">
        <v>11900</v>
      </c>
      <c r="P125">
        <v>4300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1400</v>
      </c>
      <c r="X125">
        <v>150</v>
      </c>
      <c r="Y125">
        <v>0</v>
      </c>
      <c r="Z125" cm="1">
        <f t="array" ref="Z125">MMULT($G125:$Y125,'Nelson Factor_2019'!$B$1:$B$19)/$G125</f>
        <v>9.7307537012113059</v>
      </c>
      <c r="AA125" cm="1">
        <f t="array" ref="AA125">MMULT($G125:$R125,'Nelson Factor_2019'!$B$1:$B$12)/$G125</f>
        <v>9.4884925975773893</v>
      </c>
    </row>
    <row r="126" spans="1:27" x14ac:dyDescent="0.25">
      <c r="A126">
        <v>2005</v>
      </c>
      <c r="B126">
        <v>5</v>
      </c>
      <c r="C126">
        <v>1</v>
      </c>
      <c r="D126" t="s">
        <v>208</v>
      </c>
      <c r="E126" t="s">
        <v>148</v>
      </c>
      <c r="F126" t="s">
        <v>210</v>
      </c>
      <c r="G126">
        <v>114500</v>
      </c>
      <c r="H126">
        <v>45000</v>
      </c>
      <c r="I126">
        <v>0</v>
      </c>
      <c r="J126">
        <v>0</v>
      </c>
      <c r="K126">
        <v>42000</v>
      </c>
      <c r="L126">
        <v>24300</v>
      </c>
      <c r="M126">
        <v>0</v>
      </c>
      <c r="N126">
        <v>66500</v>
      </c>
      <c r="O126">
        <v>11500</v>
      </c>
      <c r="P126">
        <v>0</v>
      </c>
      <c r="Q126">
        <v>0</v>
      </c>
      <c r="R126">
        <v>3400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48</v>
      </c>
      <c r="Y126">
        <v>1000</v>
      </c>
      <c r="Z126" cm="1">
        <f t="array" ref="Z126">MMULT($G126:$Y126,'Nelson Factor_2019'!$B$1:$B$19)/$G126</f>
        <v>7.4320524017467253</v>
      </c>
      <c r="AA126" cm="1">
        <f t="array" ref="AA126">MMULT($G126:$R126,'Nelson Factor_2019'!$B$1:$B$12)/$G126</f>
        <v>7.3183406113537117</v>
      </c>
    </row>
    <row r="127" spans="1:27" x14ac:dyDescent="0.25">
      <c r="A127">
        <v>2005</v>
      </c>
      <c r="B127">
        <v>5</v>
      </c>
      <c r="C127">
        <v>0</v>
      </c>
      <c r="D127" t="s">
        <v>208</v>
      </c>
      <c r="E127" t="s">
        <v>211</v>
      </c>
      <c r="F127" t="s">
        <v>212</v>
      </c>
      <c r="G127">
        <v>35800</v>
      </c>
      <c r="H127">
        <v>17700</v>
      </c>
      <c r="I127">
        <v>0</v>
      </c>
      <c r="J127">
        <v>0</v>
      </c>
      <c r="K127">
        <v>0</v>
      </c>
      <c r="L127">
        <v>5500</v>
      </c>
      <c r="M127">
        <v>0</v>
      </c>
      <c r="N127">
        <v>12900</v>
      </c>
      <c r="O127">
        <v>0</v>
      </c>
      <c r="P127">
        <v>0</v>
      </c>
      <c r="Q127">
        <v>0</v>
      </c>
      <c r="R127">
        <v>2700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10000</v>
      </c>
      <c r="Z127" cm="1">
        <f t="array" ref="Z127">MMULT($G127:$Y127,'Nelson Factor_2019'!$B$1:$B$19)/$G127</f>
        <v>3.9569832402234635</v>
      </c>
      <c r="AA127" cm="1">
        <f t="array" ref="AA127">MMULT($G127:$R127,'Nelson Factor_2019'!$B$1:$B$12)/$G127</f>
        <v>3.5379888268156425</v>
      </c>
    </row>
    <row r="128" spans="1:27" x14ac:dyDescent="0.25">
      <c r="A128">
        <v>2005</v>
      </c>
      <c r="B128">
        <v>1</v>
      </c>
      <c r="C128">
        <v>0</v>
      </c>
      <c r="D128" t="s">
        <v>213</v>
      </c>
      <c r="E128" t="s">
        <v>214</v>
      </c>
      <c r="F128" t="s">
        <v>215</v>
      </c>
      <c r="G128">
        <v>19400</v>
      </c>
      <c r="H128">
        <v>8400</v>
      </c>
      <c r="I128">
        <v>0</v>
      </c>
      <c r="J128">
        <v>0</v>
      </c>
      <c r="K128">
        <v>0</v>
      </c>
      <c r="L128">
        <v>3600</v>
      </c>
      <c r="M128">
        <v>0</v>
      </c>
      <c r="N128">
        <v>10600</v>
      </c>
      <c r="O128">
        <v>0</v>
      </c>
      <c r="P128">
        <v>0</v>
      </c>
      <c r="Q128">
        <v>0</v>
      </c>
      <c r="R128">
        <v>0</v>
      </c>
      <c r="S128">
        <v>4800</v>
      </c>
      <c r="T128">
        <v>0</v>
      </c>
      <c r="U128">
        <v>1.2</v>
      </c>
      <c r="V128">
        <v>0</v>
      </c>
      <c r="W128">
        <v>0</v>
      </c>
      <c r="X128">
        <v>1</v>
      </c>
      <c r="Y128">
        <v>0</v>
      </c>
      <c r="Z128" cm="1">
        <f t="array" ref="Z128">MMULT($G128:$Y128,'Nelson Factor_2019'!$B$1:$B$19)/$G128</f>
        <v>18.714494845360825</v>
      </c>
      <c r="AA128" cm="1">
        <f t="array" ref="AA128">MMULT($G128:$R128,'Nelson Factor_2019'!$B$1:$B$12)/$G128</f>
        <v>3.8567010309278351</v>
      </c>
    </row>
    <row r="129" spans="1:27" x14ac:dyDescent="0.25">
      <c r="A129">
        <v>2005</v>
      </c>
      <c r="B129">
        <v>2</v>
      </c>
      <c r="C129">
        <v>1</v>
      </c>
      <c r="D129" t="s">
        <v>216</v>
      </c>
      <c r="E129" t="s">
        <v>115</v>
      </c>
      <c r="F129" t="s">
        <v>217</v>
      </c>
      <c r="G129">
        <v>33250</v>
      </c>
      <c r="H129">
        <v>19500</v>
      </c>
      <c r="I129">
        <v>0</v>
      </c>
      <c r="J129">
        <v>0</v>
      </c>
      <c r="K129">
        <v>9900</v>
      </c>
      <c r="L129">
        <v>7200</v>
      </c>
      <c r="M129">
        <v>0</v>
      </c>
      <c r="N129">
        <v>20620</v>
      </c>
      <c r="O129">
        <v>1350</v>
      </c>
      <c r="P129">
        <v>0</v>
      </c>
      <c r="Q129">
        <v>0</v>
      </c>
      <c r="R129">
        <v>1800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15</v>
      </c>
      <c r="Y129">
        <v>6750</v>
      </c>
      <c r="Z129" cm="1">
        <f t="array" ref="Z129">MMULT($G129:$Y129,'Nelson Factor_2019'!$B$1:$B$19)/$G129</f>
        <v>7.1631578947368419</v>
      </c>
      <c r="AA129" cm="1">
        <f t="array" ref="AA129">MMULT($G129:$R129,'Nelson Factor_2019'!$B$1:$B$12)/$G129</f>
        <v>6.7503759398496239</v>
      </c>
    </row>
    <row r="130" spans="1:27" x14ac:dyDescent="0.25">
      <c r="A130">
        <v>2005</v>
      </c>
      <c r="B130">
        <v>4</v>
      </c>
      <c r="C130">
        <v>4</v>
      </c>
      <c r="D130" t="s">
        <v>218</v>
      </c>
      <c r="E130" t="s">
        <v>219</v>
      </c>
      <c r="F130" t="s">
        <v>220</v>
      </c>
      <c r="G130">
        <v>46000</v>
      </c>
      <c r="H130">
        <v>26000</v>
      </c>
      <c r="I130">
        <v>10000</v>
      </c>
      <c r="J130">
        <v>0</v>
      </c>
      <c r="K130">
        <v>12000</v>
      </c>
      <c r="L130">
        <v>7600</v>
      </c>
      <c r="M130">
        <v>0</v>
      </c>
      <c r="N130">
        <v>25400</v>
      </c>
      <c r="O130">
        <v>4200</v>
      </c>
      <c r="P130">
        <v>0</v>
      </c>
      <c r="Q130">
        <v>0</v>
      </c>
      <c r="R130">
        <v>1600</v>
      </c>
      <c r="S130">
        <v>0</v>
      </c>
      <c r="T130">
        <v>0</v>
      </c>
      <c r="U130">
        <v>5.5</v>
      </c>
      <c r="V130">
        <v>5.5</v>
      </c>
      <c r="W130">
        <v>560</v>
      </c>
      <c r="X130">
        <v>85</v>
      </c>
      <c r="Y130">
        <v>0</v>
      </c>
      <c r="Z130" cm="1">
        <f t="array" ref="Z130">MMULT($G130:$Y130,'Nelson Factor_2019'!$B$1:$B$19)/$G130</f>
        <v>8.598065217391305</v>
      </c>
      <c r="AA130" cm="1">
        <f t="array" ref="AA130">MMULT($G130:$R130,'Nelson Factor_2019'!$B$1:$B$12)/$G130</f>
        <v>8.1543478260869566</v>
      </c>
    </row>
    <row r="131" spans="1:27" x14ac:dyDescent="0.25">
      <c r="A131">
        <v>2005</v>
      </c>
      <c r="B131">
        <v>4</v>
      </c>
      <c r="C131">
        <v>1</v>
      </c>
      <c r="D131" t="s">
        <v>218</v>
      </c>
      <c r="E131" t="s">
        <v>221</v>
      </c>
      <c r="F131" t="s">
        <v>222</v>
      </c>
      <c r="G131">
        <v>22500</v>
      </c>
      <c r="H131">
        <v>6000</v>
      </c>
      <c r="I131">
        <v>0</v>
      </c>
      <c r="J131">
        <v>0</v>
      </c>
      <c r="K131">
        <v>10000</v>
      </c>
      <c r="L131">
        <v>5500</v>
      </c>
      <c r="M131">
        <v>0</v>
      </c>
      <c r="N131">
        <v>16000</v>
      </c>
      <c r="O131">
        <v>0</v>
      </c>
      <c r="P131">
        <v>1000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19.7</v>
      </c>
      <c r="Y131">
        <v>0</v>
      </c>
      <c r="Z131" cm="1">
        <f t="array" ref="Z131">MMULT($G131:$Y131,'Nelson Factor_2019'!$B$1:$B$19)/$G131</f>
        <v>7.6679111111111107</v>
      </c>
      <c r="AA131" cm="1">
        <f t="array" ref="AA131">MMULT($G131:$R131,'Nelson Factor_2019'!$B$1:$B$12)/$G131</f>
        <v>7.4577777777777774</v>
      </c>
    </row>
    <row r="132" spans="1:27" x14ac:dyDescent="0.25">
      <c r="A132">
        <v>2005</v>
      </c>
      <c r="B132">
        <v>4</v>
      </c>
      <c r="C132">
        <v>1</v>
      </c>
      <c r="D132" t="s">
        <v>218</v>
      </c>
      <c r="E132" t="s">
        <v>159</v>
      </c>
      <c r="F132" t="s">
        <v>223</v>
      </c>
      <c r="G132">
        <v>72000</v>
      </c>
      <c r="H132">
        <v>65000</v>
      </c>
      <c r="I132">
        <v>0</v>
      </c>
      <c r="J132">
        <v>0</v>
      </c>
      <c r="K132">
        <v>120000</v>
      </c>
      <c r="L132">
        <v>5700</v>
      </c>
      <c r="M132">
        <v>0</v>
      </c>
      <c r="N132">
        <v>15500</v>
      </c>
      <c r="O132">
        <v>0</v>
      </c>
      <c r="P132">
        <v>300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20</v>
      </c>
      <c r="Y132">
        <v>1750</v>
      </c>
      <c r="Z132" cm="1">
        <f t="array" ref="Z132">MMULT($G132:$Y132,'Nelson Factor_2019'!$B$1:$B$19)/$G132</f>
        <v>13.252430555555556</v>
      </c>
      <c r="AA132" cm="1">
        <f t="array" ref="AA132">MMULT($G132:$R132,'Nelson Factor_2019'!$B$1:$B$12)/$G132</f>
        <v>13.149305555555555</v>
      </c>
    </row>
    <row r="133" spans="1:27" x14ac:dyDescent="0.25">
      <c r="A133">
        <v>2005</v>
      </c>
      <c r="B133">
        <v>4</v>
      </c>
      <c r="C133">
        <v>1</v>
      </c>
      <c r="D133" t="s">
        <v>218</v>
      </c>
      <c r="E133" t="s">
        <v>224</v>
      </c>
      <c r="F133" t="s">
        <v>225</v>
      </c>
      <c r="G133">
        <v>12500</v>
      </c>
      <c r="H133">
        <v>1500</v>
      </c>
      <c r="I133">
        <v>0</v>
      </c>
      <c r="J133">
        <v>0</v>
      </c>
      <c r="K133">
        <v>5500</v>
      </c>
      <c r="L133">
        <v>2750</v>
      </c>
      <c r="M133">
        <v>0</v>
      </c>
      <c r="N133">
        <v>7500</v>
      </c>
      <c r="O133">
        <v>1300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4</v>
      </c>
      <c r="Y133">
        <v>0</v>
      </c>
      <c r="Z133" cm="1">
        <f t="array" ref="Z133">MMULT($G133:$Y133,'Nelson Factor_2019'!$B$1:$B$19)/$G133</f>
        <v>7.5128000000000004</v>
      </c>
      <c r="AA133" cm="1">
        <f t="array" ref="AA133">MMULT($G133:$R133,'Nelson Factor_2019'!$B$1:$B$12)/$G133</f>
        <v>7.4359999999999999</v>
      </c>
    </row>
    <row r="134" spans="1:27" x14ac:dyDescent="0.25">
      <c r="A134">
        <v>2006</v>
      </c>
      <c r="B134">
        <v>3</v>
      </c>
      <c r="C134">
        <v>4</v>
      </c>
      <c r="D134" t="s">
        <v>24</v>
      </c>
      <c r="E134" t="s">
        <v>25</v>
      </c>
      <c r="F134" t="s">
        <v>26</v>
      </c>
      <c r="G134">
        <v>43225</v>
      </c>
      <c r="H134">
        <v>14250</v>
      </c>
      <c r="I134">
        <v>12600</v>
      </c>
      <c r="J134">
        <v>0</v>
      </c>
      <c r="K134">
        <v>0</v>
      </c>
      <c r="L134">
        <v>6480</v>
      </c>
      <c r="M134">
        <v>0</v>
      </c>
      <c r="N134">
        <v>31500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6.1</v>
      </c>
      <c r="V134">
        <v>7</v>
      </c>
      <c r="W134">
        <v>500</v>
      </c>
      <c r="X134">
        <v>80</v>
      </c>
      <c r="Y134">
        <v>10800</v>
      </c>
      <c r="Z134" cm="1">
        <f t="array" ref="Z134">MMULT($G134:$Y134,'Nelson Factor_2019'!$B$1:$B$19)/$G134</f>
        <v>7.005508386350491</v>
      </c>
      <c r="AA134" cm="1">
        <f t="array" ref="AA134">MMULT($G134:$R134,'Nelson Factor_2019'!$B$1:$B$12)/$G134</f>
        <v>6.1862348178137649</v>
      </c>
    </row>
    <row r="135" spans="1:27" x14ac:dyDescent="0.25">
      <c r="A135">
        <v>2006</v>
      </c>
      <c r="B135">
        <v>3</v>
      </c>
      <c r="C135">
        <v>2</v>
      </c>
      <c r="D135" t="s">
        <v>24</v>
      </c>
      <c r="E135" t="s">
        <v>27</v>
      </c>
      <c r="F135" t="s">
        <v>28</v>
      </c>
      <c r="G135">
        <v>85000</v>
      </c>
      <c r="H135">
        <v>28000</v>
      </c>
      <c r="I135">
        <v>0</v>
      </c>
      <c r="J135">
        <v>0</v>
      </c>
      <c r="K135">
        <v>0</v>
      </c>
      <c r="L135">
        <v>22500</v>
      </c>
      <c r="M135">
        <v>30000</v>
      </c>
      <c r="N135">
        <v>43000</v>
      </c>
      <c r="O135">
        <v>0</v>
      </c>
      <c r="P135">
        <v>0</v>
      </c>
      <c r="Q135">
        <v>0</v>
      </c>
      <c r="R135">
        <v>7500</v>
      </c>
      <c r="S135">
        <v>0</v>
      </c>
      <c r="T135">
        <v>0</v>
      </c>
      <c r="U135">
        <v>0</v>
      </c>
      <c r="V135">
        <v>6</v>
      </c>
      <c r="W135">
        <v>0</v>
      </c>
      <c r="X135">
        <v>20</v>
      </c>
      <c r="Y135">
        <v>0</v>
      </c>
      <c r="Z135" cm="1">
        <f t="array" ref="Z135">MMULT($G135:$Y135,'Nelson Factor_2019'!$B$1:$B$19)/$G135</f>
        <v>7.1612470588235295</v>
      </c>
      <c r="AA135" cm="1">
        <f t="array" ref="AA135">MMULT($G135:$R135,'Nelson Factor_2019'!$B$1:$B$12)/$G135</f>
        <v>7.104705882352941</v>
      </c>
    </row>
    <row r="136" spans="1:27" x14ac:dyDescent="0.25">
      <c r="A136">
        <v>2006</v>
      </c>
      <c r="B136">
        <v>3</v>
      </c>
      <c r="C136">
        <v>0</v>
      </c>
      <c r="D136" t="s">
        <v>24</v>
      </c>
      <c r="E136" t="s">
        <v>29</v>
      </c>
      <c r="F136" t="s">
        <v>30</v>
      </c>
      <c r="G136">
        <v>20000</v>
      </c>
      <c r="H136">
        <v>15000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 cm="1">
        <f t="array" ref="Z136">MMULT($G136:$Y136,'Nelson Factor_2019'!$B$1:$B$19)/$G136</f>
        <v>1.9750000000000001</v>
      </c>
      <c r="AA136" cm="1">
        <f t="array" ref="AA136">MMULT($G136:$R136,'Nelson Factor_2019'!$B$1:$B$12)/$G136</f>
        <v>1.9750000000000001</v>
      </c>
    </row>
    <row r="137" spans="1:27" x14ac:dyDescent="0.25">
      <c r="A137">
        <v>2006</v>
      </c>
      <c r="B137">
        <v>5</v>
      </c>
      <c r="C137">
        <v>4</v>
      </c>
      <c r="D137" t="s">
        <v>31</v>
      </c>
      <c r="E137" t="s">
        <v>32</v>
      </c>
      <c r="F137" t="s">
        <v>33</v>
      </c>
      <c r="G137">
        <v>14500</v>
      </c>
      <c r="H137">
        <v>0</v>
      </c>
      <c r="I137">
        <v>14500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 cm="1">
        <f t="array" ref="Z137">MMULT($G137:$Y137,'Nelson Factor_2019'!$B$1:$B$19)/$G137</f>
        <v>8.5</v>
      </c>
      <c r="AA137" cm="1">
        <f t="array" ref="AA137">MMULT($G137:$R137,'Nelson Factor_2019'!$B$1:$B$12)/$G137</f>
        <v>8.5</v>
      </c>
    </row>
    <row r="138" spans="1:27" x14ac:dyDescent="0.25">
      <c r="A138">
        <v>2006</v>
      </c>
      <c r="B138">
        <v>5</v>
      </c>
      <c r="C138">
        <v>4</v>
      </c>
      <c r="D138" t="s">
        <v>31</v>
      </c>
      <c r="E138" t="s">
        <v>32</v>
      </c>
      <c r="F138" t="s">
        <v>34</v>
      </c>
      <c r="G138">
        <v>15000</v>
      </c>
      <c r="H138">
        <v>0</v>
      </c>
      <c r="I138">
        <v>15000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 cm="1">
        <f t="array" ref="Z138">MMULT($G138:$Y138,'Nelson Factor_2019'!$B$1:$B$19)/$G138</f>
        <v>8.5</v>
      </c>
      <c r="AA138" cm="1">
        <f t="array" ref="AA138">MMULT($G138:$R138,'Nelson Factor_2019'!$B$1:$B$12)/$G138</f>
        <v>8.5</v>
      </c>
    </row>
    <row r="139" spans="1:27" x14ac:dyDescent="0.25">
      <c r="A139">
        <v>2006</v>
      </c>
      <c r="B139">
        <v>5</v>
      </c>
      <c r="C139">
        <v>0</v>
      </c>
      <c r="D139" t="s">
        <v>31</v>
      </c>
      <c r="E139" t="s">
        <v>35</v>
      </c>
      <c r="F139" t="s">
        <v>36</v>
      </c>
      <c r="G139">
        <v>215175</v>
      </c>
      <c r="H139">
        <v>5225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2250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1800</v>
      </c>
      <c r="Z139" cm="1">
        <f t="array" ref="Z139">MMULT($G139:$Y139,'Nelson Factor_2019'!$B$1:$B$19)/$G139</f>
        <v>1.2532473568026026</v>
      </c>
      <c r="AA139" cm="1">
        <f t="array" ref="AA139">MMULT($G139:$R139,'Nelson Factor_2019'!$B$1:$B$12)/$G139</f>
        <v>1.2406994306959451</v>
      </c>
    </row>
    <row r="140" spans="1:27" x14ac:dyDescent="0.25">
      <c r="A140">
        <v>2006</v>
      </c>
      <c r="B140">
        <v>5</v>
      </c>
      <c r="C140">
        <v>0</v>
      </c>
      <c r="D140" t="s">
        <v>31</v>
      </c>
      <c r="E140" t="s">
        <v>37</v>
      </c>
      <c r="F140" t="s">
        <v>36</v>
      </c>
      <c r="G140">
        <v>17500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 cm="1">
        <f t="array" ref="Z140">MMULT($G140:$Y140,'Nelson Factor_2019'!$B$1:$B$19)/$G140</f>
        <v>1</v>
      </c>
      <c r="AA140" cm="1">
        <f t="array" ref="AA140">MMULT($G140:$R140,'Nelson Factor_2019'!$B$1:$B$12)/$G140</f>
        <v>1</v>
      </c>
    </row>
    <row r="141" spans="1:27" x14ac:dyDescent="0.25">
      <c r="A141">
        <v>2006</v>
      </c>
      <c r="B141">
        <v>5</v>
      </c>
      <c r="C141">
        <v>0</v>
      </c>
      <c r="D141" t="s">
        <v>31</v>
      </c>
      <c r="E141" t="s">
        <v>37</v>
      </c>
      <c r="F141" t="s">
        <v>38</v>
      </c>
      <c r="G141">
        <v>48000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 cm="1">
        <f t="array" ref="Z141">MMULT($G141:$Y141,'Nelson Factor_2019'!$B$1:$B$19)/$G141</f>
        <v>1</v>
      </c>
      <c r="AA141" cm="1">
        <f t="array" ref="AA141">MMULT($G141:$R141,'Nelson Factor_2019'!$B$1:$B$12)/$G141</f>
        <v>1</v>
      </c>
    </row>
    <row r="142" spans="1:27" x14ac:dyDescent="0.25">
      <c r="A142">
        <v>2006</v>
      </c>
      <c r="B142">
        <v>5</v>
      </c>
      <c r="C142">
        <v>2</v>
      </c>
      <c r="D142" t="s">
        <v>31</v>
      </c>
      <c r="E142" t="s">
        <v>39</v>
      </c>
      <c r="F142" t="s">
        <v>40</v>
      </c>
      <c r="G142">
        <v>72000</v>
      </c>
      <c r="H142">
        <v>19000</v>
      </c>
      <c r="I142">
        <v>0</v>
      </c>
      <c r="J142">
        <v>0</v>
      </c>
      <c r="K142">
        <v>0</v>
      </c>
      <c r="L142">
        <v>12000</v>
      </c>
      <c r="M142">
        <v>12500</v>
      </c>
      <c r="N142">
        <v>12500</v>
      </c>
      <c r="O142">
        <v>0</v>
      </c>
      <c r="P142">
        <v>0</v>
      </c>
      <c r="Q142">
        <v>0</v>
      </c>
      <c r="R142">
        <v>4000</v>
      </c>
      <c r="S142">
        <v>0</v>
      </c>
      <c r="T142">
        <v>0</v>
      </c>
      <c r="U142">
        <v>13</v>
      </c>
      <c r="V142">
        <v>0</v>
      </c>
      <c r="W142">
        <v>0</v>
      </c>
      <c r="X142">
        <v>19</v>
      </c>
      <c r="Y142">
        <v>1000</v>
      </c>
      <c r="Z142" cm="1">
        <f t="array" ref="Z142">MMULT($G142:$Y142,'Nelson Factor_2019'!$B$1:$B$19)/$G142</f>
        <v>4.2503194444444441</v>
      </c>
      <c r="AA142" cm="1">
        <f t="array" ref="AA142">MMULT($G142:$R142,'Nelson Factor_2019'!$B$1:$B$12)/$G142</f>
        <v>4.165972222222222</v>
      </c>
    </row>
    <row r="143" spans="1:27" x14ac:dyDescent="0.25">
      <c r="A143">
        <v>2006</v>
      </c>
      <c r="B143">
        <v>3</v>
      </c>
      <c r="C143">
        <v>0</v>
      </c>
      <c r="D143" t="s">
        <v>41</v>
      </c>
      <c r="E143" t="s">
        <v>42</v>
      </c>
      <c r="F143" t="s">
        <v>43</v>
      </c>
      <c r="G143">
        <v>7000</v>
      </c>
      <c r="H143">
        <v>3000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4500</v>
      </c>
      <c r="O143">
        <v>0</v>
      </c>
      <c r="P143">
        <v>0</v>
      </c>
      <c r="Q143">
        <v>0</v>
      </c>
      <c r="R143">
        <v>0</v>
      </c>
      <c r="S143">
        <v>4500</v>
      </c>
      <c r="T143">
        <v>0</v>
      </c>
      <c r="U143">
        <v>2.5</v>
      </c>
      <c r="V143">
        <v>0</v>
      </c>
      <c r="W143">
        <v>0</v>
      </c>
      <c r="X143">
        <v>0</v>
      </c>
      <c r="Y143">
        <v>1500</v>
      </c>
      <c r="Z143" cm="1">
        <f t="array" ref="Z143">MMULT($G143:$Y143,'Nelson Factor_2019'!$B$1:$B$19)/$G143</f>
        <v>42.057499999999997</v>
      </c>
      <c r="AA143" cm="1">
        <f t="array" ref="AA143">MMULT($G143:$R143,'Nelson Factor_2019'!$B$1:$B$12)/$G143</f>
        <v>3.1642857142857141</v>
      </c>
    </row>
    <row r="144" spans="1:27" x14ac:dyDescent="0.25">
      <c r="A144">
        <v>2006</v>
      </c>
      <c r="B144">
        <v>3</v>
      </c>
      <c r="C144">
        <v>1</v>
      </c>
      <c r="D144" t="s">
        <v>41</v>
      </c>
      <c r="E144" t="s">
        <v>44</v>
      </c>
      <c r="F144" t="s">
        <v>45</v>
      </c>
      <c r="G144">
        <v>70000</v>
      </c>
      <c r="H144">
        <v>27075</v>
      </c>
      <c r="I144">
        <v>0</v>
      </c>
      <c r="J144">
        <v>0</v>
      </c>
      <c r="K144">
        <v>19500</v>
      </c>
      <c r="L144">
        <v>13320</v>
      </c>
      <c r="M144">
        <v>0</v>
      </c>
      <c r="N144">
        <v>74070</v>
      </c>
      <c r="O144">
        <v>4500</v>
      </c>
      <c r="P144">
        <v>0</v>
      </c>
      <c r="Q144">
        <v>0</v>
      </c>
      <c r="R144">
        <v>5940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157</v>
      </c>
      <c r="Y144">
        <v>10800</v>
      </c>
      <c r="Z144" cm="1">
        <f t="array" ref="Z144">MMULT($G144:$Y144,'Nelson Factor_2019'!$B$1:$B$19)/$G144</f>
        <v>8.4381785714285709</v>
      </c>
      <c r="AA144" cm="1">
        <f t="array" ref="AA144">MMULT($G144:$R144,'Nelson Factor_2019'!$B$1:$B$12)/$G144</f>
        <v>7.6684642857142853</v>
      </c>
    </row>
    <row r="145" spans="1:27" x14ac:dyDescent="0.25">
      <c r="A145">
        <v>2006</v>
      </c>
      <c r="B145">
        <v>5</v>
      </c>
      <c r="C145">
        <v>5</v>
      </c>
      <c r="D145" t="s">
        <v>46</v>
      </c>
      <c r="E145" t="s">
        <v>226</v>
      </c>
      <c r="F145" t="s">
        <v>57</v>
      </c>
      <c r="G145">
        <v>65000</v>
      </c>
      <c r="H145">
        <v>39000</v>
      </c>
      <c r="I145">
        <v>22000</v>
      </c>
      <c r="J145">
        <v>0</v>
      </c>
      <c r="K145">
        <v>0</v>
      </c>
      <c r="L145">
        <v>14700</v>
      </c>
      <c r="M145">
        <v>23500</v>
      </c>
      <c r="N145">
        <v>21900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24.7</v>
      </c>
      <c r="V145">
        <v>5</v>
      </c>
      <c r="W145">
        <v>1200</v>
      </c>
      <c r="X145">
        <v>103</v>
      </c>
      <c r="Y145">
        <v>0</v>
      </c>
      <c r="Z145" cm="1">
        <f t="array" ref="Z145">MMULT($G145:$Y145,'Nelson Factor_2019'!$B$1:$B$19)/$G145</f>
        <v>9.564610769230768</v>
      </c>
      <c r="AA145" cm="1">
        <f t="array" ref="AA145">MMULT($G145:$R145,'Nelson Factor_2019'!$B$1:$B$12)/$G145</f>
        <v>9.1838461538461544</v>
      </c>
    </row>
    <row r="146" spans="1:27" x14ac:dyDescent="0.25">
      <c r="A146">
        <v>2006</v>
      </c>
      <c r="B146">
        <v>5</v>
      </c>
      <c r="C146">
        <v>6</v>
      </c>
      <c r="D146" t="s">
        <v>46</v>
      </c>
      <c r="E146" t="s">
        <v>32</v>
      </c>
      <c r="F146" t="s">
        <v>47</v>
      </c>
      <c r="G146">
        <v>247000</v>
      </c>
      <c r="H146">
        <v>123500</v>
      </c>
      <c r="I146">
        <v>58500</v>
      </c>
      <c r="J146">
        <v>0</v>
      </c>
      <c r="K146">
        <v>86400</v>
      </c>
      <c r="L146">
        <v>46800</v>
      </c>
      <c r="M146">
        <v>38700</v>
      </c>
      <c r="N146">
        <v>171000</v>
      </c>
      <c r="O146">
        <v>15000</v>
      </c>
      <c r="P146">
        <v>2800</v>
      </c>
      <c r="Q146">
        <v>0</v>
      </c>
      <c r="R146">
        <v>41600</v>
      </c>
      <c r="S146">
        <v>0</v>
      </c>
      <c r="T146">
        <v>2700</v>
      </c>
      <c r="U146">
        <v>105</v>
      </c>
      <c r="V146">
        <v>0</v>
      </c>
      <c r="W146">
        <v>2400</v>
      </c>
      <c r="X146">
        <v>350</v>
      </c>
      <c r="Y146">
        <v>0</v>
      </c>
      <c r="Z146" cm="1">
        <f t="array" ref="Z146">MMULT($G146:$Y146,'Nelson Factor_2019'!$B$1:$B$19)/$G146</f>
        <v>11.13240890688259</v>
      </c>
      <c r="AA146" cm="1">
        <f t="array" ref="AA146">MMULT($G146:$R146,'Nelson Factor_2019'!$B$1:$B$12)/$G146</f>
        <v>10.682591093117409</v>
      </c>
    </row>
    <row r="147" spans="1:27" x14ac:dyDescent="0.25">
      <c r="A147">
        <v>2006</v>
      </c>
      <c r="B147">
        <v>5</v>
      </c>
      <c r="C147">
        <v>6</v>
      </c>
      <c r="D147" t="s">
        <v>46</v>
      </c>
      <c r="E147" t="s">
        <v>227</v>
      </c>
      <c r="F147" t="s">
        <v>49</v>
      </c>
      <c r="G147">
        <v>260000</v>
      </c>
      <c r="H147">
        <v>120000</v>
      </c>
      <c r="I147">
        <v>64000</v>
      </c>
      <c r="J147">
        <v>0</v>
      </c>
      <c r="K147">
        <v>62000</v>
      </c>
      <c r="L147">
        <v>40000</v>
      </c>
      <c r="M147">
        <v>45000</v>
      </c>
      <c r="N147">
        <v>198000</v>
      </c>
      <c r="O147">
        <v>21000</v>
      </c>
      <c r="P147">
        <v>0</v>
      </c>
      <c r="Q147">
        <v>0</v>
      </c>
      <c r="R147">
        <v>22800</v>
      </c>
      <c r="S147">
        <v>0</v>
      </c>
      <c r="T147">
        <v>0</v>
      </c>
      <c r="U147">
        <v>139</v>
      </c>
      <c r="V147">
        <v>0</v>
      </c>
      <c r="W147">
        <v>3447</v>
      </c>
      <c r="X147">
        <v>406</v>
      </c>
      <c r="Y147">
        <v>0</v>
      </c>
      <c r="Z147" cm="1">
        <f t="array" ref="Z147">MMULT($G147:$Y147,'Nelson Factor_2019'!$B$1:$B$19)/$G147</f>
        <v>10.380688461538462</v>
      </c>
      <c r="AA147" cm="1">
        <f t="array" ref="AA147">MMULT($G147:$R147,'Nelson Factor_2019'!$B$1:$B$12)/$G147</f>
        <v>10.005384615384616</v>
      </c>
    </row>
    <row r="148" spans="1:27" x14ac:dyDescent="0.25">
      <c r="A148">
        <v>2006</v>
      </c>
      <c r="B148">
        <v>5</v>
      </c>
      <c r="C148">
        <v>3</v>
      </c>
      <c r="D148" t="s">
        <v>46</v>
      </c>
      <c r="E148" t="s">
        <v>227</v>
      </c>
      <c r="F148" t="s">
        <v>50</v>
      </c>
      <c r="G148">
        <v>225000</v>
      </c>
      <c r="H148">
        <v>110000</v>
      </c>
      <c r="I148">
        <v>0</v>
      </c>
      <c r="J148">
        <v>0</v>
      </c>
      <c r="K148">
        <v>65000</v>
      </c>
      <c r="L148">
        <v>45000</v>
      </c>
      <c r="M148">
        <v>109000</v>
      </c>
      <c r="N148">
        <v>144000</v>
      </c>
      <c r="O148">
        <v>20000</v>
      </c>
      <c r="P148">
        <v>1800</v>
      </c>
      <c r="Q148">
        <v>0</v>
      </c>
      <c r="R148">
        <v>28900</v>
      </c>
      <c r="S148">
        <v>14000</v>
      </c>
      <c r="T148">
        <v>0</v>
      </c>
      <c r="U148">
        <v>145</v>
      </c>
      <c r="V148">
        <v>10</v>
      </c>
      <c r="W148">
        <v>0</v>
      </c>
      <c r="X148">
        <v>350</v>
      </c>
      <c r="Y148">
        <v>0</v>
      </c>
      <c r="Z148" cm="1">
        <f t="array" ref="Z148">MMULT($G148:$Y148,'Nelson Factor_2019'!$B$1:$B$19)/$G148</f>
        <v>15.306022222222222</v>
      </c>
      <c r="AA148" cm="1">
        <f t="array" ref="AA148">MMULT($G148:$R148,'Nelson Factor_2019'!$B$1:$B$12)/$G148</f>
        <v>11.198666666666666</v>
      </c>
    </row>
    <row r="149" spans="1:27" x14ac:dyDescent="0.25">
      <c r="A149">
        <v>2006</v>
      </c>
      <c r="B149">
        <v>5</v>
      </c>
      <c r="C149">
        <v>6</v>
      </c>
      <c r="D149" t="s">
        <v>46</v>
      </c>
      <c r="E149" t="s">
        <v>51</v>
      </c>
      <c r="F149" t="s">
        <v>52</v>
      </c>
      <c r="G149">
        <v>138700</v>
      </c>
      <c r="H149">
        <v>78000</v>
      </c>
      <c r="I149">
        <v>48000</v>
      </c>
      <c r="J149">
        <v>0</v>
      </c>
      <c r="K149">
        <v>45000</v>
      </c>
      <c r="L149">
        <v>35200</v>
      </c>
      <c r="M149">
        <v>24750</v>
      </c>
      <c r="N149">
        <v>135850</v>
      </c>
      <c r="O149">
        <v>14200</v>
      </c>
      <c r="P149">
        <v>0</v>
      </c>
      <c r="Q149">
        <v>0</v>
      </c>
      <c r="R149">
        <v>17500</v>
      </c>
      <c r="S149">
        <v>0</v>
      </c>
      <c r="T149">
        <v>0</v>
      </c>
      <c r="U149">
        <v>100.8</v>
      </c>
      <c r="V149">
        <v>0</v>
      </c>
      <c r="W149">
        <v>2000</v>
      </c>
      <c r="X149">
        <v>340</v>
      </c>
      <c r="Y149">
        <v>0</v>
      </c>
      <c r="Z149" cm="1">
        <f t="array" ref="Z149">MMULT($G149:$Y149,'Nelson Factor_2019'!$B$1:$B$19)/$G149</f>
        <v>13.409702956020189</v>
      </c>
      <c r="AA149" cm="1">
        <f t="array" ref="AA149">MMULT($G149:$R149,'Nelson Factor_2019'!$B$1:$B$12)/$G149</f>
        <v>12.820656092285509</v>
      </c>
    </row>
    <row r="150" spans="1:27" x14ac:dyDescent="0.25">
      <c r="A150">
        <v>2006</v>
      </c>
      <c r="B150">
        <v>5</v>
      </c>
      <c r="C150">
        <v>5</v>
      </c>
      <c r="D150" t="s">
        <v>46</v>
      </c>
      <c r="E150" t="s">
        <v>51</v>
      </c>
      <c r="F150" t="s">
        <v>53</v>
      </c>
      <c r="G150">
        <v>120000</v>
      </c>
      <c r="H150">
        <v>78300</v>
      </c>
      <c r="I150">
        <v>47500</v>
      </c>
      <c r="J150">
        <v>0</v>
      </c>
      <c r="K150">
        <v>0</v>
      </c>
      <c r="L150">
        <v>30600</v>
      </c>
      <c r="M150">
        <v>36900</v>
      </c>
      <c r="N150">
        <v>72900</v>
      </c>
      <c r="O150">
        <v>0</v>
      </c>
      <c r="P150">
        <v>0</v>
      </c>
      <c r="Q150">
        <v>0</v>
      </c>
      <c r="R150">
        <v>9000</v>
      </c>
      <c r="S150">
        <v>0</v>
      </c>
      <c r="T150">
        <v>0</v>
      </c>
      <c r="U150">
        <v>86.33</v>
      </c>
      <c r="V150">
        <v>2.6</v>
      </c>
      <c r="W150">
        <v>2400</v>
      </c>
      <c r="X150">
        <v>480</v>
      </c>
      <c r="Y150">
        <v>0</v>
      </c>
      <c r="Z150" cm="1">
        <f t="array" ref="Z150">MMULT($G150:$Y150,'Nelson Factor_2019'!$B$1:$B$19)/$G150</f>
        <v>11.256491083333335</v>
      </c>
      <c r="AA150" cm="1">
        <f t="array" ref="AA150">MMULT($G150:$R150,'Nelson Factor_2019'!$B$1:$B$12)/$G150</f>
        <v>10.29575</v>
      </c>
    </row>
    <row r="151" spans="1:27" x14ac:dyDescent="0.25">
      <c r="A151">
        <v>2006</v>
      </c>
      <c r="B151">
        <v>5</v>
      </c>
      <c r="C151">
        <v>6</v>
      </c>
      <c r="D151" t="s">
        <v>46</v>
      </c>
      <c r="E151" t="s">
        <v>54</v>
      </c>
      <c r="F151" t="s">
        <v>55</v>
      </c>
      <c r="G151">
        <v>149500</v>
      </c>
      <c r="H151">
        <v>98500</v>
      </c>
      <c r="I151">
        <v>52500</v>
      </c>
      <c r="J151">
        <v>0</v>
      </c>
      <c r="K151">
        <v>96000</v>
      </c>
      <c r="L151">
        <v>19000</v>
      </c>
      <c r="M151">
        <v>20500</v>
      </c>
      <c r="N151">
        <v>143000</v>
      </c>
      <c r="O151">
        <v>23500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145</v>
      </c>
      <c r="V151">
        <v>14</v>
      </c>
      <c r="W151">
        <v>3050</v>
      </c>
      <c r="X151">
        <v>400</v>
      </c>
      <c r="Y151">
        <v>0</v>
      </c>
      <c r="Z151" cm="1">
        <f t="array" ref="Z151">MMULT($G151:$Y151,'Nelson Factor_2019'!$B$1:$B$19)/$G151</f>
        <v>14.682</v>
      </c>
      <c r="AA151" cm="1">
        <f t="array" ref="AA151">MMULT($G151:$R151,'Nelson Factor_2019'!$B$1:$B$12)/$G151</f>
        <v>14.038795986622073</v>
      </c>
    </row>
    <row r="152" spans="1:27" x14ac:dyDescent="0.25">
      <c r="A152">
        <v>2006</v>
      </c>
      <c r="B152">
        <v>5</v>
      </c>
      <c r="C152">
        <v>0</v>
      </c>
      <c r="D152" t="s">
        <v>46</v>
      </c>
      <c r="E152" t="s">
        <v>56</v>
      </c>
      <c r="F152" t="s">
        <v>57</v>
      </c>
      <c r="G152">
        <v>25000</v>
      </c>
      <c r="H152">
        <v>0</v>
      </c>
      <c r="I152">
        <v>0</v>
      </c>
      <c r="J152">
        <v>0</v>
      </c>
      <c r="K152">
        <v>0</v>
      </c>
      <c r="L152">
        <v>3000</v>
      </c>
      <c r="M152">
        <v>0</v>
      </c>
      <c r="N152">
        <v>13000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4.5</v>
      </c>
      <c r="Y152">
        <v>0</v>
      </c>
      <c r="Z152" cm="1">
        <f t="array" ref="Z152">MMULT($G152:$Y152,'Nelson Factor_2019'!$B$1:$B$19)/$G152</f>
        <v>2.9432</v>
      </c>
      <c r="AA152" cm="1">
        <f t="array" ref="AA152">MMULT($G152:$R152,'Nelson Factor_2019'!$B$1:$B$12)/$G152</f>
        <v>2.9</v>
      </c>
    </row>
    <row r="153" spans="1:27" x14ac:dyDescent="0.25">
      <c r="A153">
        <v>2006</v>
      </c>
      <c r="B153">
        <v>5</v>
      </c>
      <c r="C153">
        <v>0</v>
      </c>
      <c r="D153" t="s">
        <v>46</v>
      </c>
      <c r="E153" t="s">
        <v>58</v>
      </c>
      <c r="F153" t="s">
        <v>59</v>
      </c>
      <c r="G153">
        <v>52000</v>
      </c>
      <c r="H153">
        <v>30000</v>
      </c>
      <c r="I153">
        <v>0</v>
      </c>
      <c r="J153">
        <v>0</v>
      </c>
      <c r="K153">
        <v>0</v>
      </c>
      <c r="L153">
        <v>10000</v>
      </c>
      <c r="M153">
        <v>0</v>
      </c>
      <c r="N153">
        <v>29000</v>
      </c>
      <c r="O153">
        <v>0</v>
      </c>
      <c r="P153">
        <v>0</v>
      </c>
      <c r="Q153">
        <v>0</v>
      </c>
      <c r="R153">
        <v>3750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40</v>
      </c>
      <c r="Y153">
        <v>16500</v>
      </c>
      <c r="Z153" cm="1">
        <f t="array" ref="Z153">MMULT($G153:$Y153,'Nelson Factor_2019'!$B$1:$B$19)/$G153</f>
        <v>4.9826923076923073</v>
      </c>
      <c r="AA153" cm="1">
        <f t="array" ref="AA153">MMULT($G153:$R153,'Nelson Factor_2019'!$B$1:$B$12)/$G153</f>
        <v>4.322115384615385</v>
      </c>
    </row>
    <row r="154" spans="1:27" x14ac:dyDescent="0.25">
      <c r="A154">
        <v>2006</v>
      </c>
      <c r="B154">
        <v>5</v>
      </c>
      <c r="C154">
        <v>0</v>
      </c>
      <c r="D154" t="s">
        <v>46</v>
      </c>
      <c r="E154" t="s">
        <v>60</v>
      </c>
      <c r="F154" t="s">
        <v>57</v>
      </c>
      <c r="G154">
        <v>24300</v>
      </c>
      <c r="H154">
        <v>14300</v>
      </c>
      <c r="I154">
        <v>0</v>
      </c>
      <c r="J154">
        <v>10000</v>
      </c>
      <c r="K154">
        <v>0</v>
      </c>
      <c r="L154">
        <v>0</v>
      </c>
      <c r="M154">
        <v>0</v>
      </c>
      <c r="N154">
        <v>3000</v>
      </c>
      <c r="O154">
        <v>0</v>
      </c>
      <c r="P154">
        <v>0</v>
      </c>
      <c r="Q154">
        <v>0</v>
      </c>
      <c r="R154">
        <v>0</v>
      </c>
      <c r="S154">
        <v>4000</v>
      </c>
      <c r="T154">
        <v>0</v>
      </c>
      <c r="U154">
        <v>3.5</v>
      </c>
      <c r="V154">
        <v>3.5</v>
      </c>
      <c r="W154">
        <v>0</v>
      </c>
      <c r="X154">
        <v>3</v>
      </c>
      <c r="Y154">
        <v>6500</v>
      </c>
      <c r="Z154" cm="1">
        <f t="array" ref="Z154">MMULT($G154:$Y154,'Nelson Factor_2019'!$B$1:$B$19)/$G154</f>
        <v>13.513045267489712</v>
      </c>
      <c r="AA154" cm="1">
        <f t="array" ref="AA154">MMULT($G154:$R154,'Nelson Factor_2019'!$B$1:$B$12)/$G154</f>
        <v>3.2053497942386833</v>
      </c>
    </row>
    <row r="155" spans="1:27" x14ac:dyDescent="0.25">
      <c r="A155">
        <v>2006</v>
      </c>
      <c r="B155">
        <v>5</v>
      </c>
      <c r="C155">
        <v>6</v>
      </c>
      <c r="D155" t="s">
        <v>46</v>
      </c>
      <c r="E155" t="s">
        <v>61</v>
      </c>
      <c r="F155" t="s">
        <v>62</v>
      </c>
      <c r="G155">
        <v>157600</v>
      </c>
      <c r="H155">
        <v>95100</v>
      </c>
      <c r="I155">
        <v>48400</v>
      </c>
      <c r="J155">
        <v>0</v>
      </c>
      <c r="K155">
        <v>70700</v>
      </c>
      <c r="L155">
        <v>29400</v>
      </c>
      <c r="M155">
        <v>39700</v>
      </c>
      <c r="N155">
        <v>189600</v>
      </c>
      <c r="O155">
        <v>11500</v>
      </c>
      <c r="P155">
        <v>2900</v>
      </c>
      <c r="Q155">
        <v>0</v>
      </c>
      <c r="R155">
        <v>14500</v>
      </c>
      <c r="S155">
        <v>0</v>
      </c>
      <c r="T155">
        <v>0</v>
      </c>
      <c r="U155">
        <v>101.3</v>
      </c>
      <c r="V155">
        <v>0</v>
      </c>
      <c r="W155">
        <v>1181</v>
      </c>
      <c r="X155">
        <v>402</v>
      </c>
      <c r="Y155">
        <v>15000</v>
      </c>
      <c r="Z155" cm="1">
        <f t="array" ref="Z155">MMULT($G155:$Y155,'Nelson Factor_2019'!$B$1:$B$19)/$G155</f>
        <v>14.680274746192893</v>
      </c>
      <c r="AA155" cm="1">
        <f t="array" ref="AA155">MMULT($G155:$R155,'Nelson Factor_2019'!$B$1:$B$12)/$G155</f>
        <v>13.924682741116751</v>
      </c>
    </row>
    <row r="156" spans="1:27" x14ac:dyDescent="0.25">
      <c r="A156">
        <v>2006</v>
      </c>
      <c r="B156">
        <v>5</v>
      </c>
      <c r="C156">
        <v>6</v>
      </c>
      <c r="D156" t="s">
        <v>46</v>
      </c>
      <c r="E156" t="s">
        <v>61</v>
      </c>
      <c r="F156" t="s">
        <v>63</v>
      </c>
      <c r="G156">
        <v>100000</v>
      </c>
      <c r="H156">
        <v>62000</v>
      </c>
      <c r="I156">
        <v>40000</v>
      </c>
      <c r="J156">
        <v>0</v>
      </c>
      <c r="K156">
        <v>36000</v>
      </c>
      <c r="L156">
        <v>32500</v>
      </c>
      <c r="M156">
        <v>32000</v>
      </c>
      <c r="N156">
        <v>101250</v>
      </c>
      <c r="O156">
        <v>12000</v>
      </c>
      <c r="P156">
        <v>0</v>
      </c>
      <c r="Q156">
        <v>0</v>
      </c>
      <c r="R156">
        <v>8000</v>
      </c>
      <c r="S156">
        <v>0</v>
      </c>
      <c r="T156">
        <v>0</v>
      </c>
      <c r="U156">
        <v>55</v>
      </c>
      <c r="V156">
        <v>55</v>
      </c>
      <c r="W156">
        <v>1615</v>
      </c>
      <c r="X156">
        <v>265</v>
      </c>
      <c r="Y156">
        <v>0</v>
      </c>
      <c r="Z156" cm="1">
        <f t="array" ref="Z156">MMULT($G156:$Y156,'Nelson Factor_2019'!$B$1:$B$19)/$G156</f>
        <v>15.75935</v>
      </c>
      <c r="AA156" cm="1">
        <f t="array" ref="AA156">MMULT($G156:$R156,'Nelson Factor_2019'!$B$1:$B$12)/$G156</f>
        <v>15.122249999999999</v>
      </c>
    </row>
    <row r="157" spans="1:27" x14ac:dyDescent="0.25">
      <c r="A157">
        <v>2006</v>
      </c>
      <c r="B157">
        <v>5</v>
      </c>
      <c r="C157">
        <v>6</v>
      </c>
      <c r="D157" t="s">
        <v>46</v>
      </c>
      <c r="E157" t="s">
        <v>64</v>
      </c>
      <c r="F157" t="s">
        <v>65</v>
      </c>
      <c r="G157">
        <v>161000</v>
      </c>
      <c r="H157">
        <v>144000</v>
      </c>
      <c r="I157">
        <v>42000</v>
      </c>
      <c r="J157">
        <v>0</v>
      </c>
      <c r="K157">
        <v>66500</v>
      </c>
      <c r="L157">
        <v>42000</v>
      </c>
      <c r="M157">
        <v>32000</v>
      </c>
      <c r="N157">
        <v>172500</v>
      </c>
      <c r="O157">
        <v>14000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105</v>
      </c>
      <c r="V157">
        <v>0</v>
      </c>
      <c r="W157">
        <v>1500</v>
      </c>
      <c r="X157">
        <v>140</v>
      </c>
      <c r="Y157">
        <v>0</v>
      </c>
      <c r="Z157" cm="1">
        <f t="array" ref="Z157">MMULT($G157:$Y157,'Nelson Factor_2019'!$B$1:$B$19)/$G157</f>
        <v>13.249409937888199</v>
      </c>
      <c r="AA157" cm="1">
        <f t="array" ref="AA157">MMULT($G157:$R157,'Nelson Factor_2019'!$B$1:$B$12)/$G157</f>
        <v>13.040062111801243</v>
      </c>
    </row>
    <row r="158" spans="1:27" x14ac:dyDescent="0.25">
      <c r="A158">
        <v>2006</v>
      </c>
      <c r="B158">
        <v>5</v>
      </c>
      <c r="C158">
        <v>6</v>
      </c>
      <c r="D158" t="s">
        <v>46</v>
      </c>
      <c r="E158" t="s">
        <v>66</v>
      </c>
      <c r="F158" t="s">
        <v>67</v>
      </c>
      <c r="G158">
        <v>139500</v>
      </c>
      <c r="H158">
        <v>78500</v>
      </c>
      <c r="I158">
        <v>28000</v>
      </c>
      <c r="J158">
        <v>0</v>
      </c>
      <c r="K158">
        <v>69000</v>
      </c>
      <c r="L158">
        <v>36000</v>
      </c>
      <c r="M158">
        <v>36000</v>
      </c>
      <c r="N158">
        <v>146000</v>
      </c>
      <c r="O158">
        <v>17100</v>
      </c>
      <c r="P158">
        <v>2900</v>
      </c>
      <c r="Q158">
        <v>0</v>
      </c>
      <c r="R158">
        <v>0</v>
      </c>
      <c r="S158">
        <v>0</v>
      </c>
      <c r="T158">
        <v>0</v>
      </c>
      <c r="U158">
        <v>131.5</v>
      </c>
      <c r="V158">
        <v>0</v>
      </c>
      <c r="W158">
        <v>1080</v>
      </c>
      <c r="X158">
        <v>275</v>
      </c>
      <c r="Y158">
        <v>5000</v>
      </c>
      <c r="Z158" cm="1">
        <f t="array" ref="Z158">MMULT($G158:$Y158,'Nelson Factor_2019'!$B$1:$B$19)/$G158</f>
        <v>14.137501792114696</v>
      </c>
      <c r="AA158" cm="1">
        <f t="array" ref="AA158">MMULT($G158:$R158,'Nelson Factor_2019'!$B$1:$B$12)/$G158</f>
        <v>13.609677419354838</v>
      </c>
    </row>
    <row r="159" spans="1:27" x14ac:dyDescent="0.25">
      <c r="A159">
        <v>2006</v>
      </c>
      <c r="B159">
        <v>5</v>
      </c>
      <c r="C159">
        <v>4</v>
      </c>
      <c r="D159" t="s">
        <v>46</v>
      </c>
      <c r="E159" t="s">
        <v>66</v>
      </c>
      <c r="F159" t="s">
        <v>63</v>
      </c>
      <c r="G159">
        <v>80000</v>
      </c>
      <c r="H159">
        <v>46000</v>
      </c>
      <c r="I159">
        <v>28000</v>
      </c>
      <c r="J159">
        <v>0</v>
      </c>
      <c r="K159">
        <v>54000</v>
      </c>
      <c r="L159">
        <v>17500</v>
      </c>
      <c r="M159">
        <v>0</v>
      </c>
      <c r="N159">
        <v>139500</v>
      </c>
      <c r="O159">
        <v>14500</v>
      </c>
      <c r="P159">
        <v>0</v>
      </c>
      <c r="Q159">
        <v>0</v>
      </c>
      <c r="R159">
        <v>10200</v>
      </c>
      <c r="S159">
        <v>0</v>
      </c>
      <c r="T159">
        <v>0</v>
      </c>
      <c r="U159">
        <v>50</v>
      </c>
      <c r="V159">
        <v>0</v>
      </c>
      <c r="W159">
        <v>17000</v>
      </c>
      <c r="X159">
        <v>250</v>
      </c>
      <c r="Y159">
        <v>0</v>
      </c>
      <c r="Z159" cm="1">
        <f t="array" ref="Z159">MMULT($G159:$Y159,'Nelson Factor_2019'!$B$1:$B$19)/$G159</f>
        <v>16.821249999999999</v>
      </c>
      <c r="AA159" cm="1">
        <f t="array" ref="AA159">MMULT($G159:$R159,'Nelson Factor_2019'!$B$1:$B$12)/$G159</f>
        <v>16.070625</v>
      </c>
    </row>
    <row r="160" spans="1:27" x14ac:dyDescent="0.25">
      <c r="A160">
        <v>2006</v>
      </c>
      <c r="B160">
        <v>4</v>
      </c>
      <c r="C160">
        <v>1</v>
      </c>
      <c r="D160" t="s">
        <v>68</v>
      </c>
      <c r="E160" t="s">
        <v>69</v>
      </c>
      <c r="F160" t="s">
        <v>70</v>
      </c>
      <c r="G160">
        <v>92000</v>
      </c>
      <c r="H160">
        <v>34500</v>
      </c>
      <c r="I160">
        <v>0</v>
      </c>
      <c r="J160">
        <v>0</v>
      </c>
      <c r="K160">
        <v>27000</v>
      </c>
      <c r="L160">
        <v>18100</v>
      </c>
      <c r="M160">
        <v>0</v>
      </c>
      <c r="N160">
        <v>43100</v>
      </c>
      <c r="O160">
        <v>0</v>
      </c>
      <c r="P160">
        <v>3500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94</v>
      </c>
      <c r="Y160">
        <v>10500</v>
      </c>
      <c r="Z160" cm="1">
        <f t="array" ref="Z160">MMULT($G160:$Y160,'Nelson Factor_2019'!$B$1:$B$19)/$G160</f>
        <v>6.2001086956521743</v>
      </c>
      <c r="AA160" cm="1">
        <f t="array" ref="AA160">MMULT($G160:$R160,'Nelson Factor_2019'!$B$1:$B$12)/$G160</f>
        <v>5.7836956521739129</v>
      </c>
    </row>
    <row r="161" spans="1:27" x14ac:dyDescent="0.25">
      <c r="A161">
        <v>2006</v>
      </c>
      <c r="B161">
        <v>4</v>
      </c>
      <c r="C161">
        <v>1</v>
      </c>
      <c r="D161" t="s">
        <v>68</v>
      </c>
      <c r="E161" t="s">
        <v>66</v>
      </c>
      <c r="F161" t="s">
        <v>71</v>
      </c>
      <c r="G161">
        <v>28000</v>
      </c>
      <c r="H161">
        <v>9500</v>
      </c>
      <c r="I161">
        <v>0</v>
      </c>
      <c r="J161">
        <v>0</v>
      </c>
      <c r="K161">
        <v>8000</v>
      </c>
      <c r="L161">
        <v>9000</v>
      </c>
      <c r="M161">
        <v>0</v>
      </c>
      <c r="N161">
        <v>9000</v>
      </c>
      <c r="O161">
        <v>0</v>
      </c>
      <c r="P161">
        <v>900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4</v>
      </c>
      <c r="Y161">
        <v>0</v>
      </c>
      <c r="Z161" cm="1">
        <f t="array" ref="Z161">MMULT($G161:$Y161,'Nelson Factor_2019'!$B$1:$B$19)/$G161</f>
        <v>5.921785714285714</v>
      </c>
      <c r="AA161" cm="1">
        <f t="array" ref="AA161">MMULT($G161:$R161,'Nelson Factor_2019'!$B$1:$B$12)/$G161</f>
        <v>5.8875000000000002</v>
      </c>
    </row>
    <row r="162" spans="1:27" x14ac:dyDescent="0.25">
      <c r="A162">
        <v>2006</v>
      </c>
      <c r="B162">
        <v>1</v>
      </c>
      <c r="C162">
        <v>6</v>
      </c>
      <c r="D162" t="s">
        <v>72</v>
      </c>
      <c r="E162" t="s">
        <v>73</v>
      </c>
      <c r="F162" t="s">
        <v>74</v>
      </c>
      <c r="G162">
        <v>190000</v>
      </c>
      <c r="H162">
        <v>102000</v>
      </c>
      <c r="I162">
        <v>47000</v>
      </c>
      <c r="J162">
        <v>0</v>
      </c>
      <c r="K162">
        <v>82000</v>
      </c>
      <c r="L162">
        <v>43000</v>
      </c>
      <c r="M162">
        <v>18000</v>
      </c>
      <c r="N162">
        <v>130000</v>
      </c>
      <c r="O162">
        <v>11000</v>
      </c>
      <c r="P162">
        <v>5040</v>
      </c>
      <c r="Q162">
        <v>1260</v>
      </c>
      <c r="R162">
        <v>6000</v>
      </c>
      <c r="S162">
        <v>0</v>
      </c>
      <c r="T162">
        <v>0</v>
      </c>
      <c r="U162">
        <v>40</v>
      </c>
      <c r="V162">
        <v>22</v>
      </c>
      <c r="W162">
        <v>2200</v>
      </c>
      <c r="X162">
        <v>532</v>
      </c>
      <c r="Y162">
        <v>0</v>
      </c>
      <c r="Z162" cm="1">
        <f t="array" ref="Z162">MMULT($G162:$Y162,'Nelson Factor_2019'!$B$1:$B$19)/$G162</f>
        <v>11.486536842105263</v>
      </c>
      <c r="AA162" cm="1">
        <f t="array" ref="AA162">MMULT($G162:$R162,'Nelson Factor_2019'!$B$1:$B$12)/$G162</f>
        <v>10.81421052631579</v>
      </c>
    </row>
    <row r="163" spans="1:27" x14ac:dyDescent="0.25">
      <c r="A163">
        <v>2006</v>
      </c>
      <c r="B163">
        <v>5</v>
      </c>
      <c r="C163">
        <v>1</v>
      </c>
      <c r="D163" t="s">
        <v>75</v>
      </c>
      <c r="E163" t="s">
        <v>48</v>
      </c>
      <c r="F163" t="s">
        <v>76</v>
      </c>
      <c r="G163">
        <v>54000</v>
      </c>
      <c r="H163">
        <v>30000</v>
      </c>
      <c r="I163">
        <v>0</v>
      </c>
      <c r="J163">
        <v>0</v>
      </c>
      <c r="K163">
        <v>21000</v>
      </c>
      <c r="L163">
        <v>0</v>
      </c>
      <c r="M163">
        <v>0</v>
      </c>
      <c r="N163">
        <v>3000</v>
      </c>
      <c r="O163">
        <v>4000</v>
      </c>
      <c r="P163">
        <v>1000</v>
      </c>
      <c r="Q163">
        <v>0</v>
      </c>
      <c r="R163">
        <v>1200</v>
      </c>
      <c r="S163">
        <v>0</v>
      </c>
      <c r="T163">
        <v>0</v>
      </c>
      <c r="U163">
        <v>2</v>
      </c>
      <c r="V163">
        <v>0</v>
      </c>
      <c r="W163">
        <v>0</v>
      </c>
      <c r="X163">
        <v>0</v>
      </c>
      <c r="Y163">
        <v>1300</v>
      </c>
      <c r="Z163" cm="1">
        <f t="array" ref="Z163">MMULT($G163:$Y163,'Nelson Factor_2019'!$B$1:$B$19)/$G163</f>
        <v>5.2231851851851854</v>
      </c>
      <c r="AA163" cm="1">
        <f t="array" ref="AA163">MMULT($G163:$R163,'Nelson Factor_2019'!$B$1:$B$12)/$G163</f>
        <v>5.1870370370370367</v>
      </c>
    </row>
    <row r="164" spans="1:27" x14ac:dyDescent="0.25">
      <c r="A164">
        <v>2006</v>
      </c>
      <c r="B164">
        <v>5</v>
      </c>
      <c r="C164">
        <v>2</v>
      </c>
      <c r="D164" t="s">
        <v>75</v>
      </c>
      <c r="E164" t="s">
        <v>77</v>
      </c>
      <c r="F164" t="s">
        <v>76</v>
      </c>
      <c r="G164">
        <v>93700</v>
      </c>
      <c r="H164">
        <v>39500</v>
      </c>
      <c r="I164">
        <v>0</v>
      </c>
      <c r="J164">
        <v>11500</v>
      </c>
      <c r="K164">
        <v>0</v>
      </c>
      <c r="L164">
        <v>12800</v>
      </c>
      <c r="M164">
        <v>17600</v>
      </c>
      <c r="N164">
        <v>12800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18</v>
      </c>
      <c r="V164">
        <v>0</v>
      </c>
      <c r="W164">
        <v>0</v>
      </c>
      <c r="X164">
        <v>34</v>
      </c>
      <c r="Y164">
        <v>1000</v>
      </c>
      <c r="Z164" cm="1">
        <f t="array" ref="Z164">MMULT($G164:$Y164,'Nelson Factor_2019'!$B$1:$B$19)/$G164</f>
        <v>4.5160405549626468</v>
      </c>
      <c r="AA164" cm="1">
        <f t="array" ref="AA164">MMULT($G164:$R164,'Nelson Factor_2019'!$B$1:$B$12)/$G164</f>
        <v>4.4127534685165424</v>
      </c>
    </row>
    <row r="165" spans="1:27" x14ac:dyDescent="0.25">
      <c r="A165">
        <v>2006</v>
      </c>
      <c r="B165">
        <v>2</v>
      </c>
      <c r="C165">
        <v>4</v>
      </c>
      <c r="D165" t="s">
        <v>78</v>
      </c>
      <c r="E165" t="s">
        <v>79</v>
      </c>
      <c r="F165" t="s">
        <v>80</v>
      </c>
      <c r="G165">
        <v>158650</v>
      </c>
      <c r="H165">
        <v>71250</v>
      </c>
      <c r="I165">
        <v>36000</v>
      </c>
      <c r="J165">
        <v>0</v>
      </c>
      <c r="K165">
        <v>60300</v>
      </c>
      <c r="L165">
        <v>28080</v>
      </c>
      <c r="M165">
        <v>0</v>
      </c>
      <c r="N165">
        <v>103410</v>
      </c>
      <c r="O165">
        <v>18900</v>
      </c>
      <c r="P165">
        <v>0</v>
      </c>
      <c r="Q165">
        <v>6030</v>
      </c>
      <c r="R165">
        <v>0</v>
      </c>
      <c r="S165">
        <v>0</v>
      </c>
      <c r="T165">
        <v>0</v>
      </c>
      <c r="U165">
        <v>4.5</v>
      </c>
      <c r="V165">
        <v>0</v>
      </c>
      <c r="W165">
        <v>2102</v>
      </c>
      <c r="X165">
        <v>344</v>
      </c>
      <c r="Y165">
        <v>0</v>
      </c>
      <c r="Z165" cm="1">
        <f t="array" ref="Z165">MMULT($G165:$Y165,'Nelson Factor_2019'!$B$1:$B$19)/$G165</f>
        <v>10.55256539552474</v>
      </c>
      <c r="AA165" cm="1">
        <f t="array" ref="AA165">MMULT($G165:$R165,'Nelson Factor_2019'!$B$1:$B$12)/$G165</f>
        <v>10.032146233848094</v>
      </c>
    </row>
    <row r="166" spans="1:27" x14ac:dyDescent="0.25">
      <c r="A166">
        <v>2006</v>
      </c>
      <c r="B166">
        <v>2</v>
      </c>
      <c r="C166">
        <v>6</v>
      </c>
      <c r="D166" t="s">
        <v>78</v>
      </c>
      <c r="E166" t="s">
        <v>51</v>
      </c>
      <c r="F166" t="s">
        <v>81</v>
      </c>
      <c r="G166">
        <v>306000</v>
      </c>
      <c r="H166">
        <v>117800</v>
      </c>
      <c r="I166">
        <v>16200</v>
      </c>
      <c r="J166">
        <v>0</v>
      </c>
      <c r="K166">
        <v>90000</v>
      </c>
      <c r="L166">
        <v>85000</v>
      </c>
      <c r="M166">
        <v>32800</v>
      </c>
      <c r="N166">
        <v>208700</v>
      </c>
      <c r="O166">
        <v>20500</v>
      </c>
      <c r="P166">
        <v>0</v>
      </c>
      <c r="Q166">
        <v>3500</v>
      </c>
      <c r="R166">
        <v>0</v>
      </c>
      <c r="S166">
        <v>0</v>
      </c>
      <c r="T166">
        <v>0</v>
      </c>
      <c r="U166">
        <v>51.5</v>
      </c>
      <c r="V166">
        <v>0</v>
      </c>
      <c r="W166">
        <v>1250</v>
      </c>
      <c r="X166">
        <v>440</v>
      </c>
      <c r="Y166">
        <v>40000</v>
      </c>
      <c r="Z166" cm="1">
        <f t="array" ref="Z166">MMULT($G166:$Y166,'Nelson Factor_2019'!$B$1:$B$19)/$G166</f>
        <v>9.0537303921568633</v>
      </c>
      <c r="AA166" cm="1">
        <f t="array" ref="AA166">MMULT($G166:$R166,'Nelson Factor_2019'!$B$1:$B$12)/$G166</f>
        <v>8.5123856209150333</v>
      </c>
    </row>
    <row r="167" spans="1:27" x14ac:dyDescent="0.25">
      <c r="A167">
        <v>2006</v>
      </c>
      <c r="B167">
        <v>2</v>
      </c>
      <c r="C167">
        <v>4</v>
      </c>
      <c r="D167" t="s">
        <v>78</v>
      </c>
      <c r="E167" t="s">
        <v>54</v>
      </c>
      <c r="F167" t="s">
        <v>82</v>
      </c>
      <c r="G167">
        <v>238000</v>
      </c>
      <c r="H167">
        <v>114000</v>
      </c>
      <c r="I167">
        <v>56000</v>
      </c>
      <c r="J167">
        <v>0</v>
      </c>
      <c r="K167">
        <v>93000</v>
      </c>
      <c r="L167">
        <v>49500</v>
      </c>
      <c r="M167">
        <v>0</v>
      </c>
      <c r="N167">
        <v>247000</v>
      </c>
      <c r="O167">
        <v>27000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3330</v>
      </c>
      <c r="X167">
        <v>660</v>
      </c>
      <c r="Y167">
        <v>12000</v>
      </c>
      <c r="Z167" cm="1">
        <f t="array" ref="Z167">MMULT($G167:$Y167,'Nelson Factor_2019'!$B$1:$B$19)/$G167</f>
        <v>11.242016806722688</v>
      </c>
      <c r="AA167" cm="1">
        <f t="array" ref="AA167">MMULT($G167:$R167,'Nelson Factor_2019'!$B$1:$B$12)/$G167</f>
        <v>10.500840336134454</v>
      </c>
    </row>
    <row r="168" spans="1:27" x14ac:dyDescent="0.25">
      <c r="A168">
        <v>2006</v>
      </c>
      <c r="B168">
        <v>2</v>
      </c>
      <c r="C168">
        <v>6</v>
      </c>
      <c r="D168" t="s">
        <v>78</v>
      </c>
      <c r="E168" t="s">
        <v>83</v>
      </c>
      <c r="F168" t="s">
        <v>84</v>
      </c>
      <c r="G168">
        <v>192000</v>
      </c>
      <c r="H168">
        <v>61900</v>
      </c>
      <c r="I168">
        <v>28400</v>
      </c>
      <c r="J168">
        <v>0</v>
      </c>
      <c r="K168">
        <v>51300</v>
      </c>
      <c r="L168">
        <v>72700</v>
      </c>
      <c r="M168">
        <v>25700</v>
      </c>
      <c r="N168">
        <v>162500</v>
      </c>
      <c r="O168">
        <v>10900</v>
      </c>
      <c r="P168">
        <v>0</v>
      </c>
      <c r="Q168">
        <v>0</v>
      </c>
      <c r="R168">
        <v>14300</v>
      </c>
      <c r="S168">
        <v>0</v>
      </c>
      <c r="T168">
        <v>0</v>
      </c>
      <c r="U168">
        <v>0</v>
      </c>
      <c r="V168">
        <v>0</v>
      </c>
      <c r="W168">
        <v>1544</v>
      </c>
      <c r="X168">
        <v>179</v>
      </c>
      <c r="Y168">
        <v>0</v>
      </c>
      <c r="Z168" cm="1">
        <f t="array" ref="Z168">MMULT($G168:$Y168,'Nelson Factor_2019'!$B$1:$B$19)/$G168</f>
        <v>10.226458333333333</v>
      </c>
      <c r="AA168" cm="1">
        <f t="array" ref="AA168">MMULT($G168:$R168,'Nelson Factor_2019'!$B$1:$B$12)/$G168</f>
        <v>10.002708333333333</v>
      </c>
    </row>
    <row r="169" spans="1:27" x14ac:dyDescent="0.25">
      <c r="A169">
        <v>2006</v>
      </c>
      <c r="B169">
        <v>2</v>
      </c>
      <c r="C169">
        <v>4</v>
      </c>
      <c r="D169" t="s">
        <v>85</v>
      </c>
      <c r="E169" t="s">
        <v>32</v>
      </c>
      <c r="F169" t="s">
        <v>86</v>
      </c>
      <c r="G169">
        <v>399000</v>
      </c>
      <c r="H169">
        <v>242250</v>
      </c>
      <c r="I169">
        <v>31500</v>
      </c>
      <c r="J169">
        <v>0</v>
      </c>
      <c r="K169">
        <v>148500</v>
      </c>
      <c r="L169">
        <v>79200</v>
      </c>
      <c r="M169">
        <v>0</v>
      </c>
      <c r="N169">
        <v>384200</v>
      </c>
      <c r="O169">
        <v>30600</v>
      </c>
      <c r="P169">
        <v>0</v>
      </c>
      <c r="Q169">
        <v>16200</v>
      </c>
      <c r="R169">
        <v>32400</v>
      </c>
      <c r="S169">
        <v>0</v>
      </c>
      <c r="T169">
        <v>3800</v>
      </c>
      <c r="U169">
        <v>29.5</v>
      </c>
      <c r="V169">
        <v>0</v>
      </c>
      <c r="W169">
        <v>1690</v>
      </c>
      <c r="X169">
        <v>449</v>
      </c>
      <c r="Y169">
        <v>60000</v>
      </c>
      <c r="Z169" cm="1">
        <f t="array" ref="Z169">MMULT($G169:$Y169,'Nelson Factor_2019'!$B$1:$B$19)/$G169</f>
        <v>10.427730576441103</v>
      </c>
      <c r="AA169" cm="1">
        <f t="array" ref="AA169">MMULT($G169:$R169,'Nelson Factor_2019'!$B$1:$B$12)/$G169</f>
        <v>9.8367794486215541</v>
      </c>
    </row>
    <row r="170" spans="1:27" x14ac:dyDescent="0.25">
      <c r="A170">
        <v>2006</v>
      </c>
      <c r="B170">
        <v>2</v>
      </c>
      <c r="C170">
        <v>1</v>
      </c>
      <c r="D170" t="s">
        <v>85</v>
      </c>
      <c r="E170" t="s">
        <v>87</v>
      </c>
      <c r="F170" t="s">
        <v>88</v>
      </c>
      <c r="G170">
        <v>23500</v>
      </c>
      <c r="H170">
        <v>8000</v>
      </c>
      <c r="I170">
        <v>0</v>
      </c>
      <c r="J170">
        <v>0</v>
      </c>
      <c r="K170">
        <v>7850</v>
      </c>
      <c r="L170">
        <v>6500</v>
      </c>
      <c r="M170">
        <v>0</v>
      </c>
      <c r="N170">
        <v>10000</v>
      </c>
      <c r="O170">
        <v>2000</v>
      </c>
      <c r="P170">
        <v>0</v>
      </c>
      <c r="Q170">
        <v>0</v>
      </c>
      <c r="R170">
        <v>2200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 cm="1">
        <f t="array" ref="Z170">MMULT($G170:$Y170,'Nelson Factor_2019'!$B$1:$B$19)/$G170</f>
        <v>7.0255319148936168</v>
      </c>
      <c r="AA170" cm="1">
        <f t="array" ref="AA170">MMULT($G170:$R170,'Nelson Factor_2019'!$B$1:$B$12)/$G170</f>
        <v>7.0255319148936168</v>
      </c>
    </row>
    <row r="171" spans="1:27" x14ac:dyDescent="0.25">
      <c r="A171">
        <v>2006</v>
      </c>
      <c r="B171">
        <v>2</v>
      </c>
      <c r="C171">
        <v>4</v>
      </c>
      <c r="D171" t="s">
        <v>89</v>
      </c>
      <c r="E171" t="s">
        <v>90</v>
      </c>
      <c r="F171" t="s">
        <v>91</v>
      </c>
      <c r="G171">
        <v>100000</v>
      </c>
      <c r="H171">
        <v>50000</v>
      </c>
      <c r="I171">
        <v>19000</v>
      </c>
      <c r="J171">
        <v>0</v>
      </c>
      <c r="K171">
        <v>29100</v>
      </c>
      <c r="L171">
        <v>17000</v>
      </c>
      <c r="M171">
        <v>0</v>
      </c>
      <c r="N171">
        <v>61000</v>
      </c>
      <c r="O171">
        <v>9200</v>
      </c>
      <c r="P171">
        <v>0</v>
      </c>
      <c r="Q171">
        <v>0</v>
      </c>
      <c r="R171">
        <v>8500</v>
      </c>
      <c r="S171">
        <v>0</v>
      </c>
      <c r="T171">
        <v>0</v>
      </c>
      <c r="U171">
        <v>0</v>
      </c>
      <c r="V171">
        <v>0</v>
      </c>
      <c r="W171">
        <v>890</v>
      </c>
      <c r="X171">
        <v>0</v>
      </c>
      <c r="Y171">
        <v>0</v>
      </c>
      <c r="Z171" cm="1">
        <f t="array" ref="Z171">MMULT($G171:$Y171,'Nelson Factor_2019'!$B$1:$B$19)/$G171</f>
        <v>8.3710000000000004</v>
      </c>
      <c r="AA171" cm="1">
        <f t="array" ref="AA171">MMULT($G171:$R171,'Nelson Factor_2019'!$B$1:$B$12)/$G171</f>
        <v>8.3710000000000004</v>
      </c>
    </row>
    <row r="172" spans="1:27" x14ac:dyDescent="0.25">
      <c r="A172">
        <v>2006</v>
      </c>
      <c r="B172">
        <v>2</v>
      </c>
      <c r="C172">
        <v>4</v>
      </c>
      <c r="D172" t="s">
        <v>89</v>
      </c>
      <c r="E172" t="s">
        <v>92</v>
      </c>
      <c r="F172" t="s">
        <v>45</v>
      </c>
      <c r="G172">
        <v>110000</v>
      </c>
      <c r="H172">
        <v>39000</v>
      </c>
      <c r="I172">
        <v>18500</v>
      </c>
      <c r="J172">
        <v>0</v>
      </c>
      <c r="K172">
        <v>37200</v>
      </c>
      <c r="L172">
        <v>29500</v>
      </c>
      <c r="M172">
        <v>0</v>
      </c>
      <c r="N172">
        <v>122900</v>
      </c>
      <c r="O172">
        <v>13000</v>
      </c>
      <c r="P172">
        <v>0</v>
      </c>
      <c r="Q172">
        <v>2200</v>
      </c>
      <c r="R172">
        <v>12500</v>
      </c>
      <c r="S172">
        <v>0</v>
      </c>
      <c r="T172">
        <v>0</v>
      </c>
      <c r="U172">
        <v>6</v>
      </c>
      <c r="V172">
        <v>12</v>
      </c>
      <c r="W172">
        <v>860</v>
      </c>
      <c r="X172">
        <v>250</v>
      </c>
      <c r="Y172">
        <v>0</v>
      </c>
      <c r="Z172" cm="1">
        <f t="array" ref="Z172">MMULT($G172:$Y172,'Nelson Factor_2019'!$B$1:$B$19)/$G172</f>
        <v>11.3538</v>
      </c>
      <c r="AA172" cm="1">
        <f t="array" ref="AA172">MMULT($G172:$R172,'Nelson Factor_2019'!$B$1:$B$12)/$G172</f>
        <v>10.808181818181819</v>
      </c>
    </row>
    <row r="173" spans="1:27" x14ac:dyDescent="0.25">
      <c r="A173">
        <v>2006</v>
      </c>
      <c r="B173">
        <v>2</v>
      </c>
      <c r="C173">
        <v>6</v>
      </c>
      <c r="D173" t="s">
        <v>89</v>
      </c>
      <c r="E173" t="s">
        <v>93</v>
      </c>
      <c r="F173" t="s">
        <v>94</v>
      </c>
      <c r="G173">
        <v>82200</v>
      </c>
      <c r="H173">
        <v>34200</v>
      </c>
      <c r="I173">
        <v>21000</v>
      </c>
      <c r="J173">
        <v>0</v>
      </c>
      <c r="K173">
        <v>22900</v>
      </c>
      <c r="L173">
        <v>22900</v>
      </c>
      <c r="M173">
        <v>33400</v>
      </c>
      <c r="N173">
        <v>73600</v>
      </c>
      <c r="O173">
        <v>6500</v>
      </c>
      <c r="P173">
        <v>0</v>
      </c>
      <c r="Q173">
        <v>0</v>
      </c>
      <c r="R173">
        <v>13200</v>
      </c>
      <c r="S173">
        <v>0</v>
      </c>
      <c r="T173">
        <v>0</v>
      </c>
      <c r="U173">
        <v>0</v>
      </c>
      <c r="V173">
        <v>28.7</v>
      </c>
      <c r="W173">
        <v>633</v>
      </c>
      <c r="X173">
        <v>124</v>
      </c>
      <c r="Y173">
        <v>0</v>
      </c>
      <c r="Z173" cm="1">
        <f t="array" ref="Z173">MMULT($G173:$Y173,'Nelson Factor_2019'!$B$1:$B$19)/$G173</f>
        <v>13.645361313868612</v>
      </c>
      <c r="AA173" cm="1">
        <f t="array" ref="AA173">MMULT($G173:$R173,'Nelson Factor_2019'!$B$1:$B$12)/$G173</f>
        <v>13.282968369829684</v>
      </c>
    </row>
    <row r="174" spans="1:27" x14ac:dyDescent="0.25">
      <c r="A174">
        <v>2006</v>
      </c>
      <c r="B174">
        <v>2</v>
      </c>
      <c r="C174">
        <v>1</v>
      </c>
      <c r="D174" t="s">
        <v>95</v>
      </c>
      <c r="E174" t="s">
        <v>83</v>
      </c>
      <c r="F174" t="s">
        <v>96</v>
      </c>
      <c r="G174">
        <v>222000</v>
      </c>
      <c r="H174">
        <v>114500</v>
      </c>
      <c r="I174">
        <v>0</v>
      </c>
      <c r="J174">
        <v>0</v>
      </c>
      <c r="K174">
        <v>94100</v>
      </c>
      <c r="L174">
        <v>47500</v>
      </c>
      <c r="M174">
        <v>0</v>
      </c>
      <c r="N174">
        <v>242800</v>
      </c>
      <c r="O174">
        <v>19000</v>
      </c>
      <c r="P174">
        <v>0</v>
      </c>
      <c r="Q174">
        <v>9500</v>
      </c>
      <c r="R174">
        <v>13300</v>
      </c>
      <c r="S174">
        <v>8400</v>
      </c>
      <c r="T174">
        <v>0</v>
      </c>
      <c r="U174">
        <v>0</v>
      </c>
      <c r="V174">
        <v>0</v>
      </c>
      <c r="W174">
        <v>0</v>
      </c>
      <c r="X174">
        <v>516</v>
      </c>
      <c r="Y174">
        <v>12000</v>
      </c>
      <c r="Z174" cm="1">
        <f t="array" ref="Z174">MMULT($G174:$Y174,'Nelson Factor_2019'!$B$1:$B$19)/$G174</f>
        <v>12.818423423423424</v>
      </c>
      <c r="AA174" cm="1">
        <f t="array" ref="AA174">MMULT($G174:$R174,'Nelson Factor_2019'!$B$1:$B$12)/$G174</f>
        <v>9.9092342342342334</v>
      </c>
    </row>
    <row r="175" spans="1:27" x14ac:dyDescent="0.25">
      <c r="A175">
        <v>2006</v>
      </c>
      <c r="B175">
        <v>2</v>
      </c>
      <c r="C175">
        <v>0</v>
      </c>
      <c r="D175" t="s">
        <v>95</v>
      </c>
      <c r="E175" t="s">
        <v>97</v>
      </c>
      <c r="F175" t="s">
        <v>98</v>
      </c>
      <c r="G175">
        <v>5500</v>
      </c>
      <c r="H175">
        <v>0</v>
      </c>
      <c r="I175">
        <v>0</v>
      </c>
      <c r="J175">
        <v>0</v>
      </c>
      <c r="K175">
        <v>0</v>
      </c>
      <c r="L175">
        <v>1500</v>
      </c>
      <c r="M175">
        <v>0</v>
      </c>
      <c r="N175">
        <v>2000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 cm="1">
        <f t="array" ref="Z175">MMULT($G175:$Y175,'Nelson Factor_2019'!$B$1:$B$19)/$G175</f>
        <v>3.2727272727272729</v>
      </c>
      <c r="AA175" cm="1">
        <f t="array" ref="AA175">MMULT($G175:$R175,'Nelson Factor_2019'!$B$1:$B$12)/$G175</f>
        <v>3.2727272727272729</v>
      </c>
    </row>
    <row r="176" spans="1:27" x14ac:dyDescent="0.25">
      <c r="A176">
        <v>2006</v>
      </c>
      <c r="B176">
        <v>3</v>
      </c>
      <c r="C176">
        <v>0</v>
      </c>
      <c r="D176" t="s">
        <v>99</v>
      </c>
      <c r="E176" t="s">
        <v>100</v>
      </c>
      <c r="F176" t="s">
        <v>101</v>
      </c>
      <c r="G176">
        <v>15680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 cm="1">
        <f t="array" ref="Z176">MMULT($G176:$Y176,'Nelson Factor_2019'!$B$1:$B$19)/$G176</f>
        <v>1</v>
      </c>
      <c r="AA176" cm="1">
        <f t="array" ref="AA176">MMULT($G176:$R176,'Nelson Factor_2019'!$B$1:$B$12)/$G176</f>
        <v>1</v>
      </c>
    </row>
    <row r="177" spans="1:27" x14ac:dyDescent="0.25">
      <c r="A177">
        <v>2006</v>
      </c>
      <c r="B177">
        <v>3</v>
      </c>
      <c r="C177">
        <v>0</v>
      </c>
      <c r="D177" t="s">
        <v>99</v>
      </c>
      <c r="E177" t="s">
        <v>102</v>
      </c>
      <c r="F177" t="s">
        <v>103</v>
      </c>
      <c r="G177">
        <v>9500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5000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2.5</v>
      </c>
      <c r="V177">
        <v>2.5</v>
      </c>
      <c r="W177">
        <v>0</v>
      </c>
      <c r="X177">
        <v>0</v>
      </c>
      <c r="Y177">
        <v>0</v>
      </c>
      <c r="Z177" cm="1">
        <f t="array" ref="Z177">MMULT($G177:$Y177,'Nelson Factor_2019'!$B$1:$B$19)/$G177</f>
        <v>2.3163157894736841</v>
      </c>
      <c r="AA177" cm="1">
        <f t="array" ref="AA177">MMULT($G177:$R177,'Nelson Factor_2019'!$B$1:$B$12)/$G177</f>
        <v>2.3157894736842106</v>
      </c>
    </row>
    <row r="178" spans="1:27" x14ac:dyDescent="0.25">
      <c r="A178">
        <v>2006</v>
      </c>
      <c r="B178">
        <v>3</v>
      </c>
      <c r="C178">
        <v>2</v>
      </c>
      <c r="D178" t="s">
        <v>99</v>
      </c>
      <c r="E178" t="s">
        <v>102</v>
      </c>
      <c r="F178" t="s">
        <v>104</v>
      </c>
      <c r="G178">
        <v>9500</v>
      </c>
      <c r="H178">
        <v>8500</v>
      </c>
      <c r="I178">
        <v>0</v>
      </c>
      <c r="J178">
        <v>0</v>
      </c>
      <c r="K178">
        <v>0</v>
      </c>
      <c r="L178">
        <v>0</v>
      </c>
      <c r="M178">
        <v>8000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7500</v>
      </c>
      <c r="T178">
        <v>0</v>
      </c>
      <c r="U178">
        <v>4.5</v>
      </c>
      <c r="V178">
        <v>4.5</v>
      </c>
      <c r="W178">
        <v>0</v>
      </c>
      <c r="X178">
        <v>3</v>
      </c>
      <c r="Y178">
        <v>0</v>
      </c>
      <c r="Z178" cm="1">
        <f t="array" ref="Z178">MMULT($G178:$Y178,'Nelson Factor_2019'!$B$1:$B$19)/$G178</f>
        <v>56.345157894736843</v>
      </c>
      <c r="AA178" cm="1">
        <f t="array" ref="AA178">MMULT($G178:$R178,'Nelson Factor_2019'!$B$1:$B$12)/$G178</f>
        <v>8.9</v>
      </c>
    </row>
    <row r="179" spans="1:27" x14ac:dyDescent="0.25">
      <c r="A179">
        <v>2006</v>
      </c>
      <c r="B179">
        <v>3</v>
      </c>
      <c r="C179">
        <v>2</v>
      </c>
      <c r="D179" t="s">
        <v>99</v>
      </c>
      <c r="E179" t="s">
        <v>102</v>
      </c>
      <c r="F179" t="s">
        <v>105</v>
      </c>
      <c r="G179">
        <v>35000</v>
      </c>
      <c r="H179">
        <v>15000</v>
      </c>
      <c r="I179">
        <v>0</v>
      </c>
      <c r="J179">
        <v>0</v>
      </c>
      <c r="K179">
        <v>0</v>
      </c>
      <c r="L179">
        <v>10000</v>
      </c>
      <c r="M179">
        <v>8500</v>
      </c>
      <c r="N179">
        <v>24000</v>
      </c>
      <c r="O179">
        <v>0</v>
      </c>
      <c r="P179">
        <v>0</v>
      </c>
      <c r="Q179">
        <v>0</v>
      </c>
      <c r="R179">
        <v>0</v>
      </c>
      <c r="S179">
        <v>8000</v>
      </c>
      <c r="T179">
        <v>0</v>
      </c>
      <c r="U179">
        <v>6.1</v>
      </c>
      <c r="V179">
        <v>6.1</v>
      </c>
      <c r="W179">
        <v>0</v>
      </c>
      <c r="X179">
        <v>15</v>
      </c>
      <c r="Y179">
        <v>0</v>
      </c>
      <c r="Z179" cm="1">
        <f t="array" ref="Z179">MMULT($G179:$Y179,'Nelson Factor_2019'!$B$1:$B$19)/$G179</f>
        <v>20.460348571428572</v>
      </c>
      <c r="AA179" cm="1">
        <f t="array" ref="AA179">MMULT($G179:$R179,'Nelson Factor_2019'!$B$1:$B$12)/$G179</f>
        <v>6.6428571428571432</v>
      </c>
    </row>
    <row r="180" spans="1:27" x14ac:dyDescent="0.25">
      <c r="A180">
        <v>2006</v>
      </c>
      <c r="B180">
        <v>3</v>
      </c>
      <c r="C180">
        <v>0</v>
      </c>
      <c r="D180" t="s">
        <v>99</v>
      </c>
      <c r="E180" t="s">
        <v>106</v>
      </c>
      <c r="F180" t="s">
        <v>101</v>
      </c>
      <c r="G180">
        <v>0</v>
      </c>
      <c r="H180">
        <v>36100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8550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 cm="1">
        <f t="array" ref="Z180">MMULT($G180:$Y180,'Nelson Factor_2019'!$B$1:$B$19)/$H180</f>
        <v>15.510526315789473</v>
      </c>
      <c r="AA180" cm="1">
        <f t="array" ref="AA180">MMULT($G180:$R180,'Nelson Factor_2019'!$B$1:$B$12)/$H180</f>
        <v>1.3</v>
      </c>
    </row>
    <row r="181" spans="1:27" x14ac:dyDescent="0.25">
      <c r="A181">
        <v>2006</v>
      </c>
      <c r="B181">
        <v>3</v>
      </c>
      <c r="C181">
        <v>6</v>
      </c>
      <c r="D181" t="s">
        <v>99</v>
      </c>
      <c r="E181" t="s">
        <v>79</v>
      </c>
      <c r="F181" t="s">
        <v>101</v>
      </c>
      <c r="G181">
        <v>440000</v>
      </c>
      <c r="H181">
        <v>79800</v>
      </c>
      <c r="I181">
        <v>88200</v>
      </c>
      <c r="J181">
        <v>0</v>
      </c>
      <c r="K181">
        <v>126000</v>
      </c>
      <c r="L181">
        <v>94500</v>
      </c>
      <c r="M181">
        <v>37800</v>
      </c>
      <c r="N181">
        <v>233100</v>
      </c>
      <c r="O181">
        <v>20700</v>
      </c>
      <c r="P181">
        <v>0</v>
      </c>
      <c r="Q181">
        <v>13500</v>
      </c>
      <c r="R181">
        <v>28800</v>
      </c>
      <c r="S181">
        <v>9900</v>
      </c>
      <c r="T181">
        <v>3150</v>
      </c>
      <c r="U181">
        <v>47.7</v>
      </c>
      <c r="V181">
        <v>10.8</v>
      </c>
      <c r="W181">
        <v>3870</v>
      </c>
      <c r="X181">
        <v>567</v>
      </c>
      <c r="Y181">
        <v>0</v>
      </c>
      <c r="Z181" cm="1">
        <f t="array" ref="Z181">MMULT($G181:$Y181,'Nelson Factor_2019'!$B$1:$B$19)/$G181</f>
        <v>10.554382954545455</v>
      </c>
      <c r="AA181" cm="1">
        <f t="array" ref="AA181">MMULT($G181:$R181,'Nelson Factor_2019'!$B$1:$B$12)/$G181</f>
        <v>8.823386363636363</v>
      </c>
    </row>
    <row r="182" spans="1:27" x14ac:dyDescent="0.25">
      <c r="A182">
        <v>2006</v>
      </c>
      <c r="B182">
        <v>3</v>
      </c>
      <c r="C182">
        <v>4</v>
      </c>
      <c r="D182" t="s">
        <v>99</v>
      </c>
      <c r="E182" t="s">
        <v>51</v>
      </c>
      <c r="F182" t="s">
        <v>107</v>
      </c>
      <c r="G182">
        <v>247000</v>
      </c>
      <c r="H182">
        <v>92000</v>
      </c>
      <c r="I182">
        <v>25200</v>
      </c>
      <c r="J182">
        <v>0</v>
      </c>
      <c r="K182">
        <v>104000</v>
      </c>
      <c r="L182">
        <v>42000</v>
      </c>
      <c r="M182">
        <v>0</v>
      </c>
      <c r="N182">
        <v>144400</v>
      </c>
      <c r="O182">
        <v>38000</v>
      </c>
      <c r="P182">
        <v>0</v>
      </c>
      <c r="Q182">
        <v>31800</v>
      </c>
      <c r="R182">
        <v>0</v>
      </c>
      <c r="S182">
        <v>0</v>
      </c>
      <c r="T182">
        <v>0</v>
      </c>
      <c r="U182">
        <v>0</v>
      </c>
      <c r="V182">
        <v>10.4</v>
      </c>
      <c r="W182">
        <v>800</v>
      </c>
      <c r="X182">
        <v>70</v>
      </c>
      <c r="Y182">
        <v>0</v>
      </c>
      <c r="Z182" cm="1">
        <f t="array" ref="Z182">MMULT($G182:$Y182,'Nelson Factor_2019'!$B$1:$B$19)/$G182</f>
        <v>11.268868016194332</v>
      </c>
      <c r="AA182" cm="1">
        <f t="array" ref="AA182">MMULT($G182:$R182,'Nelson Factor_2019'!$B$1:$B$12)/$G182</f>
        <v>11.20080971659919</v>
      </c>
    </row>
    <row r="183" spans="1:27" x14ac:dyDescent="0.25">
      <c r="A183">
        <v>2006</v>
      </c>
      <c r="B183">
        <v>3</v>
      </c>
      <c r="C183">
        <v>6</v>
      </c>
      <c r="D183" t="s">
        <v>99</v>
      </c>
      <c r="E183" t="s">
        <v>51</v>
      </c>
      <c r="F183" t="s">
        <v>108</v>
      </c>
      <c r="G183">
        <v>239000</v>
      </c>
      <c r="H183">
        <v>106200</v>
      </c>
      <c r="I183">
        <v>57800</v>
      </c>
      <c r="J183">
        <v>0</v>
      </c>
      <c r="K183">
        <v>44800</v>
      </c>
      <c r="L183">
        <v>33000</v>
      </c>
      <c r="M183">
        <v>29000</v>
      </c>
      <c r="N183">
        <v>180900</v>
      </c>
      <c r="O183">
        <v>7500</v>
      </c>
      <c r="P183">
        <v>1000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90.5</v>
      </c>
      <c r="W183">
        <v>3600</v>
      </c>
      <c r="X183">
        <v>350</v>
      </c>
      <c r="Y183">
        <v>0</v>
      </c>
      <c r="Z183" cm="1">
        <f t="array" ref="Z183">MMULT($G183:$Y183,'Nelson Factor_2019'!$B$1:$B$19)/$G183</f>
        <v>8.7769895397489535</v>
      </c>
      <c r="AA183" cm="1">
        <f t="array" ref="AA183">MMULT($G183:$R183,'Nelson Factor_2019'!$B$1:$B$12)/$G183</f>
        <v>8.4251464435146435</v>
      </c>
    </row>
    <row r="184" spans="1:27" x14ac:dyDescent="0.25">
      <c r="A184">
        <v>2006</v>
      </c>
      <c r="B184">
        <v>3</v>
      </c>
      <c r="C184">
        <v>6</v>
      </c>
      <c r="D184" t="s">
        <v>99</v>
      </c>
      <c r="E184" t="s">
        <v>54</v>
      </c>
      <c r="F184" t="s">
        <v>109</v>
      </c>
      <c r="G184">
        <v>501000</v>
      </c>
      <c r="H184">
        <v>227000</v>
      </c>
      <c r="I184">
        <v>112500</v>
      </c>
      <c r="J184">
        <v>0</v>
      </c>
      <c r="K184">
        <v>229000</v>
      </c>
      <c r="L184">
        <v>75500</v>
      </c>
      <c r="M184">
        <v>24000</v>
      </c>
      <c r="N184">
        <v>437500</v>
      </c>
      <c r="O184">
        <v>36000</v>
      </c>
      <c r="P184">
        <v>9500</v>
      </c>
      <c r="Q184">
        <v>0</v>
      </c>
      <c r="R184">
        <v>0</v>
      </c>
      <c r="S184">
        <v>16000</v>
      </c>
      <c r="T184">
        <v>7000</v>
      </c>
      <c r="U184">
        <v>0</v>
      </c>
      <c r="V184">
        <v>24</v>
      </c>
      <c r="W184">
        <v>5250</v>
      </c>
      <c r="X184">
        <v>690</v>
      </c>
      <c r="Y184">
        <v>0</v>
      </c>
      <c r="Z184" cm="1">
        <f t="array" ref="Z184">MMULT($G184:$Y184,'Nelson Factor_2019'!$B$1:$B$19)/$G184</f>
        <v>12.6301876247505</v>
      </c>
      <c r="AA184" cm="1">
        <f t="array" ref="AA184">MMULT($G184:$R184,'Nelson Factor_2019'!$B$1:$B$12)/$G184</f>
        <v>10.243712574850299</v>
      </c>
    </row>
    <row r="185" spans="1:27" x14ac:dyDescent="0.25">
      <c r="A185">
        <v>2006</v>
      </c>
      <c r="B185">
        <v>3</v>
      </c>
      <c r="C185">
        <v>6</v>
      </c>
      <c r="D185" t="s">
        <v>99</v>
      </c>
      <c r="E185" t="s">
        <v>54</v>
      </c>
      <c r="F185" t="s">
        <v>110</v>
      </c>
      <c r="G185">
        <v>188000</v>
      </c>
      <c r="H185">
        <v>112000</v>
      </c>
      <c r="I185">
        <v>33000</v>
      </c>
      <c r="J185">
        <v>0</v>
      </c>
      <c r="K185">
        <v>68000</v>
      </c>
      <c r="L185">
        <v>47000</v>
      </c>
      <c r="M185">
        <v>18500</v>
      </c>
      <c r="N185">
        <v>172500</v>
      </c>
      <c r="O185">
        <v>12500</v>
      </c>
      <c r="P185">
        <v>0</v>
      </c>
      <c r="Q185">
        <v>10000</v>
      </c>
      <c r="R185">
        <v>10000</v>
      </c>
      <c r="S185">
        <v>0</v>
      </c>
      <c r="T185">
        <v>0</v>
      </c>
      <c r="U185">
        <v>0</v>
      </c>
      <c r="V185">
        <v>0</v>
      </c>
      <c r="W185">
        <v>2050</v>
      </c>
      <c r="X185">
        <v>920</v>
      </c>
      <c r="Y185">
        <v>0</v>
      </c>
      <c r="Z185" cm="1">
        <f t="array" ref="Z185">MMULT($G185:$Y185,'Nelson Factor_2019'!$B$1:$B$19)/$G185</f>
        <v>12.655053191489362</v>
      </c>
      <c r="AA185" cm="1">
        <f t="array" ref="AA185">MMULT($G185:$R185,'Nelson Factor_2019'!$B$1:$B$12)/$G185</f>
        <v>11.480585106382978</v>
      </c>
    </row>
    <row r="186" spans="1:27" x14ac:dyDescent="0.25">
      <c r="A186">
        <v>2006</v>
      </c>
      <c r="B186">
        <v>3</v>
      </c>
      <c r="C186">
        <v>4</v>
      </c>
      <c r="D186" t="s">
        <v>99</v>
      </c>
      <c r="E186" t="s">
        <v>83</v>
      </c>
      <c r="F186" t="s">
        <v>111</v>
      </c>
      <c r="G186">
        <v>245000</v>
      </c>
      <c r="H186">
        <v>127300</v>
      </c>
      <c r="I186">
        <v>37100</v>
      </c>
      <c r="J186">
        <v>0</v>
      </c>
      <c r="K186">
        <v>123500</v>
      </c>
      <c r="L186">
        <v>46100</v>
      </c>
      <c r="M186">
        <v>0</v>
      </c>
      <c r="N186">
        <v>307900</v>
      </c>
      <c r="O186">
        <v>26800</v>
      </c>
      <c r="P186">
        <v>0</v>
      </c>
      <c r="Q186">
        <v>0</v>
      </c>
      <c r="R186">
        <v>42800</v>
      </c>
      <c r="S186">
        <v>0</v>
      </c>
      <c r="T186">
        <v>0</v>
      </c>
      <c r="U186">
        <v>0</v>
      </c>
      <c r="V186">
        <v>0</v>
      </c>
      <c r="W186">
        <v>3263</v>
      </c>
      <c r="X186">
        <v>1039</v>
      </c>
      <c r="Y186">
        <v>25700</v>
      </c>
      <c r="Z186" cm="1">
        <f t="array" ref="Z186">MMULT($G186:$Y186,'Nelson Factor_2019'!$B$1:$B$19)/$G186</f>
        <v>12.711428571428572</v>
      </c>
      <c r="AA186" cm="1">
        <f t="array" ref="AA186">MMULT($G186:$R186,'Nelson Factor_2019'!$B$1:$B$12)/$G186</f>
        <v>11.536285714285714</v>
      </c>
    </row>
    <row r="187" spans="1:27" x14ac:dyDescent="0.25">
      <c r="A187">
        <v>2006</v>
      </c>
      <c r="B187">
        <v>3</v>
      </c>
      <c r="C187">
        <v>3</v>
      </c>
      <c r="D187" t="s">
        <v>99</v>
      </c>
      <c r="E187" t="s">
        <v>112</v>
      </c>
      <c r="F187" t="s">
        <v>113</v>
      </c>
      <c r="G187">
        <v>235000</v>
      </c>
      <c r="H187">
        <v>100000</v>
      </c>
      <c r="I187">
        <v>0</v>
      </c>
      <c r="J187">
        <v>0</v>
      </c>
      <c r="K187">
        <v>85000</v>
      </c>
      <c r="L187">
        <v>36000</v>
      </c>
      <c r="M187">
        <v>45000</v>
      </c>
      <c r="N187">
        <v>210000</v>
      </c>
      <c r="O187">
        <v>13050</v>
      </c>
      <c r="P187">
        <v>3600</v>
      </c>
      <c r="Q187">
        <v>0</v>
      </c>
      <c r="R187">
        <v>11250</v>
      </c>
      <c r="S187">
        <v>0</v>
      </c>
      <c r="T187">
        <v>4750</v>
      </c>
      <c r="U187">
        <v>58</v>
      </c>
      <c r="V187">
        <v>0</v>
      </c>
      <c r="W187">
        <v>0</v>
      </c>
      <c r="X187">
        <v>700</v>
      </c>
      <c r="Y187">
        <v>0</v>
      </c>
      <c r="Z187" cm="1">
        <f t="array" ref="Z187">MMULT($G187:$Y187,'Nelson Factor_2019'!$B$1:$B$19)/$G187</f>
        <v>10.024714893617022</v>
      </c>
      <c r="AA187" cm="1">
        <f t="array" ref="AA187">MMULT($G187:$R187,'Nelson Factor_2019'!$B$1:$B$12)/$G187</f>
        <v>9.1074468085106375</v>
      </c>
    </row>
    <row r="188" spans="1:27" x14ac:dyDescent="0.25">
      <c r="A188">
        <v>2006</v>
      </c>
      <c r="B188">
        <v>3</v>
      </c>
      <c r="C188">
        <v>6</v>
      </c>
      <c r="D188" t="s">
        <v>99</v>
      </c>
      <c r="E188" t="s">
        <v>112</v>
      </c>
      <c r="F188" t="s">
        <v>114</v>
      </c>
      <c r="G188">
        <v>220000</v>
      </c>
      <c r="H188">
        <v>78000</v>
      </c>
      <c r="I188">
        <v>21300</v>
      </c>
      <c r="J188">
        <v>0</v>
      </c>
      <c r="K188">
        <v>105000</v>
      </c>
      <c r="L188">
        <v>57300</v>
      </c>
      <c r="M188">
        <v>31500</v>
      </c>
      <c r="N188">
        <v>122800</v>
      </c>
      <c r="O188">
        <v>14800</v>
      </c>
      <c r="P188">
        <v>0</v>
      </c>
      <c r="Q188">
        <v>0</v>
      </c>
      <c r="R188">
        <v>0</v>
      </c>
      <c r="S188">
        <v>0</v>
      </c>
      <c r="T188">
        <v>7500</v>
      </c>
      <c r="U188">
        <v>49.4</v>
      </c>
      <c r="V188">
        <v>0</v>
      </c>
      <c r="W188">
        <v>900</v>
      </c>
      <c r="X188">
        <v>140</v>
      </c>
      <c r="Y188">
        <v>0</v>
      </c>
      <c r="Z188" cm="1">
        <f t="array" ref="Z188">MMULT($G188:$Y188,'Nelson Factor_2019'!$B$1:$B$19)/$G188</f>
        <v>10.060451818181818</v>
      </c>
      <c r="AA188" cm="1">
        <f t="array" ref="AA188">MMULT($G188:$R188,'Nelson Factor_2019'!$B$1:$B$12)/$G188</f>
        <v>9.5665909090909089</v>
      </c>
    </row>
    <row r="189" spans="1:27" x14ac:dyDescent="0.25">
      <c r="A189">
        <v>2006</v>
      </c>
      <c r="B189">
        <v>3</v>
      </c>
      <c r="C189">
        <v>1</v>
      </c>
      <c r="D189" t="s">
        <v>99</v>
      </c>
      <c r="E189" t="s">
        <v>115</v>
      </c>
      <c r="F189" t="s">
        <v>116</v>
      </c>
      <c r="G189">
        <v>125000</v>
      </c>
      <c r="H189">
        <v>50000</v>
      </c>
      <c r="I189">
        <v>0</v>
      </c>
      <c r="J189">
        <v>0</v>
      </c>
      <c r="K189">
        <v>37000</v>
      </c>
      <c r="L189">
        <v>0</v>
      </c>
      <c r="M189">
        <v>0</v>
      </c>
      <c r="N189">
        <v>123750</v>
      </c>
      <c r="O189">
        <v>8500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1800</v>
      </c>
      <c r="Y189">
        <v>0</v>
      </c>
      <c r="Z189" cm="1">
        <f t="array" ref="Z189">MMULT($G189:$Y189,'Nelson Factor_2019'!$B$1:$B$19)/$G189</f>
        <v>9.907</v>
      </c>
      <c r="AA189" cm="1">
        <f t="array" ref="AA189">MMULT($G189:$R189,'Nelson Factor_2019'!$B$1:$B$12)/$G189</f>
        <v>6.4509999999999996</v>
      </c>
    </row>
    <row r="190" spans="1:27" x14ac:dyDescent="0.25">
      <c r="A190">
        <v>2006</v>
      </c>
      <c r="B190">
        <v>3</v>
      </c>
      <c r="C190">
        <v>1</v>
      </c>
      <c r="D190" t="s">
        <v>99</v>
      </c>
      <c r="E190" t="s">
        <v>117</v>
      </c>
      <c r="F190" t="s">
        <v>118</v>
      </c>
      <c r="G190">
        <v>55000</v>
      </c>
      <c r="H190">
        <v>22000</v>
      </c>
      <c r="I190">
        <v>0</v>
      </c>
      <c r="J190">
        <v>0</v>
      </c>
      <c r="K190">
        <v>20000</v>
      </c>
      <c r="L190">
        <v>10000</v>
      </c>
      <c r="M190">
        <v>0</v>
      </c>
      <c r="N190">
        <v>31000</v>
      </c>
      <c r="O190">
        <v>3800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28</v>
      </c>
      <c r="Y190">
        <v>0</v>
      </c>
      <c r="Z190" cm="1">
        <f t="array" ref="Z190">MMULT($G190:$Y190,'Nelson Factor_2019'!$B$1:$B$19)/$G190</f>
        <v>6.8330909090909087</v>
      </c>
      <c r="AA190" cm="1">
        <f t="array" ref="AA190">MMULT($G190:$R190,'Nelson Factor_2019'!$B$1:$B$12)/$G190</f>
        <v>6.7109090909090909</v>
      </c>
    </row>
    <row r="191" spans="1:27" x14ac:dyDescent="0.25">
      <c r="A191">
        <v>2006</v>
      </c>
      <c r="B191">
        <v>3</v>
      </c>
      <c r="C191">
        <v>0</v>
      </c>
      <c r="D191" t="s">
        <v>99</v>
      </c>
      <c r="E191" t="s">
        <v>27</v>
      </c>
      <c r="F191" t="s">
        <v>119</v>
      </c>
      <c r="G191">
        <v>55000</v>
      </c>
      <c r="H191">
        <v>28000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 cm="1">
        <f t="array" ref="Z191">MMULT($G191:$Y191,'Nelson Factor_2019'!$B$1:$B$19)/$G191</f>
        <v>1.6618181818181819</v>
      </c>
      <c r="AA191" cm="1">
        <f t="array" ref="AA191">MMULT($G191:$R191,'Nelson Factor_2019'!$B$1:$B$12)/$G191</f>
        <v>1.6618181818181819</v>
      </c>
    </row>
    <row r="192" spans="1:27" x14ac:dyDescent="0.25">
      <c r="A192">
        <v>2006</v>
      </c>
      <c r="B192">
        <v>3</v>
      </c>
      <c r="C192">
        <v>1</v>
      </c>
      <c r="D192" t="s">
        <v>99</v>
      </c>
      <c r="E192" t="s">
        <v>66</v>
      </c>
      <c r="F192" t="s">
        <v>120</v>
      </c>
      <c r="G192">
        <v>83100</v>
      </c>
      <c r="H192">
        <v>36200</v>
      </c>
      <c r="I192">
        <v>0</v>
      </c>
      <c r="J192">
        <v>0</v>
      </c>
      <c r="K192">
        <v>34100</v>
      </c>
      <c r="L192">
        <v>12000</v>
      </c>
      <c r="M192">
        <v>0</v>
      </c>
      <c r="N192">
        <v>18700</v>
      </c>
      <c r="O192">
        <v>0</v>
      </c>
      <c r="P192">
        <v>2100</v>
      </c>
      <c r="Q192">
        <v>0</v>
      </c>
      <c r="R192">
        <v>4100</v>
      </c>
      <c r="S192">
        <v>0</v>
      </c>
      <c r="T192">
        <v>1800</v>
      </c>
      <c r="U192">
        <v>0</v>
      </c>
      <c r="V192">
        <v>0</v>
      </c>
      <c r="W192">
        <v>0</v>
      </c>
      <c r="X192">
        <v>20</v>
      </c>
      <c r="Y192">
        <v>0</v>
      </c>
      <c r="Z192" cm="1">
        <f t="array" ref="Z192">MMULT($G192:$Y192,'Nelson Factor_2019'!$B$1:$B$19)/$G192</f>
        <v>5.9880866425992778</v>
      </c>
      <c r="AA192" cm="1">
        <f t="array" ref="AA192">MMULT($G192:$R192,'Nelson Factor_2019'!$B$1:$B$12)/$G192</f>
        <v>5.7137184115523469</v>
      </c>
    </row>
    <row r="193" spans="1:27" x14ac:dyDescent="0.25">
      <c r="A193">
        <v>2006</v>
      </c>
      <c r="B193">
        <v>3</v>
      </c>
      <c r="C193">
        <v>4</v>
      </c>
      <c r="D193" t="s">
        <v>99</v>
      </c>
      <c r="E193" t="s">
        <v>66</v>
      </c>
      <c r="F193" t="s">
        <v>114</v>
      </c>
      <c r="G193">
        <v>186000</v>
      </c>
      <c r="H193">
        <v>200000</v>
      </c>
      <c r="I193">
        <v>70400</v>
      </c>
      <c r="J193">
        <v>0</v>
      </c>
      <c r="K193">
        <v>100000</v>
      </c>
      <c r="L193">
        <v>25000</v>
      </c>
      <c r="M193">
        <v>0</v>
      </c>
      <c r="N193">
        <v>131100</v>
      </c>
      <c r="O193">
        <v>19000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4500</v>
      </c>
      <c r="X193">
        <v>450</v>
      </c>
      <c r="Y193">
        <v>0</v>
      </c>
      <c r="Z193" cm="1">
        <f t="array" ref="Z193">MMULT($G193:$Y193,'Nelson Factor_2019'!$B$1:$B$19)/$G193</f>
        <v>12.498655913978494</v>
      </c>
      <c r="AA193" cm="1">
        <f t="array" ref="AA193">MMULT($G193:$R193,'Nelson Factor_2019'!$B$1:$B$12)/$G193</f>
        <v>11.918010752688172</v>
      </c>
    </row>
    <row r="194" spans="1:27" x14ac:dyDescent="0.25">
      <c r="A194">
        <v>2006</v>
      </c>
      <c r="B194">
        <v>2</v>
      </c>
      <c r="C194">
        <v>1</v>
      </c>
      <c r="D194" t="s">
        <v>121</v>
      </c>
      <c r="E194" t="s">
        <v>83</v>
      </c>
      <c r="F194" t="s">
        <v>122</v>
      </c>
      <c r="G194">
        <v>100000</v>
      </c>
      <c r="H194">
        <v>50800</v>
      </c>
      <c r="I194">
        <v>0</v>
      </c>
      <c r="J194">
        <v>0</v>
      </c>
      <c r="K194">
        <v>28500</v>
      </c>
      <c r="L194">
        <v>19000</v>
      </c>
      <c r="M194">
        <v>0</v>
      </c>
      <c r="N194">
        <v>92300</v>
      </c>
      <c r="O194">
        <v>4800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206</v>
      </c>
      <c r="Y194">
        <v>19000</v>
      </c>
      <c r="Z194" cm="1">
        <f t="array" ref="Z194">MMULT($G194:$Y194,'Nelson Factor_2019'!$B$1:$B$19)/$G194</f>
        <v>7.8872999999999998</v>
      </c>
      <c r="AA194" cm="1">
        <f t="array" ref="AA194">MMULT($G194:$R194,'Nelson Factor_2019'!$B$1:$B$12)/$G194</f>
        <v>7.1078999999999999</v>
      </c>
    </row>
    <row r="195" spans="1:27" x14ac:dyDescent="0.25">
      <c r="A195">
        <v>2006</v>
      </c>
      <c r="B195">
        <v>2</v>
      </c>
      <c r="C195">
        <v>4</v>
      </c>
      <c r="D195" t="s">
        <v>123</v>
      </c>
      <c r="E195" t="s">
        <v>35</v>
      </c>
      <c r="F195" t="s">
        <v>124</v>
      </c>
      <c r="G195">
        <v>279300</v>
      </c>
      <c r="H195">
        <v>185250</v>
      </c>
      <c r="I195">
        <v>63720</v>
      </c>
      <c r="J195">
        <v>0</v>
      </c>
      <c r="K195">
        <v>77850</v>
      </c>
      <c r="L195">
        <v>46170</v>
      </c>
      <c r="M195">
        <v>0</v>
      </c>
      <c r="N195">
        <v>285840</v>
      </c>
      <c r="O195">
        <v>11250</v>
      </c>
      <c r="P195">
        <v>4140</v>
      </c>
      <c r="Q195">
        <v>0</v>
      </c>
      <c r="R195">
        <v>16200</v>
      </c>
      <c r="S195">
        <v>0</v>
      </c>
      <c r="T195">
        <v>0</v>
      </c>
      <c r="U195">
        <v>115</v>
      </c>
      <c r="V195">
        <v>10</v>
      </c>
      <c r="W195">
        <v>3690</v>
      </c>
      <c r="X195">
        <v>801</v>
      </c>
      <c r="Y195">
        <v>40500</v>
      </c>
      <c r="Z195" cm="1">
        <f t="array" ref="Z195">MMULT($G195:$Y195,'Nelson Factor_2019'!$B$1:$B$19)/$G195</f>
        <v>10.262047977085571</v>
      </c>
      <c r="AA195" cm="1">
        <f t="array" ref="AA195">MMULT($G195:$R195,'Nelson Factor_2019'!$B$1:$B$12)/$G195</f>
        <v>9.3558002148227715</v>
      </c>
    </row>
    <row r="196" spans="1:27" x14ac:dyDescent="0.25">
      <c r="A196">
        <v>2006</v>
      </c>
      <c r="B196">
        <v>2</v>
      </c>
      <c r="C196">
        <v>1</v>
      </c>
      <c r="D196" t="s">
        <v>123</v>
      </c>
      <c r="E196" t="s">
        <v>83</v>
      </c>
      <c r="F196" t="s">
        <v>125</v>
      </c>
      <c r="G196">
        <v>70000</v>
      </c>
      <c r="H196">
        <v>30400</v>
      </c>
      <c r="I196">
        <v>0</v>
      </c>
      <c r="J196">
        <v>0</v>
      </c>
      <c r="K196">
        <v>25700</v>
      </c>
      <c r="L196">
        <v>20000</v>
      </c>
      <c r="M196">
        <v>0</v>
      </c>
      <c r="N196">
        <v>75600</v>
      </c>
      <c r="O196">
        <v>5200</v>
      </c>
      <c r="P196">
        <v>0</v>
      </c>
      <c r="Q196">
        <v>0</v>
      </c>
      <c r="R196">
        <v>8600</v>
      </c>
      <c r="S196">
        <v>0</v>
      </c>
      <c r="T196">
        <v>0</v>
      </c>
      <c r="U196">
        <v>9.5</v>
      </c>
      <c r="V196">
        <v>0</v>
      </c>
      <c r="W196">
        <v>0</v>
      </c>
      <c r="X196">
        <v>101</v>
      </c>
      <c r="Y196">
        <v>11400</v>
      </c>
      <c r="Z196" cm="1">
        <f t="array" ref="Z196">MMULT($G196:$Y196,'Nelson Factor_2019'!$B$1:$B$19)/$G196</f>
        <v>9.5981357142857142</v>
      </c>
      <c r="AA196" cm="1">
        <f t="array" ref="AA196">MMULT($G196:$R196,'Nelson Factor_2019'!$B$1:$B$12)/$G196</f>
        <v>9.0074285714285711</v>
      </c>
    </row>
    <row r="197" spans="1:27" x14ac:dyDescent="0.25">
      <c r="A197">
        <v>2006</v>
      </c>
      <c r="B197">
        <v>3</v>
      </c>
      <c r="C197">
        <v>6</v>
      </c>
      <c r="D197" t="s">
        <v>126</v>
      </c>
      <c r="E197" t="s">
        <v>48</v>
      </c>
      <c r="F197" t="s">
        <v>127</v>
      </c>
      <c r="G197">
        <v>325000</v>
      </c>
      <c r="H197">
        <v>240000</v>
      </c>
      <c r="I197">
        <v>92000</v>
      </c>
      <c r="J197">
        <v>0</v>
      </c>
      <c r="K197">
        <v>63000</v>
      </c>
      <c r="L197">
        <v>71000</v>
      </c>
      <c r="M197">
        <v>58000</v>
      </c>
      <c r="N197">
        <v>238500</v>
      </c>
      <c r="O197">
        <v>14800</v>
      </c>
      <c r="P197">
        <v>2100</v>
      </c>
      <c r="Q197">
        <v>19000</v>
      </c>
      <c r="R197">
        <v>0</v>
      </c>
      <c r="S197">
        <v>0</v>
      </c>
      <c r="T197">
        <v>0</v>
      </c>
      <c r="U197">
        <v>205</v>
      </c>
      <c r="V197">
        <v>0</v>
      </c>
      <c r="W197">
        <v>6440</v>
      </c>
      <c r="X197">
        <v>1067</v>
      </c>
      <c r="Y197">
        <v>0</v>
      </c>
      <c r="Z197" cm="1">
        <f t="array" ref="Z197">MMULT($G197:$Y197,'Nelson Factor_2019'!$B$1:$B$19)/$G197</f>
        <v>12.078569230769231</v>
      </c>
      <c r="AA197" cm="1">
        <f t="array" ref="AA197">MMULT($G197:$R197,'Nelson Factor_2019'!$B$1:$B$12)/$G197</f>
        <v>11.29</v>
      </c>
    </row>
    <row r="198" spans="1:27" x14ac:dyDescent="0.25">
      <c r="A198">
        <v>2006</v>
      </c>
      <c r="B198">
        <v>3</v>
      </c>
      <c r="C198">
        <v>0</v>
      </c>
      <c r="D198" t="s">
        <v>126</v>
      </c>
      <c r="E198" t="s">
        <v>128</v>
      </c>
      <c r="F198" t="s">
        <v>129</v>
      </c>
      <c r="G198">
        <v>23000</v>
      </c>
      <c r="H198">
        <v>10200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12000</v>
      </c>
      <c r="O198">
        <v>0</v>
      </c>
      <c r="P198">
        <v>0</v>
      </c>
      <c r="Q198">
        <v>0</v>
      </c>
      <c r="R198">
        <v>0</v>
      </c>
      <c r="S198">
        <v>11300</v>
      </c>
      <c r="T198">
        <v>0</v>
      </c>
      <c r="U198">
        <v>7.7</v>
      </c>
      <c r="V198">
        <v>0</v>
      </c>
      <c r="W198">
        <v>0</v>
      </c>
      <c r="X198">
        <v>0</v>
      </c>
      <c r="Y198">
        <v>9600</v>
      </c>
      <c r="Z198" cm="1">
        <f t="array" ref="Z198">MMULT($G198:$Y198,'Nelson Factor_2019'!$B$1:$B$19)/$G198</f>
        <v>32.985552173913042</v>
      </c>
      <c r="AA198" cm="1">
        <f t="array" ref="AA198">MMULT($G198:$R198,'Nelson Factor_2019'!$B$1:$B$12)/$G198</f>
        <v>2.8808695652173912</v>
      </c>
    </row>
    <row r="199" spans="1:27" x14ac:dyDescent="0.25">
      <c r="A199">
        <v>2006</v>
      </c>
      <c r="B199">
        <v>4</v>
      </c>
      <c r="C199">
        <v>1</v>
      </c>
      <c r="D199" t="s">
        <v>130</v>
      </c>
      <c r="E199" t="s">
        <v>131</v>
      </c>
      <c r="F199" t="s">
        <v>132</v>
      </c>
      <c r="G199">
        <v>57500</v>
      </c>
      <c r="H199">
        <v>28500</v>
      </c>
      <c r="I199">
        <v>0</v>
      </c>
      <c r="J199">
        <v>0</v>
      </c>
      <c r="K199">
        <v>14000</v>
      </c>
      <c r="L199">
        <v>12500</v>
      </c>
      <c r="M199">
        <v>0</v>
      </c>
      <c r="N199">
        <v>47600</v>
      </c>
      <c r="O199">
        <v>4300</v>
      </c>
      <c r="P199">
        <v>0</v>
      </c>
      <c r="Q199">
        <v>0</v>
      </c>
      <c r="R199">
        <v>2500</v>
      </c>
      <c r="S199">
        <v>0</v>
      </c>
      <c r="T199">
        <v>0</v>
      </c>
      <c r="U199">
        <v>21</v>
      </c>
      <c r="V199">
        <v>21</v>
      </c>
      <c r="W199">
        <v>0</v>
      </c>
      <c r="X199">
        <v>90</v>
      </c>
      <c r="Y199">
        <v>19000</v>
      </c>
      <c r="Z199" cm="1">
        <f t="array" ref="Z199">MMULT($G199:$Y199,'Nelson Factor_2019'!$B$1:$B$19)/$G199</f>
        <v>8.0120347826086959</v>
      </c>
      <c r="AA199" cm="1">
        <f t="array" ref="AA199">MMULT($G199:$R199,'Nelson Factor_2019'!$B$1:$B$12)/$G199</f>
        <v>7.14</v>
      </c>
    </row>
    <row r="200" spans="1:27" x14ac:dyDescent="0.25">
      <c r="A200">
        <v>2006</v>
      </c>
      <c r="B200">
        <v>4</v>
      </c>
      <c r="C200">
        <v>4</v>
      </c>
      <c r="D200" t="s">
        <v>130</v>
      </c>
      <c r="E200" t="s">
        <v>51</v>
      </c>
      <c r="F200" t="s">
        <v>133</v>
      </c>
      <c r="G200">
        <v>58000</v>
      </c>
      <c r="H200">
        <v>32700</v>
      </c>
      <c r="I200">
        <v>18000</v>
      </c>
      <c r="J200">
        <v>0</v>
      </c>
      <c r="K200">
        <v>18500</v>
      </c>
      <c r="L200">
        <v>12200</v>
      </c>
      <c r="M200">
        <v>0</v>
      </c>
      <c r="N200">
        <v>58700</v>
      </c>
      <c r="O200">
        <v>6500</v>
      </c>
      <c r="P200">
        <v>0</v>
      </c>
      <c r="Q200">
        <v>0</v>
      </c>
      <c r="R200">
        <v>3550</v>
      </c>
      <c r="S200">
        <v>0</v>
      </c>
      <c r="T200">
        <v>0</v>
      </c>
      <c r="U200">
        <v>17.5</v>
      </c>
      <c r="V200">
        <v>36.200000000000003</v>
      </c>
      <c r="W200">
        <v>850</v>
      </c>
      <c r="X200">
        <v>220</v>
      </c>
      <c r="Y200">
        <v>0</v>
      </c>
      <c r="Z200" cm="1">
        <f t="array" ref="Z200">MMULT($G200:$Y200,'Nelson Factor_2019'!$B$1:$B$19)/$G200</f>
        <v>11.771787931034481</v>
      </c>
      <c r="AA200" cm="1">
        <f t="array" ref="AA200">MMULT($G200:$R200,'Nelson Factor_2019'!$B$1:$B$12)/$G200</f>
        <v>10.860517241379311</v>
      </c>
    </row>
    <row r="201" spans="1:27" x14ac:dyDescent="0.25">
      <c r="A201">
        <v>2006</v>
      </c>
      <c r="B201">
        <v>4</v>
      </c>
      <c r="C201">
        <v>6</v>
      </c>
      <c r="D201" t="s">
        <v>130</v>
      </c>
      <c r="E201" t="s">
        <v>54</v>
      </c>
      <c r="F201" t="s">
        <v>133</v>
      </c>
      <c r="G201">
        <v>60000</v>
      </c>
      <c r="H201">
        <v>27500</v>
      </c>
      <c r="I201">
        <v>9500</v>
      </c>
      <c r="J201">
        <v>0</v>
      </c>
      <c r="K201">
        <v>22500</v>
      </c>
      <c r="L201">
        <v>12000</v>
      </c>
      <c r="M201">
        <v>5500</v>
      </c>
      <c r="N201">
        <v>65000</v>
      </c>
      <c r="O201">
        <v>4500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22</v>
      </c>
      <c r="V201">
        <v>4.5</v>
      </c>
      <c r="W201">
        <v>440</v>
      </c>
      <c r="X201">
        <v>13000</v>
      </c>
      <c r="Y201">
        <v>0</v>
      </c>
      <c r="Z201" cm="1">
        <f t="array" ref="Z201">MMULT($G201:$Y201,'Nelson Factor_2019'!$B$1:$B$19)/$G201</f>
        <v>62.225441666666669</v>
      </c>
      <c r="AA201" cm="1">
        <f t="array" ref="AA201">MMULT($G201:$R201,'Nelson Factor_2019'!$B$1:$B$12)/$G201</f>
        <v>10.225</v>
      </c>
    </row>
    <row r="202" spans="1:27" x14ac:dyDescent="0.25">
      <c r="A202">
        <v>2006</v>
      </c>
      <c r="B202">
        <v>4</v>
      </c>
      <c r="C202">
        <v>1</v>
      </c>
      <c r="D202" t="s">
        <v>130</v>
      </c>
      <c r="E202" t="s">
        <v>134</v>
      </c>
      <c r="F202" t="s">
        <v>135</v>
      </c>
      <c r="G202">
        <v>8200</v>
      </c>
      <c r="H202">
        <v>5000</v>
      </c>
      <c r="I202">
        <v>0</v>
      </c>
      <c r="J202">
        <v>0</v>
      </c>
      <c r="K202">
        <v>2500</v>
      </c>
      <c r="L202">
        <v>900</v>
      </c>
      <c r="M202">
        <v>0</v>
      </c>
      <c r="N202">
        <v>7100</v>
      </c>
      <c r="O202">
        <v>1000</v>
      </c>
      <c r="P202">
        <v>400</v>
      </c>
      <c r="Q202">
        <v>0</v>
      </c>
      <c r="R202">
        <v>600</v>
      </c>
      <c r="S202">
        <v>0</v>
      </c>
      <c r="T202">
        <v>0</v>
      </c>
      <c r="U202">
        <v>2.1</v>
      </c>
      <c r="V202">
        <v>0</v>
      </c>
      <c r="W202">
        <v>0</v>
      </c>
      <c r="X202">
        <v>0</v>
      </c>
      <c r="Y202">
        <v>3000</v>
      </c>
      <c r="Z202" cm="1">
        <f t="array" ref="Z202">MMULT($G202:$Y202,'Nelson Factor_2019'!$B$1:$B$19)/$G202</f>
        <v>8.8112317073170736</v>
      </c>
      <c r="AA202" cm="1">
        <f t="array" ref="AA202">MMULT($G202:$R202,'Nelson Factor_2019'!$B$1:$B$12)/$G202</f>
        <v>8.2621951219512191</v>
      </c>
    </row>
    <row r="203" spans="1:27" x14ac:dyDescent="0.25">
      <c r="A203">
        <v>2006</v>
      </c>
      <c r="B203">
        <v>1</v>
      </c>
      <c r="C203">
        <v>1</v>
      </c>
      <c r="D203" t="s">
        <v>136</v>
      </c>
      <c r="E203" t="s">
        <v>51</v>
      </c>
      <c r="F203" t="s">
        <v>137</v>
      </c>
      <c r="G203">
        <v>238000</v>
      </c>
      <c r="H203">
        <v>71300</v>
      </c>
      <c r="I203">
        <v>0</v>
      </c>
      <c r="J203">
        <v>0</v>
      </c>
      <c r="K203">
        <v>130500</v>
      </c>
      <c r="L203">
        <v>28800</v>
      </c>
      <c r="M203">
        <v>0</v>
      </c>
      <c r="N203">
        <v>197100</v>
      </c>
      <c r="O203">
        <v>15800</v>
      </c>
      <c r="P203">
        <v>0</v>
      </c>
      <c r="Q203">
        <v>0</v>
      </c>
      <c r="R203">
        <v>24500</v>
      </c>
      <c r="S203">
        <v>0</v>
      </c>
      <c r="T203">
        <v>0</v>
      </c>
      <c r="U203">
        <v>0</v>
      </c>
      <c r="V203">
        <v>56.45</v>
      </c>
      <c r="W203">
        <v>0</v>
      </c>
      <c r="X203">
        <v>340</v>
      </c>
      <c r="Y203">
        <v>0</v>
      </c>
      <c r="Z203" cm="1">
        <f t="array" ref="Z203">MMULT($G203:$Y203,'Nelson Factor_2019'!$B$1:$B$19)/$G203</f>
        <v>8.6705733193277315</v>
      </c>
      <c r="AA203" cm="1">
        <f t="array" ref="AA203">MMULT($G203:$R203,'Nelson Factor_2019'!$B$1:$B$12)/$G203</f>
        <v>8.3274789915966387</v>
      </c>
    </row>
    <row r="204" spans="1:27" x14ac:dyDescent="0.25">
      <c r="A204">
        <v>2006</v>
      </c>
      <c r="B204">
        <v>1</v>
      </c>
      <c r="C204">
        <v>1</v>
      </c>
      <c r="D204" t="s">
        <v>136</v>
      </c>
      <c r="E204" t="s">
        <v>138</v>
      </c>
      <c r="F204" t="s">
        <v>139</v>
      </c>
      <c r="G204">
        <v>150000</v>
      </c>
      <c r="H204">
        <v>47500</v>
      </c>
      <c r="I204">
        <v>0</v>
      </c>
      <c r="J204">
        <v>0</v>
      </c>
      <c r="K204">
        <v>55000</v>
      </c>
      <c r="L204">
        <v>28000</v>
      </c>
      <c r="M204">
        <v>0</v>
      </c>
      <c r="N204">
        <v>29000</v>
      </c>
      <c r="O204">
        <v>4000</v>
      </c>
      <c r="P204">
        <v>3300</v>
      </c>
      <c r="Q204">
        <v>17000</v>
      </c>
      <c r="R204">
        <v>10000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20</v>
      </c>
      <c r="Y204">
        <v>0</v>
      </c>
      <c r="Z204" cm="1">
        <f t="array" ref="Z204">MMULT($G204:$Y204,'Nelson Factor_2019'!$B$1:$B$19)/$G204</f>
        <v>8.0136666666666674</v>
      </c>
      <c r="AA204" cm="1">
        <f t="array" ref="AA204">MMULT($G204:$R204,'Nelson Factor_2019'!$B$1:$B$12)/$G204</f>
        <v>7.9816666666666665</v>
      </c>
    </row>
    <row r="205" spans="1:27" x14ac:dyDescent="0.25">
      <c r="A205">
        <v>2006</v>
      </c>
      <c r="B205">
        <v>1</v>
      </c>
      <c r="C205">
        <v>4</v>
      </c>
      <c r="D205" t="s">
        <v>136</v>
      </c>
      <c r="E205" t="s">
        <v>66</v>
      </c>
      <c r="F205" t="s">
        <v>140</v>
      </c>
      <c r="G205">
        <v>166000</v>
      </c>
      <c r="H205">
        <v>90000</v>
      </c>
      <c r="I205">
        <v>27000</v>
      </c>
      <c r="J205">
        <v>0</v>
      </c>
      <c r="K205">
        <v>55000</v>
      </c>
      <c r="L205">
        <v>30000</v>
      </c>
      <c r="M205">
        <v>0</v>
      </c>
      <c r="N205">
        <v>142250</v>
      </c>
      <c r="O205">
        <v>11200</v>
      </c>
      <c r="P205">
        <v>0</v>
      </c>
      <c r="Q205">
        <v>0</v>
      </c>
      <c r="R205">
        <v>0</v>
      </c>
      <c r="S205">
        <v>11500</v>
      </c>
      <c r="T205">
        <v>0</v>
      </c>
      <c r="U205">
        <v>13.5</v>
      </c>
      <c r="V205">
        <v>9</v>
      </c>
      <c r="W205">
        <v>1470</v>
      </c>
      <c r="X205">
        <v>230</v>
      </c>
      <c r="Y205">
        <v>16000</v>
      </c>
      <c r="Z205" cm="1">
        <f t="array" ref="Z205">MMULT($G205:$Y205,'Nelson Factor_2019'!$B$1:$B$19)/$G205</f>
        <v>13.267153614457831</v>
      </c>
      <c r="AA205" cm="1">
        <f t="array" ref="AA205">MMULT($G205:$R205,'Nelson Factor_2019'!$B$1:$B$12)/$G205</f>
        <v>8.6332831325301207</v>
      </c>
    </row>
    <row r="206" spans="1:27" x14ac:dyDescent="0.25">
      <c r="A206">
        <v>2006</v>
      </c>
      <c r="B206">
        <v>3</v>
      </c>
      <c r="C206">
        <v>1</v>
      </c>
      <c r="D206" t="s">
        <v>141</v>
      </c>
      <c r="E206" t="s">
        <v>142</v>
      </c>
      <c r="F206" t="s">
        <v>143</v>
      </c>
      <c r="G206">
        <v>18600</v>
      </c>
      <c r="H206">
        <v>0</v>
      </c>
      <c r="I206">
        <v>0</v>
      </c>
      <c r="J206">
        <v>0</v>
      </c>
      <c r="K206">
        <v>6000</v>
      </c>
      <c r="L206">
        <v>4800</v>
      </c>
      <c r="M206">
        <v>0</v>
      </c>
      <c r="N206">
        <v>7800</v>
      </c>
      <c r="O206">
        <v>0</v>
      </c>
      <c r="P206">
        <v>2000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1</v>
      </c>
      <c r="Y206">
        <v>0</v>
      </c>
      <c r="Z206" cm="1">
        <f t="array" ref="Z206">MMULT($G206:$Y206,'Nelson Factor_2019'!$B$1:$B$19)/$G206</f>
        <v>6.3623655913978494</v>
      </c>
      <c r="AA206" cm="1">
        <f t="array" ref="AA206">MMULT($G206:$R206,'Nelson Factor_2019'!$B$1:$B$12)/$G206</f>
        <v>6.349462365591398</v>
      </c>
    </row>
    <row r="207" spans="1:27" x14ac:dyDescent="0.25">
      <c r="A207">
        <v>2006</v>
      </c>
      <c r="B207">
        <v>3</v>
      </c>
      <c r="C207">
        <v>1</v>
      </c>
      <c r="D207" t="s">
        <v>141</v>
      </c>
      <c r="E207" t="s">
        <v>142</v>
      </c>
      <c r="F207" t="s">
        <v>144</v>
      </c>
      <c r="G207">
        <v>26000</v>
      </c>
      <c r="H207">
        <v>0</v>
      </c>
      <c r="I207">
        <v>0</v>
      </c>
      <c r="J207">
        <v>0</v>
      </c>
      <c r="K207">
        <v>8500</v>
      </c>
      <c r="L207">
        <v>7300</v>
      </c>
      <c r="M207">
        <v>0</v>
      </c>
      <c r="N207">
        <v>11500</v>
      </c>
      <c r="O207">
        <v>1800</v>
      </c>
      <c r="P207">
        <v>0</v>
      </c>
      <c r="Q207">
        <v>0</v>
      </c>
      <c r="R207">
        <v>4000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2</v>
      </c>
      <c r="Y207">
        <v>0</v>
      </c>
      <c r="Z207" cm="1">
        <f t="array" ref="Z207">MMULT($G207:$Y207,'Nelson Factor_2019'!$B$1:$B$19)/$G207</f>
        <v>6.6434615384615388</v>
      </c>
      <c r="AA207" cm="1">
        <f t="array" ref="AA207">MMULT($G207:$R207,'Nelson Factor_2019'!$B$1:$B$12)/$G207</f>
        <v>6.625</v>
      </c>
    </row>
    <row r="208" spans="1:27" x14ac:dyDescent="0.25">
      <c r="A208">
        <v>2006</v>
      </c>
      <c r="B208">
        <v>3</v>
      </c>
      <c r="C208">
        <v>1</v>
      </c>
      <c r="D208" t="s">
        <v>141</v>
      </c>
      <c r="E208" t="s">
        <v>145</v>
      </c>
      <c r="F208" t="s">
        <v>146</v>
      </c>
      <c r="G208">
        <v>60000</v>
      </c>
      <c r="H208">
        <v>20000</v>
      </c>
      <c r="I208">
        <v>0</v>
      </c>
      <c r="J208">
        <v>0</v>
      </c>
      <c r="K208">
        <v>18500</v>
      </c>
      <c r="L208">
        <v>12500</v>
      </c>
      <c r="M208">
        <v>0</v>
      </c>
      <c r="N208">
        <v>50500</v>
      </c>
      <c r="O208">
        <v>7800</v>
      </c>
      <c r="P208">
        <v>0</v>
      </c>
      <c r="Q208">
        <v>0</v>
      </c>
      <c r="R208">
        <v>10000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30</v>
      </c>
      <c r="Y208">
        <v>3500</v>
      </c>
      <c r="Z208" cm="1">
        <f t="array" ref="Z208">MMULT($G208:$Y208,'Nelson Factor_2019'!$B$1:$B$19)/$G208</f>
        <v>8.4366666666666674</v>
      </c>
      <c r="AA208" cm="1">
        <f t="array" ref="AA208">MMULT($G208:$R208,'Nelson Factor_2019'!$B$1:$B$12)/$G208</f>
        <v>8.2291666666666661</v>
      </c>
    </row>
    <row r="209" spans="1:27" x14ac:dyDescent="0.25">
      <c r="A209">
        <v>2006</v>
      </c>
      <c r="B209">
        <v>2</v>
      </c>
      <c r="C209">
        <v>1</v>
      </c>
      <c r="D209" t="s">
        <v>147</v>
      </c>
      <c r="E209" t="s">
        <v>148</v>
      </c>
      <c r="F209" t="s">
        <v>149</v>
      </c>
      <c r="G209">
        <v>58000</v>
      </c>
      <c r="H209">
        <v>0</v>
      </c>
      <c r="I209">
        <v>0</v>
      </c>
      <c r="J209">
        <v>0</v>
      </c>
      <c r="K209">
        <v>25700</v>
      </c>
      <c r="L209">
        <v>11500</v>
      </c>
      <c r="M209">
        <v>0</v>
      </c>
      <c r="N209">
        <v>23600</v>
      </c>
      <c r="O209">
        <v>4200</v>
      </c>
      <c r="P209">
        <v>1100</v>
      </c>
      <c r="Q209">
        <v>0</v>
      </c>
      <c r="R209">
        <v>4800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15</v>
      </c>
      <c r="Y209">
        <v>0</v>
      </c>
      <c r="Z209" cm="1">
        <f t="array" ref="Z209">MMULT($G209:$Y209,'Nelson Factor_2019'!$B$1:$B$19)/$G209</f>
        <v>6.8913793103448278</v>
      </c>
      <c r="AA209" cm="1">
        <f t="array" ref="AA209">MMULT($G209:$R209,'Nelson Factor_2019'!$B$1:$B$12)/$G209</f>
        <v>6.8293103448275865</v>
      </c>
    </row>
    <row r="210" spans="1:27" x14ac:dyDescent="0.25">
      <c r="A210">
        <v>2006</v>
      </c>
      <c r="B210">
        <v>2</v>
      </c>
      <c r="C210">
        <v>6</v>
      </c>
      <c r="D210" t="s">
        <v>150</v>
      </c>
      <c r="E210" t="s">
        <v>32</v>
      </c>
      <c r="F210" t="s">
        <v>151</v>
      </c>
      <c r="G210">
        <v>147250</v>
      </c>
      <c r="H210">
        <v>65550</v>
      </c>
      <c r="I210">
        <v>31500</v>
      </c>
      <c r="J210">
        <v>0</v>
      </c>
      <c r="K210">
        <v>54000</v>
      </c>
      <c r="L210">
        <v>38700</v>
      </c>
      <c r="M210">
        <v>27000</v>
      </c>
      <c r="N210">
        <v>123500</v>
      </c>
      <c r="O210">
        <v>10800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33</v>
      </c>
      <c r="V210">
        <v>32</v>
      </c>
      <c r="W210">
        <v>1736</v>
      </c>
      <c r="X210">
        <v>314</v>
      </c>
      <c r="Y210">
        <v>8600</v>
      </c>
      <c r="Z210" cm="1">
        <f t="array" ref="Z210">MMULT($G210:$Y210,'Nelson Factor_2019'!$B$1:$B$19)/$G210</f>
        <v>11.594499151103566</v>
      </c>
      <c r="AA210" cm="1">
        <f t="array" ref="AA210">MMULT($G210:$R210,'Nelson Factor_2019'!$B$1:$B$12)/$G210</f>
        <v>10.994668930390493</v>
      </c>
    </row>
    <row r="211" spans="1:27" x14ac:dyDescent="0.25">
      <c r="A211">
        <v>2006</v>
      </c>
      <c r="B211">
        <v>2</v>
      </c>
      <c r="C211">
        <v>1</v>
      </c>
      <c r="D211" t="s">
        <v>150</v>
      </c>
      <c r="E211" t="s">
        <v>83</v>
      </c>
      <c r="F211" t="s">
        <v>152</v>
      </c>
      <c r="G211">
        <v>73000</v>
      </c>
      <c r="H211">
        <v>28500</v>
      </c>
      <c r="I211">
        <v>0</v>
      </c>
      <c r="J211">
        <v>0</v>
      </c>
      <c r="K211">
        <v>23800</v>
      </c>
      <c r="L211">
        <v>17100</v>
      </c>
      <c r="M211">
        <v>0</v>
      </c>
      <c r="N211">
        <v>58000</v>
      </c>
      <c r="O211">
        <v>6700</v>
      </c>
      <c r="P211">
        <v>800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108</v>
      </c>
      <c r="Y211">
        <v>11400</v>
      </c>
      <c r="Z211" cm="1">
        <f t="array" ref="Z211">MMULT($G211:$Y211,'Nelson Factor_2019'!$B$1:$B$19)/$G211</f>
        <v>8.237945205479452</v>
      </c>
      <c r="AA211" cm="1">
        <f t="array" ref="AA211">MMULT($G211:$R211,'Nelson Factor_2019'!$B$1:$B$12)/$G211</f>
        <v>7.6486301369863012</v>
      </c>
    </row>
    <row r="212" spans="1:27" x14ac:dyDescent="0.25">
      <c r="A212">
        <v>2006</v>
      </c>
      <c r="B212">
        <v>2</v>
      </c>
      <c r="C212">
        <v>3</v>
      </c>
      <c r="D212" t="s">
        <v>150</v>
      </c>
      <c r="E212" t="s">
        <v>138</v>
      </c>
      <c r="F212" t="s">
        <v>151</v>
      </c>
      <c r="G212">
        <v>140000</v>
      </c>
      <c r="H212">
        <v>30000</v>
      </c>
      <c r="I212">
        <v>0</v>
      </c>
      <c r="J212">
        <v>0</v>
      </c>
      <c r="K212">
        <v>60000</v>
      </c>
      <c r="L212">
        <v>45600</v>
      </c>
      <c r="M212">
        <v>28200</v>
      </c>
      <c r="N212">
        <v>48000</v>
      </c>
      <c r="O212">
        <v>9000</v>
      </c>
      <c r="P212">
        <v>0</v>
      </c>
      <c r="Q212">
        <v>9000</v>
      </c>
      <c r="R212">
        <v>0</v>
      </c>
      <c r="S212">
        <v>0</v>
      </c>
      <c r="T212">
        <v>0</v>
      </c>
      <c r="U212">
        <v>52</v>
      </c>
      <c r="V212">
        <v>0</v>
      </c>
      <c r="W212">
        <v>0</v>
      </c>
      <c r="X212">
        <v>0</v>
      </c>
      <c r="Y212">
        <v>0</v>
      </c>
      <c r="Z212" cm="1">
        <f t="array" ref="Z212">MMULT($G212:$Y212,'Nelson Factor_2019'!$B$1:$B$19)/$G212</f>
        <v>9.8760857142857148</v>
      </c>
      <c r="AA212" cm="1">
        <f t="array" ref="AA212">MMULT($G212:$R212,'Nelson Factor_2019'!$B$1:$B$12)/$G212</f>
        <v>9.8757142857142863</v>
      </c>
    </row>
    <row r="213" spans="1:27" x14ac:dyDescent="0.25">
      <c r="A213">
        <v>2006</v>
      </c>
      <c r="B213">
        <v>2</v>
      </c>
      <c r="C213">
        <v>6</v>
      </c>
      <c r="D213" t="s">
        <v>150</v>
      </c>
      <c r="E213" t="s">
        <v>153</v>
      </c>
      <c r="F213" t="s">
        <v>154</v>
      </c>
      <c r="G213">
        <v>161500</v>
      </c>
      <c r="H213">
        <v>49400</v>
      </c>
      <c r="I213">
        <v>20700</v>
      </c>
      <c r="J213">
        <v>0</v>
      </c>
      <c r="K213">
        <v>36000</v>
      </c>
      <c r="L213">
        <v>49500</v>
      </c>
      <c r="M213">
        <v>23400</v>
      </c>
      <c r="N213">
        <v>88200</v>
      </c>
      <c r="O213">
        <v>0</v>
      </c>
      <c r="P213">
        <v>0</v>
      </c>
      <c r="Q213">
        <v>6300</v>
      </c>
      <c r="R213">
        <v>16200</v>
      </c>
      <c r="S213">
        <v>0</v>
      </c>
      <c r="T213">
        <v>0</v>
      </c>
      <c r="U213">
        <v>0</v>
      </c>
      <c r="V213">
        <v>10.4</v>
      </c>
      <c r="W213">
        <v>800</v>
      </c>
      <c r="X213">
        <v>100</v>
      </c>
      <c r="Y213">
        <v>0</v>
      </c>
      <c r="Z213" cm="1">
        <f t="array" ref="Z213">MMULT($G213:$Y213,'Nelson Factor_2019'!$B$1:$B$19)/$G213</f>
        <v>8.9831603715170267</v>
      </c>
      <c r="AA213" cm="1">
        <f t="array" ref="AA213">MMULT($G213:$R213,'Nelson Factor_2019'!$B$1:$B$12)/$G213</f>
        <v>8.8344891640866869</v>
      </c>
    </row>
    <row r="214" spans="1:27" x14ac:dyDescent="0.25">
      <c r="A214">
        <v>2006</v>
      </c>
      <c r="B214">
        <v>2</v>
      </c>
      <c r="C214">
        <v>4</v>
      </c>
      <c r="D214" t="s">
        <v>155</v>
      </c>
      <c r="E214" t="s">
        <v>51</v>
      </c>
      <c r="F214" t="s">
        <v>156</v>
      </c>
      <c r="G214">
        <v>187000</v>
      </c>
      <c r="H214">
        <v>75000</v>
      </c>
      <c r="I214">
        <v>24000</v>
      </c>
      <c r="J214">
        <v>0</v>
      </c>
      <c r="K214">
        <v>61000</v>
      </c>
      <c r="L214">
        <v>48000</v>
      </c>
      <c r="M214">
        <v>0</v>
      </c>
      <c r="N214">
        <v>169000</v>
      </c>
      <c r="O214">
        <v>14000</v>
      </c>
      <c r="P214">
        <v>2000</v>
      </c>
      <c r="Q214">
        <v>0</v>
      </c>
      <c r="R214">
        <v>19000</v>
      </c>
      <c r="S214">
        <v>0</v>
      </c>
      <c r="T214">
        <v>0</v>
      </c>
      <c r="U214">
        <v>10</v>
      </c>
      <c r="V214">
        <v>15</v>
      </c>
      <c r="W214">
        <v>1100</v>
      </c>
      <c r="X214">
        <v>150</v>
      </c>
      <c r="Y214">
        <v>0</v>
      </c>
      <c r="Z214" cm="1">
        <f t="array" ref="Z214">MMULT($G214:$Y214,'Nelson Factor_2019'!$B$1:$B$19)/$G214</f>
        <v>9.3370320855614981</v>
      </c>
      <c r="AA214" cm="1">
        <f t="array" ref="AA214">MMULT($G214:$R214,'Nelson Factor_2019'!$B$1:$B$12)/$G214</f>
        <v>9.144385026737968</v>
      </c>
    </row>
    <row r="215" spans="1:27" x14ac:dyDescent="0.25">
      <c r="A215">
        <v>2006</v>
      </c>
      <c r="B215">
        <v>2</v>
      </c>
      <c r="C215">
        <v>1</v>
      </c>
      <c r="D215" t="s">
        <v>155</v>
      </c>
      <c r="E215" t="s">
        <v>159</v>
      </c>
      <c r="F215" t="s">
        <v>160</v>
      </c>
      <c r="G215">
        <v>50000</v>
      </c>
      <c r="H215">
        <v>25175</v>
      </c>
      <c r="I215">
        <v>0</v>
      </c>
      <c r="J215">
        <v>0</v>
      </c>
      <c r="K215">
        <v>16200</v>
      </c>
      <c r="L215">
        <v>10800</v>
      </c>
      <c r="M215">
        <v>0</v>
      </c>
      <c r="N215">
        <v>26300</v>
      </c>
      <c r="O215">
        <v>2700</v>
      </c>
      <c r="P215">
        <v>0</v>
      </c>
      <c r="Q215">
        <v>0</v>
      </c>
      <c r="R215">
        <v>5400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19</v>
      </c>
      <c r="Y215">
        <v>2250</v>
      </c>
      <c r="Z215" cm="1">
        <f t="array" ref="Z215">MMULT($G215:$Y215,'Nelson Factor_2019'!$B$1:$B$19)/$G215</f>
        <v>7.0162500000000003</v>
      </c>
      <c r="AA215" cm="1">
        <f t="array" ref="AA215">MMULT($G215:$R215,'Nelson Factor_2019'!$B$1:$B$12)/$G215</f>
        <v>6.8575499999999998</v>
      </c>
    </row>
    <row r="216" spans="1:27" x14ac:dyDescent="0.25">
      <c r="A216">
        <v>2006</v>
      </c>
      <c r="B216">
        <v>2</v>
      </c>
      <c r="C216">
        <v>4</v>
      </c>
      <c r="D216" t="s">
        <v>155</v>
      </c>
      <c r="E216" t="s">
        <v>138</v>
      </c>
      <c r="F216" t="s">
        <v>160</v>
      </c>
      <c r="G216">
        <v>85000</v>
      </c>
      <c r="H216">
        <v>30000</v>
      </c>
      <c r="I216">
        <v>8500</v>
      </c>
      <c r="J216">
        <v>0</v>
      </c>
      <c r="K216">
        <v>0</v>
      </c>
      <c r="L216">
        <v>17500</v>
      </c>
      <c r="M216">
        <v>0</v>
      </c>
      <c r="N216">
        <v>34500</v>
      </c>
      <c r="O216">
        <v>0</v>
      </c>
      <c r="P216">
        <v>0</v>
      </c>
      <c r="Q216">
        <v>0</v>
      </c>
      <c r="R216">
        <v>0</v>
      </c>
      <c r="S216">
        <v>8500</v>
      </c>
      <c r="T216">
        <v>0</v>
      </c>
      <c r="U216">
        <v>0</v>
      </c>
      <c r="V216">
        <v>0</v>
      </c>
      <c r="W216">
        <v>350</v>
      </c>
      <c r="X216">
        <v>0</v>
      </c>
      <c r="Y216">
        <v>0</v>
      </c>
      <c r="Z216" cm="1">
        <f t="array" ref="Z216">MMULT($G216:$Y216,'Nelson Factor_2019'!$B$1:$B$19)/$G216</f>
        <v>10.252941176470589</v>
      </c>
      <c r="AA216" cm="1">
        <f t="array" ref="AA216">MMULT($G216:$R216,'Nelson Factor_2019'!$B$1:$B$12)/$G216</f>
        <v>4.2529411764705882</v>
      </c>
    </row>
    <row r="217" spans="1:27" x14ac:dyDescent="0.25">
      <c r="A217">
        <v>2006</v>
      </c>
      <c r="B217">
        <v>2</v>
      </c>
      <c r="C217">
        <v>1</v>
      </c>
      <c r="D217" t="s">
        <v>155</v>
      </c>
      <c r="E217" t="s">
        <v>66</v>
      </c>
      <c r="F217" t="s">
        <v>161</v>
      </c>
      <c r="G217">
        <v>87877</v>
      </c>
      <c r="H217">
        <v>32000</v>
      </c>
      <c r="I217">
        <v>0</v>
      </c>
      <c r="J217">
        <v>0</v>
      </c>
      <c r="K217">
        <v>27648</v>
      </c>
      <c r="L217">
        <v>21350</v>
      </c>
      <c r="M217">
        <v>0</v>
      </c>
      <c r="N217">
        <v>90136</v>
      </c>
      <c r="O217">
        <v>7012</v>
      </c>
      <c r="P217">
        <v>0</v>
      </c>
      <c r="Q217">
        <v>0</v>
      </c>
      <c r="R217">
        <v>7000</v>
      </c>
      <c r="S217">
        <v>0</v>
      </c>
      <c r="T217">
        <v>0</v>
      </c>
      <c r="U217">
        <v>26</v>
      </c>
      <c r="V217">
        <v>26</v>
      </c>
      <c r="W217">
        <v>0</v>
      </c>
      <c r="X217">
        <v>243</v>
      </c>
      <c r="Y217">
        <v>11000</v>
      </c>
      <c r="Z217" cm="1">
        <f t="array" ref="Z217">MMULT($G217:$Y217,'Nelson Factor_2019'!$B$1:$B$19)/$G217</f>
        <v>9.0290633499095332</v>
      </c>
      <c r="AA217" cm="1">
        <f t="array" ref="AA217">MMULT($G217:$R217,'Nelson Factor_2019'!$B$1:$B$12)/$G217</f>
        <v>8.1770542917942119</v>
      </c>
    </row>
    <row r="218" spans="1:27" x14ac:dyDescent="0.25">
      <c r="A218">
        <v>2006</v>
      </c>
      <c r="B218">
        <v>2</v>
      </c>
      <c r="C218">
        <v>3</v>
      </c>
      <c r="D218" t="s">
        <v>155</v>
      </c>
      <c r="E218" t="s">
        <v>228</v>
      </c>
      <c r="F218" t="s">
        <v>158</v>
      </c>
      <c r="G218">
        <v>52500</v>
      </c>
      <c r="H218">
        <v>15500</v>
      </c>
      <c r="I218">
        <v>0</v>
      </c>
      <c r="J218">
        <v>0</v>
      </c>
      <c r="K218">
        <v>18500</v>
      </c>
      <c r="L218">
        <v>13000</v>
      </c>
      <c r="M218">
        <v>5500</v>
      </c>
      <c r="N218">
        <v>12000</v>
      </c>
      <c r="O218">
        <v>4000</v>
      </c>
      <c r="P218">
        <v>0</v>
      </c>
      <c r="Q218">
        <v>0</v>
      </c>
      <c r="R218">
        <v>3500</v>
      </c>
      <c r="S218">
        <v>0</v>
      </c>
      <c r="T218">
        <v>0</v>
      </c>
      <c r="U218">
        <v>9</v>
      </c>
      <c r="V218">
        <v>0</v>
      </c>
      <c r="W218">
        <v>0</v>
      </c>
      <c r="X218">
        <v>0</v>
      </c>
      <c r="Y218">
        <v>5000</v>
      </c>
      <c r="Z218" cm="1">
        <f t="array" ref="Z218">MMULT($G218:$Y218,'Nelson Factor_2019'!$B$1:$B$19)/$G218</f>
        <v>7.2506476190476192</v>
      </c>
      <c r="AA218" cm="1">
        <f t="array" ref="AA218">MMULT($G218:$R218,'Nelson Factor_2019'!$B$1:$B$12)/$G218</f>
        <v>7.1076190476190479</v>
      </c>
    </row>
    <row r="219" spans="1:27" x14ac:dyDescent="0.25">
      <c r="A219">
        <v>2006</v>
      </c>
      <c r="B219">
        <v>1</v>
      </c>
      <c r="C219">
        <v>0</v>
      </c>
      <c r="D219" t="s">
        <v>162</v>
      </c>
      <c r="E219" t="s">
        <v>163</v>
      </c>
      <c r="F219" t="s">
        <v>164</v>
      </c>
      <c r="G219">
        <v>10000</v>
      </c>
      <c r="H219">
        <v>0</v>
      </c>
      <c r="I219">
        <v>0</v>
      </c>
      <c r="J219">
        <v>0</v>
      </c>
      <c r="K219">
        <v>0</v>
      </c>
      <c r="L219">
        <v>1800</v>
      </c>
      <c r="M219">
        <v>0</v>
      </c>
      <c r="N219">
        <v>3500</v>
      </c>
      <c r="O219">
        <v>11800</v>
      </c>
      <c r="P219">
        <v>0</v>
      </c>
      <c r="Q219">
        <v>0</v>
      </c>
      <c r="R219">
        <v>600</v>
      </c>
      <c r="S219">
        <v>2600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 cm="1">
        <f t="array" ref="Z219">MMULT($G219:$Y219,'Nelson Factor_2019'!$B$1:$B$19)/$G219</f>
        <v>30.355</v>
      </c>
      <c r="AA219" cm="1">
        <f t="array" ref="AA219">MMULT($G219:$R219,'Nelson Factor_2019'!$B$1:$B$12)/$G219</f>
        <v>14.755000000000001</v>
      </c>
    </row>
    <row r="220" spans="1:27" x14ac:dyDescent="0.25">
      <c r="A220">
        <v>2006</v>
      </c>
      <c r="B220">
        <v>1</v>
      </c>
      <c r="C220">
        <v>3</v>
      </c>
      <c r="D220" t="s">
        <v>162</v>
      </c>
      <c r="E220" t="s">
        <v>51</v>
      </c>
      <c r="F220" t="s">
        <v>165</v>
      </c>
      <c r="G220">
        <v>185000</v>
      </c>
      <c r="H220">
        <v>75400</v>
      </c>
      <c r="I220">
        <v>0</v>
      </c>
      <c r="J220">
        <v>0</v>
      </c>
      <c r="K220">
        <v>48400</v>
      </c>
      <c r="L220">
        <v>48800</v>
      </c>
      <c r="M220">
        <v>19900</v>
      </c>
      <c r="N220">
        <v>131500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160</v>
      </c>
      <c r="Y220">
        <v>0</v>
      </c>
      <c r="Z220" cm="1">
        <f t="array" ref="Z220">MMULT($G220:$Y220,'Nelson Factor_2019'!$B$1:$B$19)/$G220</f>
        <v>7.2636216216216214</v>
      </c>
      <c r="AA220" cm="1">
        <f t="array" ref="AA220">MMULT($G220:$R220,'Nelson Factor_2019'!$B$1:$B$12)/$G220</f>
        <v>7.0560540540540542</v>
      </c>
    </row>
    <row r="221" spans="1:27" x14ac:dyDescent="0.25">
      <c r="A221">
        <v>2006</v>
      </c>
      <c r="B221">
        <v>1</v>
      </c>
      <c r="C221">
        <v>1</v>
      </c>
      <c r="D221" t="s">
        <v>162</v>
      </c>
      <c r="E221" t="s">
        <v>138</v>
      </c>
      <c r="F221" t="s">
        <v>166</v>
      </c>
      <c r="G221">
        <v>175000</v>
      </c>
      <c r="H221">
        <v>26400</v>
      </c>
      <c r="I221">
        <v>0</v>
      </c>
      <c r="J221">
        <v>0</v>
      </c>
      <c r="K221">
        <v>93000</v>
      </c>
      <c r="L221">
        <v>15600</v>
      </c>
      <c r="M221">
        <v>0</v>
      </c>
      <c r="N221">
        <v>48000</v>
      </c>
      <c r="O221">
        <v>10000</v>
      </c>
      <c r="P221">
        <v>0</v>
      </c>
      <c r="Q221">
        <v>21600</v>
      </c>
      <c r="R221">
        <v>0</v>
      </c>
      <c r="S221">
        <v>0</v>
      </c>
      <c r="T221">
        <v>2600</v>
      </c>
      <c r="U221">
        <v>6</v>
      </c>
      <c r="V221">
        <v>0</v>
      </c>
      <c r="W221">
        <v>0</v>
      </c>
      <c r="X221">
        <v>0</v>
      </c>
      <c r="Y221">
        <v>0</v>
      </c>
      <c r="Z221" cm="1">
        <f t="array" ref="Z221">MMULT($G221:$Y221,'Nelson Factor_2019'!$B$1:$B$19)/$G221</f>
        <v>8.70472</v>
      </c>
      <c r="AA221" cm="1">
        <f t="array" ref="AA221">MMULT($G221:$R221,'Nelson Factor_2019'!$B$1:$B$12)/$G221</f>
        <v>8.5561142857142851</v>
      </c>
    </row>
    <row r="222" spans="1:27" x14ac:dyDescent="0.25">
      <c r="A222">
        <v>2006</v>
      </c>
      <c r="B222">
        <v>1</v>
      </c>
      <c r="C222">
        <v>1</v>
      </c>
      <c r="D222" t="s">
        <v>162</v>
      </c>
      <c r="E222" t="s">
        <v>138</v>
      </c>
      <c r="F222" t="s">
        <v>167</v>
      </c>
      <c r="G222">
        <v>330000</v>
      </c>
      <c r="H222">
        <v>157400</v>
      </c>
      <c r="I222">
        <v>0</v>
      </c>
      <c r="J222">
        <v>0</v>
      </c>
      <c r="K222">
        <v>113500</v>
      </c>
      <c r="L222">
        <v>68000</v>
      </c>
      <c r="M222">
        <v>0</v>
      </c>
      <c r="N222">
        <v>163600</v>
      </c>
      <c r="O222">
        <v>16700</v>
      </c>
      <c r="P222">
        <v>0</v>
      </c>
      <c r="Q222">
        <v>13700</v>
      </c>
      <c r="R222">
        <v>7300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 cm="1">
        <f t="array" ref="Z222">MMULT($G222:$Y222,'Nelson Factor_2019'!$B$1:$B$19)/$G222</f>
        <v>7.3561212121212121</v>
      </c>
      <c r="AA222" cm="1">
        <f t="array" ref="AA222">MMULT($G222:$R222,'Nelson Factor_2019'!$B$1:$B$12)/$G222</f>
        <v>7.3561212121212121</v>
      </c>
    </row>
    <row r="223" spans="1:27" x14ac:dyDescent="0.25">
      <c r="A223">
        <v>2006</v>
      </c>
      <c r="B223">
        <v>1</v>
      </c>
      <c r="C223">
        <v>1</v>
      </c>
      <c r="D223" t="s">
        <v>162</v>
      </c>
      <c r="E223" t="s">
        <v>168</v>
      </c>
      <c r="F223" t="s">
        <v>169</v>
      </c>
      <c r="G223">
        <v>66700</v>
      </c>
      <c r="H223">
        <v>27000</v>
      </c>
      <c r="I223">
        <v>0</v>
      </c>
      <c r="J223">
        <v>0</v>
      </c>
      <c r="K223">
        <v>23000</v>
      </c>
      <c r="L223">
        <v>16000</v>
      </c>
      <c r="M223">
        <v>0</v>
      </c>
      <c r="N223">
        <v>40000</v>
      </c>
      <c r="O223">
        <v>3500</v>
      </c>
      <c r="P223">
        <v>1000</v>
      </c>
      <c r="Q223">
        <v>0</v>
      </c>
      <c r="R223">
        <v>6800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12000</v>
      </c>
      <c r="Z223" cm="1">
        <f t="array" ref="Z223">MMULT($G223:$Y223,'Nelson Factor_2019'!$B$1:$B$19)/$G223</f>
        <v>7.5442278860569711</v>
      </c>
      <c r="AA223" cm="1">
        <f t="array" ref="AA223">MMULT($G223:$R223,'Nelson Factor_2019'!$B$1:$B$12)/$G223</f>
        <v>7.2743628185907045</v>
      </c>
    </row>
    <row r="224" spans="1:27" x14ac:dyDescent="0.25">
      <c r="A224">
        <v>2006</v>
      </c>
      <c r="B224">
        <v>2</v>
      </c>
      <c r="C224">
        <v>1</v>
      </c>
      <c r="D224" t="s">
        <v>170</v>
      </c>
      <c r="E224" t="s">
        <v>171</v>
      </c>
      <c r="F224" t="s">
        <v>172</v>
      </c>
      <c r="G224">
        <v>190000</v>
      </c>
      <c r="H224">
        <v>0</v>
      </c>
      <c r="I224">
        <v>0</v>
      </c>
      <c r="J224">
        <v>0</v>
      </c>
      <c r="K224">
        <v>68000</v>
      </c>
      <c r="L224">
        <v>36000</v>
      </c>
      <c r="M224">
        <v>0</v>
      </c>
      <c r="N224">
        <v>154000</v>
      </c>
      <c r="O224">
        <v>12000</v>
      </c>
      <c r="P224">
        <v>0</v>
      </c>
      <c r="Q224">
        <v>0</v>
      </c>
      <c r="R224">
        <v>4000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106</v>
      </c>
      <c r="Y224">
        <v>0</v>
      </c>
      <c r="Z224" cm="1">
        <f t="array" ref="Z224">MMULT($G224:$Y224,'Nelson Factor_2019'!$B$1:$B$19)/$G224</f>
        <v>6.9496842105263159</v>
      </c>
      <c r="AA224" cm="1">
        <f t="array" ref="AA224">MMULT($G224:$R224,'Nelson Factor_2019'!$B$1:$B$12)/$G224</f>
        <v>6.8157894736842106</v>
      </c>
    </row>
    <row r="225" spans="1:27" x14ac:dyDescent="0.25">
      <c r="A225">
        <v>2006</v>
      </c>
      <c r="B225">
        <v>3</v>
      </c>
      <c r="C225">
        <v>0</v>
      </c>
      <c r="D225" t="s">
        <v>173</v>
      </c>
      <c r="E225" t="s">
        <v>174</v>
      </c>
      <c r="F225" t="s">
        <v>175</v>
      </c>
      <c r="G225">
        <v>12000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1200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 cm="1">
        <f t="array" ref="Z225">MMULT($G225:$Y225,'Nelson Factor_2019'!$B$1:$B$19)/$G225</f>
        <v>3</v>
      </c>
      <c r="AA225" cm="1">
        <f t="array" ref="AA225">MMULT($G225:$R225,'Nelson Factor_2019'!$B$1:$B$12)/$G225</f>
        <v>3</v>
      </c>
    </row>
    <row r="226" spans="1:27" x14ac:dyDescent="0.25">
      <c r="A226">
        <v>2006</v>
      </c>
      <c r="B226">
        <v>3</v>
      </c>
      <c r="C226">
        <v>1</v>
      </c>
      <c r="D226" t="s">
        <v>173</v>
      </c>
      <c r="E226" t="s">
        <v>176</v>
      </c>
      <c r="F226" t="s">
        <v>177</v>
      </c>
      <c r="G226">
        <v>70000</v>
      </c>
      <c r="H226">
        <v>24000</v>
      </c>
      <c r="I226">
        <v>0</v>
      </c>
      <c r="J226">
        <v>0</v>
      </c>
      <c r="K226">
        <v>24000</v>
      </c>
      <c r="L226">
        <v>21000</v>
      </c>
      <c r="M226">
        <v>0</v>
      </c>
      <c r="N226">
        <v>67950</v>
      </c>
      <c r="O226">
        <v>5000</v>
      </c>
      <c r="P226">
        <v>0</v>
      </c>
      <c r="Q226">
        <v>2000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135</v>
      </c>
      <c r="Y226">
        <v>8000</v>
      </c>
      <c r="Z226" cm="1">
        <f t="array" ref="Z226">MMULT($G226:$Y226,'Nelson Factor_2019'!$B$1:$B$19)/$G226</f>
        <v>9.3496428571428574</v>
      </c>
      <c r="AA226" cm="1">
        <f t="array" ref="AA226">MMULT($G226:$R226,'Nelson Factor_2019'!$B$1:$B$12)/$G226</f>
        <v>8.7153571428571421</v>
      </c>
    </row>
    <row r="227" spans="1:27" x14ac:dyDescent="0.25">
      <c r="A227">
        <v>2006</v>
      </c>
      <c r="B227">
        <v>3</v>
      </c>
      <c r="C227">
        <v>6</v>
      </c>
      <c r="D227" t="s">
        <v>173</v>
      </c>
      <c r="E227" t="s">
        <v>32</v>
      </c>
      <c r="F227" t="s">
        <v>178</v>
      </c>
      <c r="G227">
        <v>446500</v>
      </c>
      <c r="H227">
        <v>225150</v>
      </c>
      <c r="I227">
        <v>38700</v>
      </c>
      <c r="J227">
        <v>0</v>
      </c>
      <c r="K227">
        <v>183600</v>
      </c>
      <c r="L227">
        <v>124200</v>
      </c>
      <c r="M227">
        <v>114000</v>
      </c>
      <c r="N227">
        <v>363900</v>
      </c>
      <c r="O227">
        <v>58900</v>
      </c>
      <c r="P227">
        <v>0</v>
      </c>
      <c r="Q227">
        <v>43700</v>
      </c>
      <c r="R227">
        <v>24300</v>
      </c>
      <c r="S227">
        <v>0</v>
      </c>
      <c r="T227">
        <v>0</v>
      </c>
      <c r="U227">
        <v>180</v>
      </c>
      <c r="V227">
        <v>22.8</v>
      </c>
      <c r="W227">
        <v>2585</v>
      </c>
      <c r="X227">
        <v>1123</v>
      </c>
      <c r="Y227">
        <v>0</v>
      </c>
      <c r="Z227" cm="1">
        <f t="array" ref="Z227">MMULT($G227:$Y227,'Nelson Factor_2019'!$B$1:$B$19)/$G227</f>
        <v>14.287609854423291</v>
      </c>
      <c r="AA227" cm="1">
        <f t="array" ref="AA227">MMULT($G227:$R227,'Nelson Factor_2019'!$B$1:$B$12)/$G227</f>
        <v>13.683527435610303</v>
      </c>
    </row>
    <row r="228" spans="1:27" x14ac:dyDescent="0.25">
      <c r="A228">
        <v>2006</v>
      </c>
      <c r="B228">
        <v>3</v>
      </c>
      <c r="C228">
        <v>4</v>
      </c>
      <c r="D228" t="s">
        <v>173</v>
      </c>
      <c r="E228" t="s">
        <v>79</v>
      </c>
      <c r="F228" t="s">
        <v>179</v>
      </c>
      <c r="G228">
        <v>156750</v>
      </c>
      <c r="H228">
        <v>73625</v>
      </c>
      <c r="I228">
        <v>37800</v>
      </c>
      <c r="J228">
        <v>0</v>
      </c>
      <c r="K228">
        <v>72450</v>
      </c>
      <c r="L228">
        <v>45450</v>
      </c>
      <c r="M228">
        <v>0</v>
      </c>
      <c r="N228">
        <v>148230</v>
      </c>
      <c r="O228">
        <v>18090</v>
      </c>
      <c r="P228">
        <v>0</v>
      </c>
      <c r="Q228">
        <v>30105</v>
      </c>
      <c r="R228">
        <v>0</v>
      </c>
      <c r="S228">
        <v>0</v>
      </c>
      <c r="T228">
        <v>3600</v>
      </c>
      <c r="U228">
        <v>0</v>
      </c>
      <c r="V228">
        <v>0</v>
      </c>
      <c r="W228">
        <v>2123</v>
      </c>
      <c r="X228">
        <v>281.7</v>
      </c>
      <c r="Y228">
        <v>0</v>
      </c>
      <c r="Z228" cm="1">
        <f t="array" ref="Z228">MMULT($G228:$Y228,'Nelson Factor_2019'!$B$1:$B$19)/$G228</f>
        <v>15.662491228070175</v>
      </c>
      <c r="AA228" cm="1">
        <f t="array" ref="AA228">MMULT($G228:$R228,'Nelson Factor_2019'!$B$1:$B$12)/$G228</f>
        <v>15.001515151515152</v>
      </c>
    </row>
    <row r="229" spans="1:27" x14ac:dyDescent="0.25">
      <c r="A229">
        <v>2006</v>
      </c>
      <c r="B229">
        <v>3</v>
      </c>
      <c r="C229">
        <v>1</v>
      </c>
      <c r="D229" t="s">
        <v>173</v>
      </c>
      <c r="E229" t="s">
        <v>51</v>
      </c>
      <c r="F229" t="s">
        <v>181</v>
      </c>
      <c r="G229">
        <v>146000</v>
      </c>
      <c r="H229">
        <v>0</v>
      </c>
      <c r="I229">
        <v>0</v>
      </c>
      <c r="J229">
        <v>0</v>
      </c>
      <c r="K229">
        <v>58300</v>
      </c>
      <c r="L229">
        <v>28600</v>
      </c>
      <c r="M229">
        <v>0</v>
      </c>
      <c r="N229">
        <v>163900</v>
      </c>
      <c r="O229">
        <v>17000</v>
      </c>
      <c r="P229">
        <v>0</v>
      </c>
      <c r="Q229">
        <v>0</v>
      </c>
      <c r="R229">
        <v>44500</v>
      </c>
      <c r="S229">
        <v>0</v>
      </c>
      <c r="T229">
        <v>0</v>
      </c>
      <c r="U229">
        <v>90</v>
      </c>
      <c r="V229">
        <v>6</v>
      </c>
      <c r="W229">
        <v>0</v>
      </c>
      <c r="X229">
        <v>400</v>
      </c>
      <c r="Y229">
        <v>0</v>
      </c>
      <c r="Z229" cm="1">
        <f t="array" ref="Z229">MMULT($G229:$Y229,'Nelson Factor_2019'!$B$1:$B$19)/$G229</f>
        <v>9.9188082191780822</v>
      </c>
      <c r="AA229" cm="1">
        <f t="array" ref="AA229">MMULT($G229:$R229,'Nelson Factor_2019'!$B$1:$B$12)/$G229</f>
        <v>9.2606164383561644</v>
      </c>
    </row>
    <row r="230" spans="1:27" x14ac:dyDescent="0.25">
      <c r="A230">
        <v>2006</v>
      </c>
      <c r="B230">
        <v>3</v>
      </c>
      <c r="C230">
        <v>4</v>
      </c>
      <c r="D230" t="s">
        <v>173</v>
      </c>
      <c r="E230" t="s">
        <v>51</v>
      </c>
      <c r="F230" t="s">
        <v>182</v>
      </c>
      <c r="G230">
        <v>247000</v>
      </c>
      <c r="H230">
        <v>125000</v>
      </c>
      <c r="I230">
        <v>66700</v>
      </c>
      <c r="J230">
        <v>0</v>
      </c>
      <c r="K230">
        <v>96600</v>
      </c>
      <c r="L230">
        <v>33800</v>
      </c>
      <c r="M230">
        <v>0</v>
      </c>
      <c r="N230">
        <v>225700</v>
      </c>
      <c r="O230">
        <v>19600</v>
      </c>
      <c r="P230">
        <v>0</v>
      </c>
      <c r="Q230">
        <v>17740</v>
      </c>
      <c r="R230">
        <v>9100</v>
      </c>
      <c r="S230">
        <v>0</v>
      </c>
      <c r="T230">
        <v>0</v>
      </c>
      <c r="U230">
        <v>0</v>
      </c>
      <c r="V230">
        <v>165</v>
      </c>
      <c r="W230">
        <v>4000</v>
      </c>
      <c r="X230">
        <v>550</v>
      </c>
      <c r="Y230">
        <v>0</v>
      </c>
      <c r="Z230" cm="1">
        <f t="array" ref="Z230">MMULT($G230:$Y230,'Nelson Factor_2019'!$B$1:$B$19)/$G230</f>
        <v>11.873947368421053</v>
      </c>
      <c r="AA230" cm="1">
        <f t="array" ref="AA230">MMULT($G230:$R230,'Nelson Factor_2019'!$B$1:$B$12)/$G230</f>
        <v>11.338866396761134</v>
      </c>
    </row>
    <row r="231" spans="1:27" x14ac:dyDescent="0.25">
      <c r="A231">
        <v>2006</v>
      </c>
      <c r="B231">
        <v>3</v>
      </c>
      <c r="C231">
        <v>6</v>
      </c>
      <c r="D231" t="s">
        <v>173</v>
      </c>
      <c r="E231" t="s">
        <v>54</v>
      </c>
      <c r="F231" t="s">
        <v>185</v>
      </c>
      <c r="G231">
        <v>563000</v>
      </c>
      <c r="H231">
        <v>270000</v>
      </c>
      <c r="I231">
        <v>82500</v>
      </c>
      <c r="J231">
        <v>0</v>
      </c>
      <c r="K231">
        <v>202500</v>
      </c>
      <c r="L231">
        <v>122000</v>
      </c>
      <c r="M231">
        <v>26000</v>
      </c>
      <c r="N231">
        <v>727000</v>
      </c>
      <c r="O231">
        <v>34500</v>
      </c>
      <c r="P231">
        <v>0</v>
      </c>
      <c r="Q231">
        <v>0</v>
      </c>
      <c r="R231">
        <v>0</v>
      </c>
      <c r="S231">
        <v>21500</v>
      </c>
      <c r="T231">
        <v>6500</v>
      </c>
      <c r="U231">
        <v>83.5</v>
      </c>
      <c r="V231">
        <v>56.5</v>
      </c>
      <c r="W231">
        <v>3550</v>
      </c>
      <c r="X231">
        <v>1630</v>
      </c>
      <c r="Y231">
        <v>0</v>
      </c>
      <c r="Z231" cm="1">
        <f t="array" ref="Z231">MMULT($G231:$Y231,'Nelson Factor_2019'!$B$1:$B$19)/$G231</f>
        <v>13.276358792184725</v>
      </c>
      <c r="AA231" cm="1">
        <f t="array" ref="AA231">MMULT($G231:$R231,'Nelson Factor_2019'!$B$1:$B$12)/$G231</f>
        <v>10.174511545293074</v>
      </c>
    </row>
    <row r="232" spans="1:27" x14ac:dyDescent="0.25">
      <c r="A232">
        <v>2006</v>
      </c>
      <c r="B232">
        <v>3</v>
      </c>
      <c r="C232">
        <v>6</v>
      </c>
      <c r="D232" t="s">
        <v>173</v>
      </c>
      <c r="E232" t="s">
        <v>54</v>
      </c>
      <c r="F232" t="s">
        <v>186</v>
      </c>
      <c r="G232">
        <v>348500</v>
      </c>
      <c r="H232">
        <v>143000</v>
      </c>
      <c r="I232">
        <v>48000</v>
      </c>
      <c r="J232">
        <v>0</v>
      </c>
      <c r="K232">
        <v>112000</v>
      </c>
      <c r="L232">
        <v>147000</v>
      </c>
      <c r="M232">
        <v>61500</v>
      </c>
      <c r="N232">
        <v>294500</v>
      </c>
      <c r="O232">
        <v>15500</v>
      </c>
      <c r="P232">
        <v>0</v>
      </c>
      <c r="Q232">
        <v>0</v>
      </c>
      <c r="R232">
        <v>24500</v>
      </c>
      <c r="S232">
        <v>12500</v>
      </c>
      <c r="T232">
        <v>4500</v>
      </c>
      <c r="U232">
        <v>0</v>
      </c>
      <c r="V232">
        <v>54.5</v>
      </c>
      <c r="W232">
        <v>2900</v>
      </c>
      <c r="X232">
        <v>580</v>
      </c>
      <c r="Y232">
        <v>0</v>
      </c>
      <c r="Z232" cm="1">
        <f t="array" ref="Z232">MMULT($G232:$Y232,'Nelson Factor_2019'!$B$1:$B$19)/$G232</f>
        <v>13.464575322812051</v>
      </c>
      <c r="AA232" cm="1">
        <f t="array" ref="AA232">MMULT($G232:$R232,'Nelson Factor_2019'!$B$1:$B$12)/$G232</f>
        <v>10.783787661406025</v>
      </c>
    </row>
    <row r="233" spans="1:27" x14ac:dyDescent="0.25">
      <c r="A233">
        <v>2006</v>
      </c>
      <c r="B233">
        <v>3</v>
      </c>
      <c r="C233">
        <v>6</v>
      </c>
      <c r="D233" t="s">
        <v>173</v>
      </c>
      <c r="E233" t="s">
        <v>35</v>
      </c>
      <c r="F233" t="s">
        <v>179</v>
      </c>
      <c r="G233">
        <v>279300</v>
      </c>
      <c r="H233">
        <v>83125</v>
      </c>
      <c r="I233">
        <v>12600</v>
      </c>
      <c r="J233">
        <v>0</v>
      </c>
      <c r="K233">
        <v>96030</v>
      </c>
      <c r="L233">
        <v>63810</v>
      </c>
      <c r="M233">
        <v>12600</v>
      </c>
      <c r="N233">
        <v>222570</v>
      </c>
      <c r="O233">
        <v>12600</v>
      </c>
      <c r="P233">
        <v>0</v>
      </c>
      <c r="Q233">
        <v>46350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627</v>
      </c>
      <c r="X233">
        <v>222</v>
      </c>
      <c r="Y233">
        <v>0</v>
      </c>
      <c r="Z233" cm="1">
        <f t="array" ref="Z233">MMULT($G233:$Y233,'Nelson Factor_2019'!$B$1:$B$19)/$G233</f>
        <v>11.244530970282851</v>
      </c>
      <c r="AA233" cm="1">
        <f t="array" ref="AA233">MMULT($G233:$R233,'Nelson Factor_2019'!$B$1:$B$12)/$G233</f>
        <v>11.053768349445042</v>
      </c>
    </row>
    <row r="234" spans="1:27" x14ac:dyDescent="0.25">
      <c r="A234">
        <v>2006</v>
      </c>
      <c r="B234">
        <v>3</v>
      </c>
      <c r="C234">
        <v>4</v>
      </c>
      <c r="D234" t="s">
        <v>173</v>
      </c>
      <c r="E234" t="s">
        <v>187</v>
      </c>
      <c r="F234" t="s">
        <v>188</v>
      </c>
      <c r="G234">
        <v>60000</v>
      </c>
      <c r="H234">
        <v>15000</v>
      </c>
      <c r="I234">
        <v>6500</v>
      </c>
      <c r="J234">
        <v>0</v>
      </c>
      <c r="K234">
        <v>20200</v>
      </c>
      <c r="L234">
        <v>17500</v>
      </c>
      <c r="M234">
        <v>0</v>
      </c>
      <c r="N234">
        <v>32000</v>
      </c>
      <c r="O234">
        <v>4750</v>
      </c>
      <c r="P234">
        <v>0</v>
      </c>
      <c r="Q234">
        <v>0</v>
      </c>
      <c r="R234">
        <v>5000</v>
      </c>
      <c r="S234">
        <v>0</v>
      </c>
      <c r="T234">
        <v>0</v>
      </c>
      <c r="U234">
        <v>0</v>
      </c>
      <c r="V234">
        <v>0</v>
      </c>
      <c r="W234">
        <v>250</v>
      </c>
      <c r="X234">
        <v>18</v>
      </c>
      <c r="Y234">
        <v>0</v>
      </c>
      <c r="Z234" cm="1">
        <f t="array" ref="Z234">MMULT($G234:$Y234,'Nelson Factor_2019'!$B$1:$B$19)/$G234</f>
        <v>8.0628333333333337</v>
      </c>
      <c r="AA234" cm="1">
        <f t="array" ref="AA234">MMULT($G234:$R234,'Nelson Factor_2019'!$B$1:$B$12)/$G234</f>
        <v>7.9908333333333337</v>
      </c>
    </row>
    <row r="235" spans="1:27" x14ac:dyDescent="0.25">
      <c r="A235">
        <v>2006</v>
      </c>
      <c r="B235">
        <v>3</v>
      </c>
      <c r="C235">
        <v>4</v>
      </c>
      <c r="D235" t="s">
        <v>173</v>
      </c>
      <c r="E235" t="s">
        <v>189</v>
      </c>
      <c r="F235" t="s">
        <v>190</v>
      </c>
      <c r="G235">
        <v>282600</v>
      </c>
      <c r="H235">
        <v>191100</v>
      </c>
      <c r="I235">
        <v>98500</v>
      </c>
      <c r="J235">
        <v>0</v>
      </c>
      <c r="K235">
        <v>97000</v>
      </c>
      <c r="L235">
        <v>33700</v>
      </c>
      <c r="M235">
        <v>0</v>
      </c>
      <c r="N235">
        <v>307900</v>
      </c>
      <c r="O235">
        <v>11250</v>
      </c>
      <c r="P235">
        <v>0</v>
      </c>
      <c r="Q235">
        <v>8350</v>
      </c>
      <c r="R235">
        <v>0</v>
      </c>
      <c r="S235">
        <v>4050</v>
      </c>
      <c r="T235">
        <v>4000</v>
      </c>
      <c r="U235">
        <v>0</v>
      </c>
      <c r="V235">
        <v>0</v>
      </c>
      <c r="W235">
        <v>5000</v>
      </c>
      <c r="X235">
        <v>1042</v>
      </c>
      <c r="Y235">
        <v>0</v>
      </c>
      <c r="Z235" cm="1">
        <f t="array" ref="Z235">MMULT($G235:$Y235,'Nelson Factor_2019'!$B$1:$B$19)/$G235</f>
        <v>12.748089171974522</v>
      </c>
      <c r="AA235" cm="1">
        <f t="array" ref="AA235">MMULT($G235:$R235,'Nelson Factor_2019'!$B$1:$B$12)/$G235</f>
        <v>10.86174805378627</v>
      </c>
    </row>
    <row r="236" spans="1:27" x14ac:dyDescent="0.25">
      <c r="A236">
        <v>2006</v>
      </c>
      <c r="B236">
        <v>3</v>
      </c>
      <c r="C236">
        <v>1</v>
      </c>
      <c r="D236" t="s">
        <v>173</v>
      </c>
      <c r="E236" t="s">
        <v>83</v>
      </c>
      <c r="F236" t="s">
        <v>178</v>
      </c>
      <c r="G236">
        <v>72000</v>
      </c>
      <c r="H236">
        <v>0</v>
      </c>
      <c r="I236">
        <v>0</v>
      </c>
      <c r="J236">
        <v>0</v>
      </c>
      <c r="K236">
        <v>52300</v>
      </c>
      <c r="L236">
        <v>10500</v>
      </c>
      <c r="M236">
        <v>0</v>
      </c>
      <c r="N236">
        <v>0</v>
      </c>
      <c r="O236">
        <v>12400</v>
      </c>
      <c r="P236">
        <v>0</v>
      </c>
      <c r="Q236">
        <v>9100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 cm="1">
        <f t="array" ref="Z236">MMULT($G236:$Y236,'Nelson Factor_2019'!$B$1:$B$19)/$G236</f>
        <v>10.3375</v>
      </c>
      <c r="AA236" cm="1">
        <f t="array" ref="AA236">MMULT($G236:$R236,'Nelson Factor_2019'!$B$1:$B$12)/$G236</f>
        <v>10.3375</v>
      </c>
    </row>
    <row r="237" spans="1:27" x14ac:dyDescent="0.25">
      <c r="A237">
        <v>2006</v>
      </c>
      <c r="B237">
        <v>3</v>
      </c>
      <c r="C237">
        <v>4</v>
      </c>
      <c r="D237" t="s">
        <v>173</v>
      </c>
      <c r="E237" t="s">
        <v>112</v>
      </c>
      <c r="F237" t="s">
        <v>191</v>
      </c>
      <c r="G237">
        <v>285000</v>
      </c>
      <c r="H237">
        <v>134000</v>
      </c>
      <c r="I237">
        <v>49500</v>
      </c>
      <c r="J237">
        <v>0</v>
      </c>
      <c r="K237">
        <v>86000</v>
      </c>
      <c r="L237">
        <v>45000</v>
      </c>
      <c r="M237">
        <v>0</v>
      </c>
      <c r="N237">
        <v>223400</v>
      </c>
      <c r="O237">
        <v>18000</v>
      </c>
      <c r="P237">
        <v>0</v>
      </c>
      <c r="Q237">
        <v>0</v>
      </c>
      <c r="R237">
        <v>0</v>
      </c>
      <c r="S237">
        <v>40400</v>
      </c>
      <c r="T237">
        <v>0</v>
      </c>
      <c r="U237">
        <v>0</v>
      </c>
      <c r="V237">
        <v>0</v>
      </c>
      <c r="W237">
        <v>2450</v>
      </c>
      <c r="X237">
        <v>600</v>
      </c>
      <c r="Y237">
        <v>0</v>
      </c>
      <c r="Z237" cm="1">
        <f t="array" ref="Z237">MMULT($G237:$Y237,'Nelson Factor_2019'!$B$1:$B$19)/$G237</f>
        <v>17.11561403508772</v>
      </c>
      <c r="AA237" cm="1">
        <f t="array" ref="AA237">MMULT($G237:$R237,'Nelson Factor_2019'!$B$1:$B$12)/$G237</f>
        <v>8.1050877192982451</v>
      </c>
    </row>
    <row r="238" spans="1:27" x14ac:dyDescent="0.25">
      <c r="A238">
        <v>2006</v>
      </c>
      <c r="B238">
        <v>3</v>
      </c>
      <c r="C238">
        <v>4</v>
      </c>
      <c r="D238" t="s">
        <v>173</v>
      </c>
      <c r="E238" t="s">
        <v>229</v>
      </c>
      <c r="F238" t="s">
        <v>184</v>
      </c>
      <c r="G238">
        <v>100000</v>
      </c>
      <c r="H238">
        <v>41000</v>
      </c>
      <c r="I238">
        <v>12000</v>
      </c>
      <c r="J238">
        <v>0</v>
      </c>
      <c r="K238">
        <v>50000</v>
      </c>
      <c r="L238">
        <v>20000</v>
      </c>
      <c r="M238">
        <v>0</v>
      </c>
      <c r="N238">
        <v>44000</v>
      </c>
      <c r="O238">
        <v>11000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500</v>
      </c>
      <c r="X238">
        <v>24</v>
      </c>
      <c r="Y238">
        <v>0</v>
      </c>
      <c r="Z238" cm="1">
        <f t="array" ref="Z238">MMULT($G238:$Y238,'Nelson Factor_2019'!$B$1:$B$19)/$G238</f>
        <v>8.6905999999999999</v>
      </c>
      <c r="AA238" cm="1">
        <f t="array" ref="AA238">MMULT($G238:$R238,'Nelson Factor_2019'!$B$1:$B$12)/$G238</f>
        <v>8.6329999999999991</v>
      </c>
    </row>
    <row r="239" spans="1:27" x14ac:dyDescent="0.25">
      <c r="A239">
        <v>2006</v>
      </c>
      <c r="B239">
        <v>3</v>
      </c>
      <c r="C239">
        <v>6</v>
      </c>
      <c r="D239" t="s">
        <v>173</v>
      </c>
      <c r="E239" t="s">
        <v>192</v>
      </c>
      <c r="F239" t="s">
        <v>193</v>
      </c>
      <c r="G239">
        <v>333700</v>
      </c>
      <c r="H239">
        <v>171500</v>
      </c>
      <c r="I239">
        <v>81100</v>
      </c>
      <c r="J239">
        <v>0</v>
      </c>
      <c r="K239">
        <v>67500</v>
      </c>
      <c r="L239">
        <v>69400</v>
      </c>
      <c r="M239">
        <v>61600</v>
      </c>
      <c r="N239">
        <v>283700</v>
      </c>
      <c r="O239">
        <v>18100</v>
      </c>
      <c r="P239">
        <v>0</v>
      </c>
      <c r="Q239">
        <v>0</v>
      </c>
      <c r="R239">
        <v>0</v>
      </c>
      <c r="S239">
        <v>0</v>
      </c>
      <c r="T239">
        <v>6100</v>
      </c>
      <c r="U239">
        <v>65.8</v>
      </c>
      <c r="V239">
        <v>36.5</v>
      </c>
      <c r="W239">
        <v>5235</v>
      </c>
      <c r="X239">
        <v>1150</v>
      </c>
      <c r="Y239">
        <v>4600</v>
      </c>
      <c r="Z239" cm="1">
        <f t="array" ref="Z239">MMULT($G239:$Y239,'Nelson Factor_2019'!$B$1:$B$19)/$G239</f>
        <v>10.919845070422534</v>
      </c>
      <c r="AA239" cm="1">
        <f t="array" ref="AA239">MMULT($G239:$R239,'Nelson Factor_2019'!$B$1:$B$12)/$G239</f>
        <v>9.8889721306562777</v>
      </c>
    </row>
    <row r="240" spans="1:27" x14ac:dyDescent="0.25">
      <c r="A240">
        <v>2006</v>
      </c>
      <c r="B240">
        <v>3</v>
      </c>
      <c r="C240">
        <v>1</v>
      </c>
      <c r="D240" t="s">
        <v>173</v>
      </c>
      <c r="E240" t="s">
        <v>194</v>
      </c>
      <c r="F240" t="s">
        <v>191</v>
      </c>
      <c r="G240">
        <v>231252</v>
      </c>
      <c r="H240">
        <v>49863</v>
      </c>
      <c r="I240">
        <v>0</v>
      </c>
      <c r="J240">
        <v>0</v>
      </c>
      <c r="K240">
        <v>68844</v>
      </c>
      <c r="L240">
        <v>37539</v>
      </c>
      <c r="M240">
        <v>0</v>
      </c>
      <c r="N240">
        <v>152809</v>
      </c>
      <c r="O240">
        <v>5199</v>
      </c>
      <c r="P240">
        <v>0</v>
      </c>
      <c r="Q240">
        <v>0</v>
      </c>
      <c r="R240">
        <v>13501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270</v>
      </c>
      <c r="Y240">
        <v>0</v>
      </c>
      <c r="Z240" cm="1">
        <f t="array" ref="Z240">MMULT($G240:$Y240,'Nelson Factor_2019'!$B$1:$B$19)/$G240</f>
        <v>6.2103177486032548</v>
      </c>
      <c r="AA240" cm="1">
        <f t="array" ref="AA240">MMULT($G240:$R240,'Nelson Factor_2019'!$B$1:$B$12)/$G240</f>
        <v>5.9301039558576782</v>
      </c>
    </row>
    <row r="241" spans="1:27" x14ac:dyDescent="0.25">
      <c r="A241">
        <v>2006</v>
      </c>
      <c r="B241">
        <v>3</v>
      </c>
      <c r="C241">
        <v>6</v>
      </c>
      <c r="D241" t="s">
        <v>173</v>
      </c>
      <c r="E241" t="s">
        <v>66</v>
      </c>
      <c r="F241" t="s">
        <v>179</v>
      </c>
      <c r="G241">
        <v>205000</v>
      </c>
      <c r="H241">
        <v>95000</v>
      </c>
      <c r="I241">
        <v>17500</v>
      </c>
      <c r="J241">
        <v>0</v>
      </c>
      <c r="K241">
        <v>112000</v>
      </c>
      <c r="L241">
        <v>67000</v>
      </c>
      <c r="M241">
        <v>49000</v>
      </c>
      <c r="N241">
        <v>194700</v>
      </c>
      <c r="O241">
        <v>18500</v>
      </c>
      <c r="P241">
        <v>0</v>
      </c>
      <c r="Q241">
        <v>23000</v>
      </c>
      <c r="R241">
        <v>12000</v>
      </c>
      <c r="S241">
        <v>0</v>
      </c>
      <c r="T241">
        <v>23700</v>
      </c>
      <c r="U241">
        <v>94</v>
      </c>
      <c r="V241">
        <v>74</v>
      </c>
      <c r="W241">
        <v>998</v>
      </c>
      <c r="X241">
        <v>790</v>
      </c>
      <c r="Y241">
        <v>38000</v>
      </c>
      <c r="Z241" cm="1">
        <f t="array" ref="Z241">MMULT($G241:$Y241,'Nelson Factor_2019'!$B$1:$B$19)/$G241</f>
        <v>17.123258536585364</v>
      </c>
      <c r="AA241" cm="1">
        <f t="array" ref="AA241">MMULT($G241:$R241,'Nelson Factor_2019'!$B$1:$B$12)/$G241</f>
        <v>14.763414634146342</v>
      </c>
    </row>
    <row r="242" spans="1:27" x14ac:dyDescent="0.25">
      <c r="A242">
        <v>2006</v>
      </c>
      <c r="B242">
        <v>3</v>
      </c>
      <c r="C242">
        <v>1</v>
      </c>
      <c r="D242" t="s">
        <v>173</v>
      </c>
      <c r="E242" t="s">
        <v>66</v>
      </c>
      <c r="F242" t="s">
        <v>190</v>
      </c>
      <c r="G242">
        <v>90000</v>
      </c>
      <c r="H242">
        <v>39000</v>
      </c>
      <c r="I242">
        <v>0</v>
      </c>
      <c r="J242">
        <v>0</v>
      </c>
      <c r="K242">
        <v>65000</v>
      </c>
      <c r="L242">
        <v>10000</v>
      </c>
      <c r="M242">
        <v>0</v>
      </c>
      <c r="N242">
        <v>49000</v>
      </c>
      <c r="O242">
        <v>9000</v>
      </c>
      <c r="P242">
        <v>1500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100</v>
      </c>
      <c r="Y242">
        <v>4500</v>
      </c>
      <c r="Z242" cm="1">
        <f t="array" ref="Z242">MMULT($G242:$Y242,'Nelson Factor_2019'!$B$1:$B$19)/$G242</f>
        <v>9.3216666666666672</v>
      </c>
      <c r="AA242" cm="1">
        <f t="array" ref="AA242">MMULT($G242:$R242,'Nelson Factor_2019'!$B$1:$B$12)/$G242</f>
        <v>8.98</v>
      </c>
    </row>
    <row r="243" spans="1:27" x14ac:dyDescent="0.25">
      <c r="A243">
        <v>2006</v>
      </c>
      <c r="B243">
        <v>3</v>
      </c>
      <c r="C243">
        <v>6</v>
      </c>
      <c r="D243" t="s">
        <v>173</v>
      </c>
      <c r="E243" t="s">
        <v>153</v>
      </c>
      <c r="F243" t="s">
        <v>191</v>
      </c>
      <c r="G243">
        <v>250000</v>
      </c>
      <c r="H243">
        <v>145000</v>
      </c>
      <c r="I243">
        <v>100000</v>
      </c>
      <c r="J243">
        <v>0</v>
      </c>
      <c r="K243">
        <v>80000</v>
      </c>
      <c r="L243">
        <v>53000</v>
      </c>
      <c r="M243">
        <v>45000</v>
      </c>
      <c r="N243">
        <v>282000</v>
      </c>
      <c r="O243">
        <v>20000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105</v>
      </c>
      <c r="V243">
        <v>6</v>
      </c>
      <c r="W243">
        <v>6200</v>
      </c>
      <c r="X243">
        <v>1050</v>
      </c>
      <c r="Y243">
        <v>0</v>
      </c>
      <c r="Z243" cm="1">
        <f t="array" ref="Z243">MMULT($G243:$Y243,'Nelson Factor_2019'!$B$1:$B$19)/$G243</f>
        <v>13.802443999999999</v>
      </c>
      <c r="AA243" cm="1">
        <f t="array" ref="AA243">MMULT($G243:$R243,'Nelson Factor_2019'!$B$1:$B$12)/$G243</f>
        <v>12.794</v>
      </c>
    </row>
    <row r="244" spans="1:27" x14ac:dyDescent="0.25">
      <c r="A244">
        <v>2006</v>
      </c>
      <c r="B244">
        <v>3</v>
      </c>
      <c r="C244">
        <v>3</v>
      </c>
      <c r="D244" t="s">
        <v>173</v>
      </c>
      <c r="E244" t="s">
        <v>66</v>
      </c>
      <c r="F244" t="s">
        <v>195</v>
      </c>
      <c r="G244">
        <v>166660</v>
      </c>
      <c r="H244">
        <v>53200</v>
      </c>
      <c r="I244">
        <v>0</v>
      </c>
      <c r="J244">
        <v>0</v>
      </c>
      <c r="K244">
        <v>54465</v>
      </c>
      <c r="L244">
        <v>47400</v>
      </c>
      <c r="M244">
        <v>29500</v>
      </c>
      <c r="N244">
        <v>97612</v>
      </c>
      <c r="O244">
        <v>9500</v>
      </c>
      <c r="P244">
        <v>0</v>
      </c>
      <c r="Q244">
        <v>0</v>
      </c>
      <c r="R244">
        <v>7000</v>
      </c>
      <c r="S244">
        <v>0</v>
      </c>
      <c r="T244">
        <v>4900</v>
      </c>
      <c r="U244">
        <v>0</v>
      </c>
      <c r="V244">
        <v>0</v>
      </c>
      <c r="W244">
        <v>0</v>
      </c>
      <c r="X244">
        <v>60</v>
      </c>
      <c r="Y244">
        <v>0</v>
      </c>
      <c r="Z244" cm="1">
        <f t="array" ref="Z244">MMULT($G244:$Y244,'Nelson Factor_2019'!$B$1:$B$19)/$G244</f>
        <v>8.7545901836073448</v>
      </c>
      <c r="AA244" cm="1">
        <f t="array" ref="AA244">MMULT($G244:$R244,'Nelson Factor_2019'!$B$1:$B$12)/$G244</f>
        <v>8.3741749669986802</v>
      </c>
    </row>
    <row r="245" spans="1:27" x14ac:dyDescent="0.25">
      <c r="A245">
        <v>2006</v>
      </c>
      <c r="B245">
        <v>3</v>
      </c>
      <c r="C245">
        <v>4</v>
      </c>
      <c r="D245" t="s">
        <v>173</v>
      </c>
      <c r="E245" t="s">
        <v>66</v>
      </c>
      <c r="F245" t="s">
        <v>178</v>
      </c>
      <c r="G245">
        <v>225000</v>
      </c>
      <c r="H245">
        <v>130000</v>
      </c>
      <c r="I245">
        <v>50000</v>
      </c>
      <c r="J245">
        <v>0</v>
      </c>
      <c r="K245">
        <v>80000</v>
      </c>
      <c r="L245">
        <v>14500</v>
      </c>
      <c r="M245">
        <v>0</v>
      </c>
      <c r="N245">
        <v>263000</v>
      </c>
      <c r="O245">
        <v>12000</v>
      </c>
      <c r="P245">
        <v>0</v>
      </c>
      <c r="Q245">
        <v>0</v>
      </c>
      <c r="R245">
        <v>6500</v>
      </c>
      <c r="S245">
        <v>0</v>
      </c>
      <c r="T245">
        <v>2500</v>
      </c>
      <c r="U245">
        <v>0</v>
      </c>
      <c r="V245">
        <v>60</v>
      </c>
      <c r="W245">
        <v>3000</v>
      </c>
      <c r="X245">
        <v>890</v>
      </c>
      <c r="Y245">
        <v>0</v>
      </c>
      <c r="Z245" cm="1">
        <f t="array" ref="Z245">MMULT($G245:$Y245,'Nelson Factor_2019'!$B$1:$B$19)/$G245</f>
        <v>10.476266666666668</v>
      </c>
      <c r="AA245" cm="1">
        <f t="array" ref="AA245">MMULT($G245:$R245,'Nelson Factor_2019'!$B$1:$B$12)/$G245</f>
        <v>9.4155555555555548</v>
      </c>
    </row>
    <row r="246" spans="1:27" x14ac:dyDescent="0.25">
      <c r="A246">
        <v>2006</v>
      </c>
      <c r="B246">
        <v>3</v>
      </c>
      <c r="C246">
        <v>3</v>
      </c>
      <c r="D246" t="s">
        <v>173</v>
      </c>
      <c r="E246" t="s">
        <v>66</v>
      </c>
      <c r="F246" t="s">
        <v>196</v>
      </c>
      <c r="G246">
        <v>96000</v>
      </c>
      <c r="H246">
        <v>35000</v>
      </c>
      <c r="I246">
        <v>0</v>
      </c>
      <c r="J246">
        <v>0</v>
      </c>
      <c r="K246">
        <v>24500</v>
      </c>
      <c r="L246">
        <v>34000</v>
      </c>
      <c r="M246">
        <v>30000</v>
      </c>
      <c r="N246">
        <v>100800</v>
      </c>
      <c r="O246">
        <v>6500</v>
      </c>
      <c r="P246">
        <v>0</v>
      </c>
      <c r="Q246">
        <v>18000</v>
      </c>
      <c r="R246">
        <v>0</v>
      </c>
      <c r="S246">
        <v>3200</v>
      </c>
      <c r="T246">
        <v>0</v>
      </c>
      <c r="U246">
        <v>4</v>
      </c>
      <c r="V246">
        <v>13</v>
      </c>
      <c r="W246">
        <v>130</v>
      </c>
      <c r="X246">
        <v>50</v>
      </c>
      <c r="Y246">
        <v>0</v>
      </c>
      <c r="Z246" cm="1">
        <f t="array" ref="Z246">MMULT($G246:$Y246,'Nelson Factor_2019'!$B$1:$B$19)/$G246</f>
        <v>16.453302083333334</v>
      </c>
      <c r="AA246" cm="1">
        <f t="array" ref="AA246">MMULT($G246:$R246,'Nelson Factor_2019'!$B$1:$B$12)/$G246</f>
        <v>14.328125</v>
      </c>
    </row>
    <row r="247" spans="1:27" x14ac:dyDescent="0.25">
      <c r="A247">
        <v>2006</v>
      </c>
      <c r="B247">
        <v>3</v>
      </c>
      <c r="C247">
        <v>1</v>
      </c>
      <c r="D247" t="s">
        <v>173</v>
      </c>
      <c r="E247" t="s">
        <v>197</v>
      </c>
      <c r="F247" t="s">
        <v>198</v>
      </c>
      <c r="G247">
        <v>90000</v>
      </c>
      <c r="H247">
        <v>34700</v>
      </c>
      <c r="I247">
        <v>0</v>
      </c>
      <c r="J247">
        <v>0</v>
      </c>
      <c r="K247">
        <v>28000</v>
      </c>
      <c r="L247">
        <v>17700</v>
      </c>
      <c r="M247">
        <v>0</v>
      </c>
      <c r="N247">
        <v>37800</v>
      </c>
      <c r="O247">
        <v>8200</v>
      </c>
      <c r="P247">
        <v>0</v>
      </c>
      <c r="Q247">
        <v>0</v>
      </c>
      <c r="R247">
        <v>2500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20</v>
      </c>
      <c r="Y247">
        <v>4800</v>
      </c>
      <c r="Z247" cm="1">
        <f t="array" ref="Z247">MMULT($G247:$Y247,'Nelson Factor_2019'!$B$1:$B$19)/$G247</f>
        <v>6.5289999999999999</v>
      </c>
      <c r="AA247" cm="1">
        <f t="array" ref="AA247">MMULT($G247:$R247,'Nelson Factor_2019'!$B$1:$B$12)/$G247</f>
        <v>6.3956666666666671</v>
      </c>
    </row>
    <row r="248" spans="1:27" x14ac:dyDescent="0.25">
      <c r="A248">
        <v>2006</v>
      </c>
      <c r="B248">
        <v>4</v>
      </c>
      <c r="C248">
        <v>1</v>
      </c>
      <c r="D248" t="s">
        <v>199</v>
      </c>
      <c r="E248" t="s">
        <v>200</v>
      </c>
      <c r="F248" t="s">
        <v>201</v>
      </c>
      <c r="G248">
        <v>25000</v>
      </c>
      <c r="H248">
        <v>5500</v>
      </c>
      <c r="I248">
        <v>0</v>
      </c>
      <c r="J248">
        <v>0</v>
      </c>
      <c r="K248">
        <v>10000</v>
      </c>
      <c r="L248">
        <v>6000</v>
      </c>
      <c r="M248">
        <v>0</v>
      </c>
      <c r="N248">
        <v>14000</v>
      </c>
      <c r="O248">
        <v>2000</v>
      </c>
      <c r="P248">
        <v>0</v>
      </c>
      <c r="Q248">
        <v>0</v>
      </c>
      <c r="R248">
        <v>3200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4</v>
      </c>
      <c r="Y248">
        <v>0</v>
      </c>
      <c r="Z248" cm="1">
        <f t="array" ref="Z248">MMULT($G248:$Y248,'Nelson Factor_2019'!$B$1:$B$19)/$G248</f>
        <v>7.5084</v>
      </c>
      <c r="AA248" cm="1">
        <f t="array" ref="AA248">MMULT($G248:$R248,'Nelson Factor_2019'!$B$1:$B$12)/$G248</f>
        <v>7.47</v>
      </c>
    </row>
    <row r="249" spans="1:27" x14ac:dyDescent="0.25">
      <c r="A249">
        <v>2006</v>
      </c>
      <c r="B249">
        <v>4</v>
      </c>
      <c r="C249">
        <v>4</v>
      </c>
      <c r="D249" t="s">
        <v>199</v>
      </c>
      <c r="E249" t="s">
        <v>48</v>
      </c>
      <c r="F249" t="s">
        <v>201</v>
      </c>
      <c r="G249">
        <v>45000</v>
      </c>
      <c r="H249">
        <v>25600</v>
      </c>
      <c r="I249">
        <v>7200</v>
      </c>
      <c r="J249">
        <v>0</v>
      </c>
      <c r="K249">
        <v>13000</v>
      </c>
      <c r="L249">
        <v>7000</v>
      </c>
      <c r="M249">
        <v>0</v>
      </c>
      <c r="N249">
        <v>24000</v>
      </c>
      <c r="O249">
        <v>4500</v>
      </c>
      <c r="P249">
        <v>0</v>
      </c>
      <c r="Q249">
        <v>0</v>
      </c>
      <c r="R249">
        <v>1000</v>
      </c>
      <c r="S249">
        <v>0</v>
      </c>
      <c r="T249">
        <v>0</v>
      </c>
      <c r="U249">
        <v>0</v>
      </c>
      <c r="V249">
        <v>0</v>
      </c>
      <c r="W249">
        <v>281</v>
      </c>
      <c r="X249">
        <v>18</v>
      </c>
      <c r="Y249">
        <v>0</v>
      </c>
      <c r="Z249" cm="1">
        <f t="array" ref="Z249">MMULT($G249:$Y249,'Nelson Factor_2019'!$B$1:$B$19)/$G249</f>
        <v>7.9466666666666663</v>
      </c>
      <c r="AA249" cm="1">
        <f t="array" ref="AA249">MMULT($G249:$R249,'Nelson Factor_2019'!$B$1:$B$12)/$G249</f>
        <v>7.8506666666666662</v>
      </c>
    </row>
    <row r="250" spans="1:27" x14ac:dyDescent="0.25">
      <c r="A250">
        <v>2006</v>
      </c>
      <c r="B250">
        <v>4</v>
      </c>
      <c r="C250">
        <v>1</v>
      </c>
      <c r="D250" t="s">
        <v>199</v>
      </c>
      <c r="E250" t="s">
        <v>202</v>
      </c>
      <c r="F250" t="s">
        <v>203</v>
      </c>
      <c r="G250">
        <v>25000</v>
      </c>
      <c r="H250">
        <v>5500</v>
      </c>
      <c r="I250">
        <v>0</v>
      </c>
      <c r="J250">
        <v>0</v>
      </c>
      <c r="K250">
        <v>7680</v>
      </c>
      <c r="L250">
        <v>7200</v>
      </c>
      <c r="M250">
        <v>0</v>
      </c>
      <c r="N250">
        <v>13700</v>
      </c>
      <c r="O250">
        <v>2400</v>
      </c>
      <c r="P250">
        <v>0</v>
      </c>
      <c r="Q250">
        <v>0</v>
      </c>
      <c r="R250">
        <v>2600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4</v>
      </c>
      <c r="Y250">
        <v>800</v>
      </c>
      <c r="Z250" cm="1">
        <f t="array" ref="Z250">MMULT($G250:$Y250,'Nelson Factor_2019'!$B$1:$B$19)/$G250</f>
        <v>7.2976000000000001</v>
      </c>
      <c r="AA250" cm="1">
        <f t="array" ref="AA250">MMULT($G250:$R250,'Nelson Factor_2019'!$B$1:$B$12)/$G250</f>
        <v>7.2111999999999998</v>
      </c>
    </row>
    <row r="251" spans="1:27" x14ac:dyDescent="0.25">
      <c r="A251">
        <v>2006</v>
      </c>
      <c r="B251">
        <v>4</v>
      </c>
      <c r="C251">
        <v>0</v>
      </c>
      <c r="D251" t="s">
        <v>199</v>
      </c>
      <c r="E251" t="s">
        <v>204</v>
      </c>
      <c r="F251" t="s">
        <v>203</v>
      </c>
      <c r="G251">
        <v>12500</v>
      </c>
      <c r="H251">
        <v>6000</v>
      </c>
      <c r="I251">
        <v>0</v>
      </c>
      <c r="J251">
        <v>0</v>
      </c>
      <c r="K251">
        <v>0</v>
      </c>
      <c r="L251">
        <v>2200</v>
      </c>
      <c r="M251">
        <v>0</v>
      </c>
      <c r="N251">
        <v>6200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1200</v>
      </c>
      <c r="Z251" cm="1">
        <f t="array" ref="Z251">MMULT($G251:$Y251,'Nelson Factor_2019'!$B$1:$B$19)/$G251</f>
        <v>3.8879999999999999</v>
      </c>
      <c r="AA251" cm="1">
        <f t="array" ref="AA251">MMULT($G251:$R251,'Nelson Factor_2019'!$B$1:$B$12)/$G251</f>
        <v>3.7440000000000002</v>
      </c>
    </row>
    <row r="252" spans="1:27" x14ac:dyDescent="0.25">
      <c r="A252">
        <v>2006</v>
      </c>
      <c r="B252">
        <v>4</v>
      </c>
      <c r="C252">
        <v>1</v>
      </c>
      <c r="D252" t="s">
        <v>199</v>
      </c>
      <c r="E252" t="s">
        <v>148</v>
      </c>
      <c r="F252" t="s">
        <v>201</v>
      </c>
      <c r="G252">
        <v>60000</v>
      </c>
      <c r="H252">
        <v>0</v>
      </c>
      <c r="I252">
        <v>0</v>
      </c>
      <c r="J252">
        <v>0</v>
      </c>
      <c r="K252">
        <v>23000</v>
      </c>
      <c r="L252">
        <v>12000</v>
      </c>
      <c r="M252">
        <v>0</v>
      </c>
      <c r="N252">
        <v>23000</v>
      </c>
      <c r="O252">
        <v>6000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15</v>
      </c>
      <c r="Y252">
        <v>0</v>
      </c>
      <c r="Z252" cm="1">
        <f t="array" ref="Z252">MMULT($G252:$Y252,'Nelson Factor_2019'!$B$1:$B$19)/$G252</f>
        <v>6.3183333333333334</v>
      </c>
      <c r="AA252" cm="1">
        <f t="array" ref="AA252">MMULT($G252:$R252,'Nelson Factor_2019'!$B$1:$B$12)/$G252</f>
        <v>6.2583333333333337</v>
      </c>
    </row>
    <row r="253" spans="1:27" x14ac:dyDescent="0.25">
      <c r="A253">
        <v>2006</v>
      </c>
      <c r="B253">
        <v>1</v>
      </c>
      <c r="C253">
        <v>4</v>
      </c>
      <c r="D253" t="s">
        <v>205</v>
      </c>
      <c r="E253" t="s">
        <v>206</v>
      </c>
      <c r="F253" t="s">
        <v>207</v>
      </c>
      <c r="G253">
        <v>58900</v>
      </c>
      <c r="H253">
        <v>33000</v>
      </c>
      <c r="I253">
        <v>17100</v>
      </c>
      <c r="J253">
        <v>0</v>
      </c>
      <c r="K253">
        <v>26700</v>
      </c>
      <c r="L253">
        <v>10800</v>
      </c>
      <c r="M253">
        <v>0</v>
      </c>
      <c r="N253">
        <v>29300</v>
      </c>
      <c r="O253">
        <v>0</v>
      </c>
      <c r="P253">
        <v>4000</v>
      </c>
      <c r="Q253">
        <v>0</v>
      </c>
      <c r="R253">
        <v>0</v>
      </c>
      <c r="S253">
        <v>0</v>
      </c>
      <c r="T253">
        <v>660</v>
      </c>
      <c r="U253">
        <v>0</v>
      </c>
      <c r="V253">
        <v>0</v>
      </c>
      <c r="W253">
        <v>905</v>
      </c>
      <c r="X253">
        <v>36</v>
      </c>
      <c r="Y253">
        <v>0</v>
      </c>
      <c r="Z253" cm="1">
        <f t="array" ref="Z253">MMULT($G253:$Y253,'Nelson Factor_2019'!$B$1:$B$19)/$G253</f>
        <v>9.723938879456707</v>
      </c>
      <c r="AA253" cm="1">
        <f t="array" ref="AA253">MMULT($G253:$R253,'Nelson Factor_2019'!$B$1:$B$12)/$G253</f>
        <v>9.4651952461799667</v>
      </c>
    </row>
    <row r="254" spans="1:27" x14ac:dyDescent="0.25">
      <c r="A254">
        <v>2006</v>
      </c>
      <c r="B254">
        <v>5</v>
      </c>
      <c r="C254">
        <v>5</v>
      </c>
      <c r="D254" t="s">
        <v>208</v>
      </c>
      <c r="E254" t="s">
        <v>32</v>
      </c>
      <c r="F254" t="s">
        <v>209</v>
      </c>
      <c r="G254">
        <v>220400</v>
      </c>
      <c r="H254">
        <v>95950</v>
      </c>
      <c r="I254">
        <v>56700</v>
      </c>
      <c r="J254">
        <v>0</v>
      </c>
      <c r="K254">
        <v>0</v>
      </c>
      <c r="L254">
        <v>56700</v>
      </c>
      <c r="M254">
        <v>51300</v>
      </c>
      <c r="N254">
        <v>74700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92</v>
      </c>
      <c r="V254">
        <v>33</v>
      </c>
      <c r="W254">
        <v>2700</v>
      </c>
      <c r="X254">
        <v>211</v>
      </c>
      <c r="Y254">
        <v>0</v>
      </c>
      <c r="Z254" cm="1">
        <f t="array" ref="Z254">MMULT($G254:$Y254,'Nelson Factor_2019'!$B$1:$B$19)/$G254</f>
        <v>7.721415607985481</v>
      </c>
      <c r="AA254" cm="1">
        <f t="array" ref="AA254">MMULT($G254:$R254,'Nelson Factor_2019'!$B$1:$B$12)/$G254</f>
        <v>7.4910843920145194</v>
      </c>
    </row>
    <row r="255" spans="1:27" x14ac:dyDescent="0.25">
      <c r="A255">
        <v>2006</v>
      </c>
      <c r="B255">
        <v>5</v>
      </c>
      <c r="C255">
        <v>1</v>
      </c>
      <c r="D255" t="s">
        <v>208</v>
      </c>
      <c r="E255" t="s">
        <v>51</v>
      </c>
      <c r="F255" t="s">
        <v>209</v>
      </c>
      <c r="G255">
        <v>96000</v>
      </c>
      <c r="H255">
        <v>46400</v>
      </c>
      <c r="I255">
        <v>0</v>
      </c>
      <c r="J255">
        <v>0</v>
      </c>
      <c r="K255">
        <v>28400</v>
      </c>
      <c r="L255">
        <v>15700</v>
      </c>
      <c r="M255">
        <v>0</v>
      </c>
      <c r="N255">
        <v>74600</v>
      </c>
      <c r="O255">
        <v>8600</v>
      </c>
      <c r="P255">
        <v>0</v>
      </c>
      <c r="Q255">
        <v>0</v>
      </c>
      <c r="R255">
        <v>4000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50</v>
      </c>
      <c r="Y255">
        <v>0</v>
      </c>
      <c r="Z255" cm="1">
        <f t="array" ref="Z255">MMULT($G255:$Y255,'Nelson Factor_2019'!$B$1:$B$19)/$G255</f>
        <v>7.3095833333333333</v>
      </c>
      <c r="AA255" cm="1">
        <f t="array" ref="AA255">MMULT($G255:$R255,'Nelson Factor_2019'!$B$1:$B$12)/$G255</f>
        <v>7.1845833333333333</v>
      </c>
    </row>
    <row r="256" spans="1:27" x14ac:dyDescent="0.25">
      <c r="A256">
        <v>2006</v>
      </c>
      <c r="B256">
        <v>5</v>
      </c>
      <c r="C256">
        <v>4</v>
      </c>
      <c r="D256" t="s">
        <v>208</v>
      </c>
      <c r="E256" t="s">
        <v>61</v>
      </c>
      <c r="F256" t="s">
        <v>210</v>
      </c>
      <c r="G256">
        <v>148600</v>
      </c>
      <c r="H256">
        <v>62300</v>
      </c>
      <c r="I256">
        <v>25700</v>
      </c>
      <c r="J256">
        <v>0</v>
      </c>
      <c r="K256">
        <v>57900</v>
      </c>
      <c r="L256">
        <v>31800</v>
      </c>
      <c r="M256">
        <v>0</v>
      </c>
      <c r="N256">
        <v>130300</v>
      </c>
      <c r="O256">
        <v>11900</v>
      </c>
      <c r="P256">
        <v>4300</v>
      </c>
      <c r="Q256">
        <v>0</v>
      </c>
      <c r="R256">
        <v>0</v>
      </c>
      <c r="S256">
        <v>0</v>
      </c>
      <c r="T256">
        <v>0</v>
      </c>
      <c r="U256">
        <v>7</v>
      </c>
      <c r="V256">
        <v>0</v>
      </c>
      <c r="W256">
        <v>1400</v>
      </c>
      <c r="X256">
        <v>350</v>
      </c>
      <c r="Y256">
        <v>0</v>
      </c>
      <c r="Z256" cm="1">
        <f t="array" ref="Z256">MMULT($G256:$Y256,'Nelson Factor_2019'!$B$1:$B$19)/$G256</f>
        <v>10.097557200538358</v>
      </c>
      <c r="AA256" cm="1">
        <f t="array" ref="AA256">MMULT($G256:$R256,'Nelson Factor_2019'!$B$1:$B$12)/$G256</f>
        <v>9.5322341857335129</v>
      </c>
    </row>
    <row r="257" spans="1:27" x14ac:dyDescent="0.25">
      <c r="A257">
        <v>2006</v>
      </c>
      <c r="B257">
        <v>5</v>
      </c>
      <c r="C257">
        <v>1</v>
      </c>
      <c r="D257" t="s">
        <v>208</v>
      </c>
      <c r="E257" t="s">
        <v>148</v>
      </c>
      <c r="F257" t="s">
        <v>210</v>
      </c>
      <c r="G257">
        <v>113300</v>
      </c>
      <c r="H257">
        <v>47200</v>
      </c>
      <c r="I257">
        <v>0</v>
      </c>
      <c r="J257">
        <v>0</v>
      </c>
      <c r="K257">
        <v>44800</v>
      </c>
      <c r="L257">
        <v>26500</v>
      </c>
      <c r="M257">
        <v>0</v>
      </c>
      <c r="N257">
        <v>61600</v>
      </c>
      <c r="O257">
        <v>11000</v>
      </c>
      <c r="P257">
        <v>0</v>
      </c>
      <c r="Q257">
        <v>0</v>
      </c>
      <c r="R257">
        <v>3400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48</v>
      </c>
      <c r="Y257">
        <v>1000</v>
      </c>
      <c r="Z257" cm="1">
        <f t="array" ref="Z257">MMULT($G257:$Y257,'Nelson Factor_2019'!$B$1:$B$19)/$G257</f>
        <v>7.6185348631950571</v>
      </c>
      <c r="AA257" cm="1">
        <f t="array" ref="AA257">MMULT($G257:$R257,'Nelson Factor_2019'!$B$1:$B$12)/$G257</f>
        <v>7.5036187113857018</v>
      </c>
    </row>
    <row r="258" spans="1:27" x14ac:dyDescent="0.25">
      <c r="A258">
        <v>2006</v>
      </c>
      <c r="B258">
        <v>5</v>
      </c>
      <c r="C258">
        <v>0</v>
      </c>
      <c r="D258" t="s">
        <v>208</v>
      </c>
      <c r="E258" t="s">
        <v>211</v>
      </c>
      <c r="F258" t="s">
        <v>212</v>
      </c>
      <c r="G258">
        <v>35800</v>
      </c>
      <c r="H258">
        <v>17700</v>
      </c>
      <c r="I258">
        <v>0</v>
      </c>
      <c r="J258">
        <v>0</v>
      </c>
      <c r="K258">
        <v>0</v>
      </c>
      <c r="L258">
        <v>5500</v>
      </c>
      <c r="M258">
        <v>0</v>
      </c>
      <c r="N258">
        <v>12900</v>
      </c>
      <c r="O258">
        <v>0</v>
      </c>
      <c r="P258">
        <v>0</v>
      </c>
      <c r="Q258">
        <v>0</v>
      </c>
      <c r="R258">
        <v>2700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10000</v>
      </c>
      <c r="Z258" cm="1">
        <f t="array" ref="Z258">MMULT($G258:$Y258,'Nelson Factor_2019'!$B$1:$B$19)/$G258</f>
        <v>3.9569832402234635</v>
      </c>
      <c r="AA258" cm="1">
        <f t="array" ref="AA258">MMULT($G258:$R258,'Nelson Factor_2019'!$B$1:$B$12)/$G258</f>
        <v>3.5379888268156425</v>
      </c>
    </row>
    <row r="259" spans="1:27" x14ac:dyDescent="0.25">
      <c r="A259">
        <v>2006</v>
      </c>
      <c r="B259">
        <v>1</v>
      </c>
      <c r="C259">
        <v>0</v>
      </c>
      <c r="D259" t="s">
        <v>213</v>
      </c>
      <c r="E259" t="s">
        <v>214</v>
      </c>
      <c r="F259" t="s">
        <v>215</v>
      </c>
      <c r="G259">
        <v>19400</v>
      </c>
      <c r="H259">
        <v>8400</v>
      </c>
      <c r="I259">
        <v>0</v>
      </c>
      <c r="J259">
        <v>0</v>
      </c>
      <c r="K259">
        <v>0</v>
      </c>
      <c r="L259">
        <v>3600</v>
      </c>
      <c r="M259">
        <v>0</v>
      </c>
      <c r="N259">
        <v>10600</v>
      </c>
      <c r="O259">
        <v>0</v>
      </c>
      <c r="P259">
        <v>0</v>
      </c>
      <c r="Q259">
        <v>0</v>
      </c>
      <c r="R259">
        <v>0</v>
      </c>
      <c r="S259">
        <v>4800</v>
      </c>
      <c r="T259">
        <v>0</v>
      </c>
      <c r="U259">
        <v>1.1000000000000001</v>
      </c>
      <c r="V259">
        <v>0</v>
      </c>
      <c r="W259">
        <v>0</v>
      </c>
      <c r="X259">
        <v>1</v>
      </c>
      <c r="Y259">
        <v>0</v>
      </c>
      <c r="Z259" cm="1">
        <f t="array" ref="Z259">MMULT($G259:$Y259,'Nelson Factor_2019'!$B$1:$B$19)/$G259</f>
        <v>18.714489690721649</v>
      </c>
      <c r="AA259" cm="1">
        <f t="array" ref="AA259">MMULT($G259:$R259,'Nelson Factor_2019'!$B$1:$B$12)/$G259</f>
        <v>3.8567010309278351</v>
      </c>
    </row>
    <row r="260" spans="1:27" x14ac:dyDescent="0.25">
      <c r="A260">
        <v>2006</v>
      </c>
      <c r="B260">
        <v>2</v>
      </c>
      <c r="C260">
        <v>1</v>
      </c>
      <c r="D260" t="s">
        <v>216</v>
      </c>
      <c r="E260" t="s">
        <v>115</v>
      </c>
      <c r="F260" t="s">
        <v>217</v>
      </c>
      <c r="G260">
        <v>33250</v>
      </c>
      <c r="H260">
        <v>19500</v>
      </c>
      <c r="I260">
        <v>0</v>
      </c>
      <c r="J260">
        <v>0</v>
      </c>
      <c r="K260">
        <v>9900</v>
      </c>
      <c r="L260">
        <v>7200</v>
      </c>
      <c r="M260">
        <v>0</v>
      </c>
      <c r="N260">
        <v>20620</v>
      </c>
      <c r="O260">
        <v>1350</v>
      </c>
      <c r="P260">
        <v>0</v>
      </c>
      <c r="Q260">
        <v>0</v>
      </c>
      <c r="R260">
        <v>1800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15</v>
      </c>
      <c r="Y260">
        <v>6750</v>
      </c>
      <c r="Z260" cm="1">
        <f t="array" ref="Z260">MMULT($G260:$Y260,'Nelson Factor_2019'!$B$1:$B$19)/$G260</f>
        <v>7.1631578947368419</v>
      </c>
      <c r="AA260" cm="1">
        <f t="array" ref="AA260">MMULT($G260:$R260,'Nelson Factor_2019'!$B$1:$B$12)/$G260</f>
        <v>6.7503759398496239</v>
      </c>
    </row>
    <row r="261" spans="1:27" x14ac:dyDescent="0.25">
      <c r="A261">
        <v>2006</v>
      </c>
      <c r="B261">
        <v>4</v>
      </c>
      <c r="C261">
        <v>4</v>
      </c>
      <c r="D261" t="s">
        <v>218</v>
      </c>
      <c r="E261" t="s">
        <v>219</v>
      </c>
      <c r="F261" t="s">
        <v>220</v>
      </c>
      <c r="G261">
        <v>46000</v>
      </c>
      <c r="H261">
        <v>26000</v>
      </c>
      <c r="I261">
        <v>10000</v>
      </c>
      <c r="J261">
        <v>0</v>
      </c>
      <c r="K261">
        <v>12000</v>
      </c>
      <c r="L261">
        <v>7600</v>
      </c>
      <c r="M261">
        <v>0</v>
      </c>
      <c r="N261">
        <v>25400</v>
      </c>
      <c r="O261">
        <v>4200</v>
      </c>
      <c r="P261">
        <v>0</v>
      </c>
      <c r="Q261">
        <v>0</v>
      </c>
      <c r="R261">
        <v>1600</v>
      </c>
      <c r="S261">
        <v>0</v>
      </c>
      <c r="T261">
        <v>0</v>
      </c>
      <c r="U261">
        <v>5.5</v>
      </c>
      <c r="V261">
        <v>5.5</v>
      </c>
      <c r="W261">
        <v>560</v>
      </c>
      <c r="X261">
        <v>85</v>
      </c>
      <c r="Y261">
        <v>0</v>
      </c>
      <c r="Z261" cm="1">
        <f t="array" ref="Z261">MMULT($G261:$Y261,'Nelson Factor_2019'!$B$1:$B$19)/$G261</f>
        <v>8.598065217391305</v>
      </c>
      <c r="AA261" cm="1">
        <f t="array" ref="AA261">MMULT($G261:$R261,'Nelson Factor_2019'!$B$1:$B$12)/$G261</f>
        <v>8.1543478260869566</v>
      </c>
    </row>
    <row r="262" spans="1:27" x14ac:dyDescent="0.25">
      <c r="A262">
        <v>2006</v>
      </c>
      <c r="B262">
        <v>4</v>
      </c>
      <c r="C262">
        <v>1</v>
      </c>
      <c r="D262" t="s">
        <v>218</v>
      </c>
      <c r="E262" t="s">
        <v>221</v>
      </c>
      <c r="F262" t="s">
        <v>222</v>
      </c>
      <c r="G262">
        <v>22500</v>
      </c>
      <c r="H262">
        <v>6000</v>
      </c>
      <c r="I262">
        <v>0</v>
      </c>
      <c r="J262">
        <v>0</v>
      </c>
      <c r="K262">
        <v>10000</v>
      </c>
      <c r="L262">
        <v>5500</v>
      </c>
      <c r="M262">
        <v>0</v>
      </c>
      <c r="N262">
        <v>16000</v>
      </c>
      <c r="O262">
        <v>0</v>
      </c>
      <c r="P262">
        <v>1000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19.7</v>
      </c>
      <c r="Y262">
        <v>0</v>
      </c>
      <c r="Z262" cm="1">
        <f t="array" ref="Z262">MMULT($G262:$Y262,'Nelson Factor_2019'!$B$1:$B$19)/$G262</f>
        <v>7.6679111111111107</v>
      </c>
      <c r="AA262" cm="1">
        <f t="array" ref="AA262">MMULT($G262:$R262,'Nelson Factor_2019'!$B$1:$B$12)/$G262</f>
        <v>7.4577777777777774</v>
      </c>
    </row>
    <row r="263" spans="1:27" x14ac:dyDescent="0.25">
      <c r="A263">
        <v>2006</v>
      </c>
      <c r="B263">
        <v>4</v>
      </c>
      <c r="C263">
        <v>1</v>
      </c>
      <c r="D263" t="s">
        <v>218</v>
      </c>
      <c r="E263" t="s">
        <v>159</v>
      </c>
      <c r="F263" t="s">
        <v>223</v>
      </c>
      <c r="G263">
        <v>22000</v>
      </c>
      <c r="H263">
        <v>6500</v>
      </c>
      <c r="I263">
        <v>0</v>
      </c>
      <c r="J263">
        <v>0</v>
      </c>
      <c r="K263">
        <v>10000</v>
      </c>
      <c r="L263">
        <v>5700</v>
      </c>
      <c r="M263">
        <v>0</v>
      </c>
      <c r="N263">
        <v>15500</v>
      </c>
      <c r="O263">
        <v>0</v>
      </c>
      <c r="P263">
        <v>300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20</v>
      </c>
      <c r="Y263">
        <v>1750</v>
      </c>
      <c r="Z263" cm="1">
        <f t="array" ref="Z263">MMULT($G263:$Y263,'Nelson Factor_2019'!$B$1:$B$19)/$G263</f>
        <v>7.6420454545454541</v>
      </c>
      <c r="AA263" cm="1">
        <f t="array" ref="AA263">MMULT($G263:$R263,'Nelson Factor_2019'!$B$1:$B$12)/$G263</f>
        <v>7.3045454545454547</v>
      </c>
    </row>
    <row r="264" spans="1:27" x14ac:dyDescent="0.25">
      <c r="A264">
        <v>2006</v>
      </c>
      <c r="B264">
        <v>4</v>
      </c>
      <c r="C264">
        <v>1</v>
      </c>
      <c r="D264" t="s">
        <v>218</v>
      </c>
      <c r="E264" t="s">
        <v>224</v>
      </c>
      <c r="F264" t="s">
        <v>225</v>
      </c>
      <c r="G264">
        <v>12500</v>
      </c>
      <c r="H264">
        <v>1500</v>
      </c>
      <c r="I264">
        <v>0</v>
      </c>
      <c r="J264">
        <v>0</v>
      </c>
      <c r="K264">
        <v>5500</v>
      </c>
      <c r="L264">
        <v>2750</v>
      </c>
      <c r="M264">
        <v>0</v>
      </c>
      <c r="N264">
        <v>7500</v>
      </c>
      <c r="O264">
        <v>1300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4</v>
      </c>
      <c r="Y264">
        <v>0</v>
      </c>
      <c r="Z264" cm="1">
        <f t="array" ref="Z264">MMULT($G264:$Y264,'Nelson Factor_2019'!$B$1:$B$19)/$G264</f>
        <v>7.5128000000000004</v>
      </c>
      <c r="AA264" cm="1">
        <f t="array" ref="AA264">MMULT($G264:$R264,'Nelson Factor_2019'!$B$1:$B$12)/$G264</f>
        <v>7.4359999999999999</v>
      </c>
    </row>
    <row r="265" spans="1:27" x14ac:dyDescent="0.25">
      <c r="A265">
        <v>2007</v>
      </c>
      <c r="B265">
        <v>3</v>
      </c>
      <c r="C265">
        <v>4</v>
      </c>
      <c r="D265" t="s">
        <v>24</v>
      </c>
      <c r="E265" t="s">
        <v>25</v>
      </c>
      <c r="F265" t="s">
        <v>26</v>
      </c>
      <c r="G265">
        <v>35000</v>
      </c>
      <c r="H265">
        <v>15000</v>
      </c>
      <c r="I265">
        <v>14000</v>
      </c>
      <c r="J265">
        <v>0</v>
      </c>
      <c r="K265">
        <v>0</v>
      </c>
      <c r="L265">
        <v>7200</v>
      </c>
      <c r="M265">
        <v>0</v>
      </c>
      <c r="N265">
        <v>42000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6</v>
      </c>
      <c r="V265">
        <v>7</v>
      </c>
      <c r="W265">
        <v>500</v>
      </c>
      <c r="X265">
        <v>80</v>
      </c>
      <c r="Y265">
        <v>14000</v>
      </c>
      <c r="Z265" cm="1">
        <f t="array" ref="Z265">MMULT($G265:$Y265,'Nelson Factor_2019'!$B$1:$B$19)/$G265</f>
        <v>9.7346571428571433</v>
      </c>
      <c r="AA265" cm="1">
        <f t="array" ref="AA265">MMULT($G265:$R265,'Nelson Factor_2019'!$B$1:$B$12)/$G265</f>
        <v>8.5857142857142854</v>
      </c>
    </row>
    <row r="266" spans="1:27" x14ac:dyDescent="0.25">
      <c r="A266">
        <v>2007</v>
      </c>
      <c r="B266">
        <v>3</v>
      </c>
      <c r="C266">
        <v>2</v>
      </c>
      <c r="D266" t="s">
        <v>24</v>
      </c>
      <c r="E266" t="s">
        <v>27</v>
      </c>
      <c r="F266" t="s">
        <v>28</v>
      </c>
      <c r="G266">
        <v>85000</v>
      </c>
      <c r="H266">
        <v>28000</v>
      </c>
      <c r="I266">
        <v>0</v>
      </c>
      <c r="J266">
        <v>0</v>
      </c>
      <c r="K266">
        <v>0</v>
      </c>
      <c r="L266">
        <v>22500</v>
      </c>
      <c r="M266">
        <v>30000</v>
      </c>
      <c r="N266">
        <v>43000</v>
      </c>
      <c r="O266">
        <v>0</v>
      </c>
      <c r="P266">
        <v>0</v>
      </c>
      <c r="Q266">
        <v>0</v>
      </c>
      <c r="R266">
        <v>7500</v>
      </c>
      <c r="S266">
        <v>0</v>
      </c>
      <c r="T266">
        <v>0</v>
      </c>
      <c r="U266">
        <v>0</v>
      </c>
      <c r="V266">
        <v>6</v>
      </c>
      <c r="W266">
        <v>0</v>
      </c>
      <c r="X266">
        <v>20</v>
      </c>
      <c r="Y266">
        <v>0</v>
      </c>
      <c r="Z266" cm="1">
        <f t="array" ref="Z266">MMULT($G266:$Y266,'Nelson Factor_2019'!$B$1:$B$19)/$G266</f>
        <v>7.1612470588235295</v>
      </c>
      <c r="AA266" cm="1">
        <f t="array" ref="AA266">MMULT($G266:$R266,'Nelson Factor_2019'!$B$1:$B$12)/$G266</f>
        <v>7.104705882352941</v>
      </c>
    </row>
    <row r="267" spans="1:27" x14ac:dyDescent="0.25">
      <c r="A267">
        <v>2007</v>
      </c>
      <c r="B267">
        <v>3</v>
      </c>
      <c r="C267">
        <v>0</v>
      </c>
      <c r="D267" t="s">
        <v>24</v>
      </c>
      <c r="E267" t="s">
        <v>29</v>
      </c>
      <c r="F267" t="s">
        <v>30</v>
      </c>
      <c r="G267">
        <v>20000</v>
      </c>
      <c r="H267">
        <v>15000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 cm="1">
        <f t="array" ref="Z267">MMULT($G267:$Y267,'Nelson Factor_2019'!$B$1:$B$19)/$G267</f>
        <v>1.9750000000000001</v>
      </c>
      <c r="AA267" cm="1">
        <f t="array" ref="AA267">MMULT($G267:$R267,'Nelson Factor_2019'!$B$1:$B$12)/$G267</f>
        <v>1.9750000000000001</v>
      </c>
    </row>
    <row r="268" spans="1:27" x14ac:dyDescent="0.25">
      <c r="A268">
        <v>2007</v>
      </c>
      <c r="B268">
        <v>5</v>
      </c>
      <c r="C268">
        <v>4</v>
      </c>
      <c r="D268" t="s">
        <v>31</v>
      </c>
      <c r="E268" t="s">
        <v>32</v>
      </c>
      <c r="F268" t="s">
        <v>34</v>
      </c>
      <c r="G268">
        <v>15000</v>
      </c>
      <c r="H268">
        <v>0</v>
      </c>
      <c r="I268">
        <v>15000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 cm="1">
        <f t="array" ref="Z268">MMULT($G268:$Y268,'Nelson Factor_2019'!$B$1:$B$19)/$G268</f>
        <v>8.5</v>
      </c>
      <c r="AA268" cm="1">
        <f t="array" ref="AA268">MMULT($G268:$R268,'Nelson Factor_2019'!$B$1:$B$12)/$G268</f>
        <v>8.5</v>
      </c>
    </row>
    <row r="269" spans="1:27" x14ac:dyDescent="0.25">
      <c r="A269">
        <v>2007</v>
      </c>
      <c r="B269">
        <v>5</v>
      </c>
      <c r="C269">
        <v>4</v>
      </c>
      <c r="D269" t="s">
        <v>31</v>
      </c>
      <c r="E269" t="s">
        <v>51</v>
      </c>
      <c r="F269" t="s">
        <v>33</v>
      </c>
      <c r="G269">
        <v>14500</v>
      </c>
      <c r="H269">
        <v>0</v>
      </c>
      <c r="I269">
        <v>14500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 cm="1">
        <f t="array" ref="Z269">MMULT($G269:$Y269,'Nelson Factor_2019'!$B$1:$B$19)/$G269</f>
        <v>8.5</v>
      </c>
      <c r="AA269" cm="1">
        <f t="array" ref="AA269">MMULT($G269:$R269,'Nelson Factor_2019'!$B$1:$B$12)/$G269</f>
        <v>8.5</v>
      </c>
    </row>
    <row r="270" spans="1:27" x14ac:dyDescent="0.25">
      <c r="A270">
        <v>2007</v>
      </c>
      <c r="B270">
        <v>5</v>
      </c>
      <c r="C270">
        <v>0</v>
      </c>
      <c r="D270" t="s">
        <v>31</v>
      </c>
      <c r="E270" t="s">
        <v>35</v>
      </c>
      <c r="F270" t="s">
        <v>36</v>
      </c>
      <c r="G270">
        <v>215175</v>
      </c>
      <c r="H270">
        <v>5225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1350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1800</v>
      </c>
      <c r="Z270" cm="1">
        <f t="array" ref="Z270">MMULT($G270:$Y270,'Nelson Factor_2019'!$B$1:$B$19)/$G270</f>
        <v>1.1695945160915533</v>
      </c>
      <c r="AA270" cm="1">
        <f t="array" ref="AA270">MMULT($G270:$R270,'Nelson Factor_2019'!$B$1:$B$12)/$G270</f>
        <v>1.1570465899848961</v>
      </c>
    </row>
    <row r="271" spans="1:27" x14ac:dyDescent="0.25">
      <c r="A271">
        <v>2007</v>
      </c>
      <c r="B271">
        <v>5</v>
      </c>
      <c r="C271">
        <v>0</v>
      </c>
      <c r="D271" t="s">
        <v>31</v>
      </c>
      <c r="E271" t="s">
        <v>37</v>
      </c>
      <c r="F271" t="s">
        <v>36</v>
      </c>
      <c r="G271">
        <v>17500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 cm="1">
        <f t="array" ref="Z271">MMULT($G271:$Y271,'Nelson Factor_2019'!$B$1:$B$19)/$G271</f>
        <v>1</v>
      </c>
      <c r="AA271" cm="1">
        <f t="array" ref="AA271">MMULT($G271:$R271,'Nelson Factor_2019'!$B$1:$B$12)/$G271</f>
        <v>1</v>
      </c>
    </row>
    <row r="272" spans="1:27" x14ac:dyDescent="0.25">
      <c r="A272">
        <v>2007</v>
      </c>
      <c r="B272">
        <v>5</v>
      </c>
      <c r="C272">
        <v>0</v>
      </c>
      <c r="D272" t="s">
        <v>31</v>
      </c>
      <c r="E272" t="s">
        <v>37</v>
      </c>
      <c r="F272" t="s">
        <v>38</v>
      </c>
      <c r="G272">
        <v>48000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 cm="1">
        <f t="array" ref="Z272">MMULT($G272:$Y272,'Nelson Factor_2019'!$B$1:$B$19)/$G272</f>
        <v>1</v>
      </c>
      <c r="AA272" cm="1">
        <f t="array" ref="AA272">MMULT($G272:$R272,'Nelson Factor_2019'!$B$1:$B$12)/$G272</f>
        <v>1</v>
      </c>
    </row>
    <row r="273" spans="1:27" x14ac:dyDescent="0.25">
      <c r="A273">
        <v>2007</v>
      </c>
      <c r="B273">
        <v>5</v>
      </c>
      <c r="C273">
        <v>2</v>
      </c>
      <c r="D273" t="s">
        <v>31</v>
      </c>
      <c r="E273" t="s">
        <v>39</v>
      </c>
      <c r="F273" t="s">
        <v>40</v>
      </c>
      <c r="G273">
        <v>72000</v>
      </c>
      <c r="H273">
        <v>19000</v>
      </c>
      <c r="I273">
        <v>0</v>
      </c>
      <c r="J273">
        <v>0</v>
      </c>
      <c r="K273">
        <v>0</v>
      </c>
      <c r="L273">
        <v>12000</v>
      </c>
      <c r="M273">
        <v>12500</v>
      </c>
      <c r="N273">
        <v>12500</v>
      </c>
      <c r="O273">
        <v>0</v>
      </c>
      <c r="P273">
        <v>0</v>
      </c>
      <c r="Q273">
        <v>0</v>
      </c>
      <c r="R273">
        <v>4000</v>
      </c>
      <c r="S273">
        <v>0</v>
      </c>
      <c r="T273">
        <v>0</v>
      </c>
      <c r="U273">
        <v>13</v>
      </c>
      <c r="V273">
        <v>0</v>
      </c>
      <c r="W273">
        <v>0</v>
      </c>
      <c r="X273">
        <v>19</v>
      </c>
      <c r="Y273">
        <v>1000</v>
      </c>
      <c r="Z273" cm="1">
        <f t="array" ref="Z273">MMULT($G273:$Y273,'Nelson Factor_2019'!$B$1:$B$19)/$G273</f>
        <v>4.2503194444444441</v>
      </c>
      <c r="AA273" cm="1">
        <f t="array" ref="AA273">MMULT($G273:$R273,'Nelson Factor_2019'!$B$1:$B$12)/$G273</f>
        <v>4.165972222222222</v>
      </c>
    </row>
    <row r="274" spans="1:27" x14ac:dyDescent="0.25">
      <c r="A274">
        <v>2007</v>
      </c>
      <c r="B274">
        <v>3</v>
      </c>
      <c r="C274">
        <v>0</v>
      </c>
      <c r="D274" t="s">
        <v>41</v>
      </c>
      <c r="E274" t="s">
        <v>42</v>
      </c>
      <c r="F274" t="s">
        <v>43</v>
      </c>
      <c r="G274">
        <v>7000</v>
      </c>
      <c r="H274">
        <v>3000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4500</v>
      </c>
      <c r="O274">
        <v>0</v>
      </c>
      <c r="P274">
        <v>0</v>
      </c>
      <c r="Q274">
        <v>0</v>
      </c>
      <c r="R274">
        <v>0</v>
      </c>
      <c r="S274">
        <v>4500</v>
      </c>
      <c r="T274">
        <v>0</v>
      </c>
      <c r="U274">
        <v>2.5</v>
      </c>
      <c r="V274">
        <v>0</v>
      </c>
      <c r="W274">
        <v>0</v>
      </c>
      <c r="X274">
        <v>0</v>
      </c>
      <c r="Y274">
        <v>1500</v>
      </c>
      <c r="Z274" cm="1">
        <f t="array" ref="Z274">MMULT($G274:$Y274,'Nelson Factor_2019'!$B$1:$B$19)/$G274</f>
        <v>42.057499999999997</v>
      </c>
      <c r="AA274" cm="1">
        <f t="array" ref="AA274">MMULT($G274:$R274,'Nelson Factor_2019'!$B$1:$B$12)/$G274</f>
        <v>3.1642857142857141</v>
      </c>
    </row>
    <row r="275" spans="1:27" x14ac:dyDescent="0.25">
      <c r="A275">
        <v>2007</v>
      </c>
      <c r="B275">
        <v>3</v>
      </c>
      <c r="C275">
        <v>1</v>
      </c>
      <c r="D275" t="s">
        <v>41</v>
      </c>
      <c r="E275" t="s">
        <v>44</v>
      </c>
      <c r="F275" t="s">
        <v>45</v>
      </c>
      <c r="G275">
        <v>70000</v>
      </c>
      <c r="H275">
        <v>27075</v>
      </c>
      <c r="I275">
        <v>0</v>
      </c>
      <c r="J275">
        <v>0</v>
      </c>
      <c r="K275">
        <v>19500</v>
      </c>
      <c r="L275">
        <v>13320</v>
      </c>
      <c r="M275">
        <v>0</v>
      </c>
      <c r="N275">
        <v>74070</v>
      </c>
      <c r="O275">
        <v>4500</v>
      </c>
      <c r="P275">
        <v>0</v>
      </c>
      <c r="Q275">
        <v>0</v>
      </c>
      <c r="R275">
        <v>5940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157</v>
      </c>
      <c r="Y275">
        <v>10800</v>
      </c>
      <c r="Z275" cm="1">
        <f t="array" ref="Z275">MMULT($G275:$Y275,'Nelson Factor_2019'!$B$1:$B$19)/$G275</f>
        <v>8.4381785714285709</v>
      </c>
      <c r="AA275" cm="1">
        <f t="array" ref="AA275">MMULT($G275:$R275,'Nelson Factor_2019'!$B$1:$B$12)/$G275</f>
        <v>7.6684642857142853</v>
      </c>
    </row>
    <row r="276" spans="1:27" x14ac:dyDescent="0.25">
      <c r="A276">
        <v>2007</v>
      </c>
      <c r="B276">
        <v>5</v>
      </c>
      <c r="C276">
        <v>5</v>
      </c>
      <c r="D276" t="s">
        <v>46</v>
      </c>
      <c r="E276" t="s">
        <v>226</v>
      </c>
      <c r="F276" t="s">
        <v>57</v>
      </c>
      <c r="G276">
        <v>65000</v>
      </c>
      <c r="H276">
        <v>39000</v>
      </c>
      <c r="I276">
        <v>22000</v>
      </c>
      <c r="J276">
        <v>0</v>
      </c>
      <c r="K276">
        <v>0</v>
      </c>
      <c r="L276">
        <v>14700</v>
      </c>
      <c r="M276">
        <v>23500</v>
      </c>
      <c r="N276">
        <v>21900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24.7</v>
      </c>
      <c r="V276">
        <v>5</v>
      </c>
      <c r="W276">
        <v>1200</v>
      </c>
      <c r="X276">
        <v>103</v>
      </c>
      <c r="Y276">
        <v>0</v>
      </c>
      <c r="Z276" cm="1">
        <f t="array" ref="Z276">MMULT($G276:$Y276,'Nelson Factor_2019'!$B$1:$B$19)/$G276</f>
        <v>9.564610769230768</v>
      </c>
      <c r="AA276" cm="1">
        <f t="array" ref="AA276">MMULT($G276:$R276,'Nelson Factor_2019'!$B$1:$B$12)/$G276</f>
        <v>9.1838461538461544</v>
      </c>
    </row>
    <row r="277" spans="1:27" x14ac:dyDescent="0.25">
      <c r="A277">
        <v>2007</v>
      </c>
      <c r="B277">
        <v>5</v>
      </c>
      <c r="C277">
        <v>6</v>
      </c>
      <c r="D277" t="s">
        <v>46</v>
      </c>
      <c r="E277" t="s">
        <v>32</v>
      </c>
      <c r="F277" t="s">
        <v>47</v>
      </c>
      <c r="G277">
        <v>247000</v>
      </c>
      <c r="H277">
        <v>123500</v>
      </c>
      <c r="I277">
        <v>58500</v>
      </c>
      <c r="J277">
        <v>0</v>
      </c>
      <c r="K277">
        <v>86400</v>
      </c>
      <c r="L277">
        <v>46800</v>
      </c>
      <c r="M277">
        <v>38700</v>
      </c>
      <c r="N277">
        <v>171000</v>
      </c>
      <c r="O277">
        <v>15000</v>
      </c>
      <c r="P277">
        <v>2800</v>
      </c>
      <c r="Q277">
        <v>0</v>
      </c>
      <c r="R277">
        <v>41600</v>
      </c>
      <c r="S277">
        <v>0</v>
      </c>
      <c r="T277">
        <v>2700</v>
      </c>
      <c r="U277">
        <v>105</v>
      </c>
      <c r="V277">
        <v>0</v>
      </c>
      <c r="W277">
        <v>2400</v>
      </c>
      <c r="X277">
        <v>350</v>
      </c>
      <c r="Y277">
        <v>0</v>
      </c>
      <c r="Z277" cm="1">
        <f t="array" ref="Z277">MMULT($G277:$Y277,'Nelson Factor_2019'!$B$1:$B$19)/$G277</f>
        <v>11.13240890688259</v>
      </c>
      <c r="AA277" cm="1">
        <f t="array" ref="AA277">MMULT($G277:$R277,'Nelson Factor_2019'!$B$1:$B$12)/$G277</f>
        <v>10.682591093117409</v>
      </c>
    </row>
    <row r="278" spans="1:27" x14ac:dyDescent="0.25">
      <c r="A278">
        <v>2007</v>
      </c>
      <c r="B278">
        <v>5</v>
      </c>
      <c r="C278">
        <v>6</v>
      </c>
      <c r="D278" t="s">
        <v>46</v>
      </c>
      <c r="E278" t="s">
        <v>227</v>
      </c>
      <c r="F278" t="s">
        <v>49</v>
      </c>
      <c r="G278">
        <v>260000</v>
      </c>
      <c r="H278">
        <v>136000</v>
      </c>
      <c r="I278">
        <v>59000</v>
      </c>
      <c r="J278">
        <v>0</v>
      </c>
      <c r="K278">
        <v>61000</v>
      </c>
      <c r="L278">
        <v>44000</v>
      </c>
      <c r="M278">
        <v>46000</v>
      </c>
      <c r="N278">
        <v>228000</v>
      </c>
      <c r="O278">
        <v>30000</v>
      </c>
      <c r="P278">
        <v>0</v>
      </c>
      <c r="Q278">
        <v>0</v>
      </c>
      <c r="R278">
        <v>28000</v>
      </c>
      <c r="S278">
        <v>0</v>
      </c>
      <c r="T278">
        <v>0</v>
      </c>
      <c r="U278">
        <v>217</v>
      </c>
      <c r="V278">
        <v>0</v>
      </c>
      <c r="W278">
        <v>4064</v>
      </c>
      <c r="X278">
        <v>544</v>
      </c>
      <c r="Y278">
        <v>0</v>
      </c>
      <c r="Z278" cm="1">
        <f t="array" ref="Z278">MMULT($G278:$Y278,'Nelson Factor_2019'!$B$1:$B$19)/$G278</f>
        <v>11.223373076923076</v>
      </c>
      <c r="AA278" cm="1">
        <f t="array" ref="AA278">MMULT($G278:$R278,'Nelson Factor_2019'!$B$1:$B$12)/$G278</f>
        <v>10.720384615384615</v>
      </c>
    </row>
    <row r="279" spans="1:27" x14ac:dyDescent="0.25">
      <c r="A279">
        <v>2007</v>
      </c>
      <c r="B279">
        <v>5</v>
      </c>
      <c r="C279">
        <v>3</v>
      </c>
      <c r="D279" t="s">
        <v>46</v>
      </c>
      <c r="E279" t="s">
        <v>227</v>
      </c>
      <c r="F279" t="s">
        <v>50</v>
      </c>
      <c r="G279">
        <v>243000</v>
      </c>
      <c r="H279">
        <v>110000</v>
      </c>
      <c r="I279">
        <v>0</v>
      </c>
      <c r="J279">
        <v>0</v>
      </c>
      <c r="K279">
        <v>80000</v>
      </c>
      <c r="L279">
        <v>69000</v>
      </c>
      <c r="M279">
        <v>148000</v>
      </c>
      <c r="N279">
        <v>171000</v>
      </c>
      <c r="O279">
        <v>24000</v>
      </c>
      <c r="P279">
        <v>3700</v>
      </c>
      <c r="Q279">
        <v>0</v>
      </c>
      <c r="R279">
        <v>36600</v>
      </c>
      <c r="S279">
        <v>16000</v>
      </c>
      <c r="T279">
        <v>0</v>
      </c>
      <c r="U279">
        <v>150</v>
      </c>
      <c r="V279">
        <v>20</v>
      </c>
      <c r="W279">
        <v>0</v>
      </c>
      <c r="X279">
        <v>600</v>
      </c>
      <c r="Y279">
        <v>0</v>
      </c>
      <c r="Z279" cm="1">
        <f t="array" ref="Z279">MMULT($G279:$Y279,'Nelson Factor_2019'!$B$1:$B$19)/$G279</f>
        <v>17.750905349794238</v>
      </c>
      <c r="AA279" cm="1">
        <f t="array" ref="AA279">MMULT($G279:$R279,'Nelson Factor_2019'!$B$1:$B$12)/$G279</f>
        <v>13.206995884773663</v>
      </c>
    </row>
    <row r="280" spans="1:27" x14ac:dyDescent="0.25">
      <c r="A280">
        <v>2007</v>
      </c>
      <c r="B280">
        <v>5</v>
      </c>
      <c r="C280">
        <v>6</v>
      </c>
      <c r="D280" t="s">
        <v>46</v>
      </c>
      <c r="E280" t="s">
        <v>51</v>
      </c>
      <c r="F280" t="s">
        <v>52</v>
      </c>
      <c r="G280">
        <v>138700</v>
      </c>
      <c r="H280">
        <v>78000</v>
      </c>
      <c r="I280">
        <v>48000</v>
      </c>
      <c r="J280">
        <v>0</v>
      </c>
      <c r="K280">
        <v>45000</v>
      </c>
      <c r="L280">
        <v>35200</v>
      </c>
      <c r="M280">
        <v>24750</v>
      </c>
      <c r="N280">
        <v>135850</v>
      </c>
      <c r="O280">
        <v>14200</v>
      </c>
      <c r="P280">
        <v>0</v>
      </c>
      <c r="Q280">
        <v>0</v>
      </c>
      <c r="R280">
        <v>17500</v>
      </c>
      <c r="S280">
        <v>0</v>
      </c>
      <c r="T280">
        <v>0</v>
      </c>
      <c r="U280">
        <v>100.8</v>
      </c>
      <c r="V280">
        <v>0</v>
      </c>
      <c r="W280">
        <v>2000</v>
      </c>
      <c r="X280">
        <v>340</v>
      </c>
      <c r="Y280">
        <v>0</v>
      </c>
      <c r="Z280" cm="1">
        <f t="array" ref="Z280">MMULT($G280:$Y280,'Nelson Factor_2019'!$B$1:$B$19)/$G280</f>
        <v>13.409702956020189</v>
      </c>
      <c r="AA280" cm="1">
        <f t="array" ref="AA280">MMULT($G280:$R280,'Nelson Factor_2019'!$B$1:$B$12)/$G280</f>
        <v>12.820656092285509</v>
      </c>
    </row>
    <row r="281" spans="1:27" x14ac:dyDescent="0.25">
      <c r="A281">
        <v>2007</v>
      </c>
      <c r="B281">
        <v>5</v>
      </c>
      <c r="C281">
        <v>5</v>
      </c>
      <c r="D281" t="s">
        <v>46</v>
      </c>
      <c r="E281" t="s">
        <v>51</v>
      </c>
      <c r="F281" t="s">
        <v>53</v>
      </c>
      <c r="G281">
        <v>120000</v>
      </c>
      <c r="H281">
        <v>87000</v>
      </c>
      <c r="I281">
        <v>54000</v>
      </c>
      <c r="J281">
        <v>0</v>
      </c>
      <c r="K281">
        <v>0</v>
      </c>
      <c r="L281">
        <v>31000</v>
      </c>
      <c r="M281">
        <v>37000</v>
      </c>
      <c r="N281">
        <v>73000</v>
      </c>
      <c r="O281">
        <v>0</v>
      </c>
      <c r="P281">
        <v>0</v>
      </c>
      <c r="Q281">
        <v>0</v>
      </c>
      <c r="R281">
        <v>9000</v>
      </c>
      <c r="S281">
        <v>0</v>
      </c>
      <c r="T281">
        <v>0</v>
      </c>
      <c r="U281">
        <v>88</v>
      </c>
      <c r="V281">
        <v>3</v>
      </c>
      <c r="W281">
        <v>2400</v>
      </c>
      <c r="X281">
        <v>480</v>
      </c>
      <c r="Y281">
        <v>0</v>
      </c>
      <c r="Z281" cm="1">
        <f t="array" ref="Z281">MMULT($G281:$Y281,'Nelson Factor_2019'!$B$1:$B$19)/$G281</f>
        <v>11.782425</v>
      </c>
      <c r="AA281" cm="1">
        <f t="array" ref="AA281">MMULT($G281:$R281,'Nelson Factor_2019'!$B$1:$B$12)/$G281</f>
        <v>10.821666666666667</v>
      </c>
    </row>
    <row r="282" spans="1:27" x14ac:dyDescent="0.25">
      <c r="A282">
        <v>2007</v>
      </c>
      <c r="B282">
        <v>5</v>
      </c>
      <c r="C282">
        <v>6</v>
      </c>
      <c r="D282" t="s">
        <v>46</v>
      </c>
      <c r="E282" t="s">
        <v>54</v>
      </c>
      <c r="F282" t="s">
        <v>55</v>
      </c>
      <c r="G282">
        <v>149500</v>
      </c>
      <c r="H282">
        <v>98500</v>
      </c>
      <c r="I282">
        <v>52500</v>
      </c>
      <c r="J282">
        <v>0</v>
      </c>
      <c r="K282">
        <v>96000</v>
      </c>
      <c r="L282">
        <v>19000</v>
      </c>
      <c r="M282">
        <v>20500</v>
      </c>
      <c r="N282">
        <v>143500</v>
      </c>
      <c r="O282">
        <v>23500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146</v>
      </c>
      <c r="V282">
        <v>14</v>
      </c>
      <c r="W282">
        <v>3050</v>
      </c>
      <c r="X282">
        <v>400</v>
      </c>
      <c r="Y282">
        <v>0</v>
      </c>
      <c r="Z282" cm="1">
        <f t="array" ref="Z282">MMULT($G282:$Y282,'Nelson Factor_2019'!$B$1:$B$19)/$G282</f>
        <v>14.690367892976589</v>
      </c>
      <c r="AA282" cm="1">
        <f t="array" ref="AA282">MMULT($G282:$R282,'Nelson Factor_2019'!$B$1:$B$12)/$G282</f>
        <v>14.047157190635451</v>
      </c>
    </row>
    <row r="283" spans="1:27" x14ac:dyDescent="0.25">
      <c r="A283">
        <v>2007</v>
      </c>
      <c r="B283">
        <v>5</v>
      </c>
      <c r="C283">
        <v>0</v>
      </c>
      <c r="D283" t="s">
        <v>46</v>
      </c>
      <c r="E283" t="s">
        <v>56</v>
      </c>
      <c r="F283" t="s">
        <v>57</v>
      </c>
      <c r="G283">
        <v>25000</v>
      </c>
      <c r="H283">
        <v>0</v>
      </c>
      <c r="I283">
        <v>0</v>
      </c>
      <c r="J283">
        <v>0</v>
      </c>
      <c r="K283">
        <v>0</v>
      </c>
      <c r="L283">
        <v>3000</v>
      </c>
      <c r="M283">
        <v>0</v>
      </c>
      <c r="N283">
        <v>13000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4.5</v>
      </c>
      <c r="Y283">
        <v>0</v>
      </c>
      <c r="Z283" cm="1">
        <f t="array" ref="Z283">MMULT($G283:$Y283,'Nelson Factor_2019'!$B$1:$B$19)/$G283</f>
        <v>2.9432</v>
      </c>
      <c r="AA283" cm="1">
        <f t="array" ref="AA283">MMULT($G283:$R283,'Nelson Factor_2019'!$B$1:$B$12)/$G283</f>
        <v>2.9</v>
      </c>
    </row>
    <row r="284" spans="1:27" x14ac:dyDescent="0.25">
      <c r="A284">
        <v>2007</v>
      </c>
      <c r="B284">
        <v>5</v>
      </c>
      <c r="C284">
        <v>0</v>
      </c>
      <c r="D284" t="s">
        <v>46</v>
      </c>
      <c r="E284" t="s">
        <v>58</v>
      </c>
      <c r="F284" t="s">
        <v>230</v>
      </c>
      <c r="G284">
        <v>52000</v>
      </c>
      <c r="H284">
        <v>30000</v>
      </c>
      <c r="I284">
        <v>0</v>
      </c>
      <c r="J284">
        <v>0</v>
      </c>
      <c r="K284">
        <v>0</v>
      </c>
      <c r="L284">
        <v>10000</v>
      </c>
      <c r="M284">
        <v>0</v>
      </c>
      <c r="N284">
        <v>29000</v>
      </c>
      <c r="O284">
        <v>0</v>
      </c>
      <c r="P284">
        <v>0</v>
      </c>
      <c r="Q284">
        <v>0</v>
      </c>
      <c r="R284">
        <v>3750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40</v>
      </c>
      <c r="Y284">
        <v>16500</v>
      </c>
      <c r="Z284" cm="1">
        <f t="array" ref="Z284">MMULT($G284:$Y284,'Nelson Factor_2019'!$B$1:$B$19)/$G284</f>
        <v>4.9826923076923073</v>
      </c>
      <c r="AA284" cm="1">
        <f t="array" ref="AA284">MMULT($G284:$R284,'Nelson Factor_2019'!$B$1:$B$12)/$G284</f>
        <v>4.322115384615385</v>
      </c>
    </row>
    <row r="285" spans="1:27" x14ac:dyDescent="0.25">
      <c r="A285">
        <v>2007</v>
      </c>
      <c r="B285">
        <v>5</v>
      </c>
      <c r="C285">
        <v>0</v>
      </c>
      <c r="D285" t="s">
        <v>46</v>
      </c>
      <c r="E285" t="s">
        <v>60</v>
      </c>
      <c r="F285" t="s">
        <v>57</v>
      </c>
      <c r="G285">
        <v>24300</v>
      </c>
      <c r="H285">
        <v>14300</v>
      </c>
      <c r="I285">
        <v>0</v>
      </c>
      <c r="J285">
        <v>10000</v>
      </c>
      <c r="K285">
        <v>0</v>
      </c>
      <c r="L285">
        <v>0</v>
      </c>
      <c r="M285">
        <v>0</v>
      </c>
      <c r="N285">
        <v>3000</v>
      </c>
      <c r="O285">
        <v>0</v>
      </c>
      <c r="P285">
        <v>0</v>
      </c>
      <c r="Q285">
        <v>0</v>
      </c>
      <c r="R285">
        <v>0</v>
      </c>
      <c r="S285">
        <v>4000</v>
      </c>
      <c r="T285">
        <v>0</v>
      </c>
      <c r="U285">
        <v>3.5</v>
      </c>
      <c r="V285">
        <v>0</v>
      </c>
      <c r="W285">
        <v>0</v>
      </c>
      <c r="X285">
        <v>6</v>
      </c>
      <c r="Y285">
        <v>5000</v>
      </c>
      <c r="Z285" cm="1">
        <f t="array" ref="Z285">MMULT($G285:$Y285,'Nelson Factor_2019'!$B$1:$B$19)/$G285</f>
        <v>13.449938271604939</v>
      </c>
      <c r="AA285" cm="1">
        <f t="array" ref="AA285">MMULT($G285:$R285,'Nelson Factor_2019'!$B$1:$B$12)/$G285</f>
        <v>3.2053497942386833</v>
      </c>
    </row>
    <row r="286" spans="1:27" x14ac:dyDescent="0.25">
      <c r="A286">
        <v>2007</v>
      </c>
      <c r="B286">
        <v>5</v>
      </c>
      <c r="C286">
        <v>6</v>
      </c>
      <c r="D286" t="s">
        <v>46</v>
      </c>
      <c r="E286" t="s">
        <v>61</v>
      </c>
      <c r="F286" t="s">
        <v>62</v>
      </c>
      <c r="G286">
        <v>157600</v>
      </c>
      <c r="H286">
        <v>95100</v>
      </c>
      <c r="I286">
        <v>48400</v>
      </c>
      <c r="J286">
        <v>0</v>
      </c>
      <c r="K286">
        <v>70700</v>
      </c>
      <c r="L286">
        <v>29400</v>
      </c>
      <c r="M286">
        <v>39700</v>
      </c>
      <c r="N286">
        <v>189600</v>
      </c>
      <c r="O286">
        <v>11500</v>
      </c>
      <c r="P286">
        <v>2900</v>
      </c>
      <c r="Q286">
        <v>0</v>
      </c>
      <c r="R286">
        <v>14500</v>
      </c>
      <c r="S286">
        <v>0</v>
      </c>
      <c r="T286">
        <v>0</v>
      </c>
      <c r="U286">
        <v>101.3</v>
      </c>
      <c r="V286">
        <v>0</v>
      </c>
      <c r="W286">
        <v>1181</v>
      </c>
      <c r="X286">
        <v>402</v>
      </c>
      <c r="Y286">
        <v>15000</v>
      </c>
      <c r="Z286" cm="1">
        <f t="array" ref="Z286">MMULT($G286:$Y286,'Nelson Factor_2019'!$B$1:$B$19)/$G286</f>
        <v>14.680274746192893</v>
      </c>
      <c r="AA286" cm="1">
        <f t="array" ref="AA286">MMULT($G286:$R286,'Nelson Factor_2019'!$B$1:$B$12)/$G286</f>
        <v>13.924682741116751</v>
      </c>
    </row>
    <row r="287" spans="1:27" x14ac:dyDescent="0.25">
      <c r="A287">
        <v>2007</v>
      </c>
      <c r="B287">
        <v>5</v>
      </c>
      <c r="C287">
        <v>6</v>
      </c>
      <c r="D287" t="s">
        <v>46</v>
      </c>
      <c r="E287" t="s">
        <v>61</v>
      </c>
      <c r="F287" t="s">
        <v>63</v>
      </c>
      <c r="G287">
        <v>100000</v>
      </c>
      <c r="H287">
        <v>62000</v>
      </c>
      <c r="I287">
        <v>40000</v>
      </c>
      <c r="J287">
        <v>0</v>
      </c>
      <c r="K287">
        <v>36000</v>
      </c>
      <c r="L287">
        <v>32500</v>
      </c>
      <c r="M287">
        <v>32000</v>
      </c>
      <c r="N287">
        <v>101250</v>
      </c>
      <c r="O287">
        <v>12000</v>
      </c>
      <c r="P287">
        <v>0</v>
      </c>
      <c r="Q287">
        <v>0</v>
      </c>
      <c r="R287">
        <v>8000</v>
      </c>
      <c r="S287">
        <v>0</v>
      </c>
      <c r="T287">
        <v>0</v>
      </c>
      <c r="U287">
        <v>55</v>
      </c>
      <c r="V287">
        <v>55</v>
      </c>
      <c r="W287">
        <v>1615</v>
      </c>
      <c r="X287">
        <v>265</v>
      </c>
      <c r="Y287">
        <v>0</v>
      </c>
      <c r="Z287" cm="1">
        <f t="array" ref="Z287">MMULT($G287:$Y287,'Nelson Factor_2019'!$B$1:$B$19)/$G287</f>
        <v>15.75935</v>
      </c>
      <c r="AA287" cm="1">
        <f t="array" ref="AA287">MMULT($G287:$R287,'Nelson Factor_2019'!$B$1:$B$12)/$G287</f>
        <v>15.122249999999999</v>
      </c>
    </row>
    <row r="288" spans="1:27" x14ac:dyDescent="0.25">
      <c r="A288">
        <v>2007</v>
      </c>
      <c r="B288">
        <v>5</v>
      </c>
      <c r="C288">
        <v>6</v>
      </c>
      <c r="D288" t="s">
        <v>46</v>
      </c>
      <c r="E288" t="s">
        <v>64</v>
      </c>
      <c r="F288" t="s">
        <v>65</v>
      </c>
      <c r="G288">
        <v>161000</v>
      </c>
      <c r="H288">
        <v>144000</v>
      </c>
      <c r="I288">
        <v>42000</v>
      </c>
      <c r="J288">
        <v>0</v>
      </c>
      <c r="K288">
        <v>66500</v>
      </c>
      <c r="L288">
        <v>42000</v>
      </c>
      <c r="M288">
        <v>32000</v>
      </c>
      <c r="N288">
        <v>172500</v>
      </c>
      <c r="O288">
        <v>14000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105</v>
      </c>
      <c r="V288">
        <v>0</v>
      </c>
      <c r="W288">
        <v>1500</v>
      </c>
      <c r="X288">
        <v>140</v>
      </c>
      <c r="Y288">
        <v>0</v>
      </c>
      <c r="Z288" cm="1">
        <f t="array" ref="Z288">MMULT($G288:$Y288,'Nelson Factor_2019'!$B$1:$B$19)/$G288</f>
        <v>13.249409937888199</v>
      </c>
      <c r="AA288" cm="1">
        <f t="array" ref="AA288">MMULT($G288:$R288,'Nelson Factor_2019'!$B$1:$B$12)/$G288</f>
        <v>13.040062111801243</v>
      </c>
    </row>
    <row r="289" spans="1:27" x14ac:dyDescent="0.25">
      <c r="A289">
        <v>2007</v>
      </c>
      <c r="B289">
        <v>5</v>
      </c>
      <c r="C289">
        <v>6</v>
      </c>
      <c r="D289" t="s">
        <v>46</v>
      </c>
      <c r="E289" t="s">
        <v>66</v>
      </c>
      <c r="F289" t="s">
        <v>67</v>
      </c>
      <c r="G289">
        <v>139500</v>
      </c>
      <c r="H289">
        <v>78500</v>
      </c>
      <c r="I289">
        <v>28000</v>
      </c>
      <c r="J289">
        <v>0</v>
      </c>
      <c r="K289">
        <v>69000</v>
      </c>
      <c r="L289">
        <v>36000</v>
      </c>
      <c r="M289">
        <v>36000</v>
      </c>
      <c r="N289">
        <v>146000</v>
      </c>
      <c r="O289">
        <v>17100</v>
      </c>
      <c r="P289">
        <v>2900</v>
      </c>
      <c r="Q289">
        <v>0</v>
      </c>
      <c r="R289">
        <v>0</v>
      </c>
      <c r="S289">
        <v>0</v>
      </c>
      <c r="T289">
        <v>0</v>
      </c>
      <c r="U289">
        <v>131.5</v>
      </c>
      <c r="V289">
        <v>0</v>
      </c>
      <c r="W289">
        <v>1080</v>
      </c>
      <c r="X289">
        <v>275</v>
      </c>
      <c r="Y289">
        <v>5000</v>
      </c>
      <c r="Z289" cm="1">
        <f t="array" ref="Z289">MMULT($G289:$Y289,'Nelson Factor_2019'!$B$1:$B$19)/$G289</f>
        <v>14.137501792114696</v>
      </c>
      <c r="AA289" cm="1">
        <f t="array" ref="AA289">MMULT($G289:$R289,'Nelson Factor_2019'!$B$1:$B$12)/$G289</f>
        <v>13.609677419354838</v>
      </c>
    </row>
    <row r="290" spans="1:27" x14ac:dyDescent="0.25">
      <c r="A290">
        <v>2007</v>
      </c>
      <c r="B290">
        <v>5</v>
      </c>
      <c r="C290">
        <v>4</v>
      </c>
      <c r="D290" t="s">
        <v>46</v>
      </c>
      <c r="E290" t="s">
        <v>66</v>
      </c>
      <c r="F290" t="s">
        <v>63</v>
      </c>
      <c r="G290">
        <v>80000</v>
      </c>
      <c r="H290">
        <v>46000</v>
      </c>
      <c r="I290">
        <v>28000</v>
      </c>
      <c r="J290">
        <v>0</v>
      </c>
      <c r="K290">
        <v>54000</v>
      </c>
      <c r="L290">
        <v>17500</v>
      </c>
      <c r="M290">
        <v>0</v>
      </c>
      <c r="N290">
        <v>139500</v>
      </c>
      <c r="O290">
        <v>14500</v>
      </c>
      <c r="P290">
        <v>0</v>
      </c>
      <c r="Q290">
        <v>0</v>
      </c>
      <c r="R290">
        <v>10200</v>
      </c>
      <c r="S290">
        <v>0</v>
      </c>
      <c r="T290">
        <v>0</v>
      </c>
      <c r="U290">
        <v>50</v>
      </c>
      <c r="V290">
        <v>0</v>
      </c>
      <c r="W290">
        <v>1700</v>
      </c>
      <c r="X290">
        <v>250</v>
      </c>
      <c r="Y290">
        <v>0</v>
      </c>
      <c r="Z290" cm="1">
        <f t="array" ref="Z290">MMULT($G290:$Y290,'Nelson Factor_2019'!$B$1:$B$19)/$G290</f>
        <v>16.821249999999999</v>
      </c>
      <c r="AA290" cm="1">
        <f t="array" ref="AA290">MMULT($G290:$R290,'Nelson Factor_2019'!$B$1:$B$12)/$G290</f>
        <v>16.070625</v>
      </c>
    </row>
    <row r="291" spans="1:27" x14ac:dyDescent="0.25">
      <c r="A291">
        <v>2007</v>
      </c>
      <c r="B291">
        <v>4</v>
      </c>
      <c r="C291">
        <v>1</v>
      </c>
      <c r="D291" t="s">
        <v>68</v>
      </c>
      <c r="E291" t="s">
        <v>231</v>
      </c>
      <c r="F291" t="s">
        <v>70</v>
      </c>
      <c r="G291">
        <v>92000</v>
      </c>
      <c r="H291">
        <v>34500</v>
      </c>
      <c r="I291">
        <v>0</v>
      </c>
      <c r="J291">
        <v>0</v>
      </c>
      <c r="K291">
        <v>27000</v>
      </c>
      <c r="L291">
        <v>18100</v>
      </c>
      <c r="M291">
        <v>0</v>
      </c>
      <c r="N291">
        <v>43100</v>
      </c>
      <c r="O291">
        <v>0</v>
      </c>
      <c r="P291">
        <v>3500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94</v>
      </c>
      <c r="Y291">
        <v>10500</v>
      </c>
      <c r="Z291" cm="1">
        <f t="array" ref="Z291">MMULT($G291:$Y291,'Nelson Factor_2019'!$B$1:$B$19)/$G291</f>
        <v>6.2001086956521743</v>
      </c>
      <c r="AA291" cm="1">
        <f t="array" ref="AA291">MMULT($G291:$R291,'Nelson Factor_2019'!$B$1:$B$12)/$G291</f>
        <v>5.7836956521739129</v>
      </c>
    </row>
    <row r="292" spans="1:27" x14ac:dyDescent="0.25">
      <c r="A292">
        <v>2007</v>
      </c>
      <c r="B292">
        <v>4</v>
      </c>
      <c r="C292">
        <v>1</v>
      </c>
      <c r="D292" t="s">
        <v>68</v>
      </c>
      <c r="E292" t="s">
        <v>231</v>
      </c>
      <c r="F292" t="s">
        <v>71</v>
      </c>
      <c r="G292">
        <v>30000</v>
      </c>
      <c r="H292">
        <v>9500</v>
      </c>
      <c r="I292">
        <v>0</v>
      </c>
      <c r="J292">
        <v>0</v>
      </c>
      <c r="K292">
        <v>8000</v>
      </c>
      <c r="L292">
        <v>9000</v>
      </c>
      <c r="M292">
        <v>0</v>
      </c>
      <c r="N292">
        <v>9000</v>
      </c>
      <c r="O292">
        <v>0</v>
      </c>
      <c r="P292">
        <v>900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4</v>
      </c>
      <c r="Y292">
        <v>0</v>
      </c>
      <c r="Z292" cm="1">
        <f t="array" ref="Z292">MMULT($G292:$Y292,'Nelson Factor_2019'!$B$1:$B$19)/$G292</f>
        <v>5.5936666666666666</v>
      </c>
      <c r="AA292" cm="1">
        <f t="array" ref="AA292">MMULT($G292:$R292,'Nelson Factor_2019'!$B$1:$B$12)/$G292</f>
        <v>5.5616666666666665</v>
      </c>
    </row>
    <row r="293" spans="1:27" x14ac:dyDescent="0.25">
      <c r="A293">
        <v>2007</v>
      </c>
      <c r="B293">
        <v>1</v>
      </c>
      <c r="C293">
        <v>6</v>
      </c>
      <c r="D293" t="s">
        <v>72</v>
      </c>
      <c r="E293" t="s">
        <v>66</v>
      </c>
      <c r="F293" t="s">
        <v>74</v>
      </c>
      <c r="G293">
        <v>190000</v>
      </c>
      <c r="H293">
        <v>102000</v>
      </c>
      <c r="I293">
        <v>47000</v>
      </c>
      <c r="J293">
        <v>0</v>
      </c>
      <c r="K293">
        <v>82000</v>
      </c>
      <c r="L293">
        <v>43000</v>
      </c>
      <c r="M293">
        <v>18000</v>
      </c>
      <c r="N293">
        <v>130000</v>
      </c>
      <c r="O293">
        <v>11000</v>
      </c>
      <c r="P293">
        <v>5040</v>
      </c>
      <c r="Q293">
        <v>1260</v>
      </c>
      <c r="R293">
        <v>6000</v>
      </c>
      <c r="S293">
        <v>0</v>
      </c>
      <c r="T293">
        <v>0</v>
      </c>
      <c r="U293">
        <v>40</v>
      </c>
      <c r="V293">
        <v>22</v>
      </c>
      <c r="W293">
        <v>2200</v>
      </c>
      <c r="X293">
        <v>532</v>
      </c>
      <c r="Y293">
        <v>0</v>
      </c>
      <c r="Z293" cm="1">
        <f t="array" ref="Z293">MMULT($G293:$Y293,'Nelson Factor_2019'!$B$1:$B$19)/$G293</f>
        <v>11.486536842105263</v>
      </c>
      <c r="AA293" cm="1">
        <f t="array" ref="AA293">MMULT($G293:$R293,'Nelson Factor_2019'!$B$1:$B$12)/$G293</f>
        <v>10.81421052631579</v>
      </c>
    </row>
    <row r="294" spans="1:27" x14ac:dyDescent="0.25">
      <c r="A294">
        <v>2007</v>
      </c>
      <c r="B294">
        <v>5</v>
      </c>
      <c r="C294">
        <v>1</v>
      </c>
      <c r="D294" t="s">
        <v>75</v>
      </c>
      <c r="E294" t="s">
        <v>48</v>
      </c>
      <c r="F294" t="s">
        <v>76</v>
      </c>
      <c r="G294">
        <v>54000</v>
      </c>
      <c r="H294">
        <v>30000</v>
      </c>
      <c r="I294">
        <v>0</v>
      </c>
      <c r="J294">
        <v>0</v>
      </c>
      <c r="K294">
        <v>21000</v>
      </c>
      <c r="L294">
        <v>0</v>
      </c>
      <c r="M294">
        <v>0</v>
      </c>
      <c r="N294">
        <v>3000</v>
      </c>
      <c r="O294">
        <v>4000</v>
      </c>
      <c r="P294">
        <v>1000</v>
      </c>
      <c r="Q294">
        <v>0</v>
      </c>
      <c r="R294">
        <v>1200</v>
      </c>
      <c r="S294">
        <v>0</v>
      </c>
      <c r="T294">
        <v>0</v>
      </c>
      <c r="U294">
        <v>2</v>
      </c>
      <c r="V294">
        <v>0</v>
      </c>
      <c r="W294">
        <v>0</v>
      </c>
      <c r="X294">
        <v>0</v>
      </c>
      <c r="Y294">
        <v>1300</v>
      </c>
      <c r="Z294" cm="1">
        <f t="array" ref="Z294">MMULT($G294:$Y294,'Nelson Factor_2019'!$B$1:$B$19)/$G294</f>
        <v>5.2231851851851854</v>
      </c>
      <c r="AA294" cm="1">
        <f t="array" ref="AA294">MMULT($G294:$R294,'Nelson Factor_2019'!$B$1:$B$12)/$G294</f>
        <v>5.1870370370370367</v>
      </c>
    </row>
    <row r="295" spans="1:27" x14ac:dyDescent="0.25">
      <c r="A295">
        <v>2007</v>
      </c>
      <c r="B295">
        <v>5</v>
      </c>
      <c r="C295">
        <v>2</v>
      </c>
      <c r="D295" t="s">
        <v>75</v>
      </c>
      <c r="E295" t="s">
        <v>77</v>
      </c>
      <c r="F295" t="s">
        <v>76</v>
      </c>
      <c r="G295">
        <v>93700</v>
      </c>
      <c r="H295">
        <v>39500</v>
      </c>
      <c r="I295">
        <v>0</v>
      </c>
      <c r="J295">
        <v>11500</v>
      </c>
      <c r="K295">
        <v>0</v>
      </c>
      <c r="L295">
        <v>12800</v>
      </c>
      <c r="M295">
        <v>17600</v>
      </c>
      <c r="N295">
        <v>12800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18</v>
      </c>
      <c r="V295">
        <v>0</v>
      </c>
      <c r="W295">
        <v>0</v>
      </c>
      <c r="X295">
        <v>34</v>
      </c>
      <c r="Y295">
        <v>1000</v>
      </c>
      <c r="Z295" cm="1">
        <f t="array" ref="Z295">MMULT($G295:$Y295,'Nelson Factor_2019'!$B$1:$B$19)/$G295</f>
        <v>4.5160405549626468</v>
      </c>
      <c r="AA295" cm="1">
        <f t="array" ref="AA295">MMULT($G295:$R295,'Nelson Factor_2019'!$B$1:$B$12)/$G295</f>
        <v>4.4127534685165424</v>
      </c>
    </row>
    <row r="296" spans="1:27" x14ac:dyDescent="0.25">
      <c r="A296">
        <v>2007</v>
      </c>
      <c r="B296">
        <v>2</v>
      </c>
      <c r="C296">
        <v>4</v>
      </c>
      <c r="D296" t="s">
        <v>78</v>
      </c>
      <c r="E296" t="s">
        <v>79</v>
      </c>
      <c r="F296" t="s">
        <v>80</v>
      </c>
      <c r="G296">
        <v>158650</v>
      </c>
      <c r="H296">
        <v>71250</v>
      </c>
      <c r="I296">
        <v>36000</v>
      </c>
      <c r="J296">
        <v>0</v>
      </c>
      <c r="K296">
        <v>60300</v>
      </c>
      <c r="L296">
        <v>28080</v>
      </c>
      <c r="M296">
        <v>0</v>
      </c>
      <c r="N296">
        <v>103410</v>
      </c>
      <c r="O296">
        <v>18900</v>
      </c>
      <c r="P296">
        <v>0</v>
      </c>
      <c r="Q296">
        <v>6030</v>
      </c>
      <c r="R296">
        <v>0</v>
      </c>
      <c r="S296">
        <v>0</v>
      </c>
      <c r="T296">
        <v>0</v>
      </c>
      <c r="U296">
        <v>4.5</v>
      </c>
      <c r="V296">
        <v>0</v>
      </c>
      <c r="W296">
        <v>2102</v>
      </c>
      <c r="X296">
        <v>344</v>
      </c>
      <c r="Y296">
        <v>0</v>
      </c>
      <c r="Z296" cm="1">
        <f t="array" ref="Z296">MMULT($G296:$Y296,'Nelson Factor_2019'!$B$1:$B$19)/$G296</f>
        <v>10.55256539552474</v>
      </c>
      <c r="AA296" cm="1">
        <f t="array" ref="AA296">MMULT($G296:$R296,'Nelson Factor_2019'!$B$1:$B$12)/$G296</f>
        <v>10.032146233848094</v>
      </c>
    </row>
    <row r="297" spans="1:27" x14ac:dyDescent="0.25">
      <c r="A297">
        <v>2007</v>
      </c>
      <c r="B297">
        <v>2</v>
      </c>
      <c r="C297">
        <v>6</v>
      </c>
      <c r="D297" t="s">
        <v>78</v>
      </c>
      <c r="E297" t="s">
        <v>51</v>
      </c>
      <c r="F297" t="s">
        <v>81</v>
      </c>
      <c r="G297">
        <v>306000</v>
      </c>
      <c r="H297">
        <v>119000</v>
      </c>
      <c r="I297">
        <v>16000</v>
      </c>
      <c r="J297">
        <v>0</v>
      </c>
      <c r="K297">
        <v>91000</v>
      </c>
      <c r="L297">
        <v>85000</v>
      </c>
      <c r="M297">
        <v>37000</v>
      </c>
      <c r="N297">
        <v>196000</v>
      </c>
      <c r="O297">
        <v>20000</v>
      </c>
      <c r="P297">
        <v>0</v>
      </c>
      <c r="Q297">
        <v>3500</v>
      </c>
      <c r="R297">
        <v>0</v>
      </c>
      <c r="S297">
        <v>0</v>
      </c>
      <c r="T297">
        <v>0</v>
      </c>
      <c r="U297">
        <v>105</v>
      </c>
      <c r="V297">
        <v>0</v>
      </c>
      <c r="W297">
        <v>1250</v>
      </c>
      <c r="X297">
        <v>440</v>
      </c>
      <c r="Y297">
        <v>40000</v>
      </c>
      <c r="Z297" cm="1">
        <f t="array" ref="Z297">MMULT($G297:$Y297,'Nelson Factor_2019'!$B$1:$B$19)/$G297</f>
        <v>9.0634150326797389</v>
      </c>
      <c r="AA297" cm="1">
        <f t="array" ref="AA297">MMULT($G297:$R297,'Nelson Factor_2019'!$B$1:$B$12)/$G297</f>
        <v>8.5218954248366021</v>
      </c>
    </row>
    <row r="298" spans="1:27" x14ac:dyDescent="0.25">
      <c r="A298">
        <v>2007</v>
      </c>
      <c r="B298">
        <v>2</v>
      </c>
      <c r="C298">
        <v>4</v>
      </c>
      <c r="D298" t="s">
        <v>78</v>
      </c>
      <c r="E298" t="s">
        <v>54</v>
      </c>
      <c r="F298" t="s">
        <v>82</v>
      </c>
      <c r="G298">
        <v>238000</v>
      </c>
      <c r="H298">
        <v>121500</v>
      </c>
      <c r="I298">
        <v>56000</v>
      </c>
      <c r="J298">
        <v>0</v>
      </c>
      <c r="K298">
        <v>93000</v>
      </c>
      <c r="L298">
        <v>49500</v>
      </c>
      <c r="M298">
        <v>0</v>
      </c>
      <c r="N298">
        <v>247000</v>
      </c>
      <c r="O298">
        <v>27000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3330</v>
      </c>
      <c r="X298">
        <v>610</v>
      </c>
      <c r="Y298">
        <v>12000</v>
      </c>
      <c r="Z298" cm="1">
        <f t="array" ref="Z298">MMULT($G298:$Y298,'Nelson Factor_2019'!$B$1:$B$19)/$G298</f>
        <v>11.232563025210084</v>
      </c>
      <c r="AA298" cm="1">
        <f t="array" ref="AA298">MMULT($G298:$R298,'Nelson Factor_2019'!$B$1:$B$12)/$G298</f>
        <v>10.541806722689076</v>
      </c>
    </row>
    <row r="299" spans="1:27" x14ac:dyDescent="0.25">
      <c r="A299">
        <v>2007</v>
      </c>
      <c r="B299">
        <v>2</v>
      </c>
      <c r="C299">
        <v>6</v>
      </c>
      <c r="D299" t="s">
        <v>78</v>
      </c>
      <c r="E299" t="s">
        <v>232</v>
      </c>
      <c r="F299" t="s">
        <v>84</v>
      </c>
      <c r="G299">
        <v>192000</v>
      </c>
      <c r="H299">
        <v>61900</v>
      </c>
      <c r="I299">
        <v>27900</v>
      </c>
      <c r="J299">
        <v>0</v>
      </c>
      <c r="K299">
        <v>46600</v>
      </c>
      <c r="L299">
        <v>70800</v>
      </c>
      <c r="M299">
        <v>26600</v>
      </c>
      <c r="N299">
        <v>157600</v>
      </c>
      <c r="O299">
        <v>10900</v>
      </c>
      <c r="P299">
        <v>0</v>
      </c>
      <c r="Q299">
        <v>0</v>
      </c>
      <c r="R299">
        <v>14300</v>
      </c>
      <c r="S299">
        <v>0</v>
      </c>
      <c r="T299">
        <v>0</v>
      </c>
      <c r="U299">
        <v>0</v>
      </c>
      <c r="V299">
        <v>0</v>
      </c>
      <c r="W299">
        <v>1187</v>
      </c>
      <c r="X299">
        <v>163</v>
      </c>
      <c r="Y299">
        <v>0</v>
      </c>
      <c r="Z299" cm="1">
        <f t="array" ref="Z299">MMULT($G299:$Y299,'Nelson Factor_2019'!$B$1:$B$19)/$G299</f>
        <v>9.9642708333333339</v>
      </c>
      <c r="AA299" cm="1">
        <f t="array" ref="AA299">MMULT($G299:$R299,'Nelson Factor_2019'!$B$1:$B$12)/$G299</f>
        <v>9.7605208333333326</v>
      </c>
    </row>
    <row r="300" spans="1:27" x14ac:dyDescent="0.25">
      <c r="A300">
        <v>2007</v>
      </c>
      <c r="B300">
        <v>2</v>
      </c>
      <c r="C300">
        <v>4</v>
      </c>
      <c r="D300" t="s">
        <v>85</v>
      </c>
      <c r="E300" t="s">
        <v>32</v>
      </c>
      <c r="F300" t="s">
        <v>86</v>
      </c>
      <c r="G300">
        <v>399000</v>
      </c>
      <c r="H300">
        <v>242250</v>
      </c>
      <c r="I300">
        <v>31500</v>
      </c>
      <c r="J300">
        <v>0</v>
      </c>
      <c r="K300">
        <v>148500</v>
      </c>
      <c r="L300">
        <v>79200</v>
      </c>
      <c r="M300">
        <v>0</v>
      </c>
      <c r="N300">
        <v>384200</v>
      </c>
      <c r="O300">
        <v>30600</v>
      </c>
      <c r="P300">
        <v>0</v>
      </c>
      <c r="Q300">
        <v>16200</v>
      </c>
      <c r="R300">
        <v>32400</v>
      </c>
      <c r="S300">
        <v>0</v>
      </c>
      <c r="T300">
        <v>3800</v>
      </c>
      <c r="U300">
        <v>29.5</v>
      </c>
      <c r="V300">
        <v>0</v>
      </c>
      <c r="W300">
        <v>1690</v>
      </c>
      <c r="X300">
        <v>449</v>
      </c>
      <c r="Y300">
        <v>60000</v>
      </c>
      <c r="Z300" cm="1">
        <f t="array" ref="Z300">MMULT($G300:$Y300,'Nelson Factor_2019'!$B$1:$B$19)/$G300</f>
        <v>10.427730576441103</v>
      </c>
      <c r="AA300" cm="1">
        <f t="array" ref="AA300">MMULT($G300:$R300,'Nelson Factor_2019'!$B$1:$B$12)/$G300</f>
        <v>9.8367794486215541</v>
      </c>
    </row>
    <row r="301" spans="1:27" x14ac:dyDescent="0.25">
      <c r="A301">
        <v>2007</v>
      </c>
      <c r="B301">
        <v>2</v>
      </c>
      <c r="C301">
        <v>1</v>
      </c>
      <c r="D301" t="s">
        <v>85</v>
      </c>
      <c r="E301" t="s">
        <v>87</v>
      </c>
      <c r="F301" t="s">
        <v>88</v>
      </c>
      <c r="G301">
        <v>23500</v>
      </c>
      <c r="H301">
        <v>8000</v>
      </c>
      <c r="I301">
        <v>0</v>
      </c>
      <c r="J301">
        <v>0</v>
      </c>
      <c r="K301">
        <v>7850</v>
      </c>
      <c r="L301">
        <v>6500</v>
      </c>
      <c r="M301">
        <v>0</v>
      </c>
      <c r="N301">
        <v>21000</v>
      </c>
      <c r="O301">
        <v>2000</v>
      </c>
      <c r="P301">
        <v>0</v>
      </c>
      <c r="Q301">
        <v>0</v>
      </c>
      <c r="R301">
        <v>2200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9</v>
      </c>
      <c r="Y301">
        <v>0</v>
      </c>
      <c r="Z301" cm="1">
        <f t="array" ref="Z301">MMULT($G301:$Y301,'Nelson Factor_2019'!$B$1:$B$19)/$G301</f>
        <v>8.2876595744680852</v>
      </c>
      <c r="AA301" cm="1">
        <f t="array" ref="AA301">MMULT($G301:$R301,'Nelson Factor_2019'!$B$1:$B$12)/$G301</f>
        <v>8.1957446808510639</v>
      </c>
    </row>
    <row r="302" spans="1:27" x14ac:dyDescent="0.25">
      <c r="A302">
        <v>2007</v>
      </c>
      <c r="B302">
        <v>2</v>
      </c>
      <c r="C302">
        <v>4</v>
      </c>
      <c r="D302" t="s">
        <v>89</v>
      </c>
      <c r="E302" t="s">
        <v>90</v>
      </c>
      <c r="F302" t="s">
        <v>91</v>
      </c>
      <c r="G302">
        <v>100000</v>
      </c>
      <c r="H302">
        <v>50000</v>
      </c>
      <c r="I302">
        <v>19000</v>
      </c>
      <c r="J302">
        <v>0</v>
      </c>
      <c r="K302">
        <v>29100</v>
      </c>
      <c r="L302">
        <v>17000</v>
      </c>
      <c r="M302">
        <v>0</v>
      </c>
      <c r="N302">
        <v>61000</v>
      </c>
      <c r="O302">
        <v>9200</v>
      </c>
      <c r="P302">
        <v>0</v>
      </c>
      <c r="Q302">
        <v>0</v>
      </c>
      <c r="R302">
        <v>8500</v>
      </c>
      <c r="S302">
        <v>0</v>
      </c>
      <c r="T302">
        <v>0</v>
      </c>
      <c r="U302">
        <v>0</v>
      </c>
      <c r="V302">
        <v>0</v>
      </c>
      <c r="W302">
        <v>890</v>
      </c>
      <c r="X302">
        <v>0</v>
      </c>
      <c r="Y302">
        <v>0</v>
      </c>
      <c r="Z302" cm="1">
        <f t="array" ref="Z302">MMULT($G302:$Y302,'Nelson Factor_2019'!$B$1:$B$19)/$G302</f>
        <v>8.3710000000000004</v>
      </c>
      <c r="AA302" cm="1">
        <f t="array" ref="AA302">MMULT($G302:$R302,'Nelson Factor_2019'!$B$1:$B$12)/$G302</f>
        <v>8.3710000000000004</v>
      </c>
    </row>
    <row r="303" spans="1:27" x14ac:dyDescent="0.25">
      <c r="A303">
        <v>2007</v>
      </c>
      <c r="B303">
        <v>2</v>
      </c>
      <c r="C303">
        <v>4</v>
      </c>
      <c r="D303" t="s">
        <v>89</v>
      </c>
      <c r="E303" t="s">
        <v>92</v>
      </c>
      <c r="F303" t="s">
        <v>45</v>
      </c>
      <c r="G303">
        <v>110000</v>
      </c>
      <c r="H303">
        <v>41000</v>
      </c>
      <c r="I303">
        <v>18500</v>
      </c>
      <c r="J303">
        <v>0</v>
      </c>
      <c r="K303">
        <v>37200</v>
      </c>
      <c r="L303">
        <v>29500</v>
      </c>
      <c r="M303">
        <v>0</v>
      </c>
      <c r="N303">
        <v>136000</v>
      </c>
      <c r="O303">
        <v>13000</v>
      </c>
      <c r="P303">
        <v>0</v>
      </c>
      <c r="Q303">
        <v>2200</v>
      </c>
      <c r="R303">
        <v>12500</v>
      </c>
      <c r="S303">
        <v>0</v>
      </c>
      <c r="T303">
        <v>0</v>
      </c>
      <c r="U303">
        <v>35</v>
      </c>
      <c r="V303">
        <v>0</v>
      </c>
      <c r="W303">
        <v>950</v>
      </c>
      <c r="X303">
        <v>230</v>
      </c>
      <c r="Y303">
        <v>0</v>
      </c>
      <c r="Z303" cm="1">
        <f t="array" ref="Z303">MMULT($G303:$Y303,'Nelson Factor_2019'!$B$1:$B$19)/$G303</f>
        <v>11.631681818181818</v>
      </c>
      <c r="AA303" cm="1">
        <f t="array" ref="AA303">MMULT($G303:$R303,'Nelson Factor_2019'!$B$1:$B$12)/$G303</f>
        <v>11.129545454545454</v>
      </c>
    </row>
    <row r="304" spans="1:27" x14ac:dyDescent="0.25">
      <c r="A304">
        <v>2007</v>
      </c>
      <c r="B304">
        <v>2</v>
      </c>
      <c r="C304">
        <v>6</v>
      </c>
      <c r="D304" t="s">
        <v>89</v>
      </c>
      <c r="E304" t="s">
        <v>93</v>
      </c>
      <c r="F304" t="s">
        <v>94</v>
      </c>
      <c r="G304">
        <v>81200</v>
      </c>
      <c r="H304">
        <v>33800</v>
      </c>
      <c r="I304">
        <v>20800</v>
      </c>
      <c r="J304">
        <v>0</v>
      </c>
      <c r="K304">
        <v>22700</v>
      </c>
      <c r="L304">
        <v>22700</v>
      </c>
      <c r="M304">
        <v>33100</v>
      </c>
      <c r="N304">
        <v>72500</v>
      </c>
      <c r="O304">
        <v>6400</v>
      </c>
      <c r="P304">
        <v>0</v>
      </c>
      <c r="Q304">
        <v>0</v>
      </c>
      <c r="R304">
        <v>13000</v>
      </c>
      <c r="S304">
        <v>0</v>
      </c>
      <c r="T304">
        <v>0</v>
      </c>
      <c r="U304">
        <v>32.1</v>
      </c>
      <c r="V304">
        <v>74.599999999999994</v>
      </c>
      <c r="W304">
        <v>828</v>
      </c>
      <c r="X304">
        <v>143</v>
      </c>
      <c r="Y304">
        <v>0</v>
      </c>
      <c r="Z304" cm="1">
        <f t="array" ref="Z304">MMULT($G304:$Y304,'Nelson Factor_2019'!$B$1:$B$19)/$G304</f>
        <v>13.72311206896552</v>
      </c>
      <c r="AA304" cm="1">
        <f t="array" ref="AA304">MMULT($G304:$R304,'Nelson Factor_2019'!$B$1:$B$12)/$G304</f>
        <v>13.299137931034483</v>
      </c>
    </row>
    <row r="305" spans="1:27" x14ac:dyDescent="0.25">
      <c r="A305">
        <v>2007</v>
      </c>
      <c r="B305">
        <v>2</v>
      </c>
      <c r="C305">
        <v>1</v>
      </c>
      <c r="D305" t="s">
        <v>95</v>
      </c>
      <c r="E305" t="s">
        <v>232</v>
      </c>
      <c r="F305" t="s">
        <v>96</v>
      </c>
      <c r="G305">
        <v>222000</v>
      </c>
      <c r="H305">
        <v>114500</v>
      </c>
      <c r="I305">
        <v>0</v>
      </c>
      <c r="J305">
        <v>0</v>
      </c>
      <c r="K305">
        <v>95000</v>
      </c>
      <c r="L305">
        <v>47500</v>
      </c>
      <c r="M305">
        <v>0</v>
      </c>
      <c r="N305">
        <v>251300</v>
      </c>
      <c r="O305">
        <v>19000</v>
      </c>
      <c r="P305">
        <v>0</v>
      </c>
      <c r="Q305">
        <v>14600</v>
      </c>
      <c r="R305">
        <v>14300</v>
      </c>
      <c r="S305">
        <v>8400</v>
      </c>
      <c r="T305">
        <v>0</v>
      </c>
      <c r="U305">
        <v>32.299999999999997</v>
      </c>
      <c r="V305">
        <v>0</v>
      </c>
      <c r="W305">
        <v>0</v>
      </c>
      <c r="X305">
        <v>467</v>
      </c>
      <c r="Y305">
        <v>11900</v>
      </c>
      <c r="Z305" cm="1">
        <f t="array" ref="Z305">MMULT($G305:$Y305,'Nelson Factor_2019'!$B$1:$B$19)/$G305</f>
        <v>13.357938288288288</v>
      </c>
      <c r="AA305" cm="1">
        <f t="array" ref="AA305">MMULT($G305:$R305,'Nelson Factor_2019'!$B$1:$B$12)/$G305</f>
        <v>10.502252252252251</v>
      </c>
    </row>
    <row r="306" spans="1:27" x14ac:dyDescent="0.25">
      <c r="A306">
        <v>2007</v>
      </c>
      <c r="B306">
        <v>2</v>
      </c>
      <c r="C306">
        <v>0</v>
      </c>
      <c r="D306" t="s">
        <v>95</v>
      </c>
      <c r="E306" t="s">
        <v>97</v>
      </c>
      <c r="F306" t="s">
        <v>98</v>
      </c>
      <c r="G306">
        <v>5500</v>
      </c>
      <c r="H306">
        <v>0</v>
      </c>
      <c r="I306">
        <v>0</v>
      </c>
      <c r="J306">
        <v>0</v>
      </c>
      <c r="K306">
        <v>0</v>
      </c>
      <c r="L306">
        <v>1500</v>
      </c>
      <c r="M306">
        <v>0</v>
      </c>
      <c r="N306">
        <v>2000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 cm="1">
        <f t="array" ref="Z306">MMULT($G306:$Y306,'Nelson Factor_2019'!$B$1:$B$19)/$G306</f>
        <v>3.2727272727272729</v>
      </c>
      <c r="AA306" cm="1">
        <f t="array" ref="AA306">MMULT($G306:$R306,'Nelson Factor_2019'!$B$1:$B$12)/$G306</f>
        <v>3.2727272727272729</v>
      </c>
    </row>
    <row r="307" spans="1:27" x14ac:dyDescent="0.25">
      <c r="A307">
        <v>2007</v>
      </c>
      <c r="B307">
        <v>3</v>
      </c>
      <c r="C307">
        <v>0</v>
      </c>
      <c r="D307" t="s">
        <v>99</v>
      </c>
      <c r="E307" t="s">
        <v>100</v>
      </c>
      <c r="F307" t="s">
        <v>101</v>
      </c>
      <c r="G307">
        <v>32000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 cm="1">
        <f t="array" ref="Z307">MMULT($G307:$Y307,'Nelson Factor_2019'!$B$1:$B$19)/$G307</f>
        <v>1</v>
      </c>
      <c r="AA307" cm="1">
        <f t="array" ref="AA307">MMULT($G307:$R307,'Nelson Factor_2019'!$B$1:$B$12)/$G307</f>
        <v>1</v>
      </c>
    </row>
    <row r="308" spans="1:27" x14ac:dyDescent="0.25">
      <c r="A308">
        <v>2007</v>
      </c>
      <c r="B308">
        <v>3</v>
      </c>
      <c r="C308">
        <v>0</v>
      </c>
      <c r="D308" t="s">
        <v>99</v>
      </c>
      <c r="E308" t="s">
        <v>102</v>
      </c>
      <c r="F308" t="s">
        <v>103</v>
      </c>
      <c r="G308">
        <v>9500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5000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2.5</v>
      </c>
      <c r="V308">
        <v>2.5</v>
      </c>
      <c r="W308">
        <v>0</v>
      </c>
      <c r="X308">
        <v>0</v>
      </c>
      <c r="Y308">
        <v>0</v>
      </c>
      <c r="Z308" cm="1">
        <f t="array" ref="Z308">MMULT($G308:$Y308,'Nelson Factor_2019'!$B$1:$B$19)/$G308</f>
        <v>2.3163157894736841</v>
      </c>
      <c r="AA308" cm="1">
        <f t="array" ref="AA308">MMULT($G308:$R308,'Nelson Factor_2019'!$B$1:$B$12)/$G308</f>
        <v>2.3157894736842106</v>
      </c>
    </row>
    <row r="309" spans="1:27" x14ac:dyDescent="0.25">
      <c r="A309">
        <v>2007</v>
      </c>
      <c r="B309">
        <v>3</v>
      </c>
      <c r="C309">
        <v>2</v>
      </c>
      <c r="D309" t="s">
        <v>99</v>
      </c>
      <c r="E309" t="s">
        <v>102</v>
      </c>
      <c r="F309" t="s">
        <v>104</v>
      </c>
      <c r="G309">
        <v>9500</v>
      </c>
      <c r="H309">
        <v>8500</v>
      </c>
      <c r="I309">
        <v>0</v>
      </c>
      <c r="J309">
        <v>0</v>
      </c>
      <c r="K309">
        <v>0</v>
      </c>
      <c r="L309">
        <v>0</v>
      </c>
      <c r="M309">
        <v>8000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7500</v>
      </c>
      <c r="T309">
        <v>0</v>
      </c>
      <c r="U309">
        <v>4.5</v>
      </c>
      <c r="V309">
        <v>4.5</v>
      </c>
      <c r="W309">
        <v>0</v>
      </c>
      <c r="X309">
        <v>3</v>
      </c>
      <c r="Y309">
        <v>0</v>
      </c>
      <c r="Z309" cm="1">
        <f t="array" ref="Z309">MMULT($G309:$Y309,'Nelson Factor_2019'!$B$1:$B$19)/$G309</f>
        <v>56.345157894736843</v>
      </c>
      <c r="AA309" cm="1">
        <f t="array" ref="AA309">MMULT($G309:$R309,'Nelson Factor_2019'!$B$1:$B$12)/$G309</f>
        <v>8.9</v>
      </c>
    </row>
    <row r="310" spans="1:27" x14ac:dyDescent="0.25">
      <c r="A310">
        <v>2007</v>
      </c>
      <c r="B310">
        <v>3</v>
      </c>
      <c r="C310">
        <v>2</v>
      </c>
      <c r="D310" t="s">
        <v>99</v>
      </c>
      <c r="E310" t="s">
        <v>102</v>
      </c>
      <c r="F310" t="s">
        <v>105</v>
      </c>
      <c r="G310">
        <v>35000</v>
      </c>
      <c r="H310">
        <v>15000</v>
      </c>
      <c r="I310">
        <v>0</v>
      </c>
      <c r="J310">
        <v>0</v>
      </c>
      <c r="K310">
        <v>0</v>
      </c>
      <c r="L310">
        <v>10000</v>
      </c>
      <c r="M310">
        <v>8500</v>
      </c>
      <c r="N310">
        <v>24000</v>
      </c>
      <c r="O310">
        <v>0</v>
      </c>
      <c r="P310">
        <v>0</v>
      </c>
      <c r="Q310">
        <v>0</v>
      </c>
      <c r="R310">
        <v>0</v>
      </c>
      <c r="S310">
        <v>8000</v>
      </c>
      <c r="T310">
        <v>0</v>
      </c>
      <c r="U310">
        <v>6.1</v>
      </c>
      <c r="V310">
        <v>6.1</v>
      </c>
      <c r="W310">
        <v>0</v>
      </c>
      <c r="X310">
        <v>15</v>
      </c>
      <c r="Y310">
        <v>0</v>
      </c>
      <c r="Z310" cm="1">
        <f t="array" ref="Z310">MMULT($G310:$Y310,'Nelson Factor_2019'!$B$1:$B$19)/$G310</f>
        <v>20.460348571428572</v>
      </c>
      <c r="AA310" cm="1">
        <f t="array" ref="AA310">MMULT($G310:$R310,'Nelson Factor_2019'!$B$1:$B$12)/$G310</f>
        <v>6.6428571428571432</v>
      </c>
    </row>
    <row r="311" spans="1:27" x14ac:dyDescent="0.25">
      <c r="A311">
        <v>2007</v>
      </c>
      <c r="B311">
        <v>3</v>
      </c>
      <c r="C311">
        <v>0</v>
      </c>
      <c r="D311" t="s">
        <v>99</v>
      </c>
      <c r="E311" t="s">
        <v>106</v>
      </c>
      <c r="F311" t="s">
        <v>101</v>
      </c>
      <c r="G311">
        <v>0</v>
      </c>
      <c r="H311">
        <v>36100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8550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 cm="1">
        <f t="array" ref="Z311">MMULT($G311:$Y311,'Nelson Factor_2019'!$B$1:$B$19)/$H311</f>
        <v>15.510526315789473</v>
      </c>
      <c r="AA311" cm="1">
        <f t="array" ref="AA311">MMULT($G311:$R311,'Nelson Factor_2019'!$B$1:$B$12)/$H311</f>
        <v>1.3</v>
      </c>
    </row>
    <row r="312" spans="1:27" x14ac:dyDescent="0.25">
      <c r="A312">
        <v>2007</v>
      </c>
      <c r="B312">
        <v>3</v>
      </c>
      <c r="C312">
        <v>6</v>
      </c>
      <c r="D312" t="s">
        <v>99</v>
      </c>
      <c r="E312" t="s">
        <v>79</v>
      </c>
      <c r="F312" t="s">
        <v>101</v>
      </c>
      <c r="G312">
        <v>440000</v>
      </c>
      <c r="H312">
        <v>79800</v>
      </c>
      <c r="I312">
        <v>88200</v>
      </c>
      <c r="J312">
        <v>0</v>
      </c>
      <c r="K312">
        <v>126000</v>
      </c>
      <c r="L312">
        <v>94500</v>
      </c>
      <c r="M312">
        <v>37800</v>
      </c>
      <c r="N312">
        <v>233100</v>
      </c>
      <c r="O312">
        <v>20700</v>
      </c>
      <c r="P312">
        <v>0</v>
      </c>
      <c r="Q312">
        <v>13500</v>
      </c>
      <c r="R312">
        <v>28800</v>
      </c>
      <c r="S312">
        <v>9900</v>
      </c>
      <c r="T312">
        <v>3150</v>
      </c>
      <c r="U312">
        <v>47.7</v>
      </c>
      <c r="V312">
        <v>10.8</v>
      </c>
      <c r="W312">
        <v>3870</v>
      </c>
      <c r="X312">
        <v>567</v>
      </c>
      <c r="Y312">
        <v>0</v>
      </c>
      <c r="Z312" cm="1">
        <f t="array" ref="Z312">MMULT($G312:$Y312,'Nelson Factor_2019'!$B$1:$B$19)/$G312</f>
        <v>10.554382954545455</v>
      </c>
      <c r="AA312" cm="1">
        <f t="array" ref="AA312">MMULT($G312:$R312,'Nelson Factor_2019'!$B$1:$B$12)/$G312</f>
        <v>8.823386363636363</v>
      </c>
    </row>
    <row r="313" spans="1:27" x14ac:dyDescent="0.25">
      <c r="A313">
        <v>2007</v>
      </c>
      <c r="B313">
        <v>3</v>
      </c>
      <c r="C313">
        <v>4</v>
      </c>
      <c r="D313" t="s">
        <v>99</v>
      </c>
      <c r="E313" t="s">
        <v>51</v>
      </c>
      <c r="F313" t="s">
        <v>107</v>
      </c>
      <c r="G313">
        <v>247000</v>
      </c>
      <c r="H313">
        <v>92000</v>
      </c>
      <c r="I313">
        <v>25200</v>
      </c>
      <c r="J313">
        <v>0</v>
      </c>
      <c r="K313">
        <v>104000</v>
      </c>
      <c r="L313">
        <v>42000</v>
      </c>
      <c r="M313">
        <v>0</v>
      </c>
      <c r="N313">
        <v>197400</v>
      </c>
      <c r="O313">
        <v>38000</v>
      </c>
      <c r="P313">
        <v>0</v>
      </c>
      <c r="Q313">
        <v>31800</v>
      </c>
      <c r="R313">
        <v>0</v>
      </c>
      <c r="S313">
        <v>0</v>
      </c>
      <c r="T313">
        <v>0</v>
      </c>
      <c r="U313">
        <v>0</v>
      </c>
      <c r="V313">
        <v>10.4</v>
      </c>
      <c r="W313">
        <v>800</v>
      </c>
      <c r="X313">
        <v>70</v>
      </c>
      <c r="Y313">
        <v>0</v>
      </c>
      <c r="Z313" cm="1">
        <f t="array" ref="Z313">MMULT($G313:$Y313,'Nelson Factor_2019'!$B$1:$B$19)/$G313</f>
        <v>11.805305263157894</v>
      </c>
      <c r="AA313" cm="1">
        <f t="array" ref="AA313">MMULT($G313:$R313,'Nelson Factor_2019'!$B$1:$B$12)/$G313</f>
        <v>11.737246963562754</v>
      </c>
    </row>
    <row r="314" spans="1:27" x14ac:dyDescent="0.25">
      <c r="A314">
        <v>2007</v>
      </c>
      <c r="B314">
        <v>3</v>
      </c>
      <c r="C314">
        <v>6</v>
      </c>
      <c r="D314" t="s">
        <v>99</v>
      </c>
      <c r="E314" t="s">
        <v>51</v>
      </c>
      <c r="F314" t="s">
        <v>108</v>
      </c>
      <c r="G314">
        <v>239000</v>
      </c>
      <c r="H314">
        <v>106200</v>
      </c>
      <c r="I314">
        <v>57800</v>
      </c>
      <c r="J314">
        <v>0</v>
      </c>
      <c r="K314">
        <v>44800</v>
      </c>
      <c r="L314">
        <v>33000</v>
      </c>
      <c r="M314">
        <v>29000</v>
      </c>
      <c r="N314">
        <v>180900</v>
      </c>
      <c r="O314">
        <v>7500</v>
      </c>
      <c r="P314">
        <v>1000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90.5</v>
      </c>
      <c r="W314">
        <v>3600</v>
      </c>
      <c r="X314">
        <v>350</v>
      </c>
      <c r="Y314">
        <v>0</v>
      </c>
      <c r="Z314" cm="1">
        <f t="array" ref="Z314">MMULT($G314:$Y314,'Nelson Factor_2019'!$B$1:$B$19)/$G314</f>
        <v>8.7769895397489535</v>
      </c>
      <c r="AA314" cm="1">
        <f t="array" ref="AA314">MMULT($G314:$R314,'Nelson Factor_2019'!$B$1:$B$12)/$G314</f>
        <v>8.4251464435146435</v>
      </c>
    </row>
    <row r="315" spans="1:27" x14ac:dyDescent="0.25">
      <c r="A315">
        <v>2007</v>
      </c>
      <c r="B315">
        <v>3</v>
      </c>
      <c r="C315">
        <v>6</v>
      </c>
      <c r="D315" t="s">
        <v>99</v>
      </c>
      <c r="E315" t="s">
        <v>54</v>
      </c>
      <c r="F315" t="s">
        <v>109</v>
      </c>
      <c r="G315">
        <v>503000</v>
      </c>
      <c r="H315">
        <v>231500</v>
      </c>
      <c r="I315">
        <v>114000</v>
      </c>
      <c r="J315">
        <v>0</v>
      </c>
      <c r="K315">
        <v>229000</v>
      </c>
      <c r="L315">
        <v>75500</v>
      </c>
      <c r="M315">
        <v>26500</v>
      </c>
      <c r="N315">
        <v>445500</v>
      </c>
      <c r="O315">
        <v>38500</v>
      </c>
      <c r="P315">
        <v>9500</v>
      </c>
      <c r="Q315">
        <v>0</v>
      </c>
      <c r="R315">
        <v>0</v>
      </c>
      <c r="S315">
        <v>16500</v>
      </c>
      <c r="T315">
        <v>0</v>
      </c>
      <c r="U315">
        <v>0</v>
      </c>
      <c r="V315">
        <v>24</v>
      </c>
      <c r="W315">
        <v>5430</v>
      </c>
      <c r="X315">
        <v>690</v>
      </c>
      <c r="Y315">
        <v>0</v>
      </c>
      <c r="Z315" cm="1">
        <f t="array" ref="Z315">MMULT($G315:$Y315,'Nelson Factor_2019'!$B$1:$B$19)/$G315</f>
        <v>12.667642147117297</v>
      </c>
      <c r="AA315" cm="1">
        <f t="array" ref="AA315">MMULT($G315:$R315,'Nelson Factor_2019'!$B$1:$B$12)/$G315</f>
        <v>10.370178926441351</v>
      </c>
    </row>
    <row r="316" spans="1:27" x14ac:dyDescent="0.25">
      <c r="A316">
        <v>2007</v>
      </c>
      <c r="B316">
        <v>3</v>
      </c>
      <c r="C316">
        <v>6</v>
      </c>
      <c r="D316" t="s">
        <v>99</v>
      </c>
      <c r="E316" t="s">
        <v>233</v>
      </c>
      <c r="F316" t="s">
        <v>110</v>
      </c>
      <c r="G316">
        <v>192500</v>
      </c>
      <c r="H316">
        <v>112000</v>
      </c>
      <c r="I316">
        <v>38000</v>
      </c>
      <c r="J316">
        <v>0</v>
      </c>
      <c r="K316">
        <v>68000</v>
      </c>
      <c r="L316">
        <v>47000</v>
      </c>
      <c r="M316">
        <v>18500</v>
      </c>
      <c r="N316">
        <v>172500</v>
      </c>
      <c r="O316">
        <v>12500</v>
      </c>
      <c r="P316">
        <v>0</v>
      </c>
      <c r="Q316">
        <v>10000</v>
      </c>
      <c r="R316">
        <v>10000</v>
      </c>
      <c r="S316">
        <v>0</v>
      </c>
      <c r="T316">
        <v>0</v>
      </c>
      <c r="U316">
        <v>0</v>
      </c>
      <c r="V316">
        <v>0</v>
      </c>
      <c r="W316">
        <v>2050</v>
      </c>
      <c r="X316">
        <v>920</v>
      </c>
      <c r="Y316">
        <v>0</v>
      </c>
      <c r="Z316" cm="1">
        <f t="array" ref="Z316">MMULT($G316:$Y316,'Nelson Factor_2019'!$B$1:$B$19)/$G316</f>
        <v>12.577402597402598</v>
      </c>
      <c r="AA316" cm="1">
        <f t="array" ref="AA316">MMULT($G316:$R316,'Nelson Factor_2019'!$B$1:$B$12)/$G316</f>
        <v>11.430389610389611</v>
      </c>
    </row>
    <row r="317" spans="1:27" x14ac:dyDescent="0.25">
      <c r="A317">
        <v>2007</v>
      </c>
      <c r="B317">
        <v>3</v>
      </c>
      <c r="C317">
        <v>4</v>
      </c>
      <c r="D317" t="s">
        <v>99</v>
      </c>
      <c r="E317" t="s">
        <v>232</v>
      </c>
      <c r="F317" t="s">
        <v>111</v>
      </c>
      <c r="G317">
        <v>245000</v>
      </c>
      <c r="H317">
        <v>127300</v>
      </c>
      <c r="I317">
        <v>35500</v>
      </c>
      <c r="J317">
        <v>0</v>
      </c>
      <c r="K317">
        <v>125500</v>
      </c>
      <c r="L317">
        <v>46100</v>
      </c>
      <c r="M317">
        <v>0</v>
      </c>
      <c r="N317">
        <v>331600</v>
      </c>
      <c r="O317">
        <v>26600</v>
      </c>
      <c r="P317">
        <v>0</v>
      </c>
      <c r="Q317">
        <v>0</v>
      </c>
      <c r="R317">
        <v>42800</v>
      </c>
      <c r="S317">
        <v>0</v>
      </c>
      <c r="T317">
        <v>0</v>
      </c>
      <c r="U317">
        <v>0</v>
      </c>
      <c r="V317">
        <v>0</v>
      </c>
      <c r="W317">
        <v>2368</v>
      </c>
      <c r="X317">
        <v>1021</v>
      </c>
      <c r="Y317">
        <v>28500</v>
      </c>
      <c r="Z317" cm="1">
        <f t="array" ref="Z317">MMULT($G317:$Y317,'Nelson Factor_2019'!$B$1:$B$19)/$G317</f>
        <v>12.944612244897959</v>
      </c>
      <c r="AA317" cm="1">
        <f t="array" ref="AA317">MMULT($G317:$R317,'Nelson Factor_2019'!$B$1:$B$12)/$G317</f>
        <v>11.769959183673469</v>
      </c>
    </row>
    <row r="318" spans="1:27" x14ac:dyDescent="0.25">
      <c r="A318">
        <v>2007</v>
      </c>
      <c r="B318">
        <v>3</v>
      </c>
      <c r="C318">
        <v>3</v>
      </c>
      <c r="D318" t="s">
        <v>99</v>
      </c>
      <c r="E318" t="s">
        <v>112</v>
      </c>
      <c r="F318" t="s">
        <v>113</v>
      </c>
      <c r="G318">
        <v>235000</v>
      </c>
      <c r="H318">
        <v>100000</v>
      </c>
      <c r="I318">
        <v>0</v>
      </c>
      <c r="J318">
        <v>0</v>
      </c>
      <c r="K318">
        <v>85000</v>
      </c>
      <c r="L318">
        <v>36000</v>
      </c>
      <c r="M318">
        <v>45000</v>
      </c>
      <c r="N318">
        <v>218000</v>
      </c>
      <c r="O318">
        <v>13050</v>
      </c>
      <c r="P318">
        <v>3600</v>
      </c>
      <c r="Q318">
        <v>0</v>
      </c>
      <c r="R318">
        <v>11250</v>
      </c>
      <c r="S318">
        <v>0</v>
      </c>
      <c r="T318">
        <v>0</v>
      </c>
      <c r="U318">
        <v>58</v>
      </c>
      <c r="V318">
        <v>0</v>
      </c>
      <c r="W318">
        <v>0</v>
      </c>
      <c r="X318">
        <v>700</v>
      </c>
      <c r="Y318">
        <v>0</v>
      </c>
      <c r="Z318" cm="1">
        <f t="array" ref="Z318">MMULT($G318:$Y318,'Nelson Factor_2019'!$B$1:$B$19)/$G318</f>
        <v>9.9076936170212768</v>
      </c>
      <c r="AA318" cm="1">
        <f t="array" ref="AA318">MMULT($G318:$R318,'Nelson Factor_2019'!$B$1:$B$12)/$G318</f>
        <v>9.1925531914893615</v>
      </c>
    </row>
    <row r="319" spans="1:27" x14ac:dyDescent="0.25">
      <c r="A319">
        <v>2007</v>
      </c>
      <c r="B319">
        <v>3</v>
      </c>
      <c r="C319">
        <v>6</v>
      </c>
      <c r="D319" t="s">
        <v>99</v>
      </c>
      <c r="E319" t="s">
        <v>112</v>
      </c>
      <c r="F319" t="s">
        <v>114</v>
      </c>
      <c r="G319">
        <v>220000</v>
      </c>
      <c r="H319">
        <v>78000</v>
      </c>
      <c r="I319">
        <v>21300</v>
      </c>
      <c r="J319">
        <v>0</v>
      </c>
      <c r="K319">
        <v>105000</v>
      </c>
      <c r="L319">
        <v>57300</v>
      </c>
      <c r="M319">
        <v>31500</v>
      </c>
      <c r="N319">
        <v>122800</v>
      </c>
      <c r="O319">
        <v>14800</v>
      </c>
      <c r="P319">
        <v>0</v>
      </c>
      <c r="Q319">
        <v>0</v>
      </c>
      <c r="R319">
        <v>0</v>
      </c>
      <c r="S319">
        <v>0</v>
      </c>
      <c r="T319">
        <v>7500</v>
      </c>
      <c r="U319">
        <v>49.4</v>
      </c>
      <c r="V319">
        <v>0</v>
      </c>
      <c r="W319">
        <v>900</v>
      </c>
      <c r="X319">
        <v>140</v>
      </c>
      <c r="Y319">
        <v>0</v>
      </c>
      <c r="Z319" cm="1">
        <f t="array" ref="Z319">MMULT($G319:$Y319,'Nelson Factor_2019'!$B$1:$B$19)/$G319</f>
        <v>10.060451818181818</v>
      </c>
      <c r="AA319" cm="1">
        <f t="array" ref="AA319">MMULT($G319:$R319,'Nelson Factor_2019'!$B$1:$B$12)/$G319</f>
        <v>9.5665909090909089</v>
      </c>
    </row>
    <row r="320" spans="1:27" x14ac:dyDescent="0.25">
      <c r="A320">
        <v>2007</v>
      </c>
      <c r="B320">
        <v>3</v>
      </c>
      <c r="C320">
        <v>1</v>
      </c>
      <c r="D320" t="s">
        <v>99</v>
      </c>
      <c r="E320" t="s">
        <v>115</v>
      </c>
      <c r="F320" t="s">
        <v>116</v>
      </c>
      <c r="G320">
        <v>125000</v>
      </c>
      <c r="H320">
        <v>50000</v>
      </c>
      <c r="I320">
        <v>0</v>
      </c>
      <c r="J320">
        <v>0</v>
      </c>
      <c r="K320">
        <v>37000</v>
      </c>
      <c r="L320">
        <v>0</v>
      </c>
      <c r="M320">
        <v>0</v>
      </c>
      <c r="N320">
        <v>123750</v>
      </c>
      <c r="O320">
        <v>8500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1800</v>
      </c>
      <c r="Y320">
        <v>0</v>
      </c>
      <c r="Z320" cm="1">
        <f t="array" ref="Z320">MMULT($G320:$Y320,'Nelson Factor_2019'!$B$1:$B$19)/$G320</f>
        <v>9.907</v>
      </c>
      <c r="AA320" cm="1">
        <f t="array" ref="AA320">MMULT($G320:$R320,'Nelson Factor_2019'!$B$1:$B$12)/$G320</f>
        <v>6.4509999999999996</v>
      </c>
    </row>
    <row r="321" spans="1:27" x14ac:dyDescent="0.25">
      <c r="A321">
        <v>2007</v>
      </c>
      <c r="B321">
        <v>3</v>
      </c>
      <c r="C321">
        <v>1</v>
      </c>
      <c r="D321" t="s">
        <v>99</v>
      </c>
      <c r="E321" t="s">
        <v>117</v>
      </c>
      <c r="F321" t="s">
        <v>118</v>
      </c>
      <c r="G321">
        <v>55000</v>
      </c>
      <c r="H321">
        <v>22000</v>
      </c>
      <c r="I321">
        <v>0</v>
      </c>
      <c r="J321">
        <v>0</v>
      </c>
      <c r="K321">
        <v>20000</v>
      </c>
      <c r="L321">
        <v>10000</v>
      </c>
      <c r="M321">
        <v>0</v>
      </c>
      <c r="N321">
        <v>31000</v>
      </c>
      <c r="O321">
        <v>3800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28</v>
      </c>
      <c r="Y321">
        <v>0</v>
      </c>
      <c r="Z321" cm="1">
        <f t="array" ref="Z321">MMULT($G321:$Y321,'Nelson Factor_2019'!$B$1:$B$19)/$G321</f>
        <v>6.8330909090909087</v>
      </c>
      <c r="AA321" cm="1">
        <f t="array" ref="AA321">MMULT($G321:$R321,'Nelson Factor_2019'!$B$1:$B$12)/$G321</f>
        <v>6.7109090909090909</v>
      </c>
    </row>
    <row r="322" spans="1:27" x14ac:dyDescent="0.25">
      <c r="A322">
        <v>2007</v>
      </c>
      <c r="B322">
        <v>3</v>
      </c>
      <c r="C322">
        <v>0</v>
      </c>
      <c r="D322" t="s">
        <v>99</v>
      </c>
      <c r="E322" t="s">
        <v>27</v>
      </c>
      <c r="F322" t="s">
        <v>119</v>
      </c>
      <c r="G322">
        <v>55000</v>
      </c>
      <c r="H322">
        <v>28000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 cm="1">
        <f t="array" ref="Z322">MMULT($G322:$Y322,'Nelson Factor_2019'!$B$1:$B$19)/$G322</f>
        <v>1.6618181818181819</v>
      </c>
      <c r="AA322" cm="1">
        <f t="array" ref="AA322">MMULT($G322:$R322,'Nelson Factor_2019'!$B$1:$B$12)/$G322</f>
        <v>1.6618181818181819</v>
      </c>
    </row>
    <row r="323" spans="1:27" x14ac:dyDescent="0.25">
      <c r="A323">
        <v>2007</v>
      </c>
      <c r="B323">
        <v>3</v>
      </c>
      <c r="C323">
        <v>1</v>
      </c>
      <c r="D323" t="s">
        <v>99</v>
      </c>
      <c r="E323" t="s">
        <v>66</v>
      </c>
      <c r="F323" t="s">
        <v>120</v>
      </c>
      <c r="G323">
        <v>83000</v>
      </c>
      <c r="H323">
        <v>36000</v>
      </c>
      <c r="I323">
        <v>0</v>
      </c>
      <c r="J323">
        <v>0</v>
      </c>
      <c r="K323">
        <v>33000</v>
      </c>
      <c r="L323">
        <v>12000</v>
      </c>
      <c r="M323">
        <v>0</v>
      </c>
      <c r="N323">
        <v>18500</v>
      </c>
      <c r="O323">
        <v>0</v>
      </c>
      <c r="P323">
        <v>2100</v>
      </c>
      <c r="Q323">
        <v>0</v>
      </c>
      <c r="R323">
        <v>4500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 cm="1">
        <f t="array" ref="Z323">MMULT($G323:$Y323,'Nelson Factor_2019'!$B$1:$B$19)/$G323</f>
        <v>5.645180722891566</v>
      </c>
      <c r="AA323" cm="1">
        <f t="array" ref="AA323">MMULT($G323:$R323,'Nelson Factor_2019'!$B$1:$B$12)/$G323</f>
        <v>5.645180722891566</v>
      </c>
    </row>
    <row r="324" spans="1:27" x14ac:dyDescent="0.25">
      <c r="A324">
        <v>2007</v>
      </c>
      <c r="B324">
        <v>3</v>
      </c>
      <c r="C324">
        <v>4</v>
      </c>
      <c r="D324" t="s">
        <v>99</v>
      </c>
      <c r="E324" t="s">
        <v>66</v>
      </c>
      <c r="F324" t="s">
        <v>114</v>
      </c>
      <c r="G324">
        <v>186000</v>
      </c>
      <c r="H324">
        <v>200000</v>
      </c>
      <c r="I324">
        <v>70400</v>
      </c>
      <c r="J324">
        <v>0</v>
      </c>
      <c r="K324">
        <v>100000</v>
      </c>
      <c r="L324">
        <v>25000</v>
      </c>
      <c r="M324">
        <v>0</v>
      </c>
      <c r="N324">
        <v>131100</v>
      </c>
      <c r="O324">
        <v>19000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4500</v>
      </c>
      <c r="X324">
        <v>450</v>
      </c>
      <c r="Y324">
        <v>0</v>
      </c>
      <c r="Z324" cm="1">
        <f t="array" ref="Z324">MMULT($G324:$Y324,'Nelson Factor_2019'!$B$1:$B$19)/$G324</f>
        <v>12.498655913978494</v>
      </c>
      <c r="AA324" cm="1">
        <f t="array" ref="AA324">MMULT($G324:$R324,'Nelson Factor_2019'!$B$1:$B$12)/$G324</f>
        <v>11.918010752688172</v>
      </c>
    </row>
    <row r="325" spans="1:27" x14ac:dyDescent="0.25">
      <c r="A325">
        <v>2007</v>
      </c>
      <c r="B325">
        <v>2</v>
      </c>
      <c r="C325">
        <v>1</v>
      </c>
      <c r="D325" t="s">
        <v>121</v>
      </c>
      <c r="E325" t="s">
        <v>234</v>
      </c>
      <c r="F325" t="s">
        <v>122</v>
      </c>
      <c r="G325">
        <v>100000</v>
      </c>
      <c r="H325">
        <v>48500</v>
      </c>
      <c r="I325">
        <v>0</v>
      </c>
      <c r="J325">
        <v>0</v>
      </c>
      <c r="K325">
        <v>28500</v>
      </c>
      <c r="L325">
        <v>19000</v>
      </c>
      <c r="M325">
        <v>0</v>
      </c>
      <c r="N325">
        <v>92300</v>
      </c>
      <c r="O325">
        <v>4800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132</v>
      </c>
      <c r="Y325">
        <v>21900</v>
      </c>
      <c r="Z325" cm="1">
        <f t="array" ref="Z325">MMULT($G325:$Y325,'Nelson Factor_2019'!$B$1:$B$19)/$G325</f>
        <v>7.7233000000000001</v>
      </c>
      <c r="AA325" cm="1">
        <f t="array" ref="AA325">MMULT($G325:$R325,'Nelson Factor_2019'!$B$1:$B$12)/$G325</f>
        <v>7.0780000000000003</v>
      </c>
    </row>
    <row r="326" spans="1:27" x14ac:dyDescent="0.25">
      <c r="A326">
        <v>2007</v>
      </c>
      <c r="B326">
        <v>2</v>
      </c>
      <c r="C326">
        <v>4</v>
      </c>
      <c r="D326" t="s">
        <v>123</v>
      </c>
      <c r="E326" t="s">
        <v>35</v>
      </c>
      <c r="F326" t="s">
        <v>124</v>
      </c>
      <c r="G326">
        <v>279300</v>
      </c>
      <c r="H326">
        <v>185250</v>
      </c>
      <c r="I326">
        <v>63720</v>
      </c>
      <c r="J326">
        <v>0</v>
      </c>
      <c r="K326">
        <v>77850</v>
      </c>
      <c r="L326">
        <v>46170</v>
      </c>
      <c r="M326">
        <v>0</v>
      </c>
      <c r="N326">
        <v>285840</v>
      </c>
      <c r="O326">
        <v>11250</v>
      </c>
      <c r="P326">
        <v>4140</v>
      </c>
      <c r="Q326">
        <v>0</v>
      </c>
      <c r="R326">
        <v>16200</v>
      </c>
      <c r="S326">
        <v>0</v>
      </c>
      <c r="T326">
        <v>0</v>
      </c>
      <c r="U326">
        <v>175</v>
      </c>
      <c r="V326">
        <v>10</v>
      </c>
      <c r="W326">
        <v>4100</v>
      </c>
      <c r="X326">
        <v>890</v>
      </c>
      <c r="Y326">
        <v>40500</v>
      </c>
      <c r="Z326" cm="1">
        <f t="array" ref="Z326">MMULT($G326:$Y326,'Nelson Factor_2019'!$B$1:$B$19)/$G326</f>
        <v>10.33873970640888</v>
      </c>
      <c r="AA326" cm="1">
        <f t="array" ref="AA326">MMULT($G326:$R326,'Nelson Factor_2019'!$B$1:$B$12)/$G326</f>
        <v>9.3558002148227715</v>
      </c>
    </row>
    <row r="327" spans="1:27" x14ac:dyDescent="0.25">
      <c r="A327">
        <v>2007</v>
      </c>
      <c r="B327">
        <v>2</v>
      </c>
      <c r="C327">
        <v>1</v>
      </c>
      <c r="D327" t="s">
        <v>123</v>
      </c>
      <c r="E327" t="s">
        <v>234</v>
      </c>
      <c r="F327" t="s">
        <v>125</v>
      </c>
      <c r="G327">
        <v>70000</v>
      </c>
      <c r="H327">
        <v>30400</v>
      </c>
      <c r="I327">
        <v>0</v>
      </c>
      <c r="J327">
        <v>0</v>
      </c>
      <c r="K327">
        <v>24700</v>
      </c>
      <c r="L327">
        <v>19500</v>
      </c>
      <c r="M327">
        <v>0</v>
      </c>
      <c r="N327">
        <v>73700</v>
      </c>
      <c r="O327">
        <v>5200</v>
      </c>
      <c r="P327">
        <v>0</v>
      </c>
      <c r="Q327">
        <v>0</v>
      </c>
      <c r="R327">
        <v>8600</v>
      </c>
      <c r="S327">
        <v>0</v>
      </c>
      <c r="T327">
        <v>0</v>
      </c>
      <c r="U327">
        <v>9</v>
      </c>
      <c r="V327">
        <v>0</v>
      </c>
      <c r="W327">
        <v>0</v>
      </c>
      <c r="X327">
        <v>99</v>
      </c>
      <c r="Y327">
        <v>12400</v>
      </c>
      <c r="Z327" cm="1">
        <f t="array" ref="Z327">MMULT($G327:$Y327,'Nelson Factor_2019'!$B$1:$B$19)/$G327</f>
        <v>9.4234142857142853</v>
      </c>
      <c r="AA327" cm="1">
        <f t="array" ref="AA327">MMULT($G327:$R327,'Nelson Factor_2019'!$B$1:$B$12)/$G327</f>
        <v>8.8181428571428579</v>
      </c>
    </row>
    <row r="328" spans="1:27" x14ac:dyDescent="0.25">
      <c r="A328">
        <v>2007</v>
      </c>
      <c r="B328">
        <v>3</v>
      </c>
      <c r="C328">
        <v>6</v>
      </c>
      <c r="D328" t="s">
        <v>126</v>
      </c>
      <c r="E328" t="s">
        <v>227</v>
      </c>
      <c r="F328" t="s">
        <v>127</v>
      </c>
      <c r="G328">
        <v>330000</v>
      </c>
      <c r="H328">
        <v>240000</v>
      </c>
      <c r="I328">
        <v>98000</v>
      </c>
      <c r="J328">
        <v>0</v>
      </c>
      <c r="K328">
        <v>63000</v>
      </c>
      <c r="L328">
        <v>71000</v>
      </c>
      <c r="M328">
        <v>58000</v>
      </c>
      <c r="N328">
        <v>238500</v>
      </c>
      <c r="O328">
        <v>14800</v>
      </c>
      <c r="P328">
        <v>2100</v>
      </c>
      <c r="Q328">
        <v>19000</v>
      </c>
      <c r="R328">
        <v>0</v>
      </c>
      <c r="S328">
        <v>0</v>
      </c>
      <c r="T328">
        <v>0</v>
      </c>
      <c r="U328">
        <v>205</v>
      </c>
      <c r="V328">
        <v>0</v>
      </c>
      <c r="W328">
        <v>6440</v>
      </c>
      <c r="X328">
        <v>1067</v>
      </c>
      <c r="Y328">
        <v>0</v>
      </c>
      <c r="Z328" cm="1">
        <f t="array" ref="Z328">MMULT($G328:$Y328,'Nelson Factor_2019'!$B$1:$B$19)/$G328</f>
        <v>12.047075757575758</v>
      </c>
      <c r="AA328" cm="1">
        <f t="array" ref="AA328">MMULT($G328:$R328,'Nelson Factor_2019'!$B$1:$B$12)/$G328</f>
        <v>11.270454545454545</v>
      </c>
    </row>
    <row r="329" spans="1:27" x14ac:dyDescent="0.25">
      <c r="A329">
        <v>2007</v>
      </c>
      <c r="B329">
        <v>3</v>
      </c>
      <c r="C329">
        <v>0</v>
      </c>
      <c r="D329" t="s">
        <v>126</v>
      </c>
      <c r="E329" t="s">
        <v>128</v>
      </c>
      <c r="F329" t="s">
        <v>129</v>
      </c>
      <c r="G329">
        <v>23000</v>
      </c>
      <c r="H329">
        <v>10200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12000</v>
      </c>
      <c r="O329">
        <v>0</v>
      </c>
      <c r="P329">
        <v>0</v>
      </c>
      <c r="Q329">
        <v>0</v>
      </c>
      <c r="R329">
        <v>0</v>
      </c>
      <c r="S329">
        <v>11300</v>
      </c>
      <c r="T329">
        <v>0</v>
      </c>
      <c r="U329">
        <v>7.7</v>
      </c>
      <c r="V329">
        <v>0</v>
      </c>
      <c r="W329">
        <v>0</v>
      </c>
      <c r="X329">
        <v>0</v>
      </c>
      <c r="Y329">
        <v>9600</v>
      </c>
      <c r="Z329" cm="1">
        <f t="array" ref="Z329">MMULT($G329:$Y329,'Nelson Factor_2019'!$B$1:$B$19)/$G329</f>
        <v>32.985552173913042</v>
      </c>
      <c r="AA329" cm="1">
        <f t="array" ref="AA329">MMULT($G329:$R329,'Nelson Factor_2019'!$B$1:$B$12)/$G329</f>
        <v>2.8808695652173912</v>
      </c>
    </row>
    <row r="330" spans="1:27" x14ac:dyDescent="0.25">
      <c r="A330">
        <v>2007</v>
      </c>
      <c r="B330">
        <v>4</v>
      </c>
      <c r="C330">
        <v>1</v>
      </c>
      <c r="D330" t="s">
        <v>130</v>
      </c>
      <c r="E330" t="s">
        <v>235</v>
      </c>
      <c r="F330" t="s">
        <v>132</v>
      </c>
      <c r="G330">
        <v>59600</v>
      </c>
      <c r="H330">
        <v>31300</v>
      </c>
      <c r="I330">
        <v>0</v>
      </c>
      <c r="J330">
        <v>0</v>
      </c>
      <c r="K330">
        <v>14000</v>
      </c>
      <c r="L330">
        <v>12500</v>
      </c>
      <c r="M330">
        <v>0</v>
      </c>
      <c r="N330">
        <v>51600</v>
      </c>
      <c r="O330">
        <v>4300</v>
      </c>
      <c r="P330">
        <v>0</v>
      </c>
      <c r="Q330">
        <v>0</v>
      </c>
      <c r="R330">
        <v>2500</v>
      </c>
      <c r="S330">
        <v>0</v>
      </c>
      <c r="T330">
        <v>0</v>
      </c>
      <c r="U330">
        <v>21</v>
      </c>
      <c r="V330">
        <v>21</v>
      </c>
      <c r="W330">
        <v>0</v>
      </c>
      <c r="X330">
        <v>90</v>
      </c>
      <c r="Y330">
        <v>19000</v>
      </c>
      <c r="Z330" cm="1">
        <f t="array" ref="Z330">MMULT($G330:$Y330,'Nelson Factor_2019'!$B$1:$B$19)/$G330</f>
        <v>7.9938255033557049</v>
      </c>
      <c r="AA330" cm="1">
        <f t="array" ref="AA330">MMULT($G330:$R330,'Nelson Factor_2019'!$B$1:$B$12)/$G330</f>
        <v>7.1525167785234895</v>
      </c>
    </row>
    <row r="331" spans="1:27" x14ac:dyDescent="0.25">
      <c r="A331">
        <v>2007</v>
      </c>
      <c r="B331">
        <v>4</v>
      </c>
      <c r="C331">
        <v>4</v>
      </c>
      <c r="D331" t="s">
        <v>130</v>
      </c>
      <c r="E331" t="s">
        <v>51</v>
      </c>
      <c r="F331" t="s">
        <v>133</v>
      </c>
      <c r="G331">
        <v>58000</v>
      </c>
      <c r="H331">
        <v>34000</v>
      </c>
      <c r="I331">
        <v>18000</v>
      </c>
      <c r="J331">
        <v>0</v>
      </c>
      <c r="K331">
        <v>18500</v>
      </c>
      <c r="L331">
        <v>12200</v>
      </c>
      <c r="M331">
        <v>0</v>
      </c>
      <c r="N331">
        <v>72000</v>
      </c>
      <c r="O331">
        <v>6800</v>
      </c>
      <c r="P331">
        <v>0</v>
      </c>
      <c r="Q331">
        <v>0</v>
      </c>
      <c r="R331">
        <v>3600</v>
      </c>
      <c r="S331">
        <v>0</v>
      </c>
      <c r="T331">
        <v>0</v>
      </c>
      <c r="U331">
        <v>32.5</v>
      </c>
      <c r="V331">
        <v>61.5</v>
      </c>
      <c r="W331">
        <v>1020</v>
      </c>
      <c r="X331">
        <v>224</v>
      </c>
      <c r="Y331">
        <v>0</v>
      </c>
      <c r="Z331" cm="1">
        <f t="array" ref="Z331">MMULT($G331:$Y331,'Nelson Factor_2019'!$B$1:$B$19)/$G331</f>
        <v>12.445758620689656</v>
      </c>
      <c r="AA331" cm="1">
        <f t="array" ref="AA331">MMULT($G331:$R331,'Nelson Factor_2019'!$B$1:$B$12)/$G331</f>
        <v>11.517241379310345</v>
      </c>
    </row>
    <row r="332" spans="1:27" x14ac:dyDescent="0.25">
      <c r="A332">
        <v>2007</v>
      </c>
      <c r="B332">
        <v>4</v>
      </c>
      <c r="C332">
        <v>6</v>
      </c>
      <c r="D332" t="s">
        <v>130</v>
      </c>
      <c r="E332" t="s">
        <v>54</v>
      </c>
      <c r="F332" t="s">
        <v>133</v>
      </c>
      <c r="G332">
        <v>60000</v>
      </c>
      <c r="H332">
        <v>27500</v>
      </c>
      <c r="I332">
        <v>9500</v>
      </c>
      <c r="J332">
        <v>0</v>
      </c>
      <c r="K332">
        <v>22500</v>
      </c>
      <c r="L332">
        <v>12000</v>
      </c>
      <c r="M332">
        <v>5500</v>
      </c>
      <c r="N332">
        <v>63500</v>
      </c>
      <c r="O332">
        <v>4500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22</v>
      </c>
      <c r="V332">
        <v>4.5</v>
      </c>
      <c r="W332">
        <v>440</v>
      </c>
      <c r="X332">
        <v>0</v>
      </c>
      <c r="Y332">
        <v>13000</v>
      </c>
      <c r="Z332" cm="1">
        <f t="array" ref="Z332">MMULT($G332:$Y332,'Nelson Factor_2019'!$B$1:$B$19)/$G332</f>
        <v>10.487941666666666</v>
      </c>
      <c r="AA332" cm="1">
        <f t="array" ref="AA332">MMULT($G332:$R332,'Nelson Factor_2019'!$B$1:$B$12)/$G332</f>
        <v>10.1625</v>
      </c>
    </row>
    <row r="333" spans="1:27" x14ac:dyDescent="0.25">
      <c r="A333">
        <v>2007</v>
      </c>
      <c r="B333">
        <v>4</v>
      </c>
      <c r="C333">
        <v>1</v>
      </c>
      <c r="D333" t="s">
        <v>130</v>
      </c>
      <c r="E333" t="s">
        <v>134</v>
      </c>
      <c r="F333" t="s">
        <v>135</v>
      </c>
      <c r="G333">
        <v>10000</v>
      </c>
      <c r="H333">
        <v>5000</v>
      </c>
      <c r="I333">
        <v>0</v>
      </c>
      <c r="J333">
        <v>0</v>
      </c>
      <c r="K333">
        <v>3000</v>
      </c>
      <c r="L333">
        <v>1000</v>
      </c>
      <c r="M333">
        <v>0</v>
      </c>
      <c r="N333">
        <v>7100</v>
      </c>
      <c r="O333">
        <v>1000</v>
      </c>
      <c r="P333">
        <v>400</v>
      </c>
      <c r="Q333">
        <v>0</v>
      </c>
      <c r="R333">
        <v>700</v>
      </c>
      <c r="S333">
        <v>0</v>
      </c>
      <c r="T333">
        <v>0</v>
      </c>
      <c r="U333">
        <v>2</v>
      </c>
      <c r="V333">
        <v>0</v>
      </c>
      <c r="W333">
        <v>0</v>
      </c>
      <c r="X333">
        <v>0</v>
      </c>
      <c r="Y333">
        <v>3800</v>
      </c>
      <c r="Z333" cm="1">
        <f t="array" ref="Z333">MMULT($G333:$Y333,'Nelson Factor_2019'!$B$1:$B$19)/$G333</f>
        <v>7.9051999999999998</v>
      </c>
      <c r="AA333" cm="1">
        <f t="array" ref="AA333">MMULT($G333:$R333,'Nelson Factor_2019'!$B$1:$B$12)/$G333</f>
        <v>7.335</v>
      </c>
    </row>
    <row r="334" spans="1:27" x14ac:dyDescent="0.25">
      <c r="A334">
        <v>2007</v>
      </c>
      <c r="B334">
        <v>1</v>
      </c>
      <c r="C334">
        <v>1</v>
      </c>
      <c r="D334" t="s">
        <v>136</v>
      </c>
      <c r="E334" t="s">
        <v>51</v>
      </c>
      <c r="F334" t="s">
        <v>137</v>
      </c>
      <c r="G334">
        <v>238000</v>
      </c>
      <c r="H334">
        <v>71250</v>
      </c>
      <c r="I334">
        <v>0</v>
      </c>
      <c r="J334">
        <v>0</v>
      </c>
      <c r="K334">
        <v>130500</v>
      </c>
      <c r="L334">
        <v>28800</v>
      </c>
      <c r="M334">
        <v>0</v>
      </c>
      <c r="N334">
        <v>198000</v>
      </c>
      <c r="O334">
        <v>15750</v>
      </c>
      <c r="P334">
        <v>0</v>
      </c>
      <c r="Q334">
        <v>0</v>
      </c>
      <c r="R334">
        <v>24525</v>
      </c>
      <c r="S334">
        <v>0</v>
      </c>
      <c r="T334">
        <v>0</v>
      </c>
      <c r="U334">
        <v>20</v>
      </c>
      <c r="V334">
        <v>56.5</v>
      </c>
      <c r="W334">
        <v>0</v>
      </c>
      <c r="X334">
        <v>306</v>
      </c>
      <c r="Y334">
        <v>0</v>
      </c>
      <c r="Z334" cm="1">
        <f t="array" ref="Z334">MMULT($G334:$Y334,'Nelson Factor_2019'!$B$1:$B$19)/$G334</f>
        <v>8.6437668067226898</v>
      </c>
      <c r="AA334" cm="1">
        <f t="array" ref="AA334">MMULT($G334:$R334,'Nelson Factor_2019'!$B$1:$B$12)/$G334</f>
        <v>8.3348739495798316</v>
      </c>
    </row>
    <row r="335" spans="1:27" x14ac:dyDescent="0.25">
      <c r="A335">
        <v>2007</v>
      </c>
      <c r="B335">
        <v>1</v>
      </c>
      <c r="C335">
        <v>1</v>
      </c>
      <c r="D335" t="s">
        <v>136</v>
      </c>
      <c r="E335" t="s">
        <v>138</v>
      </c>
      <c r="F335" t="s">
        <v>139</v>
      </c>
      <c r="G335">
        <v>150000</v>
      </c>
      <c r="H335">
        <v>47500</v>
      </c>
      <c r="I335">
        <v>0</v>
      </c>
      <c r="J335">
        <v>0</v>
      </c>
      <c r="K335">
        <v>55000</v>
      </c>
      <c r="L335">
        <v>28000</v>
      </c>
      <c r="M335">
        <v>0</v>
      </c>
      <c r="N335">
        <v>29000</v>
      </c>
      <c r="O335">
        <v>4000</v>
      </c>
      <c r="P335">
        <v>3300</v>
      </c>
      <c r="Q335">
        <v>17000</v>
      </c>
      <c r="R335">
        <v>10000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20</v>
      </c>
      <c r="Y335">
        <v>0</v>
      </c>
      <c r="Z335" cm="1">
        <f t="array" ref="Z335">MMULT($G335:$Y335,'Nelson Factor_2019'!$B$1:$B$19)/$G335</f>
        <v>8.0136666666666674</v>
      </c>
      <c r="AA335" cm="1">
        <f t="array" ref="AA335">MMULT($G335:$R335,'Nelson Factor_2019'!$B$1:$B$12)/$G335</f>
        <v>7.9816666666666665</v>
      </c>
    </row>
    <row r="336" spans="1:27" x14ac:dyDescent="0.25">
      <c r="A336">
        <v>2007</v>
      </c>
      <c r="B336">
        <v>1</v>
      </c>
      <c r="C336">
        <v>4</v>
      </c>
      <c r="D336" t="s">
        <v>136</v>
      </c>
      <c r="E336" t="s">
        <v>66</v>
      </c>
      <c r="F336" t="s">
        <v>140</v>
      </c>
      <c r="G336">
        <v>166000</v>
      </c>
      <c r="H336">
        <v>90000</v>
      </c>
      <c r="I336">
        <v>27000</v>
      </c>
      <c r="J336">
        <v>0</v>
      </c>
      <c r="K336">
        <v>55000</v>
      </c>
      <c r="L336">
        <v>30000</v>
      </c>
      <c r="M336">
        <v>0</v>
      </c>
      <c r="N336">
        <v>142250</v>
      </c>
      <c r="O336">
        <v>11200</v>
      </c>
      <c r="P336">
        <v>0</v>
      </c>
      <c r="Q336">
        <v>0</v>
      </c>
      <c r="R336">
        <v>0</v>
      </c>
      <c r="S336">
        <v>11500</v>
      </c>
      <c r="T336">
        <v>0</v>
      </c>
      <c r="U336">
        <v>13.5</v>
      </c>
      <c r="V336">
        <v>9</v>
      </c>
      <c r="W336">
        <v>1470</v>
      </c>
      <c r="X336">
        <v>230</v>
      </c>
      <c r="Y336">
        <v>16000</v>
      </c>
      <c r="Z336" cm="1">
        <f t="array" ref="Z336">MMULT($G336:$Y336,'Nelson Factor_2019'!$B$1:$B$19)/$G336</f>
        <v>13.267153614457831</v>
      </c>
      <c r="AA336" cm="1">
        <f t="array" ref="AA336">MMULT($G336:$R336,'Nelson Factor_2019'!$B$1:$B$12)/$G336</f>
        <v>8.6332831325301207</v>
      </c>
    </row>
    <row r="337" spans="1:27" x14ac:dyDescent="0.25">
      <c r="A337">
        <v>2007</v>
      </c>
      <c r="B337">
        <v>3</v>
      </c>
      <c r="C337">
        <v>1</v>
      </c>
      <c r="D337" t="s">
        <v>141</v>
      </c>
      <c r="E337" t="s">
        <v>142</v>
      </c>
      <c r="F337" t="s">
        <v>143</v>
      </c>
      <c r="G337">
        <v>18600</v>
      </c>
      <c r="H337">
        <v>0</v>
      </c>
      <c r="I337">
        <v>0</v>
      </c>
      <c r="J337">
        <v>0</v>
      </c>
      <c r="K337">
        <v>6000</v>
      </c>
      <c r="L337">
        <v>4800</v>
      </c>
      <c r="M337">
        <v>0</v>
      </c>
      <c r="N337">
        <v>7800</v>
      </c>
      <c r="O337">
        <v>0</v>
      </c>
      <c r="P337">
        <v>2000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1</v>
      </c>
      <c r="Y337">
        <v>0</v>
      </c>
      <c r="Z337" cm="1">
        <f t="array" ref="Z337">MMULT($G337:$Y337,'Nelson Factor_2019'!$B$1:$B$19)/$G337</f>
        <v>6.3623655913978494</v>
      </c>
      <c r="AA337" cm="1">
        <f t="array" ref="AA337">MMULT($G337:$R337,'Nelson Factor_2019'!$B$1:$B$12)/$G337</f>
        <v>6.349462365591398</v>
      </c>
    </row>
    <row r="338" spans="1:27" x14ac:dyDescent="0.25">
      <c r="A338">
        <v>2007</v>
      </c>
      <c r="B338">
        <v>3</v>
      </c>
      <c r="C338">
        <v>1</v>
      </c>
      <c r="D338" t="s">
        <v>141</v>
      </c>
      <c r="E338" t="s">
        <v>142</v>
      </c>
      <c r="F338" t="s">
        <v>144</v>
      </c>
      <c r="G338">
        <v>26000</v>
      </c>
      <c r="H338">
        <v>0</v>
      </c>
      <c r="I338">
        <v>0</v>
      </c>
      <c r="J338">
        <v>0</v>
      </c>
      <c r="K338">
        <v>8500</v>
      </c>
      <c r="L338">
        <v>7300</v>
      </c>
      <c r="M338">
        <v>0</v>
      </c>
      <c r="N338">
        <v>11500</v>
      </c>
      <c r="O338">
        <v>1800</v>
      </c>
      <c r="P338">
        <v>0</v>
      </c>
      <c r="Q338">
        <v>0</v>
      </c>
      <c r="R338">
        <v>4000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2</v>
      </c>
      <c r="Y338">
        <v>0</v>
      </c>
      <c r="Z338" cm="1">
        <f t="array" ref="Z338">MMULT($G338:$Y338,'Nelson Factor_2019'!$B$1:$B$19)/$G338</f>
        <v>6.6434615384615388</v>
      </c>
      <c r="AA338" cm="1">
        <f t="array" ref="AA338">MMULT($G338:$R338,'Nelson Factor_2019'!$B$1:$B$12)/$G338</f>
        <v>6.625</v>
      </c>
    </row>
    <row r="339" spans="1:27" x14ac:dyDescent="0.25">
      <c r="A339">
        <v>2007</v>
      </c>
      <c r="B339">
        <v>3</v>
      </c>
      <c r="C339">
        <v>1</v>
      </c>
      <c r="D339" t="s">
        <v>141</v>
      </c>
      <c r="E339" t="s">
        <v>145</v>
      </c>
      <c r="F339" t="s">
        <v>146</v>
      </c>
      <c r="G339">
        <v>60000</v>
      </c>
      <c r="H339">
        <v>20000</v>
      </c>
      <c r="I339">
        <v>0</v>
      </c>
      <c r="J339">
        <v>0</v>
      </c>
      <c r="K339">
        <v>18500</v>
      </c>
      <c r="L339">
        <v>12500</v>
      </c>
      <c r="M339">
        <v>0</v>
      </c>
      <c r="N339">
        <v>50500</v>
      </c>
      <c r="O339">
        <v>7800</v>
      </c>
      <c r="P339">
        <v>0</v>
      </c>
      <c r="Q339">
        <v>0</v>
      </c>
      <c r="R339">
        <v>10000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30</v>
      </c>
      <c r="Y339">
        <v>3500</v>
      </c>
      <c r="Z339" cm="1">
        <f t="array" ref="Z339">MMULT($G339:$Y339,'Nelson Factor_2019'!$B$1:$B$19)/$G339</f>
        <v>8.4366666666666674</v>
      </c>
      <c r="AA339" cm="1">
        <f t="array" ref="AA339">MMULT($G339:$R339,'Nelson Factor_2019'!$B$1:$B$12)/$G339</f>
        <v>8.2291666666666661</v>
      </c>
    </row>
    <row r="340" spans="1:27" x14ac:dyDescent="0.25">
      <c r="A340">
        <v>2007</v>
      </c>
      <c r="B340">
        <v>2</v>
      </c>
      <c r="C340">
        <v>1</v>
      </c>
      <c r="D340" t="s">
        <v>147</v>
      </c>
      <c r="E340" t="s">
        <v>148</v>
      </c>
      <c r="F340" t="s">
        <v>149</v>
      </c>
      <c r="G340">
        <v>58000</v>
      </c>
      <c r="H340">
        <v>0</v>
      </c>
      <c r="I340">
        <v>0</v>
      </c>
      <c r="J340">
        <v>0</v>
      </c>
      <c r="K340">
        <v>25700</v>
      </c>
      <c r="L340">
        <v>11500</v>
      </c>
      <c r="M340">
        <v>0</v>
      </c>
      <c r="N340">
        <v>23600</v>
      </c>
      <c r="O340">
        <v>4200</v>
      </c>
      <c r="P340">
        <v>1100</v>
      </c>
      <c r="Q340">
        <v>0</v>
      </c>
      <c r="R340">
        <v>4800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15</v>
      </c>
      <c r="Y340">
        <v>0</v>
      </c>
      <c r="Z340" cm="1">
        <f t="array" ref="Z340">MMULT($G340:$Y340,'Nelson Factor_2019'!$B$1:$B$19)/$G340</f>
        <v>6.8913793103448278</v>
      </c>
      <c r="AA340" cm="1">
        <f t="array" ref="AA340">MMULT($G340:$R340,'Nelson Factor_2019'!$B$1:$B$12)/$G340</f>
        <v>6.8293103448275865</v>
      </c>
    </row>
    <row r="341" spans="1:27" x14ac:dyDescent="0.25">
      <c r="A341">
        <v>2007</v>
      </c>
      <c r="B341">
        <v>2</v>
      </c>
      <c r="C341">
        <v>6</v>
      </c>
      <c r="D341" t="s">
        <v>150</v>
      </c>
      <c r="E341" t="s">
        <v>32</v>
      </c>
      <c r="F341" t="s">
        <v>151</v>
      </c>
      <c r="G341">
        <v>147250</v>
      </c>
      <c r="H341">
        <v>65550</v>
      </c>
      <c r="I341">
        <v>31500</v>
      </c>
      <c r="J341">
        <v>0</v>
      </c>
      <c r="K341">
        <v>54000</v>
      </c>
      <c r="L341">
        <v>38700</v>
      </c>
      <c r="M341">
        <v>27000</v>
      </c>
      <c r="N341">
        <v>123500</v>
      </c>
      <c r="O341">
        <v>10800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33</v>
      </c>
      <c r="V341">
        <v>32</v>
      </c>
      <c r="W341">
        <v>1736</v>
      </c>
      <c r="X341">
        <v>314</v>
      </c>
      <c r="Y341">
        <v>8600</v>
      </c>
      <c r="Z341" cm="1">
        <f t="array" ref="Z341">MMULT($G341:$Y341,'Nelson Factor_2019'!$B$1:$B$19)/$G341</f>
        <v>11.594499151103566</v>
      </c>
      <c r="AA341" cm="1">
        <f t="array" ref="AA341">MMULT($G341:$R341,'Nelson Factor_2019'!$B$1:$B$12)/$G341</f>
        <v>10.994668930390493</v>
      </c>
    </row>
    <row r="342" spans="1:27" x14ac:dyDescent="0.25">
      <c r="A342">
        <v>2007</v>
      </c>
      <c r="B342">
        <v>2</v>
      </c>
      <c r="C342">
        <v>1</v>
      </c>
      <c r="D342" t="s">
        <v>150</v>
      </c>
      <c r="E342" t="s">
        <v>234</v>
      </c>
      <c r="F342" t="s">
        <v>152</v>
      </c>
      <c r="G342">
        <v>73000</v>
      </c>
      <c r="H342">
        <v>28500</v>
      </c>
      <c r="I342">
        <v>0</v>
      </c>
      <c r="J342">
        <v>0</v>
      </c>
      <c r="K342">
        <v>23800</v>
      </c>
      <c r="L342">
        <v>18100</v>
      </c>
      <c r="M342">
        <v>0</v>
      </c>
      <c r="N342">
        <v>59000</v>
      </c>
      <c r="O342">
        <v>6700</v>
      </c>
      <c r="P342">
        <v>800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100</v>
      </c>
      <c r="Y342">
        <v>12800</v>
      </c>
      <c r="Z342" cm="1">
        <f t="array" ref="Z342">MMULT($G342:$Y342,'Nelson Factor_2019'!$B$1:$B$19)/$G342</f>
        <v>8.3431506849315067</v>
      </c>
      <c r="AA342" cm="1">
        <f t="array" ref="AA342">MMULT($G342:$R342,'Nelson Factor_2019'!$B$1:$B$12)/$G342</f>
        <v>7.7513698630136982</v>
      </c>
    </row>
    <row r="343" spans="1:27" x14ac:dyDescent="0.25">
      <c r="A343">
        <v>2007</v>
      </c>
      <c r="B343">
        <v>2</v>
      </c>
      <c r="C343">
        <v>3</v>
      </c>
      <c r="D343" t="s">
        <v>150</v>
      </c>
      <c r="E343" t="s">
        <v>138</v>
      </c>
      <c r="F343" t="s">
        <v>151</v>
      </c>
      <c r="G343">
        <v>140000</v>
      </c>
      <c r="H343">
        <v>30000</v>
      </c>
      <c r="I343">
        <v>0</v>
      </c>
      <c r="J343">
        <v>0</v>
      </c>
      <c r="K343">
        <v>60000</v>
      </c>
      <c r="L343">
        <v>45600</v>
      </c>
      <c r="M343">
        <v>28200</v>
      </c>
      <c r="N343">
        <v>48000</v>
      </c>
      <c r="O343">
        <v>9000</v>
      </c>
      <c r="P343">
        <v>0</v>
      </c>
      <c r="Q343">
        <v>9000</v>
      </c>
      <c r="R343">
        <v>0</v>
      </c>
      <c r="S343">
        <v>0</v>
      </c>
      <c r="T343">
        <v>0</v>
      </c>
      <c r="U343">
        <v>52</v>
      </c>
      <c r="V343">
        <v>0</v>
      </c>
      <c r="W343">
        <v>0</v>
      </c>
      <c r="X343">
        <v>0</v>
      </c>
      <c r="Y343">
        <v>0</v>
      </c>
      <c r="Z343" cm="1">
        <f t="array" ref="Z343">MMULT($G343:$Y343,'Nelson Factor_2019'!$B$1:$B$19)/$G343</f>
        <v>9.8760857142857148</v>
      </c>
      <c r="AA343" cm="1">
        <f t="array" ref="AA343">MMULT($G343:$R343,'Nelson Factor_2019'!$B$1:$B$12)/$G343</f>
        <v>9.8757142857142863</v>
      </c>
    </row>
    <row r="344" spans="1:27" x14ac:dyDescent="0.25">
      <c r="A344">
        <v>2007</v>
      </c>
      <c r="B344">
        <v>2</v>
      </c>
      <c r="C344">
        <v>6</v>
      </c>
      <c r="D344" t="s">
        <v>150</v>
      </c>
      <c r="E344" t="s">
        <v>66</v>
      </c>
      <c r="F344" t="s">
        <v>154</v>
      </c>
      <c r="G344">
        <v>161500</v>
      </c>
      <c r="H344">
        <v>49400</v>
      </c>
      <c r="I344">
        <v>20700</v>
      </c>
      <c r="J344">
        <v>0</v>
      </c>
      <c r="K344">
        <v>36000</v>
      </c>
      <c r="L344">
        <v>49500</v>
      </c>
      <c r="M344">
        <v>23400</v>
      </c>
      <c r="N344">
        <v>88200</v>
      </c>
      <c r="O344">
        <v>0</v>
      </c>
      <c r="P344">
        <v>0</v>
      </c>
      <c r="Q344">
        <v>6300</v>
      </c>
      <c r="R344">
        <v>16200</v>
      </c>
      <c r="S344">
        <v>0</v>
      </c>
      <c r="T344">
        <v>0</v>
      </c>
      <c r="U344">
        <v>0</v>
      </c>
      <c r="V344">
        <v>10.4</v>
      </c>
      <c r="W344">
        <v>800</v>
      </c>
      <c r="X344">
        <v>100</v>
      </c>
      <c r="Y344">
        <v>0</v>
      </c>
      <c r="Z344" cm="1">
        <f t="array" ref="Z344">MMULT($G344:$Y344,'Nelson Factor_2019'!$B$1:$B$19)/$G344</f>
        <v>8.9831603715170267</v>
      </c>
      <c r="AA344" cm="1">
        <f t="array" ref="AA344">MMULT($G344:$R344,'Nelson Factor_2019'!$B$1:$B$12)/$G344</f>
        <v>8.8344891640866869</v>
      </c>
    </row>
    <row r="345" spans="1:27" x14ac:dyDescent="0.25">
      <c r="A345">
        <v>2007</v>
      </c>
      <c r="B345">
        <v>2</v>
      </c>
      <c r="C345">
        <v>4</v>
      </c>
      <c r="D345" t="s">
        <v>155</v>
      </c>
      <c r="E345" t="s">
        <v>51</v>
      </c>
      <c r="F345" t="s">
        <v>156</v>
      </c>
      <c r="G345">
        <v>187000</v>
      </c>
      <c r="H345">
        <v>80000</v>
      </c>
      <c r="I345">
        <v>24000</v>
      </c>
      <c r="J345">
        <v>0</v>
      </c>
      <c r="K345">
        <v>61000</v>
      </c>
      <c r="L345">
        <v>48000</v>
      </c>
      <c r="M345">
        <v>0</v>
      </c>
      <c r="N345">
        <v>193000</v>
      </c>
      <c r="O345">
        <v>15000</v>
      </c>
      <c r="P345">
        <v>2000</v>
      </c>
      <c r="Q345">
        <v>0</v>
      </c>
      <c r="R345">
        <v>20000</v>
      </c>
      <c r="S345">
        <v>0</v>
      </c>
      <c r="T345">
        <v>0</v>
      </c>
      <c r="U345">
        <v>34</v>
      </c>
      <c r="V345">
        <v>16</v>
      </c>
      <c r="W345">
        <v>1100</v>
      </c>
      <c r="X345">
        <v>355</v>
      </c>
      <c r="Y345">
        <v>0</v>
      </c>
      <c r="Z345" cm="1">
        <f t="array" ref="Z345">MMULT($G345:$Y345,'Nelson Factor_2019'!$B$1:$B$19)/$G345</f>
        <v>10.025401069518717</v>
      </c>
      <c r="AA345" cm="1">
        <f t="array" ref="AA345">MMULT($G345:$R345,'Nelson Factor_2019'!$B$1:$B$12)/$G345</f>
        <v>9.5695187165775408</v>
      </c>
    </row>
    <row r="346" spans="1:27" x14ac:dyDescent="0.25">
      <c r="A346">
        <v>2007</v>
      </c>
      <c r="B346">
        <v>2</v>
      </c>
      <c r="C346">
        <v>1</v>
      </c>
      <c r="D346" t="s">
        <v>155</v>
      </c>
      <c r="E346" t="s">
        <v>159</v>
      </c>
      <c r="F346" t="s">
        <v>160</v>
      </c>
      <c r="G346">
        <v>50000</v>
      </c>
      <c r="H346">
        <v>25175</v>
      </c>
      <c r="I346">
        <v>0</v>
      </c>
      <c r="J346">
        <v>0</v>
      </c>
      <c r="K346">
        <v>16200</v>
      </c>
      <c r="L346">
        <v>10800</v>
      </c>
      <c r="M346">
        <v>0</v>
      </c>
      <c r="N346">
        <v>26300</v>
      </c>
      <c r="O346">
        <v>2700</v>
      </c>
      <c r="P346">
        <v>0</v>
      </c>
      <c r="Q346">
        <v>0</v>
      </c>
      <c r="R346">
        <v>5400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19</v>
      </c>
      <c r="Y346">
        <v>2250</v>
      </c>
      <c r="Z346" cm="1">
        <f t="array" ref="Z346">MMULT($G346:$Y346,'Nelson Factor_2019'!$B$1:$B$19)/$G346</f>
        <v>7.0162500000000003</v>
      </c>
      <c r="AA346" cm="1">
        <f t="array" ref="AA346">MMULT($G346:$R346,'Nelson Factor_2019'!$B$1:$B$12)/$G346</f>
        <v>6.8575499999999998</v>
      </c>
    </row>
    <row r="347" spans="1:27" x14ac:dyDescent="0.25">
      <c r="A347">
        <v>2007</v>
      </c>
      <c r="B347">
        <v>2</v>
      </c>
      <c r="C347">
        <v>4</v>
      </c>
      <c r="D347" t="s">
        <v>155</v>
      </c>
      <c r="E347" t="s">
        <v>138</v>
      </c>
      <c r="F347" t="s">
        <v>160</v>
      </c>
      <c r="G347">
        <v>85000</v>
      </c>
      <c r="H347">
        <v>30000</v>
      </c>
      <c r="I347">
        <v>8500</v>
      </c>
      <c r="J347">
        <v>0</v>
      </c>
      <c r="K347">
        <v>0</v>
      </c>
      <c r="L347">
        <v>17500</v>
      </c>
      <c r="M347">
        <v>0</v>
      </c>
      <c r="N347">
        <v>34500</v>
      </c>
      <c r="O347">
        <v>0</v>
      </c>
      <c r="P347">
        <v>0</v>
      </c>
      <c r="Q347">
        <v>0</v>
      </c>
      <c r="R347">
        <v>0</v>
      </c>
      <c r="S347">
        <v>8500</v>
      </c>
      <c r="T347">
        <v>0</v>
      </c>
      <c r="U347">
        <v>0</v>
      </c>
      <c r="V347">
        <v>0</v>
      </c>
      <c r="W347">
        <v>350</v>
      </c>
      <c r="X347">
        <v>0</v>
      </c>
      <c r="Y347">
        <v>0</v>
      </c>
      <c r="Z347" cm="1">
        <f t="array" ref="Z347">MMULT($G347:$Y347,'Nelson Factor_2019'!$B$1:$B$19)/$G347</f>
        <v>10.252941176470589</v>
      </c>
      <c r="AA347" cm="1">
        <f t="array" ref="AA347">MMULT($G347:$R347,'Nelson Factor_2019'!$B$1:$B$12)/$G347</f>
        <v>4.2529411764705882</v>
      </c>
    </row>
    <row r="348" spans="1:27" x14ac:dyDescent="0.25">
      <c r="A348">
        <v>2007</v>
      </c>
      <c r="B348">
        <v>2</v>
      </c>
      <c r="C348">
        <v>3</v>
      </c>
      <c r="D348" t="s">
        <v>155</v>
      </c>
      <c r="E348" t="s">
        <v>66</v>
      </c>
      <c r="F348" t="s">
        <v>161</v>
      </c>
      <c r="G348">
        <v>91500</v>
      </c>
      <c r="H348">
        <v>32000</v>
      </c>
      <c r="I348">
        <v>0</v>
      </c>
      <c r="J348">
        <v>0</v>
      </c>
      <c r="K348">
        <v>30576</v>
      </c>
      <c r="L348">
        <v>21679</v>
      </c>
      <c r="M348">
        <v>12000</v>
      </c>
      <c r="N348">
        <v>86500</v>
      </c>
      <c r="O348">
        <v>7012</v>
      </c>
      <c r="P348">
        <v>0</v>
      </c>
      <c r="Q348">
        <v>0</v>
      </c>
      <c r="R348">
        <v>7000</v>
      </c>
      <c r="S348">
        <v>0</v>
      </c>
      <c r="T348">
        <v>0</v>
      </c>
      <c r="U348">
        <v>26</v>
      </c>
      <c r="V348">
        <v>26</v>
      </c>
      <c r="W348">
        <v>0</v>
      </c>
      <c r="X348">
        <v>243</v>
      </c>
      <c r="Y348">
        <v>11000</v>
      </c>
      <c r="Z348" cm="1">
        <f t="array" ref="Z348">MMULT($G348:$Y348,'Nelson Factor_2019'!$B$1:$B$19)/$G348</f>
        <v>9.8709617486338797</v>
      </c>
      <c r="AA348" cm="1">
        <f t="array" ref="AA348">MMULT($G348:$R348,'Nelson Factor_2019'!$B$1:$B$12)/$G348</f>
        <v>9.0526885245901632</v>
      </c>
    </row>
    <row r="349" spans="1:27" x14ac:dyDescent="0.25">
      <c r="A349">
        <v>2007</v>
      </c>
      <c r="B349">
        <v>2</v>
      </c>
      <c r="C349">
        <v>3</v>
      </c>
      <c r="D349" t="s">
        <v>155</v>
      </c>
      <c r="E349" t="s">
        <v>228</v>
      </c>
      <c r="F349" t="s">
        <v>158</v>
      </c>
      <c r="G349">
        <v>52500</v>
      </c>
      <c r="H349">
        <v>15500</v>
      </c>
      <c r="I349">
        <v>0</v>
      </c>
      <c r="J349">
        <v>0</v>
      </c>
      <c r="K349">
        <v>18500</v>
      </c>
      <c r="L349">
        <v>13000</v>
      </c>
      <c r="M349">
        <v>5500</v>
      </c>
      <c r="N349">
        <v>12000</v>
      </c>
      <c r="O349">
        <v>4000</v>
      </c>
      <c r="P349">
        <v>0</v>
      </c>
      <c r="Q349">
        <v>0</v>
      </c>
      <c r="R349">
        <v>3500</v>
      </c>
      <c r="S349">
        <v>0</v>
      </c>
      <c r="T349">
        <v>0</v>
      </c>
      <c r="U349">
        <v>9</v>
      </c>
      <c r="V349">
        <v>0</v>
      </c>
      <c r="W349">
        <v>0</v>
      </c>
      <c r="X349">
        <v>0</v>
      </c>
      <c r="Y349">
        <v>5000</v>
      </c>
      <c r="Z349" cm="1">
        <f t="array" ref="Z349">MMULT($G349:$Y349,'Nelson Factor_2019'!$B$1:$B$19)/$G349</f>
        <v>7.2506476190476192</v>
      </c>
      <c r="AA349" cm="1">
        <f t="array" ref="AA349">MMULT($G349:$R349,'Nelson Factor_2019'!$B$1:$B$12)/$G349</f>
        <v>7.1076190476190479</v>
      </c>
    </row>
    <row r="350" spans="1:27" x14ac:dyDescent="0.25">
      <c r="A350">
        <v>2007</v>
      </c>
      <c r="B350">
        <v>1</v>
      </c>
      <c r="C350">
        <v>0</v>
      </c>
      <c r="D350" t="s">
        <v>162</v>
      </c>
      <c r="E350" t="s">
        <v>163</v>
      </c>
      <c r="F350" t="s">
        <v>164</v>
      </c>
      <c r="G350">
        <v>10000</v>
      </c>
      <c r="H350">
        <v>0</v>
      </c>
      <c r="I350">
        <v>0</v>
      </c>
      <c r="J350">
        <v>0</v>
      </c>
      <c r="K350">
        <v>0</v>
      </c>
      <c r="L350">
        <v>1800</v>
      </c>
      <c r="M350">
        <v>0</v>
      </c>
      <c r="N350">
        <v>3500</v>
      </c>
      <c r="O350">
        <v>0</v>
      </c>
      <c r="P350">
        <v>0</v>
      </c>
      <c r="Q350">
        <v>0</v>
      </c>
      <c r="R350">
        <v>600</v>
      </c>
      <c r="S350">
        <v>2600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 cm="1">
        <f t="array" ref="Z350">MMULT($G350:$Y350,'Nelson Factor_2019'!$B$1:$B$19)/$G350</f>
        <v>18.555</v>
      </c>
      <c r="AA350" cm="1">
        <f t="array" ref="AA350">MMULT($G350:$R350,'Nelson Factor_2019'!$B$1:$B$12)/$G350</f>
        <v>2.9550000000000001</v>
      </c>
    </row>
    <row r="351" spans="1:27" x14ac:dyDescent="0.25">
      <c r="A351">
        <v>2007</v>
      </c>
      <c r="B351">
        <v>1</v>
      </c>
      <c r="C351">
        <v>3</v>
      </c>
      <c r="D351" t="s">
        <v>162</v>
      </c>
      <c r="E351" t="s">
        <v>51</v>
      </c>
      <c r="F351" t="s">
        <v>165</v>
      </c>
      <c r="G351">
        <v>185000</v>
      </c>
      <c r="H351">
        <v>75400</v>
      </c>
      <c r="I351">
        <v>0</v>
      </c>
      <c r="J351">
        <v>0</v>
      </c>
      <c r="K351">
        <v>48400</v>
      </c>
      <c r="L351">
        <v>48800</v>
      </c>
      <c r="M351">
        <v>20700</v>
      </c>
      <c r="N351">
        <v>130200</v>
      </c>
      <c r="O351">
        <v>11800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160</v>
      </c>
      <c r="Y351">
        <v>0</v>
      </c>
      <c r="Z351" cm="1">
        <f t="array" ref="Z351">MMULT($G351:$Y351,'Nelson Factor_2019'!$B$1:$B$19)/$G351</f>
        <v>7.9184864864864863</v>
      </c>
      <c r="AA351" cm="1">
        <f t="array" ref="AA351">MMULT($G351:$R351,'Nelson Factor_2019'!$B$1:$B$12)/$G351</f>
        <v>7.7109189189189191</v>
      </c>
    </row>
    <row r="352" spans="1:27" x14ac:dyDescent="0.25">
      <c r="A352">
        <v>2007</v>
      </c>
      <c r="B352">
        <v>1</v>
      </c>
      <c r="C352">
        <v>1</v>
      </c>
      <c r="D352" t="s">
        <v>162</v>
      </c>
      <c r="E352" t="s">
        <v>138</v>
      </c>
      <c r="F352" t="s">
        <v>166</v>
      </c>
      <c r="G352">
        <v>175000</v>
      </c>
      <c r="H352">
        <v>26400</v>
      </c>
      <c r="I352">
        <v>0</v>
      </c>
      <c r="J352">
        <v>0</v>
      </c>
      <c r="K352">
        <v>93000</v>
      </c>
      <c r="L352">
        <v>15600</v>
      </c>
      <c r="M352">
        <v>0</v>
      </c>
      <c r="N352">
        <v>48000</v>
      </c>
      <c r="O352">
        <v>10000</v>
      </c>
      <c r="P352">
        <v>0</v>
      </c>
      <c r="Q352">
        <v>21600</v>
      </c>
      <c r="R352">
        <v>0</v>
      </c>
      <c r="S352">
        <v>0</v>
      </c>
      <c r="T352">
        <v>2600</v>
      </c>
      <c r="U352">
        <v>6</v>
      </c>
      <c r="V352">
        <v>0</v>
      </c>
      <c r="W352">
        <v>0</v>
      </c>
      <c r="X352">
        <v>0</v>
      </c>
      <c r="Y352">
        <v>0</v>
      </c>
      <c r="Z352" cm="1">
        <f t="array" ref="Z352">MMULT($G352:$Y352,'Nelson Factor_2019'!$B$1:$B$19)/$G352</f>
        <v>8.70472</v>
      </c>
      <c r="AA352" cm="1">
        <f t="array" ref="AA352">MMULT($G352:$R352,'Nelson Factor_2019'!$B$1:$B$12)/$G352</f>
        <v>8.5561142857142851</v>
      </c>
    </row>
    <row r="353" spans="1:27" x14ac:dyDescent="0.25">
      <c r="A353">
        <v>2007</v>
      </c>
      <c r="B353">
        <v>1</v>
      </c>
      <c r="C353">
        <v>1</v>
      </c>
      <c r="D353" t="s">
        <v>162</v>
      </c>
      <c r="E353" t="s">
        <v>138</v>
      </c>
      <c r="F353" t="s">
        <v>167</v>
      </c>
      <c r="G353">
        <v>330000</v>
      </c>
      <c r="H353">
        <v>157400</v>
      </c>
      <c r="I353">
        <v>0</v>
      </c>
      <c r="J353">
        <v>0</v>
      </c>
      <c r="K353">
        <v>113500</v>
      </c>
      <c r="L353">
        <v>68000</v>
      </c>
      <c r="M353">
        <v>0</v>
      </c>
      <c r="N353">
        <v>163600</v>
      </c>
      <c r="O353">
        <v>16700</v>
      </c>
      <c r="P353">
        <v>0</v>
      </c>
      <c r="Q353">
        <v>13700</v>
      </c>
      <c r="R353">
        <v>7300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 cm="1">
        <f t="array" ref="Z353">MMULT($G353:$Y353,'Nelson Factor_2019'!$B$1:$B$19)/$G353</f>
        <v>7.3561212121212121</v>
      </c>
      <c r="AA353" cm="1">
        <f t="array" ref="AA353">MMULT($G353:$R353,'Nelson Factor_2019'!$B$1:$B$12)/$G353</f>
        <v>7.3561212121212121</v>
      </c>
    </row>
    <row r="354" spans="1:27" x14ac:dyDescent="0.25">
      <c r="A354">
        <v>2007</v>
      </c>
      <c r="B354">
        <v>1</v>
      </c>
      <c r="C354">
        <v>1</v>
      </c>
      <c r="D354" t="s">
        <v>162</v>
      </c>
      <c r="E354" t="s">
        <v>168</v>
      </c>
      <c r="F354" t="s">
        <v>169</v>
      </c>
      <c r="G354">
        <v>66700</v>
      </c>
      <c r="H354">
        <v>27000</v>
      </c>
      <c r="I354">
        <v>0</v>
      </c>
      <c r="J354">
        <v>0</v>
      </c>
      <c r="K354">
        <v>23000</v>
      </c>
      <c r="L354">
        <v>16000</v>
      </c>
      <c r="M354">
        <v>0</v>
      </c>
      <c r="N354">
        <v>40000</v>
      </c>
      <c r="O354">
        <v>3500</v>
      </c>
      <c r="P354">
        <v>1000</v>
      </c>
      <c r="Q354">
        <v>0</v>
      </c>
      <c r="R354">
        <v>6800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12000</v>
      </c>
      <c r="Z354" cm="1">
        <f t="array" ref="Z354">MMULT($G354:$Y354,'Nelson Factor_2019'!$B$1:$B$19)/$G354</f>
        <v>7.5442278860569711</v>
      </c>
      <c r="AA354" cm="1">
        <f t="array" ref="AA354">MMULT($G354:$R354,'Nelson Factor_2019'!$B$1:$B$12)/$G354</f>
        <v>7.2743628185907045</v>
      </c>
    </row>
    <row r="355" spans="1:27" x14ac:dyDescent="0.25">
      <c r="A355">
        <v>2007</v>
      </c>
      <c r="B355">
        <v>2</v>
      </c>
      <c r="C355">
        <v>1</v>
      </c>
      <c r="D355" t="s">
        <v>170</v>
      </c>
      <c r="E355" t="s">
        <v>66</v>
      </c>
      <c r="F355" t="s">
        <v>172</v>
      </c>
      <c r="G355">
        <v>190000</v>
      </c>
      <c r="H355">
        <v>0</v>
      </c>
      <c r="I355">
        <v>0</v>
      </c>
      <c r="J355">
        <v>0</v>
      </c>
      <c r="K355">
        <v>68000</v>
      </c>
      <c r="L355">
        <v>36000</v>
      </c>
      <c r="M355">
        <v>0</v>
      </c>
      <c r="N355">
        <v>154000</v>
      </c>
      <c r="O355">
        <v>12000</v>
      </c>
      <c r="P355">
        <v>0</v>
      </c>
      <c r="Q355">
        <v>0</v>
      </c>
      <c r="R355">
        <v>4000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106</v>
      </c>
      <c r="Y355">
        <v>0</v>
      </c>
      <c r="Z355" cm="1">
        <f t="array" ref="Z355">MMULT($G355:$Y355,'Nelson Factor_2019'!$B$1:$B$19)/$G355</f>
        <v>6.9496842105263159</v>
      </c>
      <c r="AA355" cm="1">
        <f t="array" ref="AA355">MMULT($G355:$R355,'Nelson Factor_2019'!$B$1:$B$12)/$G355</f>
        <v>6.8157894736842106</v>
      </c>
    </row>
    <row r="356" spans="1:27" x14ac:dyDescent="0.25">
      <c r="A356">
        <v>2007</v>
      </c>
      <c r="B356">
        <v>3</v>
      </c>
      <c r="C356">
        <v>0</v>
      </c>
      <c r="D356" t="s">
        <v>173</v>
      </c>
      <c r="E356" t="s">
        <v>174</v>
      </c>
      <c r="F356" t="s">
        <v>175</v>
      </c>
      <c r="G356">
        <v>12000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1200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 cm="1">
        <f t="array" ref="Z356">MMULT($G356:$Y356,'Nelson Factor_2019'!$B$1:$B$19)/$G356</f>
        <v>3</v>
      </c>
      <c r="AA356" cm="1">
        <f t="array" ref="AA356">MMULT($G356:$R356,'Nelson Factor_2019'!$B$1:$B$12)/$G356</f>
        <v>3</v>
      </c>
    </row>
    <row r="357" spans="1:27" x14ac:dyDescent="0.25">
      <c r="A357">
        <v>2007</v>
      </c>
      <c r="B357">
        <v>3</v>
      </c>
      <c r="C357">
        <v>1</v>
      </c>
      <c r="D357" t="s">
        <v>173</v>
      </c>
      <c r="E357" t="s">
        <v>176</v>
      </c>
      <c r="F357" t="s">
        <v>177</v>
      </c>
      <c r="G357">
        <v>70000</v>
      </c>
      <c r="H357">
        <v>24000</v>
      </c>
      <c r="I357">
        <v>0</v>
      </c>
      <c r="J357">
        <v>0</v>
      </c>
      <c r="K357">
        <v>24000</v>
      </c>
      <c r="L357">
        <v>21000</v>
      </c>
      <c r="M357">
        <v>0</v>
      </c>
      <c r="N357">
        <v>67950</v>
      </c>
      <c r="O357">
        <v>5000</v>
      </c>
      <c r="P357">
        <v>0</v>
      </c>
      <c r="Q357">
        <v>2000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135</v>
      </c>
      <c r="Y357">
        <v>8000</v>
      </c>
      <c r="Z357" cm="1">
        <f t="array" ref="Z357">MMULT($G357:$Y357,'Nelson Factor_2019'!$B$1:$B$19)/$G357</f>
        <v>9.3496428571428574</v>
      </c>
      <c r="AA357" cm="1">
        <f t="array" ref="AA357">MMULT($G357:$R357,'Nelson Factor_2019'!$B$1:$B$12)/$G357</f>
        <v>8.7153571428571421</v>
      </c>
    </row>
    <row r="358" spans="1:27" x14ac:dyDescent="0.25">
      <c r="A358">
        <v>2007</v>
      </c>
      <c r="B358">
        <v>3</v>
      </c>
      <c r="C358">
        <v>6</v>
      </c>
      <c r="D358" t="s">
        <v>173</v>
      </c>
      <c r="E358" t="s">
        <v>32</v>
      </c>
      <c r="F358" t="s">
        <v>178</v>
      </c>
      <c r="G358">
        <v>446500</v>
      </c>
      <c r="H358">
        <v>225150</v>
      </c>
      <c r="I358">
        <v>38700</v>
      </c>
      <c r="J358">
        <v>0</v>
      </c>
      <c r="K358">
        <v>183600</v>
      </c>
      <c r="L358">
        <v>124200</v>
      </c>
      <c r="M358">
        <v>114000</v>
      </c>
      <c r="N358">
        <v>363900</v>
      </c>
      <c r="O358">
        <v>58900</v>
      </c>
      <c r="P358">
        <v>0</v>
      </c>
      <c r="Q358">
        <v>43700</v>
      </c>
      <c r="R358">
        <v>24300</v>
      </c>
      <c r="S358">
        <v>0</v>
      </c>
      <c r="T358">
        <v>0</v>
      </c>
      <c r="U358">
        <v>180</v>
      </c>
      <c r="V358">
        <v>22.8</v>
      </c>
      <c r="W358">
        <v>2585</v>
      </c>
      <c r="X358">
        <v>1123</v>
      </c>
      <c r="Y358">
        <v>0</v>
      </c>
      <c r="Z358" cm="1">
        <f t="array" ref="Z358">MMULT($G358:$Y358,'Nelson Factor_2019'!$B$1:$B$19)/$G358</f>
        <v>14.287609854423291</v>
      </c>
      <c r="AA358" cm="1">
        <f t="array" ref="AA358">MMULT($G358:$R358,'Nelson Factor_2019'!$B$1:$B$12)/$G358</f>
        <v>13.683527435610303</v>
      </c>
    </row>
    <row r="359" spans="1:27" x14ac:dyDescent="0.25">
      <c r="A359">
        <v>2007</v>
      </c>
      <c r="B359">
        <v>3</v>
      </c>
      <c r="C359">
        <v>4</v>
      </c>
      <c r="D359" t="s">
        <v>173</v>
      </c>
      <c r="E359" t="s">
        <v>79</v>
      </c>
      <c r="F359" t="s">
        <v>179</v>
      </c>
      <c r="G359">
        <v>156750</v>
      </c>
      <c r="H359">
        <v>73625</v>
      </c>
      <c r="I359">
        <v>37800</v>
      </c>
      <c r="J359">
        <v>0</v>
      </c>
      <c r="K359">
        <v>72450</v>
      </c>
      <c r="L359">
        <v>45450</v>
      </c>
      <c r="M359">
        <v>0</v>
      </c>
      <c r="N359">
        <v>148230</v>
      </c>
      <c r="O359">
        <v>18090</v>
      </c>
      <c r="P359">
        <v>0</v>
      </c>
      <c r="Q359">
        <v>30105</v>
      </c>
      <c r="R359">
        <v>0</v>
      </c>
      <c r="S359">
        <v>0</v>
      </c>
      <c r="T359">
        <v>3600</v>
      </c>
      <c r="U359">
        <v>0</v>
      </c>
      <c r="V359">
        <v>0</v>
      </c>
      <c r="W359">
        <v>2123</v>
      </c>
      <c r="X359">
        <v>281.7</v>
      </c>
      <c r="Y359">
        <v>0</v>
      </c>
      <c r="Z359" cm="1">
        <f t="array" ref="Z359">MMULT($G359:$Y359,'Nelson Factor_2019'!$B$1:$B$19)/$G359</f>
        <v>15.662491228070175</v>
      </c>
      <c r="AA359" cm="1">
        <f t="array" ref="AA359">MMULT($G359:$R359,'Nelson Factor_2019'!$B$1:$B$12)/$G359</f>
        <v>15.001515151515152</v>
      </c>
    </row>
    <row r="360" spans="1:27" x14ac:dyDescent="0.25">
      <c r="A360">
        <v>2007</v>
      </c>
      <c r="B360">
        <v>3</v>
      </c>
      <c r="C360">
        <v>1</v>
      </c>
      <c r="D360" t="s">
        <v>173</v>
      </c>
      <c r="E360" t="s">
        <v>51</v>
      </c>
      <c r="F360" t="s">
        <v>181</v>
      </c>
      <c r="G360">
        <v>146000</v>
      </c>
      <c r="H360">
        <v>0</v>
      </c>
      <c r="I360">
        <v>0</v>
      </c>
      <c r="J360">
        <v>0</v>
      </c>
      <c r="K360">
        <v>58000</v>
      </c>
      <c r="L360">
        <v>29000</v>
      </c>
      <c r="M360">
        <v>0</v>
      </c>
      <c r="N360">
        <v>166000</v>
      </c>
      <c r="O360">
        <v>17000</v>
      </c>
      <c r="P360">
        <v>0</v>
      </c>
      <c r="Q360">
        <v>0</v>
      </c>
      <c r="R360">
        <v>42000</v>
      </c>
      <c r="S360">
        <v>0</v>
      </c>
      <c r="T360">
        <v>0</v>
      </c>
      <c r="U360">
        <v>90</v>
      </c>
      <c r="V360">
        <v>0</v>
      </c>
      <c r="W360">
        <v>0</v>
      </c>
      <c r="X360">
        <v>400</v>
      </c>
      <c r="Y360">
        <v>0</v>
      </c>
      <c r="Z360" cm="1">
        <f t="array" ref="Z360">MMULT($G360:$Y360,'Nelson Factor_2019'!$B$1:$B$19)/$G360</f>
        <v>9.9047260273972597</v>
      </c>
      <c r="AA360" cm="1">
        <f t="array" ref="AA360">MMULT($G360:$R360,'Nelson Factor_2019'!$B$1:$B$12)/$G360</f>
        <v>9.2465753424657535</v>
      </c>
    </row>
    <row r="361" spans="1:27" x14ac:dyDescent="0.25">
      <c r="A361">
        <v>2007</v>
      </c>
      <c r="B361">
        <v>3</v>
      </c>
      <c r="C361">
        <v>4</v>
      </c>
      <c r="D361" t="s">
        <v>173</v>
      </c>
      <c r="E361" t="s">
        <v>51</v>
      </c>
      <c r="F361" t="s">
        <v>182</v>
      </c>
      <c r="G361">
        <v>247000</v>
      </c>
      <c r="H361">
        <v>125500</v>
      </c>
      <c r="I361">
        <v>67500</v>
      </c>
      <c r="J361">
        <v>0</v>
      </c>
      <c r="K361">
        <v>97000</v>
      </c>
      <c r="L361">
        <v>33800</v>
      </c>
      <c r="M361">
        <v>0</v>
      </c>
      <c r="N361">
        <v>268300</v>
      </c>
      <c r="O361">
        <v>19600</v>
      </c>
      <c r="P361">
        <v>0</v>
      </c>
      <c r="Q361">
        <v>17740</v>
      </c>
      <c r="R361">
        <v>9100</v>
      </c>
      <c r="S361">
        <v>0</v>
      </c>
      <c r="T361">
        <v>0</v>
      </c>
      <c r="U361">
        <v>0</v>
      </c>
      <c r="V361">
        <v>165</v>
      </c>
      <c r="W361">
        <v>4000</v>
      </c>
      <c r="X361">
        <v>565</v>
      </c>
      <c r="Y361">
        <v>0</v>
      </c>
      <c r="Z361" cm="1">
        <f t="array" ref="Z361">MMULT($G361:$Y361,'Nelson Factor_2019'!$B$1:$B$19)/$G361</f>
        <v>12.356336032388665</v>
      </c>
      <c r="AA361" cm="1">
        <f t="array" ref="AA361">MMULT($G361:$R361,'Nelson Factor_2019'!$B$1:$B$12)/$G361</f>
        <v>11.806680161943319</v>
      </c>
    </row>
    <row r="362" spans="1:27" x14ac:dyDescent="0.25">
      <c r="A362">
        <v>2007</v>
      </c>
      <c r="B362">
        <v>3</v>
      </c>
      <c r="C362">
        <v>6</v>
      </c>
      <c r="D362" t="s">
        <v>173</v>
      </c>
      <c r="E362" t="s">
        <v>54</v>
      </c>
      <c r="F362" t="s">
        <v>185</v>
      </c>
      <c r="G362">
        <v>563000</v>
      </c>
      <c r="H362">
        <v>270000</v>
      </c>
      <c r="I362">
        <v>83500</v>
      </c>
      <c r="J362">
        <v>0</v>
      </c>
      <c r="K362">
        <v>204500</v>
      </c>
      <c r="L362">
        <v>122000</v>
      </c>
      <c r="M362">
        <v>26500</v>
      </c>
      <c r="N362">
        <v>725500</v>
      </c>
      <c r="O362">
        <v>36000</v>
      </c>
      <c r="P362">
        <v>0</v>
      </c>
      <c r="Q362">
        <v>0</v>
      </c>
      <c r="R362">
        <v>0</v>
      </c>
      <c r="S362">
        <v>21500</v>
      </c>
      <c r="T362">
        <v>0</v>
      </c>
      <c r="U362">
        <v>0</v>
      </c>
      <c r="V362">
        <v>56.5</v>
      </c>
      <c r="W362">
        <v>3550</v>
      </c>
      <c r="X362">
        <v>1630</v>
      </c>
      <c r="Y362">
        <v>0</v>
      </c>
      <c r="Z362" cm="1">
        <f t="array" ref="Z362">MMULT($G362:$Y362,'Nelson Factor_2019'!$B$1:$B$19)/$G362</f>
        <v>13.222480461811722</v>
      </c>
      <c r="AA362" cm="1">
        <f t="array" ref="AA362">MMULT($G362:$R362,'Nelson Factor_2019'!$B$1:$B$12)/$G362</f>
        <v>10.236234458259325</v>
      </c>
    </row>
    <row r="363" spans="1:27" x14ac:dyDescent="0.25">
      <c r="A363">
        <v>2007</v>
      </c>
      <c r="B363">
        <v>3</v>
      </c>
      <c r="C363">
        <v>6</v>
      </c>
      <c r="D363" t="s">
        <v>173</v>
      </c>
      <c r="E363" t="s">
        <v>54</v>
      </c>
      <c r="F363" t="s">
        <v>186</v>
      </c>
      <c r="G363">
        <v>348500</v>
      </c>
      <c r="H363">
        <v>143000</v>
      </c>
      <c r="I363">
        <v>48000</v>
      </c>
      <c r="J363">
        <v>0</v>
      </c>
      <c r="K363">
        <v>112000</v>
      </c>
      <c r="L363">
        <v>147000</v>
      </c>
      <c r="M363">
        <v>61500</v>
      </c>
      <c r="N363">
        <v>294500</v>
      </c>
      <c r="O363">
        <v>15500</v>
      </c>
      <c r="P363">
        <v>0</v>
      </c>
      <c r="Q363">
        <v>0</v>
      </c>
      <c r="R363">
        <v>24500</v>
      </c>
      <c r="S363">
        <v>12500</v>
      </c>
      <c r="T363">
        <v>4500</v>
      </c>
      <c r="U363">
        <v>0</v>
      </c>
      <c r="V363">
        <v>54.5</v>
      </c>
      <c r="W363">
        <v>2900</v>
      </c>
      <c r="X363">
        <v>580</v>
      </c>
      <c r="Y363">
        <v>0</v>
      </c>
      <c r="Z363" cm="1">
        <f t="array" ref="Z363">MMULT($G363:$Y363,'Nelson Factor_2019'!$B$1:$B$19)/$G363</f>
        <v>13.464575322812051</v>
      </c>
      <c r="AA363" cm="1">
        <f t="array" ref="AA363">MMULT($G363:$R363,'Nelson Factor_2019'!$B$1:$B$12)/$G363</f>
        <v>10.783787661406025</v>
      </c>
    </row>
    <row r="364" spans="1:27" x14ac:dyDescent="0.25">
      <c r="A364">
        <v>2007</v>
      </c>
      <c r="B364">
        <v>3</v>
      </c>
      <c r="C364">
        <v>6</v>
      </c>
      <c r="D364" t="s">
        <v>173</v>
      </c>
      <c r="E364" t="s">
        <v>35</v>
      </c>
      <c r="F364" t="s">
        <v>179</v>
      </c>
      <c r="G364">
        <v>279300</v>
      </c>
      <c r="H364">
        <v>83125</v>
      </c>
      <c r="I364">
        <v>12600</v>
      </c>
      <c r="J364">
        <v>0</v>
      </c>
      <c r="K364">
        <v>96030</v>
      </c>
      <c r="L364">
        <v>64440</v>
      </c>
      <c r="M364">
        <v>11700</v>
      </c>
      <c r="N364">
        <v>225090</v>
      </c>
      <c r="O364">
        <v>13320</v>
      </c>
      <c r="P364">
        <v>0</v>
      </c>
      <c r="Q364">
        <v>46350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697</v>
      </c>
      <c r="X364">
        <v>241</v>
      </c>
      <c r="Y364">
        <v>0</v>
      </c>
      <c r="Z364" cm="1">
        <f t="array" ref="Z364">MMULT($G364:$Y364,'Nelson Factor_2019'!$B$1:$B$19)/$G364</f>
        <v>11.294692087361261</v>
      </c>
      <c r="AA364" cm="1">
        <f t="array" ref="AA364">MMULT($G364:$R364,'Nelson Factor_2019'!$B$1:$B$12)/$G364</f>
        <v>11.087602935911207</v>
      </c>
    </row>
    <row r="365" spans="1:27" x14ac:dyDescent="0.25">
      <c r="A365">
        <v>2007</v>
      </c>
      <c r="B365">
        <v>3</v>
      </c>
      <c r="C365">
        <v>4</v>
      </c>
      <c r="D365" t="s">
        <v>173</v>
      </c>
      <c r="E365" t="s">
        <v>236</v>
      </c>
      <c r="F365" t="s">
        <v>188</v>
      </c>
      <c r="G365">
        <v>60000</v>
      </c>
      <c r="H365">
        <v>15000</v>
      </c>
      <c r="I365">
        <v>6500</v>
      </c>
      <c r="J365">
        <v>0</v>
      </c>
      <c r="K365">
        <v>20200</v>
      </c>
      <c r="L365">
        <v>17500</v>
      </c>
      <c r="M365">
        <v>0</v>
      </c>
      <c r="N365">
        <v>32000</v>
      </c>
      <c r="O365">
        <v>4750</v>
      </c>
      <c r="P365">
        <v>0</v>
      </c>
      <c r="Q365">
        <v>0</v>
      </c>
      <c r="R365">
        <v>5000</v>
      </c>
      <c r="S365">
        <v>0</v>
      </c>
      <c r="T365">
        <v>0</v>
      </c>
      <c r="U365">
        <v>0</v>
      </c>
      <c r="V365">
        <v>0</v>
      </c>
      <c r="W365">
        <v>250</v>
      </c>
      <c r="X365">
        <v>18</v>
      </c>
      <c r="Y365">
        <v>0</v>
      </c>
      <c r="Z365" cm="1">
        <f t="array" ref="Z365">MMULT($G365:$Y365,'Nelson Factor_2019'!$B$1:$B$19)/$G365</f>
        <v>8.0628333333333337</v>
      </c>
      <c r="AA365" cm="1">
        <f t="array" ref="AA365">MMULT($G365:$R365,'Nelson Factor_2019'!$B$1:$B$12)/$G365</f>
        <v>7.9908333333333337</v>
      </c>
    </row>
    <row r="366" spans="1:27" x14ac:dyDescent="0.25">
      <c r="A366">
        <v>2007</v>
      </c>
      <c r="B366">
        <v>3</v>
      </c>
      <c r="C366">
        <v>4</v>
      </c>
      <c r="D366" t="s">
        <v>173</v>
      </c>
      <c r="E366" t="s">
        <v>189</v>
      </c>
      <c r="F366" t="s">
        <v>190</v>
      </c>
      <c r="G366">
        <v>282600</v>
      </c>
      <c r="H366">
        <v>191100</v>
      </c>
      <c r="I366">
        <v>98500</v>
      </c>
      <c r="J366">
        <v>0</v>
      </c>
      <c r="K366">
        <v>97000</v>
      </c>
      <c r="L366">
        <v>33700</v>
      </c>
      <c r="M366">
        <v>0</v>
      </c>
      <c r="N366">
        <v>307900</v>
      </c>
      <c r="O366">
        <v>11250</v>
      </c>
      <c r="P366">
        <v>0</v>
      </c>
      <c r="Q366">
        <v>8350</v>
      </c>
      <c r="R366">
        <v>0</v>
      </c>
      <c r="S366">
        <v>4050</v>
      </c>
      <c r="T366">
        <v>4000</v>
      </c>
      <c r="U366">
        <v>0</v>
      </c>
      <c r="V366">
        <v>0</v>
      </c>
      <c r="W366">
        <v>5000</v>
      </c>
      <c r="X366">
        <v>1042</v>
      </c>
      <c r="Y366">
        <v>0</v>
      </c>
      <c r="Z366" cm="1">
        <f t="array" ref="Z366">MMULT($G366:$Y366,'Nelson Factor_2019'!$B$1:$B$19)/$G366</f>
        <v>12.748089171974522</v>
      </c>
      <c r="AA366" cm="1">
        <f t="array" ref="AA366">MMULT($G366:$R366,'Nelson Factor_2019'!$B$1:$B$12)/$G366</f>
        <v>10.86174805378627</v>
      </c>
    </row>
    <row r="367" spans="1:27" x14ac:dyDescent="0.25">
      <c r="A367">
        <v>2007</v>
      </c>
      <c r="B367">
        <v>3</v>
      </c>
      <c r="C367">
        <v>1</v>
      </c>
      <c r="D367" t="s">
        <v>173</v>
      </c>
      <c r="E367" t="s">
        <v>234</v>
      </c>
      <c r="F367" t="s">
        <v>178</v>
      </c>
      <c r="G367">
        <v>72000</v>
      </c>
      <c r="H367">
        <v>0</v>
      </c>
      <c r="I367">
        <v>0</v>
      </c>
      <c r="J367">
        <v>0</v>
      </c>
      <c r="K367">
        <v>52300</v>
      </c>
      <c r="L367">
        <v>10500</v>
      </c>
      <c r="M367">
        <v>0</v>
      </c>
      <c r="N367">
        <v>0</v>
      </c>
      <c r="O367">
        <v>12400</v>
      </c>
      <c r="P367">
        <v>0</v>
      </c>
      <c r="Q367">
        <v>1900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 cm="1">
        <f t="array" ref="Z367">MMULT($G367:$Y367,'Nelson Factor_2019'!$B$1:$B$19)/$G367</f>
        <v>8.3375000000000004</v>
      </c>
      <c r="AA367" cm="1">
        <f t="array" ref="AA367">MMULT($G367:$R367,'Nelson Factor_2019'!$B$1:$B$12)/$G367</f>
        <v>8.3375000000000004</v>
      </c>
    </row>
    <row r="368" spans="1:27" x14ac:dyDescent="0.25">
      <c r="A368">
        <v>2007</v>
      </c>
      <c r="B368">
        <v>3</v>
      </c>
      <c r="C368">
        <v>4</v>
      </c>
      <c r="D368" t="s">
        <v>173</v>
      </c>
      <c r="E368" t="s">
        <v>112</v>
      </c>
      <c r="F368" t="s">
        <v>191</v>
      </c>
      <c r="G368">
        <v>290000</v>
      </c>
      <c r="H368">
        <v>138000</v>
      </c>
      <c r="I368">
        <v>53000</v>
      </c>
      <c r="J368">
        <v>0</v>
      </c>
      <c r="K368">
        <v>88000</v>
      </c>
      <c r="L368">
        <v>45000</v>
      </c>
      <c r="M368">
        <v>0</v>
      </c>
      <c r="N368">
        <v>220400</v>
      </c>
      <c r="O368">
        <v>19000</v>
      </c>
      <c r="P368">
        <v>0</v>
      </c>
      <c r="Q368">
        <v>0</v>
      </c>
      <c r="R368">
        <v>0</v>
      </c>
      <c r="S368">
        <v>40400</v>
      </c>
      <c r="T368">
        <v>0</v>
      </c>
      <c r="U368">
        <v>0</v>
      </c>
      <c r="V368">
        <v>0</v>
      </c>
      <c r="W368">
        <v>2450</v>
      </c>
      <c r="X368">
        <v>600</v>
      </c>
      <c r="Y368">
        <v>0</v>
      </c>
      <c r="Z368" cm="1">
        <f t="array" ref="Z368">MMULT($G368:$Y368,'Nelson Factor_2019'!$B$1:$B$19)/$G368</f>
        <v>16.996206896551723</v>
      </c>
      <c r="AA368" cm="1">
        <f t="array" ref="AA368">MMULT($G368:$R368,'Nelson Factor_2019'!$B$1:$B$12)/$G368</f>
        <v>8.1410344827586201</v>
      </c>
    </row>
    <row r="369" spans="1:27" x14ac:dyDescent="0.25">
      <c r="A369">
        <v>2007</v>
      </c>
      <c r="B369">
        <v>3</v>
      </c>
      <c r="C369">
        <v>4</v>
      </c>
      <c r="D369" t="s">
        <v>173</v>
      </c>
      <c r="E369" t="s">
        <v>229</v>
      </c>
      <c r="F369" t="s">
        <v>184</v>
      </c>
      <c r="G369">
        <v>117000</v>
      </c>
      <c r="H369">
        <v>41000</v>
      </c>
      <c r="I369">
        <v>12000</v>
      </c>
      <c r="J369">
        <v>0</v>
      </c>
      <c r="K369">
        <v>50000</v>
      </c>
      <c r="L369">
        <v>20000</v>
      </c>
      <c r="M369">
        <v>0</v>
      </c>
      <c r="N369">
        <v>44000</v>
      </c>
      <c r="O369">
        <v>11000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500</v>
      </c>
      <c r="X369">
        <v>24</v>
      </c>
      <c r="Y369">
        <v>0</v>
      </c>
      <c r="Z369" cm="1">
        <f t="array" ref="Z369">MMULT($G369:$Y369,'Nelson Factor_2019'!$B$1:$B$19)/$G369</f>
        <v>7.5731623931623933</v>
      </c>
      <c r="AA369" cm="1">
        <f t="array" ref="AA369">MMULT($G369:$R369,'Nelson Factor_2019'!$B$1:$B$12)/$G369</f>
        <v>7.5239316239316238</v>
      </c>
    </row>
    <row r="370" spans="1:27" x14ac:dyDescent="0.25">
      <c r="A370">
        <v>2007</v>
      </c>
      <c r="B370">
        <v>3</v>
      </c>
      <c r="C370">
        <v>6</v>
      </c>
      <c r="D370" t="s">
        <v>173</v>
      </c>
      <c r="E370" t="s">
        <v>192</v>
      </c>
      <c r="F370" t="s">
        <v>193</v>
      </c>
      <c r="G370">
        <v>331700</v>
      </c>
      <c r="H370">
        <v>170600</v>
      </c>
      <c r="I370">
        <v>81900</v>
      </c>
      <c r="J370">
        <v>0</v>
      </c>
      <c r="K370">
        <v>64700</v>
      </c>
      <c r="L370">
        <v>66500</v>
      </c>
      <c r="M370">
        <v>60000</v>
      </c>
      <c r="N370">
        <v>279200</v>
      </c>
      <c r="O370">
        <v>18500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58.3</v>
      </c>
      <c r="V370">
        <v>35.4</v>
      </c>
      <c r="W370">
        <v>5284</v>
      </c>
      <c r="X370">
        <v>1132</v>
      </c>
      <c r="Y370">
        <v>0</v>
      </c>
      <c r="Z370" cm="1">
        <f t="array" ref="Z370">MMULT($G370:$Y370,'Nelson Factor_2019'!$B$1:$B$19)/$G370</f>
        <v>10.621657220379861</v>
      </c>
      <c r="AA370" cm="1">
        <f t="array" ref="AA370">MMULT($G370:$R370,'Nelson Factor_2019'!$B$1:$B$12)/$G370</f>
        <v>9.8023213747362075</v>
      </c>
    </row>
    <row r="371" spans="1:27" x14ac:dyDescent="0.25">
      <c r="A371">
        <v>2007</v>
      </c>
      <c r="B371">
        <v>3</v>
      </c>
      <c r="C371">
        <v>1</v>
      </c>
      <c r="D371" t="s">
        <v>173</v>
      </c>
      <c r="E371" t="s">
        <v>194</v>
      </c>
      <c r="F371" t="s">
        <v>191</v>
      </c>
      <c r="G371">
        <v>231452</v>
      </c>
      <c r="H371">
        <v>51781</v>
      </c>
      <c r="I371">
        <v>0</v>
      </c>
      <c r="J371">
        <v>0</v>
      </c>
      <c r="K371">
        <v>76493</v>
      </c>
      <c r="L371">
        <v>37539</v>
      </c>
      <c r="M371">
        <v>0</v>
      </c>
      <c r="N371">
        <v>154546</v>
      </c>
      <c r="O371">
        <v>5908</v>
      </c>
      <c r="P371">
        <v>0</v>
      </c>
      <c r="Q371">
        <v>0</v>
      </c>
      <c r="R371">
        <v>13501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270</v>
      </c>
      <c r="Y371">
        <v>1667</v>
      </c>
      <c r="Z371" cm="1">
        <f t="array" ref="Z371">MMULT($G371:$Y371,'Nelson Factor_2019'!$B$1:$B$19)/$G371</f>
        <v>6.4750738814095365</v>
      </c>
      <c r="AA371" cm="1">
        <f t="array" ref="AA371">MMULT($G371:$R371,'Nelson Factor_2019'!$B$1:$B$12)/$G371</f>
        <v>6.1842986882809399</v>
      </c>
    </row>
    <row r="372" spans="1:27" x14ac:dyDescent="0.25">
      <c r="A372">
        <v>2007</v>
      </c>
      <c r="B372">
        <v>3</v>
      </c>
      <c r="C372">
        <v>6</v>
      </c>
      <c r="D372" t="s">
        <v>173</v>
      </c>
      <c r="E372" t="s">
        <v>66</v>
      </c>
      <c r="F372" t="s">
        <v>179</v>
      </c>
      <c r="G372">
        <v>205000</v>
      </c>
      <c r="H372">
        <v>95000</v>
      </c>
      <c r="I372">
        <v>17500</v>
      </c>
      <c r="J372">
        <v>0</v>
      </c>
      <c r="K372">
        <v>112000</v>
      </c>
      <c r="L372">
        <v>67000</v>
      </c>
      <c r="M372">
        <v>49000</v>
      </c>
      <c r="N372">
        <v>254700</v>
      </c>
      <c r="O372">
        <v>18500</v>
      </c>
      <c r="P372">
        <v>0</v>
      </c>
      <c r="Q372">
        <v>23000</v>
      </c>
      <c r="R372">
        <v>12000</v>
      </c>
      <c r="S372">
        <v>0</v>
      </c>
      <c r="T372">
        <v>0</v>
      </c>
      <c r="U372">
        <v>94</v>
      </c>
      <c r="V372">
        <v>74</v>
      </c>
      <c r="W372">
        <v>998</v>
      </c>
      <c r="X372">
        <v>790</v>
      </c>
      <c r="Y372">
        <v>38000</v>
      </c>
      <c r="Z372" cm="1">
        <f t="array" ref="Z372">MMULT($G372:$Y372,'Nelson Factor_2019'!$B$1:$B$19)/$G372</f>
        <v>16.698868292682928</v>
      </c>
      <c r="AA372" cm="1">
        <f t="array" ref="AA372">MMULT($G372:$R372,'Nelson Factor_2019'!$B$1:$B$12)/$G372</f>
        <v>15.495121951219513</v>
      </c>
    </row>
    <row r="373" spans="1:27" x14ac:dyDescent="0.25">
      <c r="A373">
        <v>2007</v>
      </c>
      <c r="B373">
        <v>3</v>
      </c>
      <c r="C373">
        <v>1</v>
      </c>
      <c r="D373" t="s">
        <v>173</v>
      </c>
      <c r="E373" t="s">
        <v>66</v>
      </c>
      <c r="F373" t="s">
        <v>190</v>
      </c>
      <c r="G373">
        <v>90000</v>
      </c>
      <c r="H373">
        <v>39000</v>
      </c>
      <c r="I373">
        <v>0</v>
      </c>
      <c r="J373">
        <v>0</v>
      </c>
      <c r="K373">
        <v>65000</v>
      </c>
      <c r="L373">
        <v>11000</v>
      </c>
      <c r="M373">
        <v>0</v>
      </c>
      <c r="N373">
        <v>49000</v>
      </c>
      <c r="O373">
        <v>9200</v>
      </c>
      <c r="P373">
        <v>1400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300</v>
      </c>
      <c r="Y373">
        <v>0</v>
      </c>
      <c r="Z373" cm="1">
        <f t="array" ref="Z373">MMULT($G373:$Y373,'Nelson Factor_2019'!$B$1:$B$19)/$G373</f>
        <v>9.8466666666666658</v>
      </c>
      <c r="AA373" cm="1">
        <f t="array" ref="AA373">MMULT($G373:$R373,'Nelson Factor_2019'!$B$1:$B$12)/$G373</f>
        <v>9.0466666666666669</v>
      </c>
    </row>
    <row r="374" spans="1:27" x14ac:dyDescent="0.25">
      <c r="A374">
        <v>2007</v>
      </c>
      <c r="B374">
        <v>3</v>
      </c>
      <c r="C374">
        <v>6</v>
      </c>
      <c r="D374" t="s">
        <v>173</v>
      </c>
      <c r="E374" t="s">
        <v>66</v>
      </c>
      <c r="F374" t="s">
        <v>191</v>
      </c>
      <c r="G374">
        <v>250000</v>
      </c>
      <c r="H374">
        <v>145000</v>
      </c>
      <c r="I374">
        <v>100000</v>
      </c>
      <c r="J374">
        <v>0</v>
      </c>
      <c r="K374">
        <v>80000</v>
      </c>
      <c r="L374">
        <v>53000</v>
      </c>
      <c r="M374">
        <v>45000</v>
      </c>
      <c r="N374">
        <v>282000</v>
      </c>
      <c r="O374">
        <v>20000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105</v>
      </c>
      <c r="V374">
        <v>6</v>
      </c>
      <c r="W374">
        <v>6200</v>
      </c>
      <c r="X374">
        <v>1050</v>
      </c>
      <c r="Y374">
        <v>0</v>
      </c>
      <c r="Z374" cm="1">
        <f t="array" ref="Z374">MMULT($G374:$Y374,'Nelson Factor_2019'!$B$1:$B$19)/$G374</f>
        <v>13.802443999999999</v>
      </c>
      <c r="AA374" cm="1">
        <f t="array" ref="AA374">MMULT($G374:$R374,'Nelson Factor_2019'!$B$1:$B$12)/$G374</f>
        <v>12.794</v>
      </c>
    </row>
    <row r="375" spans="1:27" x14ac:dyDescent="0.25">
      <c r="A375">
        <v>2007</v>
      </c>
      <c r="B375">
        <v>3</v>
      </c>
      <c r="C375">
        <v>3</v>
      </c>
      <c r="D375" t="s">
        <v>173</v>
      </c>
      <c r="E375" t="s">
        <v>66</v>
      </c>
      <c r="F375" t="s">
        <v>195</v>
      </c>
      <c r="G375">
        <v>166660</v>
      </c>
      <c r="H375">
        <v>53200</v>
      </c>
      <c r="I375">
        <v>0</v>
      </c>
      <c r="J375">
        <v>0</v>
      </c>
      <c r="K375">
        <v>54465</v>
      </c>
      <c r="L375">
        <v>47400</v>
      </c>
      <c r="M375">
        <v>29500</v>
      </c>
      <c r="N375">
        <v>97612</v>
      </c>
      <c r="O375">
        <v>9500</v>
      </c>
      <c r="P375">
        <v>0</v>
      </c>
      <c r="Q375">
        <v>0</v>
      </c>
      <c r="R375">
        <v>7000</v>
      </c>
      <c r="S375">
        <v>0</v>
      </c>
      <c r="T375">
        <v>4900</v>
      </c>
      <c r="U375">
        <v>0</v>
      </c>
      <c r="V375">
        <v>0</v>
      </c>
      <c r="W375">
        <v>0</v>
      </c>
      <c r="X375">
        <v>60</v>
      </c>
      <c r="Y375">
        <v>0</v>
      </c>
      <c r="Z375" cm="1">
        <f t="array" ref="Z375">MMULT($G375:$Y375,'Nelson Factor_2019'!$B$1:$B$19)/$G375</f>
        <v>8.7545901836073448</v>
      </c>
      <c r="AA375" cm="1">
        <f t="array" ref="AA375">MMULT($G375:$R375,'Nelson Factor_2019'!$B$1:$B$12)/$G375</f>
        <v>8.3741749669986802</v>
      </c>
    </row>
    <row r="376" spans="1:27" x14ac:dyDescent="0.25">
      <c r="A376">
        <v>2007</v>
      </c>
      <c r="B376">
        <v>3</v>
      </c>
      <c r="C376">
        <v>4</v>
      </c>
      <c r="D376" t="s">
        <v>173</v>
      </c>
      <c r="E376" t="s">
        <v>66</v>
      </c>
      <c r="F376" t="s">
        <v>178</v>
      </c>
      <c r="G376">
        <v>225000</v>
      </c>
      <c r="H376">
        <v>130000</v>
      </c>
      <c r="I376">
        <v>50000</v>
      </c>
      <c r="J376">
        <v>0</v>
      </c>
      <c r="K376">
        <v>80000</v>
      </c>
      <c r="L376">
        <v>14500</v>
      </c>
      <c r="M376">
        <v>0</v>
      </c>
      <c r="N376">
        <v>263000</v>
      </c>
      <c r="O376">
        <v>12000</v>
      </c>
      <c r="P376">
        <v>0</v>
      </c>
      <c r="Q376">
        <v>0</v>
      </c>
      <c r="R376">
        <v>6500</v>
      </c>
      <c r="S376">
        <v>0</v>
      </c>
      <c r="T376">
        <v>2500</v>
      </c>
      <c r="U376">
        <v>0</v>
      </c>
      <c r="V376">
        <v>60</v>
      </c>
      <c r="W376">
        <v>3000</v>
      </c>
      <c r="X376">
        <v>890</v>
      </c>
      <c r="Y376">
        <v>0</v>
      </c>
      <c r="Z376" cm="1">
        <f t="array" ref="Z376">MMULT($G376:$Y376,'Nelson Factor_2019'!$B$1:$B$19)/$G376</f>
        <v>10.476266666666668</v>
      </c>
      <c r="AA376" cm="1">
        <f t="array" ref="AA376">MMULT($G376:$R376,'Nelson Factor_2019'!$B$1:$B$12)/$G376</f>
        <v>9.4155555555555548</v>
      </c>
    </row>
    <row r="377" spans="1:27" x14ac:dyDescent="0.25">
      <c r="A377">
        <v>2007</v>
      </c>
      <c r="B377">
        <v>3</v>
      </c>
      <c r="C377">
        <v>3</v>
      </c>
      <c r="D377" t="s">
        <v>173</v>
      </c>
      <c r="E377" t="s">
        <v>66</v>
      </c>
      <c r="F377" t="s">
        <v>196</v>
      </c>
      <c r="G377">
        <v>96000</v>
      </c>
      <c r="H377">
        <v>35000</v>
      </c>
      <c r="I377">
        <v>0</v>
      </c>
      <c r="J377">
        <v>0</v>
      </c>
      <c r="K377">
        <v>24500</v>
      </c>
      <c r="L377">
        <v>34000</v>
      </c>
      <c r="M377">
        <v>30000</v>
      </c>
      <c r="N377">
        <v>100800</v>
      </c>
      <c r="O377">
        <v>6500</v>
      </c>
      <c r="P377">
        <v>0</v>
      </c>
      <c r="Q377">
        <v>18000</v>
      </c>
      <c r="R377">
        <v>0</v>
      </c>
      <c r="S377">
        <v>3200</v>
      </c>
      <c r="T377">
        <v>0</v>
      </c>
      <c r="U377">
        <v>4</v>
      </c>
      <c r="V377">
        <v>13</v>
      </c>
      <c r="W377">
        <v>0</v>
      </c>
      <c r="X377">
        <v>130</v>
      </c>
      <c r="Y377">
        <v>0</v>
      </c>
      <c r="Z377" cm="1">
        <f t="array" ref="Z377">MMULT($G377:$Y377,'Nelson Factor_2019'!$B$1:$B$19)/$G377</f>
        <v>16.653302083333333</v>
      </c>
      <c r="AA377" cm="1">
        <f t="array" ref="AA377">MMULT($G377:$R377,'Nelson Factor_2019'!$B$1:$B$12)/$G377</f>
        <v>14.328125</v>
      </c>
    </row>
    <row r="378" spans="1:27" x14ac:dyDescent="0.25">
      <c r="A378">
        <v>2007</v>
      </c>
      <c r="B378">
        <v>3</v>
      </c>
      <c r="C378">
        <v>1</v>
      </c>
      <c r="D378" t="s">
        <v>173</v>
      </c>
      <c r="E378" t="s">
        <v>197</v>
      </c>
      <c r="F378" t="s">
        <v>198</v>
      </c>
      <c r="G378">
        <v>117000</v>
      </c>
      <c r="H378">
        <v>34700</v>
      </c>
      <c r="I378">
        <v>0</v>
      </c>
      <c r="J378">
        <v>0</v>
      </c>
      <c r="K378">
        <v>28000</v>
      </c>
      <c r="L378">
        <v>17700</v>
      </c>
      <c r="M378">
        <v>0</v>
      </c>
      <c r="N378">
        <v>37800</v>
      </c>
      <c r="O378">
        <v>8200</v>
      </c>
      <c r="P378">
        <v>0</v>
      </c>
      <c r="Q378">
        <v>0</v>
      </c>
      <c r="R378">
        <v>2500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20</v>
      </c>
      <c r="Y378">
        <v>4800</v>
      </c>
      <c r="Z378" cm="1">
        <f t="array" ref="Z378">MMULT($G378:$Y378,'Nelson Factor_2019'!$B$1:$B$19)/$G378</f>
        <v>5.2530769230769234</v>
      </c>
      <c r="AA378" cm="1">
        <f t="array" ref="AA378">MMULT($G378:$R378,'Nelson Factor_2019'!$B$1:$B$12)/$G378</f>
        <v>5.1505128205128203</v>
      </c>
    </row>
    <row r="379" spans="1:27" x14ac:dyDescent="0.25">
      <c r="A379">
        <v>2007</v>
      </c>
      <c r="B379">
        <v>4</v>
      </c>
      <c r="C379">
        <v>1</v>
      </c>
      <c r="D379" t="s">
        <v>199</v>
      </c>
      <c r="E379" t="s">
        <v>237</v>
      </c>
      <c r="F379" t="s">
        <v>201</v>
      </c>
      <c r="G379">
        <v>30000</v>
      </c>
      <c r="H379">
        <v>5000</v>
      </c>
      <c r="I379">
        <v>0</v>
      </c>
      <c r="J379">
        <v>0</v>
      </c>
      <c r="K379">
        <v>11500</v>
      </c>
      <c r="L379">
        <v>7300</v>
      </c>
      <c r="M379">
        <v>0</v>
      </c>
      <c r="N379">
        <v>18500</v>
      </c>
      <c r="O379">
        <v>2500</v>
      </c>
      <c r="P379">
        <v>0</v>
      </c>
      <c r="Q379">
        <v>0</v>
      </c>
      <c r="R379">
        <v>4200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4</v>
      </c>
      <c r="Y379">
        <v>0</v>
      </c>
      <c r="Z379" cm="1">
        <f t="array" ref="Z379">MMULT($G379:$Y379,'Nelson Factor_2019'!$B$1:$B$19)/$G379</f>
        <v>7.5603333333333333</v>
      </c>
      <c r="AA379" cm="1">
        <f t="array" ref="AA379">MMULT($G379:$R379,'Nelson Factor_2019'!$B$1:$B$12)/$G379</f>
        <v>7.5283333333333333</v>
      </c>
    </row>
    <row r="380" spans="1:27" x14ac:dyDescent="0.25">
      <c r="A380">
        <v>2007</v>
      </c>
      <c r="B380">
        <v>4</v>
      </c>
      <c r="C380">
        <v>4</v>
      </c>
      <c r="D380" t="s">
        <v>199</v>
      </c>
      <c r="E380" t="s">
        <v>227</v>
      </c>
      <c r="F380" t="s">
        <v>201</v>
      </c>
      <c r="G380">
        <v>45000</v>
      </c>
      <c r="H380">
        <v>25600</v>
      </c>
      <c r="I380">
        <v>7200</v>
      </c>
      <c r="J380">
        <v>0</v>
      </c>
      <c r="K380">
        <v>13000</v>
      </c>
      <c r="L380">
        <v>7000</v>
      </c>
      <c r="M380">
        <v>0</v>
      </c>
      <c r="N380">
        <v>39000</v>
      </c>
      <c r="O380">
        <v>4500</v>
      </c>
      <c r="P380">
        <v>0</v>
      </c>
      <c r="Q380">
        <v>0</v>
      </c>
      <c r="R380">
        <v>1000</v>
      </c>
      <c r="S380">
        <v>0</v>
      </c>
      <c r="T380">
        <v>0</v>
      </c>
      <c r="U380">
        <v>0</v>
      </c>
      <c r="V380">
        <v>0</v>
      </c>
      <c r="W380">
        <v>281</v>
      </c>
      <c r="X380">
        <v>30</v>
      </c>
      <c r="Y380">
        <v>0</v>
      </c>
      <c r="Z380" cm="1">
        <f t="array" ref="Z380">MMULT($G380:$Y380,'Nelson Factor_2019'!$B$1:$B$19)/$G380</f>
        <v>8.8439999999999994</v>
      </c>
      <c r="AA380" cm="1">
        <f t="array" ref="AA380">MMULT($G380:$R380,'Nelson Factor_2019'!$B$1:$B$12)/$G380</f>
        <v>8.6839999999999993</v>
      </c>
    </row>
    <row r="381" spans="1:27" x14ac:dyDescent="0.25">
      <c r="A381">
        <v>2007</v>
      </c>
      <c r="B381">
        <v>4</v>
      </c>
      <c r="C381">
        <v>1</v>
      </c>
      <c r="D381" t="s">
        <v>199</v>
      </c>
      <c r="E381" t="s">
        <v>202</v>
      </c>
      <c r="F381" t="s">
        <v>203</v>
      </c>
      <c r="G381">
        <v>26000</v>
      </c>
      <c r="H381">
        <v>5500</v>
      </c>
      <c r="I381">
        <v>0</v>
      </c>
      <c r="J381">
        <v>0</v>
      </c>
      <c r="K381">
        <v>7680</v>
      </c>
      <c r="L381">
        <v>7200</v>
      </c>
      <c r="M381">
        <v>0</v>
      </c>
      <c r="N381">
        <v>13700</v>
      </c>
      <c r="O381">
        <v>2400</v>
      </c>
      <c r="P381">
        <v>0</v>
      </c>
      <c r="Q381">
        <v>0</v>
      </c>
      <c r="R381">
        <v>2600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4</v>
      </c>
      <c r="Y381">
        <v>800</v>
      </c>
      <c r="Z381" cm="1">
        <f t="array" ref="Z381">MMULT($G381:$Y381,'Nelson Factor_2019'!$B$1:$B$19)/$G381</f>
        <v>7.0553846153846154</v>
      </c>
      <c r="AA381" cm="1">
        <f t="array" ref="AA381">MMULT($G381:$R381,'Nelson Factor_2019'!$B$1:$B$12)/$G381</f>
        <v>6.9723076923076919</v>
      </c>
    </row>
    <row r="382" spans="1:27" x14ac:dyDescent="0.25">
      <c r="A382">
        <v>2007</v>
      </c>
      <c r="B382">
        <v>4</v>
      </c>
      <c r="C382">
        <v>0</v>
      </c>
      <c r="D382" t="s">
        <v>199</v>
      </c>
      <c r="E382" t="s">
        <v>204</v>
      </c>
      <c r="F382" t="s">
        <v>203</v>
      </c>
      <c r="G382">
        <v>12500</v>
      </c>
      <c r="H382">
        <v>6000</v>
      </c>
      <c r="I382">
        <v>0</v>
      </c>
      <c r="J382">
        <v>0</v>
      </c>
      <c r="K382">
        <v>0</v>
      </c>
      <c r="L382">
        <v>2200</v>
      </c>
      <c r="M382">
        <v>0</v>
      </c>
      <c r="N382">
        <v>6200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1200</v>
      </c>
      <c r="Z382" cm="1">
        <f t="array" ref="Z382">MMULT($G382:$Y382,'Nelson Factor_2019'!$B$1:$B$19)/$G382</f>
        <v>3.8879999999999999</v>
      </c>
      <c r="AA382" cm="1">
        <f t="array" ref="AA382">MMULT($G382:$R382,'Nelson Factor_2019'!$B$1:$B$12)/$G382</f>
        <v>3.7440000000000002</v>
      </c>
    </row>
    <row r="383" spans="1:27" x14ac:dyDescent="0.25">
      <c r="A383">
        <v>2007</v>
      </c>
      <c r="B383">
        <v>4</v>
      </c>
      <c r="C383">
        <v>1</v>
      </c>
      <c r="D383" t="s">
        <v>199</v>
      </c>
      <c r="E383" t="s">
        <v>148</v>
      </c>
      <c r="F383" t="s">
        <v>201</v>
      </c>
      <c r="G383">
        <v>60000</v>
      </c>
      <c r="H383">
        <v>0</v>
      </c>
      <c r="I383">
        <v>0</v>
      </c>
      <c r="J383">
        <v>0</v>
      </c>
      <c r="K383">
        <v>23000</v>
      </c>
      <c r="L383">
        <v>12000</v>
      </c>
      <c r="M383">
        <v>0</v>
      </c>
      <c r="N383">
        <v>23000</v>
      </c>
      <c r="O383">
        <v>6000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15</v>
      </c>
      <c r="Y383">
        <v>0</v>
      </c>
      <c r="Z383" cm="1">
        <f t="array" ref="Z383">MMULT($G383:$Y383,'Nelson Factor_2019'!$B$1:$B$19)/$G383</f>
        <v>6.3183333333333334</v>
      </c>
      <c r="AA383" cm="1">
        <f t="array" ref="AA383">MMULT($G383:$R383,'Nelson Factor_2019'!$B$1:$B$12)/$G383</f>
        <v>6.2583333333333337</v>
      </c>
    </row>
    <row r="384" spans="1:27" x14ac:dyDescent="0.25">
      <c r="A384">
        <v>2007</v>
      </c>
      <c r="B384">
        <v>1</v>
      </c>
      <c r="C384">
        <v>4</v>
      </c>
      <c r="D384" t="s">
        <v>205</v>
      </c>
      <c r="E384" t="s">
        <v>206</v>
      </c>
      <c r="F384" t="s">
        <v>207</v>
      </c>
      <c r="G384">
        <v>58900</v>
      </c>
      <c r="H384">
        <v>33000</v>
      </c>
      <c r="I384">
        <v>17100</v>
      </c>
      <c r="J384">
        <v>0</v>
      </c>
      <c r="K384">
        <v>26700</v>
      </c>
      <c r="L384">
        <v>10800</v>
      </c>
      <c r="M384">
        <v>0</v>
      </c>
      <c r="N384">
        <v>29300</v>
      </c>
      <c r="O384">
        <v>0</v>
      </c>
      <c r="P384">
        <v>4000</v>
      </c>
      <c r="Q384">
        <v>0</v>
      </c>
      <c r="R384">
        <v>0</v>
      </c>
      <c r="S384">
        <v>0</v>
      </c>
      <c r="T384">
        <v>660</v>
      </c>
      <c r="U384">
        <v>0</v>
      </c>
      <c r="V384">
        <v>0</v>
      </c>
      <c r="W384">
        <v>905</v>
      </c>
      <c r="X384">
        <v>36</v>
      </c>
      <c r="Y384">
        <v>0</v>
      </c>
      <c r="Z384" cm="1">
        <f t="array" ref="Z384">MMULT($G384:$Y384,'Nelson Factor_2019'!$B$1:$B$19)/$G384</f>
        <v>9.723938879456707</v>
      </c>
      <c r="AA384" cm="1">
        <f t="array" ref="AA384">MMULT($G384:$R384,'Nelson Factor_2019'!$B$1:$B$12)/$G384</f>
        <v>9.4651952461799667</v>
      </c>
    </row>
    <row r="385" spans="1:27" x14ac:dyDescent="0.25">
      <c r="A385">
        <v>2007</v>
      </c>
      <c r="B385">
        <v>5</v>
      </c>
      <c r="C385">
        <v>5</v>
      </c>
      <c r="D385" t="s">
        <v>208</v>
      </c>
      <c r="E385" t="s">
        <v>32</v>
      </c>
      <c r="F385" t="s">
        <v>209</v>
      </c>
      <c r="G385">
        <v>220400</v>
      </c>
      <c r="H385">
        <v>95950</v>
      </c>
      <c r="I385">
        <v>56700</v>
      </c>
      <c r="J385">
        <v>0</v>
      </c>
      <c r="K385">
        <v>0</v>
      </c>
      <c r="L385">
        <v>56700</v>
      </c>
      <c r="M385">
        <v>51300</v>
      </c>
      <c r="N385">
        <v>74700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92</v>
      </c>
      <c r="V385">
        <v>33</v>
      </c>
      <c r="W385">
        <v>2700</v>
      </c>
      <c r="X385">
        <v>211</v>
      </c>
      <c r="Y385">
        <v>0</v>
      </c>
      <c r="Z385" cm="1">
        <f t="array" ref="Z385">MMULT($G385:$Y385,'Nelson Factor_2019'!$B$1:$B$19)/$G385</f>
        <v>7.721415607985481</v>
      </c>
      <c r="AA385" cm="1">
        <f t="array" ref="AA385">MMULT($G385:$R385,'Nelson Factor_2019'!$B$1:$B$12)/$G385</f>
        <v>7.4910843920145194</v>
      </c>
    </row>
    <row r="386" spans="1:27" x14ac:dyDescent="0.25">
      <c r="A386">
        <v>2007</v>
      </c>
      <c r="B386">
        <v>5</v>
      </c>
      <c r="C386">
        <v>1</v>
      </c>
      <c r="D386" t="s">
        <v>208</v>
      </c>
      <c r="E386" t="s">
        <v>51</v>
      </c>
      <c r="F386" t="s">
        <v>209</v>
      </c>
      <c r="G386">
        <v>96000</v>
      </c>
      <c r="H386">
        <v>46400</v>
      </c>
      <c r="I386">
        <v>0</v>
      </c>
      <c r="J386">
        <v>0</v>
      </c>
      <c r="K386">
        <v>31000</v>
      </c>
      <c r="L386">
        <v>15700</v>
      </c>
      <c r="M386">
        <v>0</v>
      </c>
      <c r="N386">
        <v>70200</v>
      </c>
      <c r="O386">
        <v>8600</v>
      </c>
      <c r="P386">
        <v>0</v>
      </c>
      <c r="Q386">
        <v>0</v>
      </c>
      <c r="R386">
        <v>4000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50</v>
      </c>
      <c r="Y386">
        <v>0</v>
      </c>
      <c r="Z386" cm="1">
        <f t="array" ref="Z386">MMULT($G386:$Y386,'Nelson Factor_2019'!$B$1:$B$19)/$G386</f>
        <v>7.3574999999999999</v>
      </c>
      <c r="AA386" cm="1">
        <f t="array" ref="AA386">MMULT($G386:$R386,'Nelson Factor_2019'!$B$1:$B$12)/$G386</f>
        <v>7.2324999999999999</v>
      </c>
    </row>
    <row r="387" spans="1:27" x14ac:dyDescent="0.25">
      <c r="A387">
        <v>2007</v>
      </c>
      <c r="B387">
        <v>5</v>
      </c>
      <c r="C387">
        <v>4</v>
      </c>
      <c r="D387" t="s">
        <v>208</v>
      </c>
      <c r="E387" t="s">
        <v>61</v>
      </c>
      <c r="F387" t="s">
        <v>210</v>
      </c>
      <c r="G387">
        <v>148600</v>
      </c>
      <c r="H387">
        <v>62300</v>
      </c>
      <c r="I387">
        <v>25700</v>
      </c>
      <c r="J387">
        <v>0</v>
      </c>
      <c r="K387">
        <v>57900</v>
      </c>
      <c r="L387">
        <v>31800</v>
      </c>
      <c r="M387">
        <v>0</v>
      </c>
      <c r="N387">
        <v>130300</v>
      </c>
      <c r="O387">
        <v>11900</v>
      </c>
      <c r="P387">
        <v>4300</v>
      </c>
      <c r="Q387">
        <v>0</v>
      </c>
      <c r="R387">
        <v>0</v>
      </c>
      <c r="S387">
        <v>0</v>
      </c>
      <c r="T387">
        <v>0</v>
      </c>
      <c r="U387">
        <v>7</v>
      </c>
      <c r="V387">
        <v>0</v>
      </c>
      <c r="W387">
        <v>1400</v>
      </c>
      <c r="X387">
        <v>350</v>
      </c>
      <c r="Y387">
        <v>0</v>
      </c>
      <c r="Z387" cm="1">
        <f t="array" ref="Z387">MMULT($G387:$Y387,'Nelson Factor_2019'!$B$1:$B$19)/$G387</f>
        <v>10.097557200538358</v>
      </c>
      <c r="AA387" cm="1">
        <f t="array" ref="AA387">MMULT($G387:$R387,'Nelson Factor_2019'!$B$1:$B$12)/$G387</f>
        <v>9.5322341857335129</v>
      </c>
    </row>
    <row r="388" spans="1:27" x14ac:dyDescent="0.25">
      <c r="A388">
        <v>2007</v>
      </c>
      <c r="B388">
        <v>5</v>
      </c>
      <c r="C388">
        <v>1</v>
      </c>
      <c r="D388" t="s">
        <v>208</v>
      </c>
      <c r="E388" t="s">
        <v>148</v>
      </c>
      <c r="F388" t="s">
        <v>210</v>
      </c>
      <c r="G388">
        <v>113300</v>
      </c>
      <c r="H388">
        <v>47200</v>
      </c>
      <c r="I388">
        <v>0</v>
      </c>
      <c r="J388">
        <v>0</v>
      </c>
      <c r="K388">
        <v>44800</v>
      </c>
      <c r="L388">
        <v>26500</v>
      </c>
      <c r="M388">
        <v>0</v>
      </c>
      <c r="N388">
        <v>61600</v>
      </c>
      <c r="O388">
        <v>11000</v>
      </c>
      <c r="P388">
        <v>0</v>
      </c>
      <c r="Q388">
        <v>0</v>
      </c>
      <c r="R388">
        <v>3400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48</v>
      </c>
      <c r="Y388">
        <v>1000</v>
      </c>
      <c r="Z388" cm="1">
        <f t="array" ref="Z388">MMULT($G388:$Y388,'Nelson Factor_2019'!$B$1:$B$19)/$G388</f>
        <v>7.6185348631950571</v>
      </c>
      <c r="AA388" cm="1">
        <f t="array" ref="AA388">MMULT($G388:$R388,'Nelson Factor_2019'!$B$1:$B$12)/$G388</f>
        <v>7.5036187113857018</v>
      </c>
    </row>
    <row r="389" spans="1:27" x14ac:dyDescent="0.25">
      <c r="A389">
        <v>2007</v>
      </c>
      <c r="B389">
        <v>5</v>
      </c>
      <c r="C389">
        <v>0</v>
      </c>
      <c r="D389" t="s">
        <v>208</v>
      </c>
      <c r="E389" t="s">
        <v>211</v>
      </c>
      <c r="F389" t="s">
        <v>212</v>
      </c>
      <c r="G389">
        <v>39000</v>
      </c>
      <c r="H389">
        <v>17700</v>
      </c>
      <c r="I389">
        <v>0</v>
      </c>
      <c r="J389">
        <v>0</v>
      </c>
      <c r="K389">
        <v>0</v>
      </c>
      <c r="L389">
        <v>5650</v>
      </c>
      <c r="M389">
        <v>0</v>
      </c>
      <c r="N389">
        <v>14800</v>
      </c>
      <c r="O389">
        <v>0</v>
      </c>
      <c r="P389">
        <v>0</v>
      </c>
      <c r="Q389">
        <v>0</v>
      </c>
      <c r="R389">
        <v>3000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10000</v>
      </c>
      <c r="Z389" cm="1">
        <f t="array" ref="Z389">MMULT($G389:$Y389,'Nelson Factor_2019'!$B$1:$B$19)/$G389</f>
        <v>3.8784615384615386</v>
      </c>
      <c r="AA389" cm="1">
        <f t="array" ref="AA389">MMULT($G389:$R389,'Nelson Factor_2019'!$B$1:$B$12)/$G389</f>
        <v>3.493846153846154</v>
      </c>
    </row>
    <row r="390" spans="1:27" x14ac:dyDescent="0.25">
      <c r="A390">
        <v>2007</v>
      </c>
      <c r="B390">
        <v>1</v>
      </c>
      <c r="C390">
        <v>0</v>
      </c>
      <c r="D390" t="s">
        <v>213</v>
      </c>
      <c r="E390" t="s">
        <v>214</v>
      </c>
      <c r="F390" t="s">
        <v>215</v>
      </c>
      <c r="G390">
        <v>19400</v>
      </c>
      <c r="H390">
        <v>8400</v>
      </c>
      <c r="I390">
        <v>0</v>
      </c>
      <c r="J390">
        <v>0</v>
      </c>
      <c r="K390">
        <v>0</v>
      </c>
      <c r="L390">
        <v>3600</v>
      </c>
      <c r="M390">
        <v>0</v>
      </c>
      <c r="N390">
        <v>10600</v>
      </c>
      <c r="O390">
        <v>0</v>
      </c>
      <c r="P390">
        <v>0</v>
      </c>
      <c r="Q390">
        <v>0</v>
      </c>
      <c r="R390">
        <v>0</v>
      </c>
      <c r="S390">
        <v>4800</v>
      </c>
      <c r="T390">
        <v>0</v>
      </c>
      <c r="U390">
        <v>1.1000000000000001</v>
      </c>
      <c r="V390">
        <v>0</v>
      </c>
      <c r="W390">
        <v>0</v>
      </c>
      <c r="X390">
        <v>1</v>
      </c>
      <c r="Y390">
        <v>0</v>
      </c>
      <c r="Z390" cm="1">
        <f t="array" ref="Z390">MMULT($G390:$Y390,'Nelson Factor_2019'!$B$1:$B$19)/$G390</f>
        <v>18.714489690721649</v>
      </c>
      <c r="AA390" cm="1">
        <f t="array" ref="AA390">MMULT($G390:$R390,'Nelson Factor_2019'!$B$1:$B$12)/$G390</f>
        <v>3.8567010309278351</v>
      </c>
    </row>
    <row r="391" spans="1:27" x14ac:dyDescent="0.25">
      <c r="A391">
        <v>2007</v>
      </c>
      <c r="B391">
        <v>2</v>
      </c>
      <c r="C391">
        <v>1</v>
      </c>
      <c r="D391" t="s">
        <v>216</v>
      </c>
      <c r="E391" t="s">
        <v>115</v>
      </c>
      <c r="F391" t="s">
        <v>217</v>
      </c>
      <c r="G391">
        <v>33250</v>
      </c>
      <c r="H391">
        <v>19500</v>
      </c>
      <c r="I391">
        <v>0</v>
      </c>
      <c r="J391">
        <v>0</v>
      </c>
      <c r="K391">
        <v>9900</v>
      </c>
      <c r="L391">
        <v>7200</v>
      </c>
      <c r="M391">
        <v>0</v>
      </c>
      <c r="N391">
        <v>20620</v>
      </c>
      <c r="O391">
        <v>1350</v>
      </c>
      <c r="P391">
        <v>0</v>
      </c>
      <c r="Q391">
        <v>0</v>
      </c>
      <c r="R391">
        <v>1800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15</v>
      </c>
      <c r="Y391">
        <v>6750</v>
      </c>
      <c r="Z391" cm="1">
        <f t="array" ref="Z391">MMULT($G391:$Y391,'Nelson Factor_2019'!$B$1:$B$19)/$G391</f>
        <v>7.1631578947368419</v>
      </c>
      <c r="AA391" cm="1">
        <f t="array" ref="AA391">MMULT($G391:$R391,'Nelson Factor_2019'!$B$1:$B$12)/$G391</f>
        <v>6.7503759398496239</v>
      </c>
    </row>
    <row r="392" spans="1:27" x14ac:dyDescent="0.25">
      <c r="A392">
        <v>2007</v>
      </c>
      <c r="B392">
        <v>4</v>
      </c>
      <c r="C392">
        <v>4</v>
      </c>
      <c r="D392" t="s">
        <v>218</v>
      </c>
      <c r="E392" t="s">
        <v>219</v>
      </c>
      <c r="F392" t="s">
        <v>220</v>
      </c>
      <c r="G392">
        <v>46000</v>
      </c>
      <c r="H392">
        <v>26000</v>
      </c>
      <c r="I392">
        <v>10000</v>
      </c>
      <c r="J392">
        <v>0</v>
      </c>
      <c r="K392">
        <v>12000</v>
      </c>
      <c r="L392">
        <v>7600</v>
      </c>
      <c r="M392">
        <v>0</v>
      </c>
      <c r="N392">
        <v>25400</v>
      </c>
      <c r="O392">
        <v>4200</v>
      </c>
      <c r="P392">
        <v>0</v>
      </c>
      <c r="Q392">
        <v>0</v>
      </c>
      <c r="R392">
        <v>1600</v>
      </c>
      <c r="S392">
        <v>0</v>
      </c>
      <c r="T392">
        <v>0</v>
      </c>
      <c r="U392">
        <v>5.5</v>
      </c>
      <c r="V392">
        <v>5.5</v>
      </c>
      <c r="W392">
        <v>560</v>
      </c>
      <c r="X392">
        <v>85</v>
      </c>
      <c r="Y392">
        <v>0</v>
      </c>
      <c r="Z392" cm="1">
        <f t="array" ref="Z392">MMULT($G392:$Y392,'Nelson Factor_2019'!$B$1:$B$19)/$G392</f>
        <v>8.598065217391305</v>
      </c>
      <c r="AA392" cm="1">
        <f t="array" ref="AA392">MMULT($G392:$R392,'Nelson Factor_2019'!$B$1:$B$12)/$G392</f>
        <v>8.1543478260869566</v>
      </c>
    </row>
    <row r="393" spans="1:27" x14ac:dyDescent="0.25">
      <c r="A393">
        <v>2007</v>
      </c>
      <c r="B393">
        <v>4</v>
      </c>
      <c r="C393">
        <v>1</v>
      </c>
      <c r="D393" t="s">
        <v>218</v>
      </c>
      <c r="E393" t="s">
        <v>221</v>
      </c>
      <c r="F393" t="s">
        <v>222</v>
      </c>
      <c r="G393">
        <v>22500</v>
      </c>
      <c r="H393">
        <v>6000</v>
      </c>
      <c r="I393">
        <v>0</v>
      </c>
      <c r="J393">
        <v>0</v>
      </c>
      <c r="K393">
        <v>10000</v>
      </c>
      <c r="L393">
        <v>5500</v>
      </c>
      <c r="M393">
        <v>0</v>
      </c>
      <c r="N393">
        <v>16000</v>
      </c>
      <c r="O393">
        <v>0</v>
      </c>
      <c r="P393">
        <v>1000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19.7</v>
      </c>
      <c r="Y393">
        <v>0</v>
      </c>
      <c r="Z393" cm="1">
        <f t="array" ref="Z393">MMULT($G393:$Y393,'Nelson Factor_2019'!$B$1:$B$19)/$G393</f>
        <v>7.6679111111111107</v>
      </c>
      <c r="AA393" cm="1">
        <f t="array" ref="AA393">MMULT($G393:$R393,'Nelson Factor_2019'!$B$1:$B$12)/$G393</f>
        <v>7.4577777777777774</v>
      </c>
    </row>
    <row r="394" spans="1:27" x14ac:dyDescent="0.25">
      <c r="A394">
        <v>2007</v>
      </c>
      <c r="B394">
        <v>4</v>
      </c>
      <c r="C394">
        <v>1</v>
      </c>
      <c r="D394" t="s">
        <v>218</v>
      </c>
      <c r="E394" t="s">
        <v>159</v>
      </c>
      <c r="F394" t="s">
        <v>223</v>
      </c>
      <c r="G394">
        <v>66000</v>
      </c>
      <c r="H394">
        <v>6500</v>
      </c>
      <c r="I394">
        <v>0</v>
      </c>
      <c r="J394">
        <v>0</v>
      </c>
      <c r="K394">
        <v>10000</v>
      </c>
      <c r="L394">
        <v>5700</v>
      </c>
      <c r="M394">
        <v>0</v>
      </c>
      <c r="N394">
        <v>15500</v>
      </c>
      <c r="O394">
        <v>0</v>
      </c>
      <c r="P394">
        <v>300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20</v>
      </c>
      <c r="Y394">
        <v>1750</v>
      </c>
      <c r="Z394" cm="1">
        <f t="array" ref="Z394">MMULT($G394:$Y394,'Nelson Factor_2019'!$B$1:$B$19)/$G394</f>
        <v>3.2140151515151514</v>
      </c>
      <c r="AA394" cm="1">
        <f t="array" ref="AA394">MMULT($G394:$R394,'Nelson Factor_2019'!$B$1:$B$12)/$G394</f>
        <v>3.1015151515151516</v>
      </c>
    </row>
    <row r="395" spans="1:27" x14ac:dyDescent="0.25">
      <c r="A395">
        <v>2007</v>
      </c>
      <c r="B395">
        <v>4</v>
      </c>
      <c r="C395">
        <v>1</v>
      </c>
      <c r="D395" t="s">
        <v>218</v>
      </c>
      <c r="E395" t="s">
        <v>224</v>
      </c>
      <c r="F395" t="s">
        <v>225</v>
      </c>
      <c r="G395">
        <v>12500</v>
      </c>
      <c r="H395">
        <v>1500</v>
      </c>
      <c r="I395">
        <v>0</v>
      </c>
      <c r="J395">
        <v>0</v>
      </c>
      <c r="K395">
        <v>5500</v>
      </c>
      <c r="L395">
        <v>2750</v>
      </c>
      <c r="M395">
        <v>0</v>
      </c>
      <c r="N395">
        <v>7500</v>
      </c>
      <c r="O395">
        <v>1300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4</v>
      </c>
      <c r="Y395">
        <v>0</v>
      </c>
      <c r="Z395" cm="1">
        <f t="array" ref="Z395">MMULT($G395:$Y395,'Nelson Factor_2019'!$B$1:$B$19)/$G395</f>
        <v>7.5128000000000004</v>
      </c>
      <c r="AA395" cm="1">
        <f t="array" ref="AA395">MMULT($G395:$R395,'Nelson Factor_2019'!$B$1:$B$12)/$G395</f>
        <v>7.4359999999999999</v>
      </c>
    </row>
    <row r="396" spans="1:27" x14ac:dyDescent="0.25">
      <c r="A396">
        <v>2008</v>
      </c>
      <c r="B396">
        <v>3</v>
      </c>
      <c r="C396">
        <v>0</v>
      </c>
      <c r="D396" t="s">
        <v>24</v>
      </c>
      <c r="E396" t="s">
        <v>238</v>
      </c>
      <c r="F396" t="s">
        <v>30</v>
      </c>
      <c r="G396">
        <v>20000</v>
      </c>
      <c r="H396">
        <v>15000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 cm="1">
        <f t="array" ref="Z396">MMULT($G396:$Y396,'Nelson Factor_2019'!$B$1:$B$19)/$G396</f>
        <v>1.9750000000000001</v>
      </c>
      <c r="AA396" cm="1">
        <f t="array" ref="AA396">MMULT($G396:$R396,'Nelson Factor_2019'!$B$1:$B$12)/$G396</f>
        <v>1.9750000000000001</v>
      </c>
    </row>
    <row r="397" spans="1:27" x14ac:dyDescent="0.25">
      <c r="A397">
        <v>2008</v>
      </c>
      <c r="B397">
        <v>3</v>
      </c>
      <c r="C397">
        <v>4</v>
      </c>
      <c r="D397" t="s">
        <v>24</v>
      </c>
      <c r="E397" t="s">
        <v>25</v>
      </c>
      <c r="F397" t="s">
        <v>26</v>
      </c>
      <c r="G397">
        <v>35000</v>
      </c>
      <c r="H397">
        <v>15000</v>
      </c>
      <c r="I397">
        <v>14000</v>
      </c>
      <c r="J397">
        <v>0</v>
      </c>
      <c r="K397">
        <v>0</v>
      </c>
      <c r="L397">
        <v>7200</v>
      </c>
      <c r="M397">
        <v>0</v>
      </c>
      <c r="N397">
        <v>42000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8</v>
      </c>
      <c r="V397">
        <v>8</v>
      </c>
      <c r="W397">
        <v>500</v>
      </c>
      <c r="X397">
        <v>120</v>
      </c>
      <c r="Y397">
        <v>14000</v>
      </c>
      <c r="Z397" cm="1">
        <f t="array" ref="Z397">MMULT($G397:$Y397,'Nelson Factor_2019'!$B$1:$B$19)/$G397</f>
        <v>10.009028571428571</v>
      </c>
      <c r="AA397" cm="1">
        <f t="array" ref="AA397">MMULT($G397:$R397,'Nelson Factor_2019'!$B$1:$B$12)/$G397</f>
        <v>8.5857142857142854</v>
      </c>
    </row>
    <row r="398" spans="1:27" x14ac:dyDescent="0.25">
      <c r="A398">
        <v>2008</v>
      </c>
      <c r="B398">
        <v>3</v>
      </c>
      <c r="C398">
        <v>2</v>
      </c>
      <c r="D398" t="s">
        <v>24</v>
      </c>
      <c r="E398" t="s">
        <v>27</v>
      </c>
      <c r="F398" t="s">
        <v>28</v>
      </c>
      <c r="G398">
        <v>85000</v>
      </c>
      <c r="H398">
        <v>28000</v>
      </c>
      <c r="I398">
        <v>0</v>
      </c>
      <c r="J398">
        <v>0</v>
      </c>
      <c r="K398">
        <v>0</v>
      </c>
      <c r="L398">
        <v>22500</v>
      </c>
      <c r="M398">
        <v>30000</v>
      </c>
      <c r="N398">
        <v>43000</v>
      </c>
      <c r="O398">
        <v>0</v>
      </c>
      <c r="P398">
        <v>0</v>
      </c>
      <c r="Q398">
        <v>0</v>
      </c>
      <c r="R398">
        <v>7500</v>
      </c>
      <c r="S398">
        <v>0</v>
      </c>
      <c r="T398">
        <v>0</v>
      </c>
      <c r="U398">
        <v>0</v>
      </c>
      <c r="V398">
        <v>6</v>
      </c>
      <c r="W398">
        <v>0</v>
      </c>
      <c r="X398">
        <v>20</v>
      </c>
      <c r="Y398">
        <v>0</v>
      </c>
      <c r="Z398" cm="1">
        <f t="array" ref="Z398">MMULT($G398:$Y398,'Nelson Factor_2019'!$B$1:$B$19)/$G398</f>
        <v>7.1612470588235295</v>
      </c>
      <c r="AA398" cm="1">
        <f t="array" ref="AA398">MMULT($G398:$R398,'Nelson Factor_2019'!$B$1:$B$12)/$G398</f>
        <v>7.104705882352941</v>
      </c>
    </row>
    <row r="399" spans="1:27" x14ac:dyDescent="0.25">
      <c r="A399">
        <v>2008</v>
      </c>
      <c r="B399">
        <v>5</v>
      </c>
      <c r="C399">
        <v>4</v>
      </c>
      <c r="D399" t="s">
        <v>31</v>
      </c>
      <c r="E399" t="s">
        <v>32</v>
      </c>
      <c r="F399" t="s">
        <v>34</v>
      </c>
      <c r="G399">
        <v>15000</v>
      </c>
      <c r="H399">
        <v>0</v>
      </c>
      <c r="I399">
        <v>15000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 cm="1">
        <f t="array" ref="Z399">MMULT($G399:$Y399,'Nelson Factor_2019'!$B$1:$B$19)/$G399</f>
        <v>8.5</v>
      </c>
      <c r="AA399" cm="1">
        <f t="array" ref="AA399">MMULT($G399:$R399,'Nelson Factor_2019'!$B$1:$B$12)/$G399</f>
        <v>8.5</v>
      </c>
    </row>
    <row r="400" spans="1:27" x14ac:dyDescent="0.25">
      <c r="A400">
        <v>2008</v>
      </c>
      <c r="B400">
        <v>5</v>
      </c>
      <c r="C400">
        <v>4</v>
      </c>
      <c r="D400" t="s">
        <v>31</v>
      </c>
      <c r="E400" t="s">
        <v>51</v>
      </c>
      <c r="F400" t="s">
        <v>33</v>
      </c>
      <c r="G400">
        <v>14500</v>
      </c>
      <c r="H400">
        <v>0</v>
      </c>
      <c r="I400">
        <v>14500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 cm="1">
        <f t="array" ref="Z400">MMULT($G400:$Y400,'Nelson Factor_2019'!$B$1:$B$19)/$G400</f>
        <v>8.5</v>
      </c>
      <c r="AA400" cm="1">
        <f t="array" ref="AA400">MMULT($G400:$R400,'Nelson Factor_2019'!$B$1:$B$12)/$G400</f>
        <v>8.5</v>
      </c>
    </row>
    <row r="401" spans="1:27" x14ac:dyDescent="0.25">
      <c r="A401">
        <v>2008</v>
      </c>
      <c r="B401">
        <v>5</v>
      </c>
      <c r="C401">
        <v>0</v>
      </c>
      <c r="D401" t="s">
        <v>31</v>
      </c>
      <c r="E401" t="s">
        <v>35</v>
      </c>
      <c r="F401" t="s">
        <v>36</v>
      </c>
      <c r="G401">
        <v>215175</v>
      </c>
      <c r="H401">
        <v>5225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1215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1800</v>
      </c>
      <c r="Z401" cm="1">
        <f t="array" ref="Z401">MMULT($G401:$Y401,'Nelson Factor_2019'!$B$1:$B$19)/$G401</f>
        <v>1.1570465899848961</v>
      </c>
      <c r="AA401" cm="1">
        <f t="array" ref="AA401">MMULT($G401:$R401,'Nelson Factor_2019'!$B$1:$B$12)/$G401</f>
        <v>1.1444986638782386</v>
      </c>
    </row>
    <row r="402" spans="1:27" x14ac:dyDescent="0.25">
      <c r="A402">
        <v>2008</v>
      </c>
      <c r="B402">
        <v>5</v>
      </c>
      <c r="C402">
        <v>0</v>
      </c>
      <c r="D402" t="s">
        <v>31</v>
      </c>
      <c r="E402" t="s">
        <v>37</v>
      </c>
      <c r="F402" t="s">
        <v>36</v>
      </c>
      <c r="G402">
        <v>17500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 cm="1">
        <f t="array" ref="Z402">MMULT($G402:$Y402,'Nelson Factor_2019'!$B$1:$B$19)/$G402</f>
        <v>1</v>
      </c>
      <c r="AA402" cm="1">
        <f t="array" ref="AA402">MMULT($G402:$R402,'Nelson Factor_2019'!$B$1:$B$12)/$G402</f>
        <v>1</v>
      </c>
    </row>
    <row r="403" spans="1:27" x14ac:dyDescent="0.25">
      <c r="A403">
        <v>2008</v>
      </c>
      <c r="B403">
        <v>5</v>
      </c>
      <c r="C403">
        <v>0</v>
      </c>
      <c r="D403" t="s">
        <v>31</v>
      </c>
      <c r="E403" t="s">
        <v>37</v>
      </c>
      <c r="F403" t="s">
        <v>38</v>
      </c>
      <c r="G403">
        <v>48000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 cm="1">
        <f t="array" ref="Z403">MMULT($G403:$Y403,'Nelson Factor_2019'!$B$1:$B$19)/$G403</f>
        <v>1</v>
      </c>
      <c r="AA403" cm="1">
        <f t="array" ref="AA403">MMULT($G403:$R403,'Nelson Factor_2019'!$B$1:$B$12)/$G403</f>
        <v>1</v>
      </c>
    </row>
    <row r="404" spans="1:27" x14ac:dyDescent="0.25">
      <c r="A404">
        <v>2008</v>
      </c>
      <c r="B404">
        <v>5</v>
      </c>
      <c r="C404">
        <v>2</v>
      </c>
      <c r="D404" t="s">
        <v>31</v>
      </c>
      <c r="E404" t="s">
        <v>39</v>
      </c>
      <c r="F404" t="s">
        <v>40</v>
      </c>
      <c r="G404">
        <v>72000</v>
      </c>
      <c r="H404">
        <v>19000</v>
      </c>
      <c r="I404">
        <v>0</v>
      </c>
      <c r="J404">
        <v>0</v>
      </c>
      <c r="K404">
        <v>0</v>
      </c>
      <c r="L404">
        <v>12000</v>
      </c>
      <c r="M404">
        <v>12500</v>
      </c>
      <c r="N404">
        <v>12500</v>
      </c>
      <c r="O404">
        <v>0</v>
      </c>
      <c r="P404">
        <v>0</v>
      </c>
      <c r="Q404">
        <v>0</v>
      </c>
      <c r="R404">
        <v>4000</v>
      </c>
      <c r="S404">
        <v>0</v>
      </c>
      <c r="T404">
        <v>0</v>
      </c>
      <c r="U404">
        <v>13</v>
      </c>
      <c r="V404">
        <v>0</v>
      </c>
      <c r="W404">
        <v>0</v>
      </c>
      <c r="X404">
        <v>19</v>
      </c>
      <c r="Y404">
        <v>1000</v>
      </c>
      <c r="Z404" cm="1">
        <f t="array" ref="Z404">MMULT($G404:$Y404,'Nelson Factor_2019'!$B$1:$B$19)/$G404</f>
        <v>4.2503194444444441</v>
      </c>
      <c r="AA404" cm="1">
        <f t="array" ref="AA404">MMULT($G404:$R404,'Nelson Factor_2019'!$B$1:$B$12)/$G404</f>
        <v>4.165972222222222</v>
      </c>
    </row>
    <row r="405" spans="1:27" x14ac:dyDescent="0.25">
      <c r="A405">
        <v>2008</v>
      </c>
      <c r="B405">
        <v>3</v>
      </c>
      <c r="C405">
        <v>0</v>
      </c>
      <c r="D405" t="s">
        <v>41</v>
      </c>
      <c r="E405" t="s">
        <v>42</v>
      </c>
      <c r="F405" t="s">
        <v>43</v>
      </c>
      <c r="G405">
        <v>7000</v>
      </c>
      <c r="H405">
        <v>3000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4500</v>
      </c>
      <c r="O405">
        <v>0</v>
      </c>
      <c r="P405">
        <v>0</v>
      </c>
      <c r="Q405">
        <v>0</v>
      </c>
      <c r="R405">
        <v>0</v>
      </c>
      <c r="S405">
        <v>4500</v>
      </c>
      <c r="T405">
        <v>0</v>
      </c>
      <c r="U405">
        <v>2.5</v>
      </c>
      <c r="V405">
        <v>0</v>
      </c>
      <c r="W405">
        <v>0</v>
      </c>
      <c r="X405">
        <v>0</v>
      </c>
      <c r="Y405">
        <v>1500</v>
      </c>
      <c r="Z405" cm="1">
        <f t="array" ref="Z405">MMULT($G405:$Y405,'Nelson Factor_2019'!$B$1:$B$19)/$G405</f>
        <v>42.057499999999997</v>
      </c>
      <c r="AA405" cm="1">
        <f t="array" ref="AA405">MMULT($G405:$R405,'Nelson Factor_2019'!$B$1:$B$12)/$G405</f>
        <v>3.1642857142857141</v>
      </c>
    </row>
    <row r="406" spans="1:27" x14ac:dyDescent="0.25">
      <c r="A406">
        <v>2008</v>
      </c>
      <c r="B406">
        <v>3</v>
      </c>
      <c r="C406">
        <v>1</v>
      </c>
      <c r="D406" t="s">
        <v>41</v>
      </c>
      <c r="E406" t="s">
        <v>44</v>
      </c>
      <c r="F406" t="s">
        <v>45</v>
      </c>
      <c r="G406">
        <v>70000</v>
      </c>
      <c r="H406">
        <v>27075</v>
      </c>
      <c r="I406">
        <v>0</v>
      </c>
      <c r="J406">
        <v>0</v>
      </c>
      <c r="K406">
        <v>17550</v>
      </c>
      <c r="L406">
        <v>13320</v>
      </c>
      <c r="M406">
        <v>0</v>
      </c>
      <c r="N406">
        <v>74070</v>
      </c>
      <c r="O406">
        <v>4500</v>
      </c>
      <c r="P406">
        <v>0</v>
      </c>
      <c r="Q406">
        <v>0</v>
      </c>
      <c r="R406">
        <v>5940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157</v>
      </c>
      <c r="Y406">
        <v>10800</v>
      </c>
      <c r="Z406" cm="1">
        <f t="array" ref="Z406">MMULT($G406:$Y406,'Nelson Factor_2019'!$B$1:$B$19)/$G406</f>
        <v>8.2710357142857145</v>
      </c>
      <c r="AA406" cm="1">
        <f t="array" ref="AA406">MMULT($G406:$R406,'Nelson Factor_2019'!$B$1:$B$12)/$G406</f>
        <v>7.5013214285714289</v>
      </c>
    </row>
    <row r="407" spans="1:27" x14ac:dyDescent="0.25">
      <c r="A407">
        <v>2008</v>
      </c>
      <c r="B407">
        <v>5</v>
      </c>
      <c r="C407">
        <v>0</v>
      </c>
      <c r="D407" t="s">
        <v>46</v>
      </c>
      <c r="E407" t="s">
        <v>176</v>
      </c>
      <c r="F407" t="s">
        <v>230</v>
      </c>
      <c r="G407">
        <v>54000</v>
      </c>
      <c r="H407">
        <v>30000</v>
      </c>
      <c r="I407">
        <v>0</v>
      </c>
      <c r="J407">
        <v>0</v>
      </c>
      <c r="K407">
        <v>0</v>
      </c>
      <c r="L407">
        <v>10000</v>
      </c>
      <c r="M407">
        <v>0</v>
      </c>
      <c r="N407">
        <v>29000</v>
      </c>
      <c r="O407">
        <v>0</v>
      </c>
      <c r="P407">
        <v>0</v>
      </c>
      <c r="Q407">
        <v>0</v>
      </c>
      <c r="R407">
        <v>3750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40</v>
      </c>
      <c r="Y407">
        <v>16500</v>
      </c>
      <c r="Z407" cm="1">
        <f t="array" ref="Z407">MMULT($G407:$Y407,'Nelson Factor_2019'!$B$1:$B$19)/$G407</f>
        <v>4.8351851851851855</v>
      </c>
      <c r="AA407" cm="1">
        <f t="array" ref="AA407">MMULT($G407:$R407,'Nelson Factor_2019'!$B$1:$B$12)/$G407</f>
        <v>4.1990740740740744</v>
      </c>
    </row>
    <row r="408" spans="1:27" x14ac:dyDescent="0.25">
      <c r="A408">
        <v>2008</v>
      </c>
      <c r="B408">
        <v>5</v>
      </c>
      <c r="C408">
        <v>5</v>
      </c>
      <c r="D408" t="s">
        <v>46</v>
      </c>
      <c r="E408" t="s">
        <v>226</v>
      </c>
      <c r="F408" t="s">
        <v>57</v>
      </c>
      <c r="G408">
        <v>65000</v>
      </c>
      <c r="H408">
        <v>39000</v>
      </c>
      <c r="I408">
        <v>22000</v>
      </c>
      <c r="J408">
        <v>0</v>
      </c>
      <c r="K408">
        <v>0</v>
      </c>
      <c r="L408">
        <v>14700</v>
      </c>
      <c r="M408">
        <v>23500</v>
      </c>
      <c r="N408">
        <v>21900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24.7</v>
      </c>
      <c r="V408">
        <v>5</v>
      </c>
      <c r="W408">
        <v>1200</v>
      </c>
      <c r="X408">
        <v>103</v>
      </c>
      <c r="Y408">
        <v>0</v>
      </c>
      <c r="Z408" cm="1">
        <f t="array" ref="Z408">MMULT($G408:$Y408,'Nelson Factor_2019'!$B$1:$B$19)/$G408</f>
        <v>9.564610769230768</v>
      </c>
      <c r="AA408" cm="1">
        <f t="array" ref="AA408">MMULT($G408:$R408,'Nelson Factor_2019'!$B$1:$B$12)/$G408</f>
        <v>9.1838461538461544</v>
      </c>
    </row>
    <row r="409" spans="1:27" x14ac:dyDescent="0.25">
      <c r="A409">
        <v>2008</v>
      </c>
      <c r="B409">
        <v>5</v>
      </c>
      <c r="C409">
        <v>6</v>
      </c>
      <c r="D409" t="s">
        <v>46</v>
      </c>
      <c r="E409" t="s">
        <v>32</v>
      </c>
      <c r="F409" t="s">
        <v>47</v>
      </c>
      <c r="G409">
        <v>264500</v>
      </c>
      <c r="H409">
        <v>140000</v>
      </c>
      <c r="I409">
        <v>70500</v>
      </c>
      <c r="J409">
        <v>0</v>
      </c>
      <c r="K409">
        <v>102000</v>
      </c>
      <c r="L409">
        <v>52000</v>
      </c>
      <c r="M409">
        <v>45000</v>
      </c>
      <c r="N409">
        <v>244700</v>
      </c>
      <c r="O409">
        <v>15500</v>
      </c>
      <c r="P409">
        <v>0</v>
      </c>
      <c r="Q409">
        <v>0</v>
      </c>
      <c r="R409">
        <v>31300</v>
      </c>
      <c r="S409">
        <v>0</v>
      </c>
      <c r="T409">
        <v>2700</v>
      </c>
      <c r="U409">
        <v>105</v>
      </c>
      <c r="V409">
        <v>28</v>
      </c>
      <c r="W409">
        <v>1029</v>
      </c>
      <c r="X409">
        <v>140</v>
      </c>
      <c r="Y409">
        <v>0</v>
      </c>
      <c r="Z409" cm="1">
        <f t="array" ref="Z409">MMULT($G409:$Y409,'Nelson Factor_2019'!$B$1:$B$19)/$G409</f>
        <v>11.828480151228733</v>
      </c>
      <c r="AA409" cm="1">
        <f t="array" ref="AA409">MMULT($G409:$R409,'Nelson Factor_2019'!$B$1:$B$12)/$G409</f>
        <v>11.598865784499054</v>
      </c>
    </row>
    <row r="410" spans="1:27" x14ac:dyDescent="0.25">
      <c r="A410">
        <v>2008</v>
      </c>
      <c r="B410">
        <v>5</v>
      </c>
      <c r="C410">
        <v>6</v>
      </c>
      <c r="D410" t="s">
        <v>46</v>
      </c>
      <c r="E410" t="s">
        <v>227</v>
      </c>
      <c r="F410" t="s">
        <v>49</v>
      </c>
      <c r="G410">
        <v>260000</v>
      </c>
      <c r="H410">
        <v>136000</v>
      </c>
      <c r="I410">
        <v>59000</v>
      </c>
      <c r="J410">
        <v>0</v>
      </c>
      <c r="K410">
        <v>65000</v>
      </c>
      <c r="L410">
        <v>44000</v>
      </c>
      <c r="M410">
        <v>46000</v>
      </c>
      <c r="N410">
        <v>201000</v>
      </c>
      <c r="O410">
        <v>30000</v>
      </c>
      <c r="P410">
        <v>0</v>
      </c>
      <c r="Q410">
        <v>0</v>
      </c>
      <c r="R410">
        <v>27000</v>
      </c>
      <c r="S410">
        <v>0</v>
      </c>
      <c r="T410">
        <v>0</v>
      </c>
      <c r="U410">
        <v>217</v>
      </c>
      <c r="V410">
        <v>0</v>
      </c>
      <c r="W410">
        <v>4064</v>
      </c>
      <c r="X410">
        <v>544</v>
      </c>
      <c r="Y410">
        <v>0</v>
      </c>
      <c r="Z410" cm="1">
        <f t="array" ref="Z410">MMULT($G410:$Y410,'Nelson Factor_2019'!$B$1:$B$19)/$G410</f>
        <v>11.044526923076923</v>
      </c>
      <c r="AA410" cm="1">
        <f t="array" ref="AA410">MMULT($G410:$R410,'Nelson Factor_2019'!$B$1:$B$12)/$G410</f>
        <v>10.541538461538462</v>
      </c>
    </row>
    <row r="411" spans="1:27" x14ac:dyDescent="0.25">
      <c r="A411">
        <v>2008</v>
      </c>
      <c r="B411">
        <v>5</v>
      </c>
      <c r="C411">
        <v>3</v>
      </c>
      <c r="D411" t="s">
        <v>46</v>
      </c>
      <c r="E411" t="s">
        <v>227</v>
      </c>
      <c r="F411" t="s">
        <v>50</v>
      </c>
      <c r="G411">
        <v>243000</v>
      </c>
      <c r="H411">
        <v>110000</v>
      </c>
      <c r="I411">
        <v>0</v>
      </c>
      <c r="J411">
        <v>0</v>
      </c>
      <c r="K411">
        <v>80000</v>
      </c>
      <c r="L411">
        <v>69000</v>
      </c>
      <c r="M411">
        <v>154250</v>
      </c>
      <c r="N411">
        <v>177000</v>
      </c>
      <c r="O411">
        <v>24000</v>
      </c>
      <c r="P411">
        <v>3700</v>
      </c>
      <c r="Q411">
        <v>0</v>
      </c>
      <c r="R411">
        <v>36600</v>
      </c>
      <c r="S411">
        <v>16000</v>
      </c>
      <c r="T411">
        <v>0</v>
      </c>
      <c r="U411">
        <v>150</v>
      </c>
      <c r="V411">
        <v>20</v>
      </c>
      <c r="W411">
        <v>0</v>
      </c>
      <c r="X411">
        <v>600</v>
      </c>
      <c r="Y411">
        <v>0</v>
      </c>
      <c r="Z411" cm="1">
        <f t="array" ref="Z411">MMULT($G411:$Y411,'Nelson Factor_2019'!$B$1:$B$19)/$G411</f>
        <v>18.018395061728395</v>
      </c>
      <c r="AA411" cm="1">
        <f t="array" ref="AA411">MMULT($G411:$R411,'Nelson Factor_2019'!$B$1:$B$12)/$G411</f>
        <v>13.474485596707819</v>
      </c>
    </row>
    <row r="412" spans="1:27" x14ac:dyDescent="0.25">
      <c r="A412">
        <v>2008</v>
      </c>
      <c r="B412">
        <v>5</v>
      </c>
      <c r="C412">
        <v>6</v>
      </c>
      <c r="D412" t="s">
        <v>46</v>
      </c>
      <c r="E412" t="s">
        <v>51</v>
      </c>
      <c r="F412" t="s">
        <v>52</v>
      </c>
      <c r="G412">
        <v>138700</v>
      </c>
      <c r="H412">
        <v>78000</v>
      </c>
      <c r="I412">
        <v>48000</v>
      </c>
      <c r="J412">
        <v>0</v>
      </c>
      <c r="K412">
        <v>45000</v>
      </c>
      <c r="L412">
        <v>35200</v>
      </c>
      <c r="M412">
        <v>24750</v>
      </c>
      <c r="N412">
        <v>135850</v>
      </c>
      <c r="O412">
        <v>14200</v>
      </c>
      <c r="P412">
        <v>0</v>
      </c>
      <c r="Q412">
        <v>0</v>
      </c>
      <c r="R412">
        <v>17500</v>
      </c>
      <c r="S412">
        <v>0</v>
      </c>
      <c r="T412">
        <v>0</v>
      </c>
      <c r="U412">
        <v>100.8</v>
      </c>
      <c r="V412">
        <v>0</v>
      </c>
      <c r="W412">
        <v>2000</v>
      </c>
      <c r="X412">
        <v>340</v>
      </c>
      <c r="Y412">
        <v>0</v>
      </c>
      <c r="Z412" cm="1">
        <f t="array" ref="Z412">MMULT($G412:$Y412,'Nelson Factor_2019'!$B$1:$B$19)/$G412</f>
        <v>13.409702956020189</v>
      </c>
      <c r="AA412" cm="1">
        <f t="array" ref="AA412">MMULT($G412:$R412,'Nelson Factor_2019'!$B$1:$B$12)/$G412</f>
        <v>12.820656092285509</v>
      </c>
    </row>
    <row r="413" spans="1:27" x14ac:dyDescent="0.25">
      <c r="A413">
        <v>2008</v>
      </c>
      <c r="B413">
        <v>5</v>
      </c>
      <c r="C413">
        <v>5</v>
      </c>
      <c r="D413" t="s">
        <v>46</v>
      </c>
      <c r="E413" t="s">
        <v>51</v>
      </c>
      <c r="F413" t="s">
        <v>53</v>
      </c>
      <c r="G413">
        <v>120000</v>
      </c>
      <c r="H413">
        <v>87000</v>
      </c>
      <c r="I413">
        <v>54000</v>
      </c>
      <c r="J413">
        <v>0</v>
      </c>
      <c r="K413">
        <v>0</v>
      </c>
      <c r="L413">
        <v>31000</v>
      </c>
      <c r="M413">
        <v>37000</v>
      </c>
      <c r="N413">
        <v>73000</v>
      </c>
      <c r="O413">
        <v>0</v>
      </c>
      <c r="P413">
        <v>0</v>
      </c>
      <c r="Q413">
        <v>0</v>
      </c>
      <c r="R413">
        <v>9000</v>
      </c>
      <c r="S413">
        <v>0</v>
      </c>
      <c r="T413">
        <v>0</v>
      </c>
      <c r="U413">
        <v>88</v>
      </c>
      <c r="V413">
        <v>3</v>
      </c>
      <c r="W413">
        <v>2180</v>
      </c>
      <c r="X413">
        <v>435</v>
      </c>
      <c r="Y413">
        <v>0</v>
      </c>
      <c r="Z413" cm="1">
        <f t="array" ref="Z413">MMULT($G413:$Y413,'Nelson Factor_2019'!$B$1:$B$19)/$G413</f>
        <v>11.692425</v>
      </c>
      <c r="AA413" cm="1">
        <f t="array" ref="AA413">MMULT($G413:$R413,'Nelson Factor_2019'!$B$1:$B$12)/$G413</f>
        <v>10.821666666666667</v>
      </c>
    </row>
    <row r="414" spans="1:27" x14ac:dyDescent="0.25">
      <c r="A414">
        <v>2008</v>
      </c>
      <c r="B414">
        <v>5</v>
      </c>
      <c r="C414">
        <v>6</v>
      </c>
      <c r="D414" t="s">
        <v>46</v>
      </c>
      <c r="E414" t="s">
        <v>54</v>
      </c>
      <c r="F414" t="s">
        <v>55</v>
      </c>
      <c r="G414">
        <v>149500</v>
      </c>
      <c r="H414">
        <v>98500</v>
      </c>
      <c r="I414">
        <v>52500</v>
      </c>
      <c r="J414">
        <v>0</v>
      </c>
      <c r="K414">
        <v>96000</v>
      </c>
      <c r="L414">
        <v>19000</v>
      </c>
      <c r="M414">
        <v>20500</v>
      </c>
      <c r="N414">
        <v>143500</v>
      </c>
      <c r="O414">
        <v>23500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146</v>
      </c>
      <c r="V414">
        <v>14</v>
      </c>
      <c r="W414">
        <v>3050</v>
      </c>
      <c r="X414">
        <v>400</v>
      </c>
      <c r="Y414">
        <v>0</v>
      </c>
      <c r="Z414" cm="1">
        <f t="array" ref="Z414">MMULT($G414:$Y414,'Nelson Factor_2019'!$B$1:$B$19)/$G414</f>
        <v>14.690367892976589</v>
      </c>
      <c r="AA414" cm="1">
        <f t="array" ref="AA414">MMULT($G414:$R414,'Nelson Factor_2019'!$B$1:$B$12)/$G414</f>
        <v>14.047157190635451</v>
      </c>
    </row>
    <row r="415" spans="1:27" x14ac:dyDescent="0.25">
      <c r="A415">
        <v>2008</v>
      </c>
      <c r="B415">
        <v>5</v>
      </c>
      <c r="C415">
        <v>0</v>
      </c>
      <c r="D415" t="s">
        <v>46</v>
      </c>
      <c r="E415" t="s">
        <v>56</v>
      </c>
      <c r="F415" t="s">
        <v>57</v>
      </c>
      <c r="G415">
        <v>25000</v>
      </c>
      <c r="H415">
        <v>0</v>
      </c>
      <c r="I415">
        <v>0</v>
      </c>
      <c r="J415">
        <v>0</v>
      </c>
      <c r="K415">
        <v>0</v>
      </c>
      <c r="L415">
        <v>3000</v>
      </c>
      <c r="M415">
        <v>0</v>
      </c>
      <c r="N415">
        <v>13000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4.5</v>
      </c>
      <c r="Y415">
        <v>0</v>
      </c>
      <c r="Z415" cm="1">
        <f t="array" ref="Z415">MMULT($G415:$Y415,'Nelson Factor_2019'!$B$1:$B$19)/$G415</f>
        <v>2.9432</v>
      </c>
      <c r="AA415" cm="1">
        <f t="array" ref="AA415">MMULT($G415:$R415,'Nelson Factor_2019'!$B$1:$B$12)/$G415</f>
        <v>2.9</v>
      </c>
    </row>
    <row r="416" spans="1:27" x14ac:dyDescent="0.25">
      <c r="A416">
        <v>2008</v>
      </c>
      <c r="B416">
        <v>5</v>
      </c>
      <c r="C416">
        <v>0</v>
      </c>
      <c r="D416" t="s">
        <v>46</v>
      </c>
      <c r="E416" t="s">
        <v>60</v>
      </c>
      <c r="F416" t="s">
        <v>57</v>
      </c>
      <c r="G416">
        <v>24300</v>
      </c>
      <c r="H416">
        <v>14300</v>
      </c>
      <c r="I416">
        <v>0</v>
      </c>
      <c r="J416">
        <v>10000</v>
      </c>
      <c r="K416">
        <v>0</v>
      </c>
      <c r="L416">
        <v>0</v>
      </c>
      <c r="M416">
        <v>0</v>
      </c>
      <c r="N416">
        <v>4800</v>
      </c>
      <c r="O416">
        <v>0</v>
      </c>
      <c r="P416">
        <v>0</v>
      </c>
      <c r="Q416">
        <v>0</v>
      </c>
      <c r="R416">
        <v>0</v>
      </c>
      <c r="S416">
        <v>4000</v>
      </c>
      <c r="T416">
        <v>0</v>
      </c>
      <c r="U416">
        <v>4.2</v>
      </c>
      <c r="V416">
        <v>0</v>
      </c>
      <c r="W416">
        <v>0</v>
      </c>
      <c r="X416">
        <v>6</v>
      </c>
      <c r="Y416">
        <v>6500</v>
      </c>
      <c r="Z416" cm="1">
        <f t="array" ref="Z416">MMULT($G416:$Y416,'Nelson Factor_2019'!$B$1:$B$19)/$G416</f>
        <v>13.727744855967078</v>
      </c>
      <c r="AA416" cm="1">
        <f t="array" ref="AA416">MMULT($G416:$R416,'Nelson Factor_2019'!$B$1:$B$12)/$G416</f>
        <v>3.3905349794238684</v>
      </c>
    </row>
    <row r="417" spans="1:27" x14ac:dyDescent="0.25">
      <c r="A417">
        <v>2008</v>
      </c>
      <c r="B417">
        <v>5</v>
      </c>
      <c r="C417">
        <v>6</v>
      </c>
      <c r="D417" t="s">
        <v>46</v>
      </c>
      <c r="E417" t="s">
        <v>61</v>
      </c>
      <c r="F417" t="s">
        <v>62</v>
      </c>
      <c r="G417">
        <v>158600</v>
      </c>
      <c r="H417">
        <v>91100</v>
      </c>
      <c r="I417">
        <v>46500</v>
      </c>
      <c r="J417">
        <v>0</v>
      </c>
      <c r="K417">
        <v>68870</v>
      </c>
      <c r="L417">
        <v>29400</v>
      </c>
      <c r="M417">
        <v>37900</v>
      </c>
      <c r="N417">
        <v>117950</v>
      </c>
      <c r="O417">
        <v>11000</v>
      </c>
      <c r="P417">
        <v>2470</v>
      </c>
      <c r="Q417">
        <v>0</v>
      </c>
      <c r="R417">
        <v>15000</v>
      </c>
      <c r="S417">
        <v>0</v>
      </c>
      <c r="T417">
        <v>0</v>
      </c>
      <c r="U417">
        <v>101</v>
      </c>
      <c r="V417">
        <v>0</v>
      </c>
      <c r="W417">
        <v>1150</v>
      </c>
      <c r="X417">
        <v>360</v>
      </c>
      <c r="Y417">
        <v>15000</v>
      </c>
      <c r="Z417" cm="1">
        <f t="array" ref="Z417">MMULT($G417:$Y417,'Nelson Factor_2019'!$B$1:$B$19)/$G417</f>
        <v>13.06920554854981</v>
      </c>
      <c r="AA417" cm="1">
        <f t="array" ref="AA417">MMULT($G417:$R417,'Nelson Factor_2019'!$B$1:$B$12)/$G417</f>
        <v>12.381935687263557</v>
      </c>
    </row>
    <row r="418" spans="1:27" x14ac:dyDescent="0.25">
      <c r="A418">
        <v>2008</v>
      </c>
      <c r="B418">
        <v>5</v>
      </c>
      <c r="C418">
        <v>6</v>
      </c>
      <c r="D418" t="s">
        <v>46</v>
      </c>
      <c r="E418" t="s">
        <v>239</v>
      </c>
      <c r="F418" t="s">
        <v>63</v>
      </c>
      <c r="G418">
        <v>100000</v>
      </c>
      <c r="H418">
        <v>62000</v>
      </c>
      <c r="I418">
        <v>40000</v>
      </c>
      <c r="J418">
        <v>0</v>
      </c>
      <c r="K418">
        <v>36000</v>
      </c>
      <c r="L418">
        <v>32500</v>
      </c>
      <c r="M418">
        <v>32000</v>
      </c>
      <c r="N418">
        <v>101250</v>
      </c>
      <c r="O418">
        <v>12000</v>
      </c>
      <c r="P418">
        <v>0</v>
      </c>
      <c r="Q418">
        <v>0</v>
      </c>
      <c r="R418">
        <v>8000</v>
      </c>
      <c r="S418">
        <v>0</v>
      </c>
      <c r="T418">
        <v>0</v>
      </c>
      <c r="U418">
        <v>55</v>
      </c>
      <c r="V418">
        <v>55</v>
      </c>
      <c r="W418">
        <v>1615</v>
      </c>
      <c r="X418">
        <v>265</v>
      </c>
      <c r="Y418">
        <v>0</v>
      </c>
      <c r="Z418" cm="1">
        <f t="array" ref="Z418">MMULT($G418:$Y418,'Nelson Factor_2019'!$B$1:$B$19)/$G418</f>
        <v>15.75935</v>
      </c>
      <c r="AA418" cm="1">
        <f t="array" ref="AA418">MMULT($G418:$R418,'Nelson Factor_2019'!$B$1:$B$12)/$G418</f>
        <v>15.122249999999999</v>
      </c>
    </row>
    <row r="419" spans="1:27" x14ac:dyDescent="0.25">
      <c r="A419">
        <v>2008</v>
      </c>
      <c r="B419">
        <v>5</v>
      </c>
      <c r="C419">
        <v>6</v>
      </c>
      <c r="D419" t="s">
        <v>46</v>
      </c>
      <c r="E419" t="s">
        <v>239</v>
      </c>
      <c r="F419" t="s">
        <v>65</v>
      </c>
      <c r="G419">
        <v>161000</v>
      </c>
      <c r="H419">
        <v>144000</v>
      </c>
      <c r="I419">
        <v>42000</v>
      </c>
      <c r="J419">
        <v>0</v>
      </c>
      <c r="K419">
        <v>66500</v>
      </c>
      <c r="L419">
        <v>42000</v>
      </c>
      <c r="M419">
        <v>32000</v>
      </c>
      <c r="N419">
        <v>172500</v>
      </c>
      <c r="O419">
        <v>14000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105</v>
      </c>
      <c r="V419">
        <v>0</v>
      </c>
      <c r="W419">
        <v>1500</v>
      </c>
      <c r="X419">
        <v>140</v>
      </c>
      <c r="Y419">
        <v>0</v>
      </c>
      <c r="Z419" cm="1">
        <f t="array" ref="Z419">MMULT($G419:$Y419,'Nelson Factor_2019'!$B$1:$B$19)/$G419</f>
        <v>13.249409937888199</v>
      </c>
      <c r="AA419" cm="1">
        <f t="array" ref="AA419">MMULT($G419:$R419,'Nelson Factor_2019'!$B$1:$B$12)/$G419</f>
        <v>13.040062111801243</v>
      </c>
    </row>
    <row r="420" spans="1:27" x14ac:dyDescent="0.25">
      <c r="A420">
        <v>2008</v>
      </c>
      <c r="B420">
        <v>5</v>
      </c>
      <c r="C420">
        <v>6</v>
      </c>
      <c r="D420" t="s">
        <v>46</v>
      </c>
      <c r="E420" t="s">
        <v>66</v>
      </c>
      <c r="F420" t="s">
        <v>67</v>
      </c>
      <c r="G420">
        <v>139500</v>
      </c>
      <c r="H420">
        <v>78500</v>
      </c>
      <c r="I420">
        <v>28000</v>
      </c>
      <c r="J420">
        <v>0</v>
      </c>
      <c r="K420">
        <v>69000</v>
      </c>
      <c r="L420">
        <v>36000</v>
      </c>
      <c r="M420">
        <v>36000</v>
      </c>
      <c r="N420">
        <v>146000</v>
      </c>
      <c r="O420">
        <v>17100</v>
      </c>
      <c r="P420">
        <v>2900</v>
      </c>
      <c r="Q420">
        <v>0</v>
      </c>
      <c r="R420">
        <v>0</v>
      </c>
      <c r="S420">
        <v>0</v>
      </c>
      <c r="T420">
        <v>0</v>
      </c>
      <c r="U420">
        <v>131.5</v>
      </c>
      <c r="V420">
        <v>0</v>
      </c>
      <c r="W420">
        <v>1080</v>
      </c>
      <c r="X420">
        <v>275</v>
      </c>
      <c r="Y420">
        <v>5000</v>
      </c>
      <c r="Z420" cm="1">
        <f t="array" ref="Z420">MMULT($G420:$Y420,'Nelson Factor_2019'!$B$1:$B$19)/$G420</f>
        <v>14.137501792114696</v>
      </c>
      <c r="AA420" cm="1">
        <f t="array" ref="AA420">MMULT($G420:$R420,'Nelson Factor_2019'!$B$1:$B$12)/$G420</f>
        <v>13.609677419354838</v>
      </c>
    </row>
    <row r="421" spans="1:27" x14ac:dyDescent="0.25">
      <c r="A421">
        <v>2008</v>
      </c>
      <c r="B421">
        <v>5</v>
      </c>
      <c r="C421">
        <v>4</v>
      </c>
      <c r="D421" t="s">
        <v>46</v>
      </c>
      <c r="E421" t="s">
        <v>66</v>
      </c>
      <c r="F421" t="s">
        <v>63</v>
      </c>
      <c r="G421">
        <v>80000</v>
      </c>
      <c r="H421">
        <v>46000</v>
      </c>
      <c r="I421">
        <v>28000</v>
      </c>
      <c r="J421">
        <v>0</v>
      </c>
      <c r="K421">
        <v>54000</v>
      </c>
      <c r="L421">
        <v>17500</v>
      </c>
      <c r="M421">
        <v>0</v>
      </c>
      <c r="N421">
        <v>139500</v>
      </c>
      <c r="O421">
        <v>14500</v>
      </c>
      <c r="P421">
        <v>0</v>
      </c>
      <c r="Q421">
        <v>0</v>
      </c>
      <c r="R421">
        <v>10200</v>
      </c>
      <c r="S421">
        <v>0</v>
      </c>
      <c r="T421">
        <v>0</v>
      </c>
      <c r="U421">
        <v>50</v>
      </c>
      <c r="V421">
        <v>0</v>
      </c>
      <c r="W421">
        <v>1700</v>
      </c>
      <c r="X421">
        <v>250</v>
      </c>
      <c r="Y421">
        <v>0</v>
      </c>
      <c r="Z421" cm="1">
        <f t="array" ref="Z421">MMULT($G421:$Y421,'Nelson Factor_2019'!$B$1:$B$19)/$G421</f>
        <v>16.821249999999999</v>
      </c>
      <c r="AA421" cm="1">
        <f t="array" ref="AA421">MMULT($G421:$R421,'Nelson Factor_2019'!$B$1:$B$12)/$G421</f>
        <v>16.070625</v>
      </c>
    </row>
    <row r="422" spans="1:27" x14ac:dyDescent="0.25">
      <c r="A422">
        <v>2008</v>
      </c>
      <c r="B422">
        <v>4</v>
      </c>
      <c r="C422">
        <v>1</v>
      </c>
      <c r="D422" t="s">
        <v>68</v>
      </c>
      <c r="E422" t="s">
        <v>231</v>
      </c>
      <c r="F422" t="s">
        <v>70</v>
      </c>
      <c r="G422">
        <v>92000</v>
      </c>
      <c r="H422">
        <v>34500</v>
      </c>
      <c r="I422">
        <v>0</v>
      </c>
      <c r="J422">
        <v>0</v>
      </c>
      <c r="K422">
        <v>27000</v>
      </c>
      <c r="L422">
        <v>18100</v>
      </c>
      <c r="M422">
        <v>0</v>
      </c>
      <c r="N422">
        <v>43100</v>
      </c>
      <c r="O422">
        <v>0</v>
      </c>
      <c r="P422">
        <v>3500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94</v>
      </c>
      <c r="Y422">
        <v>10500</v>
      </c>
      <c r="Z422" cm="1">
        <f t="array" ref="Z422">MMULT($G422:$Y422,'Nelson Factor_2019'!$B$1:$B$19)/$G422</f>
        <v>6.2001086956521743</v>
      </c>
      <c r="AA422" cm="1">
        <f t="array" ref="AA422">MMULT($G422:$R422,'Nelson Factor_2019'!$B$1:$B$12)/$G422</f>
        <v>5.7836956521739129</v>
      </c>
    </row>
    <row r="423" spans="1:27" x14ac:dyDescent="0.25">
      <c r="A423">
        <v>2008</v>
      </c>
      <c r="B423">
        <v>4</v>
      </c>
      <c r="C423">
        <v>1</v>
      </c>
      <c r="D423" t="s">
        <v>68</v>
      </c>
      <c r="E423" t="s">
        <v>231</v>
      </c>
      <c r="F423" t="s">
        <v>71</v>
      </c>
      <c r="G423">
        <v>30000</v>
      </c>
      <c r="H423">
        <v>9500</v>
      </c>
      <c r="I423">
        <v>0</v>
      </c>
      <c r="J423">
        <v>0</v>
      </c>
      <c r="K423">
        <v>8000</v>
      </c>
      <c r="L423">
        <v>9000</v>
      </c>
      <c r="M423">
        <v>0</v>
      </c>
      <c r="N423">
        <v>9000</v>
      </c>
      <c r="O423">
        <v>0</v>
      </c>
      <c r="P423">
        <v>900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4</v>
      </c>
      <c r="Y423">
        <v>0</v>
      </c>
      <c r="Z423" cm="1">
        <f t="array" ref="Z423">MMULT($G423:$Y423,'Nelson Factor_2019'!$B$1:$B$19)/$G423</f>
        <v>5.5936666666666666</v>
      </c>
      <c r="AA423" cm="1">
        <f t="array" ref="AA423">MMULT($G423:$R423,'Nelson Factor_2019'!$B$1:$B$12)/$G423</f>
        <v>5.5616666666666665</v>
      </c>
    </row>
    <row r="424" spans="1:27" x14ac:dyDescent="0.25">
      <c r="A424">
        <v>2008</v>
      </c>
      <c r="B424">
        <v>1</v>
      </c>
      <c r="C424">
        <v>6</v>
      </c>
      <c r="D424" t="s">
        <v>72</v>
      </c>
      <c r="E424" t="s">
        <v>66</v>
      </c>
      <c r="F424" t="s">
        <v>74</v>
      </c>
      <c r="G424">
        <v>190000</v>
      </c>
      <c r="H424">
        <v>102000</v>
      </c>
      <c r="I424">
        <v>47000</v>
      </c>
      <c r="J424">
        <v>0</v>
      </c>
      <c r="K424">
        <v>82000</v>
      </c>
      <c r="L424">
        <v>43000</v>
      </c>
      <c r="M424">
        <v>18000</v>
      </c>
      <c r="N424">
        <v>130000</v>
      </c>
      <c r="O424">
        <v>11000</v>
      </c>
      <c r="P424">
        <v>5040</v>
      </c>
      <c r="Q424">
        <v>1260</v>
      </c>
      <c r="R424">
        <v>6000</v>
      </c>
      <c r="S424">
        <v>0</v>
      </c>
      <c r="T424">
        <v>0</v>
      </c>
      <c r="U424">
        <v>40</v>
      </c>
      <c r="V424">
        <v>22</v>
      </c>
      <c r="W424">
        <v>2200</v>
      </c>
      <c r="X424">
        <v>532</v>
      </c>
      <c r="Y424">
        <v>0</v>
      </c>
      <c r="Z424" cm="1">
        <f t="array" ref="Z424">MMULT($G424:$Y424,'Nelson Factor_2019'!$B$1:$B$19)/$G424</f>
        <v>11.486536842105263</v>
      </c>
      <c r="AA424" cm="1">
        <f t="array" ref="AA424">MMULT($G424:$R424,'Nelson Factor_2019'!$B$1:$B$12)/$G424</f>
        <v>10.81421052631579</v>
      </c>
    </row>
    <row r="425" spans="1:27" x14ac:dyDescent="0.25">
      <c r="A425">
        <v>2008</v>
      </c>
      <c r="B425">
        <v>5</v>
      </c>
      <c r="C425">
        <v>1</v>
      </c>
      <c r="D425" t="s">
        <v>75</v>
      </c>
      <c r="E425" t="s">
        <v>48</v>
      </c>
      <c r="F425" t="s">
        <v>76</v>
      </c>
      <c r="G425">
        <v>54000</v>
      </c>
      <c r="H425">
        <v>30000</v>
      </c>
      <c r="I425">
        <v>0</v>
      </c>
      <c r="J425">
        <v>0</v>
      </c>
      <c r="K425">
        <v>21000</v>
      </c>
      <c r="L425">
        <v>0</v>
      </c>
      <c r="M425">
        <v>0</v>
      </c>
      <c r="N425">
        <v>3000</v>
      </c>
      <c r="O425">
        <v>4000</v>
      </c>
      <c r="P425">
        <v>1000</v>
      </c>
      <c r="Q425">
        <v>0</v>
      </c>
      <c r="R425">
        <v>1200</v>
      </c>
      <c r="S425">
        <v>0</v>
      </c>
      <c r="T425">
        <v>0</v>
      </c>
      <c r="U425">
        <v>2</v>
      </c>
      <c r="V425">
        <v>0</v>
      </c>
      <c r="W425">
        <v>0</v>
      </c>
      <c r="X425">
        <v>0</v>
      </c>
      <c r="Y425">
        <v>1300</v>
      </c>
      <c r="Z425" cm="1">
        <f t="array" ref="Z425">MMULT($G425:$Y425,'Nelson Factor_2019'!$B$1:$B$19)/$G425</f>
        <v>5.2231851851851854</v>
      </c>
      <c r="AA425" cm="1">
        <f t="array" ref="AA425">MMULT($G425:$R425,'Nelson Factor_2019'!$B$1:$B$12)/$G425</f>
        <v>5.1870370370370367</v>
      </c>
    </row>
    <row r="426" spans="1:27" x14ac:dyDescent="0.25">
      <c r="A426">
        <v>2008</v>
      </c>
      <c r="B426">
        <v>5</v>
      </c>
      <c r="C426">
        <v>2</v>
      </c>
      <c r="D426" t="s">
        <v>75</v>
      </c>
      <c r="E426" t="s">
        <v>77</v>
      </c>
      <c r="F426" t="s">
        <v>76</v>
      </c>
      <c r="G426">
        <v>93700</v>
      </c>
      <c r="H426">
        <v>39500</v>
      </c>
      <c r="I426">
        <v>0</v>
      </c>
      <c r="J426">
        <v>11500</v>
      </c>
      <c r="K426">
        <v>0</v>
      </c>
      <c r="L426">
        <v>12800</v>
      </c>
      <c r="M426">
        <v>17600</v>
      </c>
      <c r="N426">
        <v>12800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18</v>
      </c>
      <c r="V426">
        <v>0</v>
      </c>
      <c r="W426">
        <v>0</v>
      </c>
      <c r="X426">
        <v>34</v>
      </c>
      <c r="Y426">
        <v>1000</v>
      </c>
      <c r="Z426" cm="1">
        <f t="array" ref="Z426">MMULT($G426:$Y426,'Nelson Factor_2019'!$B$1:$B$19)/$G426</f>
        <v>4.5160405549626468</v>
      </c>
      <c r="AA426" cm="1">
        <f t="array" ref="AA426">MMULT($G426:$R426,'Nelson Factor_2019'!$B$1:$B$12)/$G426</f>
        <v>4.4127534685165424</v>
      </c>
    </row>
    <row r="427" spans="1:27" x14ac:dyDescent="0.25">
      <c r="A427">
        <v>2008</v>
      </c>
      <c r="B427">
        <v>2</v>
      </c>
      <c r="C427">
        <v>4</v>
      </c>
      <c r="D427" t="s">
        <v>78</v>
      </c>
      <c r="E427" t="s">
        <v>79</v>
      </c>
      <c r="F427" t="s">
        <v>80</v>
      </c>
      <c r="G427">
        <v>158650</v>
      </c>
      <c r="H427">
        <v>71250</v>
      </c>
      <c r="I427">
        <v>36000</v>
      </c>
      <c r="J427">
        <v>0</v>
      </c>
      <c r="K427">
        <v>60300</v>
      </c>
      <c r="L427">
        <v>28080</v>
      </c>
      <c r="M427">
        <v>0</v>
      </c>
      <c r="N427">
        <v>103410</v>
      </c>
      <c r="O427">
        <v>18900</v>
      </c>
      <c r="P427">
        <v>0</v>
      </c>
      <c r="Q427">
        <v>6030</v>
      </c>
      <c r="R427">
        <v>0</v>
      </c>
      <c r="S427">
        <v>0</v>
      </c>
      <c r="T427">
        <v>0</v>
      </c>
      <c r="U427">
        <v>4.5</v>
      </c>
      <c r="V427">
        <v>0</v>
      </c>
      <c r="W427">
        <v>2102</v>
      </c>
      <c r="X427">
        <v>344</v>
      </c>
      <c r="Y427">
        <v>0</v>
      </c>
      <c r="Z427" cm="1">
        <f t="array" ref="Z427">MMULT($G427:$Y427,'Nelson Factor_2019'!$B$1:$B$19)/$G427</f>
        <v>10.55256539552474</v>
      </c>
      <c r="AA427" cm="1">
        <f t="array" ref="AA427">MMULT($G427:$R427,'Nelson Factor_2019'!$B$1:$B$12)/$G427</f>
        <v>10.032146233848094</v>
      </c>
    </row>
    <row r="428" spans="1:27" x14ac:dyDescent="0.25">
      <c r="A428">
        <v>2008</v>
      </c>
      <c r="B428">
        <v>2</v>
      </c>
      <c r="C428">
        <v>4</v>
      </c>
      <c r="D428" t="s">
        <v>78</v>
      </c>
      <c r="E428" t="s">
        <v>54</v>
      </c>
      <c r="F428" t="s">
        <v>82</v>
      </c>
      <c r="G428">
        <v>240000</v>
      </c>
      <c r="H428">
        <v>121500</v>
      </c>
      <c r="I428">
        <v>56000</v>
      </c>
      <c r="J428">
        <v>0</v>
      </c>
      <c r="K428">
        <v>93000</v>
      </c>
      <c r="L428">
        <v>50000</v>
      </c>
      <c r="M428">
        <v>0</v>
      </c>
      <c r="N428">
        <v>248000</v>
      </c>
      <c r="O428">
        <v>27000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3330</v>
      </c>
      <c r="X428">
        <v>610</v>
      </c>
      <c r="Y428">
        <v>12000</v>
      </c>
      <c r="Z428" cm="1">
        <f t="array" ref="Z428">MMULT($G428:$Y428,'Nelson Factor_2019'!$B$1:$B$19)/$G428</f>
        <v>11.168125</v>
      </c>
      <c r="AA428" cm="1">
        <f t="array" ref="AA428">MMULT($G428:$R428,'Nelson Factor_2019'!$B$1:$B$12)/$G428</f>
        <v>10.483124999999999</v>
      </c>
    </row>
    <row r="429" spans="1:27" x14ac:dyDescent="0.25">
      <c r="A429">
        <v>2008</v>
      </c>
      <c r="B429">
        <v>2</v>
      </c>
      <c r="C429">
        <v>6</v>
      </c>
      <c r="D429" t="s">
        <v>78</v>
      </c>
      <c r="E429" t="s">
        <v>232</v>
      </c>
      <c r="F429" t="s">
        <v>84</v>
      </c>
      <c r="G429">
        <v>192000</v>
      </c>
      <c r="H429">
        <v>61900</v>
      </c>
      <c r="I429">
        <v>27900</v>
      </c>
      <c r="J429">
        <v>0</v>
      </c>
      <c r="K429">
        <v>46600</v>
      </c>
      <c r="L429">
        <v>72200</v>
      </c>
      <c r="M429">
        <v>26600</v>
      </c>
      <c r="N429">
        <v>166300</v>
      </c>
      <c r="O429">
        <v>10900</v>
      </c>
      <c r="P429">
        <v>0</v>
      </c>
      <c r="Q429">
        <v>0</v>
      </c>
      <c r="R429">
        <v>14300</v>
      </c>
      <c r="S429">
        <v>0</v>
      </c>
      <c r="T429">
        <v>0</v>
      </c>
      <c r="U429">
        <v>0</v>
      </c>
      <c r="V429">
        <v>0</v>
      </c>
      <c r="W429">
        <v>1187</v>
      </c>
      <c r="X429">
        <v>183</v>
      </c>
      <c r="Y429">
        <v>0</v>
      </c>
      <c r="Z429" cm="1">
        <f t="array" ref="Z429">MMULT($G429:$Y429,'Nelson Factor_2019'!$B$1:$B$19)/$G429</f>
        <v>10.139010416666666</v>
      </c>
      <c r="AA429" cm="1">
        <f t="array" ref="AA429">MMULT($G429:$R429,'Nelson Factor_2019'!$B$1:$B$12)/$G429</f>
        <v>9.9102604166666666</v>
      </c>
    </row>
    <row r="430" spans="1:27" x14ac:dyDescent="0.25">
      <c r="A430">
        <v>2008</v>
      </c>
      <c r="B430">
        <v>2</v>
      </c>
      <c r="C430">
        <v>6</v>
      </c>
      <c r="D430" t="s">
        <v>78</v>
      </c>
      <c r="E430" t="s">
        <v>240</v>
      </c>
      <c r="F430" t="s">
        <v>81</v>
      </c>
      <c r="G430">
        <v>306000</v>
      </c>
      <c r="H430">
        <v>119000</v>
      </c>
      <c r="I430">
        <v>16000</v>
      </c>
      <c r="J430">
        <v>0</v>
      </c>
      <c r="K430">
        <v>91000</v>
      </c>
      <c r="L430">
        <v>85000</v>
      </c>
      <c r="M430">
        <v>37000</v>
      </c>
      <c r="N430">
        <v>225000</v>
      </c>
      <c r="O430">
        <v>20000</v>
      </c>
      <c r="P430">
        <v>0</v>
      </c>
      <c r="Q430">
        <v>3500</v>
      </c>
      <c r="R430">
        <v>0</v>
      </c>
      <c r="S430">
        <v>0</v>
      </c>
      <c r="T430">
        <v>0</v>
      </c>
      <c r="U430">
        <v>105</v>
      </c>
      <c r="V430">
        <v>0</v>
      </c>
      <c r="W430">
        <v>1250</v>
      </c>
      <c r="X430">
        <v>440</v>
      </c>
      <c r="Y430">
        <v>40000</v>
      </c>
      <c r="Z430" cm="1">
        <f t="array" ref="Z430">MMULT($G430:$Y430,'Nelson Factor_2019'!$B$1:$B$19)/$G430</f>
        <v>9.3003431372549024</v>
      </c>
      <c r="AA430" cm="1">
        <f t="array" ref="AA430">MMULT($G430:$R430,'Nelson Factor_2019'!$B$1:$B$12)/$G430</f>
        <v>8.7588235294117656</v>
      </c>
    </row>
    <row r="431" spans="1:27" x14ac:dyDescent="0.25">
      <c r="A431">
        <v>2008</v>
      </c>
      <c r="B431">
        <v>2</v>
      </c>
      <c r="C431">
        <v>4</v>
      </c>
      <c r="D431" t="s">
        <v>85</v>
      </c>
      <c r="E431" t="s">
        <v>32</v>
      </c>
      <c r="F431" t="s">
        <v>86</v>
      </c>
      <c r="G431">
        <v>405000</v>
      </c>
      <c r="H431">
        <v>189000</v>
      </c>
      <c r="I431">
        <v>34500</v>
      </c>
      <c r="J431">
        <v>0</v>
      </c>
      <c r="K431">
        <v>165000</v>
      </c>
      <c r="L431">
        <v>84000</v>
      </c>
      <c r="M431">
        <v>0</v>
      </c>
      <c r="N431">
        <v>363700</v>
      </c>
      <c r="O431">
        <v>25000</v>
      </c>
      <c r="P431">
        <v>0</v>
      </c>
      <c r="Q431">
        <v>0</v>
      </c>
      <c r="R431">
        <v>32000</v>
      </c>
      <c r="S431">
        <v>0</v>
      </c>
      <c r="T431">
        <v>0</v>
      </c>
      <c r="U431">
        <v>29.5</v>
      </c>
      <c r="V431">
        <v>0</v>
      </c>
      <c r="W431">
        <v>1309</v>
      </c>
      <c r="X431">
        <v>154</v>
      </c>
      <c r="Y431">
        <v>0</v>
      </c>
      <c r="Z431" cm="1">
        <f t="array" ref="Z431">MMULT($G431:$Y431,'Nelson Factor_2019'!$B$1:$B$19)/$G431</f>
        <v>8.9177518518518522</v>
      </c>
      <c r="AA431" cm="1">
        <f t="array" ref="AA431">MMULT($G431:$R431,'Nelson Factor_2019'!$B$1:$B$12)/$G431</f>
        <v>8.8264197530864195</v>
      </c>
    </row>
    <row r="432" spans="1:27" x14ac:dyDescent="0.25">
      <c r="A432">
        <v>2008</v>
      </c>
      <c r="B432">
        <v>2</v>
      </c>
      <c r="C432">
        <v>1</v>
      </c>
      <c r="D432" t="s">
        <v>85</v>
      </c>
      <c r="E432" t="s">
        <v>87</v>
      </c>
      <c r="F432" t="s">
        <v>88</v>
      </c>
      <c r="G432">
        <v>23500</v>
      </c>
      <c r="H432">
        <v>8000</v>
      </c>
      <c r="I432">
        <v>0</v>
      </c>
      <c r="J432">
        <v>0</v>
      </c>
      <c r="K432">
        <v>7850</v>
      </c>
      <c r="L432">
        <v>6500</v>
      </c>
      <c r="M432">
        <v>0</v>
      </c>
      <c r="N432">
        <v>21000</v>
      </c>
      <c r="O432">
        <v>2000</v>
      </c>
      <c r="P432">
        <v>0</v>
      </c>
      <c r="Q432">
        <v>0</v>
      </c>
      <c r="R432">
        <v>2200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8</v>
      </c>
      <c r="Y432">
        <v>2700</v>
      </c>
      <c r="Z432" cm="1">
        <f t="array" ref="Z432">MMULT($G432:$Y432,'Nelson Factor_2019'!$B$1:$B$19)/$G432</f>
        <v>8.4497872340425531</v>
      </c>
      <c r="AA432" cm="1">
        <f t="array" ref="AA432">MMULT($G432:$R432,'Nelson Factor_2019'!$B$1:$B$12)/$G432</f>
        <v>8.1957446808510639</v>
      </c>
    </row>
    <row r="433" spans="1:27" x14ac:dyDescent="0.25">
      <c r="A433">
        <v>2008</v>
      </c>
      <c r="B433">
        <v>2</v>
      </c>
      <c r="C433">
        <v>4</v>
      </c>
      <c r="D433" t="s">
        <v>89</v>
      </c>
      <c r="E433" t="s">
        <v>90</v>
      </c>
      <c r="F433" t="s">
        <v>91</v>
      </c>
      <c r="G433">
        <v>100000</v>
      </c>
      <c r="H433">
        <v>50000</v>
      </c>
      <c r="I433">
        <v>19000</v>
      </c>
      <c r="J433">
        <v>0</v>
      </c>
      <c r="K433">
        <v>29100</v>
      </c>
      <c r="L433">
        <v>17000</v>
      </c>
      <c r="M433">
        <v>0</v>
      </c>
      <c r="N433">
        <v>61000</v>
      </c>
      <c r="O433">
        <v>9200</v>
      </c>
      <c r="P433">
        <v>0</v>
      </c>
      <c r="Q433">
        <v>0</v>
      </c>
      <c r="R433">
        <v>8500</v>
      </c>
      <c r="S433">
        <v>0</v>
      </c>
      <c r="T433">
        <v>0</v>
      </c>
      <c r="U433">
        <v>0</v>
      </c>
      <c r="V433">
        <v>0</v>
      </c>
      <c r="W433">
        <v>890</v>
      </c>
      <c r="X433">
        <v>0</v>
      </c>
      <c r="Y433">
        <v>0</v>
      </c>
      <c r="Z433" cm="1">
        <f t="array" ref="Z433">MMULT($G433:$Y433,'Nelson Factor_2019'!$B$1:$B$19)/$G433</f>
        <v>8.3710000000000004</v>
      </c>
      <c r="AA433" cm="1">
        <f t="array" ref="AA433">MMULT($G433:$R433,'Nelson Factor_2019'!$B$1:$B$12)/$G433</f>
        <v>8.3710000000000004</v>
      </c>
    </row>
    <row r="434" spans="1:27" x14ac:dyDescent="0.25">
      <c r="A434">
        <v>2008</v>
      </c>
      <c r="B434">
        <v>2</v>
      </c>
      <c r="C434">
        <v>4</v>
      </c>
      <c r="D434" t="s">
        <v>89</v>
      </c>
      <c r="E434" t="s">
        <v>92</v>
      </c>
      <c r="F434" t="s">
        <v>45</v>
      </c>
      <c r="G434">
        <v>110000</v>
      </c>
      <c r="H434">
        <v>41000</v>
      </c>
      <c r="I434">
        <v>18750</v>
      </c>
      <c r="J434">
        <v>0</v>
      </c>
      <c r="K434">
        <v>37200</v>
      </c>
      <c r="L434">
        <v>29500</v>
      </c>
      <c r="M434">
        <v>0</v>
      </c>
      <c r="N434">
        <v>95500</v>
      </c>
      <c r="O434">
        <v>13000</v>
      </c>
      <c r="P434">
        <v>0</v>
      </c>
      <c r="Q434">
        <v>2200</v>
      </c>
      <c r="R434">
        <v>12500</v>
      </c>
      <c r="S434">
        <v>0</v>
      </c>
      <c r="T434">
        <v>0</v>
      </c>
      <c r="U434">
        <v>35</v>
      </c>
      <c r="V434">
        <v>0</v>
      </c>
      <c r="W434">
        <v>950</v>
      </c>
      <c r="X434">
        <v>230</v>
      </c>
      <c r="Y434">
        <v>0</v>
      </c>
      <c r="Z434" cm="1">
        <f t="array" ref="Z434">MMULT($G434:$Y434,'Nelson Factor_2019'!$B$1:$B$19)/$G434</f>
        <v>10.728272727272728</v>
      </c>
      <c r="AA434" cm="1">
        <f t="array" ref="AA434">MMULT($G434:$R434,'Nelson Factor_2019'!$B$1:$B$12)/$G434</f>
        <v>10.226136363636364</v>
      </c>
    </row>
    <row r="435" spans="1:27" x14ac:dyDescent="0.25">
      <c r="A435">
        <v>2008</v>
      </c>
      <c r="B435">
        <v>2</v>
      </c>
      <c r="C435">
        <v>6</v>
      </c>
      <c r="D435" t="s">
        <v>89</v>
      </c>
      <c r="E435" t="s">
        <v>93</v>
      </c>
      <c r="F435" t="s">
        <v>94</v>
      </c>
      <c r="G435">
        <v>82700</v>
      </c>
      <c r="H435">
        <v>35400</v>
      </c>
      <c r="I435">
        <v>20800</v>
      </c>
      <c r="J435">
        <v>0</v>
      </c>
      <c r="K435">
        <v>22700</v>
      </c>
      <c r="L435">
        <v>22700</v>
      </c>
      <c r="M435">
        <v>33100</v>
      </c>
      <c r="N435">
        <v>72500</v>
      </c>
      <c r="O435">
        <v>6400</v>
      </c>
      <c r="P435">
        <v>0</v>
      </c>
      <c r="Q435">
        <v>0</v>
      </c>
      <c r="R435">
        <v>13000</v>
      </c>
      <c r="S435">
        <v>0</v>
      </c>
      <c r="T435">
        <v>0</v>
      </c>
      <c r="U435">
        <v>32.1</v>
      </c>
      <c r="V435">
        <v>74.599999999999994</v>
      </c>
      <c r="W435">
        <v>819</v>
      </c>
      <c r="X435">
        <v>123</v>
      </c>
      <c r="Y435">
        <v>0</v>
      </c>
      <c r="Z435" cm="1">
        <f t="array" ref="Z435">MMULT($G435:$Y435,'Nelson Factor_2019'!$B$1:$B$19)/$G435</f>
        <v>13.459452237001212</v>
      </c>
      <c r="AA435" cm="1">
        <f t="array" ref="AA435">MMULT($G435:$R435,'Nelson Factor_2019'!$B$1:$B$12)/$G435</f>
        <v>13.101209189842805</v>
      </c>
    </row>
    <row r="436" spans="1:27" x14ac:dyDescent="0.25">
      <c r="A436">
        <v>2008</v>
      </c>
      <c r="B436">
        <v>2</v>
      </c>
      <c r="C436">
        <v>1</v>
      </c>
      <c r="D436" t="s">
        <v>95</v>
      </c>
      <c r="E436" t="s">
        <v>232</v>
      </c>
      <c r="F436" t="s">
        <v>96</v>
      </c>
      <c r="G436">
        <v>222000</v>
      </c>
      <c r="H436">
        <v>114500</v>
      </c>
      <c r="I436">
        <v>0</v>
      </c>
      <c r="J436">
        <v>0</v>
      </c>
      <c r="K436">
        <v>96900</v>
      </c>
      <c r="L436">
        <v>48500</v>
      </c>
      <c r="M436">
        <v>0</v>
      </c>
      <c r="N436">
        <v>258900</v>
      </c>
      <c r="O436">
        <v>19000</v>
      </c>
      <c r="P436">
        <v>0</v>
      </c>
      <c r="Q436">
        <v>14300</v>
      </c>
      <c r="R436">
        <v>14300</v>
      </c>
      <c r="S436">
        <v>8400</v>
      </c>
      <c r="T436">
        <v>0</v>
      </c>
      <c r="U436">
        <v>32.299999999999997</v>
      </c>
      <c r="V436">
        <v>0</v>
      </c>
      <c r="W436">
        <v>0</v>
      </c>
      <c r="X436">
        <v>406</v>
      </c>
      <c r="Y436">
        <v>21900</v>
      </c>
      <c r="Z436" cm="1">
        <f t="array" ref="Z436">MMULT($G436:$Y436,'Nelson Factor_2019'!$B$1:$B$19)/$G436</f>
        <v>13.491992342342341</v>
      </c>
      <c r="AA436" cm="1">
        <f t="array" ref="AA436">MMULT($G436:$R436,'Nelson Factor_2019'!$B$1:$B$12)/$G436</f>
        <v>10.634684684684684</v>
      </c>
    </row>
    <row r="437" spans="1:27" x14ac:dyDescent="0.25">
      <c r="A437">
        <v>2008</v>
      </c>
      <c r="B437">
        <v>2</v>
      </c>
      <c r="C437">
        <v>0</v>
      </c>
      <c r="D437" t="s">
        <v>95</v>
      </c>
      <c r="E437" t="s">
        <v>97</v>
      </c>
      <c r="F437" t="s">
        <v>98</v>
      </c>
      <c r="G437">
        <v>5500</v>
      </c>
      <c r="H437">
        <v>0</v>
      </c>
      <c r="I437">
        <v>0</v>
      </c>
      <c r="J437">
        <v>0</v>
      </c>
      <c r="K437">
        <v>0</v>
      </c>
      <c r="L437">
        <v>1500</v>
      </c>
      <c r="M437">
        <v>0</v>
      </c>
      <c r="N437">
        <v>2000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 cm="1">
        <f t="array" ref="Z437">MMULT($G437:$Y437,'Nelson Factor_2019'!$B$1:$B$19)/$G437</f>
        <v>3.2727272727272729</v>
      </c>
      <c r="AA437" cm="1">
        <f t="array" ref="AA437">MMULT($G437:$R437,'Nelson Factor_2019'!$B$1:$B$12)/$G437</f>
        <v>3.2727272727272729</v>
      </c>
    </row>
    <row r="438" spans="1:27" x14ac:dyDescent="0.25">
      <c r="A438">
        <v>2008</v>
      </c>
      <c r="B438">
        <v>3</v>
      </c>
      <c r="C438">
        <v>0</v>
      </c>
      <c r="D438" t="s">
        <v>99</v>
      </c>
      <c r="E438" t="s">
        <v>100</v>
      </c>
      <c r="F438" t="s">
        <v>101</v>
      </c>
      <c r="G438">
        <v>32000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 cm="1">
        <f t="array" ref="Z438">MMULT($G438:$Y438,'Nelson Factor_2019'!$B$1:$B$19)/$G438</f>
        <v>1</v>
      </c>
      <c r="AA438" cm="1">
        <f t="array" ref="AA438">MMULT($G438:$R438,'Nelson Factor_2019'!$B$1:$B$12)/$G438</f>
        <v>1</v>
      </c>
    </row>
    <row r="439" spans="1:27" x14ac:dyDescent="0.25">
      <c r="A439">
        <v>2008</v>
      </c>
      <c r="B439">
        <v>3</v>
      </c>
      <c r="C439">
        <v>0</v>
      </c>
      <c r="D439" t="s">
        <v>99</v>
      </c>
      <c r="E439" t="s">
        <v>102</v>
      </c>
      <c r="F439" t="s">
        <v>103</v>
      </c>
      <c r="G439">
        <v>9500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5000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2.5</v>
      </c>
      <c r="V439">
        <v>2.5</v>
      </c>
      <c r="W439">
        <v>0</v>
      </c>
      <c r="X439">
        <v>0</v>
      </c>
      <c r="Y439">
        <v>0</v>
      </c>
      <c r="Z439" cm="1">
        <f t="array" ref="Z439">MMULT($G439:$Y439,'Nelson Factor_2019'!$B$1:$B$19)/$G439</f>
        <v>2.3163157894736841</v>
      </c>
      <c r="AA439" cm="1">
        <f t="array" ref="AA439">MMULT($G439:$R439,'Nelson Factor_2019'!$B$1:$B$12)/$G439</f>
        <v>2.3157894736842106</v>
      </c>
    </row>
    <row r="440" spans="1:27" x14ac:dyDescent="0.25">
      <c r="A440">
        <v>2008</v>
      </c>
      <c r="B440">
        <v>3</v>
      </c>
      <c r="C440">
        <v>2</v>
      </c>
      <c r="D440" t="s">
        <v>99</v>
      </c>
      <c r="E440" t="s">
        <v>102</v>
      </c>
      <c r="F440" t="s">
        <v>104</v>
      </c>
      <c r="G440">
        <v>9500</v>
      </c>
      <c r="H440">
        <v>8500</v>
      </c>
      <c r="I440">
        <v>0</v>
      </c>
      <c r="J440">
        <v>0</v>
      </c>
      <c r="K440">
        <v>0</v>
      </c>
      <c r="L440">
        <v>0</v>
      </c>
      <c r="M440">
        <v>8000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7500</v>
      </c>
      <c r="T440">
        <v>0</v>
      </c>
      <c r="U440">
        <v>4.5</v>
      </c>
      <c r="V440">
        <v>4.5</v>
      </c>
      <c r="W440">
        <v>0</v>
      </c>
      <c r="X440">
        <v>3</v>
      </c>
      <c r="Y440">
        <v>0</v>
      </c>
      <c r="Z440" cm="1">
        <f t="array" ref="Z440">MMULT($G440:$Y440,'Nelson Factor_2019'!$B$1:$B$19)/$G440</f>
        <v>56.345157894736843</v>
      </c>
      <c r="AA440" cm="1">
        <f t="array" ref="AA440">MMULT($G440:$R440,'Nelson Factor_2019'!$B$1:$B$12)/$G440</f>
        <v>8.9</v>
      </c>
    </row>
    <row r="441" spans="1:27" x14ac:dyDescent="0.25">
      <c r="A441">
        <v>2008</v>
      </c>
      <c r="B441">
        <v>3</v>
      </c>
      <c r="C441">
        <v>2</v>
      </c>
      <c r="D441" t="s">
        <v>99</v>
      </c>
      <c r="E441" t="s">
        <v>102</v>
      </c>
      <c r="F441" t="s">
        <v>105</v>
      </c>
      <c r="G441">
        <v>35000</v>
      </c>
      <c r="H441">
        <v>15000</v>
      </c>
      <c r="I441">
        <v>0</v>
      </c>
      <c r="J441">
        <v>0</v>
      </c>
      <c r="K441">
        <v>0</v>
      </c>
      <c r="L441">
        <v>10000</v>
      </c>
      <c r="M441">
        <v>8500</v>
      </c>
      <c r="N441">
        <v>24000</v>
      </c>
      <c r="O441">
        <v>0</v>
      </c>
      <c r="P441">
        <v>0</v>
      </c>
      <c r="Q441">
        <v>0</v>
      </c>
      <c r="R441">
        <v>0</v>
      </c>
      <c r="S441">
        <v>8000</v>
      </c>
      <c r="T441">
        <v>0</v>
      </c>
      <c r="U441">
        <v>6.1</v>
      </c>
      <c r="V441">
        <v>6.1</v>
      </c>
      <c r="W441">
        <v>0</v>
      </c>
      <c r="X441">
        <v>15</v>
      </c>
      <c r="Y441">
        <v>0</v>
      </c>
      <c r="Z441" cm="1">
        <f t="array" ref="Z441">MMULT($G441:$Y441,'Nelson Factor_2019'!$B$1:$B$19)/$G441</f>
        <v>20.460348571428572</v>
      </c>
      <c r="AA441" cm="1">
        <f t="array" ref="AA441">MMULT($G441:$R441,'Nelson Factor_2019'!$B$1:$B$12)/$G441</f>
        <v>6.6428571428571432</v>
      </c>
    </row>
    <row r="442" spans="1:27" x14ac:dyDescent="0.25">
      <c r="A442">
        <v>2008</v>
      </c>
      <c r="B442">
        <v>3</v>
      </c>
      <c r="C442">
        <v>6</v>
      </c>
      <c r="D442" t="s">
        <v>99</v>
      </c>
      <c r="E442" t="s">
        <v>233</v>
      </c>
      <c r="F442" t="s">
        <v>110</v>
      </c>
      <c r="G442">
        <v>192500</v>
      </c>
      <c r="H442">
        <v>112000</v>
      </c>
      <c r="I442">
        <v>38000</v>
      </c>
      <c r="J442">
        <v>0</v>
      </c>
      <c r="K442">
        <v>68000</v>
      </c>
      <c r="L442">
        <v>47000</v>
      </c>
      <c r="M442">
        <v>18500</v>
      </c>
      <c r="N442">
        <v>172500</v>
      </c>
      <c r="O442">
        <v>12500</v>
      </c>
      <c r="P442">
        <v>0</v>
      </c>
      <c r="Q442">
        <v>10000</v>
      </c>
      <c r="R442">
        <v>10000</v>
      </c>
      <c r="S442">
        <v>0</v>
      </c>
      <c r="T442">
        <v>0</v>
      </c>
      <c r="U442">
        <v>0</v>
      </c>
      <c r="V442">
        <v>0</v>
      </c>
      <c r="W442">
        <v>2050</v>
      </c>
      <c r="X442">
        <v>920</v>
      </c>
      <c r="Y442">
        <v>0</v>
      </c>
      <c r="Z442" cm="1">
        <f t="array" ref="Z442">MMULT($G442:$Y442,'Nelson Factor_2019'!$B$1:$B$19)/$G442</f>
        <v>12.577402597402598</v>
      </c>
      <c r="AA442" cm="1">
        <f t="array" ref="AA442">MMULT($G442:$R442,'Nelson Factor_2019'!$B$1:$B$12)/$G442</f>
        <v>11.430389610389611</v>
      </c>
    </row>
    <row r="443" spans="1:27" x14ac:dyDescent="0.25">
      <c r="A443">
        <v>2008</v>
      </c>
      <c r="B443">
        <v>3</v>
      </c>
      <c r="C443">
        <v>0</v>
      </c>
      <c r="D443" t="s">
        <v>99</v>
      </c>
      <c r="E443" t="s">
        <v>106</v>
      </c>
      <c r="F443" t="s">
        <v>101</v>
      </c>
      <c r="G443">
        <v>0</v>
      </c>
      <c r="H443">
        <v>36100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8550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 cm="1">
        <f t="array" ref="Z443">MMULT($G443:$Y443,'Nelson Factor_2019'!$B$1:$B$19)/$H443</f>
        <v>15.510526315789473</v>
      </c>
      <c r="AA443" cm="1">
        <f t="array" ref="AA443">MMULT($G443:$R443,'Nelson Factor_2019'!$B$1:$B$12)/$H443</f>
        <v>1.3</v>
      </c>
    </row>
    <row r="444" spans="1:27" x14ac:dyDescent="0.25">
      <c r="A444">
        <v>2008</v>
      </c>
      <c r="B444">
        <v>3</v>
      </c>
      <c r="C444">
        <v>6</v>
      </c>
      <c r="D444" t="s">
        <v>99</v>
      </c>
      <c r="E444" t="s">
        <v>79</v>
      </c>
      <c r="F444" t="s">
        <v>101</v>
      </c>
      <c r="G444">
        <v>440000</v>
      </c>
      <c r="H444">
        <v>79800</v>
      </c>
      <c r="I444">
        <v>88200</v>
      </c>
      <c r="J444">
        <v>0</v>
      </c>
      <c r="K444">
        <v>126000</v>
      </c>
      <c r="L444">
        <v>94500</v>
      </c>
      <c r="M444">
        <v>37800</v>
      </c>
      <c r="N444">
        <v>233100</v>
      </c>
      <c r="O444">
        <v>20700</v>
      </c>
      <c r="P444">
        <v>0</v>
      </c>
      <c r="Q444">
        <v>13500</v>
      </c>
      <c r="R444">
        <v>28800</v>
      </c>
      <c r="S444">
        <v>9900</v>
      </c>
      <c r="T444">
        <v>3150</v>
      </c>
      <c r="U444">
        <v>47.7</v>
      </c>
      <c r="V444">
        <v>10.8</v>
      </c>
      <c r="W444">
        <v>3870</v>
      </c>
      <c r="X444">
        <v>567</v>
      </c>
      <c r="Y444">
        <v>0</v>
      </c>
      <c r="Z444" cm="1">
        <f t="array" ref="Z444">MMULT($G444:$Y444,'Nelson Factor_2019'!$B$1:$B$19)/$G444</f>
        <v>10.554382954545455</v>
      </c>
      <c r="AA444" cm="1">
        <f t="array" ref="AA444">MMULT($G444:$R444,'Nelson Factor_2019'!$B$1:$B$12)/$G444</f>
        <v>8.823386363636363</v>
      </c>
    </row>
    <row r="445" spans="1:27" x14ac:dyDescent="0.25">
      <c r="A445">
        <v>2008</v>
      </c>
      <c r="B445">
        <v>3</v>
      </c>
      <c r="C445">
        <v>4</v>
      </c>
      <c r="D445" t="s">
        <v>99</v>
      </c>
      <c r="E445" t="s">
        <v>51</v>
      </c>
      <c r="F445" t="s">
        <v>107</v>
      </c>
      <c r="G445">
        <v>247000</v>
      </c>
      <c r="H445">
        <v>92000</v>
      </c>
      <c r="I445">
        <v>25200</v>
      </c>
      <c r="J445">
        <v>0</v>
      </c>
      <c r="K445">
        <v>104000</v>
      </c>
      <c r="L445">
        <v>42000</v>
      </c>
      <c r="M445">
        <v>0</v>
      </c>
      <c r="N445">
        <v>197400</v>
      </c>
      <c r="O445">
        <v>38000</v>
      </c>
      <c r="P445">
        <v>0</v>
      </c>
      <c r="Q445">
        <v>31800</v>
      </c>
      <c r="R445">
        <v>0</v>
      </c>
      <c r="S445">
        <v>0</v>
      </c>
      <c r="T445">
        <v>0</v>
      </c>
      <c r="U445">
        <v>0</v>
      </c>
      <c r="V445">
        <v>10.4</v>
      </c>
      <c r="W445">
        <v>800</v>
      </c>
      <c r="X445">
        <v>70</v>
      </c>
      <c r="Y445">
        <v>0</v>
      </c>
      <c r="Z445" cm="1">
        <f t="array" ref="Z445">MMULT($G445:$Y445,'Nelson Factor_2019'!$B$1:$B$19)/$G445</f>
        <v>11.805305263157894</v>
      </c>
      <c r="AA445" cm="1">
        <f t="array" ref="AA445">MMULT($G445:$R445,'Nelson Factor_2019'!$B$1:$B$12)/$G445</f>
        <v>11.737246963562754</v>
      </c>
    </row>
    <row r="446" spans="1:27" x14ac:dyDescent="0.25">
      <c r="A446">
        <v>2008</v>
      </c>
      <c r="B446">
        <v>3</v>
      </c>
      <c r="C446">
        <v>6</v>
      </c>
      <c r="D446" t="s">
        <v>99</v>
      </c>
      <c r="E446" t="s">
        <v>51</v>
      </c>
      <c r="F446" t="s">
        <v>108</v>
      </c>
      <c r="G446">
        <v>239000</v>
      </c>
      <c r="H446">
        <v>106200</v>
      </c>
      <c r="I446">
        <v>60840</v>
      </c>
      <c r="J446">
        <v>0</v>
      </c>
      <c r="K446">
        <v>46350</v>
      </c>
      <c r="L446">
        <v>44325</v>
      </c>
      <c r="M446">
        <v>34200</v>
      </c>
      <c r="N446">
        <v>220000</v>
      </c>
      <c r="O446">
        <v>7200</v>
      </c>
      <c r="P446">
        <v>540</v>
      </c>
      <c r="Q446">
        <v>0</v>
      </c>
      <c r="R446">
        <v>0</v>
      </c>
      <c r="S446">
        <v>0</v>
      </c>
      <c r="T446">
        <v>0</v>
      </c>
      <c r="U446">
        <v>15</v>
      </c>
      <c r="V446">
        <v>112</v>
      </c>
      <c r="W446">
        <v>3600</v>
      </c>
      <c r="X446">
        <v>350</v>
      </c>
      <c r="Y446">
        <v>0</v>
      </c>
      <c r="Z446" cm="1">
        <f t="array" ref="Z446">MMULT($G446:$Y446,'Nelson Factor_2019'!$B$1:$B$19)/$G446</f>
        <v>9.6996317991631802</v>
      </c>
      <c r="AA446" cm="1">
        <f t="array" ref="AA446">MMULT($G446:$R446,'Nelson Factor_2019'!$B$1:$B$12)/$G446</f>
        <v>9.3476359832635989</v>
      </c>
    </row>
    <row r="447" spans="1:27" x14ac:dyDescent="0.25">
      <c r="A447">
        <v>2008</v>
      </c>
      <c r="B447">
        <v>3</v>
      </c>
      <c r="C447">
        <v>6</v>
      </c>
      <c r="D447" t="s">
        <v>99</v>
      </c>
      <c r="E447" t="s">
        <v>54</v>
      </c>
      <c r="F447" t="s">
        <v>109</v>
      </c>
      <c r="G447">
        <v>503000</v>
      </c>
      <c r="H447">
        <v>231500</v>
      </c>
      <c r="I447">
        <v>114000</v>
      </c>
      <c r="J447">
        <v>0</v>
      </c>
      <c r="K447">
        <v>229000</v>
      </c>
      <c r="L447">
        <v>75500</v>
      </c>
      <c r="M447">
        <v>26500</v>
      </c>
      <c r="N447">
        <v>451500</v>
      </c>
      <c r="O447">
        <v>38500</v>
      </c>
      <c r="P447">
        <v>9500</v>
      </c>
      <c r="Q447">
        <v>0</v>
      </c>
      <c r="R447">
        <v>0</v>
      </c>
      <c r="S447">
        <v>16000</v>
      </c>
      <c r="T447">
        <v>0</v>
      </c>
      <c r="U447">
        <v>0</v>
      </c>
      <c r="V447">
        <v>12</v>
      </c>
      <c r="W447">
        <v>5430</v>
      </c>
      <c r="X447">
        <v>690</v>
      </c>
      <c r="Y447">
        <v>0</v>
      </c>
      <c r="Z447" cm="1">
        <f t="array" ref="Z447">MMULT($G447:$Y447,'Nelson Factor_2019'!$B$1:$B$19)/$G447</f>
        <v>12.637797216699802</v>
      </c>
      <c r="AA447" cm="1">
        <f t="array" ref="AA447">MMULT($G447:$R447,'Nelson Factor_2019'!$B$1:$B$12)/$G447</f>
        <v>10.4</v>
      </c>
    </row>
    <row r="448" spans="1:27" x14ac:dyDescent="0.25">
      <c r="A448">
        <v>2008</v>
      </c>
      <c r="B448">
        <v>3</v>
      </c>
      <c r="C448">
        <v>4</v>
      </c>
      <c r="D448" t="s">
        <v>99</v>
      </c>
      <c r="E448" t="s">
        <v>232</v>
      </c>
      <c r="F448" t="s">
        <v>111</v>
      </c>
      <c r="G448">
        <v>245000</v>
      </c>
      <c r="H448">
        <v>127300</v>
      </c>
      <c r="I448">
        <v>38000</v>
      </c>
      <c r="J448">
        <v>0</v>
      </c>
      <c r="K448">
        <v>124500</v>
      </c>
      <c r="L448">
        <v>46100</v>
      </c>
      <c r="M448">
        <v>0</v>
      </c>
      <c r="N448">
        <v>333500</v>
      </c>
      <c r="O448">
        <v>26600</v>
      </c>
      <c r="P448">
        <v>0</v>
      </c>
      <c r="Q448">
        <v>0</v>
      </c>
      <c r="R448">
        <v>40900</v>
      </c>
      <c r="S448">
        <v>0</v>
      </c>
      <c r="T448">
        <v>0</v>
      </c>
      <c r="U448">
        <v>0</v>
      </c>
      <c r="V448">
        <v>0</v>
      </c>
      <c r="W448">
        <v>2368</v>
      </c>
      <c r="X448">
        <v>686</v>
      </c>
      <c r="Y448">
        <v>28500</v>
      </c>
      <c r="Z448" cm="1">
        <f t="array" ref="Z448">MMULT($G448:$Y448,'Nelson Factor_2019'!$B$1:$B$19)/$G448</f>
        <v>12.66461224489796</v>
      </c>
      <c r="AA448" cm="1">
        <f t="array" ref="AA448">MMULT($G448:$R448,'Nelson Factor_2019'!$B$1:$B$12)/$G448</f>
        <v>11.818122448979592</v>
      </c>
    </row>
    <row r="449" spans="1:27" x14ac:dyDescent="0.25">
      <c r="A449">
        <v>2008</v>
      </c>
      <c r="B449">
        <v>3</v>
      </c>
      <c r="C449">
        <v>3</v>
      </c>
      <c r="D449" t="s">
        <v>99</v>
      </c>
      <c r="E449" t="s">
        <v>112</v>
      </c>
      <c r="F449" t="s">
        <v>113</v>
      </c>
      <c r="G449">
        <v>235000</v>
      </c>
      <c r="H449">
        <v>104000</v>
      </c>
      <c r="I449">
        <v>0</v>
      </c>
      <c r="J449">
        <v>12520</v>
      </c>
      <c r="K449">
        <v>86000</v>
      </c>
      <c r="L449">
        <v>36000</v>
      </c>
      <c r="M449">
        <v>51780</v>
      </c>
      <c r="N449">
        <v>216000</v>
      </c>
      <c r="O449">
        <v>14000</v>
      </c>
      <c r="P449">
        <v>4000</v>
      </c>
      <c r="Q449">
        <v>0</v>
      </c>
      <c r="R449">
        <v>12000</v>
      </c>
      <c r="S449">
        <v>0</v>
      </c>
      <c r="T449">
        <v>0</v>
      </c>
      <c r="U449">
        <v>58</v>
      </c>
      <c r="V449">
        <v>0</v>
      </c>
      <c r="W449">
        <v>0</v>
      </c>
      <c r="X449">
        <v>640</v>
      </c>
      <c r="Y449">
        <v>0</v>
      </c>
      <c r="Z449" cm="1">
        <f t="array" ref="Z449">MMULT($G449:$Y449,'Nelson Factor_2019'!$B$1:$B$19)/$G449</f>
        <v>10.317140425531916</v>
      </c>
      <c r="AA449" cm="1">
        <f t="array" ref="AA449">MMULT($G449:$R449,'Nelson Factor_2019'!$B$1:$B$12)/$G449</f>
        <v>9.66327659574468</v>
      </c>
    </row>
    <row r="450" spans="1:27" x14ac:dyDescent="0.25">
      <c r="A450">
        <v>2008</v>
      </c>
      <c r="B450">
        <v>3</v>
      </c>
      <c r="C450">
        <v>6</v>
      </c>
      <c r="D450" t="s">
        <v>99</v>
      </c>
      <c r="E450" t="s">
        <v>112</v>
      </c>
      <c r="F450" t="s">
        <v>114</v>
      </c>
      <c r="G450">
        <v>220000</v>
      </c>
      <c r="H450">
        <v>78000</v>
      </c>
      <c r="I450">
        <v>21380</v>
      </c>
      <c r="J450">
        <v>0</v>
      </c>
      <c r="K450">
        <v>107000</v>
      </c>
      <c r="L450">
        <v>20000</v>
      </c>
      <c r="M450">
        <v>31000</v>
      </c>
      <c r="N450">
        <v>123500</v>
      </c>
      <c r="O450">
        <v>14000</v>
      </c>
      <c r="P450">
        <v>7780</v>
      </c>
      <c r="Q450">
        <v>0</v>
      </c>
      <c r="R450">
        <v>0</v>
      </c>
      <c r="S450">
        <v>0</v>
      </c>
      <c r="T450">
        <v>8000</v>
      </c>
      <c r="U450">
        <v>50</v>
      </c>
      <c r="V450">
        <v>0</v>
      </c>
      <c r="W450">
        <v>1020</v>
      </c>
      <c r="X450">
        <v>140</v>
      </c>
      <c r="Y450">
        <v>0</v>
      </c>
      <c r="Z450" cm="1">
        <f t="array" ref="Z450">MMULT($G450:$Y450,'Nelson Factor_2019'!$B$1:$B$19)/$G450</f>
        <v>9.5997727272727271</v>
      </c>
      <c r="AA450" cm="1">
        <f t="array" ref="AA450">MMULT($G450:$R450,'Nelson Factor_2019'!$B$1:$B$12)/$G450</f>
        <v>9.0831818181818189</v>
      </c>
    </row>
    <row r="451" spans="1:27" x14ac:dyDescent="0.25">
      <c r="A451">
        <v>2008</v>
      </c>
      <c r="B451">
        <v>3</v>
      </c>
      <c r="C451">
        <v>1</v>
      </c>
      <c r="D451" t="s">
        <v>99</v>
      </c>
      <c r="E451" t="s">
        <v>115</v>
      </c>
      <c r="F451" t="s">
        <v>116</v>
      </c>
      <c r="G451">
        <v>125000</v>
      </c>
      <c r="H451">
        <v>50000</v>
      </c>
      <c r="I451">
        <v>0</v>
      </c>
      <c r="J451">
        <v>0</v>
      </c>
      <c r="K451">
        <v>37000</v>
      </c>
      <c r="L451">
        <v>0</v>
      </c>
      <c r="M451">
        <v>0</v>
      </c>
      <c r="N451">
        <v>123750</v>
      </c>
      <c r="O451">
        <v>8500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1800</v>
      </c>
      <c r="Y451">
        <v>0</v>
      </c>
      <c r="Z451" cm="1">
        <f t="array" ref="Z451">MMULT($G451:$Y451,'Nelson Factor_2019'!$B$1:$B$19)/$G451</f>
        <v>9.907</v>
      </c>
      <c r="AA451" cm="1">
        <f t="array" ref="AA451">MMULT($G451:$R451,'Nelson Factor_2019'!$B$1:$B$12)/$G451</f>
        <v>6.4509999999999996</v>
      </c>
    </row>
    <row r="452" spans="1:27" x14ac:dyDescent="0.25">
      <c r="A452">
        <v>2008</v>
      </c>
      <c r="B452">
        <v>3</v>
      </c>
      <c r="C452">
        <v>1</v>
      </c>
      <c r="D452" t="s">
        <v>99</v>
      </c>
      <c r="E452" t="s">
        <v>117</v>
      </c>
      <c r="F452" t="s">
        <v>118</v>
      </c>
      <c r="G452">
        <v>55100</v>
      </c>
      <c r="H452">
        <v>20900</v>
      </c>
      <c r="I452">
        <v>0</v>
      </c>
      <c r="J452">
        <v>0</v>
      </c>
      <c r="K452">
        <v>18000</v>
      </c>
      <c r="L452">
        <v>9900</v>
      </c>
      <c r="M452">
        <v>0</v>
      </c>
      <c r="N452">
        <v>26100</v>
      </c>
      <c r="O452">
        <v>3600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28</v>
      </c>
      <c r="Y452">
        <v>0</v>
      </c>
      <c r="Z452" cm="1">
        <f t="array" ref="Z452">MMULT($G452:$Y452,'Nelson Factor_2019'!$B$1:$B$19)/$G452</f>
        <v>6.311070780399274</v>
      </c>
      <c r="AA452" cm="1">
        <f t="array" ref="AA452">MMULT($G452:$R452,'Nelson Factor_2019'!$B$1:$B$12)/$G452</f>
        <v>6.1891107078039926</v>
      </c>
    </row>
    <row r="453" spans="1:27" x14ac:dyDescent="0.25">
      <c r="A453">
        <v>2008</v>
      </c>
      <c r="B453">
        <v>3</v>
      </c>
      <c r="C453">
        <v>0</v>
      </c>
      <c r="D453" t="s">
        <v>99</v>
      </c>
      <c r="E453" t="s">
        <v>27</v>
      </c>
      <c r="F453" t="s">
        <v>119</v>
      </c>
      <c r="G453">
        <v>55000</v>
      </c>
      <c r="H453">
        <v>28000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 cm="1">
        <f t="array" ref="Z453">MMULT($G453:$Y453,'Nelson Factor_2019'!$B$1:$B$19)/$G453</f>
        <v>1.6618181818181819</v>
      </c>
      <c r="AA453" cm="1">
        <f t="array" ref="AA453">MMULT($G453:$R453,'Nelson Factor_2019'!$B$1:$B$12)/$G453</f>
        <v>1.6618181818181819</v>
      </c>
    </row>
    <row r="454" spans="1:27" x14ac:dyDescent="0.25">
      <c r="A454">
        <v>2008</v>
      </c>
      <c r="B454">
        <v>3</v>
      </c>
      <c r="C454">
        <v>1</v>
      </c>
      <c r="D454" t="s">
        <v>99</v>
      </c>
      <c r="E454" t="s">
        <v>66</v>
      </c>
      <c r="F454" t="s">
        <v>120</v>
      </c>
      <c r="G454">
        <v>83000</v>
      </c>
      <c r="H454">
        <v>36000</v>
      </c>
      <c r="I454">
        <v>0</v>
      </c>
      <c r="J454">
        <v>0</v>
      </c>
      <c r="K454">
        <v>33000</v>
      </c>
      <c r="L454">
        <v>12000</v>
      </c>
      <c r="M454">
        <v>0</v>
      </c>
      <c r="N454">
        <v>18500</v>
      </c>
      <c r="O454">
        <v>0</v>
      </c>
      <c r="P454">
        <v>2100</v>
      </c>
      <c r="Q454">
        <v>0</v>
      </c>
      <c r="R454">
        <v>4500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 cm="1">
        <f t="array" ref="Z454">MMULT($G454:$Y454,'Nelson Factor_2019'!$B$1:$B$19)/$G454</f>
        <v>5.645180722891566</v>
      </c>
      <c r="AA454" cm="1">
        <f t="array" ref="AA454">MMULT($G454:$R454,'Nelson Factor_2019'!$B$1:$B$12)/$G454</f>
        <v>5.645180722891566</v>
      </c>
    </row>
    <row r="455" spans="1:27" x14ac:dyDescent="0.25">
      <c r="A455">
        <v>2008</v>
      </c>
      <c r="B455">
        <v>3</v>
      </c>
      <c r="C455">
        <v>4</v>
      </c>
      <c r="D455" t="s">
        <v>99</v>
      </c>
      <c r="E455" t="s">
        <v>66</v>
      </c>
      <c r="F455" t="s">
        <v>114</v>
      </c>
      <c r="G455">
        <v>186000</v>
      </c>
      <c r="H455">
        <v>200000</v>
      </c>
      <c r="I455">
        <v>70400</v>
      </c>
      <c r="J455">
        <v>0</v>
      </c>
      <c r="K455">
        <v>100000</v>
      </c>
      <c r="L455">
        <v>25000</v>
      </c>
      <c r="M455">
        <v>0</v>
      </c>
      <c r="N455">
        <v>131100</v>
      </c>
      <c r="O455">
        <v>19000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4500</v>
      </c>
      <c r="X455">
        <v>450</v>
      </c>
      <c r="Y455">
        <v>0</v>
      </c>
      <c r="Z455" cm="1">
        <f t="array" ref="Z455">MMULT($G455:$Y455,'Nelson Factor_2019'!$B$1:$B$19)/$G455</f>
        <v>12.498655913978494</v>
      </c>
      <c r="AA455" cm="1">
        <f t="array" ref="AA455">MMULT($G455:$R455,'Nelson Factor_2019'!$B$1:$B$12)/$G455</f>
        <v>11.918010752688172</v>
      </c>
    </row>
    <row r="456" spans="1:27" x14ac:dyDescent="0.25">
      <c r="A456">
        <v>2008</v>
      </c>
      <c r="B456">
        <v>2</v>
      </c>
      <c r="C456">
        <v>1</v>
      </c>
      <c r="D456" t="s">
        <v>121</v>
      </c>
      <c r="E456" t="s">
        <v>234</v>
      </c>
      <c r="F456" t="s">
        <v>122</v>
      </c>
      <c r="G456">
        <v>100000</v>
      </c>
      <c r="H456">
        <v>48500</v>
      </c>
      <c r="I456">
        <v>0</v>
      </c>
      <c r="J456">
        <v>0</v>
      </c>
      <c r="K456">
        <v>29500</v>
      </c>
      <c r="L456">
        <v>18100</v>
      </c>
      <c r="M456">
        <v>0</v>
      </c>
      <c r="N456">
        <v>95900</v>
      </c>
      <c r="O456">
        <v>4700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132</v>
      </c>
      <c r="Y456">
        <v>21900</v>
      </c>
      <c r="Z456" cm="1">
        <f t="array" ref="Z456">MMULT($G456:$Y456,'Nelson Factor_2019'!$B$1:$B$19)/$G456</f>
        <v>7.8182999999999998</v>
      </c>
      <c r="AA456" cm="1">
        <f t="array" ref="AA456">MMULT($G456:$R456,'Nelson Factor_2019'!$B$1:$B$12)/$G456</f>
        <v>7.173</v>
      </c>
    </row>
    <row r="457" spans="1:27" x14ac:dyDescent="0.25">
      <c r="A457">
        <v>2008</v>
      </c>
      <c r="B457">
        <v>2</v>
      </c>
      <c r="C457">
        <v>6</v>
      </c>
      <c r="D457" t="s">
        <v>123</v>
      </c>
      <c r="E457" t="s">
        <v>35</v>
      </c>
      <c r="F457" t="s">
        <v>124</v>
      </c>
      <c r="G457">
        <v>323000</v>
      </c>
      <c r="H457">
        <v>185250</v>
      </c>
      <c r="I457">
        <v>63720</v>
      </c>
      <c r="J457">
        <v>0</v>
      </c>
      <c r="K457">
        <v>77850</v>
      </c>
      <c r="L457">
        <v>46170</v>
      </c>
      <c r="M457">
        <v>36000</v>
      </c>
      <c r="N457">
        <v>287550</v>
      </c>
      <c r="O457">
        <v>11250</v>
      </c>
      <c r="P457">
        <v>4140</v>
      </c>
      <c r="Q457">
        <v>0</v>
      </c>
      <c r="R457">
        <v>16200</v>
      </c>
      <c r="S457">
        <v>0</v>
      </c>
      <c r="T457">
        <v>0</v>
      </c>
      <c r="U457">
        <v>175</v>
      </c>
      <c r="V457">
        <v>10</v>
      </c>
      <c r="W457">
        <v>4100</v>
      </c>
      <c r="X457">
        <v>899</v>
      </c>
      <c r="Y457">
        <v>40500</v>
      </c>
      <c r="Z457" cm="1">
        <f t="array" ref="Z457">MMULT($G457:$Y457,'Nelson Factor_2019'!$B$1:$B$19)/$G457</f>
        <v>9.9868266253869962</v>
      </c>
      <c r="AA457" cm="1">
        <f t="array" ref="AA457">MMULT($G457:$R457,'Nelson Factor_2019'!$B$1:$B$12)/$G457</f>
        <v>9.1301857585139317</v>
      </c>
    </row>
    <row r="458" spans="1:27" x14ac:dyDescent="0.25">
      <c r="A458">
        <v>2008</v>
      </c>
      <c r="B458">
        <v>2</v>
      </c>
      <c r="C458">
        <v>1</v>
      </c>
      <c r="D458" t="s">
        <v>123</v>
      </c>
      <c r="E458" t="s">
        <v>234</v>
      </c>
      <c r="F458" t="s">
        <v>125</v>
      </c>
      <c r="G458">
        <v>70000</v>
      </c>
      <c r="H458">
        <v>30400</v>
      </c>
      <c r="I458">
        <v>0</v>
      </c>
      <c r="J458">
        <v>0</v>
      </c>
      <c r="K458">
        <v>25200</v>
      </c>
      <c r="L458">
        <v>19500</v>
      </c>
      <c r="M458">
        <v>0</v>
      </c>
      <c r="N458">
        <v>73300</v>
      </c>
      <c r="O458">
        <v>5200</v>
      </c>
      <c r="P458">
        <v>0</v>
      </c>
      <c r="Q458">
        <v>0</v>
      </c>
      <c r="R458">
        <v>9500</v>
      </c>
      <c r="S458">
        <v>0</v>
      </c>
      <c r="T458">
        <v>0</v>
      </c>
      <c r="U458">
        <v>9</v>
      </c>
      <c r="V458">
        <v>0</v>
      </c>
      <c r="W458">
        <v>0</v>
      </c>
      <c r="X458">
        <v>111</v>
      </c>
      <c r="Y458">
        <v>12400</v>
      </c>
      <c r="Z458" cm="1">
        <f t="array" ref="Z458">MMULT($G458:$Y458,'Nelson Factor_2019'!$B$1:$B$19)/$G458</f>
        <v>9.5317000000000007</v>
      </c>
      <c r="AA458" cm="1">
        <f t="array" ref="AA458">MMULT($G458:$R458,'Nelson Factor_2019'!$B$1:$B$12)/$G458</f>
        <v>8.8852857142857147</v>
      </c>
    </row>
    <row r="459" spans="1:27" x14ac:dyDescent="0.25">
      <c r="A459">
        <v>2008</v>
      </c>
      <c r="B459">
        <v>3</v>
      </c>
      <c r="C459">
        <v>6</v>
      </c>
      <c r="D459" t="s">
        <v>126</v>
      </c>
      <c r="E459" t="s">
        <v>227</v>
      </c>
      <c r="F459" t="s">
        <v>127</v>
      </c>
      <c r="G459">
        <v>330000</v>
      </c>
      <c r="H459">
        <v>240000</v>
      </c>
      <c r="I459">
        <v>98000</v>
      </c>
      <c r="J459">
        <v>0</v>
      </c>
      <c r="K459">
        <v>78000</v>
      </c>
      <c r="L459">
        <v>71000</v>
      </c>
      <c r="M459">
        <v>58000</v>
      </c>
      <c r="N459">
        <v>238500</v>
      </c>
      <c r="O459">
        <v>14800</v>
      </c>
      <c r="P459">
        <v>2100</v>
      </c>
      <c r="Q459">
        <v>19000</v>
      </c>
      <c r="R459">
        <v>0</v>
      </c>
      <c r="S459">
        <v>0</v>
      </c>
      <c r="T459">
        <v>0</v>
      </c>
      <c r="U459">
        <v>205</v>
      </c>
      <c r="V459">
        <v>0</v>
      </c>
      <c r="W459">
        <v>6440</v>
      </c>
      <c r="X459">
        <v>1067</v>
      </c>
      <c r="Y459">
        <v>0</v>
      </c>
      <c r="Z459" cm="1">
        <f t="array" ref="Z459">MMULT($G459:$Y459,'Nelson Factor_2019'!$B$1:$B$19)/$G459</f>
        <v>12.31980303030303</v>
      </c>
      <c r="AA459" cm="1">
        <f t="array" ref="AA459">MMULT($G459:$R459,'Nelson Factor_2019'!$B$1:$B$12)/$G459</f>
        <v>11.543181818181818</v>
      </c>
    </row>
    <row r="460" spans="1:27" x14ac:dyDescent="0.25">
      <c r="A460">
        <v>2008</v>
      </c>
      <c r="B460">
        <v>3</v>
      </c>
      <c r="C460">
        <v>0</v>
      </c>
      <c r="D460" t="s">
        <v>126</v>
      </c>
      <c r="E460" t="s">
        <v>128</v>
      </c>
      <c r="F460" t="s">
        <v>129</v>
      </c>
      <c r="G460">
        <v>23000</v>
      </c>
      <c r="H460">
        <v>10200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12000</v>
      </c>
      <c r="O460">
        <v>0</v>
      </c>
      <c r="P460">
        <v>0</v>
      </c>
      <c r="Q460">
        <v>0</v>
      </c>
      <c r="R460">
        <v>0</v>
      </c>
      <c r="S460">
        <v>11300</v>
      </c>
      <c r="T460">
        <v>0</v>
      </c>
      <c r="U460">
        <v>7.7</v>
      </c>
      <c r="V460">
        <v>0</v>
      </c>
      <c r="W460">
        <v>0</v>
      </c>
      <c r="X460">
        <v>0</v>
      </c>
      <c r="Y460">
        <v>9600</v>
      </c>
      <c r="Z460" cm="1">
        <f t="array" ref="Z460">MMULT($G460:$Y460,'Nelson Factor_2019'!$B$1:$B$19)/$G460</f>
        <v>32.985552173913042</v>
      </c>
      <c r="AA460" cm="1">
        <f t="array" ref="AA460">MMULT($G460:$R460,'Nelson Factor_2019'!$B$1:$B$12)/$G460</f>
        <v>2.8808695652173912</v>
      </c>
    </row>
    <row r="461" spans="1:27" x14ac:dyDescent="0.25">
      <c r="A461">
        <v>2008</v>
      </c>
      <c r="B461">
        <v>4</v>
      </c>
      <c r="C461">
        <v>1</v>
      </c>
      <c r="D461" t="s">
        <v>130</v>
      </c>
      <c r="E461" t="s">
        <v>235</v>
      </c>
      <c r="F461" t="s">
        <v>132</v>
      </c>
      <c r="G461">
        <v>59600</v>
      </c>
      <c r="H461">
        <v>31300</v>
      </c>
      <c r="I461">
        <v>0</v>
      </c>
      <c r="J461">
        <v>0</v>
      </c>
      <c r="K461">
        <v>14000</v>
      </c>
      <c r="L461">
        <v>12500</v>
      </c>
      <c r="M461">
        <v>0</v>
      </c>
      <c r="N461">
        <v>51600</v>
      </c>
      <c r="O461">
        <v>4300</v>
      </c>
      <c r="P461">
        <v>0</v>
      </c>
      <c r="Q461">
        <v>0</v>
      </c>
      <c r="R461">
        <v>2500</v>
      </c>
      <c r="S461">
        <v>0</v>
      </c>
      <c r="T461">
        <v>0</v>
      </c>
      <c r="U461">
        <v>21</v>
      </c>
      <c r="V461">
        <v>21</v>
      </c>
      <c r="W461">
        <v>0</v>
      </c>
      <c r="X461">
        <v>90</v>
      </c>
      <c r="Y461">
        <v>19000</v>
      </c>
      <c r="Z461" cm="1">
        <f t="array" ref="Z461">MMULT($G461:$Y461,'Nelson Factor_2019'!$B$1:$B$19)/$G461</f>
        <v>7.9938255033557049</v>
      </c>
      <c r="AA461" cm="1">
        <f t="array" ref="AA461">MMULT($G461:$R461,'Nelson Factor_2019'!$B$1:$B$12)/$G461</f>
        <v>7.1525167785234895</v>
      </c>
    </row>
    <row r="462" spans="1:27" x14ac:dyDescent="0.25">
      <c r="A462">
        <v>2008</v>
      </c>
      <c r="B462">
        <v>4</v>
      </c>
      <c r="C462">
        <v>4</v>
      </c>
      <c r="D462" t="s">
        <v>130</v>
      </c>
      <c r="E462" t="s">
        <v>51</v>
      </c>
      <c r="F462" t="s">
        <v>133</v>
      </c>
      <c r="G462">
        <v>58000</v>
      </c>
      <c r="H462">
        <v>34000</v>
      </c>
      <c r="I462">
        <v>19000</v>
      </c>
      <c r="J462">
        <v>0</v>
      </c>
      <c r="K462">
        <v>19400</v>
      </c>
      <c r="L462">
        <v>12200</v>
      </c>
      <c r="M462">
        <v>0</v>
      </c>
      <c r="N462">
        <v>71000</v>
      </c>
      <c r="O462">
        <v>6800</v>
      </c>
      <c r="P462">
        <v>0</v>
      </c>
      <c r="Q462">
        <v>0</v>
      </c>
      <c r="R462">
        <v>3600</v>
      </c>
      <c r="S462">
        <v>0</v>
      </c>
      <c r="T462">
        <v>0</v>
      </c>
      <c r="U462">
        <v>32.799999999999997</v>
      </c>
      <c r="V462">
        <v>61.599999999999994</v>
      </c>
      <c r="W462">
        <v>1020</v>
      </c>
      <c r="X462">
        <v>224</v>
      </c>
      <c r="Y462">
        <v>0</v>
      </c>
      <c r="Z462" cm="1">
        <f t="array" ref="Z462">MMULT($G462:$Y462,'Nelson Factor_2019'!$B$1:$B$19)/$G462</f>
        <v>12.625075862068966</v>
      </c>
      <c r="AA462" cm="1">
        <f t="array" ref="AA462">MMULT($G462:$R462,'Nelson Factor_2019'!$B$1:$B$12)/$G462</f>
        <v>11.696551724137931</v>
      </c>
    </row>
    <row r="463" spans="1:27" x14ac:dyDescent="0.25">
      <c r="A463">
        <v>2008</v>
      </c>
      <c r="B463">
        <v>4</v>
      </c>
      <c r="C463">
        <v>6</v>
      </c>
      <c r="D463" t="s">
        <v>130</v>
      </c>
      <c r="E463" t="s">
        <v>54</v>
      </c>
      <c r="F463" t="s">
        <v>133</v>
      </c>
      <c r="G463">
        <v>60000</v>
      </c>
      <c r="H463">
        <v>27500</v>
      </c>
      <c r="I463">
        <v>9500</v>
      </c>
      <c r="J463">
        <v>0</v>
      </c>
      <c r="K463">
        <v>22500</v>
      </c>
      <c r="L463">
        <v>12000</v>
      </c>
      <c r="M463">
        <v>5500</v>
      </c>
      <c r="N463">
        <v>63500</v>
      </c>
      <c r="O463">
        <v>4500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22</v>
      </c>
      <c r="V463">
        <v>4.5</v>
      </c>
      <c r="W463">
        <v>440</v>
      </c>
      <c r="X463">
        <v>0</v>
      </c>
      <c r="Y463">
        <v>13000</v>
      </c>
      <c r="Z463" cm="1">
        <f t="array" ref="Z463">MMULT($G463:$Y463,'Nelson Factor_2019'!$B$1:$B$19)/$G463</f>
        <v>10.487941666666666</v>
      </c>
      <c r="AA463" cm="1">
        <f t="array" ref="AA463">MMULT($G463:$R463,'Nelson Factor_2019'!$B$1:$B$12)/$G463</f>
        <v>10.1625</v>
      </c>
    </row>
    <row r="464" spans="1:27" x14ac:dyDescent="0.25">
      <c r="A464">
        <v>2008</v>
      </c>
      <c r="B464">
        <v>4</v>
      </c>
      <c r="C464">
        <v>1</v>
      </c>
      <c r="D464" t="s">
        <v>130</v>
      </c>
      <c r="E464" t="s">
        <v>134</v>
      </c>
      <c r="F464" t="s">
        <v>135</v>
      </c>
      <c r="G464">
        <v>9500</v>
      </c>
      <c r="H464">
        <v>5000</v>
      </c>
      <c r="I464">
        <v>0</v>
      </c>
      <c r="J464">
        <v>0</v>
      </c>
      <c r="K464">
        <v>2800</v>
      </c>
      <c r="L464">
        <v>1000</v>
      </c>
      <c r="M464">
        <v>0</v>
      </c>
      <c r="N464">
        <v>7100</v>
      </c>
      <c r="O464">
        <v>1000</v>
      </c>
      <c r="P464">
        <v>400</v>
      </c>
      <c r="Q464">
        <v>0</v>
      </c>
      <c r="R464">
        <v>700</v>
      </c>
      <c r="S464">
        <v>0</v>
      </c>
      <c r="T464">
        <v>0</v>
      </c>
      <c r="U464">
        <v>2</v>
      </c>
      <c r="V464">
        <v>0</v>
      </c>
      <c r="W464">
        <v>0</v>
      </c>
      <c r="X464">
        <v>0</v>
      </c>
      <c r="Y464">
        <v>3800</v>
      </c>
      <c r="Z464" cm="1">
        <f t="array" ref="Z464">MMULT($G464:$Y464,'Nelson Factor_2019'!$B$1:$B$19)/$G464</f>
        <v>8.1423157894736846</v>
      </c>
      <c r="AA464" cm="1">
        <f t="array" ref="AA464">MMULT($G464:$R464,'Nelson Factor_2019'!$B$1:$B$12)/$G464</f>
        <v>7.5421052631578949</v>
      </c>
    </row>
    <row r="465" spans="1:27" x14ac:dyDescent="0.25">
      <c r="A465">
        <v>2008</v>
      </c>
      <c r="B465">
        <v>1</v>
      </c>
      <c r="C465">
        <v>1</v>
      </c>
      <c r="D465" t="s">
        <v>136</v>
      </c>
      <c r="E465" t="s">
        <v>51</v>
      </c>
      <c r="F465" t="s">
        <v>137</v>
      </c>
      <c r="G465">
        <v>238000</v>
      </c>
      <c r="H465">
        <v>71250</v>
      </c>
      <c r="I465">
        <v>0</v>
      </c>
      <c r="J465">
        <v>0</v>
      </c>
      <c r="K465">
        <v>130500</v>
      </c>
      <c r="L465">
        <v>28800</v>
      </c>
      <c r="M465">
        <v>0</v>
      </c>
      <c r="N465">
        <v>198000</v>
      </c>
      <c r="O465">
        <v>15750</v>
      </c>
      <c r="P465">
        <v>0</v>
      </c>
      <c r="Q465">
        <v>0</v>
      </c>
      <c r="R465">
        <v>24525</v>
      </c>
      <c r="S465">
        <v>0</v>
      </c>
      <c r="T465">
        <v>0</v>
      </c>
      <c r="U465">
        <v>20</v>
      </c>
      <c r="V465">
        <v>14.5</v>
      </c>
      <c r="W465">
        <v>0</v>
      </c>
      <c r="X465">
        <v>306</v>
      </c>
      <c r="Y465">
        <v>0</v>
      </c>
      <c r="Z465" cm="1">
        <f t="array" ref="Z465">MMULT($G465:$Y465,'Nelson Factor_2019'!$B$1:$B$19)/$G465</f>
        <v>8.6435903361344533</v>
      </c>
      <c r="AA465" cm="1">
        <f t="array" ref="AA465">MMULT($G465:$R465,'Nelson Factor_2019'!$B$1:$B$12)/$G465</f>
        <v>8.3348739495798316</v>
      </c>
    </row>
    <row r="466" spans="1:27" x14ac:dyDescent="0.25">
      <c r="A466">
        <v>2008</v>
      </c>
      <c r="B466">
        <v>1</v>
      </c>
      <c r="C466">
        <v>1</v>
      </c>
      <c r="D466" t="s">
        <v>136</v>
      </c>
      <c r="E466" t="s">
        <v>138</v>
      </c>
      <c r="F466" t="s">
        <v>139</v>
      </c>
      <c r="G466">
        <v>150000</v>
      </c>
      <c r="H466">
        <v>47500</v>
      </c>
      <c r="I466">
        <v>0</v>
      </c>
      <c r="J466">
        <v>0</v>
      </c>
      <c r="K466">
        <v>55000</v>
      </c>
      <c r="L466">
        <v>28000</v>
      </c>
      <c r="M466">
        <v>0</v>
      </c>
      <c r="N466">
        <v>29000</v>
      </c>
      <c r="O466">
        <v>4000</v>
      </c>
      <c r="P466">
        <v>3300</v>
      </c>
      <c r="Q466">
        <v>17000</v>
      </c>
      <c r="R466">
        <v>10000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20</v>
      </c>
      <c r="Y466">
        <v>0</v>
      </c>
      <c r="Z466" cm="1">
        <f t="array" ref="Z466">MMULT($G466:$Y466,'Nelson Factor_2019'!$B$1:$B$19)/$G466</f>
        <v>8.0136666666666674</v>
      </c>
      <c r="AA466" cm="1">
        <f t="array" ref="AA466">MMULT($G466:$R466,'Nelson Factor_2019'!$B$1:$B$12)/$G466</f>
        <v>7.9816666666666665</v>
      </c>
    </row>
    <row r="467" spans="1:27" x14ac:dyDescent="0.25">
      <c r="A467">
        <v>2008</v>
      </c>
      <c r="B467">
        <v>1</v>
      </c>
      <c r="C467">
        <v>4</v>
      </c>
      <c r="D467" t="s">
        <v>136</v>
      </c>
      <c r="E467" t="s">
        <v>66</v>
      </c>
      <c r="F467" t="s">
        <v>140</v>
      </c>
      <c r="G467">
        <v>166000</v>
      </c>
      <c r="H467">
        <v>90000</v>
      </c>
      <c r="I467">
        <v>27000</v>
      </c>
      <c r="J467">
        <v>0</v>
      </c>
      <c r="K467">
        <v>55000</v>
      </c>
      <c r="L467">
        <v>30000</v>
      </c>
      <c r="M467">
        <v>0</v>
      </c>
      <c r="N467">
        <v>141250</v>
      </c>
      <c r="O467">
        <v>11200</v>
      </c>
      <c r="P467">
        <v>0</v>
      </c>
      <c r="Q467">
        <v>0</v>
      </c>
      <c r="R467">
        <v>0</v>
      </c>
      <c r="S467">
        <v>11500</v>
      </c>
      <c r="T467">
        <v>0</v>
      </c>
      <c r="U467">
        <v>13.5</v>
      </c>
      <c r="V467">
        <v>9</v>
      </c>
      <c r="W467">
        <v>1470</v>
      </c>
      <c r="X467">
        <v>230</v>
      </c>
      <c r="Y467">
        <v>16000</v>
      </c>
      <c r="Z467" cm="1">
        <f t="array" ref="Z467">MMULT($G467:$Y467,'Nelson Factor_2019'!$B$1:$B$19)/$G467</f>
        <v>13.252093373493976</v>
      </c>
      <c r="AA467" cm="1">
        <f t="array" ref="AA467">MMULT($G467:$R467,'Nelson Factor_2019'!$B$1:$B$12)/$G467</f>
        <v>8.6182228915662655</v>
      </c>
    </row>
    <row r="468" spans="1:27" x14ac:dyDescent="0.25">
      <c r="A468">
        <v>2008</v>
      </c>
      <c r="B468">
        <v>3</v>
      </c>
      <c r="C468">
        <v>1</v>
      </c>
      <c r="D468" t="s">
        <v>141</v>
      </c>
      <c r="E468" t="s">
        <v>142</v>
      </c>
      <c r="F468" t="s">
        <v>143</v>
      </c>
      <c r="G468">
        <v>18600</v>
      </c>
      <c r="H468">
        <v>0</v>
      </c>
      <c r="I468">
        <v>0</v>
      </c>
      <c r="J468">
        <v>0</v>
      </c>
      <c r="K468">
        <v>6000</v>
      </c>
      <c r="L468">
        <v>4800</v>
      </c>
      <c r="M468">
        <v>0</v>
      </c>
      <c r="N468">
        <v>7800</v>
      </c>
      <c r="O468">
        <v>0</v>
      </c>
      <c r="P468">
        <v>2000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1</v>
      </c>
      <c r="Y468">
        <v>0</v>
      </c>
      <c r="Z468" cm="1">
        <f t="array" ref="Z468">MMULT($G468:$Y468,'Nelson Factor_2019'!$B$1:$B$19)/$G468</f>
        <v>6.3623655913978494</v>
      </c>
      <c r="AA468" cm="1">
        <f t="array" ref="AA468">MMULT($G468:$R468,'Nelson Factor_2019'!$B$1:$B$12)/$G468</f>
        <v>6.349462365591398</v>
      </c>
    </row>
    <row r="469" spans="1:27" x14ac:dyDescent="0.25">
      <c r="A469">
        <v>2008</v>
      </c>
      <c r="B469">
        <v>3</v>
      </c>
      <c r="C469">
        <v>1</v>
      </c>
      <c r="D469" t="s">
        <v>141</v>
      </c>
      <c r="E469" t="s">
        <v>142</v>
      </c>
      <c r="F469" t="s">
        <v>144</v>
      </c>
      <c r="G469">
        <v>26000</v>
      </c>
      <c r="H469">
        <v>0</v>
      </c>
      <c r="I469">
        <v>0</v>
      </c>
      <c r="J469">
        <v>0</v>
      </c>
      <c r="K469">
        <v>8500</v>
      </c>
      <c r="L469">
        <v>7300</v>
      </c>
      <c r="M469">
        <v>0</v>
      </c>
      <c r="N469">
        <v>11500</v>
      </c>
      <c r="O469">
        <v>1800</v>
      </c>
      <c r="P469">
        <v>0</v>
      </c>
      <c r="Q469">
        <v>0</v>
      </c>
      <c r="R469">
        <v>4000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2</v>
      </c>
      <c r="Y469">
        <v>0</v>
      </c>
      <c r="Z469" cm="1">
        <f t="array" ref="Z469">MMULT($G469:$Y469,'Nelson Factor_2019'!$B$1:$B$19)/$G469</f>
        <v>6.6434615384615388</v>
      </c>
      <c r="AA469" cm="1">
        <f t="array" ref="AA469">MMULT($G469:$R469,'Nelson Factor_2019'!$B$1:$B$12)/$G469</f>
        <v>6.625</v>
      </c>
    </row>
    <row r="470" spans="1:27" x14ac:dyDescent="0.25">
      <c r="A470">
        <v>2008</v>
      </c>
      <c r="B470">
        <v>3</v>
      </c>
      <c r="C470">
        <v>1</v>
      </c>
      <c r="D470" t="s">
        <v>141</v>
      </c>
      <c r="E470" t="s">
        <v>202</v>
      </c>
      <c r="F470" t="s">
        <v>146</v>
      </c>
      <c r="G470">
        <v>85000</v>
      </c>
      <c r="H470">
        <v>25000</v>
      </c>
      <c r="I470">
        <v>0</v>
      </c>
      <c r="J470">
        <v>0</v>
      </c>
      <c r="K470">
        <v>27000</v>
      </c>
      <c r="L470">
        <v>24000</v>
      </c>
      <c r="M470">
        <v>0</v>
      </c>
      <c r="N470">
        <v>97400</v>
      </c>
      <c r="O470">
        <v>9000</v>
      </c>
      <c r="P470">
        <v>0</v>
      </c>
      <c r="Q470">
        <v>0</v>
      </c>
      <c r="R470">
        <v>11000</v>
      </c>
      <c r="S470">
        <v>0</v>
      </c>
      <c r="T470">
        <v>0</v>
      </c>
      <c r="U470">
        <v>9</v>
      </c>
      <c r="V470">
        <v>0</v>
      </c>
      <c r="W470">
        <v>0</v>
      </c>
      <c r="X470">
        <v>110</v>
      </c>
      <c r="Y470">
        <v>5000</v>
      </c>
      <c r="Z470" cm="1">
        <f t="array" ref="Z470">MMULT($G470:$Y470,'Nelson Factor_2019'!$B$1:$B$19)/$G470</f>
        <v>9.4106941176470595</v>
      </c>
      <c r="AA470" cm="1">
        <f t="array" ref="AA470">MMULT($G470:$R470,'Nelson Factor_2019'!$B$1:$B$12)/$G470</f>
        <v>9.0117647058823529</v>
      </c>
    </row>
    <row r="471" spans="1:27" x14ac:dyDescent="0.25">
      <c r="A471">
        <v>2008</v>
      </c>
      <c r="B471">
        <v>2</v>
      </c>
      <c r="C471">
        <v>1</v>
      </c>
      <c r="D471" t="s">
        <v>147</v>
      </c>
      <c r="E471" t="s">
        <v>148</v>
      </c>
      <c r="F471" t="s">
        <v>149</v>
      </c>
      <c r="G471">
        <v>58000</v>
      </c>
      <c r="H471">
        <v>0</v>
      </c>
      <c r="I471">
        <v>0</v>
      </c>
      <c r="J471">
        <v>0</v>
      </c>
      <c r="K471">
        <v>25700</v>
      </c>
      <c r="L471">
        <v>11500</v>
      </c>
      <c r="M471">
        <v>0</v>
      </c>
      <c r="N471">
        <v>23600</v>
      </c>
      <c r="O471">
        <v>4200</v>
      </c>
      <c r="P471">
        <v>1100</v>
      </c>
      <c r="Q471">
        <v>0</v>
      </c>
      <c r="R471">
        <v>4800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15</v>
      </c>
      <c r="Y471">
        <v>0</v>
      </c>
      <c r="Z471" cm="1">
        <f t="array" ref="Z471">MMULT($G471:$Y471,'Nelson Factor_2019'!$B$1:$B$19)/$G471</f>
        <v>6.8913793103448278</v>
      </c>
      <c r="AA471" cm="1">
        <f t="array" ref="AA471">MMULT($G471:$R471,'Nelson Factor_2019'!$B$1:$B$12)/$G471</f>
        <v>6.8293103448275865</v>
      </c>
    </row>
    <row r="472" spans="1:27" x14ac:dyDescent="0.25">
      <c r="A472">
        <v>2008</v>
      </c>
      <c r="B472">
        <v>2</v>
      </c>
      <c r="C472">
        <v>5</v>
      </c>
      <c r="D472" t="s">
        <v>150</v>
      </c>
      <c r="E472" t="s">
        <v>32</v>
      </c>
      <c r="F472" t="s">
        <v>151</v>
      </c>
      <c r="G472">
        <v>160000</v>
      </c>
      <c r="H472">
        <v>71500</v>
      </c>
      <c r="I472">
        <v>33500</v>
      </c>
      <c r="J472">
        <v>0</v>
      </c>
      <c r="K472">
        <v>0</v>
      </c>
      <c r="L472">
        <v>43000</v>
      </c>
      <c r="M472">
        <v>31000</v>
      </c>
      <c r="N472">
        <v>104000</v>
      </c>
      <c r="O472">
        <v>11500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33</v>
      </c>
      <c r="V472">
        <v>41</v>
      </c>
      <c r="W472">
        <v>1013</v>
      </c>
      <c r="X472">
        <v>120</v>
      </c>
      <c r="Y472">
        <v>9000</v>
      </c>
      <c r="Z472" cm="1">
        <f t="array" ref="Z472">MMULT($G472:$Y472,'Nelson Factor_2019'!$B$1:$B$19)/$G472</f>
        <v>8.6535875000000004</v>
      </c>
      <c r="AA472" cm="1">
        <f t="array" ref="AA472">MMULT($G472:$R472,'Nelson Factor_2019'!$B$1:$B$12)/$G472</f>
        <v>8.3887499999999999</v>
      </c>
    </row>
    <row r="473" spans="1:27" x14ac:dyDescent="0.25">
      <c r="A473">
        <v>2008</v>
      </c>
      <c r="B473">
        <v>2</v>
      </c>
      <c r="C473">
        <v>6</v>
      </c>
      <c r="D473" t="s">
        <v>150</v>
      </c>
      <c r="E473" t="s">
        <v>241</v>
      </c>
      <c r="F473" t="s">
        <v>154</v>
      </c>
      <c r="G473">
        <v>161500</v>
      </c>
      <c r="H473">
        <v>49400</v>
      </c>
      <c r="I473">
        <v>20700</v>
      </c>
      <c r="J473">
        <v>0</v>
      </c>
      <c r="K473">
        <v>36000</v>
      </c>
      <c r="L473">
        <v>49500</v>
      </c>
      <c r="M473">
        <v>23400</v>
      </c>
      <c r="N473">
        <v>88200</v>
      </c>
      <c r="O473">
        <v>0</v>
      </c>
      <c r="P473">
        <v>0</v>
      </c>
      <c r="Q473">
        <v>6300</v>
      </c>
      <c r="R473">
        <v>16200</v>
      </c>
      <c r="S473">
        <v>0</v>
      </c>
      <c r="T473">
        <v>0</v>
      </c>
      <c r="U473">
        <v>0</v>
      </c>
      <c r="V473">
        <v>10.4</v>
      </c>
      <c r="W473">
        <v>800</v>
      </c>
      <c r="X473">
        <v>100</v>
      </c>
      <c r="Y473">
        <v>0</v>
      </c>
      <c r="Z473" cm="1">
        <f t="array" ref="Z473">MMULT($G473:$Y473,'Nelson Factor_2019'!$B$1:$B$19)/$G473</f>
        <v>8.9831603715170267</v>
      </c>
      <c r="AA473" cm="1">
        <f t="array" ref="AA473">MMULT($G473:$R473,'Nelson Factor_2019'!$B$1:$B$12)/$G473</f>
        <v>8.8344891640866869</v>
      </c>
    </row>
    <row r="474" spans="1:27" x14ac:dyDescent="0.25">
      <c r="A474">
        <v>2008</v>
      </c>
      <c r="B474">
        <v>2</v>
      </c>
      <c r="C474">
        <v>1</v>
      </c>
      <c r="D474" t="s">
        <v>150</v>
      </c>
      <c r="E474" t="s">
        <v>234</v>
      </c>
      <c r="F474" t="s">
        <v>152</v>
      </c>
      <c r="G474">
        <v>73000</v>
      </c>
      <c r="H474">
        <v>28500</v>
      </c>
      <c r="I474">
        <v>0</v>
      </c>
      <c r="J474">
        <v>0</v>
      </c>
      <c r="K474">
        <v>24700</v>
      </c>
      <c r="L474">
        <v>18100</v>
      </c>
      <c r="M474">
        <v>0</v>
      </c>
      <c r="N474">
        <v>59000</v>
      </c>
      <c r="O474">
        <v>6700</v>
      </c>
      <c r="P474">
        <v>800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122</v>
      </c>
      <c r="Y474">
        <v>12800</v>
      </c>
      <c r="Z474" cm="1">
        <f t="array" ref="Z474">MMULT($G474:$Y474,'Nelson Factor_2019'!$B$1:$B$19)/$G474</f>
        <v>8.4894520547945209</v>
      </c>
      <c r="AA474" cm="1">
        <f t="array" ref="AA474">MMULT($G474:$R474,'Nelson Factor_2019'!$B$1:$B$12)/$G474</f>
        <v>7.8253424657534243</v>
      </c>
    </row>
    <row r="475" spans="1:27" x14ac:dyDescent="0.25">
      <c r="A475">
        <v>2008</v>
      </c>
      <c r="B475">
        <v>2</v>
      </c>
      <c r="C475">
        <v>3</v>
      </c>
      <c r="D475" t="s">
        <v>150</v>
      </c>
      <c r="E475" t="s">
        <v>138</v>
      </c>
      <c r="F475" t="s">
        <v>151</v>
      </c>
      <c r="G475">
        <v>140000</v>
      </c>
      <c r="H475">
        <v>30000</v>
      </c>
      <c r="I475">
        <v>0</v>
      </c>
      <c r="J475">
        <v>0</v>
      </c>
      <c r="K475">
        <v>60000</v>
      </c>
      <c r="L475">
        <v>45600</v>
      </c>
      <c r="M475">
        <v>28200</v>
      </c>
      <c r="N475">
        <v>48000</v>
      </c>
      <c r="O475">
        <v>9000</v>
      </c>
      <c r="P475">
        <v>0</v>
      </c>
      <c r="Q475">
        <v>9000</v>
      </c>
      <c r="R475">
        <v>0</v>
      </c>
      <c r="S475">
        <v>0</v>
      </c>
      <c r="T475">
        <v>0</v>
      </c>
      <c r="U475">
        <v>52</v>
      </c>
      <c r="V475">
        <v>0</v>
      </c>
      <c r="W475">
        <v>0</v>
      </c>
      <c r="X475">
        <v>0</v>
      </c>
      <c r="Y475">
        <v>0</v>
      </c>
      <c r="Z475" cm="1">
        <f t="array" ref="Z475">MMULT($G475:$Y475,'Nelson Factor_2019'!$B$1:$B$19)/$G475</f>
        <v>9.8760857142857148</v>
      </c>
      <c r="AA475" cm="1">
        <f t="array" ref="AA475">MMULT($G475:$R475,'Nelson Factor_2019'!$B$1:$B$12)/$G475</f>
        <v>9.8757142857142863</v>
      </c>
    </row>
    <row r="476" spans="1:27" x14ac:dyDescent="0.25">
      <c r="A476">
        <v>2008</v>
      </c>
      <c r="B476">
        <v>2</v>
      </c>
      <c r="C476">
        <v>4</v>
      </c>
      <c r="D476" t="s">
        <v>155</v>
      </c>
      <c r="E476" t="s">
        <v>51</v>
      </c>
      <c r="F476" t="s">
        <v>156</v>
      </c>
      <c r="G476">
        <v>187000</v>
      </c>
      <c r="H476">
        <v>80000</v>
      </c>
      <c r="I476">
        <v>24000</v>
      </c>
      <c r="J476">
        <v>0</v>
      </c>
      <c r="K476">
        <v>61000</v>
      </c>
      <c r="L476">
        <v>44000</v>
      </c>
      <c r="M476">
        <v>0</v>
      </c>
      <c r="N476">
        <v>191300</v>
      </c>
      <c r="O476">
        <v>15000</v>
      </c>
      <c r="P476">
        <v>2000</v>
      </c>
      <c r="Q476">
        <v>0</v>
      </c>
      <c r="R476">
        <v>20000</v>
      </c>
      <c r="S476">
        <v>0</v>
      </c>
      <c r="T476">
        <v>0</v>
      </c>
      <c r="U476">
        <v>34</v>
      </c>
      <c r="V476">
        <v>16</v>
      </c>
      <c r="W476">
        <v>1100</v>
      </c>
      <c r="X476">
        <v>220</v>
      </c>
      <c r="Y476">
        <v>0</v>
      </c>
      <c r="Z476" cm="1">
        <f t="array" ref="Z476">MMULT($G476:$Y476,'Nelson Factor_2019'!$B$1:$B$19)/$G476</f>
        <v>9.7224598930481285</v>
      </c>
      <c r="AA476" cm="1">
        <f t="array" ref="AA476">MMULT($G476:$R476,'Nelson Factor_2019'!$B$1:$B$12)/$G476</f>
        <v>9.439839572192513</v>
      </c>
    </row>
    <row r="477" spans="1:27" x14ac:dyDescent="0.25">
      <c r="A477">
        <v>2008</v>
      </c>
      <c r="B477">
        <v>2</v>
      </c>
      <c r="C477">
        <v>1</v>
      </c>
      <c r="D477" t="s">
        <v>155</v>
      </c>
      <c r="E477" t="s">
        <v>159</v>
      </c>
      <c r="F477" t="s">
        <v>160</v>
      </c>
      <c r="G477">
        <v>70000</v>
      </c>
      <c r="H477">
        <v>25175</v>
      </c>
      <c r="I477">
        <v>0</v>
      </c>
      <c r="J477">
        <v>0</v>
      </c>
      <c r="K477">
        <v>16200</v>
      </c>
      <c r="L477">
        <v>10800</v>
      </c>
      <c r="M477">
        <v>0</v>
      </c>
      <c r="N477">
        <v>26300</v>
      </c>
      <c r="O477">
        <v>2700</v>
      </c>
      <c r="P477">
        <v>0</v>
      </c>
      <c r="Q477">
        <v>0</v>
      </c>
      <c r="R477">
        <v>5400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19</v>
      </c>
      <c r="Y477">
        <v>2250</v>
      </c>
      <c r="Z477" cm="1">
        <f t="array" ref="Z477">MMULT($G477:$Y477,'Nelson Factor_2019'!$B$1:$B$19)/$G477</f>
        <v>5.2973214285714283</v>
      </c>
      <c r="AA477" cm="1">
        <f t="array" ref="AA477">MMULT($G477:$R477,'Nelson Factor_2019'!$B$1:$B$12)/$G477</f>
        <v>5.1839642857142856</v>
      </c>
    </row>
    <row r="478" spans="1:27" x14ac:dyDescent="0.25">
      <c r="A478">
        <v>2008</v>
      </c>
      <c r="B478">
        <v>2</v>
      </c>
      <c r="C478">
        <v>4</v>
      </c>
      <c r="D478" t="s">
        <v>155</v>
      </c>
      <c r="E478" t="s">
        <v>138</v>
      </c>
      <c r="F478" t="s">
        <v>160</v>
      </c>
      <c r="G478">
        <v>85000</v>
      </c>
      <c r="H478">
        <v>30000</v>
      </c>
      <c r="I478">
        <v>8500</v>
      </c>
      <c r="J478">
        <v>0</v>
      </c>
      <c r="K478">
        <v>0</v>
      </c>
      <c r="L478">
        <v>17500</v>
      </c>
      <c r="M478">
        <v>0</v>
      </c>
      <c r="N478">
        <v>34500</v>
      </c>
      <c r="O478">
        <v>0</v>
      </c>
      <c r="P478">
        <v>0</v>
      </c>
      <c r="Q478">
        <v>0</v>
      </c>
      <c r="R478">
        <v>0</v>
      </c>
      <c r="S478">
        <v>8500</v>
      </c>
      <c r="T478">
        <v>0</v>
      </c>
      <c r="U478">
        <v>0</v>
      </c>
      <c r="V478">
        <v>0</v>
      </c>
      <c r="W478">
        <v>350</v>
      </c>
      <c r="X478">
        <v>0</v>
      </c>
      <c r="Y478">
        <v>0</v>
      </c>
      <c r="Z478" cm="1">
        <f t="array" ref="Z478">MMULT($G478:$Y478,'Nelson Factor_2019'!$B$1:$B$19)/$G478</f>
        <v>10.252941176470589</v>
      </c>
      <c r="AA478" cm="1">
        <f t="array" ref="AA478">MMULT($G478:$R478,'Nelson Factor_2019'!$B$1:$B$12)/$G478</f>
        <v>4.2529411764705882</v>
      </c>
    </row>
    <row r="479" spans="1:27" x14ac:dyDescent="0.25">
      <c r="A479">
        <v>2008</v>
      </c>
      <c r="B479">
        <v>2</v>
      </c>
      <c r="C479">
        <v>3</v>
      </c>
      <c r="D479" t="s">
        <v>155</v>
      </c>
      <c r="E479" t="s">
        <v>66</v>
      </c>
      <c r="F479" t="s">
        <v>161</v>
      </c>
      <c r="G479">
        <v>91500</v>
      </c>
      <c r="H479">
        <v>32000</v>
      </c>
      <c r="I479">
        <v>0</v>
      </c>
      <c r="J479">
        <v>0</v>
      </c>
      <c r="K479">
        <v>30576</v>
      </c>
      <c r="L479">
        <v>21679</v>
      </c>
      <c r="M479">
        <v>12000</v>
      </c>
      <c r="N479">
        <v>86500</v>
      </c>
      <c r="O479">
        <v>7012</v>
      </c>
      <c r="P479">
        <v>0</v>
      </c>
      <c r="Q479">
        <v>0</v>
      </c>
      <c r="R479">
        <v>7000</v>
      </c>
      <c r="S479">
        <v>0</v>
      </c>
      <c r="T479">
        <v>0</v>
      </c>
      <c r="U479">
        <v>26</v>
      </c>
      <c r="V479">
        <v>26</v>
      </c>
      <c r="W479">
        <v>0</v>
      </c>
      <c r="X479">
        <v>243</v>
      </c>
      <c r="Y479">
        <v>11000</v>
      </c>
      <c r="Z479" cm="1">
        <f t="array" ref="Z479">MMULT($G479:$Y479,'Nelson Factor_2019'!$B$1:$B$19)/$G479</f>
        <v>9.8709617486338797</v>
      </c>
      <c r="AA479" cm="1">
        <f t="array" ref="AA479">MMULT($G479:$R479,'Nelson Factor_2019'!$B$1:$B$12)/$G479</f>
        <v>9.0526885245901632</v>
      </c>
    </row>
    <row r="480" spans="1:27" x14ac:dyDescent="0.25">
      <c r="A480">
        <v>2008</v>
      </c>
      <c r="B480">
        <v>2</v>
      </c>
      <c r="C480">
        <v>3</v>
      </c>
      <c r="D480" t="s">
        <v>155</v>
      </c>
      <c r="E480" t="s">
        <v>228</v>
      </c>
      <c r="F480" t="s">
        <v>158</v>
      </c>
      <c r="G480">
        <v>52500</v>
      </c>
      <c r="H480">
        <v>15500</v>
      </c>
      <c r="I480">
        <v>0</v>
      </c>
      <c r="J480">
        <v>0</v>
      </c>
      <c r="K480">
        <v>18500</v>
      </c>
      <c r="L480">
        <v>13000</v>
      </c>
      <c r="M480">
        <v>5500</v>
      </c>
      <c r="N480">
        <v>12000</v>
      </c>
      <c r="O480">
        <v>4000</v>
      </c>
      <c r="P480">
        <v>0</v>
      </c>
      <c r="Q480">
        <v>0</v>
      </c>
      <c r="R480">
        <v>3500</v>
      </c>
      <c r="S480">
        <v>0</v>
      </c>
      <c r="T480">
        <v>0</v>
      </c>
      <c r="U480">
        <v>9</v>
      </c>
      <c r="V480">
        <v>0</v>
      </c>
      <c r="W480">
        <v>0</v>
      </c>
      <c r="X480">
        <v>0</v>
      </c>
      <c r="Y480">
        <v>5000</v>
      </c>
      <c r="Z480" cm="1">
        <f t="array" ref="Z480">MMULT($G480:$Y480,'Nelson Factor_2019'!$B$1:$B$19)/$G480</f>
        <v>7.2506476190476192</v>
      </c>
      <c r="AA480" cm="1">
        <f t="array" ref="AA480">MMULT($G480:$R480,'Nelson Factor_2019'!$B$1:$B$12)/$G480</f>
        <v>7.1076190476190479</v>
      </c>
    </row>
    <row r="481" spans="1:27" x14ac:dyDescent="0.25">
      <c r="A481">
        <v>2008</v>
      </c>
      <c r="B481">
        <v>1</v>
      </c>
      <c r="C481">
        <v>0</v>
      </c>
      <c r="D481" t="s">
        <v>162</v>
      </c>
      <c r="E481" t="s">
        <v>163</v>
      </c>
      <c r="F481" t="s">
        <v>164</v>
      </c>
      <c r="G481">
        <v>10000</v>
      </c>
      <c r="H481">
        <v>0</v>
      </c>
      <c r="I481">
        <v>0</v>
      </c>
      <c r="J481">
        <v>0</v>
      </c>
      <c r="K481">
        <v>0</v>
      </c>
      <c r="L481">
        <v>1800</v>
      </c>
      <c r="M481">
        <v>0</v>
      </c>
      <c r="N481">
        <v>3500</v>
      </c>
      <c r="O481">
        <v>0</v>
      </c>
      <c r="P481">
        <v>0</v>
      </c>
      <c r="Q481">
        <v>0</v>
      </c>
      <c r="R481">
        <v>600</v>
      </c>
      <c r="S481">
        <v>2600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 cm="1">
        <f t="array" ref="Z481">MMULT($G481:$Y481,'Nelson Factor_2019'!$B$1:$B$19)/$G481</f>
        <v>18.555</v>
      </c>
      <c r="AA481" cm="1">
        <f t="array" ref="AA481">MMULT($G481:$R481,'Nelson Factor_2019'!$B$1:$B$12)/$G481</f>
        <v>2.9550000000000001</v>
      </c>
    </row>
    <row r="482" spans="1:27" x14ac:dyDescent="0.25">
      <c r="A482">
        <v>2008</v>
      </c>
      <c r="B482">
        <v>1</v>
      </c>
      <c r="C482">
        <v>3</v>
      </c>
      <c r="D482" t="s">
        <v>162</v>
      </c>
      <c r="E482" t="s">
        <v>51</v>
      </c>
      <c r="F482" t="s">
        <v>165</v>
      </c>
      <c r="G482">
        <v>185000</v>
      </c>
      <c r="H482">
        <v>75400</v>
      </c>
      <c r="I482">
        <v>0</v>
      </c>
      <c r="J482">
        <v>0</v>
      </c>
      <c r="K482">
        <v>48400</v>
      </c>
      <c r="L482">
        <v>48800</v>
      </c>
      <c r="M482">
        <v>20700</v>
      </c>
      <c r="N482">
        <v>127200</v>
      </c>
      <c r="O482">
        <v>11800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160</v>
      </c>
      <c r="Y482">
        <v>0</v>
      </c>
      <c r="Z482" cm="1">
        <f t="array" ref="Z482">MMULT($G482:$Y482,'Nelson Factor_2019'!$B$1:$B$19)/$G482</f>
        <v>7.877945945945946</v>
      </c>
      <c r="AA482" cm="1">
        <f t="array" ref="AA482">MMULT($G482:$R482,'Nelson Factor_2019'!$B$1:$B$12)/$G482</f>
        <v>7.6703783783783788</v>
      </c>
    </row>
    <row r="483" spans="1:27" x14ac:dyDescent="0.25">
      <c r="A483">
        <v>2008</v>
      </c>
      <c r="B483">
        <v>1</v>
      </c>
      <c r="C483">
        <v>1</v>
      </c>
      <c r="D483" t="s">
        <v>162</v>
      </c>
      <c r="E483" t="s">
        <v>138</v>
      </c>
      <c r="F483" t="s">
        <v>166</v>
      </c>
      <c r="G483">
        <v>175000</v>
      </c>
      <c r="H483">
        <v>26400</v>
      </c>
      <c r="I483">
        <v>0</v>
      </c>
      <c r="J483">
        <v>0</v>
      </c>
      <c r="K483">
        <v>93000</v>
      </c>
      <c r="L483">
        <v>15600</v>
      </c>
      <c r="M483">
        <v>0</v>
      </c>
      <c r="N483">
        <v>48000</v>
      </c>
      <c r="O483">
        <v>10000</v>
      </c>
      <c r="P483">
        <v>0</v>
      </c>
      <c r="Q483">
        <v>21600</v>
      </c>
      <c r="R483">
        <v>0</v>
      </c>
      <c r="S483">
        <v>0</v>
      </c>
      <c r="T483">
        <v>2600</v>
      </c>
      <c r="U483">
        <v>6</v>
      </c>
      <c r="V483">
        <v>0</v>
      </c>
      <c r="W483">
        <v>0</v>
      </c>
      <c r="X483">
        <v>0</v>
      </c>
      <c r="Y483">
        <v>0</v>
      </c>
      <c r="Z483" cm="1">
        <f t="array" ref="Z483">MMULT($G483:$Y483,'Nelson Factor_2019'!$B$1:$B$19)/$G483</f>
        <v>8.70472</v>
      </c>
      <c r="AA483" cm="1">
        <f t="array" ref="AA483">MMULT($G483:$R483,'Nelson Factor_2019'!$B$1:$B$12)/$G483</f>
        <v>8.5561142857142851</v>
      </c>
    </row>
    <row r="484" spans="1:27" x14ac:dyDescent="0.25">
      <c r="A484">
        <v>2008</v>
      </c>
      <c r="B484">
        <v>1</v>
      </c>
      <c r="C484">
        <v>1</v>
      </c>
      <c r="D484" t="s">
        <v>162</v>
      </c>
      <c r="E484" t="s">
        <v>138</v>
      </c>
      <c r="F484" t="s">
        <v>167</v>
      </c>
      <c r="G484">
        <v>330000</v>
      </c>
      <c r="H484">
        <v>157400</v>
      </c>
      <c r="I484">
        <v>0</v>
      </c>
      <c r="J484">
        <v>0</v>
      </c>
      <c r="K484">
        <v>113500</v>
      </c>
      <c r="L484">
        <v>68000</v>
      </c>
      <c r="M484">
        <v>0</v>
      </c>
      <c r="N484">
        <v>163600</v>
      </c>
      <c r="O484">
        <v>16700</v>
      </c>
      <c r="P484">
        <v>0</v>
      </c>
      <c r="Q484">
        <v>13700</v>
      </c>
      <c r="R484">
        <v>7300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 cm="1">
        <f t="array" ref="Z484">MMULT($G484:$Y484,'Nelson Factor_2019'!$B$1:$B$19)/$G484</f>
        <v>7.3561212121212121</v>
      </c>
      <c r="AA484" cm="1">
        <f t="array" ref="AA484">MMULT($G484:$R484,'Nelson Factor_2019'!$B$1:$B$12)/$G484</f>
        <v>7.3561212121212121</v>
      </c>
    </row>
    <row r="485" spans="1:27" x14ac:dyDescent="0.25">
      <c r="A485">
        <v>2008</v>
      </c>
      <c r="B485">
        <v>1</v>
      </c>
      <c r="C485">
        <v>1</v>
      </c>
      <c r="D485" t="s">
        <v>162</v>
      </c>
      <c r="E485" t="s">
        <v>168</v>
      </c>
      <c r="F485" t="s">
        <v>169</v>
      </c>
      <c r="G485">
        <v>66700</v>
      </c>
      <c r="H485">
        <v>27000</v>
      </c>
      <c r="I485">
        <v>0</v>
      </c>
      <c r="J485">
        <v>0</v>
      </c>
      <c r="K485">
        <v>23000</v>
      </c>
      <c r="L485">
        <v>16000</v>
      </c>
      <c r="M485">
        <v>0</v>
      </c>
      <c r="N485">
        <v>40000</v>
      </c>
      <c r="O485">
        <v>3500</v>
      </c>
      <c r="P485">
        <v>1000</v>
      </c>
      <c r="Q485">
        <v>0</v>
      </c>
      <c r="R485">
        <v>6800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12000</v>
      </c>
      <c r="Z485" cm="1">
        <f t="array" ref="Z485">MMULT($G485:$Y485,'Nelson Factor_2019'!$B$1:$B$19)/$G485</f>
        <v>7.5442278860569711</v>
      </c>
      <c r="AA485" cm="1">
        <f t="array" ref="AA485">MMULT($G485:$R485,'Nelson Factor_2019'!$B$1:$B$12)/$G485</f>
        <v>7.2743628185907045</v>
      </c>
    </row>
    <row r="486" spans="1:27" x14ac:dyDescent="0.25">
      <c r="A486">
        <v>2008</v>
      </c>
      <c r="B486">
        <v>2</v>
      </c>
      <c r="C486">
        <v>1</v>
      </c>
      <c r="D486" t="s">
        <v>170</v>
      </c>
      <c r="E486" t="s">
        <v>66</v>
      </c>
      <c r="F486" t="s">
        <v>172</v>
      </c>
      <c r="G486">
        <v>190000</v>
      </c>
      <c r="H486">
        <v>0</v>
      </c>
      <c r="I486">
        <v>0</v>
      </c>
      <c r="J486">
        <v>0</v>
      </c>
      <c r="K486">
        <v>68000</v>
      </c>
      <c r="L486">
        <v>36000</v>
      </c>
      <c r="M486">
        <v>0</v>
      </c>
      <c r="N486">
        <v>154000</v>
      </c>
      <c r="O486">
        <v>12000</v>
      </c>
      <c r="P486">
        <v>0</v>
      </c>
      <c r="Q486">
        <v>0</v>
      </c>
      <c r="R486">
        <v>4000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106</v>
      </c>
      <c r="Y486">
        <v>0</v>
      </c>
      <c r="Z486" cm="1">
        <f t="array" ref="Z486">MMULT($G486:$Y486,'Nelson Factor_2019'!$B$1:$B$19)/$G486</f>
        <v>6.9496842105263159</v>
      </c>
      <c r="AA486" cm="1">
        <f t="array" ref="AA486">MMULT($G486:$R486,'Nelson Factor_2019'!$B$1:$B$12)/$G486</f>
        <v>6.8157894736842106</v>
      </c>
    </row>
    <row r="487" spans="1:27" x14ac:dyDescent="0.25">
      <c r="A487">
        <v>2008</v>
      </c>
      <c r="B487">
        <v>3</v>
      </c>
      <c r="C487">
        <v>0</v>
      </c>
      <c r="D487" t="s">
        <v>173</v>
      </c>
      <c r="E487" t="s">
        <v>174</v>
      </c>
      <c r="F487" t="s">
        <v>175</v>
      </c>
      <c r="G487">
        <v>12000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1200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 cm="1">
        <f t="array" ref="Z487">MMULT($G487:$Y487,'Nelson Factor_2019'!$B$1:$B$19)/$G487</f>
        <v>3</v>
      </c>
      <c r="AA487" cm="1">
        <f t="array" ref="AA487">MMULT($G487:$R487,'Nelson Factor_2019'!$B$1:$B$12)/$G487</f>
        <v>3</v>
      </c>
    </row>
    <row r="488" spans="1:27" x14ac:dyDescent="0.25">
      <c r="A488">
        <v>2008</v>
      </c>
      <c r="B488">
        <v>3</v>
      </c>
      <c r="C488">
        <v>1</v>
      </c>
      <c r="D488" t="s">
        <v>173</v>
      </c>
      <c r="E488" t="s">
        <v>176</v>
      </c>
      <c r="F488" t="s">
        <v>177</v>
      </c>
      <c r="G488">
        <v>70000</v>
      </c>
      <c r="H488">
        <v>24000</v>
      </c>
      <c r="I488">
        <v>0</v>
      </c>
      <c r="J488">
        <v>0</v>
      </c>
      <c r="K488">
        <v>24000</v>
      </c>
      <c r="L488">
        <v>21000</v>
      </c>
      <c r="M488">
        <v>0</v>
      </c>
      <c r="N488">
        <v>67950</v>
      </c>
      <c r="O488">
        <v>5000</v>
      </c>
      <c r="P488">
        <v>0</v>
      </c>
      <c r="Q488">
        <v>2000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135</v>
      </c>
      <c r="Y488">
        <v>8000</v>
      </c>
      <c r="Z488" cm="1">
        <f t="array" ref="Z488">MMULT($G488:$Y488,'Nelson Factor_2019'!$B$1:$B$19)/$G488</f>
        <v>9.3496428571428574</v>
      </c>
      <c r="AA488" cm="1">
        <f t="array" ref="AA488">MMULT($G488:$R488,'Nelson Factor_2019'!$B$1:$B$12)/$G488</f>
        <v>8.7153571428571421</v>
      </c>
    </row>
    <row r="489" spans="1:27" x14ac:dyDescent="0.25">
      <c r="A489">
        <v>2008</v>
      </c>
      <c r="B489">
        <v>3</v>
      </c>
      <c r="C489">
        <v>6</v>
      </c>
      <c r="D489" t="s">
        <v>173</v>
      </c>
      <c r="E489" t="s">
        <v>32</v>
      </c>
      <c r="F489" t="s">
        <v>178</v>
      </c>
      <c r="G489">
        <v>475000</v>
      </c>
      <c r="H489">
        <v>237000</v>
      </c>
      <c r="I489">
        <v>43000</v>
      </c>
      <c r="J489">
        <v>0</v>
      </c>
      <c r="K489">
        <v>175000</v>
      </c>
      <c r="L489">
        <v>138000</v>
      </c>
      <c r="M489">
        <v>130000</v>
      </c>
      <c r="N489">
        <v>404000</v>
      </c>
      <c r="O489">
        <v>35000</v>
      </c>
      <c r="P489">
        <v>0</v>
      </c>
      <c r="Q489">
        <v>95000</v>
      </c>
      <c r="R489">
        <v>0</v>
      </c>
      <c r="S489">
        <v>0</v>
      </c>
      <c r="T489">
        <v>0</v>
      </c>
      <c r="U489">
        <v>0</v>
      </c>
      <c r="V489">
        <v>59.699999999999996</v>
      </c>
      <c r="W489">
        <v>2585</v>
      </c>
      <c r="X489">
        <v>1123</v>
      </c>
      <c r="Y489">
        <v>0</v>
      </c>
      <c r="Z489" cm="1">
        <f t="array" ref="Z489">MMULT($G489:$Y489,'Nelson Factor_2019'!$B$1:$B$19)/$G489</f>
        <v>15.610904631578947</v>
      </c>
      <c r="AA489" cm="1">
        <f t="array" ref="AA489">MMULT($G489:$R489,'Nelson Factor_2019'!$B$1:$B$12)/$G489</f>
        <v>15.043368421052632</v>
      </c>
    </row>
    <row r="490" spans="1:27" x14ac:dyDescent="0.25">
      <c r="A490">
        <v>2008</v>
      </c>
      <c r="B490">
        <v>3</v>
      </c>
      <c r="C490">
        <v>4</v>
      </c>
      <c r="D490" t="s">
        <v>173</v>
      </c>
      <c r="E490" t="s">
        <v>79</v>
      </c>
      <c r="F490" t="s">
        <v>179</v>
      </c>
      <c r="G490">
        <v>156750</v>
      </c>
      <c r="H490">
        <v>73625</v>
      </c>
      <c r="I490">
        <v>37800</v>
      </c>
      <c r="J490">
        <v>0</v>
      </c>
      <c r="K490">
        <v>72450</v>
      </c>
      <c r="L490">
        <v>45450</v>
      </c>
      <c r="M490">
        <v>0</v>
      </c>
      <c r="N490">
        <v>148230</v>
      </c>
      <c r="O490">
        <v>18090</v>
      </c>
      <c r="P490">
        <v>0</v>
      </c>
      <c r="Q490">
        <v>30105</v>
      </c>
      <c r="R490">
        <v>0</v>
      </c>
      <c r="S490">
        <v>0</v>
      </c>
      <c r="T490">
        <v>3600</v>
      </c>
      <c r="U490">
        <v>0</v>
      </c>
      <c r="V490">
        <v>0</v>
      </c>
      <c r="W490">
        <v>2123</v>
      </c>
      <c r="X490">
        <v>281.7</v>
      </c>
      <c r="Y490">
        <v>0</v>
      </c>
      <c r="Z490" cm="1">
        <f t="array" ref="Z490">MMULT($G490:$Y490,'Nelson Factor_2019'!$B$1:$B$19)/$G490</f>
        <v>15.662491228070175</v>
      </c>
      <c r="AA490" cm="1">
        <f t="array" ref="AA490">MMULT($G490:$R490,'Nelson Factor_2019'!$B$1:$B$12)/$G490</f>
        <v>15.001515151515152</v>
      </c>
    </row>
    <row r="491" spans="1:27" x14ac:dyDescent="0.25">
      <c r="A491">
        <v>2008</v>
      </c>
      <c r="B491">
        <v>3</v>
      </c>
      <c r="C491">
        <v>4</v>
      </c>
      <c r="D491" t="s">
        <v>173</v>
      </c>
      <c r="E491" t="s">
        <v>51</v>
      </c>
      <c r="F491" t="s">
        <v>182</v>
      </c>
      <c r="G491">
        <v>247000</v>
      </c>
      <c r="H491">
        <v>125500</v>
      </c>
      <c r="I491">
        <v>70900</v>
      </c>
      <c r="J491">
        <v>0</v>
      </c>
      <c r="K491">
        <v>97000</v>
      </c>
      <c r="L491">
        <v>33800</v>
      </c>
      <c r="M491">
        <v>0</v>
      </c>
      <c r="N491">
        <v>275500</v>
      </c>
      <c r="O491">
        <v>19600</v>
      </c>
      <c r="P491">
        <v>0</v>
      </c>
      <c r="Q491">
        <v>17740</v>
      </c>
      <c r="R491">
        <v>9100</v>
      </c>
      <c r="S491">
        <v>0</v>
      </c>
      <c r="T491">
        <v>0</v>
      </c>
      <c r="U491">
        <v>0</v>
      </c>
      <c r="V491">
        <v>165</v>
      </c>
      <c r="W491">
        <v>4000</v>
      </c>
      <c r="X491">
        <v>593</v>
      </c>
      <c r="Y491">
        <v>0</v>
      </c>
      <c r="Z491" cm="1">
        <f t="array" ref="Z491">MMULT($G491:$Y491,'Nelson Factor_2019'!$B$1:$B$19)/$G491</f>
        <v>12.559655870445344</v>
      </c>
      <c r="AA491" cm="1">
        <f t="array" ref="AA491">MMULT($G491:$R491,'Nelson Factor_2019'!$B$1:$B$12)/$G491</f>
        <v>11.982793522267206</v>
      </c>
    </row>
    <row r="492" spans="1:27" x14ac:dyDescent="0.25">
      <c r="A492">
        <v>2008</v>
      </c>
      <c r="B492">
        <v>3</v>
      </c>
      <c r="C492">
        <v>4</v>
      </c>
      <c r="D492" t="s">
        <v>173</v>
      </c>
      <c r="E492" t="s">
        <v>236</v>
      </c>
      <c r="F492" t="s">
        <v>188</v>
      </c>
      <c r="G492">
        <v>60000</v>
      </c>
      <c r="H492">
        <v>15000</v>
      </c>
      <c r="I492">
        <v>6500</v>
      </c>
      <c r="J492">
        <v>0</v>
      </c>
      <c r="K492">
        <v>20200</v>
      </c>
      <c r="L492">
        <v>17500</v>
      </c>
      <c r="M492">
        <v>0</v>
      </c>
      <c r="N492">
        <v>32000</v>
      </c>
      <c r="O492">
        <v>4750</v>
      </c>
      <c r="P492">
        <v>0</v>
      </c>
      <c r="Q492">
        <v>0</v>
      </c>
      <c r="R492">
        <v>5000</v>
      </c>
      <c r="S492">
        <v>0</v>
      </c>
      <c r="T492">
        <v>0</v>
      </c>
      <c r="U492">
        <v>0</v>
      </c>
      <c r="V492">
        <v>0</v>
      </c>
      <c r="W492">
        <v>250</v>
      </c>
      <c r="X492">
        <v>18</v>
      </c>
      <c r="Y492">
        <v>0</v>
      </c>
      <c r="Z492" cm="1">
        <f t="array" ref="Z492">MMULT($G492:$Y492,'Nelson Factor_2019'!$B$1:$B$19)/$G492</f>
        <v>8.0628333333333337</v>
      </c>
      <c r="AA492" cm="1">
        <f t="array" ref="AA492">MMULT($G492:$R492,'Nelson Factor_2019'!$B$1:$B$12)/$G492</f>
        <v>7.9908333333333337</v>
      </c>
    </row>
    <row r="493" spans="1:27" x14ac:dyDescent="0.25">
      <c r="A493">
        <v>2008</v>
      </c>
      <c r="B493">
        <v>3</v>
      </c>
      <c r="C493">
        <v>6</v>
      </c>
      <c r="D493" t="s">
        <v>173</v>
      </c>
      <c r="E493" t="s">
        <v>54</v>
      </c>
      <c r="F493" t="s">
        <v>185</v>
      </c>
      <c r="G493">
        <v>567000</v>
      </c>
      <c r="H493">
        <v>270000</v>
      </c>
      <c r="I493">
        <v>85000</v>
      </c>
      <c r="J493">
        <v>0</v>
      </c>
      <c r="K493">
        <v>204500</v>
      </c>
      <c r="L493">
        <v>122000</v>
      </c>
      <c r="M493">
        <v>26500</v>
      </c>
      <c r="N493">
        <v>721500</v>
      </c>
      <c r="O493">
        <v>36000</v>
      </c>
      <c r="P493">
        <v>0</v>
      </c>
      <c r="Q493">
        <v>0</v>
      </c>
      <c r="R493">
        <v>0</v>
      </c>
      <c r="S493">
        <v>21500</v>
      </c>
      <c r="T493">
        <v>0</v>
      </c>
      <c r="U493">
        <v>0</v>
      </c>
      <c r="V493">
        <v>56.5</v>
      </c>
      <c r="W493">
        <v>3550</v>
      </c>
      <c r="X493">
        <v>1630</v>
      </c>
      <c r="Y493">
        <v>0</v>
      </c>
      <c r="Z493" cm="1">
        <f t="array" ref="Z493">MMULT($G493:$Y493,'Nelson Factor_2019'!$B$1:$B$19)/$G493</f>
        <v>13.138459435626102</v>
      </c>
      <c r="AA493" cm="1">
        <f t="array" ref="AA493">MMULT($G493:$R493,'Nelson Factor_2019'!$B$1:$B$12)/$G493</f>
        <v>10.173280423280424</v>
      </c>
    </row>
    <row r="494" spans="1:27" x14ac:dyDescent="0.25">
      <c r="A494">
        <v>2008</v>
      </c>
      <c r="B494">
        <v>3</v>
      </c>
      <c r="C494">
        <v>6</v>
      </c>
      <c r="D494" t="s">
        <v>173</v>
      </c>
      <c r="E494" t="s">
        <v>54</v>
      </c>
      <c r="F494" t="s">
        <v>186</v>
      </c>
      <c r="G494">
        <v>348500</v>
      </c>
      <c r="H494">
        <v>143000</v>
      </c>
      <c r="I494">
        <v>48000</v>
      </c>
      <c r="J494">
        <v>0</v>
      </c>
      <c r="K494">
        <v>113000</v>
      </c>
      <c r="L494">
        <v>147000</v>
      </c>
      <c r="M494">
        <v>61500</v>
      </c>
      <c r="N494">
        <v>298000</v>
      </c>
      <c r="O494">
        <v>15500</v>
      </c>
      <c r="P494">
        <v>0</v>
      </c>
      <c r="Q494">
        <v>0</v>
      </c>
      <c r="R494">
        <v>24500</v>
      </c>
      <c r="S494">
        <v>10000</v>
      </c>
      <c r="T494">
        <v>4500</v>
      </c>
      <c r="U494">
        <v>0</v>
      </c>
      <c r="V494">
        <v>54.5</v>
      </c>
      <c r="W494">
        <v>2900</v>
      </c>
      <c r="X494">
        <v>580</v>
      </c>
      <c r="Y494">
        <v>0</v>
      </c>
      <c r="Z494" cm="1">
        <f t="array" ref="Z494">MMULT($G494:$Y494,'Nelson Factor_2019'!$B$1:$B$19)/$G494</f>
        <v>13.076483500717361</v>
      </c>
      <c r="AA494" cm="1">
        <f t="array" ref="AA494">MMULT($G494:$R494,'Nelson Factor_2019'!$B$1:$B$12)/$G494</f>
        <v>10.826111908177905</v>
      </c>
    </row>
    <row r="495" spans="1:27" x14ac:dyDescent="0.25">
      <c r="A495">
        <v>2008</v>
      </c>
      <c r="B495">
        <v>3</v>
      </c>
      <c r="C495">
        <v>6</v>
      </c>
      <c r="D495" t="s">
        <v>173</v>
      </c>
      <c r="E495" t="s">
        <v>35</v>
      </c>
      <c r="F495" t="s">
        <v>179</v>
      </c>
      <c r="G495">
        <v>279300</v>
      </c>
      <c r="H495">
        <v>83125</v>
      </c>
      <c r="I495">
        <v>12600</v>
      </c>
      <c r="J495">
        <v>0</v>
      </c>
      <c r="K495">
        <v>96030</v>
      </c>
      <c r="L495">
        <v>64440</v>
      </c>
      <c r="M495">
        <v>11700</v>
      </c>
      <c r="N495">
        <v>225090</v>
      </c>
      <c r="O495">
        <v>13320</v>
      </c>
      <c r="P495">
        <v>0</v>
      </c>
      <c r="Q495">
        <v>44550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697</v>
      </c>
      <c r="X495">
        <v>241</v>
      </c>
      <c r="Y495">
        <v>0</v>
      </c>
      <c r="Z495" cm="1">
        <f t="array" ref="Z495">MMULT($G495:$Y495,'Nelson Factor_2019'!$B$1:$B$19)/$G495</f>
        <v>11.165798424633012</v>
      </c>
      <c r="AA495" cm="1">
        <f t="array" ref="AA495">MMULT($G495:$R495,'Nelson Factor_2019'!$B$1:$B$12)/$G495</f>
        <v>10.958709273182958</v>
      </c>
    </row>
    <row r="496" spans="1:27" x14ac:dyDescent="0.25">
      <c r="A496">
        <v>2008</v>
      </c>
      <c r="B496">
        <v>3</v>
      </c>
      <c r="C496">
        <v>4</v>
      </c>
      <c r="D496" t="s">
        <v>173</v>
      </c>
      <c r="E496" t="s">
        <v>189</v>
      </c>
      <c r="F496" t="s">
        <v>190</v>
      </c>
      <c r="G496">
        <v>282600</v>
      </c>
      <c r="H496">
        <v>191100</v>
      </c>
      <c r="I496">
        <v>98500</v>
      </c>
      <c r="J496">
        <v>0</v>
      </c>
      <c r="K496">
        <v>97000</v>
      </c>
      <c r="L496">
        <v>33700</v>
      </c>
      <c r="M496">
        <v>0</v>
      </c>
      <c r="N496">
        <v>307900</v>
      </c>
      <c r="O496">
        <v>11250</v>
      </c>
      <c r="P496">
        <v>0</v>
      </c>
      <c r="Q496">
        <v>8350</v>
      </c>
      <c r="R496">
        <v>0</v>
      </c>
      <c r="S496">
        <v>4050</v>
      </c>
      <c r="T496">
        <v>4000</v>
      </c>
      <c r="U496">
        <v>0</v>
      </c>
      <c r="V496">
        <v>0</v>
      </c>
      <c r="W496">
        <v>5000</v>
      </c>
      <c r="X496">
        <v>1042</v>
      </c>
      <c r="Y496">
        <v>0</v>
      </c>
      <c r="Z496" cm="1">
        <f t="array" ref="Z496">MMULT($G496:$Y496,'Nelson Factor_2019'!$B$1:$B$19)/$G496</f>
        <v>12.748089171974522</v>
      </c>
      <c r="AA496" cm="1">
        <f t="array" ref="AA496">MMULT($G496:$R496,'Nelson Factor_2019'!$B$1:$B$12)/$G496</f>
        <v>10.86174805378627</v>
      </c>
    </row>
    <row r="497" spans="1:27" x14ac:dyDescent="0.25">
      <c r="A497">
        <v>2008</v>
      </c>
      <c r="B497">
        <v>3</v>
      </c>
      <c r="C497">
        <v>1</v>
      </c>
      <c r="D497" t="s">
        <v>173</v>
      </c>
      <c r="E497" t="s">
        <v>234</v>
      </c>
      <c r="F497" t="s">
        <v>178</v>
      </c>
      <c r="G497">
        <v>72000</v>
      </c>
      <c r="H497">
        <v>0</v>
      </c>
      <c r="I497">
        <v>0</v>
      </c>
      <c r="J497">
        <v>0</v>
      </c>
      <c r="K497">
        <v>54200</v>
      </c>
      <c r="L497">
        <v>10500</v>
      </c>
      <c r="M497">
        <v>0</v>
      </c>
      <c r="N497">
        <v>0</v>
      </c>
      <c r="O497">
        <v>12400</v>
      </c>
      <c r="P497">
        <v>0</v>
      </c>
      <c r="Q497">
        <v>1900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37</v>
      </c>
      <c r="Y497">
        <v>0</v>
      </c>
      <c r="Z497" cm="1">
        <f t="array" ref="Z497">MMULT($G497:$Y497,'Nelson Factor_2019'!$B$1:$B$19)/$G497</f>
        <v>8.6191666666666666</v>
      </c>
      <c r="AA497" cm="1">
        <f t="array" ref="AA497">MMULT($G497:$R497,'Nelson Factor_2019'!$B$1:$B$12)/$G497</f>
        <v>8.4958333333333336</v>
      </c>
    </row>
    <row r="498" spans="1:27" x14ac:dyDescent="0.25">
      <c r="A498">
        <v>2008</v>
      </c>
      <c r="B498">
        <v>3</v>
      </c>
      <c r="C498">
        <v>6</v>
      </c>
      <c r="D498" t="s">
        <v>173</v>
      </c>
      <c r="E498" t="s">
        <v>112</v>
      </c>
      <c r="F498" t="s">
        <v>191</v>
      </c>
      <c r="G498">
        <v>285000</v>
      </c>
      <c r="H498">
        <v>124000</v>
      </c>
      <c r="I498">
        <v>50000</v>
      </c>
      <c r="J498">
        <v>0</v>
      </c>
      <c r="K498">
        <v>84000</v>
      </c>
      <c r="L498">
        <v>45900</v>
      </c>
      <c r="M498">
        <v>18000</v>
      </c>
      <c r="N498">
        <v>214840</v>
      </c>
      <c r="O498">
        <v>18000</v>
      </c>
      <c r="P498">
        <v>0</v>
      </c>
      <c r="Q498">
        <v>0</v>
      </c>
      <c r="R498">
        <v>0</v>
      </c>
      <c r="S498">
        <v>39020</v>
      </c>
      <c r="T498">
        <v>0</v>
      </c>
      <c r="U498">
        <v>0</v>
      </c>
      <c r="V498">
        <v>0</v>
      </c>
      <c r="W498">
        <v>2500</v>
      </c>
      <c r="X498">
        <v>560</v>
      </c>
      <c r="Y498">
        <v>0</v>
      </c>
      <c r="Z498" cm="1">
        <f t="array" ref="Z498">MMULT($G498:$Y498,'Nelson Factor_2019'!$B$1:$B$19)/$G498</f>
        <v>17.162807017543859</v>
      </c>
      <c r="AA498" cm="1">
        <f t="array" ref="AA498">MMULT($G498:$R498,'Nelson Factor_2019'!$B$1:$B$12)/$G498</f>
        <v>8.4764912280701754</v>
      </c>
    </row>
    <row r="499" spans="1:27" x14ac:dyDescent="0.25">
      <c r="A499">
        <v>2008</v>
      </c>
      <c r="B499">
        <v>3</v>
      </c>
      <c r="C499">
        <v>4</v>
      </c>
      <c r="D499" t="s">
        <v>173</v>
      </c>
      <c r="E499" t="s">
        <v>229</v>
      </c>
      <c r="F499" t="s">
        <v>184</v>
      </c>
      <c r="G499">
        <v>117000</v>
      </c>
      <c r="H499">
        <v>41000</v>
      </c>
      <c r="I499">
        <v>12000</v>
      </c>
      <c r="J499">
        <v>0</v>
      </c>
      <c r="K499">
        <v>50000</v>
      </c>
      <c r="L499">
        <v>20000</v>
      </c>
      <c r="M499">
        <v>0</v>
      </c>
      <c r="N499">
        <v>44000</v>
      </c>
      <c r="O499">
        <v>11000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500</v>
      </c>
      <c r="X499">
        <v>24</v>
      </c>
      <c r="Y499">
        <v>0</v>
      </c>
      <c r="Z499" cm="1">
        <f t="array" ref="Z499">MMULT($G499:$Y499,'Nelson Factor_2019'!$B$1:$B$19)/$G499</f>
        <v>7.5731623931623933</v>
      </c>
      <c r="AA499" cm="1">
        <f t="array" ref="AA499">MMULT($G499:$R499,'Nelson Factor_2019'!$B$1:$B$12)/$G499</f>
        <v>7.5239316239316238</v>
      </c>
    </row>
    <row r="500" spans="1:27" x14ac:dyDescent="0.25">
      <c r="A500">
        <v>2008</v>
      </c>
      <c r="B500">
        <v>3</v>
      </c>
      <c r="C500">
        <v>6</v>
      </c>
      <c r="D500" t="s">
        <v>173</v>
      </c>
      <c r="E500" t="s">
        <v>192</v>
      </c>
      <c r="F500" t="s">
        <v>193</v>
      </c>
      <c r="G500">
        <v>329800</v>
      </c>
      <c r="H500">
        <v>169600</v>
      </c>
      <c r="I500">
        <v>81600</v>
      </c>
      <c r="J500">
        <v>0</v>
      </c>
      <c r="K500">
        <v>64400</v>
      </c>
      <c r="L500">
        <v>66200</v>
      </c>
      <c r="M500">
        <v>60000</v>
      </c>
      <c r="N500">
        <v>282900</v>
      </c>
      <c r="O500">
        <v>18500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57.9</v>
      </c>
      <c r="V500">
        <v>35.4</v>
      </c>
      <c r="W500">
        <v>5286</v>
      </c>
      <c r="X500">
        <v>1132</v>
      </c>
      <c r="Y500">
        <v>0</v>
      </c>
      <c r="Z500" cm="1">
        <f t="array" ref="Z500">MMULT($G500:$Y500,'Nelson Factor_2019'!$B$1:$B$19)/$G500</f>
        <v>10.684364160097028</v>
      </c>
      <c r="AA500" cm="1">
        <f t="array" ref="AA500">MMULT($G500:$R500,'Nelson Factor_2019'!$B$1:$B$12)/$G500</f>
        <v>9.8603092783505151</v>
      </c>
    </row>
    <row r="501" spans="1:27" x14ac:dyDescent="0.25">
      <c r="A501">
        <v>2008</v>
      </c>
      <c r="B501">
        <v>3</v>
      </c>
      <c r="C501">
        <v>1</v>
      </c>
      <c r="D501" t="s">
        <v>173</v>
      </c>
      <c r="E501" t="s">
        <v>194</v>
      </c>
      <c r="F501" t="s">
        <v>191</v>
      </c>
      <c r="G501">
        <v>231452</v>
      </c>
      <c r="H501">
        <v>51781</v>
      </c>
      <c r="I501">
        <v>0</v>
      </c>
      <c r="J501">
        <v>0</v>
      </c>
      <c r="K501">
        <v>76493</v>
      </c>
      <c r="L501">
        <v>37539</v>
      </c>
      <c r="M501">
        <v>0</v>
      </c>
      <c r="N501">
        <v>156442</v>
      </c>
      <c r="O501">
        <v>6427</v>
      </c>
      <c r="P501">
        <v>0</v>
      </c>
      <c r="Q501">
        <v>0</v>
      </c>
      <c r="R501">
        <v>13501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270</v>
      </c>
      <c r="Y501">
        <v>1667</v>
      </c>
      <c r="Z501" cm="1">
        <f t="array" ref="Z501">MMULT($G501:$Y501,'Nelson Factor_2019'!$B$1:$B$19)/$G501</f>
        <v>6.5179769455437846</v>
      </c>
      <c r="AA501" cm="1">
        <f t="array" ref="AA501">MMULT($G501:$R501,'Nelson Factor_2019'!$B$1:$B$12)/$G501</f>
        <v>6.2272017524151879</v>
      </c>
    </row>
    <row r="502" spans="1:27" x14ac:dyDescent="0.25">
      <c r="A502">
        <v>2008</v>
      </c>
      <c r="B502">
        <v>3</v>
      </c>
      <c r="C502">
        <v>6</v>
      </c>
      <c r="D502" t="s">
        <v>173</v>
      </c>
      <c r="E502" t="s">
        <v>66</v>
      </c>
      <c r="F502" t="s">
        <v>179</v>
      </c>
      <c r="G502">
        <v>205000</v>
      </c>
      <c r="H502">
        <v>95000</v>
      </c>
      <c r="I502">
        <v>17500</v>
      </c>
      <c r="J502">
        <v>0</v>
      </c>
      <c r="K502">
        <v>112000</v>
      </c>
      <c r="L502">
        <v>67000</v>
      </c>
      <c r="M502">
        <v>49000</v>
      </c>
      <c r="N502">
        <v>296000</v>
      </c>
      <c r="O502">
        <v>18500</v>
      </c>
      <c r="P502">
        <v>11200</v>
      </c>
      <c r="Q502">
        <v>23000</v>
      </c>
      <c r="R502">
        <v>12000</v>
      </c>
      <c r="S502">
        <v>0</v>
      </c>
      <c r="T502">
        <v>0</v>
      </c>
      <c r="U502">
        <v>194</v>
      </c>
      <c r="V502">
        <v>74</v>
      </c>
      <c r="W502">
        <v>998</v>
      </c>
      <c r="X502">
        <v>790</v>
      </c>
      <c r="Y502">
        <v>38000</v>
      </c>
      <c r="Z502" cm="1">
        <f t="array" ref="Z502">MMULT($G502:$Y502,'Nelson Factor_2019'!$B$1:$B$19)/$G502</f>
        <v>17.749356097560977</v>
      </c>
      <c r="AA502" cm="1">
        <f t="array" ref="AA502">MMULT($G502:$R502,'Nelson Factor_2019'!$B$1:$B$12)/$G502</f>
        <v>16.545121951219514</v>
      </c>
    </row>
    <row r="503" spans="1:27" x14ac:dyDescent="0.25">
      <c r="A503">
        <v>2008</v>
      </c>
      <c r="B503">
        <v>3</v>
      </c>
      <c r="C503">
        <v>3</v>
      </c>
      <c r="D503" t="s">
        <v>173</v>
      </c>
      <c r="E503" t="s">
        <v>66</v>
      </c>
      <c r="F503" t="s">
        <v>190</v>
      </c>
      <c r="G503">
        <v>90000</v>
      </c>
      <c r="H503">
        <v>39000</v>
      </c>
      <c r="I503">
        <v>0</v>
      </c>
      <c r="J503">
        <v>0</v>
      </c>
      <c r="K503">
        <v>65000</v>
      </c>
      <c r="L503">
        <v>11000</v>
      </c>
      <c r="M503">
        <v>23000</v>
      </c>
      <c r="N503">
        <v>83000</v>
      </c>
      <c r="O503">
        <v>11000</v>
      </c>
      <c r="P503">
        <v>1400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300</v>
      </c>
      <c r="Y503">
        <v>0</v>
      </c>
      <c r="Z503" cm="1">
        <f t="array" ref="Z503">MMULT($G503:$Y503,'Nelson Factor_2019'!$B$1:$B$19)/$G503</f>
        <v>13.035555555555556</v>
      </c>
      <c r="AA503" cm="1">
        <f t="array" ref="AA503">MMULT($G503:$R503,'Nelson Factor_2019'!$B$1:$B$12)/$G503</f>
        <v>12.235555555555555</v>
      </c>
    </row>
    <row r="504" spans="1:27" x14ac:dyDescent="0.25">
      <c r="A504">
        <v>2008</v>
      </c>
      <c r="B504">
        <v>3</v>
      </c>
      <c r="C504">
        <v>6</v>
      </c>
      <c r="D504" t="s">
        <v>173</v>
      </c>
      <c r="E504" t="s">
        <v>66</v>
      </c>
      <c r="F504" t="s">
        <v>191</v>
      </c>
      <c r="G504">
        <v>250000</v>
      </c>
      <c r="H504">
        <v>145000</v>
      </c>
      <c r="I504">
        <v>100000</v>
      </c>
      <c r="J504">
        <v>0</v>
      </c>
      <c r="K504">
        <v>80000</v>
      </c>
      <c r="L504">
        <v>53000</v>
      </c>
      <c r="M504">
        <v>45000</v>
      </c>
      <c r="N504">
        <v>282000</v>
      </c>
      <c r="O504">
        <v>20000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105</v>
      </c>
      <c r="V504">
        <v>6</v>
      </c>
      <c r="W504">
        <v>6200</v>
      </c>
      <c r="X504">
        <v>1050</v>
      </c>
      <c r="Y504">
        <v>0</v>
      </c>
      <c r="Z504" cm="1">
        <f t="array" ref="Z504">MMULT($G504:$Y504,'Nelson Factor_2019'!$B$1:$B$19)/$G504</f>
        <v>13.802443999999999</v>
      </c>
      <c r="AA504" cm="1">
        <f t="array" ref="AA504">MMULT($G504:$R504,'Nelson Factor_2019'!$B$1:$B$12)/$G504</f>
        <v>12.794</v>
      </c>
    </row>
    <row r="505" spans="1:27" x14ac:dyDescent="0.25">
      <c r="A505">
        <v>2008</v>
      </c>
      <c r="B505">
        <v>3</v>
      </c>
      <c r="C505">
        <v>3</v>
      </c>
      <c r="D505" t="s">
        <v>173</v>
      </c>
      <c r="E505" t="s">
        <v>66</v>
      </c>
      <c r="F505" t="s">
        <v>195</v>
      </c>
      <c r="G505">
        <v>166660</v>
      </c>
      <c r="H505">
        <v>53200</v>
      </c>
      <c r="I505">
        <v>0</v>
      </c>
      <c r="J505">
        <v>0</v>
      </c>
      <c r="K505">
        <v>54465</v>
      </c>
      <c r="L505">
        <v>47400</v>
      </c>
      <c r="M505">
        <v>29500</v>
      </c>
      <c r="N505">
        <v>97612</v>
      </c>
      <c r="O505">
        <v>9500</v>
      </c>
      <c r="P505">
        <v>0</v>
      </c>
      <c r="Q505">
        <v>0</v>
      </c>
      <c r="R505">
        <v>7000</v>
      </c>
      <c r="S505">
        <v>0</v>
      </c>
      <c r="T505">
        <v>4900</v>
      </c>
      <c r="U505">
        <v>0</v>
      </c>
      <c r="V505">
        <v>0</v>
      </c>
      <c r="W505">
        <v>0</v>
      </c>
      <c r="X505">
        <v>60</v>
      </c>
      <c r="Y505">
        <v>0</v>
      </c>
      <c r="Z505" cm="1">
        <f t="array" ref="Z505">MMULT($G505:$Y505,'Nelson Factor_2019'!$B$1:$B$19)/$G505</f>
        <v>8.7545901836073448</v>
      </c>
      <c r="AA505" cm="1">
        <f t="array" ref="AA505">MMULT($G505:$R505,'Nelson Factor_2019'!$B$1:$B$12)/$G505</f>
        <v>8.3741749669986802</v>
      </c>
    </row>
    <row r="506" spans="1:27" x14ac:dyDescent="0.25">
      <c r="A506">
        <v>2008</v>
      </c>
      <c r="B506">
        <v>3</v>
      </c>
      <c r="C506">
        <v>4</v>
      </c>
      <c r="D506" t="s">
        <v>173</v>
      </c>
      <c r="E506" t="s">
        <v>66</v>
      </c>
      <c r="F506" t="s">
        <v>178</v>
      </c>
      <c r="G506">
        <v>225000</v>
      </c>
      <c r="H506">
        <v>130000</v>
      </c>
      <c r="I506">
        <v>50000</v>
      </c>
      <c r="J506">
        <v>0</v>
      </c>
      <c r="K506">
        <v>80000</v>
      </c>
      <c r="L506">
        <v>14500</v>
      </c>
      <c r="M506">
        <v>0</v>
      </c>
      <c r="N506">
        <v>263000</v>
      </c>
      <c r="O506">
        <v>12000</v>
      </c>
      <c r="P506">
        <v>0</v>
      </c>
      <c r="Q506">
        <v>0</v>
      </c>
      <c r="R506">
        <v>6500</v>
      </c>
      <c r="S506">
        <v>0</v>
      </c>
      <c r="T506">
        <v>2500</v>
      </c>
      <c r="U506">
        <v>0</v>
      </c>
      <c r="V506">
        <v>60</v>
      </c>
      <c r="W506">
        <v>3000</v>
      </c>
      <c r="X506">
        <v>890</v>
      </c>
      <c r="Y506">
        <v>0</v>
      </c>
      <c r="Z506" cm="1">
        <f t="array" ref="Z506">MMULT($G506:$Y506,'Nelson Factor_2019'!$B$1:$B$19)/$G506</f>
        <v>10.476266666666668</v>
      </c>
      <c r="AA506" cm="1">
        <f t="array" ref="AA506">MMULT($G506:$R506,'Nelson Factor_2019'!$B$1:$B$12)/$G506</f>
        <v>9.4155555555555548</v>
      </c>
    </row>
    <row r="507" spans="1:27" x14ac:dyDescent="0.25">
      <c r="A507">
        <v>2008</v>
      </c>
      <c r="B507">
        <v>3</v>
      </c>
      <c r="C507">
        <v>1</v>
      </c>
      <c r="D507" t="s">
        <v>173</v>
      </c>
      <c r="E507" t="s">
        <v>66</v>
      </c>
      <c r="F507" t="s">
        <v>196</v>
      </c>
      <c r="G507">
        <v>96000</v>
      </c>
      <c r="H507">
        <v>35000</v>
      </c>
      <c r="I507">
        <v>0</v>
      </c>
      <c r="J507">
        <v>0</v>
      </c>
      <c r="K507">
        <v>24500</v>
      </c>
      <c r="L507">
        <v>34000</v>
      </c>
      <c r="M507">
        <v>0</v>
      </c>
      <c r="N507">
        <v>78300</v>
      </c>
      <c r="O507">
        <v>6500</v>
      </c>
      <c r="P507">
        <v>0</v>
      </c>
      <c r="Q507">
        <v>18000</v>
      </c>
      <c r="R507">
        <v>0</v>
      </c>
      <c r="S507">
        <v>3200</v>
      </c>
      <c r="T507">
        <v>0</v>
      </c>
      <c r="U507">
        <v>0</v>
      </c>
      <c r="V507">
        <v>10</v>
      </c>
      <c r="W507">
        <v>0</v>
      </c>
      <c r="X507">
        <v>0</v>
      </c>
      <c r="Y507">
        <v>0</v>
      </c>
      <c r="Z507" cm="1">
        <f t="array" ref="Z507">MMULT($G507:$Y507,'Nelson Factor_2019'!$B$1:$B$19)/$G507</f>
        <v>13.242291666666667</v>
      </c>
      <c r="AA507" cm="1">
        <f t="array" ref="AA507">MMULT($G507:$R507,'Nelson Factor_2019'!$B$1:$B$12)/$G507</f>
        <v>11.2421875</v>
      </c>
    </row>
    <row r="508" spans="1:27" x14ac:dyDescent="0.25">
      <c r="A508">
        <v>2008</v>
      </c>
      <c r="B508">
        <v>3</v>
      </c>
      <c r="C508">
        <v>1</v>
      </c>
      <c r="D508" t="s">
        <v>173</v>
      </c>
      <c r="E508" t="s">
        <v>197</v>
      </c>
      <c r="F508" t="s">
        <v>198</v>
      </c>
      <c r="G508">
        <v>117000</v>
      </c>
      <c r="H508">
        <v>34700</v>
      </c>
      <c r="I508">
        <v>0</v>
      </c>
      <c r="J508">
        <v>0</v>
      </c>
      <c r="K508">
        <v>28000</v>
      </c>
      <c r="L508">
        <v>17700</v>
      </c>
      <c r="M508">
        <v>0</v>
      </c>
      <c r="N508">
        <v>37800</v>
      </c>
      <c r="O508">
        <v>8200</v>
      </c>
      <c r="P508">
        <v>0</v>
      </c>
      <c r="Q508">
        <v>0</v>
      </c>
      <c r="R508">
        <v>2500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20</v>
      </c>
      <c r="Y508">
        <v>4800</v>
      </c>
      <c r="Z508" cm="1">
        <f t="array" ref="Z508">MMULT($G508:$Y508,'Nelson Factor_2019'!$B$1:$B$19)/$G508</f>
        <v>5.2530769230769234</v>
      </c>
      <c r="AA508" cm="1">
        <f t="array" ref="AA508">MMULT($G508:$R508,'Nelson Factor_2019'!$B$1:$B$12)/$G508</f>
        <v>5.1505128205128203</v>
      </c>
    </row>
    <row r="509" spans="1:27" x14ac:dyDescent="0.25">
      <c r="A509">
        <v>2008</v>
      </c>
      <c r="B509">
        <v>3</v>
      </c>
      <c r="C509">
        <v>4</v>
      </c>
      <c r="D509" t="s">
        <v>173</v>
      </c>
      <c r="E509" t="s">
        <v>240</v>
      </c>
      <c r="F509" t="s">
        <v>181</v>
      </c>
      <c r="G509">
        <v>146000</v>
      </c>
      <c r="H509">
        <v>71000</v>
      </c>
      <c r="I509">
        <v>23000</v>
      </c>
      <c r="J509">
        <v>0</v>
      </c>
      <c r="K509">
        <v>51000</v>
      </c>
      <c r="L509">
        <v>29000</v>
      </c>
      <c r="M509">
        <v>0</v>
      </c>
      <c r="N509">
        <v>156000</v>
      </c>
      <c r="O509">
        <v>17000</v>
      </c>
      <c r="P509">
        <v>0</v>
      </c>
      <c r="Q509">
        <v>0</v>
      </c>
      <c r="R509">
        <v>42000</v>
      </c>
      <c r="S509">
        <v>0</v>
      </c>
      <c r="T509">
        <v>0</v>
      </c>
      <c r="U509">
        <v>90</v>
      </c>
      <c r="V509">
        <v>0</v>
      </c>
      <c r="W509">
        <v>1250</v>
      </c>
      <c r="X509">
        <v>400</v>
      </c>
      <c r="Y509">
        <v>0</v>
      </c>
      <c r="Z509" cm="1">
        <f t="array" ref="Z509">MMULT($G509:$Y509,'Nelson Factor_2019'!$B$1:$B$19)/$G509</f>
        <v>11.259520547945206</v>
      </c>
      <c r="AA509" cm="1">
        <f t="array" ref="AA509">MMULT($G509:$R509,'Nelson Factor_2019'!$B$1:$B$12)/$G509</f>
        <v>10.601369863013698</v>
      </c>
    </row>
    <row r="510" spans="1:27" x14ac:dyDescent="0.25">
      <c r="A510">
        <v>2008</v>
      </c>
      <c r="B510">
        <v>4</v>
      </c>
      <c r="C510">
        <v>3</v>
      </c>
      <c r="D510" t="s">
        <v>199</v>
      </c>
      <c r="E510" t="s">
        <v>237</v>
      </c>
      <c r="F510" t="s">
        <v>201</v>
      </c>
      <c r="G510">
        <v>30000</v>
      </c>
      <c r="H510">
        <v>5000</v>
      </c>
      <c r="I510">
        <v>0</v>
      </c>
      <c r="J510">
        <v>0</v>
      </c>
      <c r="K510">
        <v>11500</v>
      </c>
      <c r="L510">
        <v>7300</v>
      </c>
      <c r="M510">
        <v>1600</v>
      </c>
      <c r="N510">
        <v>18500</v>
      </c>
      <c r="O510">
        <v>2500</v>
      </c>
      <c r="P510">
        <v>0</v>
      </c>
      <c r="Q510">
        <v>0</v>
      </c>
      <c r="R510">
        <v>4200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4</v>
      </c>
      <c r="Y510">
        <v>0</v>
      </c>
      <c r="Z510" cm="1">
        <f t="array" ref="Z510">MMULT($G510:$Y510,'Nelson Factor_2019'!$B$1:$B$19)/$G510</f>
        <v>7.9870000000000001</v>
      </c>
      <c r="AA510" cm="1">
        <f t="array" ref="AA510">MMULT($G510:$R510,'Nelson Factor_2019'!$B$1:$B$12)/$G510</f>
        <v>7.9550000000000001</v>
      </c>
    </row>
    <row r="511" spans="1:27" x14ac:dyDescent="0.25">
      <c r="A511">
        <v>2008</v>
      </c>
      <c r="B511">
        <v>4</v>
      </c>
      <c r="C511">
        <v>4</v>
      </c>
      <c r="D511" t="s">
        <v>199</v>
      </c>
      <c r="E511" t="s">
        <v>227</v>
      </c>
      <c r="F511" t="s">
        <v>201</v>
      </c>
      <c r="G511">
        <v>45000</v>
      </c>
      <c r="H511">
        <v>25600</v>
      </c>
      <c r="I511">
        <v>7200</v>
      </c>
      <c r="J511">
        <v>0</v>
      </c>
      <c r="K511">
        <v>13000</v>
      </c>
      <c r="L511">
        <v>7000</v>
      </c>
      <c r="M511">
        <v>0</v>
      </c>
      <c r="N511">
        <v>39000</v>
      </c>
      <c r="O511">
        <v>4500</v>
      </c>
      <c r="P511">
        <v>0</v>
      </c>
      <c r="Q511">
        <v>0</v>
      </c>
      <c r="R511">
        <v>1000</v>
      </c>
      <c r="S511">
        <v>0</v>
      </c>
      <c r="T511">
        <v>0</v>
      </c>
      <c r="U511">
        <v>0</v>
      </c>
      <c r="V511">
        <v>0</v>
      </c>
      <c r="W511">
        <v>281</v>
      </c>
      <c r="X511">
        <v>30</v>
      </c>
      <c r="Y511">
        <v>0</v>
      </c>
      <c r="Z511" cm="1">
        <f t="array" ref="Z511">MMULT($G511:$Y511,'Nelson Factor_2019'!$B$1:$B$19)/$G511</f>
        <v>8.8439999999999994</v>
      </c>
      <c r="AA511" cm="1">
        <f t="array" ref="AA511">MMULT($G511:$R511,'Nelson Factor_2019'!$B$1:$B$12)/$G511</f>
        <v>8.6839999999999993</v>
      </c>
    </row>
    <row r="512" spans="1:27" x14ac:dyDescent="0.25">
      <c r="A512">
        <v>2008</v>
      </c>
      <c r="B512">
        <v>4</v>
      </c>
      <c r="C512">
        <v>1</v>
      </c>
      <c r="D512" t="s">
        <v>199</v>
      </c>
      <c r="E512" t="s">
        <v>202</v>
      </c>
      <c r="F512" t="s">
        <v>203</v>
      </c>
      <c r="G512">
        <v>26400</v>
      </c>
      <c r="H512">
        <v>0</v>
      </c>
      <c r="I512">
        <v>0</v>
      </c>
      <c r="J512">
        <v>0</v>
      </c>
      <c r="K512">
        <v>8900</v>
      </c>
      <c r="L512">
        <v>8000</v>
      </c>
      <c r="M512">
        <v>0</v>
      </c>
      <c r="N512">
        <v>25000</v>
      </c>
      <c r="O512">
        <v>2900</v>
      </c>
      <c r="P512">
        <v>0</v>
      </c>
      <c r="Q512">
        <v>0</v>
      </c>
      <c r="R512">
        <v>3000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10</v>
      </c>
      <c r="Y512">
        <v>0</v>
      </c>
      <c r="Z512" cm="1">
        <f t="array" ref="Z512">MMULT($G512:$Y512,'Nelson Factor_2019'!$B$1:$B$19)/$G512</f>
        <v>8.4356060606060606</v>
      </c>
      <c r="AA512" cm="1">
        <f t="array" ref="AA512">MMULT($G512:$R512,'Nelson Factor_2019'!$B$1:$B$12)/$G512</f>
        <v>8.3446969696969688</v>
      </c>
    </row>
    <row r="513" spans="1:27" x14ac:dyDescent="0.25">
      <c r="A513">
        <v>2008</v>
      </c>
      <c r="B513">
        <v>4</v>
      </c>
      <c r="C513">
        <v>0</v>
      </c>
      <c r="D513" t="s">
        <v>199</v>
      </c>
      <c r="E513" t="s">
        <v>204</v>
      </c>
      <c r="F513" t="s">
        <v>203</v>
      </c>
      <c r="G513">
        <v>12500</v>
      </c>
      <c r="H513">
        <v>6000</v>
      </c>
      <c r="I513">
        <v>0</v>
      </c>
      <c r="J513">
        <v>0</v>
      </c>
      <c r="K513">
        <v>0</v>
      </c>
      <c r="L513">
        <v>2200</v>
      </c>
      <c r="M513">
        <v>0</v>
      </c>
      <c r="N513">
        <v>6200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1200</v>
      </c>
      <c r="Z513" cm="1">
        <f t="array" ref="Z513">MMULT($G513:$Y513,'Nelson Factor_2019'!$B$1:$B$19)/$G513</f>
        <v>3.8879999999999999</v>
      </c>
      <c r="AA513" cm="1">
        <f t="array" ref="AA513">MMULT($G513:$R513,'Nelson Factor_2019'!$B$1:$B$12)/$G513</f>
        <v>3.7440000000000002</v>
      </c>
    </row>
    <row r="514" spans="1:27" x14ac:dyDescent="0.25">
      <c r="A514">
        <v>2008</v>
      </c>
      <c r="B514">
        <v>4</v>
      </c>
      <c r="C514">
        <v>1</v>
      </c>
      <c r="D514" t="s">
        <v>199</v>
      </c>
      <c r="E514" t="s">
        <v>148</v>
      </c>
      <c r="F514" t="s">
        <v>201</v>
      </c>
      <c r="G514">
        <v>60000</v>
      </c>
      <c r="H514">
        <v>0</v>
      </c>
      <c r="I514">
        <v>0</v>
      </c>
      <c r="J514">
        <v>0</v>
      </c>
      <c r="K514">
        <v>23000</v>
      </c>
      <c r="L514">
        <v>12000</v>
      </c>
      <c r="M514">
        <v>0</v>
      </c>
      <c r="N514">
        <v>23000</v>
      </c>
      <c r="O514">
        <v>6000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15</v>
      </c>
      <c r="Y514">
        <v>0</v>
      </c>
      <c r="Z514" cm="1">
        <f t="array" ref="Z514">MMULT($G514:$Y514,'Nelson Factor_2019'!$B$1:$B$19)/$G514</f>
        <v>6.3183333333333334</v>
      </c>
      <c r="AA514" cm="1">
        <f t="array" ref="AA514">MMULT($G514:$R514,'Nelson Factor_2019'!$B$1:$B$12)/$G514</f>
        <v>6.2583333333333337</v>
      </c>
    </row>
    <row r="515" spans="1:27" x14ac:dyDescent="0.25">
      <c r="A515">
        <v>2008</v>
      </c>
      <c r="B515">
        <v>1</v>
      </c>
      <c r="C515">
        <v>4</v>
      </c>
      <c r="D515" t="s">
        <v>205</v>
      </c>
      <c r="E515" t="s">
        <v>206</v>
      </c>
      <c r="F515" t="s">
        <v>207</v>
      </c>
      <c r="G515">
        <v>58900</v>
      </c>
      <c r="H515">
        <v>33000</v>
      </c>
      <c r="I515">
        <v>17100</v>
      </c>
      <c r="J515">
        <v>0</v>
      </c>
      <c r="K515">
        <v>26700</v>
      </c>
      <c r="L515">
        <v>10800</v>
      </c>
      <c r="M515">
        <v>0</v>
      </c>
      <c r="N515">
        <v>29300</v>
      </c>
      <c r="O515">
        <v>0</v>
      </c>
      <c r="P515">
        <v>4000</v>
      </c>
      <c r="Q515">
        <v>0</v>
      </c>
      <c r="R515">
        <v>0</v>
      </c>
      <c r="S515">
        <v>0</v>
      </c>
      <c r="T515">
        <v>660</v>
      </c>
      <c r="U515">
        <v>0</v>
      </c>
      <c r="V515">
        <v>0</v>
      </c>
      <c r="W515">
        <v>905</v>
      </c>
      <c r="X515">
        <v>36</v>
      </c>
      <c r="Y515">
        <v>0</v>
      </c>
      <c r="Z515" cm="1">
        <f t="array" ref="Z515">MMULT($G515:$Y515,'Nelson Factor_2019'!$B$1:$B$19)/$G515</f>
        <v>9.723938879456707</v>
      </c>
      <c r="AA515" cm="1">
        <f t="array" ref="AA515">MMULT($G515:$R515,'Nelson Factor_2019'!$B$1:$B$12)/$G515</f>
        <v>9.4651952461799667</v>
      </c>
    </row>
    <row r="516" spans="1:27" x14ac:dyDescent="0.25">
      <c r="A516">
        <v>2008</v>
      </c>
      <c r="B516">
        <v>5</v>
      </c>
      <c r="C516">
        <v>5</v>
      </c>
      <c r="D516" t="s">
        <v>208</v>
      </c>
      <c r="E516" t="s">
        <v>32</v>
      </c>
      <c r="F516" t="s">
        <v>209</v>
      </c>
      <c r="G516">
        <v>234000</v>
      </c>
      <c r="H516">
        <v>255000</v>
      </c>
      <c r="I516">
        <v>62000</v>
      </c>
      <c r="J516">
        <v>0</v>
      </c>
      <c r="K516">
        <v>0</v>
      </c>
      <c r="L516">
        <v>65000</v>
      </c>
      <c r="M516">
        <v>61000</v>
      </c>
      <c r="N516">
        <v>130800</v>
      </c>
      <c r="O516">
        <v>0</v>
      </c>
      <c r="P516">
        <v>0</v>
      </c>
      <c r="Q516">
        <v>0</v>
      </c>
      <c r="R516">
        <v>24000</v>
      </c>
      <c r="S516">
        <v>0</v>
      </c>
      <c r="T516">
        <v>0</v>
      </c>
      <c r="U516">
        <v>90</v>
      </c>
      <c r="V516">
        <v>42</v>
      </c>
      <c r="W516">
        <v>1446</v>
      </c>
      <c r="X516">
        <v>80</v>
      </c>
      <c r="Y516">
        <v>0</v>
      </c>
      <c r="Z516" cm="1">
        <f t="array" ref="Z516">MMULT($G516:$Y516,'Nelson Factor_2019'!$B$1:$B$19)/$G516</f>
        <v>9.6659487179487176</v>
      </c>
      <c r="AA516" cm="1">
        <f t="array" ref="AA516">MMULT($G516:$R516,'Nelson Factor_2019'!$B$1:$B$12)/$G516</f>
        <v>9.5833333333333339</v>
      </c>
    </row>
    <row r="517" spans="1:27" x14ac:dyDescent="0.25">
      <c r="A517">
        <v>2008</v>
      </c>
      <c r="B517">
        <v>5</v>
      </c>
      <c r="C517">
        <v>1</v>
      </c>
      <c r="D517" t="s">
        <v>208</v>
      </c>
      <c r="E517" t="s">
        <v>51</v>
      </c>
      <c r="F517" t="s">
        <v>209</v>
      </c>
      <c r="G517">
        <v>100000</v>
      </c>
      <c r="H517">
        <v>46400</v>
      </c>
      <c r="I517">
        <v>0</v>
      </c>
      <c r="J517">
        <v>0</v>
      </c>
      <c r="K517">
        <v>32500</v>
      </c>
      <c r="L517">
        <v>15700</v>
      </c>
      <c r="M517">
        <v>0</v>
      </c>
      <c r="N517">
        <v>70200</v>
      </c>
      <c r="O517">
        <v>8600</v>
      </c>
      <c r="P517">
        <v>0</v>
      </c>
      <c r="Q517">
        <v>0</v>
      </c>
      <c r="R517">
        <v>4000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105</v>
      </c>
      <c r="Y517">
        <v>0</v>
      </c>
      <c r="Z517" cm="1">
        <f t="array" ref="Z517">MMULT($G517:$Y517,'Nelson Factor_2019'!$B$1:$B$19)/$G517</f>
        <v>7.3251999999999997</v>
      </c>
      <c r="AA517" cm="1">
        <f t="array" ref="AA517">MMULT($G517:$R517,'Nelson Factor_2019'!$B$1:$B$12)/$G517</f>
        <v>7.0731999999999999</v>
      </c>
    </row>
    <row r="518" spans="1:27" x14ac:dyDescent="0.25">
      <c r="A518">
        <v>2008</v>
      </c>
      <c r="B518">
        <v>5</v>
      </c>
      <c r="C518">
        <v>4</v>
      </c>
      <c r="D518" t="s">
        <v>208</v>
      </c>
      <c r="E518" t="s">
        <v>61</v>
      </c>
      <c r="F518" t="s">
        <v>210</v>
      </c>
      <c r="G518">
        <v>148600</v>
      </c>
      <c r="H518">
        <v>65500</v>
      </c>
      <c r="I518">
        <v>25700</v>
      </c>
      <c r="J518">
        <v>0</v>
      </c>
      <c r="K518">
        <v>57900</v>
      </c>
      <c r="L518">
        <v>33000</v>
      </c>
      <c r="M518">
        <v>0</v>
      </c>
      <c r="N518">
        <v>130600</v>
      </c>
      <c r="O518">
        <v>12050</v>
      </c>
      <c r="P518">
        <v>4300</v>
      </c>
      <c r="Q518">
        <v>0</v>
      </c>
      <c r="R518">
        <v>7000</v>
      </c>
      <c r="S518">
        <v>0</v>
      </c>
      <c r="T518">
        <v>0</v>
      </c>
      <c r="U518">
        <v>7</v>
      </c>
      <c r="V518">
        <v>0</v>
      </c>
      <c r="W518">
        <v>1400</v>
      </c>
      <c r="X518">
        <v>350</v>
      </c>
      <c r="Y518">
        <v>0</v>
      </c>
      <c r="Z518" cm="1">
        <f t="array" ref="Z518">MMULT($G518:$Y518,'Nelson Factor_2019'!$B$1:$B$19)/$G518</f>
        <v>10.322388963660835</v>
      </c>
      <c r="AA518" cm="1">
        <f t="array" ref="AA518">MMULT($G518:$R518,'Nelson Factor_2019'!$B$1:$B$12)/$G518</f>
        <v>9.7570659488559901</v>
      </c>
    </row>
    <row r="519" spans="1:27" x14ac:dyDescent="0.25">
      <c r="A519">
        <v>2008</v>
      </c>
      <c r="B519">
        <v>5</v>
      </c>
      <c r="C519">
        <v>1</v>
      </c>
      <c r="D519" t="s">
        <v>208</v>
      </c>
      <c r="E519" t="s">
        <v>148</v>
      </c>
      <c r="F519" t="s">
        <v>210</v>
      </c>
      <c r="G519">
        <v>113300</v>
      </c>
      <c r="H519">
        <v>47200</v>
      </c>
      <c r="I519">
        <v>0</v>
      </c>
      <c r="J519">
        <v>0</v>
      </c>
      <c r="K519">
        <v>44800</v>
      </c>
      <c r="L519">
        <v>26500</v>
      </c>
      <c r="M519">
        <v>0</v>
      </c>
      <c r="N519">
        <v>61600</v>
      </c>
      <c r="O519">
        <v>11000</v>
      </c>
      <c r="P519">
        <v>0</v>
      </c>
      <c r="Q519">
        <v>0</v>
      </c>
      <c r="R519">
        <v>3400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48</v>
      </c>
      <c r="Y519">
        <v>1000</v>
      </c>
      <c r="Z519" cm="1">
        <f t="array" ref="Z519">MMULT($G519:$Y519,'Nelson Factor_2019'!$B$1:$B$19)/$G519</f>
        <v>7.6185348631950571</v>
      </c>
      <c r="AA519" cm="1">
        <f t="array" ref="AA519">MMULT($G519:$R519,'Nelson Factor_2019'!$B$1:$B$12)/$G519</f>
        <v>7.5036187113857018</v>
      </c>
    </row>
    <row r="520" spans="1:27" x14ac:dyDescent="0.25">
      <c r="A520">
        <v>2008</v>
      </c>
      <c r="B520">
        <v>5</v>
      </c>
      <c r="C520">
        <v>0</v>
      </c>
      <c r="D520" t="s">
        <v>208</v>
      </c>
      <c r="E520" t="s">
        <v>211</v>
      </c>
      <c r="F520" t="s">
        <v>212</v>
      </c>
      <c r="G520">
        <v>39000</v>
      </c>
      <c r="H520">
        <v>17700</v>
      </c>
      <c r="I520">
        <v>0</v>
      </c>
      <c r="J520">
        <v>0</v>
      </c>
      <c r="K520">
        <v>0</v>
      </c>
      <c r="L520">
        <v>5650</v>
      </c>
      <c r="M520">
        <v>0</v>
      </c>
      <c r="N520">
        <v>14800</v>
      </c>
      <c r="O520">
        <v>0</v>
      </c>
      <c r="P520">
        <v>0</v>
      </c>
      <c r="Q520">
        <v>0</v>
      </c>
      <c r="R520">
        <v>3000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10000</v>
      </c>
      <c r="Z520" cm="1">
        <f t="array" ref="Z520">MMULT($G520:$Y520,'Nelson Factor_2019'!$B$1:$B$19)/$G520</f>
        <v>3.8784615384615386</v>
      </c>
      <c r="AA520" cm="1">
        <f t="array" ref="AA520">MMULT($G520:$R520,'Nelson Factor_2019'!$B$1:$B$12)/$G520</f>
        <v>3.493846153846154</v>
      </c>
    </row>
    <row r="521" spans="1:27" x14ac:dyDescent="0.25">
      <c r="A521">
        <v>2008</v>
      </c>
      <c r="B521">
        <v>1</v>
      </c>
      <c r="C521">
        <v>0</v>
      </c>
      <c r="D521" t="s">
        <v>213</v>
      </c>
      <c r="E521" t="s">
        <v>214</v>
      </c>
      <c r="F521" t="s">
        <v>215</v>
      </c>
      <c r="G521">
        <v>19400</v>
      </c>
      <c r="H521">
        <v>8400</v>
      </c>
      <c r="I521">
        <v>0</v>
      </c>
      <c r="J521">
        <v>0</v>
      </c>
      <c r="K521">
        <v>0</v>
      </c>
      <c r="L521">
        <v>3600</v>
      </c>
      <c r="M521">
        <v>0</v>
      </c>
      <c r="N521">
        <v>18600</v>
      </c>
      <c r="O521">
        <v>0</v>
      </c>
      <c r="P521">
        <v>0</v>
      </c>
      <c r="Q521">
        <v>0</v>
      </c>
      <c r="R521">
        <v>0</v>
      </c>
      <c r="S521">
        <v>4800</v>
      </c>
      <c r="T521">
        <v>0</v>
      </c>
      <c r="U521">
        <v>4.0999999999999996</v>
      </c>
      <c r="V521">
        <v>0</v>
      </c>
      <c r="W521">
        <v>0</v>
      </c>
      <c r="X521">
        <v>1</v>
      </c>
      <c r="Y521">
        <v>0</v>
      </c>
      <c r="Z521" cm="1">
        <f t="array" ref="Z521">MMULT($G521:$Y521,'Nelson Factor_2019'!$B$1:$B$19)/$G521</f>
        <v>19.745572164948452</v>
      </c>
      <c r="AA521" cm="1">
        <f t="array" ref="AA521">MMULT($G521:$R521,'Nelson Factor_2019'!$B$1:$B$12)/$G521</f>
        <v>4.8876288659793818</v>
      </c>
    </row>
    <row r="522" spans="1:27" x14ac:dyDescent="0.25">
      <c r="A522">
        <v>2008</v>
      </c>
      <c r="B522">
        <v>2</v>
      </c>
      <c r="C522">
        <v>1</v>
      </c>
      <c r="D522" t="s">
        <v>216</v>
      </c>
      <c r="E522" t="s">
        <v>115</v>
      </c>
      <c r="F522" t="s">
        <v>217</v>
      </c>
      <c r="G522">
        <v>33250</v>
      </c>
      <c r="H522">
        <v>19500</v>
      </c>
      <c r="I522">
        <v>0</v>
      </c>
      <c r="J522">
        <v>0</v>
      </c>
      <c r="K522">
        <v>9900</v>
      </c>
      <c r="L522">
        <v>7200</v>
      </c>
      <c r="M522">
        <v>0</v>
      </c>
      <c r="N522">
        <v>20620</v>
      </c>
      <c r="O522">
        <v>1350</v>
      </c>
      <c r="P522">
        <v>0</v>
      </c>
      <c r="Q522">
        <v>0</v>
      </c>
      <c r="R522">
        <v>1800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15</v>
      </c>
      <c r="Y522">
        <v>6750</v>
      </c>
      <c r="Z522" cm="1">
        <f t="array" ref="Z522">MMULT($G522:$Y522,'Nelson Factor_2019'!$B$1:$B$19)/$G522</f>
        <v>7.1631578947368419</v>
      </c>
      <c r="AA522" cm="1">
        <f t="array" ref="AA522">MMULT($G522:$R522,'Nelson Factor_2019'!$B$1:$B$12)/$G522</f>
        <v>6.7503759398496239</v>
      </c>
    </row>
    <row r="523" spans="1:27" x14ac:dyDescent="0.25">
      <c r="A523">
        <v>2008</v>
      </c>
      <c r="B523">
        <v>4</v>
      </c>
      <c r="C523">
        <v>4</v>
      </c>
      <c r="D523" t="s">
        <v>218</v>
      </c>
      <c r="E523" t="s">
        <v>219</v>
      </c>
      <c r="F523" t="s">
        <v>220</v>
      </c>
      <c r="G523">
        <v>46000</v>
      </c>
      <c r="H523">
        <v>26000</v>
      </c>
      <c r="I523">
        <v>10000</v>
      </c>
      <c r="J523">
        <v>0</v>
      </c>
      <c r="K523">
        <v>12000</v>
      </c>
      <c r="L523">
        <v>7600</v>
      </c>
      <c r="M523">
        <v>0</v>
      </c>
      <c r="N523">
        <v>25400</v>
      </c>
      <c r="O523">
        <v>4200</v>
      </c>
      <c r="P523">
        <v>0</v>
      </c>
      <c r="Q523">
        <v>0</v>
      </c>
      <c r="R523">
        <v>1600</v>
      </c>
      <c r="S523">
        <v>0</v>
      </c>
      <c r="T523">
        <v>0</v>
      </c>
      <c r="U523">
        <v>5.5</v>
      </c>
      <c r="V523">
        <v>5.5</v>
      </c>
      <c r="W523">
        <v>560</v>
      </c>
      <c r="X523">
        <v>85</v>
      </c>
      <c r="Y523">
        <v>0</v>
      </c>
      <c r="Z523" cm="1">
        <f t="array" ref="Z523">MMULT($G523:$Y523,'Nelson Factor_2019'!$B$1:$B$19)/$G523</f>
        <v>8.598065217391305</v>
      </c>
      <c r="AA523" cm="1">
        <f t="array" ref="AA523">MMULT($G523:$R523,'Nelson Factor_2019'!$B$1:$B$12)/$G523</f>
        <v>8.1543478260869566</v>
      </c>
    </row>
    <row r="524" spans="1:27" x14ac:dyDescent="0.25">
      <c r="A524">
        <v>2008</v>
      </c>
      <c r="B524">
        <v>4</v>
      </c>
      <c r="C524">
        <v>1</v>
      </c>
      <c r="D524" t="s">
        <v>218</v>
      </c>
      <c r="E524" t="s">
        <v>221</v>
      </c>
      <c r="F524" t="s">
        <v>222</v>
      </c>
      <c r="G524">
        <v>22500</v>
      </c>
      <c r="H524">
        <v>6000</v>
      </c>
      <c r="I524">
        <v>0</v>
      </c>
      <c r="J524">
        <v>0</v>
      </c>
      <c r="K524">
        <v>10000</v>
      </c>
      <c r="L524">
        <v>5500</v>
      </c>
      <c r="M524">
        <v>0</v>
      </c>
      <c r="N524">
        <v>16000</v>
      </c>
      <c r="O524">
        <v>0</v>
      </c>
      <c r="P524">
        <v>1000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19.7</v>
      </c>
      <c r="Y524">
        <v>0</v>
      </c>
      <c r="Z524" cm="1">
        <f t="array" ref="Z524">MMULT($G524:$Y524,'Nelson Factor_2019'!$B$1:$B$19)/$G524</f>
        <v>7.6679111111111107</v>
      </c>
      <c r="AA524" cm="1">
        <f t="array" ref="AA524">MMULT($G524:$R524,'Nelson Factor_2019'!$B$1:$B$12)/$G524</f>
        <v>7.4577777777777774</v>
      </c>
    </row>
    <row r="525" spans="1:27" x14ac:dyDescent="0.25">
      <c r="A525">
        <v>2008</v>
      </c>
      <c r="B525">
        <v>4</v>
      </c>
      <c r="C525">
        <v>1</v>
      </c>
      <c r="D525" t="s">
        <v>218</v>
      </c>
      <c r="E525" t="s">
        <v>159</v>
      </c>
      <c r="F525" t="s">
        <v>223</v>
      </c>
      <c r="G525">
        <v>66000</v>
      </c>
      <c r="H525">
        <v>6500</v>
      </c>
      <c r="I525">
        <v>0</v>
      </c>
      <c r="J525">
        <v>0</v>
      </c>
      <c r="K525">
        <v>10000</v>
      </c>
      <c r="L525">
        <v>5700</v>
      </c>
      <c r="M525">
        <v>0</v>
      </c>
      <c r="N525">
        <v>15500</v>
      </c>
      <c r="O525">
        <v>0</v>
      </c>
      <c r="P525">
        <v>300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19.7</v>
      </c>
      <c r="Y525">
        <v>1750</v>
      </c>
      <c r="Z525" cm="1">
        <f t="array" ref="Z525">MMULT($G525:$Y525,'Nelson Factor_2019'!$B$1:$B$19)/$G525</f>
        <v>3.2129242424242426</v>
      </c>
      <c r="AA525" cm="1">
        <f t="array" ref="AA525">MMULT($G525:$R525,'Nelson Factor_2019'!$B$1:$B$12)/$G525</f>
        <v>3.1015151515151516</v>
      </c>
    </row>
    <row r="526" spans="1:27" x14ac:dyDescent="0.25">
      <c r="A526">
        <v>2008</v>
      </c>
      <c r="B526">
        <v>4</v>
      </c>
      <c r="C526">
        <v>1</v>
      </c>
      <c r="D526" t="s">
        <v>218</v>
      </c>
      <c r="E526" t="s">
        <v>224</v>
      </c>
      <c r="F526" t="s">
        <v>225</v>
      </c>
      <c r="G526">
        <v>12500</v>
      </c>
      <c r="H526">
        <v>1500</v>
      </c>
      <c r="I526">
        <v>0</v>
      </c>
      <c r="J526">
        <v>0</v>
      </c>
      <c r="K526">
        <v>5500</v>
      </c>
      <c r="L526">
        <v>2750</v>
      </c>
      <c r="M526">
        <v>0</v>
      </c>
      <c r="N526">
        <v>7500</v>
      </c>
      <c r="O526">
        <v>1300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4</v>
      </c>
      <c r="Y526">
        <v>0</v>
      </c>
      <c r="Z526" cm="1">
        <f t="array" ref="Z526">MMULT($G526:$Y526,'Nelson Factor_2019'!$B$1:$B$19)/$G526</f>
        <v>7.5128000000000004</v>
      </c>
      <c r="AA526" cm="1">
        <f t="array" ref="AA526">MMULT($G526:$R526,'Nelson Factor_2019'!$B$1:$B$12)/$G526</f>
        <v>7.4359999999999999</v>
      </c>
    </row>
    <row r="527" spans="1:27" x14ac:dyDescent="0.25">
      <c r="A527">
        <v>2009</v>
      </c>
      <c r="B527">
        <v>3</v>
      </c>
      <c r="C527">
        <v>0</v>
      </c>
      <c r="D527" t="s">
        <v>24</v>
      </c>
      <c r="E527" t="s">
        <v>238</v>
      </c>
      <c r="F527" t="s">
        <v>30</v>
      </c>
      <c r="G527">
        <v>20000</v>
      </c>
      <c r="H527">
        <v>15000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 cm="1">
        <f t="array" ref="Z527">MMULT($G527:$Y527,'Nelson Factor_2019'!$B$1:$B$19)/$G527</f>
        <v>1.9750000000000001</v>
      </c>
      <c r="AA527" cm="1">
        <f t="array" ref="AA527">MMULT($G527:$R527,'Nelson Factor_2019'!$B$1:$B$12)/$G527</f>
        <v>1.9750000000000001</v>
      </c>
    </row>
    <row r="528" spans="1:27" x14ac:dyDescent="0.25">
      <c r="A528">
        <v>2009</v>
      </c>
      <c r="B528">
        <v>3</v>
      </c>
      <c r="C528">
        <v>4</v>
      </c>
      <c r="D528" t="s">
        <v>24</v>
      </c>
      <c r="E528" t="s">
        <v>25</v>
      </c>
      <c r="F528" t="s">
        <v>26</v>
      </c>
      <c r="G528">
        <v>35000</v>
      </c>
      <c r="H528">
        <v>15000</v>
      </c>
      <c r="I528">
        <v>14000</v>
      </c>
      <c r="J528">
        <v>0</v>
      </c>
      <c r="K528">
        <v>0</v>
      </c>
      <c r="L528">
        <v>7200</v>
      </c>
      <c r="M528">
        <v>0</v>
      </c>
      <c r="N528">
        <v>42000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8</v>
      </c>
      <c r="V528">
        <v>8</v>
      </c>
      <c r="W528">
        <v>500</v>
      </c>
      <c r="X528">
        <v>120</v>
      </c>
      <c r="Y528">
        <v>14000</v>
      </c>
      <c r="Z528" cm="1">
        <f t="array" ref="Z528">MMULT($G528:$Y528,'Nelson Factor_2019'!$B$1:$B$19)/$G528</f>
        <v>10.009028571428571</v>
      </c>
      <c r="AA528" cm="1">
        <f t="array" ref="AA528">MMULT($G528:$R528,'Nelson Factor_2019'!$B$1:$B$12)/$G528</f>
        <v>8.5857142857142854</v>
      </c>
    </row>
    <row r="529" spans="1:27" x14ac:dyDescent="0.25">
      <c r="A529">
        <v>2009</v>
      </c>
      <c r="B529">
        <v>3</v>
      </c>
      <c r="C529">
        <v>2</v>
      </c>
      <c r="D529" t="s">
        <v>24</v>
      </c>
      <c r="E529" t="s">
        <v>27</v>
      </c>
      <c r="F529" t="s">
        <v>28</v>
      </c>
      <c r="G529">
        <v>85000</v>
      </c>
      <c r="H529">
        <v>28000</v>
      </c>
      <c r="I529">
        <v>0</v>
      </c>
      <c r="J529">
        <v>0</v>
      </c>
      <c r="K529">
        <v>0</v>
      </c>
      <c r="L529">
        <v>22500</v>
      </c>
      <c r="M529">
        <v>30000</v>
      </c>
      <c r="N529">
        <v>43000</v>
      </c>
      <c r="O529">
        <v>0</v>
      </c>
      <c r="P529">
        <v>0</v>
      </c>
      <c r="Q529">
        <v>0</v>
      </c>
      <c r="R529">
        <v>7500</v>
      </c>
      <c r="S529">
        <v>0</v>
      </c>
      <c r="T529">
        <v>0</v>
      </c>
      <c r="U529">
        <v>0</v>
      </c>
      <c r="V529">
        <v>6</v>
      </c>
      <c r="W529">
        <v>0</v>
      </c>
      <c r="X529">
        <v>20</v>
      </c>
      <c r="Y529">
        <v>0</v>
      </c>
      <c r="Z529" cm="1">
        <f t="array" ref="Z529">MMULT($G529:$Y529,'Nelson Factor_2019'!$B$1:$B$19)/$G529</f>
        <v>7.1612470588235295</v>
      </c>
      <c r="AA529" cm="1">
        <f t="array" ref="AA529">MMULT($G529:$R529,'Nelson Factor_2019'!$B$1:$B$12)/$G529</f>
        <v>7.104705882352941</v>
      </c>
    </row>
    <row r="530" spans="1:27" x14ac:dyDescent="0.25">
      <c r="A530">
        <v>2009</v>
      </c>
      <c r="B530">
        <v>5</v>
      </c>
      <c r="C530">
        <v>4</v>
      </c>
      <c r="D530" t="s">
        <v>31</v>
      </c>
      <c r="E530" t="s">
        <v>32</v>
      </c>
      <c r="F530" t="s">
        <v>34</v>
      </c>
      <c r="G530">
        <v>15000</v>
      </c>
      <c r="H530">
        <v>0</v>
      </c>
      <c r="I530">
        <v>15000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 cm="1">
        <f t="array" ref="Z530">MMULT($G530:$Y530,'Nelson Factor_2019'!$B$1:$B$19)/$G530</f>
        <v>8.5</v>
      </c>
      <c r="AA530" cm="1">
        <f t="array" ref="AA530">MMULT($G530:$R530,'Nelson Factor_2019'!$B$1:$B$12)/$G530</f>
        <v>8.5</v>
      </c>
    </row>
    <row r="531" spans="1:27" x14ac:dyDescent="0.25">
      <c r="A531">
        <v>2009</v>
      </c>
      <c r="B531">
        <v>5</v>
      </c>
      <c r="C531">
        <v>4</v>
      </c>
      <c r="D531" t="s">
        <v>31</v>
      </c>
      <c r="E531" t="s">
        <v>51</v>
      </c>
      <c r="F531" t="s">
        <v>33</v>
      </c>
      <c r="G531">
        <v>14500</v>
      </c>
      <c r="H531">
        <v>0</v>
      </c>
      <c r="I531">
        <v>14500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 cm="1">
        <f t="array" ref="Z531">MMULT($G531:$Y531,'Nelson Factor_2019'!$B$1:$B$19)/$G531</f>
        <v>8.5</v>
      </c>
      <c r="AA531" cm="1">
        <f t="array" ref="AA531">MMULT($G531:$R531,'Nelson Factor_2019'!$B$1:$B$12)/$G531</f>
        <v>8.5</v>
      </c>
    </row>
    <row r="532" spans="1:27" x14ac:dyDescent="0.25">
      <c r="A532">
        <v>2009</v>
      </c>
      <c r="B532">
        <v>5</v>
      </c>
      <c r="C532">
        <v>0</v>
      </c>
      <c r="D532" t="s">
        <v>31</v>
      </c>
      <c r="E532" t="s">
        <v>35</v>
      </c>
      <c r="F532" t="s">
        <v>36</v>
      </c>
      <c r="G532">
        <v>215175</v>
      </c>
      <c r="H532">
        <v>5225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1215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1800</v>
      </c>
      <c r="Z532" cm="1">
        <f t="array" ref="Z532">MMULT($G532:$Y532,'Nelson Factor_2019'!$B$1:$B$19)/$G532</f>
        <v>1.1570465899848961</v>
      </c>
      <c r="AA532" cm="1">
        <f t="array" ref="AA532">MMULT($G532:$R532,'Nelson Factor_2019'!$B$1:$B$12)/$G532</f>
        <v>1.1444986638782386</v>
      </c>
    </row>
    <row r="533" spans="1:27" x14ac:dyDescent="0.25">
      <c r="A533">
        <v>2009</v>
      </c>
      <c r="B533">
        <v>5</v>
      </c>
      <c r="C533">
        <v>0</v>
      </c>
      <c r="D533" t="s">
        <v>31</v>
      </c>
      <c r="E533" t="s">
        <v>37</v>
      </c>
      <c r="F533" t="s">
        <v>36</v>
      </c>
      <c r="G533">
        <v>17500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 cm="1">
        <f t="array" ref="Z533">MMULT($G533:$Y533,'Nelson Factor_2019'!$B$1:$B$19)/$G533</f>
        <v>1</v>
      </c>
      <c r="AA533" cm="1">
        <f t="array" ref="AA533">MMULT($G533:$R533,'Nelson Factor_2019'!$B$1:$B$12)/$G533</f>
        <v>1</v>
      </c>
    </row>
    <row r="534" spans="1:27" x14ac:dyDescent="0.25">
      <c r="A534">
        <v>2009</v>
      </c>
      <c r="B534">
        <v>5</v>
      </c>
      <c r="C534">
        <v>0</v>
      </c>
      <c r="D534" t="s">
        <v>31</v>
      </c>
      <c r="E534" t="s">
        <v>37</v>
      </c>
      <c r="F534" t="s">
        <v>38</v>
      </c>
      <c r="G534">
        <v>48000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 cm="1">
        <f t="array" ref="Z534">MMULT($G534:$Y534,'Nelson Factor_2019'!$B$1:$B$19)/$G534</f>
        <v>1</v>
      </c>
      <c r="AA534" cm="1">
        <f t="array" ref="AA534">MMULT($G534:$R534,'Nelson Factor_2019'!$B$1:$B$12)/$G534</f>
        <v>1</v>
      </c>
    </row>
    <row r="535" spans="1:27" x14ac:dyDescent="0.25">
      <c r="A535">
        <v>2009</v>
      </c>
      <c r="B535">
        <v>5</v>
      </c>
      <c r="C535">
        <v>2</v>
      </c>
      <c r="D535" t="s">
        <v>31</v>
      </c>
      <c r="E535" t="s">
        <v>39</v>
      </c>
      <c r="F535" t="s">
        <v>40</v>
      </c>
      <c r="G535">
        <v>72000</v>
      </c>
      <c r="H535">
        <v>19000</v>
      </c>
      <c r="I535">
        <v>0</v>
      </c>
      <c r="J535">
        <v>0</v>
      </c>
      <c r="K535">
        <v>0</v>
      </c>
      <c r="L535">
        <v>12000</v>
      </c>
      <c r="M535">
        <v>12500</v>
      </c>
      <c r="N535">
        <v>12500</v>
      </c>
      <c r="O535">
        <v>0</v>
      </c>
      <c r="P535">
        <v>0</v>
      </c>
      <c r="Q535">
        <v>0</v>
      </c>
      <c r="R535">
        <v>4000</v>
      </c>
      <c r="S535">
        <v>0</v>
      </c>
      <c r="T535">
        <v>0</v>
      </c>
      <c r="U535">
        <v>13</v>
      </c>
      <c r="V535">
        <v>0</v>
      </c>
      <c r="W535">
        <v>0</v>
      </c>
      <c r="X535">
        <v>19</v>
      </c>
      <c r="Y535">
        <v>1000</v>
      </c>
      <c r="Z535" cm="1">
        <f t="array" ref="Z535">MMULT($G535:$Y535,'Nelson Factor_2019'!$B$1:$B$19)/$G535</f>
        <v>4.2503194444444441</v>
      </c>
      <c r="AA535" cm="1">
        <f t="array" ref="AA535">MMULT($G535:$R535,'Nelson Factor_2019'!$B$1:$B$12)/$G535</f>
        <v>4.165972222222222</v>
      </c>
    </row>
    <row r="536" spans="1:27" x14ac:dyDescent="0.25">
      <c r="A536">
        <v>2009</v>
      </c>
      <c r="B536">
        <v>3</v>
      </c>
      <c r="C536">
        <v>0</v>
      </c>
      <c r="D536" t="s">
        <v>41</v>
      </c>
      <c r="E536" t="s">
        <v>42</v>
      </c>
      <c r="F536" t="s">
        <v>43</v>
      </c>
      <c r="G536">
        <v>7000</v>
      </c>
      <c r="H536">
        <v>3000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4500</v>
      </c>
      <c r="O536">
        <v>0</v>
      </c>
      <c r="P536">
        <v>0</v>
      </c>
      <c r="Q536">
        <v>0</v>
      </c>
      <c r="R536">
        <v>0</v>
      </c>
      <c r="S536">
        <v>4500</v>
      </c>
      <c r="T536">
        <v>0</v>
      </c>
      <c r="U536">
        <v>2.5</v>
      </c>
      <c r="V536">
        <v>0</v>
      </c>
      <c r="W536">
        <v>0</v>
      </c>
      <c r="X536">
        <v>0</v>
      </c>
      <c r="Y536">
        <v>1500</v>
      </c>
      <c r="Z536" cm="1">
        <f t="array" ref="Z536">MMULT($G536:$Y536,'Nelson Factor_2019'!$B$1:$B$19)/$G536</f>
        <v>42.057499999999997</v>
      </c>
      <c r="AA536" cm="1">
        <f t="array" ref="AA536">MMULT($G536:$R536,'Nelson Factor_2019'!$B$1:$B$12)/$G536</f>
        <v>3.1642857142857141</v>
      </c>
    </row>
    <row r="537" spans="1:27" x14ac:dyDescent="0.25">
      <c r="A537">
        <v>2009</v>
      </c>
      <c r="B537">
        <v>3</v>
      </c>
      <c r="C537">
        <v>1</v>
      </c>
      <c r="D537" t="s">
        <v>41</v>
      </c>
      <c r="E537" t="s">
        <v>44</v>
      </c>
      <c r="F537" t="s">
        <v>45</v>
      </c>
      <c r="G537">
        <v>70000</v>
      </c>
      <c r="H537">
        <v>27075</v>
      </c>
      <c r="I537">
        <v>0</v>
      </c>
      <c r="J537">
        <v>0</v>
      </c>
      <c r="K537">
        <v>17550</v>
      </c>
      <c r="L537">
        <v>13320</v>
      </c>
      <c r="M537">
        <v>0</v>
      </c>
      <c r="N537">
        <v>74070</v>
      </c>
      <c r="O537">
        <v>4500</v>
      </c>
      <c r="P537">
        <v>0</v>
      </c>
      <c r="Q537">
        <v>0</v>
      </c>
      <c r="R537">
        <v>5940</v>
      </c>
      <c r="S537">
        <v>0</v>
      </c>
      <c r="T537">
        <v>0</v>
      </c>
      <c r="U537">
        <v>10</v>
      </c>
      <c r="V537">
        <v>15</v>
      </c>
      <c r="W537">
        <v>0</v>
      </c>
      <c r="X537">
        <v>157</v>
      </c>
      <c r="Y537">
        <v>10800</v>
      </c>
      <c r="Z537" cm="1">
        <f t="array" ref="Z537">MMULT($G537:$Y537,'Nelson Factor_2019'!$B$1:$B$19)/$G537</f>
        <v>8.2713928571428568</v>
      </c>
      <c r="AA537" cm="1">
        <f t="array" ref="AA537">MMULT($G537:$R537,'Nelson Factor_2019'!$B$1:$B$12)/$G537</f>
        <v>7.5013214285714289</v>
      </c>
    </row>
    <row r="538" spans="1:27" x14ac:dyDescent="0.25">
      <c r="A538">
        <v>2009</v>
      </c>
      <c r="B538">
        <v>5</v>
      </c>
      <c r="C538">
        <v>0</v>
      </c>
      <c r="D538" t="s">
        <v>46</v>
      </c>
      <c r="E538" t="s">
        <v>176</v>
      </c>
      <c r="F538" t="s">
        <v>230</v>
      </c>
      <c r="G538">
        <v>53000</v>
      </c>
      <c r="H538">
        <v>33800</v>
      </c>
      <c r="I538">
        <v>0</v>
      </c>
      <c r="J538">
        <v>0</v>
      </c>
      <c r="K538">
        <v>0</v>
      </c>
      <c r="L538">
        <v>11600</v>
      </c>
      <c r="M538">
        <v>0</v>
      </c>
      <c r="N538">
        <v>35250</v>
      </c>
      <c r="O538">
        <v>0</v>
      </c>
      <c r="P538">
        <v>0</v>
      </c>
      <c r="Q538">
        <v>0</v>
      </c>
      <c r="R538">
        <v>3750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40</v>
      </c>
      <c r="Y538">
        <v>16500</v>
      </c>
      <c r="Z538" cm="1">
        <f t="array" ref="Z538">MMULT($G538:$Y538,'Nelson Factor_2019'!$B$1:$B$19)/$G538</f>
        <v>5.4465094339622642</v>
      </c>
      <c r="AA538" cm="1">
        <f t="array" ref="AA538">MMULT($G538:$R538,'Nelson Factor_2019'!$B$1:$B$12)/$G538</f>
        <v>4.7983962264150941</v>
      </c>
    </row>
    <row r="539" spans="1:27" x14ac:dyDescent="0.25">
      <c r="A539">
        <v>2009</v>
      </c>
      <c r="B539">
        <v>5</v>
      </c>
      <c r="C539">
        <v>5</v>
      </c>
      <c r="D539" t="s">
        <v>46</v>
      </c>
      <c r="E539" t="s">
        <v>226</v>
      </c>
      <c r="F539" t="s">
        <v>57</v>
      </c>
      <c r="G539">
        <v>65000</v>
      </c>
      <c r="H539">
        <v>39000</v>
      </c>
      <c r="I539">
        <v>22000</v>
      </c>
      <c r="J539">
        <v>0</v>
      </c>
      <c r="K539">
        <v>0</v>
      </c>
      <c r="L539">
        <v>14700</v>
      </c>
      <c r="M539">
        <v>23500</v>
      </c>
      <c r="N539">
        <v>21900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24.7</v>
      </c>
      <c r="V539">
        <v>5</v>
      </c>
      <c r="W539">
        <v>1200</v>
      </c>
      <c r="X539">
        <v>103</v>
      </c>
      <c r="Y539">
        <v>0</v>
      </c>
      <c r="Z539" cm="1">
        <f t="array" ref="Z539">MMULT($G539:$Y539,'Nelson Factor_2019'!$B$1:$B$19)/$G539</f>
        <v>9.564610769230768</v>
      </c>
      <c r="AA539" cm="1">
        <f t="array" ref="AA539">MMULT($G539:$R539,'Nelson Factor_2019'!$B$1:$B$12)/$G539</f>
        <v>9.1838461538461544</v>
      </c>
    </row>
    <row r="540" spans="1:27" x14ac:dyDescent="0.25">
      <c r="A540">
        <v>2009</v>
      </c>
      <c r="B540">
        <v>5</v>
      </c>
      <c r="C540">
        <v>6</v>
      </c>
      <c r="D540" t="s">
        <v>46</v>
      </c>
      <c r="E540" t="s">
        <v>32</v>
      </c>
      <c r="F540" t="s">
        <v>47</v>
      </c>
      <c r="G540">
        <v>252225</v>
      </c>
      <c r="H540">
        <v>133000</v>
      </c>
      <c r="I540">
        <v>63450</v>
      </c>
      <c r="J540">
        <v>0</v>
      </c>
      <c r="K540">
        <v>91800</v>
      </c>
      <c r="L540">
        <v>46800</v>
      </c>
      <c r="M540">
        <v>45000</v>
      </c>
      <c r="N540">
        <v>220230</v>
      </c>
      <c r="O540">
        <v>13950</v>
      </c>
      <c r="P540">
        <v>0</v>
      </c>
      <c r="Q540">
        <v>0</v>
      </c>
      <c r="R540">
        <v>28170</v>
      </c>
      <c r="S540">
        <v>0</v>
      </c>
      <c r="T540">
        <v>0</v>
      </c>
      <c r="U540">
        <v>105</v>
      </c>
      <c r="V540">
        <v>28</v>
      </c>
      <c r="W540">
        <v>2108</v>
      </c>
      <c r="X540">
        <v>446</v>
      </c>
      <c r="Y540">
        <v>0</v>
      </c>
      <c r="Z540" cm="1">
        <f t="array" ref="Z540">MMULT($G540:$Y540,'Nelson Factor_2019'!$B$1:$B$19)/$G540</f>
        <v>11.60693032015066</v>
      </c>
      <c r="AA540" cm="1">
        <f t="array" ref="AA540">MMULT($G540:$R540,'Nelson Factor_2019'!$B$1:$B$12)/$G540</f>
        <v>11.182020021805927</v>
      </c>
    </row>
    <row r="541" spans="1:27" x14ac:dyDescent="0.25">
      <c r="A541">
        <v>2009</v>
      </c>
      <c r="B541">
        <v>5</v>
      </c>
      <c r="C541">
        <v>6</v>
      </c>
      <c r="D541" t="s">
        <v>46</v>
      </c>
      <c r="E541" t="s">
        <v>227</v>
      </c>
      <c r="F541" t="s">
        <v>49</v>
      </c>
      <c r="G541">
        <v>265000</v>
      </c>
      <c r="H541">
        <v>147000</v>
      </c>
      <c r="I541">
        <v>59000</v>
      </c>
      <c r="J541">
        <v>0</v>
      </c>
      <c r="K541">
        <v>65000</v>
      </c>
      <c r="L541">
        <v>44000</v>
      </c>
      <c r="M541">
        <v>46000</v>
      </c>
      <c r="N541">
        <v>201000</v>
      </c>
      <c r="O541">
        <v>30000</v>
      </c>
      <c r="P541">
        <v>0</v>
      </c>
      <c r="Q541">
        <v>0</v>
      </c>
      <c r="R541">
        <v>27000</v>
      </c>
      <c r="S541">
        <v>0</v>
      </c>
      <c r="T541">
        <v>0</v>
      </c>
      <c r="U541">
        <v>217</v>
      </c>
      <c r="V541">
        <v>0</v>
      </c>
      <c r="W541">
        <v>4064</v>
      </c>
      <c r="X541">
        <v>544</v>
      </c>
      <c r="Y541">
        <v>0</v>
      </c>
      <c r="Z541" cm="1">
        <f t="array" ref="Z541">MMULT($G541:$Y541,'Nelson Factor_2019'!$B$1:$B$19)/$G541</f>
        <v>10.908969811320755</v>
      </c>
      <c r="AA541" cm="1">
        <f t="array" ref="AA541">MMULT($G541:$R541,'Nelson Factor_2019'!$B$1:$B$12)/$G541</f>
        <v>10.415471698113208</v>
      </c>
    </row>
    <row r="542" spans="1:27" x14ac:dyDescent="0.25">
      <c r="A542">
        <v>2009</v>
      </c>
      <c r="B542">
        <v>5</v>
      </c>
      <c r="C542">
        <v>3</v>
      </c>
      <c r="D542" t="s">
        <v>46</v>
      </c>
      <c r="E542" t="s">
        <v>227</v>
      </c>
      <c r="F542" t="s">
        <v>50</v>
      </c>
      <c r="G542">
        <v>243000</v>
      </c>
      <c r="H542">
        <v>110000</v>
      </c>
      <c r="I542">
        <v>0</v>
      </c>
      <c r="J542">
        <v>0</v>
      </c>
      <c r="K542">
        <v>80000</v>
      </c>
      <c r="L542">
        <v>69000</v>
      </c>
      <c r="M542">
        <v>154250</v>
      </c>
      <c r="N542">
        <v>197340</v>
      </c>
      <c r="O542">
        <v>24000</v>
      </c>
      <c r="P542">
        <v>3700</v>
      </c>
      <c r="Q542">
        <v>0</v>
      </c>
      <c r="R542">
        <v>36600</v>
      </c>
      <c r="S542">
        <v>16000</v>
      </c>
      <c r="T542">
        <v>0</v>
      </c>
      <c r="U542">
        <v>150</v>
      </c>
      <c r="V542">
        <v>20</v>
      </c>
      <c r="W542">
        <v>0</v>
      </c>
      <c r="X542">
        <v>600</v>
      </c>
      <c r="Y542">
        <v>0</v>
      </c>
      <c r="Z542" cm="1">
        <f t="array" ref="Z542">MMULT($G542:$Y542,'Nelson Factor_2019'!$B$1:$B$19)/$G542</f>
        <v>18.227654320987654</v>
      </c>
      <c r="AA542" cm="1">
        <f t="array" ref="AA542">MMULT($G542:$R542,'Nelson Factor_2019'!$B$1:$B$12)/$G542</f>
        <v>13.683744855967078</v>
      </c>
    </row>
    <row r="543" spans="1:27" x14ac:dyDescent="0.25">
      <c r="A543">
        <v>2009</v>
      </c>
      <c r="B543">
        <v>5</v>
      </c>
      <c r="C543">
        <v>6</v>
      </c>
      <c r="D543" t="s">
        <v>46</v>
      </c>
      <c r="E543" t="s">
        <v>51</v>
      </c>
      <c r="F543" t="s">
        <v>52</v>
      </c>
      <c r="G543">
        <v>138700</v>
      </c>
      <c r="H543">
        <v>80000</v>
      </c>
      <c r="I543">
        <v>48000</v>
      </c>
      <c r="J543">
        <v>0</v>
      </c>
      <c r="K543">
        <v>45000</v>
      </c>
      <c r="L543">
        <v>35200</v>
      </c>
      <c r="M543">
        <v>24750</v>
      </c>
      <c r="N543">
        <v>135850</v>
      </c>
      <c r="O543">
        <v>14200</v>
      </c>
      <c r="P543">
        <v>0</v>
      </c>
      <c r="Q543">
        <v>0</v>
      </c>
      <c r="R543">
        <v>17500</v>
      </c>
      <c r="S543">
        <v>0</v>
      </c>
      <c r="T543">
        <v>0</v>
      </c>
      <c r="U543">
        <v>100.8</v>
      </c>
      <c r="V543">
        <v>0</v>
      </c>
      <c r="W543">
        <v>2000</v>
      </c>
      <c r="X543">
        <v>340</v>
      </c>
      <c r="Y543">
        <v>0</v>
      </c>
      <c r="Z543" cm="1">
        <f t="array" ref="Z543">MMULT($G543:$Y543,'Nelson Factor_2019'!$B$1:$B$19)/$G543</f>
        <v>13.428448449891853</v>
      </c>
      <c r="AA543" cm="1">
        <f t="array" ref="AA543">MMULT($G543:$R543,'Nelson Factor_2019'!$B$1:$B$12)/$G543</f>
        <v>12.839401586157173</v>
      </c>
    </row>
    <row r="544" spans="1:27" x14ac:dyDescent="0.25">
      <c r="A544">
        <v>2009</v>
      </c>
      <c r="B544">
        <v>5</v>
      </c>
      <c r="C544">
        <v>5</v>
      </c>
      <c r="D544" t="s">
        <v>46</v>
      </c>
      <c r="E544" t="s">
        <v>51</v>
      </c>
      <c r="F544" t="s">
        <v>53</v>
      </c>
      <c r="G544">
        <v>120000</v>
      </c>
      <c r="H544">
        <v>87000</v>
      </c>
      <c r="I544">
        <v>54000</v>
      </c>
      <c r="J544">
        <v>0</v>
      </c>
      <c r="K544">
        <v>0</v>
      </c>
      <c r="L544">
        <v>31000</v>
      </c>
      <c r="M544">
        <v>37000</v>
      </c>
      <c r="N544">
        <v>73000</v>
      </c>
      <c r="O544">
        <v>0</v>
      </c>
      <c r="P544">
        <v>0</v>
      </c>
      <c r="Q544">
        <v>0</v>
      </c>
      <c r="R544">
        <v>9000</v>
      </c>
      <c r="S544">
        <v>0</v>
      </c>
      <c r="T544">
        <v>0</v>
      </c>
      <c r="U544">
        <v>88</v>
      </c>
      <c r="V544">
        <v>3</v>
      </c>
      <c r="W544">
        <v>2180</v>
      </c>
      <c r="X544">
        <v>435</v>
      </c>
      <c r="Y544">
        <v>0</v>
      </c>
      <c r="Z544" cm="1">
        <f t="array" ref="Z544">MMULT($G544:$Y544,'Nelson Factor_2019'!$B$1:$B$19)/$G544</f>
        <v>11.692425</v>
      </c>
      <c r="AA544" cm="1">
        <f t="array" ref="AA544">MMULT($G544:$R544,'Nelson Factor_2019'!$B$1:$B$12)/$G544</f>
        <v>10.821666666666667</v>
      </c>
    </row>
    <row r="545" spans="1:27" x14ac:dyDescent="0.25">
      <c r="A545">
        <v>2009</v>
      </c>
      <c r="B545">
        <v>5</v>
      </c>
      <c r="C545">
        <v>6</v>
      </c>
      <c r="D545" t="s">
        <v>46</v>
      </c>
      <c r="E545" t="s">
        <v>54</v>
      </c>
      <c r="F545" t="s">
        <v>55</v>
      </c>
      <c r="G545">
        <v>149500</v>
      </c>
      <c r="H545">
        <v>98500</v>
      </c>
      <c r="I545">
        <v>52500</v>
      </c>
      <c r="J545">
        <v>0</v>
      </c>
      <c r="K545">
        <v>96000</v>
      </c>
      <c r="L545">
        <v>19000</v>
      </c>
      <c r="M545">
        <v>20500</v>
      </c>
      <c r="N545">
        <v>143500</v>
      </c>
      <c r="O545">
        <v>23500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146</v>
      </c>
      <c r="V545">
        <v>14</v>
      </c>
      <c r="W545">
        <v>3050</v>
      </c>
      <c r="X545">
        <v>400</v>
      </c>
      <c r="Y545">
        <v>0</v>
      </c>
      <c r="Z545" cm="1">
        <f t="array" ref="Z545">MMULT($G545:$Y545,'Nelson Factor_2019'!$B$1:$B$19)/$G545</f>
        <v>14.690367892976589</v>
      </c>
      <c r="AA545" cm="1">
        <f t="array" ref="AA545">MMULT($G545:$R545,'Nelson Factor_2019'!$B$1:$B$12)/$G545</f>
        <v>14.047157190635451</v>
      </c>
    </row>
    <row r="546" spans="1:27" x14ac:dyDescent="0.25">
      <c r="A546">
        <v>2009</v>
      </c>
      <c r="B546">
        <v>5</v>
      </c>
      <c r="C546">
        <v>0</v>
      </c>
      <c r="D546" t="s">
        <v>46</v>
      </c>
      <c r="E546" t="s">
        <v>56</v>
      </c>
      <c r="F546" t="s">
        <v>57</v>
      </c>
      <c r="G546">
        <v>25000</v>
      </c>
      <c r="H546">
        <v>0</v>
      </c>
      <c r="I546">
        <v>0</v>
      </c>
      <c r="J546">
        <v>0</v>
      </c>
      <c r="K546">
        <v>0</v>
      </c>
      <c r="L546">
        <v>3000</v>
      </c>
      <c r="M546">
        <v>0</v>
      </c>
      <c r="N546">
        <v>13000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4.5</v>
      </c>
      <c r="Y546">
        <v>0</v>
      </c>
      <c r="Z546" cm="1">
        <f t="array" ref="Z546">MMULT($G546:$Y546,'Nelson Factor_2019'!$B$1:$B$19)/$G546</f>
        <v>2.9432</v>
      </c>
      <c r="AA546" cm="1">
        <f t="array" ref="AA546">MMULT($G546:$R546,'Nelson Factor_2019'!$B$1:$B$12)/$G546</f>
        <v>2.9</v>
      </c>
    </row>
    <row r="547" spans="1:27" x14ac:dyDescent="0.25">
      <c r="A547">
        <v>2009</v>
      </c>
      <c r="B547">
        <v>5</v>
      </c>
      <c r="C547">
        <v>0</v>
      </c>
      <c r="D547" t="s">
        <v>46</v>
      </c>
      <c r="E547" t="s">
        <v>60</v>
      </c>
      <c r="F547" t="s">
        <v>57</v>
      </c>
      <c r="G547">
        <v>24300</v>
      </c>
      <c r="H547">
        <v>14300</v>
      </c>
      <c r="I547">
        <v>0</v>
      </c>
      <c r="J547">
        <v>10000</v>
      </c>
      <c r="K547">
        <v>0</v>
      </c>
      <c r="L547">
        <v>0</v>
      </c>
      <c r="M547">
        <v>0</v>
      </c>
      <c r="N547">
        <v>4800</v>
      </c>
      <c r="O547">
        <v>0</v>
      </c>
      <c r="P547">
        <v>0</v>
      </c>
      <c r="Q547">
        <v>0</v>
      </c>
      <c r="R547">
        <v>0</v>
      </c>
      <c r="S547">
        <v>4000</v>
      </c>
      <c r="T547">
        <v>0</v>
      </c>
      <c r="U547">
        <v>4.2</v>
      </c>
      <c r="V547">
        <v>0</v>
      </c>
      <c r="W547">
        <v>0</v>
      </c>
      <c r="X547">
        <v>6</v>
      </c>
      <c r="Y547">
        <v>6500</v>
      </c>
      <c r="Z547" cm="1">
        <f t="array" ref="Z547">MMULT($G547:$Y547,'Nelson Factor_2019'!$B$1:$B$19)/$G547</f>
        <v>13.727744855967078</v>
      </c>
      <c r="AA547" cm="1">
        <f t="array" ref="AA547">MMULT($G547:$R547,'Nelson Factor_2019'!$B$1:$B$12)/$G547</f>
        <v>3.3905349794238684</v>
      </c>
    </row>
    <row r="548" spans="1:27" x14ac:dyDescent="0.25">
      <c r="A548">
        <v>2009</v>
      </c>
      <c r="B548">
        <v>5</v>
      </c>
      <c r="C548">
        <v>6</v>
      </c>
      <c r="D548" t="s">
        <v>46</v>
      </c>
      <c r="E548" t="s">
        <v>61</v>
      </c>
      <c r="F548" t="s">
        <v>62</v>
      </c>
      <c r="G548">
        <v>158600</v>
      </c>
      <c r="H548">
        <v>91100</v>
      </c>
      <c r="I548">
        <v>46500</v>
      </c>
      <c r="J548">
        <v>0</v>
      </c>
      <c r="K548">
        <v>68870</v>
      </c>
      <c r="L548">
        <v>29400</v>
      </c>
      <c r="M548">
        <v>37900</v>
      </c>
      <c r="N548">
        <v>117950</v>
      </c>
      <c r="O548">
        <v>11000</v>
      </c>
      <c r="P548">
        <v>2470</v>
      </c>
      <c r="Q548">
        <v>0</v>
      </c>
      <c r="R548">
        <v>15000</v>
      </c>
      <c r="S548">
        <v>0</v>
      </c>
      <c r="T548">
        <v>0</v>
      </c>
      <c r="U548">
        <v>101</v>
      </c>
      <c r="V548">
        <v>0</v>
      </c>
      <c r="W548">
        <v>1150</v>
      </c>
      <c r="X548">
        <v>360</v>
      </c>
      <c r="Y548">
        <v>15000</v>
      </c>
      <c r="Z548" cm="1">
        <f t="array" ref="Z548">MMULT($G548:$Y548,'Nelson Factor_2019'!$B$1:$B$19)/$G548</f>
        <v>13.06920554854981</v>
      </c>
      <c r="AA548" cm="1">
        <f t="array" ref="AA548">MMULT($G548:$R548,'Nelson Factor_2019'!$B$1:$B$12)/$G548</f>
        <v>12.381935687263557</v>
      </c>
    </row>
    <row r="549" spans="1:27" x14ac:dyDescent="0.25">
      <c r="A549">
        <v>2009</v>
      </c>
      <c r="B549">
        <v>5</v>
      </c>
      <c r="C549">
        <v>6</v>
      </c>
      <c r="D549" t="s">
        <v>46</v>
      </c>
      <c r="E549" t="s">
        <v>239</v>
      </c>
      <c r="F549" t="s">
        <v>63</v>
      </c>
      <c r="G549">
        <v>100000</v>
      </c>
      <c r="H549">
        <v>62000</v>
      </c>
      <c r="I549">
        <v>40000</v>
      </c>
      <c r="J549">
        <v>0</v>
      </c>
      <c r="K549">
        <v>36000</v>
      </c>
      <c r="L549">
        <v>32500</v>
      </c>
      <c r="M549">
        <v>32000</v>
      </c>
      <c r="N549">
        <v>101250</v>
      </c>
      <c r="O549">
        <v>12000</v>
      </c>
      <c r="P549">
        <v>0</v>
      </c>
      <c r="Q549">
        <v>0</v>
      </c>
      <c r="R549">
        <v>8000</v>
      </c>
      <c r="S549">
        <v>0</v>
      </c>
      <c r="T549">
        <v>0</v>
      </c>
      <c r="U549">
        <v>55</v>
      </c>
      <c r="V549">
        <v>55</v>
      </c>
      <c r="W549">
        <v>1615</v>
      </c>
      <c r="X549">
        <v>265</v>
      </c>
      <c r="Y549">
        <v>0</v>
      </c>
      <c r="Z549" cm="1">
        <f t="array" ref="Z549">MMULT($G549:$Y549,'Nelson Factor_2019'!$B$1:$B$19)/$G549</f>
        <v>15.75935</v>
      </c>
      <c r="AA549" cm="1">
        <f t="array" ref="AA549">MMULT($G549:$R549,'Nelson Factor_2019'!$B$1:$B$12)/$G549</f>
        <v>15.122249999999999</v>
      </c>
    </row>
    <row r="550" spans="1:27" x14ac:dyDescent="0.25">
      <c r="A550">
        <v>2009</v>
      </c>
      <c r="B550">
        <v>5</v>
      </c>
      <c r="C550">
        <v>6</v>
      </c>
      <c r="D550" t="s">
        <v>46</v>
      </c>
      <c r="E550" t="s">
        <v>239</v>
      </c>
      <c r="F550" t="s">
        <v>65</v>
      </c>
      <c r="G550">
        <v>161000</v>
      </c>
      <c r="H550">
        <v>144000</v>
      </c>
      <c r="I550">
        <v>42000</v>
      </c>
      <c r="J550">
        <v>0</v>
      </c>
      <c r="K550">
        <v>66500</v>
      </c>
      <c r="L550">
        <v>42000</v>
      </c>
      <c r="M550">
        <v>32000</v>
      </c>
      <c r="N550">
        <v>172500</v>
      </c>
      <c r="O550">
        <v>14000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105</v>
      </c>
      <c r="V550">
        <v>0</v>
      </c>
      <c r="W550">
        <v>1500</v>
      </c>
      <c r="X550">
        <v>140</v>
      </c>
      <c r="Y550">
        <v>0</v>
      </c>
      <c r="Z550" cm="1">
        <f t="array" ref="Z550">MMULT($G550:$Y550,'Nelson Factor_2019'!$B$1:$B$19)/$G550</f>
        <v>13.249409937888199</v>
      </c>
      <c r="AA550" cm="1">
        <f t="array" ref="AA550">MMULT($G550:$R550,'Nelson Factor_2019'!$B$1:$B$12)/$G550</f>
        <v>13.040062111801243</v>
      </c>
    </row>
    <row r="551" spans="1:27" x14ac:dyDescent="0.25">
      <c r="A551">
        <v>2009</v>
      </c>
      <c r="B551">
        <v>5</v>
      </c>
      <c r="C551">
        <v>6</v>
      </c>
      <c r="D551" t="s">
        <v>46</v>
      </c>
      <c r="E551" t="s">
        <v>66</v>
      </c>
      <c r="F551" t="s">
        <v>67</v>
      </c>
      <c r="G551">
        <v>139500</v>
      </c>
      <c r="H551">
        <v>78500</v>
      </c>
      <c r="I551">
        <v>28000</v>
      </c>
      <c r="J551">
        <v>0</v>
      </c>
      <c r="K551">
        <v>69000</v>
      </c>
      <c r="L551">
        <v>36000</v>
      </c>
      <c r="M551">
        <v>36000</v>
      </c>
      <c r="N551">
        <v>146000</v>
      </c>
      <c r="O551">
        <v>17100</v>
      </c>
      <c r="P551">
        <v>2900</v>
      </c>
      <c r="Q551">
        <v>0</v>
      </c>
      <c r="R551">
        <v>0</v>
      </c>
      <c r="S551">
        <v>0</v>
      </c>
      <c r="T551">
        <v>0</v>
      </c>
      <c r="U551">
        <v>131.5</v>
      </c>
      <c r="V551">
        <v>0</v>
      </c>
      <c r="W551">
        <v>1080</v>
      </c>
      <c r="X551">
        <v>275</v>
      </c>
      <c r="Y551">
        <v>5000</v>
      </c>
      <c r="Z551" cm="1">
        <f t="array" ref="Z551">MMULT($G551:$Y551,'Nelson Factor_2019'!$B$1:$B$19)/$G551</f>
        <v>14.137501792114696</v>
      </c>
      <c r="AA551" cm="1">
        <f t="array" ref="AA551">MMULT($G551:$R551,'Nelson Factor_2019'!$B$1:$B$12)/$G551</f>
        <v>13.609677419354838</v>
      </c>
    </row>
    <row r="552" spans="1:27" x14ac:dyDescent="0.25">
      <c r="A552">
        <v>2009</v>
      </c>
      <c r="B552">
        <v>5</v>
      </c>
      <c r="C552">
        <v>4</v>
      </c>
      <c r="D552" t="s">
        <v>46</v>
      </c>
      <c r="E552" t="s">
        <v>66</v>
      </c>
      <c r="F552" t="s">
        <v>63</v>
      </c>
      <c r="G552">
        <v>80000</v>
      </c>
      <c r="H552">
        <v>46000</v>
      </c>
      <c r="I552">
        <v>28000</v>
      </c>
      <c r="J552">
        <v>0</v>
      </c>
      <c r="K552">
        <v>54000</v>
      </c>
      <c r="L552">
        <v>17500</v>
      </c>
      <c r="M552">
        <v>0</v>
      </c>
      <c r="N552">
        <v>139500</v>
      </c>
      <c r="O552">
        <v>14500</v>
      </c>
      <c r="P552">
        <v>0</v>
      </c>
      <c r="Q552">
        <v>0</v>
      </c>
      <c r="R552">
        <v>10200</v>
      </c>
      <c r="S552">
        <v>0</v>
      </c>
      <c r="T552">
        <v>0</v>
      </c>
      <c r="U552">
        <v>50</v>
      </c>
      <c r="V552">
        <v>0</v>
      </c>
      <c r="W552">
        <v>1700</v>
      </c>
      <c r="X552">
        <v>250</v>
      </c>
      <c r="Y552">
        <v>0</v>
      </c>
      <c r="Z552" cm="1">
        <f t="array" ref="Z552">MMULT($G552:$Y552,'Nelson Factor_2019'!$B$1:$B$19)/$G552</f>
        <v>16.821249999999999</v>
      </c>
      <c r="AA552" cm="1">
        <f t="array" ref="AA552">MMULT($G552:$R552,'Nelson Factor_2019'!$B$1:$B$12)/$G552</f>
        <v>16.070625</v>
      </c>
    </row>
    <row r="553" spans="1:27" x14ac:dyDescent="0.25">
      <c r="A553">
        <v>2009</v>
      </c>
      <c r="B553">
        <v>4</v>
      </c>
      <c r="C553">
        <v>1</v>
      </c>
      <c r="D553" t="s">
        <v>68</v>
      </c>
      <c r="E553" t="s">
        <v>231</v>
      </c>
      <c r="F553" t="s">
        <v>242</v>
      </c>
      <c r="G553">
        <v>93000</v>
      </c>
      <c r="H553">
        <v>32500</v>
      </c>
      <c r="I553">
        <v>0</v>
      </c>
      <c r="J553">
        <v>0</v>
      </c>
      <c r="K553">
        <v>27000</v>
      </c>
      <c r="L553">
        <v>18500</v>
      </c>
      <c r="M553">
        <v>0</v>
      </c>
      <c r="N553">
        <v>73400</v>
      </c>
      <c r="O553">
        <v>0</v>
      </c>
      <c r="P553">
        <v>3500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26</v>
      </c>
      <c r="W553">
        <v>0</v>
      </c>
      <c r="X553">
        <v>94</v>
      </c>
      <c r="Y553">
        <v>10500</v>
      </c>
      <c r="Z553" cm="1">
        <f t="array" ref="Z553">MMULT($G553:$Y553,'Nelson Factor_2019'!$B$1:$B$19)/$G553</f>
        <v>6.9525376344086025</v>
      </c>
      <c r="AA553" cm="1">
        <f t="array" ref="AA553">MMULT($G553:$R553,'Nelson Factor_2019'!$B$1:$B$12)/$G553</f>
        <v>6.540322580645161</v>
      </c>
    </row>
    <row r="554" spans="1:27" x14ac:dyDescent="0.25">
      <c r="A554">
        <v>2009</v>
      </c>
      <c r="B554">
        <v>1</v>
      </c>
      <c r="C554">
        <v>6</v>
      </c>
      <c r="D554" t="s">
        <v>72</v>
      </c>
      <c r="E554" t="s">
        <v>66</v>
      </c>
      <c r="F554" t="s">
        <v>74</v>
      </c>
      <c r="G554">
        <v>190000</v>
      </c>
      <c r="H554">
        <v>102000</v>
      </c>
      <c r="I554">
        <v>47000</v>
      </c>
      <c r="J554">
        <v>0</v>
      </c>
      <c r="K554">
        <v>82000</v>
      </c>
      <c r="L554">
        <v>43000</v>
      </c>
      <c r="M554">
        <v>18000</v>
      </c>
      <c r="N554">
        <v>130000</v>
      </c>
      <c r="O554">
        <v>11000</v>
      </c>
      <c r="P554">
        <v>5040</v>
      </c>
      <c r="Q554">
        <v>1260</v>
      </c>
      <c r="R554">
        <v>6000</v>
      </c>
      <c r="S554">
        <v>0</v>
      </c>
      <c r="T554">
        <v>0</v>
      </c>
      <c r="U554">
        <v>40</v>
      </c>
      <c r="V554">
        <v>22</v>
      </c>
      <c r="W554">
        <v>2200</v>
      </c>
      <c r="X554">
        <v>532</v>
      </c>
      <c r="Y554">
        <v>0</v>
      </c>
      <c r="Z554" cm="1">
        <f t="array" ref="Z554">MMULT($G554:$Y554,'Nelson Factor_2019'!$B$1:$B$19)/$G554</f>
        <v>11.486536842105263</v>
      </c>
      <c r="AA554" cm="1">
        <f t="array" ref="AA554">MMULT($G554:$R554,'Nelson Factor_2019'!$B$1:$B$12)/$G554</f>
        <v>10.81421052631579</v>
      </c>
    </row>
    <row r="555" spans="1:27" x14ac:dyDescent="0.25">
      <c r="A555">
        <v>2009</v>
      </c>
      <c r="B555">
        <v>5</v>
      </c>
      <c r="C555">
        <v>1</v>
      </c>
      <c r="D555" t="s">
        <v>75</v>
      </c>
      <c r="E555" t="s">
        <v>227</v>
      </c>
      <c r="F555" t="s">
        <v>76</v>
      </c>
      <c r="G555">
        <v>54000</v>
      </c>
      <c r="H555">
        <v>30000</v>
      </c>
      <c r="I555">
        <v>0</v>
      </c>
      <c r="J555">
        <v>0</v>
      </c>
      <c r="K555">
        <v>21000</v>
      </c>
      <c r="L555">
        <v>0</v>
      </c>
      <c r="M555">
        <v>0</v>
      </c>
      <c r="N555">
        <v>3000</v>
      </c>
      <c r="O555">
        <v>4000</v>
      </c>
      <c r="P555">
        <v>1000</v>
      </c>
      <c r="Q555">
        <v>0</v>
      </c>
      <c r="R555">
        <v>1200</v>
      </c>
      <c r="S555">
        <v>0</v>
      </c>
      <c r="T555">
        <v>0</v>
      </c>
      <c r="U555">
        <v>2</v>
      </c>
      <c r="V555">
        <v>0</v>
      </c>
      <c r="W555">
        <v>0</v>
      </c>
      <c r="X555">
        <v>0</v>
      </c>
      <c r="Y555">
        <v>1300</v>
      </c>
      <c r="Z555" cm="1">
        <f t="array" ref="Z555">MMULT($G555:$Y555,'Nelson Factor_2019'!$B$1:$B$19)/$G555</f>
        <v>5.2231851851851854</v>
      </c>
      <c r="AA555" cm="1">
        <f t="array" ref="AA555">MMULT($G555:$R555,'Nelson Factor_2019'!$B$1:$B$12)/$G555</f>
        <v>5.1870370370370367</v>
      </c>
    </row>
    <row r="556" spans="1:27" x14ac:dyDescent="0.25">
      <c r="A556">
        <v>2009</v>
      </c>
      <c r="B556">
        <v>5</v>
      </c>
      <c r="C556">
        <v>2</v>
      </c>
      <c r="D556" t="s">
        <v>75</v>
      </c>
      <c r="E556" t="s">
        <v>77</v>
      </c>
      <c r="F556" t="s">
        <v>76</v>
      </c>
      <c r="G556">
        <v>93700</v>
      </c>
      <c r="H556">
        <v>39500</v>
      </c>
      <c r="I556">
        <v>0</v>
      </c>
      <c r="J556">
        <v>11500</v>
      </c>
      <c r="K556">
        <v>0</v>
      </c>
      <c r="L556">
        <v>12800</v>
      </c>
      <c r="M556">
        <v>17600</v>
      </c>
      <c r="N556">
        <v>12800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18</v>
      </c>
      <c r="V556">
        <v>0</v>
      </c>
      <c r="W556">
        <v>0</v>
      </c>
      <c r="X556">
        <v>34</v>
      </c>
      <c r="Y556">
        <v>1000</v>
      </c>
      <c r="Z556" cm="1">
        <f t="array" ref="Z556">MMULT($G556:$Y556,'Nelson Factor_2019'!$B$1:$B$19)/$G556</f>
        <v>4.5160405549626468</v>
      </c>
      <c r="AA556" cm="1">
        <f t="array" ref="AA556">MMULT($G556:$R556,'Nelson Factor_2019'!$B$1:$B$12)/$G556</f>
        <v>4.4127534685165424</v>
      </c>
    </row>
    <row r="557" spans="1:27" x14ac:dyDescent="0.25">
      <c r="A557">
        <v>2009</v>
      </c>
      <c r="B557">
        <v>2</v>
      </c>
      <c r="C557">
        <v>4</v>
      </c>
      <c r="D557" t="s">
        <v>78</v>
      </c>
      <c r="E557" t="s">
        <v>79</v>
      </c>
      <c r="F557" t="s">
        <v>80</v>
      </c>
      <c r="G557">
        <v>158650</v>
      </c>
      <c r="H557">
        <v>71250</v>
      </c>
      <c r="I557">
        <v>36000</v>
      </c>
      <c r="J557">
        <v>0</v>
      </c>
      <c r="K557">
        <v>60300</v>
      </c>
      <c r="L557">
        <v>28080</v>
      </c>
      <c r="M557">
        <v>0</v>
      </c>
      <c r="N557">
        <v>103410</v>
      </c>
      <c r="O557">
        <v>18900</v>
      </c>
      <c r="P557">
        <v>0</v>
      </c>
      <c r="Q557">
        <v>6030</v>
      </c>
      <c r="R557">
        <v>0</v>
      </c>
      <c r="S557">
        <v>0</v>
      </c>
      <c r="T557">
        <v>0</v>
      </c>
      <c r="U557">
        <v>4.5</v>
      </c>
      <c r="V557">
        <v>0</v>
      </c>
      <c r="W557">
        <v>2102</v>
      </c>
      <c r="X557">
        <v>344</v>
      </c>
      <c r="Y557">
        <v>0</v>
      </c>
      <c r="Z557" cm="1">
        <f t="array" ref="Z557">MMULT($G557:$Y557,'Nelson Factor_2019'!$B$1:$B$19)/$G557</f>
        <v>10.55256539552474</v>
      </c>
      <c r="AA557" cm="1">
        <f t="array" ref="AA557">MMULT($G557:$R557,'Nelson Factor_2019'!$B$1:$B$12)/$G557</f>
        <v>10.032146233848094</v>
      </c>
    </row>
    <row r="558" spans="1:27" x14ac:dyDescent="0.25">
      <c r="A558">
        <v>2009</v>
      </c>
      <c r="B558">
        <v>2</v>
      </c>
      <c r="C558">
        <v>4</v>
      </c>
      <c r="D558" t="s">
        <v>78</v>
      </c>
      <c r="E558" t="s">
        <v>54</v>
      </c>
      <c r="F558" t="s">
        <v>82</v>
      </c>
      <c r="G558">
        <v>240000</v>
      </c>
      <c r="H558">
        <v>121500</v>
      </c>
      <c r="I558">
        <v>56000</v>
      </c>
      <c r="J558">
        <v>0</v>
      </c>
      <c r="K558">
        <v>93000</v>
      </c>
      <c r="L558">
        <v>50000</v>
      </c>
      <c r="M558">
        <v>0</v>
      </c>
      <c r="N558">
        <v>247500</v>
      </c>
      <c r="O558">
        <v>27000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3330</v>
      </c>
      <c r="X558">
        <v>610</v>
      </c>
      <c r="Y558">
        <v>14500</v>
      </c>
      <c r="Z558" cm="1">
        <f t="array" ref="Z558">MMULT($G558:$Y558,'Nelson Factor_2019'!$B$1:$B$19)/$G558</f>
        <v>11.178541666666666</v>
      </c>
      <c r="AA558" cm="1">
        <f t="array" ref="AA558">MMULT($G558:$R558,'Nelson Factor_2019'!$B$1:$B$12)/$G558</f>
        <v>10.477916666666667</v>
      </c>
    </row>
    <row r="559" spans="1:27" x14ac:dyDescent="0.25">
      <c r="A559">
        <v>2009</v>
      </c>
      <c r="B559">
        <v>2</v>
      </c>
      <c r="C559">
        <v>6</v>
      </c>
      <c r="D559" t="s">
        <v>78</v>
      </c>
      <c r="E559" t="s">
        <v>232</v>
      </c>
      <c r="F559" t="s">
        <v>84</v>
      </c>
      <c r="G559">
        <v>204000</v>
      </c>
      <c r="H559">
        <v>61900</v>
      </c>
      <c r="I559">
        <v>27600</v>
      </c>
      <c r="J559">
        <v>0</v>
      </c>
      <c r="K559">
        <v>47500</v>
      </c>
      <c r="L559">
        <v>72700</v>
      </c>
      <c r="M559">
        <v>26600</v>
      </c>
      <c r="N559">
        <v>173500</v>
      </c>
      <c r="O559">
        <v>10900</v>
      </c>
      <c r="P559">
        <v>0</v>
      </c>
      <c r="Q559">
        <v>0</v>
      </c>
      <c r="R559">
        <v>11400</v>
      </c>
      <c r="S559">
        <v>0</v>
      </c>
      <c r="T559">
        <v>0</v>
      </c>
      <c r="U559">
        <v>0</v>
      </c>
      <c r="V559">
        <v>0</v>
      </c>
      <c r="W559">
        <v>1187</v>
      </c>
      <c r="X559">
        <v>183</v>
      </c>
      <c r="Y559">
        <v>0</v>
      </c>
      <c r="Z559" cm="1">
        <f t="array" ref="Z559">MMULT($G559:$Y559,'Nelson Factor_2019'!$B$1:$B$19)/$G559</f>
        <v>9.6747058823529404</v>
      </c>
      <c r="AA559" cm="1">
        <f t="array" ref="AA559">MMULT($G559:$R559,'Nelson Factor_2019'!$B$1:$B$12)/$G559</f>
        <v>9.459411764705882</v>
      </c>
    </row>
    <row r="560" spans="1:27" x14ac:dyDescent="0.25">
      <c r="A560">
        <v>2009</v>
      </c>
      <c r="B560">
        <v>2</v>
      </c>
      <c r="C560">
        <v>6</v>
      </c>
      <c r="D560" t="s">
        <v>78</v>
      </c>
      <c r="E560" t="s">
        <v>240</v>
      </c>
      <c r="F560" t="s">
        <v>81</v>
      </c>
      <c r="G560">
        <v>306000</v>
      </c>
      <c r="H560">
        <v>119000</v>
      </c>
      <c r="I560">
        <v>16000</v>
      </c>
      <c r="J560">
        <v>0</v>
      </c>
      <c r="K560">
        <v>91000</v>
      </c>
      <c r="L560">
        <v>85000</v>
      </c>
      <c r="M560">
        <v>37000</v>
      </c>
      <c r="N560">
        <v>225000</v>
      </c>
      <c r="O560">
        <v>20000</v>
      </c>
      <c r="P560">
        <v>0</v>
      </c>
      <c r="Q560">
        <v>3500</v>
      </c>
      <c r="R560">
        <v>0</v>
      </c>
      <c r="S560">
        <v>0</v>
      </c>
      <c r="T560">
        <v>0</v>
      </c>
      <c r="U560">
        <v>105</v>
      </c>
      <c r="V560">
        <v>0</v>
      </c>
      <c r="W560">
        <v>1250</v>
      </c>
      <c r="X560">
        <v>440</v>
      </c>
      <c r="Y560">
        <v>40000</v>
      </c>
      <c r="Z560" cm="1">
        <f t="array" ref="Z560">MMULT($G560:$Y560,'Nelson Factor_2019'!$B$1:$B$19)/$G560</f>
        <v>9.3003431372549024</v>
      </c>
      <c r="AA560" cm="1">
        <f t="array" ref="AA560">MMULT($G560:$R560,'Nelson Factor_2019'!$B$1:$B$12)/$G560</f>
        <v>8.7588235294117656</v>
      </c>
    </row>
    <row r="561" spans="1:27" x14ac:dyDescent="0.25">
      <c r="A561">
        <v>2009</v>
      </c>
      <c r="B561">
        <v>2</v>
      </c>
      <c r="C561">
        <v>4</v>
      </c>
      <c r="D561" t="s">
        <v>85</v>
      </c>
      <c r="E561" t="s">
        <v>32</v>
      </c>
      <c r="F561" t="s">
        <v>86</v>
      </c>
      <c r="G561">
        <v>384750</v>
      </c>
      <c r="H561">
        <v>179550</v>
      </c>
      <c r="I561">
        <v>31050</v>
      </c>
      <c r="J561">
        <v>0</v>
      </c>
      <c r="K561">
        <v>148500</v>
      </c>
      <c r="L561">
        <v>57600</v>
      </c>
      <c r="M561">
        <v>0</v>
      </c>
      <c r="N561">
        <v>297180</v>
      </c>
      <c r="O561">
        <v>22500</v>
      </c>
      <c r="P561">
        <v>0</v>
      </c>
      <c r="Q561">
        <v>0</v>
      </c>
      <c r="R561">
        <v>23400</v>
      </c>
      <c r="S561">
        <v>0</v>
      </c>
      <c r="T561">
        <v>0</v>
      </c>
      <c r="U561">
        <v>29.5</v>
      </c>
      <c r="V561">
        <v>24</v>
      </c>
      <c r="W561">
        <v>1557</v>
      </c>
      <c r="X561">
        <v>494</v>
      </c>
      <c r="Y561">
        <v>26550</v>
      </c>
      <c r="Z561" cm="1">
        <f t="array" ref="Z561">MMULT($G561:$Y561,'Nelson Factor_2019'!$B$1:$B$19)/$G561</f>
        <v>8.3862988953866147</v>
      </c>
      <c r="AA561" cm="1">
        <f t="array" ref="AA561">MMULT($G561:$R561,'Nelson Factor_2019'!$B$1:$B$12)/$G561</f>
        <v>7.9745029239766083</v>
      </c>
    </row>
    <row r="562" spans="1:27" x14ac:dyDescent="0.25">
      <c r="A562">
        <v>2009</v>
      </c>
      <c r="B562">
        <v>2</v>
      </c>
      <c r="C562">
        <v>1</v>
      </c>
      <c r="D562" t="s">
        <v>85</v>
      </c>
      <c r="E562" t="s">
        <v>87</v>
      </c>
      <c r="F562" t="s">
        <v>88</v>
      </c>
      <c r="G562">
        <v>26500</v>
      </c>
      <c r="H562">
        <v>11000</v>
      </c>
      <c r="I562">
        <v>0</v>
      </c>
      <c r="J562">
        <v>0</v>
      </c>
      <c r="K562">
        <v>7850</v>
      </c>
      <c r="L562">
        <v>6500</v>
      </c>
      <c r="M562">
        <v>0</v>
      </c>
      <c r="N562">
        <v>21000</v>
      </c>
      <c r="O562">
        <v>2000</v>
      </c>
      <c r="P562">
        <v>0</v>
      </c>
      <c r="Q562">
        <v>0</v>
      </c>
      <c r="R562">
        <v>2200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8</v>
      </c>
      <c r="Y562">
        <v>3300</v>
      </c>
      <c r="Z562" cm="1">
        <f t="array" ref="Z562">MMULT($G562:$Y562,'Nelson Factor_2019'!$B$1:$B$19)/$G562</f>
        <v>7.7875471698113206</v>
      </c>
      <c r="AA562" cm="1">
        <f t="array" ref="AA562">MMULT($G562:$R562,'Nelson Factor_2019'!$B$1:$B$12)/$G562</f>
        <v>7.5283018867924527</v>
      </c>
    </row>
    <row r="563" spans="1:27" x14ac:dyDescent="0.25">
      <c r="A563">
        <v>2009</v>
      </c>
      <c r="B563">
        <v>2</v>
      </c>
      <c r="C563">
        <v>4</v>
      </c>
      <c r="D563" t="s">
        <v>89</v>
      </c>
      <c r="E563" t="s">
        <v>90</v>
      </c>
      <c r="F563" t="s">
        <v>91</v>
      </c>
      <c r="G563">
        <v>100000</v>
      </c>
      <c r="H563">
        <v>50000</v>
      </c>
      <c r="I563">
        <v>19000</v>
      </c>
      <c r="J563">
        <v>0</v>
      </c>
      <c r="K563">
        <v>29100</v>
      </c>
      <c r="L563">
        <v>17000</v>
      </c>
      <c r="M563">
        <v>0</v>
      </c>
      <c r="N563">
        <v>61000</v>
      </c>
      <c r="O563">
        <v>9200</v>
      </c>
      <c r="P563">
        <v>0</v>
      </c>
      <c r="Q563">
        <v>0</v>
      </c>
      <c r="R563">
        <v>8500</v>
      </c>
      <c r="S563">
        <v>0</v>
      </c>
      <c r="T563">
        <v>0</v>
      </c>
      <c r="U563">
        <v>0</v>
      </c>
      <c r="V563">
        <v>0</v>
      </c>
      <c r="W563">
        <v>890</v>
      </c>
      <c r="X563">
        <v>0</v>
      </c>
      <c r="Y563">
        <v>0</v>
      </c>
      <c r="Z563" cm="1">
        <f t="array" ref="Z563">MMULT($G563:$Y563,'Nelson Factor_2019'!$B$1:$B$19)/$G563</f>
        <v>8.3710000000000004</v>
      </c>
      <c r="AA563" cm="1">
        <f t="array" ref="AA563">MMULT($G563:$R563,'Nelson Factor_2019'!$B$1:$B$12)/$G563</f>
        <v>8.3710000000000004</v>
      </c>
    </row>
    <row r="564" spans="1:27" x14ac:dyDescent="0.25">
      <c r="A564">
        <v>2009</v>
      </c>
      <c r="B564">
        <v>2</v>
      </c>
      <c r="C564">
        <v>4</v>
      </c>
      <c r="D564" t="s">
        <v>89</v>
      </c>
      <c r="E564" t="s">
        <v>92</v>
      </c>
      <c r="F564" t="s">
        <v>45</v>
      </c>
      <c r="G564">
        <v>126000</v>
      </c>
      <c r="H564">
        <v>56000</v>
      </c>
      <c r="I564">
        <v>19000</v>
      </c>
      <c r="J564">
        <v>0</v>
      </c>
      <c r="K564">
        <v>39000</v>
      </c>
      <c r="L564">
        <v>30000</v>
      </c>
      <c r="M564">
        <v>0</v>
      </c>
      <c r="N564">
        <v>95500</v>
      </c>
      <c r="O564">
        <v>13500</v>
      </c>
      <c r="P564">
        <v>0</v>
      </c>
      <c r="Q564">
        <v>2200</v>
      </c>
      <c r="R564">
        <v>12500</v>
      </c>
      <c r="S564">
        <v>0</v>
      </c>
      <c r="T564">
        <v>0</v>
      </c>
      <c r="U564">
        <v>35</v>
      </c>
      <c r="V564">
        <v>0</v>
      </c>
      <c r="W564">
        <v>900</v>
      </c>
      <c r="X564">
        <v>260</v>
      </c>
      <c r="Y564">
        <v>0</v>
      </c>
      <c r="Z564" cm="1">
        <f t="array" ref="Z564">MMULT($G564:$Y564,'Nelson Factor_2019'!$B$1:$B$19)/$G564</f>
        <v>9.8649603174603175</v>
      </c>
      <c r="AA564" cm="1">
        <f t="array" ref="AA564">MMULT($G564:$R564,'Nelson Factor_2019'!$B$1:$B$12)/$G564</f>
        <v>9.3694444444444436</v>
      </c>
    </row>
    <row r="565" spans="1:27" x14ac:dyDescent="0.25">
      <c r="A565">
        <v>2009</v>
      </c>
      <c r="B565">
        <v>2</v>
      </c>
      <c r="C565">
        <v>6</v>
      </c>
      <c r="D565" t="s">
        <v>89</v>
      </c>
      <c r="E565" t="s">
        <v>93</v>
      </c>
      <c r="F565" t="s">
        <v>94</v>
      </c>
      <c r="G565">
        <v>82700</v>
      </c>
      <c r="H565">
        <v>35400</v>
      </c>
      <c r="I565">
        <v>20800</v>
      </c>
      <c r="J565">
        <v>0</v>
      </c>
      <c r="K565">
        <v>22700</v>
      </c>
      <c r="L565">
        <v>22700</v>
      </c>
      <c r="M565">
        <v>33100</v>
      </c>
      <c r="N565">
        <v>72500</v>
      </c>
      <c r="O565">
        <v>6400</v>
      </c>
      <c r="P565">
        <v>0</v>
      </c>
      <c r="Q565">
        <v>0</v>
      </c>
      <c r="R565">
        <v>13000</v>
      </c>
      <c r="S565">
        <v>0</v>
      </c>
      <c r="T565">
        <v>0</v>
      </c>
      <c r="U565">
        <v>32.1</v>
      </c>
      <c r="V565">
        <v>74.599999999999994</v>
      </c>
      <c r="W565">
        <v>819</v>
      </c>
      <c r="X565">
        <v>123</v>
      </c>
      <c r="Y565">
        <v>0</v>
      </c>
      <c r="Z565" cm="1">
        <f t="array" ref="Z565">MMULT($G565:$Y565,'Nelson Factor_2019'!$B$1:$B$19)/$G565</f>
        <v>13.459452237001212</v>
      </c>
      <c r="AA565" cm="1">
        <f t="array" ref="AA565">MMULT($G565:$R565,'Nelson Factor_2019'!$B$1:$B$12)/$G565</f>
        <v>13.101209189842805</v>
      </c>
    </row>
    <row r="566" spans="1:27" x14ac:dyDescent="0.25">
      <c r="A566">
        <v>2009</v>
      </c>
      <c r="B566">
        <v>2</v>
      </c>
      <c r="C566">
        <v>1</v>
      </c>
      <c r="D566" t="s">
        <v>95</v>
      </c>
      <c r="E566" t="s">
        <v>232</v>
      </c>
      <c r="F566" t="s">
        <v>96</v>
      </c>
      <c r="G566">
        <v>226000</v>
      </c>
      <c r="H566">
        <v>114500</v>
      </c>
      <c r="I566">
        <v>0</v>
      </c>
      <c r="J566">
        <v>0</v>
      </c>
      <c r="K566">
        <v>98800</v>
      </c>
      <c r="L566">
        <v>48500</v>
      </c>
      <c r="M566">
        <v>0</v>
      </c>
      <c r="N566">
        <v>257500</v>
      </c>
      <c r="O566">
        <v>19500</v>
      </c>
      <c r="P566">
        <v>0</v>
      </c>
      <c r="Q566">
        <v>14300</v>
      </c>
      <c r="R566">
        <v>15200</v>
      </c>
      <c r="S566">
        <v>0</v>
      </c>
      <c r="T566">
        <v>0</v>
      </c>
      <c r="U566">
        <v>32.299999999999997</v>
      </c>
      <c r="V566">
        <v>0</v>
      </c>
      <c r="W566">
        <v>0</v>
      </c>
      <c r="X566">
        <v>406</v>
      </c>
      <c r="Y566">
        <v>21900</v>
      </c>
      <c r="Z566" cm="1">
        <f t="array" ref="Z566">MMULT($G566:$Y566,'Nelson Factor_2019'!$B$1:$B$19)/$G566</f>
        <v>11.109833185840706</v>
      </c>
      <c r="AA566" cm="1">
        <f t="array" ref="AA566">MMULT($G566:$R566,'Nelson Factor_2019'!$B$1:$B$12)/$G566</f>
        <v>10.533185840707965</v>
      </c>
    </row>
    <row r="567" spans="1:27" x14ac:dyDescent="0.25">
      <c r="A567">
        <v>2009</v>
      </c>
      <c r="B567">
        <v>2</v>
      </c>
      <c r="C567">
        <v>0</v>
      </c>
      <c r="D567" t="s">
        <v>95</v>
      </c>
      <c r="E567" t="s">
        <v>97</v>
      </c>
      <c r="F567" t="s">
        <v>98</v>
      </c>
      <c r="G567">
        <v>5500</v>
      </c>
      <c r="H567">
        <v>0</v>
      </c>
      <c r="I567">
        <v>0</v>
      </c>
      <c r="J567">
        <v>0</v>
      </c>
      <c r="K567">
        <v>0</v>
      </c>
      <c r="L567">
        <v>1500</v>
      </c>
      <c r="M567">
        <v>0</v>
      </c>
      <c r="N567">
        <v>2000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 cm="1">
        <f t="array" ref="Z567">MMULT($G567:$Y567,'Nelson Factor_2019'!$B$1:$B$19)/$G567</f>
        <v>3.2727272727272729</v>
      </c>
      <c r="AA567" cm="1">
        <f t="array" ref="AA567">MMULT($G567:$R567,'Nelson Factor_2019'!$B$1:$B$12)/$G567</f>
        <v>3.2727272727272729</v>
      </c>
    </row>
    <row r="568" spans="1:27" x14ac:dyDescent="0.25">
      <c r="A568">
        <v>2009</v>
      </c>
      <c r="B568">
        <v>3</v>
      </c>
      <c r="C568">
        <v>1</v>
      </c>
      <c r="D568" t="s">
        <v>99</v>
      </c>
      <c r="E568" t="s">
        <v>243</v>
      </c>
      <c r="F568" t="s">
        <v>120</v>
      </c>
      <c r="G568">
        <v>83000</v>
      </c>
      <c r="H568">
        <v>36000</v>
      </c>
      <c r="I568">
        <v>0</v>
      </c>
      <c r="J568">
        <v>0</v>
      </c>
      <c r="K568">
        <v>33000</v>
      </c>
      <c r="L568">
        <v>12000</v>
      </c>
      <c r="M568">
        <v>0</v>
      </c>
      <c r="N568">
        <v>18500</v>
      </c>
      <c r="O568">
        <v>0</v>
      </c>
      <c r="P568">
        <v>2100</v>
      </c>
      <c r="Q568">
        <v>0</v>
      </c>
      <c r="R568">
        <v>4500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 cm="1">
        <f t="array" ref="Z568">MMULT($G568:$Y568,'Nelson Factor_2019'!$B$1:$B$19)/$G568</f>
        <v>5.645180722891566</v>
      </c>
      <c r="AA568" cm="1">
        <f t="array" ref="AA568">MMULT($G568:$R568,'Nelson Factor_2019'!$B$1:$B$12)/$G568</f>
        <v>5.645180722891566</v>
      </c>
    </row>
    <row r="569" spans="1:27" x14ac:dyDescent="0.25">
      <c r="A569">
        <v>2009</v>
      </c>
      <c r="B569">
        <v>3</v>
      </c>
      <c r="C569">
        <v>0</v>
      </c>
      <c r="D569" t="s">
        <v>99</v>
      </c>
      <c r="E569" t="s">
        <v>100</v>
      </c>
      <c r="F569" t="s">
        <v>101</v>
      </c>
      <c r="G569">
        <v>32000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 cm="1">
        <f t="array" ref="Z569">MMULT($G569:$Y569,'Nelson Factor_2019'!$B$1:$B$19)/$G569</f>
        <v>1</v>
      </c>
      <c r="AA569" cm="1">
        <f t="array" ref="AA569">MMULT($G569:$R569,'Nelson Factor_2019'!$B$1:$B$12)/$G569</f>
        <v>1</v>
      </c>
    </row>
    <row r="570" spans="1:27" x14ac:dyDescent="0.25">
      <c r="A570">
        <v>2009</v>
      </c>
      <c r="B570">
        <v>3</v>
      </c>
      <c r="C570">
        <v>0</v>
      </c>
      <c r="D570" t="s">
        <v>99</v>
      </c>
      <c r="E570" t="s">
        <v>102</v>
      </c>
      <c r="F570" t="s">
        <v>103</v>
      </c>
      <c r="G570">
        <v>9500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5000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2.5</v>
      </c>
      <c r="V570">
        <v>2.5</v>
      </c>
      <c r="W570">
        <v>0</v>
      </c>
      <c r="X570">
        <v>0</v>
      </c>
      <c r="Y570">
        <v>0</v>
      </c>
      <c r="Z570" cm="1">
        <f t="array" ref="Z570">MMULT($G570:$Y570,'Nelson Factor_2019'!$B$1:$B$19)/$G570</f>
        <v>2.3163157894736841</v>
      </c>
      <c r="AA570" cm="1">
        <f t="array" ref="AA570">MMULT($G570:$R570,'Nelson Factor_2019'!$B$1:$B$12)/$G570</f>
        <v>2.3157894736842106</v>
      </c>
    </row>
    <row r="571" spans="1:27" x14ac:dyDescent="0.25">
      <c r="A571">
        <v>2009</v>
      </c>
      <c r="B571">
        <v>3</v>
      </c>
      <c r="C571">
        <v>2</v>
      </c>
      <c r="D571" t="s">
        <v>99</v>
      </c>
      <c r="E571" t="s">
        <v>102</v>
      </c>
      <c r="F571" t="s">
        <v>104</v>
      </c>
      <c r="G571">
        <v>9500</v>
      </c>
      <c r="H571">
        <v>8500</v>
      </c>
      <c r="I571">
        <v>0</v>
      </c>
      <c r="J571">
        <v>0</v>
      </c>
      <c r="K571">
        <v>0</v>
      </c>
      <c r="L571">
        <v>0</v>
      </c>
      <c r="M571">
        <v>8000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7500</v>
      </c>
      <c r="T571">
        <v>0</v>
      </c>
      <c r="U571">
        <v>4.5</v>
      </c>
      <c r="V571">
        <v>4.5</v>
      </c>
      <c r="W571">
        <v>0</v>
      </c>
      <c r="X571">
        <v>3</v>
      </c>
      <c r="Y571">
        <v>0</v>
      </c>
      <c r="Z571" cm="1">
        <f t="array" ref="Z571">MMULT($G571:$Y571,'Nelson Factor_2019'!$B$1:$B$19)/$G571</f>
        <v>56.345157894736843</v>
      </c>
      <c r="AA571" cm="1">
        <f t="array" ref="AA571">MMULT($G571:$R571,'Nelson Factor_2019'!$B$1:$B$12)/$G571</f>
        <v>8.9</v>
      </c>
    </row>
    <row r="572" spans="1:27" x14ac:dyDescent="0.25">
      <c r="A572">
        <v>2009</v>
      </c>
      <c r="B572">
        <v>3</v>
      </c>
      <c r="C572">
        <v>2</v>
      </c>
      <c r="D572" t="s">
        <v>99</v>
      </c>
      <c r="E572" t="s">
        <v>102</v>
      </c>
      <c r="F572" t="s">
        <v>105</v>
      </c>
      <c r="G572">
        <v>35000</v>
      </c>
      <c r="H572">
        <v>15000</v>
      </c>
      <c r="I572">
        <v>0</v>
      </c>
      <c r="J572">
        <v>0</v>
      </c>
      <c r="K572">
        <v>0</v>
      </c>
      <c r="L572">
        <v>10000</v>
      </c>
      <c r="M572">
        <v>8500</v>
      </c>
      <c r="N572">
        <v>24000</v>
      </c>
      <c r="O572">
        <v>0</v>
      </c>
      <c r="P572">
        <v>0</v>
      </c>
      <c r="Q572">
        <v>0</v>
      </c>
      <c r="R572">
        <v>0</v>
      </c>
      <c r="S572">
        <v>8000</v>
      </c>
      <c r="T572">
        <v>0</v>
      </c>
      <c r="U572">
        <v>6.1</v>
      </c>
      <c r="V572">
        <v>6.1</v>
      </c>
      <c r="W572">
        <v>0</v>
      </c>
      <c r="X572">
        <v>15</v>
      </c>
      <c r="Y572">
        <v>0</v>
      </c>
      <c r="Z572" cm="1">
        <f t="array" ref="Z572">MMULT($G572:$Y572,'Nelson Factor_2019'!$B$1:$B$19)/$G572</f>
        <v>20.460348571428572</v>
      </c>
      <c r="AA572" cm="1">
        <f t="array" ref="AA572">MMULT($G572:$R572,'Nelson Factor_2019'!$B$1:$B$12)/$G572</f>
        <v>6.6428571428571432</v>
      </c>
    </row>
    <row r="573" spans="1:27" x14ac:dyDescent="0.25">
      <c r="A573">
        <v>2009</v>
      </c>
      <c r="B573">
        <v>3</v>
      </c>
      <c r="C573">
        <v>6</v>
      </c>
      <c r="D573" t="s">
        <v>99</v>
      </c>
      <c r="E573" t="s">
        <v>233</v>
      </c>
      <c r="F573" t="s">
        <v>110</v>
      </c>
      <c r="G573">
        <v>192500</v>
      </c>
      <c r="H573">
        <v>112000</v>
      </c>
      <c r="I573">
        <v>38000</v>
      </c>
      <c r="J573">
        <v>0</v>
      </c>
      <c r="K573">
        <v>68000</v>
      </c>
      <c r="L573">
        <v>47000</v>
      </c>
      <c r="M573">
        <v>18500</v>
      </c>
      <c r="N573">
        <v>172500</v>
      </c>
      <c r="O573">
        <v>12500</v>
      </c>
      <c r="P573">
        <v>0</v>
      </c>
      <c r="Q573">
        <v>10000</v>
      </c>
      <c r="R573">
        <v>10000</v>
      </c>
      <c r="S573">
        <v>0</v>
      </c>
      <c r="T573">
        <v>0</v>
      </c>
      <c r="U573">
        <v>0</v>
      </c>
      <c r="V573">
        <v>0</v>
      </c>
      <c r="W573">
        <v>2050</v>
      </c>
      <c r="X573">
        <v>920</v>
      </c>
      <c r="Y573">
        <v>0</v>
      </c>
      <c r="Z573" cm="1">
        <f t="array" ref="Z573">MMULT($G573:$Y573,'Nelson Factor_2019'!$B$1:$B$19)/$G573</f>
        <v>12.577402597402598</v>
      </c>
      <c r="AA573" cm="1">
        <f t="array" ref="AA573">MMULT($G573:$R573,'Nelson Factor_2019'!$B$1:$B$12)/$G573</f>
        <v>11.430389610389611</v>
      </c>
    </row>
    <row r="574" spans="1:27" x14ac:dyDescent="0.25">
      <c r="A574">
        <v>2009</v>
      </c>
      <c r="B574">
        <v>3</v>
      </c>
      <c r="C574">
        <v>0</v>
      </c>
      <c r="D574" t="s">
        <v>99</v>
      </c>
      <c r="E574" t="s">
        <v>106</v>
      </c>
      <c r="F574" t="s">
        <v>101</v>
      </c>
      <c r="G574">
        <v>0</v>
      </c>
      <c r="H574">
        <v>36100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8550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 cm="1">
        <f t="array" ref="Z574">MMULT($G574:$Y574,'Nelson Factor_2019'!$B$1:$B$19)/$H574</f>
        <v>15.510526315789473</v>
      </c>
      <c r="AA574" cm="1">
        <f t="array" ref="AA574">MMULT($G574:$R574,'Nelson Factor_2019'!$B$1:$B$12)/$H574</f>
        <v>1.3</v>
      </c>
    </row>
    <row r="575" spans="1:27" x14ac:dyDescent="0.25">
      <c r="A575">
        <v>2009</v>
      </c>
      <c r="B575">
        <v>3</v>
      </c>
      <c r="C575">
        <v>6</v>
      </c>
      <c r="D575" t="s">
        <v>99</v>
      </c>
      <c r="E575" t="s">
        <v>79</v>
      </c>
      <c r="F575" t="s">
        <v>101</v>
      </c>
      <c r="G575">
        <v>440000</v>
      </c>
      <c r="H575">
        <v>79800</v>
      </c>
      <c r="I575">
        <v>88200</v>
      </c>
      <c r="J575">
        <v>0</v>
      </c>
      <c r="K575">
        <v>126000</v>
      </c>
      <c r="L575">
        <v>94500</v>
      </c>
      <c r="M575">
        <v>37800</v>
      </c>
      <c r="N575">
        <v>233100</v>
      </c>
      <c r="O575">
        <v>20700</v>
      </c>
      <c r="P575">
        <v>0</v>
      </c>
      <c r="Q575">
        <v>13500</v>
      </c>
      <c r="R575">
        <v>28800</v>
      </c>
      <c r="S575">
        <v>9900</v>
      </c>
      <c r="T575">
        <v>3150</v>
      </c>
      <c r="U575">
        <v>47.7</v>
      </c>
      <c r="V575">
        <v>10.8</v>
      </c>
      <c r="W575">
        <v>3870</v>
      </c>
      <c r="X575">
        <v>567</v>
      </c>
      <c r="Y575">
        <v>0</v>
      </c>
      <c r="Z575" cm="1">
        <f t="array" ref="Z575">MMULT($G575:$Y575,'Nelson Factor_2019'!$B$1:$B$19)/$G575</f>
        <v>10.554382954545455</v>
      </c>
      <c r="AA575" cm="1">
        <f t="array" ref="AA575">MMULT($G575:$R575,'Nelson Factor_2019'!$B$1:$B$12)/$G575</f>
        <v>8.823386363636363</v>
      </c>
    </row>
    <row r="576" spans="1:27" x14ac:dyDescent="0.25">
      <c r="A576">
        <v>2009</v>
      </c>
      <c r="B576">
        <v>3</v>
      </c>
      <c r="C576">
        <v>4</v>
      </c>
      <c r="D576" t="s">
        <v>99</v>
      </c>
      <c r="E576" t="s">
        <v>51</v>
      </c>
      <c r="F576" t="s">
        <v>107</v>
      </c>
      <c r="G576">
        <v>247000</v>
      </c>
      <c r="H576">
        <v>92000</v>
      </c>
      <c r="I576">
        <v>26000</v>
      </c>
      <c r="J576">
        <v>0</v>
      </c>
      <c r="K576">
        <v>104000</v>
      </c>
      <c r="L576">
        <v>43500</v>
      </c>
      <c r="M576">
        <v>0</v>
      </c>
      <c r="N576">
        <v>201400</v>
      </c>
      <c r="O576">
        <v>38000</v>
      </c>
      <c r="P576">
        <v>0</v>
      </c>
      <c r="Q576">
        <v>31800</v>
      </c>
      <c r="R576">
        <v>0</v>
      </c>
      <c r="S576">
        <v>0</v>
      </c>
      <c r="T576">
        <v>0</v>
      </c>
      <c r="U576">
        <v>0</v>
      </c>
      <c r="V576">
        <v>10.4</v>
      </c>
      <c r="W576">
        <v>800</v>
      </c>
      <c r="X576">
        <v>85</v>
      </c>
      <c r="Y576">
        <v>0</v>
      </c>
      <c r="Z576" cm="1">
        <f t="array" ref="Z576">MMULT($G576:$Y576,'Nelson Factor_2019'!$B$1:$B$19)/$G576</f>
        <v>11.915021862348178</v>
      </c>
      <c r="AA576" cm="1">
        <f t="array" ref="AA576">MMULT($G576:$R576,'Nelson Factor_2019'!$B$1:$B$12)/$G576</f>
        <v>11.832388663967611</v>
      </c>
    </row>
    <row r="577" spans="1:27" x14ac:dyDescent="0.25">
      <c r="A577">
        <v>2009</v>
      </c>
      <c r="B577">
        <v>3</v>
      </c>
      <c r="C577">
        <v>6</v>
      </c>
      <c r="D577" t="s">
        <v>99</v>
      </c>
      <c r="E577" t="s">
        <v>51</v>
      </c>
      <c r="F577" t="s">
        <v>108</v>
      </c>
      <c r="G577">
        <v>239000</v>
      </c>
      <c r="H577">
        <v>106200</v>
      </c>
      <c r="I577">
        <v>60840</v>
      </c>
      <c r="J577">
        <v>0</v>
      </c>
      <c r="K577">
        <v>46350</v>
      </c>
      <c r="L577">
        <v>44325</v>
      </c>
      <c r="M577">
        <v>34200</v>
      </c>
      <c r="N577">
        <v>220000</v>
      </c>
      <c r="O577">
        <v>7200</v>
      </c>
      <c r="P577">
        <v>540</v>
      </c>
      <c r="Q577">
        <v>0</v>
      </c>
      <c r="R577">
        <v>0</v>
      </c>
      <c r="S577">
        <v>0</v>
      </c>
      <c r="T577">
        <v>0</v>
      </c>
      <c r="U577">
        <v>15</v>
      </c>
      <c r="V577">
        <v>112</v>
      </c>
      <c r="W577">
        <v>3600</v>
      </c>
      <c r="X577">
        <v>350</v>
      </c>
      <c r="Y577">
        <v>0</v>
      </c>
      <c r="Z577" cm="1">
        <f t="array" ref="Z577">MMULT($G577:$Y577,'Nelson Factor_2019'!$B$1:$B$19)/$G577</f>
        <v>9.6996317991631802</v>
      </c>
      <c r="AA577" cm="1">
        <f t="array" ref="AA577">MMULT($G577:$R577,'Nelson Factor_2019'!$B$1:$B$12)/$G577</f>
        <v>9.3476359832635989</v>
      </c>
    </row>
    <row r="578" spans="1:27" x14ac:dyDescent="0.25">
      <c r="A578">
        <v>2009</v>
      </c>
      <c r="B578">
        <v>3</v>
      </c>
      <c r="C578">
        <v>6</v>
      </c>
      <c r="D578" t="s">
        <v>99</v>
      </c>
      <c r="E578" t="s">
        <v>54</v>
      </c>
      <c r="F578" t="s">
        <v>109</v>
      </c>
      <c r="G578">
        <v>503000</v>
      </c>
      <c r="H578">
        <v>231500</v>
      </c>
      <c r="I578">
        <v>115000</v>
      </c>
      <c r="J578">
        <v>0</v>
      </c>
      <c r="K578">
        <v>230000</v>
      </c>
      <c r="L578">
        <v>75500</v>
      </c>
      <c r="M578">
        <v>26500</v>
      </c>
      <c r="N578">
        <v>451500</v>
      </c>
      <c r="O578">
        <v>38500</v>
      </c>
      <c r="P578">
        <v>9500</v>
      </c>
      <c r="Q578">
        <v>0</v>
      </c>
      <c r="R578">
        <v>0</v>
      </c>
      <c r="S578">
        <v>16000</v>
      </c>
      <c r="T578">
        <v>0</v>
      </c>
      <c r="U578">
        <v>0</v>
      </c>
      <c r="V578">
        <v>12</v>
      </c>
      <c r="W578">
        <v>5430</v>
      </c>
      <c r="X578">
        <v>690</v>
      </c>
      <c r="Y578">
        <v>0</v>
      </c>
      <c r="Z578" cm="1">
        <f t="array" ref="Z578">MMULT($G578:$Y578,'Nelson Factor_2019'!$B$1:$B$19)/$G578</f>
        <v>12.664636182902585</v>
      </c>
      <c r="AA578" cm="1">
        <f t="array" ref="AA578">MMULT($G578:$R578,'Nelson Factor_2019'!$B$1:$B$12)/$G578</f>
        <v>10.426838966202784</v>
      </c>
    </row>
    <row r="579" spans="1:27" x14ac:dyDescent="0.25">
      <c r="A579">
        <v>2009</v>
      </c>
      <c r="B579">
        <v>3</v>
      </c>
      <c r="C579">
        <v>4</v>
      </c>
      <c r="D579" t="s">
        <v>99</v>
      </c>
      <c r="E579" t="s">
        <v>232</v>
      </c>
      <c r="F579" t="s">
        <v>111</v>
      </c>
      <c r="G579">
        <v>256000</v>
      </c>
      <c r="H579">
        <v>127300</v>
      </c>
      <c r="I579">
        <v>38500</v>
      </c>
      <c r="J579">
        <v>0</v>
      </c>
      <c r="K579">
        <v>124500</v>
      </c>
      <c r="L579">
        <v>45600</v>
      </c>
      <c r="M579">
        <v>0</v>
      </c>
      <c r="N579">
        <v>342500</v>
      </c>
      <c r="O579">
        <v>26600</v>
      </c>
      <c r="P579">
        <v>0</v>
      </c>
      <c r="Q579">
        <v>0</v>
      </c>
      <c r="R579">
        <v>41400</v>
      </c>
      <c r="S579">
        <v>0</v>
      </c>
      <c r="T579">
        <v>0</v>
      </c>
      <c r="U579">
        <v>0</v>
      </c>
      <c r="V579">
        <v>0</v>
      </c>
      <c r="W579">
        <v>2368</v>
      </c>
      <c r="X579">
        <v>686</v>
      </c>
      <c r="Y579">
        <v>28500</v>
      </c>
      <c r="Z579" cm="1">
        <f t="array" ref="Z579">MMULT($G579:$Y579,'Nelson Factor_2019'!$B$1:$B$19)/$G579</f>
        <v>12.26203125</v>
      </c>
      <c r="AA579" cm="1">
        <f t="array" ref="AA579">MMULT($G579:$R579,'Nelson Factor_2019'!$B$1:$B$12)/$G579</f>
        <v>11.4519140625</v>
      </c>
    </row>
    <row r="580" spans="1:27" x14ac:dyDescent="0.25">
      <c r="A580">
        <v>2009</v>
      </c>
      <c r="B580">
        <v>3</v>
      </c>
      <c r="C580">
        <v>3</v>
      </c>
      <c r="D580" t="s">
        <v>99</v>
      </c>
      <c r="E580" t="s">
        <v>112</v>
      </c>
      <c r="F580" t="s">
        <v>113</v>
      </c>
      <c r="G580">
        <v>235000</v>
      </c>
      <c r="H580">
        <v>104000</v>
      </c>
      <c r="I580">
        <v>0</v>
      </c>
      <c r="J580">
        <v>12520</v>
      </c>
      <c r="K580">
        <v>86000</v>
      </c>
      <c r="L580">
        <v>36000</v>
      </c>
      <c r="M580">
        <v>51780</v>
      </c>
      <c r="N580">
        <v>216000</v>
      </c>
      <c r="O580">
        <v>14000</v>
      </c>
      <c r="P580">
        <v>4000</v>
      </c>
      <c r="Q580">
        <v>0</v>
      </c>
      <c r="R580">
        <v>12000</v>
      </c>
      <c r="S580">
        <v>0</v>
      </c>
      <c r="T580">
        <v>0</v>
      </c>
      <c r="U580">
        <v>58</v>
      </c>
      <c r="V580">
        <v>0</v>
      </c>
      <c r="W580">
        <v>0</v>
      </c>
      <c r="X580">
        <v>640</v>
      </c>
      <c r="Y580">
        <v>0</v>
      </c>
      <c r="Z580" cm="1">
        <f t="array" ref="Z580">MMULT($G580:$Y580,'Nelson Factor_2019'!$B$1:$B$19)/$G580</f>
        <v>10.317140425531916</v>
      </c>
      <c r="AA580" cm="1">
        <f t="array" ref="AA580">MMULT($G580:$R580,'Nelson Factor_2019'!$B$1:$B$12)/$G580</f>
        <v>9.66327659574468</v>
      </c>
    </row>
    <row r="581" spans="1:27" x14ac:dyDescent="0.25">
      <c r="A581">
        <v>2009</v>
      </c>
      <c r="B581">
        <v>3</v>
      </c>
      <c r="C581">
        <v>6</v>
      </c>
      <c r="D581" t="s">
        <v>99</v>
      </c>
      <c r="E581" t="s">
        <v>112</v>
      </c>
      <c r="F581" t="s">
        <v>114</v>
      </c>
      <c r="G581">
        <v>220000</v>
      </c>
      <c r="H581">
        <v>78000</v>
      </c>
      <c r="I581">
        <v>21380</v>
      </c>
      <c r="J581">
        <v>0</v>
      </c>
      <c r="K581">
        <v>107000</v>
      </c>
      <c r="L581">
        <v>20000</v>
      </c>
      <c r="M581">
        <v>31000</v>
      </c>
      <c r="N581">
        <v>123500</v>
      </c>
      <c r="O581">
        <v>14000</v>
      </c>
      <c r="P581">
        <v>7780</v>
      </c>
      <c r="Q581">
        <v>0</v>
      </c>
      <c r="R581">
        <v>0</v>
      </c>
      <c r="S581">
        <v>0</v>
      </c>
      <c r="T581">
        <v>8000</v>
      </c>
      <c r="U581">
        <v>50</v>
      </c>
      <c r="V581">
        <v>0</v>
      </c>
      <c r="W581">
        <v>1020</v>
      </c>
      <c r="X581">
        <v>140</v>
      </c>
      <c r="Y581">
        <v>0</v>
      </c>
      <c r="Z581" cm="1">
        <f t="array" ref="Z581">MMULT($G581:$Y581,'Nelson Factor_2019'!$B$1:$B$19)/$G581</f>
        <v>9.5997727272727271</v>
      </c>
      <c r="AA581" cm="1">
        <f t="array" ref="AA581">MMULT($G581:$R581,'Nelson Factor_2019'!$B$1:$B$12)/$G581</f>
        <v>9.0831818181818189</v>
      </c>
    </row>
    <row r="582" spans="1:27" x14ac:dyDescent="0.25">
      <c r="A582">
        <v>2009</v>
      </c>
      <c r="B582">
        <v>3</v>
      </c>
      <c r="C582">
        <v>1</v>
      </c>
      <c r="D582" t="s">
        <v>99</v>
      </c>
      <c r="E582" t="s">
        <v>115</v>
      </c>
      <c r="F582" t="s">
        <v>116</v>
      </c>
      <c r="G582">
        <v>125000</v>
      </c>
      <c r="H582">
        <v>50000</v>
      </c>
      <c r="I582">
        <v>0</v>
      </c>
      <c r="J582">
        <v>0</v>
      </c>
      <c r="K582">
        <v>37000</v>
      </c>
      <c r="L582">
        <v>0</v>
      </c>
      <c r="M582">
        <v>0</v>
      </c>
      <c r="N582">
        <v>123750</v>
      </c>
      <c r="O582">
        <v>8500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1800</v>
      </c>
      <c r="Y582">
        <v>0</v>
      </c>
      <c r="Z582" cm="1">
        <f t="array" ref="Z582">MMULT($G582:$Y582,'Nelson Factor_2019'!$B$1:$B$19)/$G582</f>
        <v>9.907</v>
      </c>
      <c r="AA582" cm="1">
        <f t="array" ref="AA582">MMULT($G582:$R582,'Nelson Factor_2019'!$B$1:$B$12)/$G582</f>
        <v>6.4509999999999996</v>
      </c>
    </row>
    <row r="583" spans="1:27" x14ac:dyDescent="0.25">
      <c r="A583">
        <v>2009</v>
      </c>
      <c r="B583">
        <v>3</v>
      </c>
      <c r="C583">
        <v>1</v>
      </c>
      <c r="D583" t="s">
        <v>99</v>
      </c>
      <c r="E583" t="s">
        <v>117</v>
      </c>
      <c r="F583" t="s">
        <v>118</v>
      </c>
      <c r="G583">
        <v>55100</v>
      </c>
      <c r="H583">
        <v>25650</v>
      </c>
      <c r="I583">
        <v>0</v>
      </c>
      <c r="J583">
        <v>0</v>
      </c>
      <c r="K583">
        <v>21600</v>
      </c>
      <c r="L583">
        <v>9900</v>
      </c>
      <c r="M583">
        <v>0</v>
      </c>
      <c r="N583">
        <v>44100</v>
      </c>
      <c r="O583">
        <v>6750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56</v>
      </c>
      <c r="Y583">
        <v>0</v>
      </c>
      <c r="Z583" cm="1">
        <f t="array" ref="Z583">MMULT($G583:$Y583,'Nelson Factor_2019'!$B$1:$B$19)/$G583</f>
        <v>8.3254990925589833</v>
      </c>
      <c r="AA583" cm="1">
        <f t="array" ref="AA583">MMULT($G583:$R583,'Nelson Factor_2019'!$B$1:$B$12)/$G583</f>
        <v>8.0815789473684205</v>
      </c>
    </row>
    <row r="584" spans="1:27" x14ac:dyDescent="0.25">
      <c r="A584">
        <v>2009</v>
      </c>
      <c r="B584">
        <v>3</v>
      </c>
      <c r="C584">
        <v>0</v>
      </c>
      <c r="D584" t="s">
        <v>99</v>
      </c>
      <c r="E584" t="s">
        <v>27</v>
      </c>
      <c r="F584" t="s">
        <v>119</v>
      </c>
      <c r="G584">
        <v>55000</v>
      </c>
      <c r="H584">
        <v>28000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 cm="1">
        <f t="array" ref="Z584">MMULT($G584:$Y584,'Nelson Factor_2019'!$B$1:$B$19)/$G584</f>
        <v>1.6618181818181819</v>
      </c>
      <c r="AA584" cm="1">
        <f t="array" ref="AA584">MMULT($G584:$R584,'Nelson Factor_2019'!$B$1:$B$12)/$G584</f>
        <v>1.6618181818181819</v>
      </c>
    </row>
    <row r="585" spans="1:27" x14ac:dyDescent="0.25">
      <c r="A585">
        <v>2009</v>
      </c>
      <c r="B585">
        <v>3</v>
      </c>
      <c r="C585">
        <v>4</v>
      </c>
      <c r="D585" t="s">
        <v>99</v>
      </c>
      <c r="E585" t="s">
        <v>66</v>
      </c>
      <c r="F585" t="s">
        <v>114</v>
      </c>
      <c r="G585">
        <v>186000</v>
      </c>
      <c r="H585">
        <v>200000</v>
      </c>
      <c r="I585">
        <v>70400</v>
      </c>
      <c r="J585">
        <v>0</v>
      </c>
      <c r="K585">
        <v>100000</v>
      </c>
      <c r="L585">
        <v>25000</v>
      </c>
      <c r="M585">
        <v>0</v>
      </c>
      <c r="N585">
        <v>131100</v>
      </c>
      <c r="O585">
        <v>19000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4500</v>
      </c>
      <c r="X585">
        <v>450</v>
      </c>
      <c r="Y585">
        <v>0</v>
      </c>
      <c r="Z585" cm="1">
        <f t="array" ref="Z585">MMULT($G585:$Y585,'Nelson Factor_2019'!$B$1:$B$19)/$G585</f>
        <v>12.498655913978494</v>
      </c>
      <c r="AA585" cm="1">
        <f t="array" ref="AA585">MMULT($G585:$R585,'Nelson Factor_2019'!$B$1:$B$12)/$G585</f>
        <v>11.918010752688172</v>
      </c>
    </row>
    <row r="586" spans="1:27" x14ac:dyDescent="0.25">
      <c r="A586">
        <v>2009</v>
      </c>
      <c r="B586">
        <v>2</v>
      </c>
      <c r="C586">
        <v>1</v>
      </c>
      <c r="D586" t="s">
        <v>121</v>
      </c>
      <c r="E586" t="s">
        <v>234</v>
      </c>
      <c r="F586" t="s">
        <v>122</v>
      </c>
      <c r="G586">
        <v>102000</v>
      </c>
      <c r="H586">
        <v>50800</v>
      </c>
      <c r="I586">
        <v>0</v>
      </c>
      <c r="J586">
        <v>0</v>
      </c>
      <c r="K586">
        <v>30900</v>
      </c>
      <c r="L586">
        <v>19000</v>
      </c>
      <c r="M586">
        <v>0</v>
      </c>
      <c r="N586">
        <v>95000</v>
      </c>
      <c r="O586">
        <v>4800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132</v>
      </c>
      <c r="Y586">
        <v>21900</v>
      </c>
      <c r="Z586" cm="1">
        <f t="array" ref="Z586">MMULT($G586:$Y586,'Nelson Factor_2019'!$B$1:$B$19)/$G586</f>
        <v>7.8281372549019608</v>
      </c>
      <c r="AA586" cm="1">
        <f t="array" ref="AA586">MMULT($G586:$R586,'Nelson Factor_2019'!$B$1:$B$12)/$G586</f>
        <v>7.1954901960784312</v>
      </c>
    </row>
    <row r="587" spans="1:27" x14ac:dyDescent="0.25">
      <c r="A587">
        <v>2009</v>
      </c>
      <c r="B587">
        <v>2</v>
      </c>
      <c r="C587">
        <v>6</v>
      </c>
      <c r="D587" t="s">
        <v>123</v>
      </c>
      <c r="E587" t="s">
        <v>35</v>
      </c>
      <c r="F587" t="s">
        <v>124</v>
      </c>
      <c r="G587">
        <v>323000</v>
      </c>
      <c r="H587">
        <v>185250</v>
      </c>
      <c r="I587">
        <v>63720</v>
      </c>
      <c r="J587">
        <v>0</v>
      </c>
      <c r="K587">
        <v>77850</v>
      </c>
      <c r="L587">
        <v>46170</v>
      </c>
      <c r="M587">
        <v>36000</v>
      </c>
      <c r="N587">
        <v>287550</v>
      </c>
      <c r="O587">
        <v>11250</v>
      </c>
      <c r="P587">
        <v>4140</v>
      </c>
      <c r="Q587">
        <v>0</v>
      </c>
      <c r="R587">
        <v>16200</v>
      </c>
      <c r="S587">
        <v>0</v>
      </c>
      <c r="T587">
        <v>0</v>
      </c>
      <c r="U587">
        <v>175</v>
      </c>
      <c r="V587">
        <v>10</v>
      </c>
      <c r="W587">
        <v>4100</v>
      </c>
      <c r="X587">
        <v>899</v>
      </c>
      <c r="Y587">
        <v>40500</v>
      </c>
      <c r="Z587" cm="1">
        <f t="array" ref="Z587">MMULT($G587:$Y587,'Nelson Factor_2019'!$B$1:$B$19)/$G587</f>
        <v>9.9868266253869962</v>
      </c>
      <c r="AA587" cm="1">
        <f t="array" ref="AA587">MMULT($G587:$R587,'Nelson Factor_2019'!$B$1:$B$12)/$G587</f>
        <v>9.1301857585139317</v>
      </c>
    </row>
    <row r="588" spans="1:27" x14ac:dyDescent="0.25">
      <c r="A588">
        <v>2009</v>
      </c>
      <c r="B588">
        <v>2</v>
      </c>
      <c r="C588">
        <v>1</v>
      </c>
      <c r="D588" t="s">
        <v>123</v>
      </c>
      <c r="E588" t="s">
        <v>234</v>
      </c>
      <c r="F588" t="s">
        <v>125</v>
      </c>
      <c r="G588">
        <v>74000</v>
      </c>
      <c r="H588">
        <v>36100</v>
      </c>
      <c r="I588">
        <v>0</v>
      </c>
      <c r="J588">
        <v>0</v>
      </c>
      <c r="K588">
        <v>27100</v>
      </c>
      <c r="L588">
        <v>18100</v>
      </c>
      <c r="M588">
        <v>0</v>
      </c>
      <c r="N588">
        <v>73600</v>
      </c>
      <c r="O588">
        <v>5200</v>
      </c>
      <c r="P588">
        <v>0</v>
      </c>
      <c r="Q588">
        <v>0</v>
      </c>
      <c r="R588">
        <v>10000</v>
      </c>
      <c r="S588">
        <v>0</v>
      </c>
      <c r="T588">
        <v>0</v>
      </c>
      <c r="U588">
        <v>9</v>
      </c>
      <c r="V588">
        <v>0</v>
      </c>
      <c r="W588">
        <v>0</v>
      </c>
      <c r="X588">
        <v>111</v>
      </c>
      <c r="Y588">
        <v>12400</v>
      </c>
      <c r="Z588" cm="1">
        <f t="array" ref="Z588">MMULT($G588:$Y588,'Nelson Factor_2019'!$B$1:$B$19)/$G588</f>
        <v>9.2605270270270275</v>
      </c>
      <c r="AA588" cm="1">
        <f t="array" ref="AA588">MMULT($G588:$R588,'Nelson Factor_2019'!$B$1:$B$12)/$G588</f>
        <v>8.6490540540540533</v>
      </c>
    </row>
    <row r="589" spans="1:27" x14ac:dyDescent="0.25">
      <c r="A589">
        <v>2009</v>
      </c>
      <c r="B589">
        <v>3</v>
      </c>
      <c r="C589">
        <v>6</v>
      </c>
      <c r="D589" t="s">
        <v>126</v>
      </c>
      <c r="E589" t="s">
        <v>227</v>
      </c>
      <c r="F589" t="s">
        <v>127</v>
      </c>
      <c r="G589">
        <v>330000</v>
      </c>
      <c r="H589">
        <v>240000</v>
      </c>
      <c r="I589">
        <v>98000</v>
      </c>
      <c r="J589">
        <v>0</v>
      </c>
      <c r="K589">
        <v>86000</v>
      </c>
      <c r="L589">
        <v>71000</v>
      </c>
      <c r="M589">
        <v>58000</v>
      </c>
      <c r="N589">
        <v>238500</v>
      </c>
      <c r="O589">
        <v>14800</v>
      </c>
      <c r="P589">
        <v>2100</v>
      </c>
      <c r="Q589">
        <v>19000</v>
      </c>
      <c r="R589">
        <v>0</v>
      </c>
      <c r="S589">
        <v>0</v>
      </c>
      <c r="T589">
        <v>0</v>
      </c>
      <c r="U589">
        <v>205</v>
      </c>
      <c r="V589">
        <v>0</v>
      </c>
      <c r="W589">
        <v>6440</v>
      </c>
      <c r="X589">
        <v>1067</v>
      </c>
      <c r="Y589">
        <v>0</v>
      </c>
      <c r="Z589" cm="1">
        <f t="array" ref="Z589">MMULT($G589:$Y589,'Nelson Factor_2019'!$B$1:$B$19)/$G589</f>
        <v>12.465257575757576</v>
      </c>
      <c r="AA589" cm="1">
        <f t="array" ref="AA589">MMULT($G589:$R589,'Nelson Factor_2019'!$B$1:$B$12)/$G589</f>
        <v>11.688636363636364</v>
      </c>
    </row>
    <row r="590" spans="1:27" x14ac:dyDescent="0.25">
      <c r="A590">
        <v>2009</v>
      </c>
      <c r="B590">
        <v>3</v>
      </c>
      <c r="C590">
        <v>0</v>
      </c>
      <c r="D590" t="s">
        <v>126</v>
      </c>
      <c r="E590" t="s">
        <v>128</v>
      </c>
      <c r="F590" t="s">
        <v>129</v>
      </c>
      <c r="G590">
        <v>23000</v>
      </c>
      <c r="H590">
        <v>10200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12000</v>
      </c>
      <c r="O590">
        <v>0</v>
      </c>
      <c r="P590">
        <v>0</v>
      </c>
      <c r="Q590">
        <v>0</v>
      </c>
      <c r="R590">
        <v>0</v>
      </c>
      <c r="S590">
        <v>11300</v>
      </c>
      <c r="T590">
        <v>0</v>
      </c>
      <c r="U590">
        <v>7.7</v>
      </c>
      <c r="V590">
        <v>0</v>
      </c>
      <c r="W590">
        <v>0</v>
      </c>
      <c r="X590">
        <v>0</v>
      </c>
      <c r="Y590">
        <v>9600</v>
      </c>
      <c r="Z590" cm="1">
        <f t="array" ref="Z590">MMULT($G590:$Y590,'Nelson Factor_2019'!$B$1:$B$19)/$G590</f>
        <v>32.985552173913042</v>
      </c>
      <c r="AA590" cm="1">
        <f t="array" ref="AA590">MMULT($G590:$R590,'Nelson Factor_2019'!$B$1:$B$12)/$G590</f>
        <v>2.8808695652173912</v>
      </c>
    </row>
    <row r="591" spans="1:27" x14ac:dyDescent="0.25">
      <c r="A591">
        <v>2009</v>
      </c>
      <c r="B591">
        <v>4</v>
      </c>
      <c r="C591">
        <v>4</v>
      </c>
      <c r="D591" t="s">
        <v>130</v>
      </c>
      <c r="E591" t="s">
        <v>235</v>
      </c>
      <c r="F591" t="s">
        <v>132</v>
      </c>
      <c r="G591">
        <v>59600</v>
      </c>
      <c r="H591">
        <v>31300</v>
      </c>
      <c r="I591">
        <v>15000</v>
      </c>
      <c r="J591">
        <v>0</v>
      </c>
      <c r="K591">
        <v>14000</v>
      </c>
      <c r="L591">
        <v>12500</v>
      </c>
      <c r="M591">
        <v>0</v>
      </c>
      <c r="N591">
        <v>51600</v>
      </c>
      <c r="O591">
        <v>4300</v>
      </c>
      <c r="P591">
        <v>0</v>
      </c>
      <c r="Q591">
        <v>0</v>
      </c>
      <c r="R591">
        <v>2500</v>
      </c>
      <c r="S591">
        <v>0</v>
      </c>
      <c r="T591">
        <v>0</v>
      </c>
      <c r="U591">
        <v>21</v>
      </c>
      <c r="V591">
        <v>21</v>
      </c>
      <c r="W591">
        <v>0</v>
      </c>
      <c r="X591">
        <v>90</v>
      </c>
      <c r="Y591">
        <v>19000</v>
      </c>
      <c r="Z591" cm="1">
        <f t="array" ref="Z591">MMULT($G591:$Y591,'Nelson Factor_2019'!$B$1:$B$19)/$G591</f>
        <v>9.8814093959731544</v>
      </c>
      <c r="AA591" cm="1">
        <f t="array" ref="AA591">MMULT($G591:$R591,'Nelson Factor_2019'!$B$1:$B$12)/$G591</f>
        <v>9.0401006711409391</v>
      </c>
    </row>
    <row r="592" spans="1:27" x14ac:dyDescent="0.25">
      <c r="A592">
        <v>2009</v>
      </c>
      <c r="B592">
        <v>4</v>
      </c>
      <c r="C592">
        <v>4</v>
      </c>
      <c r="D592" t="s">
        <v>130</v>
      </c>
      <c r="E592" t="s">
        <v>51</v>
      </c>
      <c r="F592" t="s">
        <v>133</v>
      </c>
      <c r="G592">
        <v>58000</v>
      </c>
      <c r="H592">
        <v>35000</v>
      </c>
      <c r="I592">
        <v>20000</v>
      </c>
      <c r="J592">
        <v>0</v>
      </c>
      <c r="K592">
        <v>19400</v>
      </c>
      <c r="L592">
        <v>12200</v>
      </c>
      <c r="M592">
        <v>0</v>
      </c>
      <c r="N592">
        <v>72000</v>
      </c>
      <c r="O592">
        <v>6800</v>
      </c>
      <c r="P592">
        <v>0</v>
      </c>
      <c r="Q592">
        <v>0</v>
      </c>
      <c r="R592">
        <v>3600</v>
      </c>
      <c r="S592">
        <v>0</v>
      </c>
      <c r="T592">
        <v>0</v>
      </c>
      <c r="U592">
        <v>32.799999999999997</v>
      </c>
      <c r="V592">
        <v>61.599999999999994</v>
      </c>
      <c r="W592">
        <v>1020</v>
      </c>
      <c r="X592">
        <v>224</v>
      </c>
      <c r="Y592">
        <v>0</v>
      </c>
      <c r="Z592" cm="1">
        <f t="array" ref="Z592">MMULT($G592:$Y592,'Nelson Factor_2019'!$B$1:$B$19)/$G592</f>
        <v>12.819903448275863</v>
      </c>
      <c r="AA592" cm="1">
        <f t="array" ref="AA592">MMULT($G592:$R592,'Nelson Factor_2019'!$B$1:$B$12)/$G592</f>
        <v>11.891379310344828</v>
      </c>
    </row>
    <row r="593" spans="1:27" x14ac:dyDescent="0.25">
      <c r="A593">
        <v>2009</v>
      </c>
      <c r="B593">
        <v>4</v>
      </c>
      <c r="C593">
        <v>6</v>
      </c>
      <c r="D593" t="s">
        <v>130</v>
      </c>
      <c r="E593" t="s">
        <v>54</v>
      </c>
      <c r="F593" t="s">
        <v>133</v>
      </c>
      <c r="G593">
        <v>60000</v>
      </c>
      <c r="H593">
        <v>27500</v>
      </c>
      <c r="I593">
        <v>10000</v>
      </c>
      <c r="J593">
        <v>0</v>
      </c>
      <c r="K593">
        <v>21000</v>
      </c>
      <c r="L593">
        <v>12000</v>
      </c>
      <c r="M593">
        <v>5500</v>
      </c>
      <c r="N593">
        <v>61500</v>
      </c>
      <c r="O593">
        <v>5000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22</v>
      </c>
      <c r="V593">
        <v>4.5</v>
      </c>
      <c r="W593">
        <v>490</v>
      </c>
      <c r="X593">
        <v>0</v>
      </c>
      <c r="Y593">
        <v>14500</v>
      </c>
      <c r="Z593" cm="1">
        <f t="array" ref="Z593">MMULT($G593:$Y593,'Nelson Factor_2019'!$B$1:$B$19)/$G593</f>
        <v>10.437941666666667</v>
      </c>
      <c r="AA593" cm="1">
        <f t="array" ref="AA593">MMULT($G593:$R593,'Nelson Factor_2019'!$B$1:$B$12)/$G593</f>
        <v>10.074999999999999</v>
      </c>
    </row>
    <row r="594" spans="1:27" x14ac:dyDescent="0.25">
      <c r="A594">
        <v>2009</v>
      </c>
      <c r="B594">
        <v>4</v>
      </c>
      <c r="C594">
        <v>1</v>
      </c>
      <c r="D594" t="s">
        <v>130</v>
      </c>
      <c r="E594" t="s">
        <v>134</v>
      </c>
      <c r="F594" t="s">
        <v>135</v>
      </c>
      <c r="G594">
        <v>9500</v>
      </c>
      <c r="H594">
        <v>5000</v>
      </c>
      <c r="I594">
        <v>0</v>
      </c>
      <c r="J594">
        <v>0</v>
      </c>
      <c r="K594">
        <v>2800</v>
      </c>
      <c r="L594">
        <v>1000</v>
      </c>
      <c r="M594">
        <v>0</v>
      </c>
      <c r="N594">
        <v>7100</v>
      </c>
      <c r="O594">
        <v>1000</v>
      </c>
      <c r="P594">
        <v>400</v>
      </c>
      <c r="Q594">
        <v>0</v>
      </c>
      <c r="R594">
        <v>700</v>
      </c>
      <c r="S594">
        <v>0</v>
      </c>
      <c r="T594">
        <v>0</v>
      </c>
      <c r="U594">
        <v>2</v>
      </c>
      <c r="V594">
        <v>0</v>
      </c>
      <c r="W594">
        <v>0</v>
      </c>
      <c r="X594">
        <v>0</v>
      </c>
      <c r="Y594">
        <v>3800</v>
      </c>
      <c r="Z594" cm="1">
        <f t="array" ref="Z594">MMULT($G594:$Y594,'Nelson Factor_2019'!$B$1:$B$19)/$G594</f>
        <v>8.1423157894736846</v>
      </c>
      <c r="AA594" cm="1">
        <f t="array" ref="AA594">MMULT($G594:$R594,'Nelson Factor_2019'!$B$1:$B$12)/$G594</f>
        <v>7.5421052631578949</v>
      </c>
    </row>
    <row r="595" spans="1:27" x14ac:dyDescent="0.25">
      <c r="A595">
        <v>2009</v>
      </c>
      <c r="B595">
        <v>1</v>
      </c>
      <c r="C595">
        <v>1</v>
      </c>
      <c r="D595" t="s">
        <v>136</v>
      </c>
      <c r="E595" t="s">
        <v>51</v>
      </c>
      <c r="F595" t="s">
        <v>137</v>
      </c>
      <c r="G595">
        <v>238000</v>
      </c>
      <c r="H595">
        <v>71250</v>
      </c>
      <c r="I595">
        <v>0</v>
      </c>
      <c r="J595">
        <v>0</v>
      </c>
      <c r="K595">
        <v>130500</v>
      </c>
      <c r="L595">
        <v>28800</v>
      </c>
      <c r="M595">
        <v>0</v>
      </c>
      <c r="N595">
        <v>198000</v>
      </c>
      <c r="O595">
        <v>15750</v>
      </c>
      <c r="P595">
        <v>0</v>
      </c>
      <c r="Q595">
        <v>0</v>
      </c>
      <c r="R595">
        <v>24525</v>
      </c>
      <c r="S595">
        <v>0</v>
      </c>
      <c r="T595">
        <v>0</v>
      </c>
      <c r="U595">
        <v>20</v>
      </c>
      <c r="V595">
        <v>14.5</v>
      </c>
      <c r="W595">
        <v>0</v>
      </c>
      <c r="X595">
        <v>306</v>
      </c>
      <c r="Y595">
        <v>0</v>
      </c>
      <c r="Z595" cm="1">
        <f t="array" ref="Z595">MMULT($G595:$Y595,'Nelson Factor_2019'!$B$1:$B$19)/$G595</f>
        <v>8.6435903361344533</v>
      </c>
      <c r="AA595" cm="1">
        <f t="array" ref="AA595">MMULT($G595:$R595,'Nelson Factor_2019'!$B$1:$B$12)/$G595</f>
        <v>8.3348739495798316</v>
      </c>
    </row>
    <row r="596" spans="1:27" x14ac:dyDescent="0.25">
      <c r="A596">
        <v>2009</v>
      </c>
      <c r="B596">
        <v>1</v>
      </c>
      <c r="C596">
        <v>1</v>
      </c>
      <c r="D596" t="s">
        <v>136</v>
      </c>
      <c r="E596" t="s">
        <v>138</v>
      </c>
      <c r="F596" t="s">
        <v>139</v>
      </c>
      <c r="G596">
        <v>150000</v>
      </c>
      <c r="H596">
        <v>47500</v>
      </c>
      <c r="I596">
        <v>0</v>
      </c>
      <c r="J596">
        <v>0</v>
      </c>
      <c r="K596">
        <v>55000</v>
      </c>
      <c r="L596">
        <v>28000</v>
      </c>
      <c r="M596">
        <v>0</v>
      </c>
      <c r="N596">
        <v>29000</v>
      </c>
      <c r="O596">
        <v>4000</v>
      </c>
      <c r="P596">
        <v>3300</v>
      </c>
      <c r="Q596">
        <v>17000</v>
      </c>
      <c r="R596">
        <v>10000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20</v>
      </c>
      <c r="Y596">
        <v>0</v>
      </c>
      <c r="Z596" cm="1">
        <f t="array" ref="Z596">MMULT($G596:$Y596,'Nelson Factor_2019'!$B$1:$B$19)/$G596</f>
        <v>8.0136666666666674</v>
      </c>
      <c r="AA596" cm="1">
        <f t="array" ref="AA596">MMULT($G596:$R596,'Nelson Factor_2019'!$B$1:$B$12)/$G596</f>
        <v>7.9816666666666665</v>
      </c>
    </row>
    <row r="597" spans="1:27" x14ac:dyDescent="0.25">
      <c r="A597">
        <v>2009</v>
      </c>
      <c r="B597">
        <v>1</v>
      </c>
      <c r="C597">
        <v>4</v>
      </c>
      <c r="D597" t="s">
        <v>136</v>
      </c>
      <c r="E597" t="s">
        <v>66</v>
      </c>
      <c r="F597" t="s">
        <v>140</v>
      </c>
      <c r="G597">
        <v>166000</v>
      </c>
      <c r="H597">
        <v>90000</v>
      </c>
      <c r="I597">
        <v>27000</v>
      </c>
      <c r="J597">
        <v>0</v>
      </c>
      <c r="K597">
        <v>55000</v>
      </c>
      <c r="L597">
        <v>30000</v>
      </c>
      <c r="M597">
        <v>0</v>
      </c>
      <c r="N597">
        <v>141250</v>
      </c>
      <c r="O597">
        <v>11200</v>
      </c>
      <c r="P597">
        <v>0</v>
      </c>
      <c r="Q597">
        <v>0</v>
      </c>
      <c r="R597">
        <v>0</v>
      </c>
      <c r="S597">
        <v>11500</v>
      </c>
      <c r="T597">
        <v>0</v>
      </c>
      <c r="U597">
        <v>13.5</v>
      </c>
      <c r="V597">
        <v>9</v>
      </c>
      <c r="W597">
        <v>1470</v>
      </c>
      <c r="X597">
        <v>230</v>
      </c>
      <c r="Y597">
        <v>16000</v>
      </c>
      <c r="Z597" cm="1">
        <f t="array" ref="Z597">MMULT($G597:$Y597,'Nelson Factor_2019'!$B$1:$B$19)/$G597</f>
        <v>13.252093373493976</v>
      </c>
      <c r="AA597" cm="1">
        <f t="array" ref="AA597">MMULT($G597:$R597,'Nelson Factor_2019'!$B$1:$B$12)/$G597</f>
        <v>8.6182228915662655</v>
      </c>
    </row>
    <row r="598" spans="1:27" x14ac:dyDescent="0.25">
      <c r="A598">
        <v>2009</v>
      </c>
      <c r="B598">
        <v>3</v>
      </c>
      <c r="C598">
        <v>1</v>
      </c>
      <c r="D598" t="s">
        <v>141</v>
      </c>
      <c r="E598" t="s">
        <v>142</v>
      </c>
      <c r="F598" t="s">
        <v>143</v>
      </c>
      <c r="G598">
        <v>18600</v>
      </c>
      <c r="H598">
        <v>0</v>
      </c>
      <c r="I598">
        <v>0</v>
      </c>
      <c r="J598">
        <v>0</v>
      </c>
      <c r="K598">
        <v>6000</v>
      </c>
      <c r="L598">
        <v>4800</v>
      </c>
      <c r="M598">
        <v>0</v>
      </c>
      <c r="N598">
        <v>7800</v>
      </c>
      <c r="O598">
        <v>0</v>
      </c>
      <c r="P598">
        <v>2000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1</v>
      </c>
      <c r="Y598">
        <v>0</v>
      </c>
      <c r="Z598" cm="1">
        <f t="array" ref="Z598">MMULT($G598:$Y598,'Nelson Factor_2019'!$B$1:$B$19)/$G598</f>
        <v>6.3623655913978494</v>
      </c>
      <c r="AA598" cm="1">
        <f t="array" ref="AA598">MMULT($G598:$R598,'Nelson Factor_2019'!$B$1:$B$12)/$G598</f>
        <v>6.349462365591398</v>
      </c>
    </row>
    <row r="599" spans="1:27" x14ac:dyDescent="0.25">
      <c r="A599">
        <v>2009</v>
      </c>
      <c r="B599">
        <v>3</v>
      </c>
      <c r="C599">
        <v>1</v>
      </c>
      <c r="D599" t="s">
        <v>141</v>
      </c>
      <c r="E599" t="s">
        <v>142</v>
      </c>
      <c r="F599" t="s">
        <v>144</v>
      </c>
      <c r="G599">
        <v>26000</v>
      </c>
      <c r="H599">
        <v>0</v>
      </c>
      <c r="I599">
        <v>0</v>
      </c>
      <c r="J599">
        <v>0</v>
      </c>
      <c r="K599">
        <v>8500</v>
      </c>
      <c r="L599">
        <v>7300</v>
      </c>
      <c r="M599">
        <v>0</v>
      </c>
      <c r="N599">
        <v>11500</v>
      </c>
      <c r="O599">
        <v>1800</v>
      </c>
      <c r="P599">
        <v>0</v>
      </c>
      <c r="Q599">
        <v>0</v>
      </c>
      <c r="R599">
        <v>4000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2</v>
      </c>
      <c r="Y599">
        <v>0</v>
      </c>
      <c r="Z599" cm="1">
        <f t="array" ref="Z599">MMULT($G599:$Y599,'Nelson Factor_2019'!$B$1:$B$19)/$G599</f>
        <v>6.6434615384615388</v>
      </c>
      <c r="AA599" cm="1">
        <f t="array" ref="AA599">MMULT($G599:$R599,'Nelson Factor_2019'!$B$1:$B$12)/$G599</f>
        <v>6.625</v>
      </c>
    </row>
    <row r="600" spans="1:27" x14ac:dyDescent="0.25">
      <c r="A600">
        <v>2009</v>
      </c>
      <c r="B600">
        <v>3</v>
      </c>
      <c r="C600">
        <v>1</v>
      </c>
      <c r="D600" t="s">
        <v>141</v>
      </c>
      <c r="E600" t="s">
        <v>202</v>
      </c>
      <c r="F600" t="s">
        <v>146</v>
      </c>
      <c r="G600">
        <v>85000</v>
      </c>
      <c r="H600">
        <v>25000</v>
      </c>
      <c r="I600">
        <v>0</v>
      </c>
      <c r="J600">
        <v>0</v>
      </c>
      <c r="K600">
        <v>27000</v>
      </c>
      <c r="L600">
        <v>24000</v>
      </c>
      <c r="M600">
        <v>0</v>
      </c>
      <c r="N600">
        <v>97400</v>
      </c>
      <c r="O600">
        <v>9000</v>
      </c>
      <c r="P600">
        <v>0</v>
      </c>
      <c r="Q600">
        <v>0</v>
      </c>
      <c r="R600">
        <v>11000</v>
      </c>
      <c r="S600">
        <v>0</v>
      </c>
      <c r="T600">
        <v>0</v>
      </c>
      <c r="U600">
        <v>9</v>
      </c>
      <c r="V600">
        <v>0</v>
      </c>
      <c r="W600">
        <v>0</v>
      </c>
      <c r="X600">
        <v>110</v>
      </c>
      <c r="Y600">
        <v>5000</v>
      </c>
      <c r="Z600" cm="1">
        <f t="array" ref="Z600">MMULT($G600:$Y600,'Nelson Factor_2019'!$B$1:$B$19)/$G600</f>
        <v>9.4106941176470595</v>
      </c>
      <c r="AA600" cm="1">
        <f t="array" ref="AA600">MMULT($G600:$R600,'Nelson Factor_2019'!$B$1:$B$12)/$G600</f>
        <v>9.0117647058823529</v>
      </c>
    </row>
    <row r="601" spans="1:27" x14ac:dyDescent="0.25">
      <c r="A601">
        <v>2009</v>
      </c>
      <c r="B601">
        <v>2</v>
      </c>
      <c r="C601">
        <v>1</v>
      </c>
      <c r="D601" t="s">
        <v>147</v>
      </c>
      <c r="E601" t="s">
        <v>148</v>
      </c>
      <c r="F601" t="s">
        <v>149</v>
      </c>
      <c r="G601">
        <v>58000</v>
      </c>
      <c r="H601">
        <v>0</v>
      </c>
      <c r="I601">
        <v>0</v>
      </c>
      <c r="J601">
        <v>0</v>
      </c>
      <c r="K601">
        <v>25700</v>
      </c>
      <c r="L601">
        <v>11500</v>
      </c>
      <c r="M601">
        <v>0</v>
      </c>
      <c r="N601">
        <v>23600</v>
      </c>
      <c r="O601">
        <v>4200</v>
      </c>
      <c r="P601">
        <v>1100</v>
      </c>
      <c r="Q601">
        <v>0</v>
      </c>
      <c r="R601">
        <v>4800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15</v>
      </c>
      <c r="Y601">
        <v>0</v>
      </c>
      <c r="Z601" cm="1">
        <f t="array" ref="Z601">MMULT($G601:$Y601,'Nelson Factor_2019'!$B$1:$B$19)/$G601</f>
        <v>6.8913793103448278</v>
      </c>
      <c r="AA601" cm="1">
        <f t="array" ref="AA601">MMULT($G601:$R601,'Nelson Factor_2019'!$B$1:$B$12)/$G601</f>
        <v>6.8293103448275865</v>
      </c>
    </row>
    <row r="602" spans="1:27" x14ac:dyDescent="0.25">
      <c r="A602">
        <v>2009</v>
      </c>
      <c r="B602">
        <v>2</v>
      </c>
      <c r="C602">
        <v>6</v>
      </c>
      <c r="D602" t="s">
        <v>150</v>
      </c>
      <c r="E602" t="s">
        <v>32</v>
      </c>
      <c r="F602" t="s">
        <v>151</v>
      </c>
      <c r="G602">
        <v>152000</v>
      </c>
      <c r="H602">
        <v>67925</v>
      </c>
      <c r="I602">
        <v>30150</v>
      </c>
      <c r="J602">
        <v>0</v>
      </c>
      <c r="K602">
        <v>49500</v>
      </c>
      <c r="L602">
        <v>38700</v>
      </c>
      <c r="M602">
        <v>27900</v>
      </c>
      <c r="N602">
        <v>94500</v>
      </c>
      <c r="O602">
        <v>10350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33</v>
      </c>
      <c r="V602">
        <v>23</v>
      </c>
      <c r="W602">
        <v>2006</v>
      </c>
      <c r="X602">
        <v>351</v>
      </c>
      <c r="Y602">
        <v>8100</v>
      </c>
      <c r="Z602" cm="1">
        <f t="array" ref="Z602">MMULT($G602:$Y602,'Nelson Factor_2019'!$B$1:$B$19)/$G602</f>
        <v>10.633707236842104</v>
      </c>
      <c r="AA602" cm="1">
        <f t="array" ref="AA602">MMULT($G602:$R602,'Nelson Factor_2019'!$B$1:$B$12)/$G602</f>
        <v>9.9991940789473688</v>
      </c>
    </row>
    <row r="603" spans="1:27" x14ac:dyDescent="0.25">
      <c r="A603">
        <v>2009</v>
      </c>
      <c r="B603">
        <v>2</v>
      </c>
      <c r="C603">
        <v>6</v>
      </c>
      <c r="D603" t="s">
        <v>150</v>
      </c>
      <c r="E603" t="s">
        <v>241</v>
      </c>
      <c r="F603" t="s">
        <v>154</v>
      </c>
      <c r="G603">
        <v>161500</v>
      </c>
      <c r="H603">
        <v>49400</v>
      </c>
      <c r="I603">
        <v>20700</v>
      </c>
      <c r="J603">
        <v>0</v>
      </c>
      <c r="K603">
        <v>36000</v>
      </c>
      <c r="L603">
        <v>49500</v>
      </c>
      <c r="M603">
        <v>23400</v>
      </c>
      <c r="N603">
        <v>88200</v>
      </c>
      <c r="O603">
        <v>0</v>
      </c>
      <c r="P603">
        <v>0</v>
      </c>
      <c r="Q603">
        <v>6300</v>
      </c>
      <c r="R603">
        <v>16200</v>
      </c>
      <c r="S603">
        <v>0</v>
      </c>
      <c r="T603">
        <v>0</v>
      </c>
      <c r="U603">
        <v>0</v>
      </c>
      <c r="V603">
        <v>10.4</v>
      </c>
      <c r="W603">
        <v>800</v>
      </c>
      <c r="X603">
        <v>100</v>
      </c>
      <c r="Y603">
        <v>0</v>
      </c>
      <c r="Z603" cm="1">
        <f t="array" ref="Z603">MMULT($G603:$Y603,'Nelson Factor_2019'!$B$1:$B$19)/$G603</f>
        <v>8.9831603715170267</v>
      </c>
      <c r="AA603" cm="1">
        <f t="array" ref="AA603">MMULT($G603:$R603,'Nelson Factor_2019'!$B$1:$B$12)/$G603</f>
        <v>8.8344891640866869</v>
      </c>
    </row>
    <row r="604" spans="1:27" x14ac:dyDescent="0.25">
      <c r="A604">
        <v>2009</v>
      </c>
      <c r="B604">
        <v>2</v>
      </c>
      <c r="C604">
        <v>1</v>
      </c>
      <c r="D604" t="s">
        <v>150</v>
      </c>
      <c r="E604" t="s">
        <v>234</v>
      </c>
      <c r="F604" t="s">
        <v>152</v>
      </c>
      <c r="G604">
        <v>78000</v>
      </c>
      <c r="H604">
        <v>34200</v>
      </c>
      <c r="I604">
        <v>0</v>
      </c>
      <c r="J604">
        <v>0</v>
      </c>
      <c r="K604">
        <v>24700</v>
      </c>
      <c r="L604">
        <v>17600</v>
      </c>
      <c r="M604">
        <v>0</v>
      </c>
      <c r="N604">
        <v>61400</v>
      </c>
      <c r="O604">
        <v>6700</v>
      </c>
      <c r="P604">
        <v>1000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122</v>
      </c>
      <c r="Y604">
        <v>12800</v>
      </c>
      <c r="Z604" cm="1">
        <f t="array" ref="Z604">MMULT($G604:$Y604,'Nelson Factor_2019'!$B$1:$B$19)/$G604</f>
        <v>8.1748717948717946</v>
      </c>
      <c r="AA604" cm="1">
        <f t="array" ref="AA604">MMULT($G604:$R604,'Nelson Factor_2019'!$B$1:$B$12)/$G604</f>
        <v>7.5533333333333337</v>
      </c>
    </row>
    <row r="605" spans="1:27" x14ac:dyDescent="0.25">
      <c r="A605">
        <v>2009</v>
      </c>
      <c r="B605">
        <v>2</v>
      </c>
      <c r="C605">
        <v>3</v>
      </c>
      <c r="D605" t="s">
        <v>150</v>
      </c>
      <c r="E605" t="s">
        <v>138</v>
      </c>
      <c r="F605" t="s">
        <v>151</v>
      </c>
      <c r="G605">
        <v>140000</v>
      </c>
      <c r="H605">
        <v>30000</v>
      </c>
      <c r="I605">
        <v>0</v>
      </c>
      <c r="J605">
        <v>0</v>
      </c>
      <c r="K605">
        <v>60000</v>
      </c>
      <c r="L605">
        <v>45600</v>
      </c>
      <c r="M605">
        <v>28200</v>
      </c>
      <c r="N605">
        <v>48000</v>
      </c>
      <c r="O605">
        <v>9000</v>
      </c>
      <c r="P605">
        <v>0</v>
      </c>
      <c r="Q605">
        <v>9000</v>
      </c>
      <c r="R605">
        <v>0</v>
      </c>
      <c r="S605">
        <v>0</v>
      </c>
      <c r="T605">
        <v>0</v>
      </c>
      <c r="U605">
        <v>52</v>
      </c>
      <c r="V605">
        <v>0</v>
      </c>
      <c r="W605">
        <v>0</v>
      </c>
      <c r="X605">
        <v>0</v>
      </c>
      <c r="Y605">
        <v>0</v>
      </c>
      <c r="Z605" cm="1">
        <f t="array" ref="Z605">MMULT($G605:$Y605,'Nelson Factor_2019'!$B$1:$B$19)/$G605</f>
        <v>9.8760857142857148</v>
      </c>
      <c r="AA605" cm="1">
        <f t="array" ref="AA605">MMULT($G605:$R605,'Nelson Factor_2019'!$B$1:$B$12)/$G605</f>
        <v>9.8757142857142863</v>
      </c>
    </row>
    <row r="606" spans="1:27" x14ac:dyDescent="0.25">
      <c r="A606">
        <v>2009</v>
      </c>
      <c r="B606">
        <v>2</v>
      </c>
      <c r="C606">
        <v>4</v>
      </c>
      <c r="D606" t="s">
        <v>155</v>
      </c>
      <c r="E606" t="s">
        <v>51</v>
      </c>
      <c r="F606" t="s">
        <v>156</v>
      </c>
      <c r="G606">
        <v>187000</v>
      </c>
      <c r="H606">
        <v>80000</v>
      </c>
      <c r="I606">
        <v>24000</v>
      </c>
      <c r="J606">
        <v>0</v>
      </c>
      <c r="K606">
        <v>61000</v>
      </c>
      <c r="L606">
        <v>44000</v>
      </c>
      <c r="M606">
        <v>0</v>
      </c>
      <c r="N606">
        <v>192000</v>
      </c>
      <c r="O606">
        <v>15000</v>
      </c>
      <c r="P606">
        <v>2000</v>
      </c>
      <c r="Q606">
        <v>0</v>
      </c>
      <c r="R606">
        <v>20000</v>
      </c>
      <c r="S606">
        <v>0</v>
      </c>
      <c r="T606">
        <v>0</v>
      </c>
      <c r="U606">
        <v>34</v>
      </c>
      <c r="V606">
        <v>16</v>
      </c>
      <c r="W606">
        <v>1300</v>
      </c>
      <c r="X606">
        <v>220</v>
      </c>
      <c r="Y606">
        <v>0</v>
      </c>
      <c r="Z606" cm="1">
        <f t="array" ref="Z606">MMULT($G606:$Y606,'Nelson Factor_2019'!$B$1:$B$19)/$G606</f>
        <v>9.7318181818181824</v>
      </c>
      <c r="AA606" cm="1">
        <f t="array" ref="AA606">MMULT($G606:$R606,'Nelson Factor_2019'!$B$1:$B$12)/$G606</f>
        <v>9.4491978609625669</v>
      </c>
    </row>
    <row r="607" spans="1:27" x14ac:dyDescent="0.25">
      <c r="A607">
        <v>2009</v>
      </c>
      <c r="B607">
        <v>2</v>
      </c>
      <c r="C607">
        <v>1</v>
      </c>
      <c r="D607" t="s">
        <v>155</v>
      </c>
      <c r="E607" t="s">
        <v>159</v>
      </c>
      <c r="F607" t="s">
        <v>160</v>
      </c>
      <c r="G607">
        <v>70000</v>
      </c>
      <c r="H607">
        <v>25175</v>
      </c>
      <c r="I607">
        <v>0</v>
      </c>
      <c r="J607">
        <v>0</v>
      </c>
      <c r="K607">
        <v>16200</v>
      </c>
      <c r="L607">
        <v>10800</v>
      </c>
      <c r="M607">
        <v>0</v>
      </c>
      <c r="N607">
        <v>26300</v>
      </c>
      <c r="O607">
        <v>2700</v>
      </c>
      <c r="P607">
        <v>0</v>
      </c>
      <c r="Q607">
        <v>0</v>
      </c>
      <c r="R607">
        <v>5400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19</v>
      </c>
      <c r="Y607">
        <v>2250</v>
      </c>
      <c r="Z607" cm="1">
        <f t="array" ref="Z607">MMULT($G607:$Y607,'Nelson Factor_2019'!$B$1:$B$19)/$G607</f>
        <v>5.2973214285714283</v>
      </c>
      <c r="AA607" cm="1">
        <f t="array" ref="AA607">MMULT($G607:$R607,'Nelson Factor_2019'!$B$1:$B$12)/$G607</f>
        <v>5.1839642857142856</v>
      </c>
    </row>
    <row r="608" spans="1:27" x14ac:dyDescent="0.25">
      <c r="A608">
        <v>2009</v>
      </c>
      <c r="B608">
        <v>2</v>
      </c>
      <c r="C608">
        <v>4</v>
      </c>
      <c r="D608" t="s">
        <v>155</v>
      </c>
      <c r="E608" t="s">
        <v>138</v>
      </c>
      <c r="F608" t="s">
        <v>160</v>
      </c>
      <c r="G608">
        <v>85000</v>
      </c>
      <c r="H608">
        <v>30000</v>
      </c>
      <c r="I608">
        <v>8500</v>
      </c>
      <c r="J608">
        <v>0</v>
      </c>
      <c r="K608">
        <v>0</v>
      </c>
      <c r="L608">
        <v>17500</v>
      </c>
      <c r="M608">
        <v>0</v>
      </c>
      <c r="N608">
        <v>34500</v>
      </c>
      <c r="O608">
        <v>0</v>
      </c>
      <c r="P608">
        <v>0</v>
      </c>
      <c r="Q608">
        <v>0</v>
      </c>
      <c r="R608">
        <v>0</v>
      </c>
      <c r="S608">
        <v>8500</v>
      </c>
      <c r="T608">
        <v>0</v>
      </c>
      <c r="U608">
        <v>0</v>
      </c>
      <c r="V608">
        <v>0</v>
      </c>
      <c r="W608">
        <v>350</v>
      </c>
      <c r="X608">
        <v>0</v>
      </c>
      <c r="Y608">
        <v>0</v>
      </c>
      <c r="Z608" cm="1">
        <f t="array" ref="Z608">MMULT($G608:$Y608,'Nelson Factor_2019'!$B$1:$B$19)/$G608</f>
        <v>10.252941176470589</v>
      </c>
      <c r="AA608" cm="1">
        <f t="array" ref="AA608">MMULT($G608:$R608,'Nelson Factor_2019'!$B$1:$B$12)/$G608</f>
        <v>4.2529411764705882</v>
      </c>
    </row>
    <row r="609" spans="1:27" x14ac:dyDescent="0.25">
      <c r="A609">
        <v>2009</v>
      </c>
      <c r="B609">
        <v>2</v>
      </c>
      <c r="C609">
        <v>3</v>
      </c>
      <c r="D609" t="s">
        <v>155</v>
      </c>
      <c r="E609" t="s">
        <v>66</v>
      </c>
      <c r="F609" t="s">
        <v>161</v>
      </c>
      <c r="G609">
        <v>91500</v>
      </c>
      <c r="H609">
        <v>32000</v>
      </c>
      <c r="I609">
        <v>0</v>
      </c>
      <c r="J609">
        <v>0</v>
      </c>
      <c r="K609">
        <v>30576</v>
      </c>
      <c r="L609">
        <v>21679</v>
      </c>
      <c r="M609">
        <v>12000</v>
      </c>
      <c r="N609">
        <v>86500</v>
      </c>
      <c r="O609">
        <v>7012</v>
      </c>
      <c r="P609">
        <v>0</v>
      </c>
      <c r="Q609">
        <v>0</v>
      </c>
      <c r="R609">
        <v>7000</v>
      </c>
      <c r="S609">
        <v>0</v>
      </c>
      <c r="T609">
        <v>0</v>
      </c>
      <c r="U609">
        <v>26</v>
      </c>
      <c r="V609">
        <v>26</v>
      </c>
      <c r="W609">
        <v>0</v>
      </c>
      <c r="X609">
        <v>243</v>
      </c>
      <c r="Y609">
        <v>11000</v>
      </c>
      <c r="Z609" cm="1">
        <f t="array" ref="Z609">MMULT($G609:$Y609,'Nelson Factor_2019'!$B$1:$B$19)/$G609</f>
        <v>9.8709617486338797</v>
      </c>
      <c r="AA609" cm="1">
        <f t="array" ref="AA609">MMULT($G609:$R609,'Nelson Factor_2019'!$B$1:$B$12)/$G609</f>
        <v>9.0526885245901632</v>
      </c>
    </row>
    <row r="610" spans="1:27" x14ac:dyDescent="0.25">
      <c r="A610">
        <v>2009</v>
      </c>
      <c r="B610">
        <v>2</v>
      </c>
      <c r="C610">
        <v>3</v>
      </c>
      <c r="D610" t="s">
        <v>155</v>
      </c>
      <c r="E610" t="s">
        <v>228</v>
      </c>
      <c r="F610" t="s">
        <v>158</v>
      </c>
      <c r="G610">
        <v>52500</v>
      </c>
      <c r="H610">
        <v>15500</v>
      </c>
      <c r="I610">
        <v>0</v>
      </c>
      <c r="J610">
        <v>0</v>
      </c>
      <c r="K610">
        <v>18500</v>
      </c>
      <c r="L610">
        <v>13000</v>
      </c>
      <c r="M610">
        <v>5500</v>
      </c>
      <c r="N610">
        <v>12000</v>
      </c>
      <c r="O610">
        <v>4000</v>
      </c>
      <c r="P610">
        <v>0</v>
      </c>
      <c r="Q610">
        <v>0</v>
      </c>
      <c r="R610">
        <v>3500</v>
      </c>
      <c r="S610">
        <v>0</v>
      </c>
      <c r="T610">
        <v>0</v>
      </c>
      <c r="U610">
        <v>9</v>
      </c>
      <c r="V610">
        <v>0</v>
      </c>
      <c r="W610">
        <v>0</v>
      </c>
      <c r="X610">
        <v>0</v>
      </c>
      <c r="Y610">
        <v>5000</v>
      </c>
      <c r="Z610" cm="1">
        <f t="array" ref="Z610">MMULT($G610:$Y610,'Nelson Factor_2019'!$B$1:$B$19)/$G610</f>
        <v>7.2506476190476192</v>
      </c>
      <c r="AA610" cm="1">
        <f t="array" ref="AA610">MMULT($G610:$R610,'Nelson Factor_2019'!$B$1:$B$12)/$G610</f>
        <v>7.1076190476190479</v>
      </c>
    </row>
    <row r="611" spans="1:27" x14ac:dyDescent="0.25">
      <c r="A611">
        <v>2009</v>
      </c>
      <c r="B611">
        <v>1</v>
      </c>
      <c r="C611">
        <v>0</v>
      </c>
      <c r="D611" t="s">
        <v>162</v>
      </c>
      <c r="E611" t="s">
        <v>163</v>
      </c>
      <c r="F611" t="s">
        <v>164</v>
      </c>
      <c r="G611">
        <v>10000</v>
      </c>
      <c r="H611">
        <v>0</v>
      </c>
      <c r="I611">
        <v>0</v>
      </c>
      <c r="J611">
        <v>0</v>
      </c>
      <c r="K611">
        <v>0</v>
      </c>
      <c r="L611">
        <v>1800</v>
      </c>
      <c r="M611">
        <v>0</v>
      </c>
      <c r="N611">
        <v>3500</v>
      </c>
      <c r="O611">
        <v>0</v>
      </c>
      <c r="P611">
        <v>0</v>
      </c>
      <c r="Q611">
        <v>0</v>
      </c>
      <c r="R611">
        <v>600</v>
      </c>
      <c r="S611">
        <v>2600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 cm="1">
        <f t="array" ref="Z611">MMULT($G611:$Y611,'Nelson Factor_2019'!$B$1:$B$19)/$G611</f>
        <v>18.555</v>
      </c>
      <c r="AA611" cm="1">
        <f t="array" ref="AA611">MMULT($G611:$R611,'Nelson Factor_2019'!$B$1:$B$12)/$G611</f>
        <v>2.9550000000000001</v>
      </c>
    </row>
    <row r="612" spans="1:27" x14ac:dyDescent="0.25">
      <c r="A612">
        <v>2009</v>
      </c>
      <c r="B612">
        <v>1</v>
      </c>
      <c r="C612">
        <v>3</v>
      </c>
      <c r="D612" t="s">
        <v>162</v>
      </c>
      <c r="E612" t="s">
        <v>51</v>
      </c>
      <c r="F612" t="s">
        <v>165</v>
      </c>
      <c r="G612">
        <v>185000</v>
      </c>
      <c r="H612">
        <v>75400</v>
      </c>
      <c r="I612">
        <v>0</v>
      </c>
      <c r="J612">
        <v>0</v>
      </c>
      <c r="K612">
        <v>48400</v>
      </c>
      <c r="L612">
        <v>48800</v>
      </c>
      <c r="M612">
        <v>20700</v>
      </c>
      <c r="N612">
        <v>127200</v>
      </c>
      <c r="O612">
        <v>11800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160</v>
      </c>
      <c r="Y612">
        <v>0</v>
      </c>
      <c r="Z612" cm="1">
        <f t="array" ref="Z612">MMULT($G612:$Y612,'Nelson Factor_2019'!$B$1:$B$19)/$G612</f>
        <v>7.877945945945946</v>
      </c>
      <c r="AA612" cm="1">
        <f t="array" ref="AA612">MMULT($G612:$R612,'Nelson Factor_2019'!$B$1:$B$12)/$G612</f>
        <v>7.6703783783783788</v>
      </c>
    </row>
    <row r="613" spans="1:27" x14ac:dyDescent="0.25">
      <c r="A613">
        <v>2009</v>
      </c>
      <c r="B613">
        <v>1</v>
      </c>
      <c r="C613">
        <v>1</v>
      </c>
      <c r="D613" t="s">
        <v>162</v>
      </c>
      <c r="E613" t="s">
        <v>138</v>
      </c>
      <c r="F613" t="s">
        <v>166</v>
      </c>
      <c r="G613">
        <v>175000</v>
      </c>
      <c r="H613">
        <v>26400</v>
      </c>
      <c r="I613">
        <v>0</v>
      </c>
      <c r="J613">
        <v>0</v>
      </c>
      <c r="K613">
        <v>93000</v>
      </c>
      <c r="L613">
        <v>15600</v>
      </c>
      <c r="M613">
        <v>0</v>
      </c>
      <c r="N613">
        <v>48000</v>
      </c>
      <c r="O613">
        <v>10000</v>
      </c>
      <c r="P613">
        <v>0</v>
      </c>
      <c r="Q613">
        <v>21600</v>
      </c>
      <c r="R613">
        <v>0</v>
      </c>
      <c r="S613">
        <v>0</v>
      </c>
      <c r="T613">
        <v>2600</v>
      </c>
      <c r="U613">
        <v>6</v>
      </c>
      <c r="V613">
        <v>0</v>
      </c>
      <c r="W613">
        <v>0</v>
      </c>
      <c r="X613">
        <v>0</v>
      </c>
      <c r="Y613">
        <v>0</v>
      </c>
      <c r="Z613" cm="1">
        <f t="array" ref="Z613">MMULT($G613:$Y613,'Nelson Factor_2019'!$B$1:$B$19)/$G613</f>
        <v>8.70472</v>
      </c>
      <c r="AA613" cm="1">
        <f t="array" ref="AA613">MMULT($G613:$R613,'Nelson Factor_2019'!$B$1:$B$12)/$G613</f>
        <v>8.5561142857142851</v>
      </c>
    </row>
    <row r="614" spans="1:27" x14ac:dyDescent="0.25">
      <c r="A614">
        <v>2009</v>
      </c>
      <c r="B614">
        <v>1</v>
      </c>
      <c r="C614">
        <v>1</v>
      </c>
      <c r="D614" t="s">
        <v>162</v>
      </c>
      <c r="E614" t="s">
        <v>138</v>
      </c>
      <c r="F614" t="s">
        <v>167</v>
      </c>
      <c r="G614">
        <v>330000</v>
      </c>
      <c r="H614">
        <v>157400</v>
      </c>
      <c r="I614">
        <v>0</v>
      </c>
      <c r="J614">
        <v>0</v>
      </c>
      <c r="K614">
        <v>113500</v>
      </c>
      <c r="L614">
        <v>68000</v>
      </c>
      <c r="M614">
        <v>0</v>
      </c>
      <c r="N614">
        <v>163600</v>
      </c>
      <c r="O614">
        <v>16700</v>
      </c>
      <c r="P614">
        <v>0</v>
      </c>
      <c r="Q614">
        <v>13700</v>
      </c>
      <c r="R614">
        <v>7300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 cm="1">
        <f t="array" ref="Z614">MMULT($G614:$Y614,'Nelson Factor_2019'!$B$1:$B$19)/$G614</f>
        <v>7.3561212121212121</v>
      </c>
      <c r="AA614" cm="1">
        <f t="array" ref="AA614">MMULT($G614:$R614,'Nelson Factor_2019'!$B$1:$B$12)/$G614</f>
        <v>7.3561212121212121</v>
      </c>
    </row>
    <row r="615" spans="1:27" x14ac:dyDescent="0.25">
      <c r="A615">
        <v>2009</v>
      </c>
      <c r="B615">
        <v>1</v>
      </c>
      <c r="C615">
        <v>1</v>
      </c>
      <c r="D615" t="s">
        <v>162</v>
      </c>
      <c r="E615" t="s">
        <v>168</v>
      </c>
      <c r="F615" t="s">
        <v>169</v>
      </c>
      <c r="G615">
        <v>66700</v>
      </c>
      <c r="H615">
        <v>27000</v>
      </c>
      <c r="I615">
        <v>0</v>
      </c>
      <c r="J615">
        <v>0</v>
      </c>
      <c r="K615">
        <v>23000</v>
      </c>
      <c r="L615">
        <v>16000</v>
      </c>
      <c r="M615">
        <v>0</v>
      </c>
      <c r="N615">
        <v>40000</v>
      </c>
      <c r="O615">
        <v>3500</v>
      </c>
      <c r="P615">
        <v>1000</v>
      </c>
      <c r="Q615">
        <v>0</v>
      </c>
      <c r="R615">
        <v>6800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12000</v>
      </c>
      <c r="Z615" cm="1">
        <f t="array" ref="Z615">MMULT($G615:$Y615,'Nelson Factor_2019'!$B$1:$B$19)/$G615</f>
        <v>7.5442278860569711</v>
      </c>
      <c r="AA615" cm="1">
        <f t="array" ref="AA615">MMULT($G615:$R615,'Nelson Factor_2019'!$B$1:$B$12)/$G615</f>
        <v>7.2743628185907045</v>
      </c>
    </row>
    <row r="616" spans="1:27" x14ac:dyDescent="0.25">
      <c r="A616">
        <v>2009</v>
      </c>
      <c r="B616">
        <v>2</v>
      </c>
      <c r="C616">
        <v>1</v>
      </c>
      <c r="D616" t="s">
        <v>170</v>
      </c>
      <c r="E616" t="s">
        <v>66</v>
      </c>
      <c r="F616" t="s">
        <v>172</v>
      </c>
      <c r="G616">
        <v>180000</v>
      </c>
      <c r="H616">
        <v>0</v>
      </c>
      <c r="I616">
        <v>0</v>
      </c>
      <c r="J616">
        <v>0</v>
      </c>
      <c r="K616">
        <v>69000</v>
      </c>
      <c r="L616">
        <v>36000</v>
      </c>
      <c r="M616">
        <v>0</v>
      </c>
      <c r="N616">
        <v>151315</v>
      </c>
      <c r="O616">
        <v>12000</v>
      </c>
      <c r="P616">
        <v>0</v>
      </c>
      <c r="Q616">
        <v>0</v>
      </c>
      <c r="R616">
        <v>4000</v>
      </c>
      <c r="S616">
        <v>0</v>
      </c>
      <c r="T616">
        <v>0</v>
      </c>
      <c r="U616">
        <v>0</v>
      </c>
      <c r="V616">
        <v>0</v>
      </c>
      <c r="W616">
        <v>748</v>
      </c>
      <c r="X616">
        <v>105</v>
      </c>
      <c r="Y616">
        <v>0</v>
      </c>
      <c r="Z616" cm="1">
        <f t="array" ref="Z616">MMULT($G616:$Y616,'Nelson Factor_2019'!$B$1:$B$19)/$G616</f>
        <v>7.2749305555555557</v>
      </c>
      <c r="AA616" cm="1">
        <f t="array" ref="AA616">MMULT($G616:$R616,'Nelson Factor_2019'!$B$1:$B$12)/$G616</f>
        <v>7.134930555555556</v>
      </c>
    </row>
    <row r="617" spans="1:27" x14ac:dyDescent="0.25">
      <c r="A617">
        <v>2009</v>
      </c>
      <c r="B617">
        <v>3</v>
      </c>
      <c r="C617">
        <v>0</v>
      </c>
      <c r="D617" t="s">
        <v>173</v>
      </c>
      <c r="E617" t="s">
        <v>174</v>
      </c>
      <c r="F617" t="s">
        <v>175</v>
      </c>
      <c r="G617">
        <v>12000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1200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 cm="1">
        <f t="array" ref="Z617">MMULT($G617:$Y617,'Nelson Factor_2019'!$B$1:$B$19)/$G617</f>
        <v>3</v>
      </c>
      <c r="AA617" cm="1">
        <f t="array" ref="AA617">MMULT($G617:$R617,'Nelson Factor_2019'!$B$1:$B$12)/$G617</f>
        <v>3</v>
      </c>
    </row>
    <row r="618" spans="1:27" x14ac:dyDescent="0.25">
      <c r="A618">
        <v>2009</v>
      </c>
      <c r="B618">
        <v>3</v>
      </c>
      <c r="C618">
        <v>1</v>
      </c>
      <c r="D618" t="s">
        <v>173</v>
      </c>
      <c r="E618" t="s">
        <v>176</v>
      </c>
      <c r="F618" t="s">
        <v>177</v>
      </c>
      <c r="G618">
        <v>70000</v>
      </c>
      <c r="H618">
        <v>24000</v>
      </c>
      <c r="I618">
        <v>0</v>
      </c>
      <c r="J618">
        <v>0</v>
      </c>
      <c r="K618">
        <v>24000</v>
      </c>
      <c r="L618">
        <v>21000</v>
      </c>
      <c r="M618">
        <v>0</v>
      </c>
      <c r="N618">
        <v>67950</v>
      </c>
      <c r="O618">
        <v>5000</v>
      </c>
      <c r="P618">
        <v>0</v>
      </c>
      <c r="Q618">
        <v>2000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135</v>
      </c>
      <c r="Y618">
        <v>8000</v>
      </c>
      <c r="Z618" cm="1">
        <f t="array" ref="Z618">MMULT($G618:$Y618,'Nelson Factor_2019'!$B$1:$B$19)/$G618</f>
        <v>9.3496428571428574</v>
      </c>
      <c r="AA618" cm="1">
        <f t="array" ref="AA618">MMULT($G618:$R618,'Nelson Factor_2019'!$B$1:$B$12)/$G618</f>
        <v>8.7153571428571421</v>
      </c>
    </row>
    <row r="619" spans="1:27" x14ac:dyDescent="0.25">
      <c r="A619">
        <v>2009</v>
      </c>
      <c r="B619">
        <v>3</v>
      </c>
      <c r="C619">
        <v>6</v>
      </c>
      <c r="D619" t="s">
        <v>173</v>
      </c>
      <c r="E619" t="s">
        <v>32</v>
      </c>
      <c r="F619" t="s">
        <v>178</v>
      </c>
      <c r="G619">
        <v>451250</v>
      </c>
      <c r="H619">
        <v>225150</v>
      </c>
      <c r="I619">
        <v>38700</v>
      </c>
      <c r="J619">
        <v>0</v>
      </c>
      <c r="K619">
        <v>188550</v>
      </c>
      <c r="L619">
        <v>124200</v>
      </c>
      <c r="M619">
        <v>117000</v>
      </c>
      <c r="N619">
        <v>389700</v>
      </c>
      <c r="O619">
        <v>49500</v>
      </c>
      <c r="P619">
        <v>0</v>
      </c>
      <c r="Q619">
        <v>85500</v>
      </c>
      <c r="R619">
        <v>26100</v>
      </c>
      <c r="S619">
        <v>0</v>
      </c>
      <c r="T619">
        <v>0</v>
      </c>
      <c r="U619">
        <v>0</v>
      </c>
      <c r="V619">
        <v>59.699999999999996</v>
      </c>
      <c r="W619">
        <v>2495</v>
      </c>
      <c r="X619">
        <v>1317</v>
      </c>
      <c r="Y619">
        <v>0</v>
      </c>
      <c r="Z619" cm="1">
        <f t="array" ref="Z619">MMULT($G619:$Y619,'Nelson Factor_2019'!$B$1:$B$19)/$G619</f>
        <v>16.168830360110803</v>
      </c>
      <c r="AA619" cm="1">
        <f t="array" ref="AA619">MMULT($G619:$R619,'Nelson Factor_2019'!$B$1:$B$12)/$G619</f>
        <v>15.46824376731302</v>
      </c>
    </row>
    <row r="620" spans="1:27" x14ac:dyDescent="0.25">
      <c r="A620">
        <v>2009</v>
      </c>
      <c r="B620">
        <v>3</v>
      </c>
      <c r="C620">
        <v>4</v>
      </c>
      <c r="D620" t="s">
        <v>173</v>
      </c>
      <c r="E620" t="s">
        <v>79</v>
      </c>
      <c r="F620" t="s">
        <v>179</v>
      </c>
      <c r="G620">
        <v>156750</v>
      </c>
      <c r="H620">
        <v>73625</v>
      </c>
      <c r="I620">
        <v>37800</v>
      </c>
      <c r="J620">
        <v>0</v>
      </c>
      <c r="K620">
        <v>72450</v>
      </c>
      <c r="L620">
        <v>45450</v>
      </c>
      <c r="M620">
        <v>0</v>
      </c>
      <c r="N620">
        <v>148230</v>
      </c>
      <c r="O620">
        <v>18090</v>
      </c>
      <c r="P620">
        <v>0</v>
      </c>
      <c r="Q620">
        <v>30105</v>
      </c>
      <c r="R620">
        <v>0</v>
      </c>
      <c r="S620">
        <v>0</v>
      </c>
      <c r="T620">
        <v>3600</v>
      </c>
      <c r="U620">
        <v>0</v>
      </c>
      <c r="V620">
        <v>0</v>
      </c>
      <c r="W620">
        <v>2123</v>
      </c>
      <c r="X620">
        <v>281.7</v>
      </c>
      <c r="Y620">
        <v>0</v>
      </c>
      <c r="Z620" cm="1">
        <f t="array" ref="Z620">MMULT($G620:$Y620,'Nelson Factor_2019'!$B$1:$B$19)/$G620</f>
        <v>15.662491228070175</v>
      </c>
      <c r="AA620" cm="1">
        <f t="array" ref="AA620">MMULT($G620:$R620,'Nelson Factor_2019'!$B$1:$B$12)/$G620</f>
        <v>15.001515151515152</v>
      </c>
    </row>
    <row r="621" spans="1:27" x14ac:dyDescent="0.25">
      <c r="A621">
        <v>2009</v>
      </c>
      <c r="B621">
        <v>3</v>
      </c>
      <c r="C621">
        <v>4</v>
      </c>
      <c r="D621" t="s">
        <v>173</v>
      </c>
      <c r="E621" t="s">
        <v>51</v>
      </c>
      <c r="F621" t="s">
        <v>182</v>
      </c>
      <c r="G621">
        <v>247000</v>
      </c>
      <c r="H621">
        <v>125500</v>
      </c>
      <c r="I621">
        <v>70900</v>
      </c>
      <c r="J621">
        <v>0</v>
      </c>
      <c r="K621">
        <v>97000</v>
      </c>
      <c r="L621">
        <v>33800</v>
      </c>
      <c r="M621">
        <v>0</v>
      </c>
      <c r="N621">
        <v>275500</v>
      </c>
      <c r="O621">
        <v>19600</v>
      </c>
      <c r="P621">
        <v>0</v>
      </c>
      <c r="Q621">
        <v>17740</v>
      </c>
      <c r="R621">
        <v>9100</v>
      </c>
      <c r="S621">
        <v>0</v>
      </c>
      <c r="T621">
        <v>0</v>
      </c>
      <c r="U621">
        <v>0</v>
      </c>
      <c r="V621">
        <v>165</v>
      </c>
      <c r="W621">
        <v>4000</v>
      </c>
      <c r="X621">
        <v>593</v>
      </c>
      <c r="Y621">
        <v>0</v>
      </c>
      <c r="Z621" cm="1">
        <f t="array" ref="Z621">MMULT($G621:$Y621,'Nelson Factor_2019'!$B$1:$B$19)/$G621</f>
        <v>12.559655870445344</v>
      </c>
      <c r="AA621" cm="1">
        <f t="array" ref="AA621">MMULT($G621:$R621,'Nelson Factor_2019'!$B$1:$B$12)/$G621</f>
        <v>11.982793522267206</v>
      </c>
    </row>
    <row r="622" spans="1:27" x14ac:dyDescent="0.25">
      <c r="A622">
        <v>2009</v>
      </c>
      <c r="B622">
        <v>3</v>
      </c>
      <c r="C622">
        <v>4</v>
      </c>
      <c r="D622" t="s">
        <v>173</v>
      </c>
      <c r="E622" t="s">
        <v>236</v>
      </c>
      <c r="F622" t="s">
        <v>188</v>
      </c>
      <c r="G622">
        <v>60000</v>
      </c>
      <c r="H622">
        <v>15000</v>
      </c>
      <c r="I622">
        <v>6500</v>
      </c>
      <c r="J622">
        <v>0</v>
      </c>
      <c r="K622">
        <v>20200</v>
      </c>
      <c r="L622">
        <v>17500</v>
      </c>
      <c r="M622">
        <v>0</v>
      </c>
      <c r="N622">
        <v>32000</v>
      </c>
      <c r="O622">
        <v>4750</v>
      </c>
      <c r="P622">
        <v>0</v>
      </c>
      <c r="Q622">
        <v>0</v>
      </c>
      <c r="R622">
        <v>5000</v>
      </c>
      <c r="S622">
        <v>0</v>
      </c>
      <c r="T622">
        <v>0</v>
      </c>
      <c r="U622">
        <v>0</v>
      </c>
      <c r="V622">
        <v>0</v>
      </c>
      <c r="W622">
        <v>250</v>
      </c>
      <c r="X622">
        <v>18</v>
      </c>
      <c r="Y622">
        <v>0</v>
      </c>
      <c r="Z622" cm="1">
        <f t="array" ref="Z622">MMULT($G622:$Y622,'Nelson Factor_2019'!$B$1:$B$19)/$G622</f>
        <v>8.0628333333333337</v>
      </c>
      <c r="AA622" cm="1">
        <f t="array" ref="AA622">MMULT($G622:$R622,'Nelson Factor_2019'!$B$1:$B$12)/$G622</f>
        <v>7.9908333333333337</v>
      </c>
    </row>
    <row r="623" spans="1:27" x14ac:dyDescent="0.25">
      <c r="A623">
        <v>2009</v>
      </c>
      <c r="B623">
        <v>3</v>
      </c>
      <c r="C623">
        <v>6</v>
      </c>
      <c r="D623" t="s">
        <v>173</v>
      </c>
      <c r="E623" t="s">
        <v>54</v>
      </c>
      <c r="F623" t="s">
        <v>185</v>
      </c>
      <c r="G623">
        <v>572500</v>
      </c>
      <c r="H623">
        <v>277000</v>
      </c>
      <c r="I623">
        <v>88000</v>
      </c>
      <c r="J623">
        <v>0</v>
      </c>
      <c r="K623">
        <v>204500</v>
      </c>
      <c r="L623">
        <v>122000</v>
      </c>
      <c r="M623">
        <v>26500</v>
      </c>
      <c r="N623">
        <v>723000</v>
      </c>
      <c r="O623">
        <v>36000</v>
      </c>
      <c r="P623">
        <v>0</v>
      </c>
      <c r="Q623">
        <v>0</v>
      </c>
      <c r="R623">
        <v>0</v>
      </c>
      <c r="S623">
        <v>21500</v>
      </c>
      <c r="T623">
        <v>0</v>
      </c>
      <c r="U623">
        <v>0</v>
      </c>
      <c r="V623">
        <v>56.5</v>
      </c>
      <c r="W623">
        <v>3550</v>
      </c>
      <c r="X623">
        <v>1630</v>
      </c>
      <c r="Y623">
        <v>0</v>
      </c>
      <c r="Z623" cm="1">
        <f t="array" ref="Z623">MMULT($G623:$Y623,'Nelson Factor_2019'!$B$1:$B$19)/$G623</f>
        <v>13.083592139737991</v>
      </c>
      <c r="AA623" cm="1">
        <f t="array" ref="AA623">MMULT($G623:$R623,'Nelson Factor_2019'!$B$1:$B$12)/$G623</f>
        <v>10.146899563318778</v>
      </c>
    </row>
    <row r="624" spans="1:27" x14ac:dyDescent="0.25">
      <c r="A624">
        <v>2009</v>
      </c>
      <c r="B624">
        <v>3</v>
      </c>
      <c r="C624">
        <v>6</v>
      </c>
      <c r="D624" t="s">
        <v>173</v>
      </c>
      <c r="E624" t="s">
        <v>54</v>
      </c>
      <c r="F624" t="s">
        <v>186</v>
      </c>
      <c r="G624">
        <v>344500</v>
      </c>
      <c r="H624">
        <v>143000</v>
      </c>
      <c r="I624">
        <v>45500</v>
      </c>
      <c r="J624">
        <v>0</v>
      </c>
      <c r="K624">
        <v>113000</v>
      </c>
      <c r="L624">
        <v>138500</v>
      </c>
      <c r="M624">
        <v>60000</v>
      </c>
      <c r="N624">
        <v>298500</v>
      </c>
      <c r="O624">
        <v>15500</v>
      </c>
      <c r="P624">
        <v>0</v>
      </c>
      <c r="Q624">
        <v>0</v>
      </c>
      <c r="R624">
        <v>24500</v>
      </c>
      <c r="S624">
        <v>10000</v>
      </c>
      <c r="T624">
        <v>4500</v>
      </c>
      <c r="U624">
        <v>0</v>
      </c>
      <c r="V624">
        <v>54.5</v>
      </c>
      <c r="W624">
        <v>2700</v>
      </c>
      <c r="X624">
        <v>580</v>
      </c>
      <c r="Y624">
        <v>0</v>
      </c>
      <c r="Z624" cm="1">
        <f t="array" ref="Z624">MMULT($G624:$Y624,'Nelson Factor_2019'!$B$1:$B$19)/$G624</f>
        <v>13.007705370101597</v>
      </c>
      <c r="AA624" cm="1">
        <f t="array" ref="AA624">MMULT($G624:$R624,'Nelson Factor_2019'!$B$1:$B$12)/$G624</f>
        <v>10.731204644412191</v>
      </c>
    </row>
    <row r="625" spans="1:27" x14ac:dyDescent="0.25">
      <c r="A625">
        <v>2009</v>
      </c>
      <c r="B625">
        <v>3</v>
      </c>
      <c r="C625">
        <v>6</v>
      </c>
      <c r="D625" t="s">
        <v>173</v>
      </c>
      <c r="E625" t="s">
        <v>35</v>
      </c>
      <c r="F625" t="s">
        <v>179</v>
      </c>
      <c r="G625">
        <v>279300</v>
      </c>
      <c r="H625">
        <v>83125</v>
      </c>
      <c r="I625">
        <v>12600</v>
      </c>
      <c r="J625">
        <v>0</v>
      </c>
      <c r="K625">
        <v>96030</v>
      </c>
      <c r="L625">
        <v>64440</v>
      </c>
      <c r="M625">
        <v>11700</v>
      </c>
      <c r="N625">
        <v>225090</v>
      </c>
      <c r="O625">
        <v>13320</v>
      </c>
      <c r="P625">
        <v>0</v>
      </c>
      <c r="Q625">
        <v>44550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697</v>
      </c>
      <c r="X625">
        <v>241</v>
      </c>
      <c r="Y625">
        <v>0</v>
      </c>
      <c r="Z625" cm="1">
        <f t="array" ref="Z625">MMULT($G625:$Y625,'Nelson Factor_2019'!$B$1:$B$19)/$G625</f>
        <v>11.165798424633012</v>
      </c>
      <c r="AA625" cm="1">
        <f t="array" ref="AA625">MMULT($G625:$R625,'Nelson Factor_2019'!$B$1:$B$12)/$G625</f>
        <v>10.958709273182958</v>
      </c>
    </row>
    <row r="626" spans="1:27" x14ac:dyDescent="0.25">
      <c r="A626">
        <v>2009</v>
      </c>
      <c r="B626">
        <v>3</v>
      </c>
      <c r="C626">
        <v>4</v>
      </c>
      <c r="D626" t="s">
        <v>173</v>
      </c>
      <c r="E626" t="s">
        <v>244</v>
      </c>
      <c r="F626" t="s">
        <v>190</v>
      </c>
      <c r="G626">
        <v>268000</v>
      </c>
      <c r="H626">
        <v>191100</v>
      </c>
      <c r="I626">
        <v>98500</v>
      </c>
      <c r="J626">
        <v>0</v>
      </c>
      <c r="K626">
        <v>97000</v>
      </c>
      <c r="L626">
        <v>33700</v>
      </c>
      <c r="M626">
        <v>0</v>
      </c>
      <c r="N626">
        <v>307900</v>
      </c>
      <c r="O626">
        <v>11250</v>
      </c>
      <c r="P626">
        <v>0</v>
      </c>
      <c r="Q626">
        <v>8350</v>
      </c>
      <c r="R626">
        <v>0</v>
      </c>
      <c r="S626">
        <v>4050</v>
      </c>
      <c r="T626">
        <v>4000</v>
      </c>
      <c r="U626">
        <v>0</v>
      </c>
      <c r="V626">
        <v>0</v>
      </c>
      <c r="W626">
        <v>5000</v>
      </c>
      <c r="X626">
        <v>1042</v>
      </c>
      <c r="Y626">
        <v>0</v>
      </c>
      <c r="Z626" cm="1">
        <f t="array" ref="Z626">MMULT($G626:$Y626,'Nelson Factor_2019'!$B$1:$B$19)/$G626</f>
        <v>13.388097014925373</v>
      </c>
      <c r="AA626" cm="1">
        <f t="array" ref="AA626">MMULT($G626:$R626,'Nelson Factor_2019'!$B$1:$B$12)/$G626</f>
        <v>11.398992537313433</v>
      </c>
    </row>
    <row r="627" spans="1:27" x14ac:dyDescent="0.25">
      <c r="A627">
        <v>2009</v>
      </c>
      <c r="B627">
        <v>3</v>
      </c>
      <c r="C627">
        <v>1</v>
      </c>
      <c r="D627" t="s">
        <v>173</v>
      </c>
      <c r="E627" t="s">
        <v>234</v>
      </c>
      <c r="F627" t="s">
        <v>178</v>
      </c>
      <c r="G627">
        <v>76000</v>
      </c>
      <c r="H627">
        <v>0</v>
      </c>
      <c r="I627">
        <v>0</v>
      </c>
      <c r="J627">
        <v>0</v>
      </c>
      <c r="K627">
        <v>55600</v>
      </c>
      <c r="L627">
        <v>10000</v>
      </c>
      <c r="M627">
        <v>0</v>
      </c>
      <c r="N627">
        <v>0</v>
      </c>
      <c r="O627">
        <v>12400</v>
      </c>
      <c r="P627">
        <v>0</v>
      </c>
      <c r="Q627">
        <v>1900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37</v>
      </c>
      <c r="Y627">
        <v>0</v>
      </c>
      <c r="Z627" cm="1">
        <f t="array" ref="Z627">MMULT($G627:$Y627,'Nelson Factor_2019'!$B$1:$B$19)/$G627</f>
        <v>8.295789473684211</v>
      </c>
      <c r="AA627" cm="1">
        <f t="array" ref="AA627">MMULT($G627:$R627,'Nelson Factor_2019'!$B$1:$B$12)/$G627</f>
        <v>8.1789473684210527</v>
      </c>
    </row>
    <row r="628" spans="1:27" x14ac:dyDescent="0.25">
      <c r="A628">
        <v>2009</v>
      </c>
      <c r="B628">
        <v>3</v>
      </c>
      <c r="C628">
        <v>6</v>
      </c>
      <c r="D628" t="s">
        <v>173</v>
      </c>
      <c r="E628" t="s">
        <v>112</v>
      </c>
      <c r="F628" t="s">
        <v>191</v>
      </c>
      <c r="G628">
        <v>285000</v>
      </c>
      <c r="H628">
        <v>138000</v>
      </c>
      <c r="I628">
        <v>53000</v>
      </c>
      <c r="J628">
        <v>0</v>
      </c>
      <c r="K628">
        <v>88000</v>
      </c>
      <c r="L628">
        <v>45000</v>
      </c>
      <c r="M628">
        <v>20000</v>
      </c>
      <c r="N628">
        <v>263400</v>
      </c>
      <c r="O628">
        <v>19000</v>
      </c>
      <c r="P628">
        <v>0</v>
      </c>
      <c r="Q628">
        <v>0</v>
      </c>
      <c r="R628">
        <v>0</v>
      </c>
      <c r="S628">
        <v>39000</v>
      </c>
      <c r="T628">
        <v>0</v>
      </c>
      <c r="U628">
        <v>0</v>
      </c>
      <c r="V628">
        <v>0</v>
      </c>
      <c r="W628">
        <v>2450</v>
      </c>
      <c r="X628">
        <v>660</v>
      </c>
      <c r="Y628">
        <v>0</v>
      </c>
      <c r="Z628" cm="1">
        <f t="array" ref="Z628">MMULT($G628:$Y628,'Nelson Factor_2019'!$B$1:$B$19)/$G628</f>
        <v>17.971228070175439</v>
      </c>
      <c r="AA628" cm="1">
        <f t="array" ref="AA628">MMULT($G628:$R628,'Nelson Factor_2019'!$B$1:$B$12)/$G628</f>
        <v>9.2049122807017536</v>
      </c>
    </row>
    <row r="629" spans="1:27" x14ac:dyDescent="0.25">
      <c r="A629">
        <v>2009</v>
      </c>
      <c r="B629">
        <v>3</v>
      </c>
      <c r="C629">
        <v>4</v>
      </c>
      <c r="D629" t="s">
        <v>173</v>
      </c>
      <c r="E629" t="s">
        <v>229</v>
      </c>
      <c r="F629" t="s">
        <v>184</v>
      </c>
      <c r="G629">
        <v>117000</v>
      </c>
      <c r="H629">
        <v>41000</v>
      </c>
      <c r="I629">
        <v>12000</v>
      </c>
      <c r="J629">
        <v>0</v>
      </c>
      <c r="K629">
        <v>50000</v>
      </c>
      <c r="L629">
        <v>20000</v>
      </c>
      <c r="M629">
        <v>0</v>
      </c>
      <c r="N629">
        <v>44000</v>
      </c>
      <c r="O629">
        <v>11000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500</v>
      </c>
      <c r="X629">
        <v>24</v>
      </c>
      <c r="Y629">
        <v>0</v>
      </c>
      <c r="Z629" cm="1">
        <f t="array" ref="Z629">MMULT($G629:$Y629,'Nelson Factor_2019'!$B$1:$B$19)/$G629</f>
        <v>7.5731623931623933</v>
      </c>
      <c r="AA629" cm="1">
        <f t="array" ref="AA629">MMULT($G629:$R629,'Nelson Factor_2019'!$B$1:$B$12)/$G629</f>
        <v>7.5239316239316238</v>
      </c>
    </row>
    <row r="630" spans="1:27" x14ac:dyDescent="0.25">
      <c r="A630">
        <v>2009</v>
      </c>
      <c r="B630">
        <v>3</v>
      </c>
      <c r="C630">
        <v>6</v>
      </c>
      <c r="D630" t="s">
        <v>173</v>
      </c>
      <c r="E630" t="s">
        <v>192</v>
      </c>
      <c r="F630" t="s">
        <v>193</v>
      </c>
      <c r="G630">
        <v>325300</v>
      </c>
      <c r="H630">
        <v>174100</v>
      </c>
      <c r="I630">
        <v>83900</v>
      </c>
      <c r="J630">
        <v>0</v>
      </c>
      <c r="K630">
        <v>65500</v>
      </c>
      <c r="L630">
        <v>65800</v>
      </c>
      <c r="M630">
        <v>54300</v>
      </c>
      <c r="N630">
        <v>277300</v>
      </c>
      <c r="O630">
        <v>17400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55.1</v>
      </c>
      <c r="V630">
        <v>35.700000000000003</v>
      </c>
      <c r="W630">
        <v>6204</v>
      </c>
      <c r="X630">
        <v>1039</v>
      </c>
      <c r="Y630">
        <v>0</v>
      </c>
      <c r="Z630" cm="1">
        <f t="array" ref="Z630">MMULT($G630:$Y630,'Nelson Factor_2019'!$B$1:$B$19)/$G630</f>
        <v>10.617832154933907</v>
      </c>
      <c r="AA630" cm="1">
        <f t="array" ref="AA630">MMULT($G630:$R630,'Nelson Factor_2019'!$B$1:$B$12)/$G630</f>
        <v>9.8509990777743628</v>
      </c>
    </row>
    <row r="631" spans="1:27" x14ac:dyDescent="0.25">
      <c r="A631">
        <v>2009</v>
      </c>
      <c r="B631">
        <v>3</v>
      </c>
      <c r="C631">
        <v>1</v>
      </c>
      <c r="D631" t="s">
        <v>173</v>
      </c>
      <c r="E631" t="s">
        <v>194</v>
      </c>
      <c r="F631" t="s">
        <v>191</v>
      </c>
      <c r="G631">
        <v>231452</v>
      </c>
      <c r="H631">
        <v>51781</v>
      </c>
      <c r="I631">
        <v>0</v>
      </c>
      <c r="J631">
        <v>0</v>
      </c>
      <c r="K631">
        <v>76493</v>
      </c>
      <c r="L631">
        <v>37539</v>
      </c>
      <c r="M631">
        <v>0</v>
      </c>
      <c r="N631">
        <v>158338</v>
      </c>
      <c r="O631">
        <v>5955</v>
      </c>
      <c r="P631">
        <v>0</v>
      </c>
      <c r="Q631">
        <v>57314</v>
      </c>
      <c r="R631">
        <v>9644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256</v>
      </c>
      <c r="Y631">
        <v>1667</v>
      </c>
      <c r="Z631" cm="1">
        <f t="array" ref="Z631">MMULT($G631:$Y631,'Nelson Factor_2019'!$B$1:$B$19)/$G631</f>
        <v>11.406113578625373</v>
      </c>
      <c r="AA631" cm="1">
        <f t="array" ref="AA631">MMULT($G631:$R631,'Nelson Factor_2019'!$B$1:$B$12)/$G631</f>
        <v>11.129855434388123</v>
      </c>
    </row>
    <row r="632" spans="1:27" x14ac:dyDescent="0.25">
      <c r="A632">
        <v>2009</v>
      </c>
      <c r="B632">
        <v>3</v>
      </c>
      <c r="C632">
        <v>6</v>
      </c>
      <c r="D632" t="s">
        <v>173</v>
      </c>
      <c r="E632" t="s">
        <v>66</v>
      </c>
      <c r="F632" t="s">
        <v>179</v>
      </c>
      <c r="G632">
        <v>205000</v>
      </c>
      <c r="H632">
        <v>95000</v>
      </c>
      <c r="I632">
        <v>17500</v>
      </c>
      <c r="J632">
        <v>0</v>
      </c>
      <c r="K632">
        <v>112000</v>
      </c>
      <c r="L632">
        <v>67000</v>
      </c>
      <c r="M632">
        <v>49000</v>
      </c>
      <c r="N632">
        <v>296000</v>
      </c>
      <c r="O632">
        <v>18500</v>
      </c>
      <c r="P632">
        <v>11200</v>
      </c>
      <c r="Q632">
        <v>23000</v>
      </c>
      <c r="R632">
        <v>12000</v>
      </c>
      <c r="S632">
        <v>0</v>
      </c>
      <c r="T632">
        <v>0</v>
      </c>
      <c r="U632">
        <v>194</v>
      </c>
      <c r="V632">
        <v>74</v>
      </c>
      <c r="W632">
        <v>998</v>
      </c>
      <c r="X632">
        <v>790</v>
      </c>
      <c r="Y632">
        <v>38000</v>
      </c>
      <c r="Z632" cm="1">
        <f t="array" ref="Z632">MMULT($G632:$Y632,'Nelson Factor_2019'!$B$1:$B$19)/$G632</f>
        <v>17.749356097560977</v>
      </c>
      <c r="AA632" cm="1">
        <f t="array" ref="AA632">MMULT($G632:$R632,'Nelson Factor_2019'!$B$1:$B$12)/$G632</f>
        <v>16.545121951219514</v>
      </c>
    </row>
    <row r="633" spans="1:27" x14ac:dyDescent="0.25">
      <c r="A633">
        <v>2009</v>
      </c>
      <c r="B633">
        <v>3</v>
      </c>
      <c r="C633">
        <v>3</v>
      </c>
      <c r="D633" t="s">
        <v>173</v>
      </c>
      <c r="E633" t="s">
        <v>66</v>
      </c>
      <c r="F633" t="s">
        <v>190</v>
      </c>
      <c r="G633">
        <v>90000</v>
      </c>
      <c r="H633">
        <v>39000</v>
      </c>
      <c r="I633">
        <v>0</v>
      </c>
      <c r="J633">
        <v>0</v>
      </c>
      <c r="K633">
        <v>65000</v>
      </c>
      <c r="L633">
        <v>11000</v>
      </c>
      <c r="M633">
        <v>27600</v>
      </c>
      <c r="N633">
        <v>88500</v>
      </c>
      <c r="O633">
        <v>11000</v>
      </c>
      <c r="P633">
        <v>1400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300</v>
      </c>
      <c r="Y633">
        <v>0</v>
      </c>
      <c r="Z633" cm="1">
        <f t="array" ref="Z633">MMULT($G633:$Y633,'Nelson Factor_2019'!$B$1:$B$19)/$G633</f>
        <v>13.597222222222221</v>
      </c>
      <c r="AA633" cm="1">
        <f t="array" ref="AA633">MMULT($G633:$R633,'Nelson Factor_2019'!$B$1:$B$12)/$G633</f>
        <v>12.797222222222222</v>
      </c>
    </row>
    <row r="634" spans="1:27" x14ac:dyDescent="0.25">
      <c r="A634">
        <v>2009</v>
      </c>
      <c r="B634">
        <v>3</v>
      </c>
      <c r="C634">
        <v>6</v>
      </c>
      <c r="D634" t="s">
        <v>173</v>
      </c>
      <c r="E634" t="s">
        <v>66</v>
      </c>
      <c r="F634" t="s">
        <v>191</v>
      </c>
      <c r="G634">
        <v>250000</v>
      </c>
      <c r="H634">
        <v>145000</v>
      </c>
      <c r="I634">
        <v>100000</v>
      </c>
      <c r="J634">
        <v>0</v>
      </c>
      <c r="K634">
        <v>80000</v>
      </c>
      <c r="L634">
        <v>53000</v>
      </c>
      <c r="M634">
        <v>45000</v>
      </c>
      <c r="N634">
        <v>282000</v>
      </c>
      <c r="O634">
        <v>20000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105</v>
      </c>
      <c r="V634">
        <v>6</v>
      </c>
      <c r="W634">
        <v>6200</v>
      </c>
      <c r="X634">
        <v>1050</v>
      </c>
      <c r="Y634">
        <v>0</v>
      </c>
      <c r="Z634" cm="1">
        <f t="array" ref="Z634">MMULT($G634:$Y634,'Nelson Factor_2019'!$B$1:$B$19)/$G634</f>
        <v>13.802443999999999</v>
      </c>
      <c r="AA634" cm="1">
        <f t="array" ref="AA634">MMULT($G634:$R634,'Nelson Factor_2019'!$B$1:$B$12)/$G634</f>
        <v>12.794</v>
      </c>
    </row>
    <row r="635" spans="1:27" x14ac:dyDescent="0.25">
      <c r="A635">
        <v>2009</v>
      </c>
      <c r="B635">
        <v>3</v>
      </c>
      <c r="C635">
        <v>3</v>
      </c>
      <c r="D635" t="s">
        <v>173</v>
      </c>
      <c r="E635" t="s">
        <v>66</v>
      </c>
      <c r="F635" t="s">
        <v>195</v>
      </c>
      <c r="G635">
        <v>166660</v>
      </c>
      <c r="H635">
        <v>53200</v>
      </c>
      <c r="I635">
        <v>0</v>
      </c>
      <c r="J635">
        <v>0</v>
      </c>
      <c r="K635">
        <v>54465</v>
      </c>
      <c r="L635">
        <v>47400</v>
      </c>
      <c r="M635">
        <v>29500</v>
      </c>
      <c r="N635">
        <v>97612</v>
      </c>
      <c r="O635">
        <v>9500</v>
      </c>
      <c r="P635">
        <v>0</v>
      </c>
      <c r="Q635">
        <v>0</v>
      </c>
      <c r="R635">
        <v>7000</v>
      </c>
      <c r="S635">
        <v>0</v>
      </c>
      <c r="T635">
        <v>4900</v>
      </c>
      <c r="U635">
        <v>0</v>
      </c>
      <c r="V635">
        <v>0</v>
      </c>
      <c r="W635">
        <v>0</v>
      </c>
      <c r="X635">
        <v>60</v>
      </c>
      <c r="Y635">
        <v>0</v>
      </c>
      <c r="Z635" cm="1">
        <f t="array" ref="Z635">MMULT($G635:$Y635,'Nelson Factor_2019'!$B$1:$B$19)/$G635</f>
        <v>8.7545901836073448</v>
      </c>
      <c r="AA635" cm="1">
        <f t="array" ref="AA635">MMULT($G635:$R635,'Nelson Factor_2019'!$B$1:$B$12)/$G635</f>
        <v>8.3741749669986802</v>
      </c>
    </row>
    <row r="636" spans="1:27" x14ac:dyDescent="0.25">
      <c r="A636">
        <v>2009</v>
      </c>
      <c r="B636">
        <v>3</v>
      </c>
      <c r="C636">
        <v>4</v>
      </c>
      <c r="D636" t="s">
        <v>173</v>
      </c>
      <c r="E636" t="s">
        <v>66</v>
      </c>
      <c r="F636" t="s">
        <v>178</v>
      </c>
      <c r="G636">
        <v>225000</v>
      </c>
      <c r="H636">
        <v>130000</v>
      </c>
      <c r="I636">
        <v>50000</v>
      </c>
      <c r="J636">
        <v>0</v>
      </c>
      <c r="K636">
        <v>80000</v>
      </c>
      <c r="L636">
        <v>14500</v>
      </c>
      <c r="M636">
        <v>0</v>
      </c>
      <c r="N636">
        <v>263000</v>
      </c>
      <c r="O636">
        <v>12000</v>
      </c>
      <c r="P636">
        <v>0</v>
      </c>
      <c r="Q636">
        <v>0</v>
      </c>
      <c r="R636">
        <v>6500</v>
      </c>
      <c r="S636">
        <v>0</v>
      </c>
      <c r="T636">
        <v>2500</v>
      </c>
      <c r="U636">
        <v>0</v>
      </c>
      <c r="V636">
        <v>60</v>
      </c>
      <c r="W636">
        <v>3000</v>
      </c>
      <c r="X636">
        <v>890</v>
      </c>
      <c r="Y636">
        <v>0</v>
      </c>
      <c r="Z636" cm="1">
        <f t="array" ref="Z636">MMULT($G636:$Y636,'Nelson Factor_2019'!$B$1:$B$19)/$G636</f>
        <v>10.476266666666668</v>
      </c>
      <c r="AA636" cm="1">
        <f t="array" ref="AA636">MMULT($G636:$R636,'Nelson Factor_2019'!$B$1:$B$12)/$G636</f>
        <v>9.4155555555555548</v>
      </c>
    </row>
    <row r="637" spans="1:27" x14ac:dyDescent="0.25">
      <c r="A637">
        <v>2009</v>
      </c>
      <c r="B637">
        <v>3</v>
      </c>
      <c r="C637">
        <v>1</v>
      </c>
      <c r="D637" t="s">
        <v>173</v>
      </c>
      <c r="E637" t="s">
        <v>66</v>
      </c>
      <c r="F637" t="s">
        <v>196</v>
      </c>
      <c r="G637">
        <v>96000</v>
      </c>
      <c r="H637">
        <v>35000</v>
      </c>
      <c r="I637">
        <v>0</v>
      </c>
      <c r="J637">
        <v>0</v>
      </c>
      <c r="K637">
        <v>24500</v>
      </c>
      <c r="L637">
        <v>34000</v>
      </c>
      <c r="M637">
        <v>0</v>
      </c>
      <c r="N637">
        <v>78300</v>
      </c>
      <c r="O637">
        <v>6500</v>
      </c>
      <c r="P637">
        <v>0</v>
      </c>
      <c r="Q637">
        <v>18000</v>
      </c>
      <c r="R637">
        <v>0</v>
      </c>
      <c r="S637">
        <v>3200</v>
      </c>
      <c r="T637">
        <v>0</v>
      </c>
      <c r="U637">
        <v>0</v>
      </c>
      <c r="V637">
        <v>10</v>
      </c>
      <c r="W637">
        <v>0</v>
      </c>
      <c r="X637">
        <v>0</v>
      </c>
      <c r="Y637">
        <v>0</v>
      </c>
      <c r="Z637" cm="1">
        <f t="array" ref="Z637">MMULT($G637:$Y637,'Nelson Factor_2019'!$B$1:$B$19)/$G637</f>
        <v>13.242291666666667</v>
      </c>
      <c r="AA637" cm="1">
        <f t="array" ref="AA637">MMULT($G637:$R637,'Nelson Factor_2019'!$B$1:$B$12)/$G637</f>
        <v>11.2421875</v>
      </c>
    </row>
    <row r="638" spans="1:27" x14ac:dyDescent="0.25">
      <c r="A638">
        <v>2009</v>
      </c>
      <c r="B638">
        <v>3</v>
      </c>
      <c r="C638">
        <v>1</v>
      </c>
      <c r="D638" t="s">
        <v>173</v>
      </c>
      <c r="E638" t="s">
        <v>197</v>
      </c>
      <c r="F638" t="s">
        <v>198</v>
      </c>
      <c r="G638">
        <v>117000</v>
      </c>
      <c r="H638">
        <v>34700</v>
      </c>
      <c r="I638">
        <v>0</v>
      </c>
      <c r="J638">
        <v>0</v>
      </c>
      <c r="K638">
        <v>28000</v>
      </c>
      <c r="L638">
        <v>17700</v>
      </c>
      <c r="M638">
        <v>0</v>
      </c>
      <c r="N638">
        <v>37800</v>
      </c>
      <c r="O638">
        <v>8200</v>
      </c>
      <c r="P638">
        <v>0</v>
      </c>
      <c r="Q638">
        <v>0</v>
      </c>
      <c r="R638">
        <v>2500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20</v>
      </c>
      <c r="Y638">
        <v>4800</v>
      </c>
      <c r="Z638" cm="1">
        <f t="array" ref="Z638">MMULT($G638:$Y638,'Nelson Factor_2019'!$B$1:$B$19)/$G638</f>
        <v>5.2530769230769234</v>
      </c>
      <c r="AA638" cm="1">
        <f t="array" ref="AA638">MMULT($G638:$R638,'Nelson Factor_2019'!$B$1:$B$12)/$G638</f>
        <v>5.1505128205128203</v>
      </c>
    </row>
    <row r="639" spans="1:27" x14ac:dyDescent="0.25">
      <c r="A639">
        <v>2009</v>
      </c>
      <c r="B639">
        <v>3</v>
      </c>
      <c r="C639">
        <v>4</v>
      </c>
      <c r="D639" t="s">
        <v>173</v>
      </c>
      <c r="E639" t="s">
        <v>240</v>
      </c>
      <c r="F639" t="s">
        <v>181</v>
      </c>
      <c r="G639">
        <v>146000</v>
      </c>
      <c r="H639">
        <v>75000</v>
      </c>
      <c r="I639">
        <v>26000</v>
      </c>
      <c r="J639">
        <v>0</v>
      </c>
      <c r="K639">
        <v>55000</v>
      </c>
      <c r="L639">
        <v>29000</v>
      </c>
      <c r="M639">
        <v>0</v>
      </c>
      <c r="N639">
        <v>164000</v>
      </c>
      <c r="O639">
        <v>17000</v>
      </c>
      <c r="P639">
        <v>0</v>
      </c>
      <c r="Q639">
        <v>0</v>
      </c>
      <c r="R639">
        <v>42000</v>
      </c>
      <c r="S639">
        <v>0</v>
      </c>
      <c r="T639">
        <v>0</v>
      </c>
      <c r="U639">
        <v>90</v>
      </c>
      <c r="V639">
        <v>10</v>
      </c>
      <c r="W639">
        <v>1250</v>
      </c>
      <c r="X639">
        <v>400</v>
      </c>
      <c r="Y639">
        <v>0</v>
      </c>
      <c r="Z639" cm="1">
        <f t="array" ref="Z639">MMULT($G639:$Y639,'Nelson Factor_2019'!$B$1:$B$19)/$G639</f>
        <v>11.75068493150685</v>
      </c>
      <c r="AA639" cm="1">
        <f t="array" ref="AA639">MMULT($G639:$R639,'Nelson Factor_2019'!$B$1:$B$12)/$G639</f>
        <v>11.092465753424657</v>
      </c>
    </row>
    <row r="640" spans="1:27" x14ac:dyDescent="0.25">
      <c r="A640">
        <v>2009</v>
      </c>
      <c r="B640">
        <v>4</v>
      </c>
      <c r="C640">
        <v>1</v>
      </c>
      <c r="D640" t="s">
        <v>199</v>
      </c>
      <c r="E640" t="s">
        <v>237</v>
      </c>
      <c r="F640" t="s">
        <v>201</v>
      </c>
      <c r="G640">
        <v>30000</v>
      </c>
      <c r="H640">
        <v>5000</v>
      </c>
      <c r="I640">
        <v>0</v>
      </c>
      <c r="J640">
        <v>0</v>
      </c>
      <c r="K640">
        <v>11500</v>
      </c>
      <c r="L640">
        <v>7300</v>
      </c>
      <c r="M640">
        <v>0</v>
      </c>
      <c r="N640">
        <v>18500</v>
      </c>
      <c r="O640">
        <v>2500</v>
      </c>
      <c r="P640">
        <v>0</v>
      </c>
      <c r="Q640">
        <v>0</v>
      </c>
      <c r="R640">
        <v>4200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4</v>
      </c>
      <c r="Y640">
        <v>0</v>
      </c>
      <c r="Z640" cm="1">
        <f t="array" ref="Z640">MMULT($G640:$Y640,'Nelson Factor_2019'!$B$1:$B$19)/$G640</f>
        <v>7.5603333333333333</v>
      </c>
      <c r="AA640" cm="1">
        <f t="array" ref="AA640">MMULT($G640:$R640,'Nelson Factor_2019'!$B$1:$B$12)/$G640</f>
        <v>7.5283333333333333</v>
      </c>
    </row>
    <row r="641" spans="1:27" x14ac:dyDescent="0.25">
      <c r="A641">
        <v>2009</v>
      </c>
      <c r="B641">
        <v>4</v>
      </c>
      <c r="C641">
        <v>4</v>
      </c>
      <c r="D641" t="s">
        <v>199</v>
      </c>
      <c r="E641" t="s">
        <v>227</v>
      </c>
      <c r="F641" t="s">
        <v>201</v>
      </c>
      <c r="G641">
        <v>45000</v>
      </c>
      <c r="H641">
        <v>25600</v>
      </c>
      <c r="I641">
        <v>7200</v>
      </c>
      <c r="J641">
        <v>0</v>
      </c>
      <c r="K641">
        <v>13000</v>
      </c>
      <c r="L641">
        <v>7000</v>
      </c>
      <c r="M641">
        <v>0</v>
      </c>
      <c r="N641">
        <v>39000</v>
      </c>
      <c r="O641">
        <v>4500</v>
      </c>
      <c r="P641">
        <v>0</v>
      </c>
      <c r="Q641">
        <v>0</v>
      </c>
      <c r="R641">
        <v>1000</v>
      </c>
      <c r="S641">
        <v>0</v>
      </c>
      <c r="T641">
        <v>0</v>
      </c>
      <c r="U641">
        <v>0</v>
      </c>
      <c r="V641">
        <v>0</v>
      </c>
      <c r="W641">
        <v>281</v>
      </c>
      <c r="X641">
        <v>30</v>
      </c>
      <c r="Y641">
        <v>0</v>
      </c>
      <c r="Z641" cm="1">
        <f t="array" ref="Z641">MMULT($G641:$Y641,'Nelson Factor_2019'!$B$1:$B$19)/$G641</f>
        <v>8.8439999999999994</v>
      </c>
      <c r="AA641" cm="1">
        <f t="array" ref="AA641">MMULT($G641:$R641,'Nelson Factor_2019'!$B$1:$B$12)/$G641</f>
        <v>8.6839999999999993</v>
      </c>
    </row>
    <row r="642" spans="1:27" x14ac:dyDescent="0.25">
      <c r="A642">
        <v>2009</v>
      </c>
      <c r="B642">
        <v>4</v>
      </c>
      <c r="C642">
        <v>1</v>
      </c>
      <c r="D642" t="s">
        <v>199</v>
      </c>
      <c r="E642" t="s">
        <v>202</v>
      </c>
      <c r="F642" t="s">
        <v>203</v>
      </c>
      <c r="G642">
        <v>26400</v>
      </c>
      <c r="H642">
        <v>0</v>
      </c>
      <c r="I642">
        <v>0</v>
      </c>
      <c r="J642">
        <v>0</v>
      </c>
      <c r="K642">
        <v>8900</v>
      </c>
      <c r="L642">
        <v>8000</v>
      </c>
      <c r="M642">
        <v>0</v>
      </c>
      <c r="N642">
        <v>25000</v>
      </c>
      <c r="O642">
        <v>2900</v>
      </c>
      <c r="P642">
        <v>0</v>
      </c>
      <c r="Q642">
        <v>0</v>
      </c>
      <c r="R642">
        <v>3000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10</v>
      </c>
      <c r="Y642">
        <v>0</v>
      </c>
      <c r="Z642" cm="1">
        <f t="array" ref="Z642">MMULT($G642:$Y642,'Nelson Factor_2019'!$B$1:$B$19)/$G642</f>
        <v>8.4356060606060606</v>
      </c>
      <c r="AA642" cm="1">
        <f t="array" ref="AA642">MMULT($G642:$R642,'Nelson Factor_2019'!$B$1:$B$12)/$G642</f>
        <v>8.3446969696969688</v>
      </c>
    </row>
    <row r="643" spans="1:27" x14ac:dyDescent="0.25">
      <c r="A643">
        <v>2009</v>
      </c>
      <c r="B643">
        <v>4</v>
      </c>
      <c r="C643">
        <v>0</v>
      </c>
      <c r="D643" t="s">
        <v>199</v>
      </c>
      <c r="E643" t="s">
        <v>204</v>
      </c>
      <c r="F643" t="s">
        <v>203</v>
      </c>
      <c r="G643">
        <v>12500</v>
      </c>
      <c r="H643">
        <v>6000</v>
      </c>
      <c r="I643">
        <v>0</v>
      </c>
      <c r="J643">
        <v>0</v>
      </c>
      <c r="K643">
        <v>0</v>
      </c>
      <c r="L643">
        <v>2200</v>
      </c>
      <c r="M643">
        <v>0</v>
      </c>
      <c r="N643">
        <v>6200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1200</v>
      </c>
      <c r="Z643" cm="1">
        <f t="array" ref="Z643">MMULT($G643:$Y643,'Nelson Factor_2019'!$B$1:$B$19)/$G643</f>
        <v>3.8879999999999999</v>
      </c>
      <c r="AA643" cm="1">
        <f t="array" ref="AA643">MMULT($G643:$R643,'Nelson Factor_2019'!$B$1:$B$12)/$G643</f>
        <v>3.7440000000000002</v>
      </c>
    </row>
    <row r="644" spans="1:27" x14ac:dyDescent="0.25">
      <c r="A644">
        <v>2009</v>
      </c>
      <c r="B644">
        <v>4</v>
      </c>
      <c r="C644">
        <v>1</v>
      </c>
      <c r="D644" t="s">
        <v>199</v>
      </c>
      <c r="E644" t="s">
        <v>148</v>
      </c>
      <c r="F644" t="s">
        <v>201</v>
      </c>
      <c r="G644">
        <v>60000</v>
      </c>
      <c r="H644">
        <v>0</v>
      </c>
      <c r="I644">
        <v>0</v>
      </c>
      <c r="J644">
        <v>0</v>
      </c>
      <c r="K644">
        <v>23000</v>
      </c>
      <c r="L644">
        <v>12000</v>
      </c>
      <c r="M644">
        <v>0</v>
      </c>
      <c r="N644">
        <v>23000</v>
      </c>
      <c r="O644">
        <v>6000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15</v>
      </c>
      <c r="Y644">
        <v>0</v>
      </c>
      <c r="Z644" cm="1">
        <f t="array" ref="Z644">MMULT($G644:$Y644,'Nelson Factor_2019'!$B$1:$B$19)/$G644</f>
        <v>6.3183333333333334</v>
      </c>
      <c r="AA644" cm="1">
        <f t="array" ref="AA644">MMULT($G644:$R644,'Nelson Factor_2019'!$B$1:$B$12)/$G644</f>
        <v>6.2583333333333337</v>
      </c>
    </row>
    <row r="645" spans="1:27" x14ac:dyDescent="0.25">
      <c r="A645">
        <v>2009</v>
      </c>
      <c r="B645">
        <v>1</v>
      </c>
      <c r="C645">
        <v>4</v>
      </c>
      <c r="D645" t="s">
        <v>205</v>
      </c>
      <c r="E645" t="s">
        <v>206</v>
      </c>
      <c r="F645" t="s">
        <v>207</v>
      </c>
      <c r="G645">
        <v>58900</v>
      </c>
      <c r="H645">
        <v>33000</v>
      </c>
      <c r="I645">
        <v>17100</v>
      </c>
      <c r="J645">
        <v>0</v>
      </c>
      <c r="K645">
        <v>26700</v>
      </c>
      <c r="L645">
        <v>10800</v>
      </c>
      <c r="M645">
        <v>0</v>
      </c>
      <c r="N645">
        <v>29300</v>
      </c>
      <c r="O645">
        <v>0</v>
      </c>
      <c r="P645">
        <v>4000</v>
      </c>
      <c r="Q645">
        <v>0</v>
      </c>
      <c r="R645">
        <v>0</v>
      </c>
      <c r="S645">
        <v>0</v>
      </c>
      <c r="T645">
        <v>660</v>
      </c>
      <c r="U645">
        <v>0</v>
      </c>
      <c r="V645">
        <v>0</v>
      </c>
      <c r="W645">
        <v>905</v>
      </c>
      <c r="X645">
        <v>36</v>
      </c>
      <c r="Y645">
        <v>0</v>
      </c>
      <c r="Z645" cm="1">
        <f t="array" ref="Z645">MMULT($G645:$Y645,'Nelson Factor_2019'!$B$1:$B$19)/$G645</f>
        <v>9.723938879456707</v>
      </c>
      <c r="AA645" cm="1">
        <f t="array" ref="AA645">MMULT($G645:$R645,'Nelson Factor_2019'!$B$1:$B$12)/$G645</f>
        <v>9.4651952461799667</v>
      </c>
    </row>
    <row r="646" spans="1:27" x14ac:dyDescent="0.25">
      <c r="A646">
        <v>2009</v>
      </c>
      <c r="B646">
        <v>5</v>
      </c>
      <c r="C646">
        <v>5</v>
      </c>
      <c r="D646" t="s">
        <v>208</v>
      </c>
      <c r="E646" t="s">
        <v>32</v>
      </c>
      <c r="F646" t="s">
        <v>209</v>
      </c>
      <c r="G646">
        <v>222300</v>
      </c>
      <c r="H646">
        <v>100700</v>
      </c>
      <c r="I646">
        <v>55800</v>
      </c>
      <c r="J646">
        <v>0</v>
      </c>
      <c r="K646">
        <v>0</v>
      </c>
      <c r="L646">
        <v>58500</v>
      </c>
      <c r="M646">
        <v>54900</v>
      </c>
      <c r="N646">
        <v>127800</v>
      </c>
      <c r="O646">
        <v>0</v>
      </c>
      <c r="P646">
        <v>0</v>
      </c>
      <c r="Q646">
        <v>0</v>
      </c>
      <c r="R646">
        <v>21600</v>
      </c>
      <c r="S646">
        <v>0</v>
      </c>
      <c r="T646">
        <v>0</v>
      </c>
      <c r="U646">
        <v>90</v>
      </c>
      <c r="V646">
        <v>42</v>
      </c>
      <c r="W646">
        <v>3250</v>
      </c>
      <c r="X646">
        <v>246</v>
      </c>
      <c r="Y646">
        <v>0</v>
      </c>
      <c r="Z646" cm="1">
        <f t="array" ref="Z646">MMULT($G646:$Y646,'Nelson Factor_2019'!$B$1:$B$19)/$G646</f>
        <v>8.7579037336932082</v>
      </c>
      <c r="AA646" cm="1">
        <f t="array" ref="AA646">MMULT($G646:$R646,'Nelson Factor_2019'!$B$1:$B$12)/$G646</f>
        <v>8.4917228969860545</v>
      </c>
    </row>
    <row r="647" spans="1:27" x14ac:dyDescent="0.25">
      <c r="A647">
        <v>2009</v>
      </c>
      <c r="B647">
        <v>5</v>
      </c>
      <c r="C647">
        <v>1</v>
      </c>
      <c r="D647" t="s">
        <v>208</v>
      </c>
      <c r="E647" t="s">
        <v>51</v>
      </c>
      <c r="F647" t="s">
        <v>209</v>
      </c>
      <c r="G647">
        <v>100000</v>
      </c>
      <c r="H647">
        <v>46400</v>
      </c>
      <c r="I647">
        <v>0</v>
      </c>
      <c r="J647">
        <v>0</v>
      </c>
      <c r="K647">
        <v>32500</v>
      </c>
      <c r="L647">
        <v>15700</v>
      </c>
      <c r="M647">
        <v>0</v>
      </c>
      <c r="N647">
        <v>72000</v>
      </c>
      <c r="O647">
        <v>8600</v>
      </c>
      <c r="P647">
        <v>0</v>
      </c>
      <c r="Q647">
        <v>0</v>
      </c>
      <c r="R647">
        <v>4000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105</v>
      </c>
      <c r="Y647">
        <v>0</v>
      </c>
      <c r="Z647" cm="1">
        <f t="array" ref="Z647">MMULT($G647:$Y647,'Nelson Factor_2019'!$B$1:$B$19)/$G647</f>
        <v>7.3701999999999996</v>
      </c>
      <c r="AA647" cm="1">
        <f t="array" ref="AA647">MMULT($G647:$R647,'Nelson Factor_2019'!$B$1:$B$12)/$G647</f>
        <v>7.1181999999999999</v>
      </c>
    </row>
    <row r="648" spans="1:27" x14ac:dyDescent="0.25">
      <c r="A648">
        <v>2009</v>
      </c>
      <c r="B648">
        <v>5</v>
      </c>
      <c r="C648">
        <v>4</v>
      </c>
      <c r="D648" t="s">
        <v>208</v>
      </c>
      <c r="E648" t="s">
        <v>61</v>
      </c>
      <c r="F648" t="s">
        <v>210</v>
      </c>
      <c r="G648">
        <v>148600</v>
      </c>
      <c r="H648">
        <v>65500</v>
      </c>
      <c r="I648">
        <v>25700</v>
      </c>
      <c r="J648">
        <v>0</v>
      </c>
      <c r="K648">
        <v>57900</v>
      </c>
      <c r="L648">
        <v>33000</v>
      </c>
      <c r="M648">
        <v>0</v>
      </c>
      <c r="N648">
        <v>130600</v>
      </c>
      <c r="O648">
        <v>12050</v>
      </c>
      <c r="P648">
        <v>4300</v>
      </c>
      <c r="Q648">
        <v>0</v>
      </c>
      <c r="R648">
        <v>7000</v>
      </c>
      <c r="S648">
        <v>0</v>
      </c>
      <c r="T648">
        <v>0</v>
      </c>
      <c r="U648">
        <v>7</v>
      </c>
      <c r="V648">
        <v>0</v>
      </c>
      <c r="W648">
        <v>1400</v>
      </c>
      <c r="X648">
        <v>350</v>
      </c>
      <c r="Y648">
        <v>0</v>
      </c>
      <c r="Z648" cm="1">
        <f t="array" ref="Z648">MMULT($G648:$Y648,'Nelson Factor_2019'!$B$1:$B$19)/$G648</f>
        <v>10.322388963660835</v>
      </c>
      <c r="AA648" cm="1">
        <f t="array" ref="AA648">MMULT($G648:$R648,'Nelson Factor_2019'!$B$1:$B$12)/$G648</f>
        <v>9.7570659488559901</v>
      </c>
    </row>
    <row r="649" spans="1:27" x14ac:dyDescent="0.25">
      <c r="A649">
        <v>2009</v>
      </c>
      <c r="B649">
        <v>5</v>
      </c>
      <c r="C649">
        <v>1</v>
      </c>
      <c r="D649" t="s">
        <v>208</v>
      </c>
      <c r="E649" t="s">
        <v>148</v>
      </c>
      <c r="F649" t="s">
        <v>210</v>
      </c>
      <c r="G649">
        <v>113300</v>
      </c>
      <c r="H649">
        <v>47200</v>
      </c>
      <c r="I649">
        <v>0</v>
      </c>
      <c r="J649">
        <v>0</v>
      </c>
      <c r="K649">
        <v>44800</v>
      </c>
      <c r="L649">
        <v>26500</v>
      </c>
      <c r="M649">
        <v>0</v>
      </c>
      <c r="N649">
        <v>61600</v>
      </c>
      <c r="O649">
        <v>11000</v>
      </c>
      <c r="P649">
        <v>0</v>
      </c>
      <c r="Q649">
        <v>0</v>
      </c>
      <c r="R649">
        <v>3400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48</v>
      </c>
      <c r="Y649">
        <v>1000</v>
      </c>
      <c r="Z649" cm="1">
        <f t="array" ref="Z649">MMULT($G649:$Y649,'Nelson Factor_2019'!$B$1:$B$19)/$G649</f>
        <v>7.6185348631950571</v>
      </c>
      <c r="AA649" cm="1">
        <f t="array" ref="AA649">MMULT($G649:$R649,'Nelson Factor_2019'!$B$1:$B$12)/$G649</f>
        <v>7.5036187113857018</v>
      </c>
    </row>
    <row r="650" spans="1:27" x14ac:dyDescent="0.25">
      <c r="A650">
        <v>2009</v>
      </c>
      <c r="B650">
        <v>5</v>
      </c>
      <c r="C650">
        <v>0</v>
      </c>
      <c r="D650" t="s">
        <v>208</v>
      </c>
      <c r="E650" t="s">
        <v>211</v>
      </c>
      <c r="F650" t="s">
        <v>212</v>
      </c>
      <c r="G650">
        <v>39000</v>
      </c>
      <c r="H650">
        <v>17700</v>
      </c>
      <c r="I650">
        <v>0</v>
      </c>
      <c r="J650">
        <v>0</v>
      </c>
      <c r="K650">
        <v>0</v>
      </c>
      <c r="L650">
        <v>5650</v>
      </c>
      <c r="M650">
        <v>0</v>
      </c>
      <c r="N650">
        <v>14800</v>
      </c>
      <c r="O650">
        <v>0</v>
      </c>
      <c r="P650">
        <v>0</v>
      </c>
      <c r="Q650">
        <v>0</v>
      </c>
      <c r="R650">
        <v>3000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10000</v>
      </c>
      <c r="Z650" cm="1">
        <f t="array" ref="Z650">MMULT($G650:$Y650,'Nelson Factor_2019'!$B$1:$B$19)/$G650</f>
        <v>3.8784615384615386</v>
      </c>
      <c r="AA650" cm="1">
        <f t="array" ref="AA650">MMULT($G650:$R650,'Nelson Factor_2019'!$B$1:$B$12)/$G650</f>
        <v>3.493846153846154</v>
      </c>
    </row>
    <row r="651" spans="1:27" x14ac:dyDescent="0.25">
      <c r="A651">
        <v>2009</v>
      </c>
      <c r="B651">
        <v>1</v>
      </c>
      <c r="C651">
        <v>0</v>
      </c>
      <c r="D651" t="s">
        <v>213</v>
      </c>
      <c r="E651" t="s">
        <v>214</v>
      </c>
      <c r="F651" t="s">
        <v>215</v>
      </c>
      <c r="G651">
        <v>19400</v>
      </c>
      <c r="H651">
        <v>8400</v>
      </c>
      <c r="I651">
        <v>0</v>
      </c>
      <c r="J651">
        <v>0</v>
      </c>
      <c r="K651">
        <v>0</v>
      </c>
      <c r="L651">
        <v>3600</v>
      </c>
      <c r="M651">
        <v>0</v>
      </c>
      <c r="N651">
        <v>18600</v>
      </c>
      <c r="O651">
        <v>0</v>
      </c>
      <c r="P651">
        <v>0</v>
      </c>
      <c r="Q651">
        <v>0</v>
      </c>
      <c r="R651">
        <v>0</v>
      </c>
      <c r="S651">
        <v>4800</v>
      </c>
      <c r="T651">
        <v>0</v>
      </c>
      <c r="U651">
        <v>4.0999999999999996</v>
      </c>
      <c r="V651">
        <v>0</v>
      </c>
      <c r="W651">
        <v>0</v>
      </c>
      <c r="X651">
        <v>1</v>
      </c>
      <c r="Y651">
        <v>0</v>
      </c>
      <c r="Z651" cm="1">
        <f t="array" ref="Z651">MMULT($G651:$Y651,'Nelson Factor_2019'!$B$1:$B$19)/$G651</f>
        <v>19.745572164948452</v>
      </c>
      <c r="AA651" cm="1">
        <f t="array" ref="AA651">MMULT($G651:$R651,'Nelson Factor_2019'!$B$1:$B$12)/$G651</f>
        <v>4.8876288659793818</v>
      </c>
    </row>
    <row r="652" spans="1:27" x14ac:dyDescent="0.25">
      <c r="A652">
        <v>2009</v>
      </c>
      <c r="B652">
        <v>2</v>
      </c>
      <c r="C652">
        <v>1</v>
      </c>
      <c r="D652" t="s">
        <v>216</v>
      </c>
      <c r="E652" t="s">
        <v>115</v>
      </c>
      <c r="F652" t="s">
        <v>217</v>
      </c>
      <c r="G652">
        <v>33250</v>
      </c>
      <c r="H652">
        <v>19500</v>
      </c>
      <c r="I652">
        <v>0</v>
      </c>
      <c r="J652">
        <v>0</v>
      </c>
      <c r="K652">
        <v>9900</v>
      </c>
      <c r="L652">
        <v>7200</v>
      </c>
      <c r="M652">
        <v>0</v>
      </c>
      <c r="N652">
        <v>20620</v>
      </c>
      <c r="O652">
        <v>1350</v>
      </c>
      <c r="P652">
        <v>0</v>
      </c>
      <c r="Q652">
        <v>0</v>
      </c>
      <c r="R652">
        <v>1800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15</v>
      </c>
      <c r="Y652">
        <v>6750</v>
      </c>
      <c r="Z652" cm="1">
        <f t="array" ref="Z652">MMULT($G652:$Y652,'Nelson Factor_2019'!$B$1:$B$19)/$G652</f>
        <v>7.1631578947368419</v>
      </c>
      <c r="AA652" cm="1">
        <f t="array" ref="AA652">MMULT($G652:$R652,'Nelson Factor_2019'!$B$1:$B$12)/$G652</f>
        <v>6.7503759398496239</v>
      </c>
    </row>
    <row r="653" spans="1:27" x14ac:dyDescent="0.25">
      <c r="A653">
        <v>2009</v>
      </c>
      <c r="B653">
        <v>4</v>
      </c>
      <c r="C653">
        <v>4</v>
      </c>
      <c r="D653" t="s">
        <v>218</v>
      </c>
      <c r="E653" t="s">
        <v>219</v>
      </c>
      <c r="F653" t="s">
        <v>220</v>
      </c>
      <c r="G653">
        <v>46000</v>
      </c>
      <c r="H653">
        <v>26000</v>
      </c>
      <c r="I653">
        <v>10000</v>
      </c>
      <c r="J653">
        <v>0</v>
      </c>
      <c r="K653">
        <v>12000</v>
      </c>
      <c r="L653">
        <v>7600</v>
      </c>
      <c r="M653">
        <v>0</v>
      </c>
      <c r="N653">
        <v>25400</v>
      </c>
      <c r="O653">
        <v>4200</v>
      </c>
      <c r="P653">
        <v>0</v>
      </c>
      <c r="Q653">
        <v>0</v>
      </c>
      <c r="R653">
        <v>1600</v>
      </c>
      <c r="S653">
        <v>0</v>
      </c>
      <c r="T653">
        <v>0</v>
      </c>
      <c r="U653">
        <v>5.5</v>
      </c>
      <c r="V653">
        <v>5.5</v>
      </c>
      <c r="W653">
        <v>560</v>
      </c>
      <c r="X653">
        <v>85</v>
      </c>
      <c r="Y653">
        <v>0</v>
      </c>
      <c r="Z653" cm="1">
        <f t="array" ref="Z653">MMULT($G653:$Y653,'Nelson Factor_2019'!$B$1:$B$19)/$G653</f>
        <v>8.598065217391305</v>
      </c>
      <c r="AA653" cm="1">
        <f t="array" ref="AA653">MMULT($G653:$R653,'Nelson Factor_2019'!$B$1:$B$12)/$G653</f>
        <v>8.1543478260869566</v>
      </c>
    </row>
    <row r="654" spans="1:27" x14ac:dyDescent="0.25">
      <c r="A654">
        <v>2009</v>
      </c>
      <c r="B654">
        <v>4</v>
      </c>
      <c r="C654">
        <v>1</v>
      </c>
      <c r="D654" t="s">
        <v>218</v>
      </c>
      <c r="E654" t="s">
        <v>221</v>
      </c>
      <c r="F654" t="s">
        <v>222</v>
      </c>
      <c r="G654">
        <v>22500</v>
      </c>
      <c r="H654">
        <v>6000</v>
      </c>
      <c r="I654">
        <v>0</v>
      </c>
      <c r="J654">
        <v>0</v>
      </c>
      <c r="K654">
        <v>10000</v>
      </c>
      <c r="L654">
        <v>5500</v>
      </c>
      <c r="M654">
        <v>0</v>
      </c>
      <c r="N654">
        <v>16000</v>
      </c>
      <c r="O654">
        <v>0</v>
      </c>
      <c r="P654">
        <v>1000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19.7</v>
      </c>
      <c r="Y654">
        <v>0</v>
      </c>
      <c r="Z654" cm="1">
        <f t="array" ref="Z654">MMULT($G654:$Y654,'Nelson Factor_2019'!$B$1:$B$19)/$G654</f>
        <v>7.6679111111111107</v>
      </c>
      <c r="AA654" cm="1">
        <f t="array" ref="AA654">MMULT($G654:$R654,'Nelson Factor_2019'!$B$1:$B$12)/$G654</f>
        <v>7.4577777777777774</v>
      </c>
    </row>
    <row r="655" spans="1:27" x14ac:dyDescent="0.25">
      <c r="A655">
        <v>2009</v>
      </c>
      <c r="B655">
        <v>4</v>
      </c>
      <c r="C655">
        <v>1</v>
      </c>
      <c r="D655" t="s">
        <v>218</v>
      </c>
      <c r="E655" t="s">
        <v>159</v>
      </c>
      <c r="F655" t="s">
        <v>223</v>
      </c>
      <c r="G655">
        <v>66000</v>
      </c>
      <c r="H655">
        <v>6500</v>
      </c>
      <c r="I655">
        <v>0</v>
      </c>
      <c r="J655">
        <v>0</v>
      </c>
      <c r="K655">
        <v>10000</v>
      </c>
      <c r="L655">
        <v>5700</v>
      </c>
      <c r="M655">
        <v>0</v>
      </c>
      <c r="N655">
        <v>15500</v>
      </c>
      <c r="O655">
        <v>0</v>
      </c>
      <c r="P655">
        <v>300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19.7</v>
      </c>
      <c r="Y655">
        <v>1750</v>
      </c>
      <c r="Z655" cm="1">
        <f t="array" ref="Z655">MMULT($G655:$Y655,'Nelson Factor_2019'!$B$1:$B$19)/$G655</f>
        <v>3.2129242424242426</v>
      </c>
      <c r="AA655" cm="1">
        <f t="array" ref="AA655">MMULT($G655:$R655,'Nelson Factor_2019'!$B$1:$B$12)/$G655</f>
        <v>3.1015151515151516</v>
      </c>
    </row>
    <row r="656" spans="1:27" x14ac:dyDescent="0.25">
      <c r="A656">
        <v>2009</v>
      </c>
      <c r="B656">
        <v>4</v>
      </c>
      <c r="C656">
        <v>1</v>
      </c>
      <c r="D656" t="s">
        <v>218</v>
      </c>
      <c r="E656" t="s">
        <v>224</v>
      </c>
      <c r="F656" t="s">
        <v>225</v>
      </c>
      <c r="G656">
        <v>12500</v>
      </c>
      <c r="H656">
        <v>1500</v>
      </c>
      <c r="I656">
        <v>0</v>
      </c>
      <c r="J656">
        <v>0</v>
      </c>
      <c r="K656">
        <v>5500</v>
      </c>
      <c r="L656">
        <v>2750</v>
      </c>
      <c r="M656">
        <v>0</v>
      </c>
      <c r="N656">
        <v>7500</v>
      </c>
      <c r="O656">
        <v>1300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4</v>
      </c>
      <c r="Y656">
        <v>0</v>
      </c>
      <c r="Z656" cm="1">
        <f t="array" ref="Z656">MMULT($G656:$Y656,'Nelson Factor_2019'!$B$1:$B$19)/$G656</f>
        <v>7.5128000000000004</v>
      </c>
      <c r="AA656" cm="1">
        <f t="array" ref="AA656">MMULT($G656:$R656,'Nelson Factor_2019'!$B$1:$B$12)/$G656</f>
        <v>7.4359999999999999</v>
      </c>
    </row>
    <row r="657" spans="1:27" x14ac:dyDescent="0.25">
      <c r="A657">
        <v>2010</v>
      </c>
      <c r="B657">
        <v>3</v>
      </c>
      <c r="C657">
        <v>0</v>
      </c>
      <c r="D657" t="s">
        <v>24</v>
      </c>
      <c r="E657" t="s">
        <v>238</v>
      </c>
      <c r="F657" t="s">
        <v>30</v>
      </c>
      <c r="G657">
        <v>20000</v>
      </c>
      <c r="H657">
        <v>15000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 cm="1">
        <f t="array" ref="Z657">MMULT($G657:$Y657,'Nelson Factor_2019'!$B$1:$B$19)/$G657</f>
        <v>1.9750000000000001</v>
      </c>
      <c r="AA657" cm="1">
        <f t="array" ref="AA657">MMULT($G657:$R657,'Nelson Factor_2019'!$B$1:$B$12)/$G657</f>
        <v>1.9750000000000001</v>
      </c>
    </row>
    <row r="658" spans="1:27" x14ac:dyDescent="0.25">
      <c r="A658">
        <v>2010</v>
      </c>
      <c r="B658">
        <v>3</v>
      </c>
      <c r="C658">
        <v>4</v>
      </c>
      <c r="D658" t="s">
        <v>24</v>
      </c>
      <c r="E658" t="s">
        <v>25</v>
      </c>
      <c r="F658" t="s">
        <v>26</v>
      </c>
      <c r="G658">
        <v>35000</v>
      </c>
      <c r="H658">
        <v>15000</v>
      </c>
      <c r="I658">
        <v>14000</v>
      </c>
      <c r="J658">
        <v>0</v>
      </c>
      <c r="K658">
        <v>0</v>
      </c>
      <c r="L658">
        <v>7200</v>
      </c>
      <c r="M658">
        <v>0</v>
      </c>
      <c r="N658">
        <v>42000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8</v>
      </c>
      <c r="V658">
        <v>8</v>
      </c>
      <c r="W658">
        <v>500</v>
      </c>
      <c r="X658">
        <v>120</v>
      </c>
      <c r="Y658">
        <v>14000</v>
      </c>
      <c r="Z658" cm="1">
        <f t="array" ref="Z658">MMULT($G658:$Y658,'Nelson Factor_2019'!$B$1:$B$19)/$G658</f>
        <v>10.009028571428571</v>
      </c>
      <c r="AA658" cm="1">
        <f t="array" ref="AA658">MMULT($G658:$R658,'Nelson Factor_2019'!$B$1:$B$12)/$G658</f>
        <v>8.5857142857142854</v>
      </c>
    </row>
    <row r="659" spans="1:27" x14ac:dyDescent="0.25">
      <c r="A659">
        <v>2010</v>
      </c>
      <c r="B659">
        <v>3</v>
      </c>
      <c r="C659">
        <v>2</v>
      </c>
      <c r="D659" t="s">
        <v>24</v>
      </c>
      <c r="E659" t="s">
        <v>27</v>
      </c>
      <c r="F659" t="s">
        <v>28</v>
      </c>
      <c r="G659">
        <v>85000</v>
      </c>
      <c r="H659">
        <v>28000</v>
      </c>
      <c r="I659">
        <v>0</v>
      </c>
      <c r="J659">
        <v>0</v>
      </c>
      <c r="K659">
        <v>0</v>
      </c>
      <c r="L659">
        <v>22500</v>
      </c>
      <c r="M659">
        <v>30000</v>
      </c>
      <c r="N659">
        <v>43000</v>
      </c>
      <c r="O659">
        <v>0</v>
      </c>
      <c r="P659">
        <v>0</v>
      </c>
      <c r="Q659">
        <v>0</v>
      </c>
      <c r="R659">
        <v>7500</v>
      </c>
      <c r="S659">
        <v>0</v>
      </c>
      <c r="T659">
        <v>0</v>
      </c>
      <c r="U659">
        <v>0</v>
      </c>
      <c r="V659">
        <v>6</v>
      </c>
      <c r="W659">
        <v>0</v>
      </c>
      <c r="X659">
        <v>20</v>
      </c>
      <c r="Y659">
        <v>0</v>
      </c>
      <c r="Z659" cm="1">
        <f t="array" ref="Z659">MMULT($G659:$Y659,'Nelson Factor_2019'!$B$1:$B$19)/$G659</f>
        <v>7.1612470588235295</v>
      </c>
      <c r="AA659" cm="1">
        <f t="array" ref="AA659">MMULT($G659:$R659,'Nelson Factor_2019'!$B$1:$B$12)/$G659</f>
        <v>7.104705882352941</v>
      </c>
    </row>
    <row r="660" spans="1:27" x14ac:dyDescent="0.25">
      <c r="A660">
        <v>2010</v>
      </c>
      <c r="B660">
        <v>5</v>
      </c>
      <c r="C660">
        <v>4</v>
      </c>
      <c r="D660" t="s">
        <v>31</v>
      </c>
      <c r="E660" t="s">
        <v>32</v>
      </c>
      <c r="F660" t="s">
        <v>34</v>
      </c>
      <c r="G660">
        <v>15000</v>
      </c>
      <c r="H660">
        <v>0</v>
      </c>
      <c r="I660">
        <v>15000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 cm="1">
        <f t="array" ref="Z660">MMULT($G660:$Y660,'Nelson Factor_2019'!$B$1:$B$19)/$G660</f>
        <v>8.5</v>
      </c>
      <c r="AA660" cm="1">
        <f t="array" ref="AA660">MMULT($G660:$R660,'Nelson Factor_2019'!$B$1:$B$12)/$G660</f>
        <v>8.5</v>
      </c>
    </row>
    <row r="661" spans="1:27" x14ac:dyDescent="0.25">
      <c r="A661">
        <v>2010</v>
      </c>
      <c r="B661">
        <v>5</v>
      </c>
      <c r="C661">
        <v>4</v>
      </c>
      <c r="D661" t="s">
        <v>31</v>
      </c>
      <c r="E661" t="s">
        <v>51</v>
      </c>
      <c r="F661" t="s">
        <v>33</v>
      </c>
      <c r="G661">
        <v>14500</v>
      </c>
      <c r="H661">
        <v>0</v>
      </c>
      <c r="I661">
        <v>14500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 cm="1">
        <f t="array" ref="Z661">MMULT($G661:$Y661,'Nelson Factor_2019'!$B$1:$B$19)/$G661</f>
        <v>8.5</v>
      </c>
      <c r="AA661" cm="1">
        <f t="array" ref="AA661">MMULT($G661:$R661,'Nelson Factor_2019'!$B$1:$B$12)/$G661</f>
        <v>8.5</v>
      </c>
    </row>
    <row r="662" spans="1:27" x14ac:dyDescent="0.25">
      <c r="A662">
        <v>2010</v>
      </c>
      <c r="B662">
        <v>5</v>
      </c>
      <c r="C662">
        <v>0</v>
      </c>
      <c r="D662" t="s">
        <v>31</v>
      </c>
      <c r="E662" t="s">
        <v>35</v>
      </c>
      <c r="F662" t="s">
        <v>36</v>
      </c>
      <c r="G662">
        <v>215175</v>
      </c>
      <c r="H662">
        <v>5225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1350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1800</v>
      </c>
      <c r="Z662" cm="1">
        <f t="array" ref="Z662">MMULT($G662:$Y662,'Nelson Factor_2019'!$B$1:$B$19)/$G662</f>
        <v>1.1695945160915533</v>
      </c>
      <c r="AA662" cm="1">
        <f t="array" ref="AA662">MMULT($G662:$R662,'Nelson Factor_2019'!$B$1:$B$12)/$G662</f>
        <v>1.1570465899848961</v>
      </c>
    </row>
    <row r="663" spans="1:27" x14ac:dyDescent="0.25">
      <c r="A663">
        <v>2010</v>
      </c>
      <c r="B663">
        <v>5</v>
      </c>
      <c r="C663">
        <v>0</v>
      </c>
      <c r="D663" t="s">
        <v>31</v>
      </c>
      <c r="E663" t="s">
        <v>37</v>
      </c>
      <c r="F663" t="s">
        <v>36</v>
      </c>
      <c r="G663">
        <v>17500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 cm="1">
        <f t="array" ref="Z663">MMULT($G663:$Y663,'Nelson Factor_2019'!$B$1:$B$19)/$G663</f>
        <v>1</v>
      </c>
      <c r="AA663" cm="1">
        <f t="array" ref="AA663">MMULT($G663:$R663,'Nelson Factor_2019'!$B$1:$B$12)/$G663</f>
        <v>1</v>
      </c>
    </row>
    <row r="664" spans="1:27" x14ac:dyDescent="0.25">
      <c r="A664">
        <v>2010</v>
      </c>
      <c r="B664">
        <v>5</v>
      </c>
      <c r="C664">
        <v>0</v>
      </c>
      <c r="D664" t="s">
        <v>31</v>
      </c>
      <c r="E664" t="s">
        <v>37</v>
      </c>
      <c r="F664" t="s">
        <v>38</v>
      </c>
      <c r="G664">
        <v>48000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 cm="1">
        <f t="array" ref="Z664">MMULT($G664:$Y664,'Nelson Factor_2019'!$B$1:$B$19)/$G664</f>
        <v>1</v>
      </c>
      <c r="AA664" cm="1">
        <f t="array" ref="AA664">MMULT($G664:$R664,'Nelson Factor_2019'!$B$1:$B$12)/$G664</f>
        <v>1</v>
      </c>
    </row>
    <row r="665" spans="1:27" x14ac:dyDescent="0.25">
      <c r="A665">
        <v>2010</v>
      </c>
      <c r="B665">
        <v>5</v>
      </c>
      <c r="C665">
        <v>2</v>
      </c>
      <c r="D665" t="s">
        <v>31</v>
      </c>
      <c r="E665" t="s">
        <v>39</v>
      </c>
      <c r="F665" t="s">
        <v>40</v>
      </c>
      <c r="G665">
        <v>72000</v>
      </c>
      <c r="H665">
        <v>19000</v>
      </c>
      <c r="I665">
        <v>0</v>
      </c>
      <c r="J665">
        <v>0</v>
      </c>
      <c r="K665">
        <v>0</v>
      </c>
      <c r="L665">
        <v>12000</v>
      </c>
      <c r="M665">
        <v>12500</v>
      </c>
      <c r="N665">
        <v>12500</v>
      </c>
      <c r="O665">
        <v>0</v>
      </c>
      <c r="P665">
        <v>0</v>
      </c>
      <c r="Q665">
        <v>0</v>
      </c>
      <c r="R665">
        <v>4000</v>
      </c>
      <c r="S665">
        <v>0</v>
      </c>
      <c r="T665">
        <v>0</v>
      </c>
      <c r="U665">
        <v>13</v>
      </c>
      <c r="V665">
        <v>0</v>
      </c>
      <c r="W665">
        <v>0</v>
      </c>
      <c r="X665">
        <v>19</v>
      </c>
      <c r="Y665">
        <v>1000</v>
      </c>
      <c r="Z665" cm="1">
        <f t="array" ref="Z665">MMULT($G665:$Y665,'Nelson Factor_2019'!$B$1:$B$19)/$G665</f>
        <v>4.2503194444444441</v>
      </c>
      <c r="AA665" cm="1">
        <f t="array" ref="AA665">MMULT($G665:$R665,'Nelson Factor_2019'!$B$1:$B$12)/$G665</f>
        <v>4.165972222222222</v>
      </c>
    </row>
    <row r="666" spans="1:27" x14ac:dyDescent="0.25">
      <c r="A666">
        <v>2010</v>
      </c>
      <c r="B666">
        <v>3</v>
      </c>
      <c r="C666">
        <v>0</v>
      </c>
      <c r="D666" t="s">
        <v>41</v>
      </c>
      <c r="E666" t="s">
        <v>42</v>
      </c>
      <c r="F666" t="s">
        <v>43</v>
      </c>
      <c r="G666">
        <v>7000</v>
      </c>
      <c r="H666">
        <v>3000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4500</v>
      </c>
      <c r="O666">
        <v>0</v>
      </c>
      <c r="P666">
        <v>0</v>
      </c>
      <c r="Q666">
        <v>0</v>
      </c>
      <c r="R666">
        <v>0</v>
      </c>
      <c r="S666">
        <v>4500</v>
      </c>
      <c r="T666">
        <v>0</v>
      </c>
      <c r="U666">
        <v>2.5</v>
      </c>
      <c r="V666">
        <v>0</v>
      </c>
      <c r="W666">
        <v>0</v>
      </c>
      <c r="X666">
        <v>0</v>
      </c>
      <c r="Y666">
        <v>1500</v>
      </c>
      <c r="Z666" cm="1">
        <f t="array" ref="Z666">MMULT($G666:$Y666,'Nelson Factor_2019'!$B$1:$B$19)/$G666</f>
        <v>42.057499999999997</v>
      </c>
      <c r="AA666" cm="1">
        <f t="array" ref="AA666">MMULT($G666:$R666,'Nelson Factor_2019'!$B$1:$B$12)/$G666</f>
        <v>3.1642857142857141</v>
      </c>
    </row>
    <row r="667" spans="1:27" x14ac:dyDescent="0.25">
      <c r="A667">
        <v>2010</v>
      </c>
      <c r="B667">
        <v>3</v>
      </c>
      <c r="C667">
        <v>1</v>
      </c>
      <c r="D667" t="s">
        <v>41</v>
      </c>
      <c r="E667" t="s">
        <v>44</v>
      </c>
      <c r="F667" t="s">
        <v>45</v>
      </c>
      <c r="G667">
        <v>70000</v>
      </c>
      <c r="H667">
        <v>27075</v>
      </c>
      <c r="I667">
        <v>0</v>
      </c>
      <c r="J667">
        <v>0</v>
      </c>
      <c r="K667">
        <v>17550</v>
      </c>
      <c r="L667">
        <v>13320</v>
      </c>
      <c r="M667">
        <v>0</v>
      </c>
      <c r="N667">
        <v>74070</v>
      </c>
      <c r="O667">
        <v>4500</v>
      </c>
      <c r="P667">
        <v>0</v>
      </c>
      <c r="Q667">
        <v>0</v>
      </c>
      <c r="R667">
        <v>5940</v>
      </c>
      <c r="S667">
        <v>0</v>
      </c>
      <c r="T667">
        <v>0</v>
      </c>
      <c r="U667">
        <v>10</v>
      </c>
      <c r="V667">
        <v>15</v>
      </c>
      <c r="W667">
        <v>0</v>
      </c>
      <c r="X667">
        <v>157</v>
      </c>
      <c r="Y667">
        <v>10800</v>
      </c>
      <c r="Z667" cm="1">
        <f t="array" ref="Z667">MMULT($G667:$Y667,'Nelson Factor_2019'!$B$1:$B$19)/$G667</f>
        <v>8.2713928571428568</v>
      </c>
      <c r="AA667" cm="1">
        <f t="array" ref="AA667">MMULT($G667:$R667,'Nelson Factor_2019'!$B$1:$B$12)/$G667</f>
        <v>7.5013214285714289</v>
      </c>
    </row>
    <row r="668" spans="1:27" x14ac:dyDescent="0.25">
      <c r="A668">
        <v>2010</v>
      </c>
      <c r="B668">
        <v>5</v>
      </c>
      <c r="C668">
        <v>0</v>
      </c>
      <c r="D668" t="s">
        <v>46</v>
      </c>
      <c r="E668" t="s">
        <v>176</v>
      </c>
      <c r="F668" t="s">
        <v>230</v>
      </c>
      <c r="G668">
        <v>88000</v>
      </c>
      <c r="H668">
        <v>59800</v>
      </c>
      <c r="I668">
        <v>0</v>
      </c>
      <c r="J668">
        <v>0</v>
      </c>
      <c r="K668">
        <v>0</v>
      </c>
      <c r="L668">
        <v>11600</v>
      </c>
      <c r="M668">
        <v>0</v>
      </c>
      <c r="N668">
        <v>35250</v>
      </c>
      <c r="O668">
        <v>0</v>
      </c>
      <c r="P668">
        <v>0</v>
      </c>
      <c r="Q668">
        <v>0</v>
      </c>
      <c r="R668">
        <v>3750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40</v>
      </c>
      <c r="Y668">
        <v>35000</v>
      </c>
      <c r="Z668" cm="1">
        <f t="array" ref="Z668">MMULT($G668:$Y668,'Nelson Factor_2019'!$B$1:$B$19)/$G668</f>
        <v>4.3774431818181823</v>
      </c>
      <c r="AA668" cm="1">
        <f t="array" ref="AA668">MMULT($G668:$R668,'Nelson Factor_2019'!$B$1:$B$12)/$G668</f>
        <v>3.6717613636363637</v>
      </c>
    </row>
    <row r="669" spans="1:27" x14ac:dyDescent="0.25">
      <c r="A669">
        <v>2010</v>
      </c>
      <c r="B669">
        <v>5</v>
      </c>
      <c r="C669">
        <v>5</v>
      </c>
      <c r="D669" t="s">
        <v>46</v>
      </c>
      <c r="E669" t="s">
        <v>226</v>
      </c>
      <c r="F669" t="s">
        <v>57</v>
      </c>
      <c r="G669">
        <v>65000</v>
      </c>
      <c r="H669">
        <v>39000</v>
      </c>
      <c r="I669">
        <v>22000</v>
      </c>
      <c r="J669">
        <v>0</v>
      </c>
      <c r="K669">
        <v>0</v>
      </c>
      <c r="L669">
        <v>14700</v>
      </c>
      <c r="M669">
        <v>23500</v>
      </c>
      <c r="N669">
        <v>21900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24.7</v>
      </c>
      <c r="V669">
        <v>5</v>
      </c>
      <c r="W669">
        <v>1200</v>
      </c>
      <c r="X669">
        <v>103</v>
      </c>
      <c r="Y669">
        <v>0</v>
      </c>
      <c r="Z669" cm="1">
        <f t="array" ref="Z669">MMULT($G669:$Y669,'Nelson Factor_2019'!$B$1:$B$19)/$G669</f>
        <v>9.564610769230768</v>
      </c>
      <c r="AA669" cm="1">
        <f t="array" ref="AA669">MMULT($G669:$R669,'Nelson Factor_2019'!$B$1:$B$12)/$G669</f>
        <v>9.1838461538461544</v>
      </c>
    </row>
    <row r="670" spans="1:27" x14ac:dyDescent="0.25">
      <c r="A670">
        <v>2010</v>
      </c>
      <c r="B670">
        <v>5</v>
      </c>
      <c r="C670">
        <v>6</v>
      </c>
      <c r="D670" t="s">
        <v>46</v>
      </c>
      <c r="E670" t="s">
        <v>32</v>
      </c>
      <c r="F670" t="s">
        <v>47</v>
      </c>
      <c r="G670">
        <v>252225</v>
      </c>
      <c r="H670">
        <v>133000</v>
      </c>
      <c r="I670">
        <v>63450</v>
      </c>
      <c r="J670">
        <v>0</v>
      </c>
      <c r="K670">
        <v>92250</v>
      </c>
      <c r="L670">
        <v>46800</v>
      </c>
      <c r="M670">
        <v>45000</v>
      </c>
      <c r="N670">
        <v>217530</v>
      </c>
      <c r="O670">
        <v>15300</v>
      </c>
      <c r="P670">
        <v>0</v>
      </c>
      <c r="Q670">
        <v>0</v>
      </c>
      <c r="R670">
        <v>28193</v>
      </c>
      <c r="S670">
        <v>0</v>
      </c>
      <c r="T670">
        <v>0</v>
      </c>
      <c r="U670">
        <v>105</v>
      </c>
      <c r="V670">
        <v>28</v>
      </c>
      <c r="W670">
        <v>2108</v>
      </c>
      <c r="X670">
        <v>446</v>
      </c>
      <c r="Y670">
        <v>0</v>
      </c>
      <c r="Z670" cm="1">
        <f t="array" ref="Z670">MMULT($G670:$Y670,'Nelson Factor_2019'!$B$1:$B$19)/$G670</f>
        <v>11.644670433145009</v>
      </c>
      <c r="AA670" cm="1">
        <f t="array" ref="AA670">MMULT($G670:$R670,'Nelson Factor_2019'!$B$1:$B$12)/$G670</f>
        <v>11.219760134800277</v>
      </c>
    </row>
    <row r="671" spans="1:27" x14ac:dyDescent="0.25">
      <c r="A671">
        <v>2010</v>
      </c>
      <c r="B671">
        <v>5</v>
      </c>
      <c r="C671">
        <v>6</v>
      </c>
      <c r="D671" t="s">
        <v>46</v>
      </c>
      <c r="E671" t="s">
        <v>227</v>
      </c>
      <c r="F671" t="s">
        <v>49</v>
      </c>
      <c r="G671">
        <v>269000</v>
      </c>
      <c r="H671">
        <v>147000</v>
      </c>
      <c r="I671">
        <v>67500</v>
      </c>
      <c r="J671">
        <v>0</v>
      </c>
      <c r="K671">
        <v>65000</v>
      </c>
      <c r="L671">
        <v>44000</v>
      </c>
      <c r="M671">
        <v>46000</v>
      </c>
      <c r="N671">
        <v>201000</v>
      </c>
      <c r="O671">
        <v>30000</v>
      </c>
      <c r="P671">
        <v>0</v>
      </c>
      <c r="Q671">
        <v>0</v>
      </c>
      <c r="R671">
        <v>27000</v>
      </c>
      <c r="S671">
        <v>0</v>
      </c>
      <c r="T671">
        <v>0</v>
      </c>
      <c r="U671">
        <v>146</v>
      </c>
      <c r="V671">
        <v>0</v>
      </c>
      <c r="W671">
        <v>4064</v>
      </c>
      <c r="X671">
        <v>544</v>
      </c>
      <c r="Y671">
        <v>0</v>
      </c>
      <c r="Z671" cm="1">
        <f t="array" ref="Z671">MMULT($G671:$Y671,'Nelson Factor_2019'!$B$1:$B$19)/$G671</f>
        <v>10.998349442379181</v>
      </c>
      <c r="AA671" cm="1">
        <f t="array" ref="AA671">MMULT($G671:$R671,'Nelson Factor_2019'!$B$1:$B$12)/$G671</f>
        <v>10.512453531598513</v>
      </c>
    </row>
    <row r="672" spans="1:27" x14ac:dyDescent="0.25">
      <c r="A672">
        <v>2010</v>
      </c>
      <c r="B672">
        <v>5</v>
      </c>
      <c r="C672">
        <v>3</v>
      </c>
      <c r="D672" t="s">
        <v>46</v>
      </c>
      <c r="E672" t="s">
        <v>227</v>
      </c>
      <c r="F672" t="s">
        <v>50</v>
      </c>
      <c r="G672">
        <v>243000</v>
      </c>
      <c r="H672">
        <v>110000</v>
      </c>
      <c r="I672">
        <v>0</v>
      </c>
      <c r="J672">
        <v>0</v>
      </c>
      <c r="K672">
        <v>80000</v>
      </c>
      <c r="L672">
        <v>69000</v>
      </c>
      <c r="M672">
        <v>151000</v>
      </c>
      <c r="N672">
        <v>197340</v>
      </c>
      <c r="O672">
        <v>24000</v>
      </c>
      <c r="P672">
        <v>3700</v>
      </c>
      <c r="Q672">
        <v>0</v>
      </c>
      <c r="R672">
        <v>36600</v>
      </c>
      <c r="S672">
        <v>16000</v>
      </c>
      <c r="T672">
        <v>0</v>
      </c>
      <c r="U672">
        <v>150</v>
      </c>
      <c r="V672">
        <v>20</v>
      </c>
      <c r="W672">
        <v>0</v>
      </c>
      <c r="X672">
        <v>600</v>
      </c>
      <c r="Y672">
        <v>0</v>
      </c>
      <c r="Z672" cm="1">
        <f t="array" ref="Z672">MMULT($G672:$Y672,'Nelson Factor_2019'!$B$1:$B$19)/$G672</f>
        <v>18.120658436213994</v>
      </c>
      <c r="AA672" cm="1">
        <f t="array" ref="AA672">MMULT($G672:$R672,'Nelson Factor_2019'!$B$1:$B$12)/$G672</f>
        <v>13.576748971193416</v>
      </c>
    </row>
    <row r="673" spans="1:27" x14ac:dyDescent="0.25">
      <c r="A673">
        <v>2010</v>
      </c>
      <c r="B673">
        <v>5</v>
      </c>
      <c r="C673">
        <v>6</v>
      </c>
      <c r="D673" t="s">
        <v>46</v>
      </c>
      <c r="E673" t="s">
        <v>51</v>
      </c>
      <c r="F673" t="s">
        <v>52</v>
      </c>
      <c r="G673">
        <v>138700</v>
      </c>
      <c r="H673">
        <v>80000</v>
      </c>
      <c r="I673">
        <v>48000</v>
      </c>
      <c r="J673">
        <v>0</v>
      </c>
      <c r="K673">
        <v>45000</v>
      </c>
      <c r="L673">
        <v>35200</v>
      </c>
      <c r="M673">
        <v>24750</v>
      </c>
      <c r="N673">
        <v>135850</v>
      </c>
      <c r="O673">
        <v>14200</v>
      </c>
      <c r="P673">
        <v>0</v>
      </c>
      <c r="Q673">
        <v>0</v>
      </c>
      <c r="R673">
        <v>17500</v>
      </c>
      <c r="S673">
        <v>0</v>
      </c>
      <c r="T673">
        <v>0</v>
      </c>
      <c r="U673">
        <v>100.8</v>
      </c>
      <c r="V673">
        <v>0</v>
      </c>
      <c r="W673">
        <v>2000</v>
      </c>
      <c r="X673">
        <v>340</v>
      </c>
      <c r="Y673">
        <v>0</v>
      </c>
      <c r="Z673" cm="1">
        <f t="array" ref="Z673">MMULT($G673:$Y673,'Nelson Factor_2019'!$B$1:$B$19)/$G673</f>
        <v>13.428448449891853</v>
      </c>
      <c r="AA673" cm="1">
        <f t="array" ref="AA673">MMULT($G673:$R673,'Nelson Factor_2019'!$B$1:$B$12)/$G673</f>
        <v>12.839401586157173</v>
      </c>
    </row>
    <row r="674" spans="1:27" x14ac:dyDescent="0.25">
      <c r="A674">
        <v>2010</v>
      </c>
      <c r="B674">
        <v>5</v>
      </c>
      <c r="C674">
        <v>5</v>
      </c>
      <c r="D674" t="s">
        <v>46</v>
      </c>
      <c r="E674" t="s">
        <v>51</v>
      </c>
      <c r="F674" t="s">
        <v>53</v>
      </c>
      <c r="G674">
        <v>120000</v>
      </c>
      <c r="H674">
        <v>87000</v>
      </c>
      <c r="I674">
        <v>47000</v>
      </c>
      <c r="J674">
        <v>0</v>
      </c>
      <c r="K674">
        <v>0</v>
      </c>
      <c r="L674">
        <v>31000</v>
      </c>
      <c r="M674">
        <v>56000</v>
      </c>
      <c r="N674">
        <v>73000</v>
      </c>
      <c r="O674">
        <v>0</v>
      </c>
      <c r="P674">
        <v>0</v>
      </c>
      <c r="Q674">
        <v>0</v>
      </c>
      <c r="R674">
        <v>9000</v>
      </c>
      <c r="S674">
        <v>0</v>
      </c>
      <c r="T674">
        <v>0</v>
      </c>
      <c r="U674">
        <v>88</v>
      </c>
      <c r="V674">
        <v>3</v>
      </c>
      <c r="W674">
        <v>2180</v>
      </c>
      <c r="X674">
        <v>650</v>
      </c>
      <c r="Y674">
        <v>0</v>
      </c>
      <c r="Z674" cm="1">
        <f t="array" ref="Z674">MMULT($G674:$Y674,'Nelson Factor_2019'!$B$1:$B$19)/$G674</f>
        <v>12.951591666666667</v>
      </c>
      <c r="AA674" cm="1">
        <f t="array" ref="AA674">MMULT($G674:$R674,'Nelson Factor_2019'!$B$1:$B$12)/$G674</f>
        <v>11.650833333333333</v>
      </c>
    </row>
    <row r="675" spans="1:27" x14ac:dyDescent="0.25">
      <c r="A675">
        <v>2010</v>
      </c>
      <c r="B675">
        <v>5</v>
      </c>
      <c r="C675">
        <v>6</v>
      </c>
      <c r="D675" t="s">
        <v>46</v>
      </c>
      <c r="E675" t="s">
        <v>54</v>
      </c>
      <c r="F675" t="s">
        <v>55</v>
      </c>
      <c r="G675">
        <v>149500</v>
      </c>
      <c r="H675">
        <v>98000</v>
      </c>
      <c r="I675">
        <v>52000</v>
      </c>
      <c r="J675">
        <v>0</v>
      </c>
      <c r="K675">
        <v>83500</v>
      </c>
      <c r="L675">
        <v>19000</v>
      </c>
      <c r="M675">
        <v>20500</v>
      </c>
      <c r="N675">
        <v>143500</v>
      </c>
      <c r="O675">
        <v>23500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146</v>
      </c>
      <c r="V675">
        <v>14</v>
      </c>
      <c r="W675">
        <v>3050</v>
      </c>
      <c r="X675">
        <v>380</v>
      </c>
      <c r="Y675">
        <v>0</v>
      </c>
      <c r="Z675" cm="1">
        <f t="array" ref="Z675">MMULT($G675:$Y675,'Nelson Factor_2019'!$B$1:$B$19)/$G675</f>
        <v>14.127157190635451</v>
      </c>
      <c r="AA675" cm="1">
        <f t="array" ref="AA675">MMULT($G675:$R675,'Nelson Factor_2019'!$B$1:$B$12)/$G675</f>
        <v>13.516053511705685</v>
      </c>
    </row>
    <row r="676" spans="1:27" x14ac:dyDescent="0.25">
      <c r="A676">
        <v>2010</v>
      </c>
      <c r="B676">
        <v>5</v>
      </c>
      <c r="C676">
        <v>0</v>
      </c>
      <c r="D676" t="s">
        <v>46</v>
      </c>
      <c r="E676" t="s">
        <v>56</v>
      </c>
      <c r="F676" t="s">
        <v>57</v>
      </c>
      <c r="G676">
        <v>25000</v>
      </c>
      <c r="H676">
        <v>0</v>
      </c>
      <c r="I676">
        <v>0</v>
      </c>
      <c r="J676">
        <v>0</v>
      </c>
      <c r="K676">
        <v>0</v>
      </c>
      <c r="L676">
        <v>3000</v>
      </c>
      <c r="M676">
        <v>0</v>
      </c>
      <c r="N676">
        <v>13000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4.5</v>
      </c>
      <c r="Y676">
        <v>0</v>
      </c>
      <c r="Z676" cm="1">
        <f t="array" ref="Z676">MMULT($G676:$Y676,'Nelson Factor_2019'!$B$1:$B$19)/$G676</f>
        <v>2.9432</v>
      </c>
      <c r="AA676" cm="1">
        <f t="array" ref="AA676">MMULT($G676:$R676,'Nelson Factor_2019'!$B$1:$B$12)/$G676</f>
        <v>2.9</v>
      </c>
    </row>
    <row r="677" spans="1:27" x14ac:dyDescent="0.25">
      <c r="A677">
        <v>2010</v>
      </c>
      <c r="B677">
        <v>5</v>
      </c>
      <c r="C677">
        <v>0</v>
      </c>
      <c r="D677" t="s">
        <v>46</v>
      </c>
      <c r="E677" t="s">
        <v>60</v>
      </c>
      <c r="F677" t="s">
        <v>57</v>
      </c>
      <c r="G677">
        <v>24300</v>
      </c>
      <c r="H677">
        <v>14000</v>
      </c>
      <c r="I677">
        <v>0</v>
      </c>
      <c r="J677">
        <v>10000</v>
      </c>
      <c r="K677">
        <v>0</v>
      </c>
      <c r="L677">
        <v>0</v>
      </c>
      <c r="M677">
        <v>0</v>
      </c>
      <c r="N677">
        <v>4800</v>
      </c>
      <c r="O677">
        <v>0</v>
      </c>
      <c r="P677">
        <v>0</v>
      </c>
      <c r="Q677">
        <v>0</v>
      </c>
      <c r="R677">
        <v>0</v>
      </c>
      <c r="S677">
        <v>4000</v>
      </c>
      <c r="T677">
        <v>0</v>
      </c>
      <c r="U677">
        <v>4.2</v>
      </c>
      <c r="V677">
        <v>0</v>
      </c>
      <c r="W677">
        <v>0</v>
      </c>
      <c r="X677">
        <v>6</v>
      </c>
      <c r="Y677">
        <v>6500</v>
      </c>
      <c r="Z677" cm="1">
        <f t="array" ref="Z677">MMULT($G677:$Y677,'Nelson Factor_2019'!$B$1:$B$19)/$G677</f>
        <v>13.71169547325103</v>
      </c>
      <c r="AA677" cm="1">
        <f t="array" ref="AA677">MMULT($G677:$R677,'Nelson Factor_2019'!$B$1:$B$12)/$G677</f>
        <v>3.3744855967078191</v>
      </c>
    </row>
    <row r="678" spans="1:27" x14ac:dyDescent="0.25">
      <c r="A678">
        <v>2010</v>
      </c>
      <c r="B678">
        <v>5</v>
      </c>
      <c r="C678">
        <v>6</v>
      </c>
      <c r="D678" t="s">
        <v>46</v>
      </c>
      <c r="E678" t="s">
        <v>61</v>
      </c>
      <c r="F678" t="s">
        <v>62</v>
      </c>
      <c r="G678">
        <v>145000</v>
      </c>
      <c r="H678">
        <v>91100</v>
      </c>
      <c r="I678">
        <v>46500</v>
      </c>
      <c r="J678">
        <v>0</v>
      </c>
      <c r="K678">
        <v>68870</v>
      </c>
      <c r="L678">
        <v>29400</v>
      </c>
      <c r="M678">
        <v>37900</v>
      </c>
      <c r="N678">
        <v>117950</v>
      </c>
      <c r="O678">
        <v>11000</v>
      </c>
      <c r="P678">
        <v>2470</v>
      </c>
      <c r="Q678">
        <v>0</v>
      </c>
      <c r="R678">
        <v>15000</v>
      </c>
      <c r="S678">
        <v>0</v>
      </c>
      <c r="T678">
        <v>0</v>
      </c>
      <c r="U678">
        <v>101</v>
      </c>
      <c r="V678">
        <v>0</v>
      </c>
      <c r="W678">
        <v>1150</v>
      </c>
      <c r="X678">
        <v>360</v>
      </c>
      <c r="Y678">
        <v>15000</v>
      </c>
      <c r="Z678" cm="1">
        <f t="array" ref="Z678">MMULT($G678:$Y678,'Nelson Factor_2019'!$B$1:$B$19)/$G678</f>
        <v>14.201213793103449</v>
      </c>
      <c r="AA678" cm="1">
        <f t="array" ref="AA678">MMULT($G678:$R678,'Nelson Factor_2019'!$B$1:$B$12)/$G678</f>
        <v>13.44948275862069</v>
      </c>
    </row>
    <row r="679" spans="1:27" x14ac:dyDescent="0.25">
      <c r="A679">
        <v>2010</v>
      </c>
      <c r="B679">
        <v>5</v>
      </c>
      <c r="C679">
        <v>6</v>
      </c>
      <c r="D679" t="s">
        <v>46</v>
      </c>
      <c r="E679" t="s">
        <v>239</v>
      </c>
      <c r="F679" t="s">
        <v>63</v>
      </c>
      <c r="G679">
        <v>100000</v>
      </c>
      <c r="H679">
        <v>62000</v>
      </c>
      <c r="I679">
        <v>40000</v>
      </c>
      <c r="J679">
        <v>0</v>
      </c>
      <c r="K679">
        <v>36000</v>
      </c>
      <c r="L679">
        <v>32500</v>
      </c>
      <c r="M679">
        <v>32000</v>
      </c>
      <c r="N679">
        <v>101250</v>
      </c>
      <c r="O679">
        <v>12000</v>
      </c>
      <c r="P679">
        <v>0</v>
      </c>
      <c r="Q679">
        <v>0</v>
      </c>
      <c r="R679">
        <v>8000</v>
      </c>
      <c r="S679">
        <v>0</v>
      </c>
      <c r="T679">
        <v>0</v>
      </c>
      <c r="U679">
        <v>55</v>
      </c>
      <c r="V679">
        <v>55</v>
      </c>
      <c r="W679">
        <v>1615</v>
      </c>
      <c r="X679">
        <v>265</v>
      </c>
      <c r="Y679">
        <v>0</v>
      </c>
      <c r="Z679" cm="1">
        <f t="array" ref="Z679">MMULT($G679:$Y679,'Nelson Factor_2019'!$B$1:$B$19)/$G679</f>
        <v>15.75935</v>
      </c>
      <c r="AA679" cm="1">
        <f t="array" ref="AA679">MMULT($G679:$R679,'Nelson Factor_2019'!$B$1:$B$12)/$G679</f>
        <v>15.122249999999999</v>
      </c>
    </row>
    <row r="680" spans="1:27" x14ac:dyDescent="0.25">
      <c r="A680">
        <v>2010</v>
      </c>
      <c r="B680">
        <v>5</v>
      </c>
      <c r="C680">
        <v>6</v>
      </c>
      <c r="D680" t="s">
        <v>46</v>
      </c>
      <c r="E680" t="s">
        <v>239</v>
      </c>
      <c r="F680" t="s">
        <v>65</v>
      </c>
      <c r="G680">
        <v>161000</v>
      </c>
      <c r="H680">
        <v>144000</v>
      </c>
      <c r="I680">
        <v>42000</v>
      </c>
      <c r="J680">
        <v>0</v>
      </c>
      <c r="K680">
        <v>66500</v>
      </c>
      <c r="L680">
        <v>42000</v>
      </c>
      <c r="M680">
        <v>32000</v>
      </c>
      <c r="N680">
        <v>172500</v>
      </c>
      <c r="O680">
        <v>14000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105</v>
      </c>
      <c r="V680">
        <v>0</v>
      </c>
      <c r="W680">
        <v>1500</v>
      </c>
      <c r="X680">
        <v>140</v>
      </c>
      <c r="Y680">
        <v>0</v>
      </c>
      <c r="Z680" cm="1">
        <f t="array" ref="Z680">MMULT($G680:$Y680,'Nelson Factor_2019'!$B$1:$B$19)/$G680</f>
        <v>13.249409937888199</v>
      </c>
      <c r="AA680" cm="1">
        <f t="array" ref="AA680">MMULT($G680:$R680,'Nelson Factor_2019'!$B$1:$B$12)/$G680</f>
        <v>13.040062111801243</v>
      </c>
    </row>
    <row r="681" spans="1:27" x14ac:dyDescent="0.25">
      <c r="A681">
        <v>2010</v>
      </c>
      <c r="B681">
        <v>5</v>
      </c>
      <c r="C681">
        <v>6</v>
      </c>
      <c r="D681" t="s">
        <v>46</v>
      </c>
      <c r="E681" t="s">
        <v>66</v>
      </c>
      <c r="F681" t="s">
        <v>67</v>
      </c>
      <c r="G681">
        <v>139500</v>
      </c>
      <c r="H681">
        <v>78500</v>
      </c>
      <c r="I681">
        <v>28000</v>
      </c>
      <c r="J681">
        <v>0</v>
      </c>
      <c r="K681">
        <v>69000</v>
      </c>
      <c r="L681">
        <v>36000</v>
      </c>
      <c r="M681">
        <v>36000</v>
      </c>
      <c r="N681">
        <v>146000</v>
      </c>
      <c r="O681">
        <v>17100</v>
      </c>
      <c r="P681">
        <v>2900</v>
      </c>
      <c r="Q681">
        <v>0</v>
      </c>
      <c r="R681">
        <v>0</v>
      </c>
      <c r="S681">
        <v>0</v>
      </c>
      <c r="T681">
        <v>0</v>
      </c>
      <c r="U681">
        <v>131.5</v>
      </c>
      <c r="V681">
        <v>0</v>
      </c>
      <c r="W681">
        <v>1080</v>
      </c>
      <c r="X681">
        <v>275</v>
      </c>
      <c r="Y681">
        <v>5000</v>
      </c>
      <c r="Z681" cm="1">
        <f t="array" ref="Z681">MMULT($G681:$Y681,'Nelson Factor_2019'!$B$1:$B$19)/$G681</f>
        <v>14.137501792114696</v>
      </c>
      <c r="AA681" cm="1">
        <f t="array" ref="AA681">MMULT($G681:$R681,'Nelson Factor_2019'!$B$1:$B$12)/$G681</f>
        <v>13.609677419354838</v>
      </c>
    </row>
    <row r="682" spans="1:27" x14ac:dyDescent="0.25">
      <c r="A682">
        <v>2010</v>
      </c>
      <c r="B682">
        <v>5</v>
      </c>
      <c r="C682">
        <v>4</v>
      </c>
      <c r="D682" t="s">
        <v>46</v>
      </c>
      <c r="E682" t="s">
        <v>66</v>
      </c>
      <c r="F682" t="s">
        <v>63</v>
      </c>
      <c r="G682">
        <v>80000</v>
      </c>
      <c r="H682">
        <v>46000</v>
      </c>
      <c r="I682">
        <v>28000</v>
      </c>
      <c r="J682">
        <v>0</v>
      </c>
      <c r="K682">
        <v>54000</v>
      </c>
      <c r="L682">
        <v>17500</v>
      </c>
      <c r="M682">
        <v>0</v>
      </c>
      <c r="N682">
        <v>139500</v>
      </c>
      <c r="O682">
        <v>14500</v>
      </c>
      <c r="P682">
        <v>0</v>
      </c>
      <c r="Q682">
        <v>0</v>
      </c>
      <c r="R682">
        <v>10200</v>
      </c>
      <c r="S682">
        <v>0</v>
      </c>
      <c r="T682">
        <v>0</v>
      </c>
      <c r="U682">
        <v>50</v>
      </c>
      <c r="V682">
        <v>0</v>
      </c>
      <c r="W682">
        <v>1700</v>
      </c>
      <c r="X682">
        <v>250</v>
      </c>
      <c r="Y682">
        <v>0</v>
      </c>
      <c r="Z682" cm="1">
        <f t="array" ref="Z682">MMULT($G682:$Y682,'Nelson Factor_2019'!$B$1:$B$19)/$G682</f>
        <v>16.821249999999999</v>
      </c>
      <c r="AA682" cm="1">
        <f t="array" ref="AA682">MMULT($G682:$R682,'Nelson Factor_2019'!$B$1:$B$12)/$G682</f>
        <v>16.070625</v>
      </c>
    </row>
    <row r="683" spans="1:27" x14ac:dyDescent="0.25">
      <c r="A683">
        <v>2010</v>
      </c>
      <c r="B683">
        <v>4</v>
      </c>
      <c r="C683">
        <v>1</v>
      </c>
      <c r="D683" t="s">
        <v>68</v>
      </c>
      <c r="E683" t="s">
        <v>231</v>
      </c>
      <c r="F683" t="s">
        <v>242</v>
      </c>
      <c r="G683">
        <v>93000</v>
      </c>
      <c r="H683">
        <v>32500</v>
      </c>
      <c r="I683">
        <v>0</v>
      </c>
      <c r="J683">
        <v>0</v>
      </c>
      <c r="K683">
        <v>27000</v>
      </c>
      <c r="L683">
        <v>18500</v>
      </c>
      <c r="M683">
        <v>0</v>
      </c>
      <c r="N683">
        <v>73400</v>
      </c>
      <c r="O683">
        <v>0</v>
      </c>
      <c r="P683">
        <v>3500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26</v>
      </c>
      <c r="W683">
        <v>0</v>
      </c>
      <c r="X683">
        <v>94</v>
      </c>
      <c r="Y683">
        <v>10500</v>
      </c>
      <c r="Z683" cm="1">
        <f t="array" ref="Z683">MMULT($G683:$Y683,'Nelson Factor_2019'!$B$1:$B$19)/$G683</f>
        <v>6.9525376344086025</v>
      </c>
      <c r="AA683" cm="1">
        <f t="array" ref="AA683">MMULT($G683:$R683,'Nelson Factor_2019'!$B$1:$B$12)/$G683</f>
        <v>6.540322580645161</v>
      </c>
    </row>
    <row r="684" spans="1:27" x14ac:dyDescent="0.25">
      <c r="A684">
        <v>2010</v>
      </c>
      <c r="B684">
        <v>1</v>
      </c>
      <c r="C684">
        <v>3</v>
      </c>
      <c r="D684" t="s">
        <v>72</v>
      </c>
      <c r="E684" t="s">
        <v>66</v>
      </c>
      <c r="F684" t="s">
        <v>74</v>
      </c>
      <c r="G684">
        <v>210000</v>
      </c>
      <c r="H684">
        <v>102000</v>
      </c>
      <c r="I684">
        <v>0</v>
      </c>
      <c r="J684">
        <v>0</v>
      </c>
      <c r="K684">
        <v>82000</v>
      </c>
      <c r="L684">
        <v>43000</v>
      </c>
      <c r="M684">
        <v>18000</v>
      </c>
      <c r="N684">
        <v>130000</v>
      </c>
      <c r="O684">
        <v>11000</v>
      </c>
      <c r="P684">
        <v>5040</v>
      </c>
      <c r="Q684">
        <v>1260</v>
      </c>
      <c r="R684">
        <v>6000</v>
      </c>
      <c r="S684">
        <v>0</v>
      </c>
      <c r="T684">
        <v>0</v>
      </c>
      <c r="U684">
        <v>40</v>
      </c>
      <c r="V684">
        <v>22</v>
      </c>
      <c r="W684">
        <v>2200</v>
      </c>
      <c r="X684">
        <v>532</v>
      </c>
      <c r="Y684">
        <v>0</v>
      </c>
      <c r="Z684" cm="1">
        <f t="array" ref="Z684">MMULT($G684:$Y684,'Nelson Factor_2019'!$B$1:$B$19)/$G684</f>
        <v>8.8092476190476194</v>
      </c>
      <c r="AA684" cm="1">
        <f t="array" ref="AA684">MMULT($G684:$R684,'Nelson Factor_2019'!$B$1:$B$12)/$G684</f>
        <v>8.2009523809523817</v>
      </c>
    </row>
    <row r="685" spans="1:27" x14ac:dyDescent="0.25">
      <c r="A685">
        <v>2010</v>
      </c>
      <c r="B685">
        <v>5</v>
      </c>
      <c r="C685">
        <v>1</v>
      </c>
      <c r="D685" t="s">
        <v>75</v>
      </c>
      <c r="E685" t="s">
        <v>227</v>
      </c>
      <c r="F685" t="s">
        <v>76</v>
      </c>
      <c r="G685">
        <v>54000</v>
      </c>
      <c r="H685">
        <v>30000</v>
      </c>
      <c r="I685">
        <v>0</v>
      </c>
      <c r="J685">
        <v>0</v>
      </c>
      <c r="K685">
        <v>21000</v>
      </c>
      <c r="L685">
        <v>0</v>
      </c>
      <c r="M685">
        <v>0</v>
      </c>
      <c r="N685">
        <v>3000</v>
      </c>
      <c r="O685">
        <v>4000</v>
      </c>
      <c r="P685">
        <v>1000</v>
      </c>
      <c r="Q685">
        <v>0</v>
      </c>
      <c r="R685">
        <v>1200</v>
      </c>
      <c r="S685">
        <v>0</v>
      </c>
      <c r="T685">
        <v>0</v>
      </c>
      <c r="U685">
        <v>2</v>
      </c>
      <c r="V685">
        <v>0</v>
      </c>
      <c r="W685">
        <v>0</v>
      </c>
      <c r="X685">
        <v>0</v>
      </c>
      <c r="Y685">
        <v>1300</v>
      </c>
      <c r="Z685" cm="1">
        <f t="array" ref="Z685">MMULT($G685:$Y685,'Nelson Factor_2019'!$B$1:$B$19)/$G685</f>
        <v>5.2231851851851854</v>
      </c>
      <c r="AA685" cm="1">
        <f t="array" ref="AA685">MMULT($G685:$R685,'Nelson Factor_2019'!$B$1:$B$12)/$G685</f>
        <v>5.1870370370370367</v>
      </c>
    </row>
    <row r="686" spans="1:27" x14ac:dyDescent="0.25">
      <c r="A686">
        <v>2010</v>
      </c>
      <c r="B686">
        <v>5</v>
      </c>
      <c r="C686">
        <v>2</v>
      </c>
      <c r="D686" t="s">
        <v>75</v>
      </c>
      <c r="E686" t="s">
        <v>77</v>
      </c>
      <c r="F686" t="s">
        <v>76</v>
      </c>
      <c r="G686">
        <v>93700</v>
      </c>
      <c r="H686">
        <v>39500</v>
      </c>
      <c r="I686">
        <v>0</v>
      </c>
      <c r="J686">
        <v>11500</v>
      </c>
      <c r="K686">
        <v>0</v>
      </c>
      <c r="L686">
        <v>12800</v>
      </c>
      <c r="M686">
        <v>17600</v>
      </c>
      <c r="N686">
        <v>12800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18</v>
      </c>
      <c r="V686">
        <v>0</v>
      </c>
      <c r="W686">
        <v>0</v>
      </c>
      <c r="X686">
        <v>34</v>
      </c>
      <c r="Y686">
        <v>1000</v>
      </c>
      <c r="Z686" cm="1">
        <f t="array" ref="Z686">MMULT($G686:$Y686,'Nelson Factor_2019'!$B$1:$B$19)/$G686</f>
        <v>4.5160405549626468</v>
      </c>
      <c r="AA686" cm="1">
        <f t="array" ref="AA686">MMULT($G686:$R686,'Nelson Factor_2019'!$B$1:$B$12)/$G686</f>
        <v>4.4127534685165424</v>
      </c>
    </row>
    <row r="687" spans="1:27" x14ac:dyDescent="0.25">
      <c r="A687">
        <v>2010</v>
      </c>
      <c r="B687">
        <v>2</v>
      </c>
      <c r="C687">
        <v>4</v>
      </c>
      <c r="D687" t="s">
        <v>78</v>
      </c>
      <c r="E687" t="s">
        <v>79</v>
      </c>
      <c r="F687" t="s">
        <v>80</v>
      </c>
      <c r="G687">
        <v>158650</v>
      </c>
      <c r="H687">
        <v>71250</v>
      </c>
      <c r="I687">
        <v>36000</v>
      </c>
      <c r="J687">
        <v>0</v>
      </c>
      <c r="K687">
        <v>60300</v>
      </c>
      <c r="L687">
        <v>28080</v>
      </c>
      <c r="M687">
        <v>0</v>
      </c>
      <c r="N687">
        <v>103410</v>
      </c>
      <c r="O687">
        <v>18900</v>
      </c>
      <c r="P687">
        <v>0</v>
      </c>
      <c r="Q687">
        <v>6030</v>
      </c>
      <c r="R687">
        <v>0</v>
      </c>
      <c r="S687">
        <v>0</v>
      </c>
      <c r="T687">
        <v>0</v>
      </c>
      <c r="U687">
        <v>4.5</v>
      </c>
      <c r="V687">
        <v>0</v>
      </c>
      <c r="W687">
        <v>2102</v>
      </c>
      <c r="X687">
        <v>344</v>
      </c>
      <c r="Y687">
        <v>0</v>
      </c>
      <c r="Z687" cm="1">
        <f t="array" ref="Z687">MMULT($G687:$Y687,'Nelson Factor_2019'!$B$1:$B$19)/$G687</f>
        <v>10.55256539552474</v>
      </c>
      <c r="AA687" cm="1">
        <f t="array" ref="AA687">MMULT($G687:$R687,'Nelson Factor_2019'!$B$1:$B$12)/$G687</f>
        <v>10.032146233848094</v>
      </c>
    </row>
    <row r="688" spans="1:27" x14ac:dyDescent="0.25">
      <c r="A688">
        <v>2010</v>
      </c>
      <c r="B688">
        <v>2</v>
      </c>
      <c r="C688">
        <v>4</v>
      </c>
      <c r="D688" t="s">
        <v>78</v>
      </c>
      <c r="E688" t="s">
        <v>54</v>
      </c>
      <c r="F688" t="s">
        <v>82</v>
      </c>
      <c r="G688">
        <v>238000</v>
      </c>
      <c r="H688">
        <v>121500</v>
      </c>
      <c r="I688">
        <v>56000</v>
      </c>
      <c r="J688">
        <v>0</v>
      </c>
      <c r="K688">
        <v>94500</v>
      </c>
      <c r="L688">
        <v>50000</v>
      </c>
      <c r="M688">
        <v>0</v>
      </c>
      <c r="N688">
        <v>247500</v>
      </c>
      <c r="O688">
        <v>27000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3330</v>
      </c>
      <c r="X688">
        <v>580</v>
      </c>
      <c r="Y688">
        <v>14500</v>
      </c>
      <c r="Z688" cm="1">
        <f t="array" ref="Z688">MMULT($G688:$Y688,'Nelson Factor_2019'!$B$1:$B$19)/$G688</f>
        <v>11.271638655462185</v>
      </c>
      <c r="AA688" cm="1">
        <f t="array" ref="AA688">MMULT($G688:$R688,'Nelson Factor_2019'!$B$1:$B$12)/$G688</f>
        <v>10.595378151260505</v>
      </c>
    </row>
    <row r="689" spans="1:27" x14ac:dyDescent="0.25">
      <c r="A689">
        <v>2010</v>
      </c>
      <c r="B689">
        <v>2</v>
      </c>
      <c r="C689">
        <v>6</v>
      </c>
      <c r="D689" t="s">
        <v>78</v>
      </c>
      <c r="E689" t="s">
        <v>232</v>
      </c>
      <c r="F689" t="s">
        <v>84</v>
      </c>
      <c r="G689">
        <v>204000</v>
      </c>
      <c r="H689">
        <v>67900</v>
      </c>
      <c r="I689">
        <v>27600</v>
      </c>
      <c r="J689">
        <v>0</v>
      </c>
      <c r="K689">
        <v>48000</v>
      </c>
      <c r="L689">
        <v>74100</v>
      </c>
      <c r="M689">
        <v>26600</v>
      </c>
      <c r="N689">
        <v>174900</v>
      </c>
      <c r="O689">
        <v>11900</v>
      </c>
      <c r="P689">
        <v>0</v>
      </c>
      <c r="Q689">
        <v>0</v>
      </c>
      <c r="R689">
        <v>13800</v>
      </c>
      <c r="S689">
        <v>0</v>
      </c>
      <c r="T689">
        <v>0</v>
      </c>
      <c r="U689">
        <v>0</v>
      </c>
      <c r="V689">
        <v>0</v>
      </c>
      <c r="W689">
        <v>1187</v>
      </c>
      <c r="X689">
        <v>183</v>
      </c>
      <c r="Y689">
        <v>0</v>
      </c>
      <c r="Z689" cm="1">
        <f t="array" ref="Z689">MMULT($G689:$Y689,'Nelson Factor_2019'!$B$1:$B$19)/$G689</f>
        <v>9.8634313725490195</v>
      </c>
      <c r="AA689" cm="1">
        <f t="array" ref="AA689">MMULT($G689:$R689,'Nelson Factor_2019'!$B$1:$B$12)/$G689</f>
        <v>9.6481372549019611</v>
      </c>
    </row>
    <row r="690" spans="1:27" x14ac:dyDescent="0.25">
      <c r="A690">
        <v>2010</v>
      </c>
      <c r="B690">
        <v>2</v>
      </c>
      <c r="C690">
        <v>6</v>
      </c>
      <c r="D690" t="s">
        <v>78</v>
      </c>
      <c r="E690" t="s">
        <v>240</v>
      </c>
      <c r="F690" t="s">
        <v>81</v>
      </c>
      <c r="G690">
        <v>306000</v>
      </c>
      <c r="H690">
        <v>119000</v>
      </c>
      <c r="I690">
        <v>16000</v>
      </c>
      <c r="J690">
        <v>0</v>
      </c>
      <c r="K690">
        <v>91000</v>
      </c>
      <c r="L690">
        <v>85000</v>
      </c>
      <c r="M690">
        <v>41400</v>
      </c>
      <c r="N690">
        <v>225000</v>
      </c>
      <c r="O690">
        <v>20000</v>
      </c>
      <c r="P690">
        <v>0</v>
      </c>
      <c r="Q690">
        <v>3500</v>
      </c>
      <c r="R690">
        <v>0</v>
      </c>
      <c r="S690">
        <v>0</v>
      </c>
      <c r="T690">
        <v>0</v>
      </c>
      <c r="U690">
        <v>105</v>
      </c>
      <c r="V690">
        <v>0</v>
      </c>
      <c r="W690">
        <v>1250</v>
      </c>
      <c r="X690">
        <v>440</v>
      </c>
      <c r="Y690">
        <v>40000</v>
      </c>
      <c r="Z690" cm="1">
        <f t="array" ref="Z690">MMULT($G690:$Y690,'Nelson Factor_2019'!$B$1:$B$19)/$G690</f>
        <v>9.415375816993464</v>
      </c>
      <c r="AA690" cm="1">
        <f t="array" ref="AA690">MMULT($G690:$R690,'Nelson Factor_2019'!$B$1:$B$12)/$G690</f>
        <v>8.8738562091503272</v>
      </c>
    </row>
    <row r="691" spans="1:27" x14ac:dyDescent="0.25">
      <c r="A691">
        <v>2010</v>
      </c>
      <c r="B691">
        <v>2</v>
      </c>
      <c r="C691">
        <v>4</v>
      </c>
      <c r="D691" t="s">
        <v>85</v>
      </c>
      <c r="E691" t="s">
        <v>32</v>
      </c>
      <c r="F691" t="s">
        <v>86</v>
      </c>
      <c r="G691">
        <v>384750</v>
      </c>
      <c r="H691">
        <v>180975</v>
      </c>
      <c r="I691">
        <v>31050</v>
      </c>
      <c r="J691">
        <v>0</v>
      </c>
      <c r="K691">
        <v>148500</v>
      </c>
      <c r="L691">
        <v>57600</v>
      </c>
      <c r="M691">
        <v>0</v>
      </c>
      <c r="N691">
        <v>297450</v>
      </c>
      <c r="O691">
        <v>22500</v>
      </c>
      <c r="P691">
        <v>0</v>
      </c>
      <c r="Q691">
        <v>0</v>
      </c>
      <c r="R691">
        <v>23400</v>
      </c>
      <c r="S691">
        <v>0</v>
      </c>
      <c r="T691">
        <v>0</v>
      </c>
      <c r="U691">
        <v>30</v>
      </c>
      <c r="V691">
        <v>29</v>
      </c>
      <c r="W691">
        <v>1557</v>
      </c>
      <c r="X691">
        <v>486</v>
      </c>
      <c r="Y691">
        <v>26550</v>
      </c>
      <c r="Z691" cm="1">
        <f t="array" ref="Z691">MMULT($G691:$Y691,'Nelson Factor_2019'!$B$1:$B$19)/$G691</f>
        <v>8.3878921377517877</v>
      </c>
      <c r="AA691" cm="1">
        <f t="array" ref="AA691">MMULT($G691:$R691,'Nelson Factor_2019'!$B$1:$B$12)/$G691</f>
        <v>7.9810721247563352</v>
      </c>
    </row>
    <row r="692" spans="1:27" x14ac:dyDescent="0.25">
      <c r="A692">
        <v>2010</v>
      </c>
      <c r="B692">
        <v>2</v>
      </c>
      <c r="C692">
        <v>1</v>
      </c>
      <c r="D692" t="s">
        <v>85</v>
      </c>
      <c r="E692" t="s">
        <v>87</v>
      </c>
      <c r="F692" t="s">
        <v>88</v>
      </c>
      <c r="G692">
        <v>26500</v>
      </c>
      <c r="H692">
        <v>11000</v>
      </c>
      <c r="I692">
        <v>0</v>
      </c>
      <c r="J692">
        <v>0</v>
      </c>
      <c r="K692">
        <v>7850</v>
      </c>
      <c r="L692">
        <v>6500</v>
      </c>
      <c r="M692">
        <v>0</v>
      </c>
      <c r="N692">
        <v>21000</v>
      </c>
      <c r="O692">
        <v>2000</v>
      </c>
      <c r="P692">
        <v>0</v>
      </c>
      <c r="Q692">
        <v>0</v>
      </c>
      <c r="R692">
        <v>2200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8</v>
      </c>
      <c r="Y692">
        <v>3300</v>
      </c>
      <c r="Z692" cm="1">
        <f t="array" ref="Z692">MMULT($G692:$Y692,'Nelson Factor_2019'!$B$1:$B$19)/$G692</f>
        <v>7.7875471698113206</v>
      </c>
      <c r="AA692" cm="1">
        <f t="array" ref="AA692">MMULT($G692:$R692,'Nelson Factor_2019'!$B$1:$B$12)/$G692</f>
        <v>7.5283018867924527</v>
      </c>
    </row>
    <row r="693" spans="1:27" x14ac:dyDescent="0.25">
      <c r="A693">
        <v>2010</v>
      </c>
      <c r="B693">
        <v>2</v>
      </c>
      <c r="C693">
        <v>4</v>
      </c>
      <c r="D693" t="s">
        <v>89</v>
      </c>
      <c r="E693" t="s">
        <v>90</v>
      </c>
      <c r="F693" t="s">
        <v>91</v>
      </c>
      <c r="G693">
        <v>114000</v>
      </c>
      <c r="H693">
        <v>43700</v>
      </c>
      <c r="I693">
        <v>21600</v>
      </c>
      <c r="J693">
        <v>0</v>
      </c>
      <c r="K693">
        <v>32400</v>
      </c>
      <c r="L693">
        <v>21600</v>
      </c>
      <c r="M693">
        <v>0</v>
      </c>
      <c r="N693">
        <v>91800</v>
      </c>
      <c r="O693">
        <v>9000</v>
      </c>
      <c r="P693">
        <v>0</v>
      </c>
      <c r="Q693">
        <v>0</v>
      </c>
      <c r="R693">
        <v>7650</v>
      </c>
      <c r="S693">
        <v>0</v>
      </c>
      <c r="T693">
        <v>0</v>
      </c>
      <c r="U693">
        <v>0</v>
      </c>
      <c r="V693">
        <v>36</v>
      </c>
      <c r="W693">
        <v>1150</v>
      </c>
      <c r="X693">
        <v>146</v>
      </c>
      <c r="Y693">
        <v>0</v>
      </c>
      <c r="Z693" cm="1">
        <f t="array" ref="Z693">MMULT($G693:$Y693,'Nelson Factor_2019'!$B$1:$B$19)/$G693</f>
        <v>8.883649122807018</v>
      </c>
      <c r="AA693" cm="1">
        <f t="array" ref="AA693">MMULT($G693:$R693,'Nelson Factor_2019'!$B$1:$B$12)/$G693</f>
        <v>8.5759649122807016</v>
      </c>
    </row>
    <row r="694" spans="1:27" x14ac:dyDescent="0.25">
      <c r="A694">
        <v>2010</v>
      </c>
      <c r="B694">
        <v>2</v>
      </c>
      <c r="C694">
        <v>4</v>
      </c>
      <c r="D694" t="s">
        <v>89</v>
      </c>
      <c r="E694" t="s">
        <v>92</v>
      </c>
      <c r="F694" t="s">
        <v>45</v>
      </c>
      <c r="G694">
        <v>135000</v>
      </c>
      <c r="H694">
        <v>56000</v>
      </c>
      <c r="I694">
        <v>19000</v>
      </c>
      <c r="J694">
        <v>0</v>
      </c>
      <c r="K694">
        <v>40000</v>
      </c>
      <c r="L694">
        <v>30000</v>
      </c>
      <c r="M694">
        <v>0</v>
      </c>
      <c r="N694">
        <v>149000</v>
      </c>
      <c r="O694">
        <v>13500</v>
      </c>
      <c r="P694">
        <v>0</v>
      </c>
      <c r="Q694">
        <v>2200</v>
      </c>
      <c r="R694">
        <v>12500</v>
      </c>
      <c r="S694">
        <v>0</v>
      </c>
      <c r="T694">
        <v>0</v>
      </c>
      <c r="U694">
        <v>35</v>
      </c>
      <c r="V694">
        <v>20</v>
      </c>
      <c r="W694">
        <v>900</v>
      </c>
      <c r="X694">
        <v>260</v>
      </c>
      <c r="Y694">
        <v>0</v>
      </c>
      <c r="Z694" cm="1">
        <f t="array" ref="Z694">MMULT($G694:$Y694,'Nelson Factor_2019'!$B$1:$B$19)/$G694</f>
        <v>10.309296296296296</v>
      </c>
      <c r="AA694" cm="1">
        <f t="array" ref="AA694">MMULT($G694:$R694,'Nelson Factor_2019'!$B$1:$B$12)/$G694</f>
        <v>9.8466666666666658</v>
      </c>
    </row>
    <row r="695" spans="1:27" x14ac:dyDescent="0.25">
      <c r="A695">
        <v>2010</v>
      </c>
      <c r="B695">
        <v>2</v>
      </c>
      <c r="C695">
        <v>6</v>
      </c>
      <c r="D695" t="s">
        <v>89</v>
      </c>
      <c r="E695" t="s">
        <v>93</v>
      </c>
      <c r="F695" t="s">
        <v>94</v>
      </c>
      <c r="G695">
        <v>82700</v>
      </c>
      <c r="H695">
        <v>35400</v>
      </c>
      <c r="I695">
        <v>20800</v>
      </c>
      <c r="J695">
        <v>0</v>
      </c>
      <c r="K695">
        <v>22700</v>
      </c>
      <c r="L695">
        <v>22700</v>
      </c>
      <c r="M695">
        <v>33100</v>
      </c>
      <c r="N695">
        <v>72500</v>
      </c>
      <c r="O695">
        <v>6400</v>
      </c>
      <c r="P695">
        <v>0</v>
      </c>
      <c r="Q695">
        <v>0</v>
      </c>
      <c r="R695">
        <v>13000</v>
      </c>
      <c r="S695">
        <v>0</v>
      </c>
      <c r="T695">
        <v>0</v>
      </c>
      <c r="U695">
        <v>32.1</v>
      </c>
      <c r="V695">
        <v>74.599999999999994</v>
      </c>
      <c r="W695">
        <v>819</v>
      </c>
      <c r="X695">
        <v>123</v>
      </c>
      <c r="Y695">
        <v>0</v>
      </c>
      <c r="Z695" cm="1">
        <f t="array" ref="Z695">MMULT($G695:$Y695,'Nelson Factor_2019'!$B$1:$B$19)/$G695</f>
        <v>13.459452237001212</v>
      </c>
      <c r="AA695" cm="1">
        <f t="array" ref="AA695">MMULT($G695:$R695,'Nelson Factor_2019'!$B$1:$B$12)/$G695</f>
        <v>13.101209189842805</v>
      </c>
    </row>
    <row r="696" spans="1:27" x14ac:dyDescent="0.25">
      <c r="A696">
        <v>2010</v>
      </c>
      <c r="B696">
        <v>2</v>
      </c>
      <c r="C696">
        <v>1</v>
      </c>
      <c r="D696" t="s">
        <v>95</v>
      </c>
      <c r="E696" t="s">
        <v>232</v>
      </c>
      <c r="F696" t="s">
        <v>96</v>
      </c>
      <c r="G696">
        <v>226000</v>
      </c>
      <c r="H696">
        <v>105000</v>
      </c>
      <c r="I696">
        <v>0</v>
      </c>
      <c r="J696">
        <v>0</v>
      </c>
      <c r="K696">
        <v>98800</v>
      </c>
      <c r="L696">
        <v>48500</v>
      </c>
      <c r="M696">
        <v>0</v>
      </c>
      <c r="N696">
        <v>268000</v>
      </c>
      <c r="O696">
        <v>19500</v>
      </c>
      <c r="P696">
        <v>0</v>
      </c>
      <c r="Q696">
        <v>14300</v>
      </c>
      <c r="R696">
        <v>15200</v>
      </c>
      <c r="S696">
        <v>0</v>
      </c>
      <c r="T696">
        <v>0</v>
      </c>
      <c r="U696">
        <v>32.299999999999997</v>
      </c>
      <c r="V696">
        <v>0</v>
      </c>
      <c r="W696">
        <v>0</v>
      </c>
      <c r="X696">
        <v>406</v>
      </c>
      <c r="Y696">
        <v>25700</v>
      </c>
      <c r="Z696" cm="1">
        <f t="array" ref="Z696">MMULT($G696:$Y696,'Nelson Factor_2019'!$B$1:$B$19)/$G696</f>
        <v>11.196558849557521</v>
      </c>
      <c r="AA696" cm="1">
        <f t="array" ref="AA696">MMULT($G696:$R696,'Nelson Factor_2019'!$B$1:$B$12)/$G696</f>
        <v>10.594690265486726</v>
      </c>
    </row>
    <row r="697" spans="1:27" x14ac:dyDescent="0.25">
      <c r="A697">
        <v>2010</v>
      </c>
      <c r="B697">
        <v>2</v>
      </c>
      <c r="C697">
        <v>0</v>
      </c>
      <c r="D697" t="s">
        <v>95</v>
      </c>
      <c r="E697" t="s">
        <v>97</v>
      </c>
      <c r="F697" t="s">
        <v>98</v>
      </c>
      <c r="G697">
        <v>5500</v>
      </c>
      <c r="H697">
        <v>0</v>
      </c>
      <c r="I697">
        <v>0</v>
      </c>
      <c r="J697">
        <v>0</v>
      </c>
      <c r="K697">
        <v>0</v>
      </c>
      <c r="L697">
        <v>1500</v>
      </c>
      <c r="M697">
        <v>0</v>
      </c>
      <c r="N697">
        <v>2000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 cm="1">
        <f t="array" ref="Z697">MMULT($G697:$Y697,'Nelson Factor_2019'!$B$1:$B$19)/$G697</f>
        <v>3.2727272727272729</v>
      </c>
      <c r="AA697" cm="1">
        <f t="array" ref="AA697">MMULT($G697:$R697,'Nelson Factor_2019'!$B$1:$B$12)/$G697</f>
        <v>3.2727272727272729</v>
      </c>
    </row>
    <row r="698" spans="1:27" x14ac:dyDescent="0.25">
      <c r="A698">
        <v>2010</v>
      </c>
      <c r="B698">
        <v>3</v>
      </c>
      <c r="C698">
        <v>1</v>
      </c>
      <c r="D698" t="s">
        <v>99</v>
      </c>
      <c r="E698" t="s">
        <v>243</v>
      </c>
      <c r="F698" t="s">
        <v>120</v>
      </c>
      <c r="G698">
        <v>83000</v>
      </c>
      <c r="H698">
        <v>36000</v>
      </c>
      <c r="I698">
        <v>0</v>
      </c>
      <c r="J698">
        <v>0</v>
      </c>
      <c r="K698">
        <v>33000</v>
      </c>
      <c r="L698">
        <v>12000</v>
      </c>
      <c r="M698">
        <v>0</v>
      </c>
      <c r="N698">
        <v>18500</v>
      </c>
      <c r="O698">
        <v>0</v>
      </c>
      <c r="P698">
        <v>2100</v>
      </c>
      <c r="Q698">
        <v>0</v>
      </c>
      <c r="R698">
        <v>4500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 cm="1">
        <f t="array" ref="Z698">MMULT($G698:$Y698,'Nelson Factor_2019'!$B$1:$B$19)/$G698</f>
        <v>5.645180722891566</v>
      </c>
      <c r="AA698" cm="1">
        <f t="array" ref="AA698">MMULT($G698:$R698,'Nelson Factor_2019'!$B$1:$B$12)/$G698</f>
        <v>5.645180722891566</v>
      </c>
    </row>
    <row r="699" spans="1:27" x14ac:dyDescent="0.25">
      <c r="A699">
        <v>2010</v>
      </c>
      <c r="B699">
        <v>3</v>
      </c>
      <c r="C699">
        <v>0</v>
      </c>
      <c r="D699" t="s">
        <v>99</v>
      </c>
      <c r="E699" t="s">
        <v>100</v>
      </c>
      <c r="F699" t="s">
        <v>101</v>
      </c>
      <c r="G699">
        <v>32000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 cm="1">
        <f t="array" ref="Z699">MMULT($G699:$Y699,'Nelson Factor_2019'!$B$1:$B$19)/$G699</f>
        <v>1</v>
      </c>
      <c r="AA699" cm="1">
        <f t="array" ref="AA699">MMULT($G699:$R699,'Nelson Factor_2019'!$B$1:$B$12)/$G699</f>
        <v>1</v>
      </c>
    </row>
    <row r="700" spans="1:27" x14ac:dyDescent="0.25">
      <c r="A700">
        <v>2010</v>
      </c>
      <c r="B700">
        <v>3</v>
      </c>
      <c r="C700">
        <v>0</v>
      </c>
      <c r="D700" t="s">
        <v>99</v>
      </c>
      <c r="E700" t="s">
        <v>102</v>
      </c>
      <c r="F700" t="s">
        <v>103</v>
      </c>
      <c r="G700">
        <v>9500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5000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2.5</v>
      </c>
      <c r="V700">
        <v>2.5</v>
      </c>
      <c r="W700">
        <v>0</v>
      </c>
      <c r="X700">
        <v>0</v>
      </c>
      <c r="Y700">
        <v>0</v>
      </c>
      <c r="Z700" cm="1">
        <f t="array" ref="Z700">MMULT($G700:$Y700,'Nelson Factor_2019'!$B$1:$B$19)/$G700</f>
        <v>2.3163157894736841</v>
      </c>
      <c r="AA700" cm="1">
        <f t="array" ref="AA700">MMULT($G700:$R700,'Nelson Factor_2019'!$B$1:$B$12)/$G700</f>
        <v>2.3157894736842106</v>
      </c>
    </row>
    <row r="701" spans="1:27" x14ac:dyDescent="0.25">
      <c r="A701">
        <v>2010</v>
      </c>
      <c r="B701">
        <v>3</v>
      </c>
      <c r="C701">
        <v>2</v>
      </c>
      <c r="D701" t="s">
        <v>99</v>
      </c>
      <c r="E701" t="s">
        <v>102</v>
      </c>
      <c r="F701" t="s">
        <v>104</v>
      </c>
      <c r="G701">
        <v>9500</v>
      </c>
      <c r="H701">
        <v>8500</v>
      </c>
      <c r="I701">
        <v>0</v>
      </c>
      <c r="J701">
        <v>0</v>
      </c>
      <c r="K701">
        <v>0</v>
      </c>
      <c r="L701">
        <v>0</v>
      </c>
      <c r="M701">
        <v>8000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7500</v>
      </c>
      <c r="T701">
        <v>0</v>
      </c>
      <c r="U701">
        <v>4.5</v>
      </c>
      <c r="V701">
        <v>4.5</v>
      </c>
      <c r="W701">
        <v>0</v>
      </c>
      <c r="X701">
        <v>3</v>
      </c>
      <c r="Y701">
        <v>0</v>
      </c>
      <c r="Z701" cm="1">
        <f t="array" ref="Z701">MMULT($G701:$Y701,'Nelson Factor_2019'!$B$1:$B$19)/$G701</f>
        <v>56.345157894736843</v>
      </c>
      <c r="AA701" cm="1">
        <f t="array" ref="AA701">MMULT($G701:$R701,'Nelson Factor_2019'!$B$1:$B$12)/$G701</f>
        <v>8.9</v>
      </c>
    </row>
    <row r="702" spans="1:27" x14ac:dyDescent="0.25">
      <c r="A702">
        <v>2010</v>
      </c>
      <c r="B702">
        <v>3</v>
      </c>
      <c r="C702">
        <v>2</v>
      </c>
      <c r="D702" t="s">
        <v>99</v>
      </c>
      <c r="E702" t="s">
        <v>102</v>
      </c>
      <c r="F702" t="s">
        <v>105</v>
      </c>
      <c r="G702">
        <v>35000</v>
      </c>
      <c r="H702">
        <v>15000</v>
      </c>
      <c r="I702">
        <v>0</v>
      </c>
      <c r="J702">
        <v>0</v>
      </c>
      <c r="K702">
        <v>0</v>
      </c>
      <c r="L702">
        <v>10000</v>
      </c>
      <c r="M702">
        <v>8500</v>
      </c>
      <c r="N702">
        <v>24000</v>
      </c>
      <c r="O702">
        <v>0</v>
      </c>
      <c r="P702">
        <v>0</v>
      </c>
      <c r="Q702">
        <v>0</v>
      </c>
      <c r="R702">
        <v>0</v>
      </c>
      <c r="S702">
        <v>8000</v>
      </c>
      <c r="T702">
        <v>0</v>
      </c>
      <c r="U702">
        <v>6.1</v>
      </c>
      <c r="V702">
        <v>6.1</v>
      </c>
      <c r="W702">
        <v>0</v>
      </c>
      <c r="X702">
        <v>15</v>
      </c>
      <c r="Y702">
        <v>0</v>
      </c>
      <c r="Z702" cm="1">
        <f t="array" ref="Z702">MMULT($G702:$Y702,'Nelson Factor_2019'!$B$1:$B$19)/$G702</f>
        <v>20.460348571428572</v>
      </c>
      <c r="AA702" cm="1">
        <f t="array" ref="AA702">MMULT($G702:$R702,'Nelson Factor_2019'!$B$1:$B$12)/$G702</f>
        <v>6.6428571428571432</v>
      </c>
    </row>
    <row r="703" spans="1:27" x14ac:dyDescent="0.25">
      <c r="A703">
        <v>2010</v>
      </c>
      <c r="B703">
        <v>3</v>
      </c>
      <c r="C703">
        <v>6</v>
      </c>
      <c r="D703" t="s">
        <v>99</v>
      </c>
      <c r="E703" t="s">
        <v>233</v>
      </c>
      <c r="F703" t="s">
        <v>110</v>
      </c>
      <c r="G703">
        <v>192500</v>
      </c>
      <c r="H703">
        <v>112000</v>
      </c>
      <c r="I703">
        <v>38000</v>
      </c>
      <c r="J703">
        <v>0</v>
      </c>
      <c r="K703">
        <v>68000</v>
      </c>
      <c r="L703">
        <v>47000</v>
      </c>
      <c r="M703">
        <v>18500</v>
      </c>
      <c r="N703">
        <v>172000</v>
      </c>
      <c r="O703">
        <v>12500</v>
      </c>
      <c r="P703">
        <v>0</v>
      </c>
      <c r="Q703">
        <v>10000</v>
      </c>
      <c r="R703">
        <v>10000</v>
      </c>
      <c r="S703">
        <v>0</v>
      </c>
      <c r="T703">
        <v>0</v>
      </c>
      <c r="U703">
        <v>0</v>
      </c>
      <c r="V703">
        <v>0</v>
      </c>
      <c r="W703">
        <v>2050</v>
      </c>
      <c r="X703">
        <v>920</v>
      </c>
      <c r="Y703">
        <v>0</v>
      </c>
      <c r="Z703" cm="1">
        <f t="array" ref="Z703">MMULT($G703:$Y703,'Nelson Factor_2019'!$B$1:$B$19)/$G703</f>
        <v>12.57090909090909</v>
      </c>
      <c r="AA703" cm="1">
        <f t="array" ref="AA703">MMULT($G703:$R703,'Nelson Factor_2019'!$B$1:$B$12)/$G703</f>
        <v>11.423896103896103</v>
      </c>
    </row>
    <row r="704" spans="1:27" x14ac:dyDescent="0.25">
      <c r="A704">
        <v>2010</v>
      </c>
      <c r="B704">
        <v>3</v>
      </c>
      <c r="C704">
        <v>0</v>
      </c>
      <c r="D704" t="s">
        <v>99</v>
      </c>
      <c r="E704" t="s">
        <v>106</v>
      </c>
      <c r="F704" t="s">
        <v>101</v>
      </c>
      <c r="G704">
        <v>0</v>
      </c>
      <c r="H704">
        <v>36100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8550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 cm="1">
        <f t="array" ref="Z704">MMULT($G704:$Y704,'Nelson Factor_2019'!$B$1:$B$19)/$H704</f>
        <v>15.510526315789473</v>
      </c>
      <c r="AA704" cm="1">
        <f t="array" ref="AA704">MMULT($G704:$R704,'Nelson Factor_2019'!$B$1:$B$12)/$H704</f>
        <v>1.3</v>
      </c>
    </row>
    <row r="705" spans="1:27" x14ac:dyDescent="0.25">
      <c r="A705">
        <v>2010</v>
      </c>
      <c r="B705">
        <v>3</v>
      </c>
      <c r="C705">
        <v>6</v>
      </c>
      <c r="D705" t="s">
        <v>99</v>
      </c>
      <c r="E705" t="s">
        <v>79</v>
      </c>
      <c r="F705" t="s">
        <v>101</v>
      </c>
      <c r="G705">
        <v>440000</v>
      </c>
      <c r="H705">
        <v>79800</v>
      </c>
      <c r="I705">
        <v>88200</v>
      </c>
      <c r="J705">
        <v>0</v>
      </c>
      <c r="K705">
        <v>126000</v>
      </c>
      <c r="L705">
        <v>94500</v>
      </c>
      <c r="M705">
        <v>37800</v>
      </c>
      <c r="N705">
        <v>233100</v>
      </c>
      <c r="O705">
        <v>20700</v>
      </c>
      <c r="P705">
        <v>0</v>
      </c>
      <c r="Q705">
        <v>13500</v>
      </c>
      <c r="R705">
        <v>28800</v>
      </c>
      <c r="S705">
        <v>9900</v>
      </c>
      <c r="T705">
        <v>3150</v>
      </c>
      <c r="U705">
        <v>47.7</v>
      </c>
      <c r="V705">
        <v>10.8</v>
      </c>
      <c r="W705">
        <v>3870</v>
      </c>
      <c r="X705">
        <v>567</v>
      </c>
      <c r="Y705">
        <v>0</v>
      </c>
      <c r="Z705" cm="1">
        <f t="array" ref="Z705">MMULT($G705:$Y705,'Nelson Factor_2019'!$B$1:$B$19)/$G705</f>
        <v>10.554382954545455</v>
      </c>
      <c r="AA705" cm="1">
        <f t="array" ref="AA705">MMULT($G705:$R705,'Nelson Factor_2019'!$B$1:$B$12)/$G705</f>
        <v>8.823386363636363</v>
      </c>
    </row>
    <row r="706" spans="1:27" x14ac:dyDescent="0.25">
      <c r="A706">
        <v>2010</v>
      </c>
      <c r="B706">
        <v>3</v>
      </c>
      <c r="C706">
        <v>4</v>
      </c>
      <c r="D706" t="s">
        <v>99</v>
      </c>
      <c r="E706" t="s">
        <v>51</v>
      </c>
      <c r="F706" t="s">
        <v>107</v>
      </c>
      <c r="G706">
        <v>247000</v>
      </c>
      <c r="H706">
        <v>92000</v>
      </c>
      <c r="I706">
        <v>26000</v>
      </c>
      <c r="J706">
        <v>0</v>
      </c>
      <c r="K706">
        <v>102000</v>
      </c>
      <c r="L706">
        <v>43500</v>
      </c>
      <c r="M706">
        <v>0</v>
      </c>
      <c r="N706">
        <v>201400</v>
      </c>
      <c r="O706">
        <v>38000</v>
      </c>
      <c r="P706">
        <v>0</v>
      </c>
      <c r="Q706">
        <v>31800</v>
      </c>
      <c r="R706">
        <v>0</v>
      </c>
      <c r="S706">
        <v>0</v>
      </c>
      <c r="T706">
        <v>0</v>
      </c>
      <c r="U706">
        <v>0</v>
      </c>
      <c r="V706">
        <v>10.4</v>
      </c>
      <c r="W706">
        <v>800</v>
      </c>
      <c r="X706">
        <v>85</v>
      </c>
      <c r="Y706">
        <v>0</v>
      </c>
      <c r="Z706" cm="1">
        <f t="array" ref="Z706">MMULT($G706:$Y706,'Nelson Factor_2019'!$B$1:$B$19)/$G706</f>
        <v>11.866438866396761</v>
      </c>
      <c r="AA706" cm="1">
        <f t="array" ref="AA706">MMULT($G706:$R706,'Nelson Factor_2019'!$B$1:$B$12)/$G706</f>
        <v>11.783805668016194</v>
      </c>
    </row>
    <row r="707" spans="1:27" x14ac:dyDescent="0.25">
      <c r="A707">
        <v>2010</v>
      </c>
      <c r="B707">
        <v>3</v>
      </c>
      <c r="C707">
        <v>6</v>
      </c>
      <c r="D707" t="s">
        <v>99</v>
      </c>
      <c r="E707" t="s">
        <v>51</v>
      </c>
      <c r="F707" t="s">
        <v>108</v>
      </c>
      <c r="G707">
        <v>239000</v>
      </c>
      <c r="H707">
        <v>106200</v>
      </c>
      <c r="I707">
        <v>61000</v>
      </c>
      <c r="J707">
        <v>0</v>
      </c>
      <c r="K707">
        <v>46400</v>
      </c>
      <c r="L707">
        <v>44300</v>
      </c>
      <c r="M707">
        <v>34200</v>
      </c>
      <c r="N707">
        <v>218600</v>
      </c>
      <c r="O707">
        <v>7200</v>
      </c>
      <c r="P707">
        <v>540</v>
      </c>
      <c r="Q707">
        <v>0</v>
      </c>
      <c r="R707">
        <v>0</v>
      </c>
      <c r="S707">
        <v>0</v>
      </c>
      <c r="T707">
        <v>0</v>
      </c>
      <c r="U707">
        <v>15</v>
      </c>
      <c r="V707">
        <v>112</v>
      </c>
      <c r="W707">
        <v>3600</v>
      </c>
      <c r="X707">
        <v>310</v>
      </c>
      <c r="Y707">
        <v>0</v>
      </c>
      <c r="Z707" cm="1">
        <f t="array" ref="Z707">MMULT($G707:$Y707,'Nelson Factor_2019'!$B$1:$B$19)/$G707</f>
        <v>9.6505732217573215</v>
      </c>
      <c r="AA707" cm="1">
        <f t="array" ref="AA707">MMULT($G707:$R707,'Nelson Factor_2019'!$B$1:$B$12)/$G707</f>
        <v>9.3387447698744772</v>
      </c>
    </row>
    <row r="708" spans="1:27" x14ac:dyDescent="0.25">
      <c r="A708">
        <v>2010</v>
      </c>
      <c r="B708">
        <v>3</v>
      </c>
      <c r="C708">
        <v>6</v>
      </c>
      <c r="D708" t="s">
        <v>99</v>
      </c>
      <c r="E708" t="s">
        <v>54</v>
      </c>
      <c r="F708" t="s">
        <v>109</v>
      </c>
      <c r="G708">
        <v>504500</v>
      </c>
      <c r="H708">
        <v>233000</v>
      </c>
      <c r="I708">
        <v>116000</v>
      </c>
      <c r="J708">
        <v>0</v>
      </c>
      <c r="K708">
        <v>231000</v>
      </c>
      <c r="L708">
        <v>75500</v>
      </c>
      <c r="M708">
        <v>26500</v>
      </c>
      <c r="N708">
        <v>455500</v>
      </c>
      <c r="O708">
        <v>38500</v>
      </c>
      <c r="P708">
        <v>9500</v>
      </c>
      <c r="Q708">
        <v>0</v>
      </c>
      <c r="R708">
        <v>0</v>
      </c>
      <c r="S708">
        <v>16000</v>
      </c>
      <c r="T708">
        <v>0</v>
      </c>
      <c r="U708">
        <v>0</v>
      </c>
      <c r="V708">
        <v>12</v>
      </c>
      <c r="W708">
        <v>5430</v>
      </c>
      <c r="X708">
        <v>690</v>
      </c>
      <c r="Y708">
        <v>0</v>
      </c>
      <c r="Z708" cm="1">
        <f t="array" ref="Z708">MMULT($G708:$Y708,'Nelson Factor_2019'!$B$1:$B$19)/$G708</f>
        <v>12.680400396432111</v>
      </c>
      <c r="AA708" cm="1">
        <f t="array" ref="AA708">MMULT($G708:$R708,'Nelson Factor_2019'!$B$1:$B$12)/$G708</f>
        <v>10.449256689791873</v>
      </c>
    </row>
    <row r="709" spans="1:27" x14ac:dyDescent="0.25">
      <c r="A709">
        <v>2010</v>
      </c>
      <c r="B709">
        <v>3</v>
      </c>
      <c r="C709">
        <v>6</v>
      </c>
      <c r="D709" t="s">
        <v>99</v>
      </c>
      <c r="E709" t="s">
        <v>232</v>
      </c>
      <c r="F709" t="s">
        <v>111</v>
      </c>
      <c r="G709">
        <v>436000</v>
      </c>
      <c r="H709">
        <v>225500</v>
      </c>
      <c r="I709">
        <v>80700</v>
      </c>
      <c r="J709">
        <v>0</v>
      </c>
      <c r="K709">
        <v>124500</v>
      </c>
      <c r="L709">
        <v>107900</v>
      </c>
      <c r="M709">
        <v>67100</v>
      </c>
      <c r="N709">
        <v>435500</v>
      </c>
      <c r="O709">
        <v>26600</v>
      </c>
      <c r="P709">
        <v>0</v>
      </c>
      <c r="Q709">
        <v>0</v>
      </c>
      <c r="R709">
        <v>41400</v>
      </c>
      <c r="S709">
        <v>0</v>
      </c>
      <c r="T709">
        <v>0</v>
      </c>
      <c r="U709">
        <v>0</v>
      </c>
      <c r="V709">
        <v>0</v>
      </c>
      <c r="W709">
        <v>4736</v>
      </c>
      <c r="X709">
        <v>1136</v>
      </c>
      <c r="Y709">
        <v>28500</v>
      </c>
      <c r="Z709" cm="1">
        <f t="array" ref="Z709">MMULT($G709:$Y709,'Nelson Factor_2019'!$B$1:$B$19)/$G709</f>
        <v>11.357889908256881</v>
      </c>
      <c r="AA709" cm="1">
        <f t="array" ref="AA709">MMULT($G709:$R709,'Nelson Factor_2019'!$B$1:$B$12)/$G709</f>
        <v>10.634518348623853</v>
      </c>
    </row>
    <row r="710" spans="1:27" x14ac:dyDescent="0.25">
      <c r="A710">
        <v>2010</v>
      </c>
      <c r="B710">
        <v>3</v>
      </c>
      <c r="C710">
        <v>3</v>
      </c>
      <c r="D710" t="s">
        <v>99</v>
      </c>
      <c r="E710" t="s">
        <v>112</v>
      </c>
      <c r="F710" t="s">
        <v>113</v>
      </c>
      <c r="G710">
        <v>227000</v>
      </c>
      <c r="H710">
        <v>104000</v>
      </c>
      <c r="I710">
        <v>0</v>
      </c>
      <c r="J710">
        <v>12520</v>
      </c>
      <c r="K710">
        <v>86000</v>
      </c>
      <c r="L710">
        <v>36000</v>
      </c>
      <c r="M710">
        <v>51780</v>
      </c>
      <c r="N710">
        <v>216000</v>
      </c>
      <c r="O710">
        <v>14000</v>
      </c>
      <c r="P710">
        <v>4000</v>
      </c>
      <c r="Q710">
        <v>0</v>
      </c>
      <c r="R710">
        <v>12000</v>
      </c>
      <c r="S710">
        <v>0</v>
      </c>
      <c r="T710">
        <v>0</v>
      </c>
      <c r="U710">
        <v>58</v>
      </c>
      <c r="V710">
        <v>0</v>
      </c>
      <c r="W710">
        <v>0</v>
      </c>
      <c r="X710">
        <v>640</v>
      </c>
      <c r="Y710">
        <v>0</v>
      </c>
      <c r="Z710" cm="1">
        <f t="array" ref="Z710">MMULT($G710:$Y710,'Nelson Factor_2019'!$B$1:$B$19)/$G710</f>
        <v>10.645497797356828</v>
      </c>
      <c r="AA710" cm="1">
        <f t="array" ref="AA710">MMULT($G710:$R710,'Nelson Factor_2019'!$B$1:$B$12)/$G710</f>
        <v>9.9685903083700449</v>
      </c>
    </row>
    <row r="711" spans="1:27" x14ac:dyDescent="0.25">
      <c r="A711">
        <v>2010</v>
      </c>
      <c r="B711">
        <v>3</v>
      </c>
      <c r="C711">
        <v>6</v>
      </c>
      <c r="D711" t="s">
        <v>99</v>
      </c>
      <c r="E711" t="s">
        <v>112</v>
      </c>
      <c r="F711" t="s">
        <v>114</v>
      </c>
      <c r="G711">
        <v>220000</v>
      </c>
      <c r="H711">
        <v>78000</v>
      </c>
      <c r="I711">
        <v>21380</v>
      </c>
      <c r="J711">
        <v>0</v>
      </c>
      <c r="K711">
        <v>107000</v>
      </c>
      <c r="L711">
        <v>20000</v>
      </c>
      <c r="M711">
        <v>31000</v>
      </c>
      <c r="N711">
        <v>123500</v>
      </c>
      <c r="O711">
        <v>14000</v>
      </c>
      <c r="P711">
        <v>7780</v>
      </c>
      <c r="Q711">
        <v>0</v>
      </c>
      <c r="R711">
        <v>0</v>
      </c>
      <c r="S711">
        <v>0</v>
      </c>
      <c r="T711">
        <v>8000</v>
      </c>
      <c r="U711">
        <v>50</v>
      </c>
      <c r="V711">
        <v>0</v>
      </c>
      <c r="W711">
        <v>1020</v>
      </c>
      <c r="X711">
        <v>140</v>
      </c>
      <c r="Y711">
        <v>0</v>
      </c>
      <c r="Z711" cm="1">
        <f t="array" ref="Z711">MMULT($G711:$Y711,'Nelson Factor_2019'!$B$1:$B$19)/$G711</f>
        <v>9.5997727272727271</v>
      </c>
      <c r="AA711" cm="1">
        <f t="array" ref="AA711">MMULT($G711:$R711,'Nelson Factor_2019'!$B$1:$B$12)/$G711</f>
        <v>9.0831818181818189</v>
      </c>
    </row>
    <row r="712" spans="1:27" x14ac:dyDescent="0.25">
      <c r="A712">
        <v>2010</v>
      </c>
      <c r="B712">
        <v>3</v>
      </c>
      <c r="C712">
        <v>1</v>
      </c>
      <c r="D712" t="s">
        <v>99</v>
      </c>
      <c r="E712" t="s">
        <v>115</v>
      </c>
      <c r="F712" t="s">
        <v>116</v>
      </c>
      <c r="G712">
        <v>125000</v>
      </c>
      <c r="H712">
        <v>50000</v>
      </c>
      <c r="I712">
        <v>0</v>
      </c>
      <c r="J712">
        <v>0</v>
      </c>
      <c r="K712">
        <v>37000</v>
      </c>
      <c r="L712">
        <v>0</v>
      </c>
      <c r="M712">
        <v>0</v>
      </c>
      <c r="N712">
        <v>123750</v>
      </c>
      <c r="O712">
        <v>8500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1800</v>
      </c>
      <c r="Y712">
        <v>0</v>
      </c>
      <c r="Z712" cm="1">
        <f t="array" ref="Z712">MMULT($G712:$Y712,'Nelson Factor_2019'!$B$1:$B$19)/$G712</f>
        <v>9.907</v>
      </c>
      <c r="AA712" cm="1">
        <f t="array" ref="AA712">MMULT($G712:$R712,'Nelson Factor_2019'!$B$1:$B$12)/$G712</f>
        <v>6.4509999999999996</v>
      </c>
    </row>
    <row r="713" spans="1:27" x14ac:dyDescent="0.25">
      <c r="A713">
        <v>2010</v>
      </c>
      <c r="B713">
        <v>3</v>
      </c>
      <c r="C713">
        <v>1</v>
      </c>
      <c r="D713" t="s">
        <v>99</v>
      </c>
      <c r="E713" t="s">
        <v>117</v>
      </c>
      <c r="F713" t="s">
        <v>118</v>
      </c>
      <c r="G713">
        <v>55100</v>
      </c>
      <c r="H713">
        <v>25650</v>
      </c>
      <c r="I713">
        <v>0</v>
      </c>
      <c r="J713">
        <v>0</v>
      </c>
      <c r="K713">
        <v>22500</v>
      </c>
      <c r="L713">
        <v>9900</v>
      </c>
      <c r="M713">
        <v>0</v>
      </c>
      <c r="N713">
        <v>44100</v>
      </c>
      <c r="O713">
        <v>6750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56</v>
      </c>
      <c r="Y713">
        <v>0</v>
      </c>
      <c r="Z713" cm="1">
        <f t="array" ref="Z713">MMULT($G713:$Y713,'Nelson Factor_2019'!$B$1:$B$19)/$G713</f>
        <v>8.4235027223230485</v>
      </c>
      <c r="AA713" cm="1">
        <f t="array" ref="AA713">MMULT($G713:$R713,'Nelson Factor_2019'!$B$1:$B$12)/$G713</f>
        <v>8.1795825771324857</v>
      </c>
    </row>
    <row r="714" spans="1:27" x14ac:dyDescent="0.25">
      <c r="A714">
        <v>2010</v>
      </c>
      <c r="B714">
        <v>3</v>
      </c>
      <c r="C714">
        <v>0</v>
      </c>
      <c r="D714" t="s">
        <v>99</v>
      </c>
      <c r="E714" t="s">
        <v>27</v>
      </c>
      <c r="F714" t="s">
        <v>119</v>
      </c>
      <c r="G714">
        <v>55000</v>
      </c>
      <c r="H714">
        <v>28000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 cm="1">
        <f t="array" ref="Z714">MMULT($G714:$Y714,'Nelson Factor_2019'!$B$1:$B$19)/$G714</f>
        <v>1.6618181818181819</v>
      </c>
      <c r="AA714" cm="1">
        <f t="array" ref="AA714">MMULT($G714:$R714,'Nelson Factor_2019'!$B$1:$B$12)/$G714</f>
        <v>1.6618181818181819</v>
      </c>
    </row>
    <row r="715" spans="1:27" x14ac:dyDescent="0.25">
      <c r="A715">
        <v>2010</v>
      </c>
      <c r="B715">
        <v>3</v>
      </c>
      <c r="C715">
        <v>4</v>
      </c>
      <c r="D715" t="s">
        <v>99</v>
      </c>
      <c r="E715" t="s">
        <v>66</v>
      </c>
      <c r="F715" t="s">
        <v>114</v>
      </c>
      <c r="G715">
        <v>310000</v>
      </c>
      <c r="H715">
        <v>200000</v>
      </c>
      <c r="I715">
        <v>70400</v>
      </c>
      <c r="J715">
        <v>0</v>
      </c>
      <c r="K715">
        <v>100000</v>
      </c>
      <c r="L715">
        <v>25000</v>
      </c>
      <c r="M715">
        <v>0</v>
      </c>
      <c r="N715">
        <v>131100</v>
      </c>
      <c r="O715">
        <v>19000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4500</v>
      </c>
      <c r="X715">
        <v>450</v>
      </c>
      <c r="Y715">
        <v>0</v>
      </c>
      <c r="Z715" cm="1">
        <f t="array" ref="Z715">MMULT($G715:$Y715,'Nelson Factor_2019'!$B$1:$B$19)/$G715</f>
        <v>7.899193548387097</v>
      </c>
      <c r="AA715" cm="1">
        <f t="array" ref="AA715">MMULT($G715:$R715,'Nelson Factor_2019'!$B$1:$B$12)/$G715</f>
        <v>7.5508064516129032</v>
      </c>
    </row>
    <row r="716" spans="1:27" x14ac:dyDescent="0.25">
      <c r="A716">
        <v>2010</v>
      </c>
      <c r="B716">
        <v>2</v>
      </c>
      <c r="C716">
        <v>1</v>
      </c>
      <c r="D716" t="s">
        <v>121</v>
      </c>
      <c r="E716" t="s">
        <v>234</v>
      </c>
      <c r="F716" t="s">
        <v>122</v>
      </c>
      <c r="G716">
        <v>102000</v>
      </c>
      <c r="H716">
        <v>52300</v>
      </c>
      <c r="I716">
        <v>0</v>
      </c>
      <c r="J716">
        <v>0</v>
      </c>
      <c r="K716">
        <v>30900</v>
      </c>
      <c r="L716">
        <v>20400</v>
      </c>
      <c r="M716">
        <v>0</v>
      </c>
      <c r="N716">
        <v>96000</v>
      </c>
      <c r="O716">
        <v>4800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132</v>
      </c>
      <c r="Y716">
        <v>21900</v>
      </c>
      <c r="Z716" cm="1">
        <f t="array" ref="Z716">MMULT($G716:$Y716,'Nelson Factor_2019'!$B$1:$B$19)/$G716</f>
        <v>7.9403921568627451</v>
      </c>
      <c r="AA716" cm="1">
        <f t="array" ref="AA716">MMULT($G716:$R716,'Nelson Factor_2019'!$B$1:$B$12)/$G716</f>
        <v>7.3077450980392156</v>
      </c>
    </row>
    <row r="717" spans="1:27" x14ac:dyDescent="0.25">
      <c r="A717">
        <v>2010</v>
      </c>
      <c r="B717">
        <v>2</v>
      </c>
      <c r="C717">
        <v>6</v>
      </c>
      <c r="D717" t="s">
        <v>123</v>
      </c>
      <c r="E717" t="s">
        <v>35</v>
      </c>
      <c r="F717" t="s">
        <v>124</v>
      </c>
      <c r="G717">
        <v>322050</v>
      </c>
      <c r="H717">
        <v>185250</v>
      </c>
      <c r="I717">
        <v>63720</v>
      </c>
      <c r="J717">
        <v>0</v>
      </c>
      <c r="K717">
        <v>77850</v>
      </c>
      <c r="L717">
        <v>46170</v>
      </c>
      <c r="M717">
        <v>36000</v>
      </c>
      <c r="N717">
        <v>287550</v>
      </c>
      <c r="O717">
        <v>11250</v>
      </c>
      <c r="P717">
        <v>4140</v>
      </c>
      <c r="Q717">
        <v>0</v>
      </c>
      <c r="R717">
        <v>16200</v>
      </c>
      <c r="S717">
        <v>0</v>
      </c>
      <c r="T717">
        <v>0</v>
      </c>
      <c r="U717">
        <v>157.5</v>
      </c>
      <c r="V717">
        <v>9</v>
      </c>
      <c r="W717">
        <v>3690</v>
      </c>
      <c r="X717">
        <v>990</v>
      </c>
      <c r="Y717">
        <v>40500</v>
      </c>
      <c r="Z717" cm="1">
        <f t="array" ref="Z717">MMULT($G717:$Y717,'Nelson Factor_2019'!$B$1:$B$19)/$G717</f>
        <v>10.081094550535632</v>
      </c>
      <c r="AA717" cm="1">
        <f t="array" ref="AA717">MMULT($G717:$R717,'Nelson Factor_2019'!$B$1:$B$12)/$G717</f>
        <v>9.1541686073591055</v>
      </c>
    </row>
    <row r="718" spans="1:27" x14ac:dyDescent="0.25">
      <c r="A718">
        <v>2010</v>
      </c>
      <c r="B718">
        <v>2</v>
      </c>
      <c r="C718">
        <v>1</v>
      </c>
      <c r="D718" t="s">
        <v>123</v>
      </c>
      <c r="E718" t="s">
        <v>234</v>
      </c>
      <c r="F718" t="s">
        <v>125</v>
      </c>
      <c r="G718">
        <v>74000</v>
      </c>
      <c r="H718">
        <v>39400</v>
      </c>
      <c r="I718">
        <v>0</v>
      </c>
      <c r="J718">
        <v>0</v>
      </c>
      <c r="K718">
        <v>27100</v>
      </c>
      <c r="L718">
        <v>18500</v>
      </c>
      <c r="M718">
        <v>0</v>
      </c>
      <c r="N718">
        <v>75000</v>
      </c>
      <c r="O718">
        <v>5200</v>
      </c>
      <c r="P718">
        <v>0</v>
      </c>
      <c r="Q718">
        <v>0</v>
      </c>
      <c r="R718">
        <v>10000</v>
      </c>
      <c r="S718">
        <v>0</v>
      </c>
      <c r="T718">
        <v>0</v>
      </c>
      <c r="U718">
        <v>8</v>
      </c>
      <c r="V718">
        <v>0</v>
      </c>
      <c r="W718">
        <v>0</v>
      </c>
      <c r="X718">
        <v>111</v>
      </c>
      <c r="Y718">
        <v>12400</v>
      </c>
      <c r="Z718" cm="1">
        <f t="array" ref="Z718">MMULT($G718:$Y718,'Nelson Factor_2019'!$B$1:$B$19)/$G718</f>
        <v>9.3928108108108113</v>
      </c>
      <c r="AA718" cm="1">
        <f t="array" ref="AA718">MMULT($G718:$R718,'Nelson Factor_2019'!$B$1:$B$12)/$G718</f>
        <v>8.7813513513513506</v>
      </c>
    </row>
    <row r="719" spans="1:27" x14ac:dyDescent="0.25">
      <c r="A719">
        <v>2010</v>
      </c>
      <c r="B719">
        <v>3</v>
      </c>
      <c r="C719">
        <v>6</v>
      </c>
      <c r="D719" t="s">
        <v>126</v>
      </c>
      <c r="E719" t="s">
        <v>227</v>
      </c>
      <c r="F719" t="s">
        <v>127</v>
      </c>
      <c r="G719">
        <v>330000</v>
      </c>
      <c r="H719">
        <v>240000</v>
      </c>
      <c r="I719">
        <v>98000</v>
      </c>
      <c r="J719">
        <v>0</v>
      </c>
      <c r="K719">
        <v>86000</v>
      </c>
      <c r="L719">
        <v>71000</v>
      </c>
      <c r="M719">
        <v>58000</v>
      </c>
      <c r="N719">
        <v>238500</v>
      </c>
      <c r="O719">
        <v>14800</v>
      </c>
      <c r="P719">
        <v>2100</v>
      </c>
      <c r="Q719">
        <v>19000</v>
      </c>
      <c r="R719">
        <v>0</v>
      </c>
      <c r="S719">
        <v>0</v>
      </c>
      <c r="T719">
        <v>0</v>
      </c>
      <c r="U719">
        <v>205</v>
      </c>
      <c r="V719">
        <v>0</v>
      </c>
      <c r="W719">
        <v>6440</v>
      </c>
      <c r="X719">
        <v>1067</v>
      </c>
      <c r="Y719">
        <v>0</v>
      </c>
      <c r="Z719" cm="1">
        <f t="array" ref="Z719">MMULT($G719:$Y719,'Nelson Factor_2019'!$B$1:$B$19)/$G719</f>
        <v>12.465257575757576</v>
      </c>
      <c r="AA719" cm="1">
        <f t="array" ref="AA719">MMULT($G719:$R719,'Nelson Factor_2019'!$B$1:$B$12)/$G719</f>
        <v>11.688636363636364</v>
      </c>
    </row>
    <row r="720" spans="1:27" x14ac:dyDescent="0.25">
      <c r="A720">
        <v>2010</v>
      </c>
      <c r="B720">
        <v>3</v>
      </c>
      <c r="C720">
        <v>0</v>
      </c>
      <c r="D720" t="s">
        <v>126</v>
      </c>
      <c r="E720" t="s">
        <v>128</v>
      </c>
      <c r="F720" t="s">
        <v>129</v>
      </c>
      <c r="G720">
        <v>23000</v>
      </c>
      <c r="H720">
        <v>10200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20000</v>
      </c>
      <c r="O720">
        <v>0</v>
      </c>
      <c r="P720">
        <v>0</v>
      </c>
      <c r="Q720">
        <v>0</v>
      </c>
      <c r="R720">
        <v>0</v>
      </c>
      <c r="S720">
        <v>19300</v>
      </c>
      <c r="T720">
        <v>0</v>
      </c>
      <c r="U720">
        <v>13</v>
      </c>
      <c r="V720">
        <v>0</v>
      </c>
      <c r="W720">
        <v>0</v>
      </c>
      <c r="X720">
        <v>0</v>
      </c>
      <c r="Y720">
        <v>9600</v>
      </c>
      <c r="Z720" cm="1">
        <f t="array" ref="Z720">MMULT($G720:$Y720,'Nelson Factor_2019'!$B$1:$B$19)/$G720</f>
        <v>54.72491304347826</v>
      </c>
      <c r="AA720" cm="1">
        <f t="array" ref="AA720">MMULT($G720:$R720,'Nelson Factor_2019'!$B$1:$B$12)/$G720</f>
        <v>3.7504347826086954</v>
      </c>
    </row>
    <row r="721" spans="1:27" x14ac:dyDescent="0.25">
      <c r="A721">
        <v>2010</v>
      </c>
      <c r="B721">
        <v>4</v>
      </c>
      <c r="C721">
        <v>4</v>
      </c>
      <c r="D721" t="s">
        <v>130</v>
      </c>
      <c r="E721" t="s">
        <v>235</v>
      </c>
      <c r="F721" t="s">
        <v>132</v>
      </c>
      <c r="G721">
        <v>59600</v>
      </c>
      <c r="H721">
        <v>31300</v>
      </c>
      <c r="I721">
        <v>15000</v>
      </c>
      <c r="J721">
        <v>0</v>
      </c>
      <c r="K721">
        <v>14000</v>
      </c>
      <c r="L721">
        <v>12500</v>
      </c>
      <c r="M721">
        <v>0</v>
      </c>
      <c r="N721">
        <v>51600</v>
      </c>
      <c r="O721">
        <v>4300</v>
      </c>
      <c r="P721">
        <v>0</v>
      </c>
      <c r="Q721">
        <v>0</v>
      </c>
      <c r="R721">
        <v>2500</v>
      </c>
      <c r="S721">
        <v>0</v>
      </c>
      <c r="T721">
        <v>0</v>
      </c>
      <c r="U721">
        <v>21</v>
      </c>
      <c r="V721">
        <v>21</v>
      </c>
      <c r="W721">
        <v>0</v>
      </c>
      <c r="X721">
        <v>90</v>
      </c>
      <c r="Y721">
        <v>19000</v>
      </c>
      <c r="Z721" cm="1">
        <f t="array" ref="Z721">MMULT($G721:$Y721,'Nelson Factor_2019'!$B$1:$B$19)/$G721</f>
        <v>9.8814093959731544</v>
      </c>
      <c r="AA721" cm="1">
        <f t="array" ref="AA721">MMULT($G721:$R721,'Nelson Factor_2019'!$B$1:$B$12)/$G721</f>
        <v>9.0401006711409391</v>
      </c>
    </row>
    <row r="722" spans="1:27" x14ac:dyDescent="0.25">
      <c r="A722">
        <v>2010</v>
      </c>
      <c r="B722">
        <v>4</v>
      </c>
      <c r="C722">
        <v>4</v>
      </c>
      <c r="D722" t="s">
        <v>130</v>
      </c>
      <c r="E722" t="s">
        <v>51</v>
      </c>
      <c r="F722" t="s">
        <v>133</v>
      </c>
      <c r="G722">
        <v>58000</v>
      </c>
      <c r="H722">
        <v>35000</v>
      </c>
      <c r="I722">
        <v>20000</v>
      </c>
      <c r="J722">
        <v>0</v>
      </c>
      <c r="K722">
        <v>19400</v>
      </c>
      <c r="L722">
        <v>12200</v>
      </c>
      <c r="M722">
        <v>0</v>
      </c>
      <c r="N722">
        <v>72000</v>
      </c>
      <c r="O722">
        <v>6800</v>
      </c>
      <c r="P722">
        <v>0</v>
      </c>
      <c r="Q722">
        <v>0</v>
      </c>
      <c r="R722">
        <v>3600</v>
      </c>
      <c r="S722">
        <v>0</v>
      </c>
      <c r="T722">
        <v>0</v>
      </c>
      <c r="U722">
        <v>32.799999999999997</v>
      </c>
      <c r="V722">
        <v>61.599999999999994</v>
      </c>
      <c r="W722">
        <v>1020</v>
      </c>
      <c r="X722">
        <v>224</v>
      </c>
      <c r="Y722">
        <v>0</v>
      </c>
      <c r="Z722" cm="1">
        <f t="array" ref="Z722">MMULT($G722:$Y722,'Nelson Factor_2019'!$B$1:$B$19)/$G722</f>
        <v>12.819903448275863</v>
      </c>
      <c r="AA722" cm="1">
        <f t="array" ref="AA722">MMULT($G722:$R722,'Nelson Factor_2019'!$B$1:$B$12)/$G722</f>
        <v>11.891379310344828</v>
      </c>
    </row>
    <row r="723" spans="1:27" x14ac:dyDescent="0.25">
      <c r="A723">
        <v>2010</v>
      </c>
      <c r="B723">
        <v>4</v>
      </c>
      <c r="C723">
        <v>6</v>
      </c>
      <c r="D723" t="s">
        <v>130</v>
      </c>
      <c r="E723" t="s">
        <v>54</v>
      </c>
      <c r="F723" t="s">
        <v>133</v>
      </c>
      <c r="G723">
        <v>60000</v>
      </c>
      <c r="H723">
        <v>27500</v>
      </c>
      <c r="I723">
        <v>10000</v>
      </c>
      <c r="J723">
        <v>0</v>
      </c>
      <c r="K723">
        <v>21000</v>
      </c>
      <c r="L723">
        <v>12000</v>
      </c>
      <c r="M723">
        <v>5500</v>
      </c>
      <c r="N723">
        <v>61500</v>
      </c>
      <c r="O723">
        <v>5000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22</v>
      </c>
      <c r="V723">
        <v>4.5</v>
      </c>
      <c r="W723">
        <v>490</v>
      </c>
      <c r="X723">
        <v>0</v>
      </c>
      <c r="Y723">
        <v>14500</v>
      </c>
      <c r="Z723" cm="1">
        <f t="array" ref="Z723">MMULT($G723:$Y723,'Nelson Factor_2019'!$B$1:$B$19)/$G723</f>
        <v>10.437941666666667</v>
      </c>
      <c r="AA723" cm="1">
        <f t="array" ref="AA723">MMULT($G723:$R723,'Nelson Factor_2019'!$B$1:$B$12)/$G723</f>
        <v>10.074999999999999</v>
      </c>
    </row>
    <row r="724" spans="1:27" x14ac:dyDescent="0.25">
      <c r="A724">
        <v>2010</v>
      </c>
      <c r="B724">
        <v>4</v>
      </c>
      <c r="C724">
        <v>1</v>
      </c>
      <c r="D724" t="s">
        <v>130</v>
      </c>
      <c r="E724" t="s">
        <v>134</v>
      </c>
      <c r="F724" t="s">
        <v>135</v>
      </c>
      <c r="G724">
        <v>9500</v>
      </c>
      <c r="H724">
        <v>5000</v>
      </c>
      <c r="I724">
        <v>0</v>
      </c>
      <c r="J724">
        <v>0</v>
      </c>
      <c r="K724">
        <v>2800</v>
      </c>
      <c r="L724">
        <v>1000</v>
      </c>
      <c r="M724">
        <v>0</v>
      </c>
      <c r="N724">
        <v>7100</v>
      </c>
      <c r="O724">
        <v>1000</v>
      </c>
      <c r="P724">
        <v>400</v>
      </c>
      <c r="Q724">
        <v>0</v>
      </c>
      <c r="R724">
        <v>700</v>
      </c>
      <c r="S724">
        <v>0</v>
      </c>
      <c r="T724">
        <v>0</v>
      </c>
      <c r="U724">
        <v>5</v>
      </c>
      <c r="V724">
        <v>0</v>
      </c>
      <c r="W724">
        <v>0</v>
      </c>
      <c r="X724">
        <v>0</v>
      </c>
      <c r="Y724">
        <v>3800</v>
      </c>
      <c r="Z724" cm="1">
        <f t="array" ref="Z724">MMULT($G724:$Y724,'Nelson Factor_2019'!$B$1:$B$19)/$G724</f>
        <v>8.142631578947368</v>
      </c>
      <c r="AA724" cm="1">
        <f t="array" ref="AA724">MMULT($G724:$R724,'Nelson Factor_2019'!$B$1:$B$12)/$G724</f>
        <v>7.5421052631578949</v>
      </c>
    </row>
    <row r="725" spans="1:27" x14ac:dyDescent="0.25">
      <c r="A725">
        <v>2010</v>
      </c>
      <c r="B725">
        <v>1</v>
      </c>
      <c r="C725">
        <v>1</v>
      </c>
      <c r="D725" t="s">
        <v>136</v>
      </c>
      <c r="E725" t="s">
        <v>51</v>
      </c>
      <c r="F725" t="s">
        <v>137</v>
      </c>
      <c r="G725">
        <v>238000</v>
      </c>
      <c r="H725">
        <v>71250</v>
      </c>
      <c r="I725">
        <v>0</v>
      </c>
      <c r="J725">
        <v>0</v>
      </c>
      <c r="K725">
        <v>130500</v>
      </c>
      <c r="L725">
        <v>28800</v>
      </c>
      <c r="M725">
        <v>0</v>
      </c>
      <c r="N725">
        <v>198000</v>
      </c>
      <c r="O725">
        <v>15750</v>
      </c>
      <c r="P725">
        <v>0</v>
      </c>
      <c r="Q725">
        <v>0</v>
      </c>
      <c r="R725">
        <v>24525</v>
      </c>
      <c r="S725">
        <v>0</v>
      </c>
      <c r="T725">
        <v>0</v>
      </c>
      <c r="U725">
        <v>18</v>
      </c>
      <c r="V725">
        <v>13.1</v>
      </c>
      <c r="W725">
        <v>0</v>
      </c>
      <c r="X725">
        <v>0</v>
      </c>
      <c r="Y725">
        <v>0</v>
      </c>
      <c r="Z725" cm="1">
        <f t="array" ref="Z725">MMULT($G725:$Y725,'Nelson Factor_2019'!$B$1:$B$19)/$G725</f>
        <v>8.3350046218487392</v>
      </c>
      <c r="AA725" cm="1">
        <f t="array" ref="AA725">MMULT($G725:$R725,'Nelson Factor_2019'!$B$1:$B$12)/$G725</f>
        <v>8.3348739495798316</v>
      </c>
    </row>
    <row r="726" spans="1:27" x14ac:dyDescent="0.25">
      <c r="A726">
        <v>2010</v>
      </c>
      <c r="B726">
        <v>1</v>
      </c>
      <c r="C726">
        <v>1</v>
      </c>
      <c r="D726" t="s">
        <v>136</v>
      </c>
      <c r="E726" t="s">
        <v>138</v>
      </c>
      <c r="F726" t="s">
        <v>139</v>
      </c>
      <c r="G726">
        <v>150000</v>
      </c>
      <c r="H726">
        <v>47500</v>
      </c>
      <c r="I726">
        <v>0</v>
      </c>
      <c r="J726">
        <v>0</v>
      </c>
      <c r="K726">
        <v>55000</v>
      </c>
      <c r="L726">
        <v>28000</v>
      </c>
      <c r="M726">
        <v>0</v>
      </c>
      <c r="N726">
        <v>29000</v>
      </c>
      <c r="O726">
        <v>4000</v>
      </c>
      <c r="P726">
        <v>3300</v>
      </c>
      <c r="Q726">
        <v>17000</v>
      </c>
      <c r="R726">
        <v>10000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20</v>
      </c>
      <c r="Y726">
        <v>0</v>
      </c>
      <c r="Z726" cm="1">
        <f t="array" ref="Z726">MMULT($G726:$Y726,'Nelson Factor_2019'!$B$1:$B$19)/$G726</f>
        <v>8.0136666666666674</v>
      </c>
      <c r="AA726" cm="1">
        <f t="array" ref="AA726">MMULT($G726:$R726,'Nelson Factor_2019'!$B$1:$B$12)/$G726</f>
        <v>7.9816666666666665</v>
      </c>
    </row>
    <row r="727" spans="1:27" x14ac:dyDescent="0.25">
      <c r="A727">
        <v>2010</v>
      </c>
      <c r="B727">
        <v>1</v>
      </c>
      <c r="C727">
        <v>4</v>
      </c>
      <c r="D727" t="s">
        <v>136</v>
      </c>
      <c r="E727" t="s">
        <v>66</v>
      </c>
      <c r="F727" t="s">
        <v>140</v>
      </c>
      <c r="G727">
        <v>166000</v>
      </c>
      <c r="H727">
        <v>90000</v>
      </c>
      <c r="I727">
        <v>27000</v>
      </c>
      <c r="J727">
        <v>0</v>
      </c>
      <c r="K727">
        <v>55000</v>
      </c>
      <c r="L727">
        <v>30000</v>
      </c>
      <c r="M727">
        <v>0</v>
      </c>
      <c r="N727">
        <v>141250</v>
      </c>
      <c r="O727">
        <v>11200</v>
      </c>
      <c r="P727">
        <v>0</v>
      </c>
      <c r="Q727">
        <v>0</v>
      </c>
      <c r="R727">
        <v>0</v>
      </c>
      <c r="S727">
        <v>11500</v>
      </c>
      <c r="T727">
        <v>0</v>
      </c>
      <c r="U727">
        <v>13.5</v>
      </c>
      <c r="V727">
        <v>9</v>
      </c>
      <c r="W727">
        <v>1470</v>
      </c>
      <c r="X727">
        <v>230</v>
      </c>
      <c r="Y727">
        <v>16000</v>
      </c>
      <c r="Z727" cm="1">
        <f t="array" ref="Z727">MMULT($G727:$Y727,'Nelson Factor_2019'!$B$1:$B$19)/$G727</f>
        <v>13.252093373493976</v>
      </c>
      <c r="AA727" cm="1">
        <f t="array" ref="AA727">MMULT($G727:$R727,'Nelson Factor_2019'!$B$1:$B$12)/$G727</f>
        <v>8.6182228915662655</v>
      </c>
    </row>
    <row r="728" spans="1:27" x14ac:dyDescent="0.25">
      <c r="A728">
        <v>2010</v>
      </c>
      <c r="B728">
        <v>3</v>
      </c>
      <c r="C728">
        <v>1</v>
      </c>
      <c r="D728" t="s">
        <v>141</v>
      </c>
      <c r="E728" t="s">
        <v>197</v>
      </c>
      <c r="F728" t="s">
        <v>143</v>
      </c>
      <c r="G728">
        <v>17000</v>
      </c>
      <c r="H728">
        <v>0</v>
      </c>
      <c r="I728">
        <v>0</v>
      </c>
      <c r="J728">
        <v>0</v>
      </c>
      <c r="K728">
        <v>5000</v>
      </c>
      <c r="L728">
        <v>5100</v>
      </c>
      <c r="M728">
        <v>0</v>
      </c>
      <c r="N728">
        <v>7800</v>
      </c>
      <c r="O728">
        <v>0</v>
      </c>
      <c r="P728">
        <v>2000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1</v>
      </c>
      <c r="Y728">
        <v>0</v>
      </c>
      <c r="Z728" cm="1">
        <f t="array" ref="Z728">MMULT($G728:$Y728,'Nelson Factor_2019'!$B$1:$B$19)/$G728</f>
        <v>6.6023529411764708</v>
      </c>
      <c r="AA728" cm="1">
        <f t="array" ref="AA728">MMULT($G728:$R728,'Nelson Factor_2019'!$B$1:$B$12)/$G728</f>
        <v>6.5882352941176467</v>
      </c>
    </row>
    <row r="729" spans="1:27" x14ac:dyDescent="0.25">
      <c r="A729">
        <v>2010</v>
      </c>
      <c r="B729">
        <v>3</v>
      </c>
      <c r="C729">
        <v>1</v>
      </c>
      <c r="D729" t="s">
        <v>141</v>
      </c>
      <c r="E729" t="s">
        <v>197</v>
      </c>
      <c r="F729" t="s">
        <v>144</v>
      </c>
      <c r="G729">
        <v>23000</v>
      </c>
      <c r="H729">
        <v>0</v>
      </c>
      <c r="I729">
        <v>0</v>
      </c>
      <c r="J729">
        <v>0</v>
      </c>
      <c r="K729">
        <v>7000</v>
      </c>
      <c r="L729">
        <v>8000</v>
      </c>
      <c r="M729">
        <v>0</v>
      </c>
      <c r="N729">
        <v>11500</v>
      </c>
      <c r="O729">
        <v>2500</v>
      </c>
      <c r="P729">
        <v>0</v>
      </c>
      <c r="Q729">
        <v>0</v>
      </c>
      <c r="R729">
        <v>5000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2</v>
      </c>
      <c r="Y729">
        <v>0</v>
      </c>
      <c r="Z729" cm="1">
        <f t="array" ref="Z729">MMULT($G729:$Y729,'Nelson Factor_2019'!$B$1:$B$19)/$G729</f>
        <v>7.5752173913043475</v>
      </c>
      <c r="AA729" cm="1">
        <f t="array" ref="AA729">MMULT($G729:$R729,'Nelson Factor_2019'!$B$1:$B$12)/$G729</f>
        <v>7.5543478260869561</v>
      </c>
    </row>
    <row r="730" spans="1:27" x14ac:dyDescent="0.25">
      <c r="A730">
        <v>2010</v>
      </c>
      <c r="B730">
        <v>3</v>
      </c>
      <c r="C730">
        <v>1</v>
      </c>
      <c r="D730" t="s">
        <v>141</v>
      </c>
      <c r="E730" t="s">
        <v>202</v>
      </c>
      <c r="F730" t="s">
        <v>146</v>
      </c>
      <c r="G730">
        <v>100000</v>
      </c>
      <c r="H730">
        <v>25000</v>
      </c>
      <c r="I730">
        <v>0</v>
      </c>
      <c r="J730">
        <v>0</v>
      </c>
      <c r="K730">
        <v>27000</v>
      </c>
      <c r="L730">
        <v>24000</v>
      </c>
      <c r="M730">
        <v>0</v>
      </c>
      <c r="N730">
        <v>97400</v>
      </c>
      <c r="O730">
        <v>9000</v>
      </c>
      <c r="P730">
        <v>0</v>
      </c>
      <c r="Q730">
        <v>0</v>
      </c>
      <c r="R730">
        <v>11000</v>
      </c>
      <c r="S730">
        <v>0</v>
      </c>
      <c r="T730">
        <v>0</v>
      </c>
      <c r="U730">
        <v>9</v>
      </c>
      <c r="V730">
        <v>0</v>
      </c>
      <c r="W730">
        <v>0</v>
      </c>
      <c r="X730">
        <v>110</v>
      </c>
      <c r="Y730">
        <v>5000</v>
      </c>
      <c r="Z730" cm="1">
        <f t="array" ref="Z730">MMULT($G730:$Y730,'Nelson Factor_2019'!$B$1:$B$19)/$G730</f>
        <v>8.1490899999999993</v>
      </c>
      <c r="AA730" cm="1">
        <f t="array" ref="AA730">MMULT($G730:$R730,'Nelson Factor_2019'!$B$1:$B$12)/$G730</f>
        <v>7.81</v>
      </c>
    </row>
    <row r="731" spans="1:27" x14ac:dyDescent="0.25">
      <c r="A731">
        <v>2010</v>
      </c>
      <c r="B731">
        <v>2</v>
      </c>
      <c r="C731">
        <v>1</v>
      </c>
      <c r="D731" t="s">
        <v>147</v>
      </c>
      <c r="E731" t="s">
        <v>148</v>
      </c>
      <c r="F731" t="s">
        <v>149</v>
      </c>
      <c r="G731">
        <v>58000</v>
      </c>
      <c r="H731">
        <v>0</v>
      </c>
      <c r="I731">
        <v>0</v>
      </c>
      <c r="J731">
        <v>0</v>
      </c>
      <c r="K731">
        <v>25700</v>
      </c>
      <c r="L731">
        <v>11500</v>
      </c>
      <c r="M731">
        <v>0</v>
      </c>
      <c r="N731">
        <v>23600</v>
      </c>
      <c r="O731">
        <v>4200</v>
      </c>
      <c r="P731">
        <v>1100</v>
      </c>
      <c r="Q731">
        <v>0</v>
      </c>
      <c r="R731">
        <v>4800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15</v>
      </c>
      <c r="Y731">
        <v>0</v>
      </c>
      <c r="Z731" cm="1">
        <f t="array" ref="Z731">MMULT($G731:$Y731,'Nelson Factor_2019'!$B$1:$B$19)/$G731</f>
        <v>6.8913793103448278</v>
      </c>
      <c r="AA731" cm="1">
        <f t="array" ref="AA731">MMULT($G731:$R731,'Nelson Factor_2019'!$B$1:$B$12)/$G731</f>
        <v>6.8293103448275865</v>
      </c>
    </row>
    <row r="732" spans="1:27" x14ac:dyDescent="0.25">
      <c r="A732">
        <v>2010</v>
      </c>
      <c r="B732">
        <v>2</v>
      </c>
      <c r="C732">
        <v>6</v>
      </c>
      <c r="D732" t="s">
        <v>150</v>
      </c>
      <c r="E732" t="s">
        <v>32</v>
      </c>
      <c r="F732" t="s">
        <v>151</v>
      </c>
      <c r="G732">
        <v>152000</v>
      </c>
      <c r="H732">
        <v>67925</v>
      </c>
      <c r="I732">
        <v>30510</v>
      </c>
      <c r="J732">
        <v>0</v>
      </c>
      <c r="K732">
        <v>49500</v>
      </c>
      <c r="L732">
        <v>38700</v>
      </c>
      <c r="M732">
        <v>27900</v>
      </c>
      <c r="N732">
        <v>94500</v>
      </c>
      <c r="O732">
        <v>10350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33</v>
      </c>
      <c r="V732">
        <v>23</v>
      </c>
      <c r="W732">
        <v>2006</v>
      </c>
      <c r="X732">
        <v>351</v>
      </c>
      <c r="Y732">
        <v>8100</v>
      </c>
      <c r="Z732" cm="1">
        <f t="array" ref="Z732">MMULT($G732:$Y732,'Nelson Factor_2019'!$B$1:$B$19)/$G732</f>
        <v>10.651470394736842</v>
      </c>
      <c r="AA732" cm="1">
        <f t="array" ref="AA732">MMULT($G732:$R732,'Nelson Factor_2019'!$B$1:$B$12)/$G732</f>
        <v>10.016957236842105</v>
      </c>
    </row>
    <row r="733" spans="1:27" x14ac:dyDescent="0.25">
      <c r="A733">
        <v>2010</v>
      </c>
      <c r="B733">
        <v>2</v>
      </c>
      <c r="C733">
        <v>6</v>
      </c>
      <c r="D733" t="s">
        <v>150</v>
      </c>
      <c r="E733" t="s">
        <v>241</v>
      </c>
      <c r="F733" t="s">
        <v>154</v>
      </c>
      <c r="G733">
        <v>161500</v>
      </c>
      <c r="H733">
        <v>49400</v>
      </c>
      <c r="I733">
        <v>20700</v>
      </c>
      <c r="J733">
        <v>0</v>
      </c>
      <c r="K733">
        <v>36000</v>
      </c>
      <c r="L733">
        <v>49500</v>
      </c>
      <c r="M733">
        <v>23400</v>
      </c>
      <c r="N733">
        <v>88200</v>
      </c>
      <c r="O733">
        <v>0</v>
      </c>
      <c r="P733">
        <v>0</v>
      </c>
      <c r="Q733">
        <v>6300</v>
      </c>
      <c r="R733">
        <v>16200</v>
      </c>
      <c r="S733">
        <v>0</v>
      </c>
      <c r="T733">
        <v>0</v>
      </c>
      <c r="U733">
        <v>0</v>
      </c>
      <c r="V733">
        <v>10.4</v>
      </c>
      <c r="W733">
        <v>800</v>
      </c>
      <c r="X733">
        <v>100</v>
      </c>
      <c r="Y733">
        <v>0</v>
      </c>
      <c r="Z733" cm="1">
        <f t="array" ref="Z733">MMULT($G733:$Y733,'Nelson Factor_2019'!$B$1:$B$19)/$G733</f>
        <v>8.9831603715170267</v>
      </c>
      <c r="AA733" cm="1">
        <f t="array" ref="AA733">MMULT($G733:$R733,'Nelson Factor_2019'!$B$1:$B$12)/$G733</f>
        <v>8.8344891640866869</v>
      </c>
    </row>
    <row r="734" spans="1:27" x14ac:dyDescent="0.25">
      <c r="A734">
        <v>2010</v>
      </c>
      <c r="B734">
        <v>2</v>
      </c>
      <c r="C734">
        <v>1</v>
      </c>
      <c r="D734" t="s">
        <v>150</v>
      </c>
      <c r="E734" t="s">
        <v>234</v>
      </c>
      <c r="F734" t="s">
        <v>152</v>
      </c>
      <c r="G734">
        <v>78000</v>
      </c>
      <c r="H734">
        <v>33200</v>
      </c>
      <c r="I734">
        <v>0</v>
      </c>
      <c r="J734">
        <v>0</v>
      </c>
      <c r="K734">
        <v>24700</v>
      </c>
      <c r="L734">
        <v>17600</v>
      </c>
      <c r="M734">
        <v>0</v>
      </c>
      <c r="N734">
        <v>76600</v>
      </c>
      <c r="O734">
        <v>6700</v>
      </c>
      <c r="P734">
        <v>1000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122</v>
      </c>
      <c r="Y734">
        <v>14000</v>
      </c>
      <c r="Z734" cm="1">
        <f t="array" ref="Z734">MMULT($G734:$Y734,'Nelson Factor_2019'!$B$1:$B$19)/$G734</f>
        <v>8.6684615384615391</v>
      </c>
      <c r="AA734" cm="1">
        <f t="array" ref="AA734">MMULT($G734:$R734,'Nelson Factor_2019'!$B$1:$B$12)/$G734</f>
        <v>8.0238461538461543</v>
      </c>
    </row>
    <row r="735" spans="1:27" x14ac:dyDescent="0.25">
      <c r="A735">
        <v>2010</v>
      </c>
      <c r="B735">
        <v>2</v>
      </c>
      <c r="C735">
        <v>3</v>
      </c>
      <c r="D735" t="s">
        <v>150</v>
      </c>
      <c r="E735" t="s">
        <v>138</v>
      </c>
      <c r="F735" t="s">
        <v>151</v>
      </c>
      <c r="G735">
        <v>170000</v>
      </c>
      <c r="H735">
        <v>30000</v>
      </c>
      <c r="I735">
        <v>0</v>
      </c>
      <c r="J735">
        <v>0</v>
      </c>
      <c r="K735">
        <v>60000</v>
      </c>
      <c r="L735">
        <v>45600</v>
      </c>
      <c r="M735">
        <v>28200</v>
      </c>
      <c r="N735">
        <v>48000</v>
      </c>
      <c r="O735">
        <v>9000</v>
      </c>
      <c r="P735">
        <v>0</v>
      </c>
      <c r="Q735">
        <v>9000</v>
      </c>
      <c r="R735">
        <v>0</v>
      </c>
      <c r="S735">
        <v>0</v>
      </c>
      <c r="T735">
        <v>0</v>
      </c>
      <c r="U735">
        <v>52</v>
      </c>
      <c r="V735">
        <v>0</v>
      </c>
      <c r="W735">
        <v>0</v>
      </c>
      <c r="X735">
        <v>0</v>
      </c>
      <c r="Y735">
        <v>0</v>
      </c>
      <c r="Z735" cm="1">
        <f t="array" ref="Z735">MMULT($G735:$Y735,'Nelson Factor_2019'!$B$1:$B$19)/$G735</f>
        <v>8.3097176470588234</v>
      </c>
      <c r="AA735" cm="1">
        <f t="array" ref="AA735">MMULT($G735:$R735,'Nelson Factor_2019'!$B$1:$B$12)/$G735</f>
        <v>8.3094117647058816</v>
      </c>
    </row>
    <row r="736" spans="1:27" x14ac:dyDescent="0.25">
      <c r="A736">
        <v>2010</v>
      </c>
      <c r="B736">
        <v>2</v>
      </c>
      <c r="C736">
        <v>4</v>
      </c>
      <c r="D736" t="s">
        <v>155</v>
      </c>
      <c r="E736" t="s">
        <v>51</v>
      </c>
      <c r="F736" t="s">
        <v>156</v>
      </c>
      <c r="G736">
        <v>187000</v>
      </c>
      <c r="H736">
        <v>80000</v>
      </c>
      <c r="I736">
        <v>23100</v>
      </c>
      <c r="J736">
        <v>0</v>
      </c>
      <c r="K736">
        <v>59300</v>
      </c>
      <c r="L736">
        <v>44000</v>
      </c>
      <c r="M736">
        <v>0</v>
      </c>
      <c r="N736">
        <v>187100</v>
      </c>
      <c r="O736">
        <v>12400</v>
      </c>
      <c r="P736">
        <v>2400</v>
      </c>
      <c r="Q736">
        <v>0</v>
      </c>
      <c r="R736">
        <v>21000</v>
      </c>
      <c r="S736">
        <v>0</v>
      </c>
      <c r="T736">
        <v>0</v>
      </c>
      <c r="U736">
        <v>31.4</v>
      </c>
      <c r="V736">
        <v>15.4</v>
      </c>
      <c r="W736">
        <v>1045</v>
      </c>
      <c r="X736">
        <v>198</v>
      </c>
      <c r="Y736">
        <v>0</v>
      </c>
      <c r="Z736" cm="1">
        <f t="array" ref="Z736">MMULT($G736:$Y736,'Nelson Factor_2019'!$B$1:$B$19)/$G736</f>
        <v>9.4458117647058817</v>
      </c>
      <c r="AA736" cm="1">
        <f t="array" ref="AA736">MMULT($G736:$R736,'Nelson Factor_2019'!$B$1:$B$12)/$G736</f>
        <v>9.1914438502673796</v>
      </c>
    </row>
    <row r="737" spans="1:27" x14ac:dyDescent="0.25">
      <c r="A737">
        <v>2010</v>
      </c>
      <c r="B737">
        <v>2</v>
      </c>
      <c r="C737">
        <v>4</v>
      </c>
      <c r="D737" t="s">
        <v>155</v>
      </c>
      <c r="E737" t="s">
        <v>202</v>
      </c>
      <c r="F737" t="s">
        <v>160</v>
      </c>
      <c r="G737">
        <v>85000</v>
      </c>
      <c r="H737">
        <v>30000</v>
      </c>
      <c r="I737">
        <v>8500</v>
      </c>
      <c r="J737">
        <v>0</v>
      </c>
      <c r="K737">
        <v>0</v>
      </c>
      <c r="L737">
        <v>17500</v>
      </c>
      <c r="M737">
        <v>0</v>
      </c>
      <c r="N737">
        <v>34500</v>
      </c>
      <c r="O737">
        <v>0</v>
      </c>
      <c r="P737">
        <v>0</v>
      </c>
      <c r="Q737">
        <v>0</v>
      </c>
      <c r="R737">
        <v>0</v>
      </c>
      <c r="S737">
        <v>8500</v>
      </c>
      <c r="T737">
        <v>0</v>
      </c>
      <c r="U737">
        <v>0</v>
      </c>
      <c r="V737">
        <v>0</v>
      </c>
      <c r="W737">
        <v>350</v>
      </c>
      <c r="X737">
        <v>0</v>
      </c>
      <c r="Y737">
        <v>0</v>
      </c>
      <c r="Z737" cm="1">
        <f t="array" ref="Z737">MMULT($G737:$Y737,'Nelson Factor_2019'!$B$1:$B$19)/$G737</f>
        <v>10.252941176470589</v>
      </c>
      <c r="AA737" cm="1">
        <f t="array" ref="AA737">MMULT($G737:$R737,'Nelson Factor_2019'!$B$1:$B$12)/$G737</f>
        <v>4.2529411764705882</v>
      </c>
    </row>
    <row r="738" spans="1:27" x14ac:dyDescent="0.25">
      <c r="A738">
        <v>2010</v>
      </c>
      <c r="B738">
        <v>2</v>
      </c>
      <c r="C738">
        <v>1</v>
      </c>
      <c r="D738" t="s">
        <v>155</v>
      </c>
      <c r="E738" t="s">
        <v>159</v>
      </c>
      <c r="F738" t="s">
        <v>160</v>
      </c>
      <c r="G738">
        <v>75000</v>
      </c>
      <c r="H738">
        <v>25175</v>
      </c>
      <c r="I738">
        <v>0</v>
      </c>
      <c r="J738">
        <v>0</v>
      </c>
      <c r="K738">
        <v>16200</v>
      </c>
      <c r="L738">
        <v>10800</v>
      </c>
      <c r="M738">
        <v>0</v>
      </c>
      <c r="N738">
        <v>26300</v>
      </c>
      <c r="O738">
        <v>2700</v>
      </c>
      <c r="P738">
        <v>0</v>
      </c>
      <c r="Q738">
        <v>0</v>
      </c>
      <c r="R738">
        <v>5400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19</v>
      </c>
      <c r="Y738">
        <v>2250</v>
      </c>
      <c r="Z738" cm="1">
        <f t="array" ref="Z738">MMULT($G738:$Y738,'Nelson Factor_2019'!$B$1:$B$19)/$G738</f>
        <v>5.0108333333333333</v>
      </c>
      <c r="AA738" cm="1">
        <f t="array" ref="AA738">MMULT($G738:$R738,'Nelson Factor_2019'!$B$1:$B$12)/$G738</f>
        <v>4.9050333333333329</v>
      </c>
    </row>
    <row r="739" spans="1:27" x14ac:dyDescent="0.25">
      <c r="A739">
        <v>2010</v>
      </c>
      <c r="B739">
        <v>2</v>
      </c>
      <c r="C739">
        <v>3</v>
      </c>
      <c r="D739" t="s">
        <v>155</v>
      </c>
      <c r="E739" t="s">
        <v>66</v>
      </c>
      <c r="F739" t="s">
        <v>161</v>
      </c>
      <c r="G739">
        <v>91500</v>
      </c>
      <c r="H739">
        <v>32000</v>
      </c>
      <c r="I739">
        <v>0</v>
      </c>
      <c r="J739">
        <v>0</v>
      </c>
      <c r="K739">
        <v>30576</v>
      </c>
      <c r="L739">
        <v>21679</v>
      </c>
      <c r="M739">
        <v>12000</v>
      </c>
      <c r="N739">
        <v>86500</v>
      </c>
      <c r="O739">
        <v>7012</v>
      </c>
      <c r="P739">
        <v>0</v>
      </c>
      <c r="Q739">
        <v>0</v>
      </c>
      <c r="R739">
        <v>7000</v>
      </c>
      <c r="S739">
        <v>0</v>
      </c>
      <c r="T739">
        <v>0</v>
      </c>
      <c r="U739">
        <v>26</v>
      </c>
      <c r="V739">
        <v>26</v>
      </c>
      <c r="W739">
        <v>0</v>
      </c>
      <c r="X739">
        <v>243</v>
      </c>
      <c r="Y739">
        <v>11000</v>
      </c>
      <c r="Z739" cm="1">
        <f t="array" ref="Z739">MMULT($G739:$Y739,'Nelson Factor_2019'!$B$1:$B$19)/$G739</f>
        <v>9.8709617486338797</v>
      </c>
      <c r="AA739" cm="1">
        <f t="array" ref="AA739">MMULT($G739:$R739,'Nelson Factor_2019'!$B$1:$B$12)/$G739</f>
        <v>9.0526885245901632</v>
      </c>
    </row>
    <row r="740" spans="1:27" x14ac:dyDescent="0.25">
      <c r="A740">
        <v>2010</v>
      </c>
      <c r="B740">
        <v>2</v>
      </c>
      <c r="C740">
        <v>3</v>
      </c>
      <c r="D740" t="s">
        <v>155</v>
      </c>
      <c r="E740" t="s">
        <v>228</v>
      </c>
      <c r="F740" t="s">
        <v>158</v>
      </c>
      <c r="G740">
        <v>52500</v>
      </c>
      <c r="H740">
        <v>15500</v>
      </c>
      <c r="I740">
        <v>0</v>
      </c>
      <c r="J740">
        <v>0</v>
      </c>
      <c r="K740">
        <v>18500</v>
      </c>
      <c r="L740">
        <v>13000</v>
      </c>
      <c r="M740">
        <v>5500</v>
      </c>
      <c r="N740">
        <v>12000</v>
      </c>
      <c r="O740">
        <v>4000</v>
      </c>
      <c r="P740">
        <v>0</v>
      </c>
      <c r="Q740">
        <v>0</v>
      </c>
      <c r="R740">
        <v>3500</v>
      </c>
      <c r="S740">
        <v>0</v>
      </c>
      <c r="T740">
        <v>0</v>
      </c>
      <c r="U740">
        <v>9</v>
      </c>
      <c r="V740">
        <v>0</v>
      </c>
      <c r="W740">
        <v>0</v>
      </c>
      <c r="X740">
        <v>0</v>
      </c>
      <c r="Y740">
        <v>5000</v>
      </c>
      <c r="Z740" cm="1">
        <f t="array" ref="Z740">MMULT($G740:$Y740,'Nelson Factor_2019'!$B$1:$B$19)/$G740</f>
        <v>7.2506476190476192</v>
      </c>
      <c r="AA740" cm="1">
        <f t="array" ref="AA740">MMULT($G740:$R740,'Nelson Factor_2019'!$B$1:$B$12)/$G740</f>
        <v>7.1076190476190479</v>
      </c>
    </row>
    <row r="741" spans="1:27" x14ac:dyDescent="0.25">
      <c r="A741">
        <v>2010</v>
      </c>
      <c r="B741">
        <v>1</v>
      </c>
      <c r="C741">
        <v>0</v>
      </c>
      <c r="D741" t="s">
        <v>162</v>
      </c>
      <c r="E741" t="s">
        <v>163</v>
      </c>
      <c r="F741" t="s">
        <v>164</v>
      </c>
      <c r="G741">
        <v>10000</v>
      </c>
      <c r="H741">
        <v>0</v>
      </c>
      <c r="I741">
        <v>0</v>
      </c>
      <c r="J741">
        <v>0</v>
      </c>
      <c r="K741">
        <v>0</v>
      </c>
      <c r="L741">
        <v>1800</v>
      </c>
      <c r="M741">
        <v>0</v>
      </c>
      <c r="N741">
        <v>3500</v>
      </c>
      <c r="O741">
        <v>0</v>
      </c>
      <c r="P741">
        <v>0</v>
      </c>
      <c r="Q741">
        <v>0</v>
      </c>
      <c r="R741">
        <v>600</v>
      </c>
      <c r="S741">
        <v>2600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 cm="1">
        <f t="array" ref="Z741">MMULT($G741:$Y741,'Nelson Factor_2019'!$B$1:$B$19)/$G741</f>
        <v>18.555</v>
      </c>
      <c r="AA741" cm="1">
        <f t="array" ref="AA741">MMULT($G741:$R741,'Nelson Factor_2019'!$B$1:$B$12)/$G741</f>
        <v>2.9550000000000001</v>
      </c>
    </row>
    <row r="742" spans="1:27" x14ac:dyDescent="0.25">
      <c r="A742">
        <v>2010</v>
      </c>
      <c r="B742">
        <v>1</v>
      </c>
      <c r="C742">
        <v>3</v>
      </c>
      <c r="D742" t="s">
        <v>162</v>
      </c>
      <c r="E742" t="s">
        <v>51</v>
      </c>
      <c r="F742" t="s">
        <v>165</v>
      </c>
      <c r="G742">
        <v>185000</v>
      </c>
      <c r="H742">
        <v>78700</v>
      </c>
      <c r="I742">
        <v>0</v>
      </c>
      <c r="J742">
        <v>0</v>
      </c>
      <c r="K742">
        <v>48400</v>
      </c>
      <c r="L742">
        <v>48800</v>
      </c>
      <c r="M742">
        <v>21500</v>
      </c>
      <c r="N742">
        <v>129600</v>
      </c>
      <c r="O742">
        <v>11800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160</v>
      </c>
      <c r="Y742">
        <v>0</v>
      </c>
      <c r="Z742" cm="1">
        <f t="array" ref="Z742">MMULT($G742:$Y742,'Nelson Factor_2019'!$B$1:$B$19)/$G742</f>
        <v>7.9681621621621623</v>
      </c>
      <c r="AA742" cm="1">
        <f t="array" ref="AA742">MMULT($G742:$R742,'Nelson Factor_2019'!$B$1:$B$12)/$G742</f>
        <v>7.7605945945945942</v>
      </c>
    </row>
    <row r="743" spans="1:27" x14ac:dyDescent="0.25">
      <c r="A743">
        <v>2010</v>
      </c>
      <c r="B743">
        <v>1</v>
      </c>
      <c r="C743">
        <v>1</v>
      </c>
      <c r="D743" t="s">
        <v>162</v>
      </c>
      <c r="E743" t="s">
        <v>138</v>
      </c>
      <c r="F743" t="s">
        <v>166</v>
      </c>
      <c r="G743">
        <v>175000</v>
      </c>
      <c r="H743">
        <v>26400</v>
      </c>
      <c r="I743">
        <v>0</v>
      </c>
      <c r="J743">
        <v>0</v>
      </c>
      <c r="K743">
        <v>93000</v>
      </c>
      <c r="L743">
        <v>15600</v>
      </c>
      <c r="M743">
        <v>0</v>
      </c>
      <c r="N743">
        <v>48000</v>
      </c>
      <c r="O743">
        <v>10000</v>
      </c>
      <c r="P743">
        <v>0</v>
      </c>
      <c r="Q743">
        <v>21600</v>
      </c>
      <c r="R743">
        <v>0</v>
      </c>
      <c r="S743">
        <v>0</v>
      </c>
      <c r="T743">
        <v>2600</v>
      </c>
      <c r="U743">
        <v>6</v>
      </c>
      <c r="V743">
        <v>0</v>
      </c>
      <c r="W743">
        <v>0</v>
      </c>
      <c r="X743">
        <v>0</v>
      </c>
      <c r="Y743">
        <v>0</v>
      </c>
      <c r="Z743" cm="1">
        <f t="array" ref="Z743">MMULT($G743:$Y743,'Nelson Factor_2019'!$B$1:$B$19)/$G743</f>
        <v>8.70472</v>
      </c>
      <c r="AA743" cm="1">
        <f t="array" ref="AA743">MMULT($G743:$R743,'Nelson Factor_2019'!$B$1:$B$12)/$G743</f>
        <v>8.5561142857142851</v>
      </c>
    </row>
    <row r="744" spans="1:27" x14ac:dyDescent="0.25">
      <c r="A744">
        <v>2010</v>
      </c>
      <c r="B744">
        <v>1</v>
      </c>
      <c r="C744">
        <v>1</v>
      </c>
      <c r="D744" t="s">
        <v>162</v>
      </c>
      <c r="E744" t="s">
        <v>138</v>
      </c>
      <c r="F744" t="s">
        <v>167</v>
      </c>
      <c r="G744">
        <v>330000</v>
      </c>
      <c r="H744">
        <v>157400</v>
      </c>
      <c r="I744">
        <v>0</v>
      </c>
      <c r="J744">
        <v>0</v>
      </c>
      <c r="K744">
        <v>113500</v>
      </c>
      <c r="L744">
        <v>68000</v>
      </c>
      <c r="M744">
        <v>0</v>
      </c>
      <c r="N744">
        <v>163600</v>
      </c>
      <c r="O744">
        <v>16700</v>
      </c>
      <c r="P744">
        <v>0</v>
      </c>
      <c r="Q744">
        <v>13700</v>
      </c>
      <c r="R744">
        <v>7300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 cm="1">
        <f t="array" ref="Z744">MMULT($G744:$Y744,'Nelson Factor_2019'!$B$1:$B$19)/$G744</f>
        <v>7.3561212121212121</v>
      </c>
      <c r="AA744" cm="1">
        <f t="array" ref="AA744">MMULT($G744:$R744,'Nelson Factor_2019'!$B$1:$B$12)/$G744</f>
        <v>7.3561212121212121</v>
      </c>
    </row>
    <row r="745" spans="1:27" x14ac:dyDescent="0.25">
      <c r="A745">
        <v>2010</v>
      </c>
      <c r="B745">
        <v>1</v>
      </c>
      <c r="C745">
        <v>1</v>
      </c>
      <c r="D745" t="s">
        <v>162</v>
      </c>
      <c r="E745" t="s">
        <v>168</v>
      </c>
      <c r="F745" t="s">
        <v>169</v>
      </c>
      <c r="G745">
        <v>66700</v>
      </c>
      <c r="H745">
        <v>27000</v>
      </c>
      <c r="I745">
        <v>0</v>
      </c>
      <c r="J745">
        <v>0</v>
      </c>
      <c r="K745">
        <v>23000</v>
      </c>
      <c r="L745">
        <v>16000</v>
      </c>
      <c r="M745">
        <v>0</v>
      </c>
      <c r="N745">
        <v>40000</v>
      </c>
      <c r="O745">
        <v>3500</v>
      </c>
      <c r="P745">
        <v>1000</v>
      </c>
      <c r="Q745">
        <v>0</v>
      </c>
      <c r="R745">
        <v>6800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12000</v>
      </c>
      <c r="Z745" cm="1">
        <f t="array" ref="Z745">MMULT($G745:$Y745,'Nelson Factor_2019'!$B$1:$B$19)/$G745</f>
        <v>7.5442278860569711</v>
      </c>
      <c r="AA745" cm="1">
        <f t="array" ref="AA745">MMULT($G745:$R745,'Nelson Factor_2019'!$B$1:$B$12)/$G745</f>
        <v>7.2743628185907045</v>
      </c>
    </row>
    <row r="746" spans="1:27" x14ac:dyDescent="0.25">
      <c r="A746">
        <v>2010</v>
      </c>
      <c r="B746">
        <v>2</v>
      </c>
      <c r="C746">
        <v>1</v>
      </c>
      <c r="D746" t="s">
        <v>170</v>
      </c>
      <c r="E746" t="s">
        <v>66</v>
      </c>
      <c r="F746" t="s">
        <v>172</v>
      </c>
      <c r="G746">
        <v>180000</v>
      </c>
      <c r="H746">
        <v>0</v>
      </c>
      <c r="I746">
        <v>0</v>
      </c>
      <c r="J746">
        <v>0</v>
      </c>
      <c r="K746">
        <v>69000</v>
      </c>
      <c r="L746">
        <v>36000</v>
      </c>
      <c r="M746">
        <v>0</v>
      </c>
      <c r="N746">
        <v>151315</v>
      </c>
      <c r="O746">
        <v>12000</v>
      </c>
      <c r="P746">
        <v>0</v>
      </c>
      <c r="Q746">
        <v>0</v>
      </c>
      <c r="R746">
        <v>4000</v>
      </c>
      <c r="S746">
        <v>0</v>
      </c>
      <c r="T746">
        <v>0</v>
      </c>
      <c r="U746">
        <v>0</v>
      </c>
      <c r="V746">
        <v>0</v>
      </c>
      <c r="W746">
        <v>748</v>
      </c>
      <c r="X746">
        <v>105</v>
      </c>
      <c r="Y746">
        <v>0</v>
      </c>
      <c r="Z746" cm="1">
        <f t="array" ref="Z746">MMULT($G746:$Y746,'Nelson Factor_2019'!$B$1:$B$19)/$G746</f>
        <v>7.2749305555555557</v>
      </c>
      <c r="AA746" cm="1">
        <f t="array" ref="AA746">MMULT($G746:$R746,'Nelson Factor_2019'!$B$1:$B$12)/$G746</f>
        <v>7.134930555555556</v>
      </c>
    </row>
    <row r="747" spans="1:27" x14ac:dyDescent="0.25">
      <c r="A747">
        <v>2010</v>
      </c>
      <c r="B747">
        <v>3</v>
      </c>
      <c r="C747">
        <v>0</v>
      </c>
      <c r="D747" t="s">
        <v>173</v>
      </c>
      <c r="E747" t="s">
        <v>174</v>
      </c>
      <c r="F747" t="s">
        <v>175</v>
      </c>
      <c r="G747">
        <v>12000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1200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 cm="1">
        <f t="array" ref="Z747">MMULT($G747:$Y747,'Nelson Factor_2019'!$B$1:$B$19)/$G747</f>
        <v>3</v>
      </c>
      <c r="AA747" cm="1">
        <f t="array" ref="AA747">MMULT($G747:$R747,'Nelson Factor_2019'!$B$1:$B$12)/$G747</f>
        <v>3</v>
      </c>
    </row>
    <row r="748" spans="1:27" x14ac:dyDescent="0.25">
      <c r="A748">
        <v>2010</v>
      </c>
      <c r="B748">
        <v>3</v>
      </c>
      <c r="C748">
        <v>1</v>
      </c>
      <c r="D748" t="s">
        <v>173</v>
      </c>
      <c r="E748" t="s">
        <v>176</v>
      </c>
      <c r="F748" t="s">
        <v>177</v>
      </c>
      <c r="G748">
        <v>70000</v>
      </c>
      <c r="H748">
        <v>24000</v>
      </c>
      <c r="I748">
        <v>0</v>
      </c>
      <c r="J748">
        <v>0</v>
      </c>
      <c r="K748">
        <v>24000</v>
      </c>
      <c r="L748">
        <v>21000</v>
      </c>
      <c r="M748">
        <v>0</v>
      </c>
      <c r="N748">
        <v>67950</v>
      </c>
      <c r="O748">
        <v>5000</v>
      </c>
      <c r="P748">
        <v>0</v>
      </c>
      <c r="Q748">
        <v>2000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135</v>
      </c>
      <c r="Y748">
        <v>8000</v>
      </c>
      <c r="Z748" cm="1">
        <f t="array" ref="Z748">MMULT($G748:$Y748,'Nelson Factor_2019'!$B$1:$B$19)/$G748</f>
        <v>9.3496428571428574</v>
      </c>
      <c r="AA748" cm="1">
        <f t="array" ref="AA748">MMULT($G748:$R748,'Nelson Factor_2019'!$B$1:$B$12)/$G748</f>
        <v>8.7153571428571421</v>
      </c>
    </row>
    <row r="749" spans="1:27" x14ac:dyDescent="0.25">
      <c r="A749">
        <v>2010</v>
      </c>
      <c r="B749">
        <v>3</v>
      </c>
      <c r="C749">
        <v>6</v>
      </c>
      <c r="D749" t="s">
        <v>173</v>
      </c>
      <c r="E749" t="s">
        <v>32</v>
      </c>
      <c r="F749" t="s">
        <v>178</v>
      </c>
      <c r="G749">
        <v>451250</v>
      </c>
      <c r="H749">
        <v>225150</v>
      </c>
      <c r="I749">
        <v>38700</v>
      </c>
      <c r="J749">
        <v>0</v>
      </c>
      <c r="K749">
        <v>188550</v>
      </c>
      <c r="L749">
        <v>124200</v>
      </c>
      <c r="M749">
        <v>117000</v>
      </c>
      <c r="N749">
        <v>363600</v>
      </c>
      <c r="O749">
        <v>49500</v>
      </c>
      <c r="P749">
        <v>0</v>
      </c>
      <c r="Q749">
        <v>85500</v>
      </c>
      <c r="R749">
        <v>0</v>
      </c>
      <c r="S749">
        <v>0</v>
      </c>
      <c r="T749">
        <v>0</v>
      </c>
      <c r="U749">
        <v>0</v>
      </c>
      <c r="V749">
        <v>59.699999999999996</v>
      </c>
      <c r="W749">
        <v>2495</v>
      </c>
      <c r="X749">
        <v>1317</v>
      </c>
      <c r="Y749">
        <v>0</v>
      </c>
      <c r="Z749" cm="1">
        <f t="array" ref="Z749">MMULT($G749:$Y749,'Nelson Factor_2019'!$B$1:$B$19)/$G749</f>
        <v>15.850714016620499</v>
      </c>
      <c r="AA749" cm="1">
        <f t="array" ref="AA749">MMULT($G749:$R749,'Nelson Factor_2019'!$B$1:$B$12)/$G749</f>
        <v>15.150127423822715</v>
      </c>
    </row>
    <row r="750" spans="1:27" x14ac:dyDescent="0.25">
      <c r="A750">
        <v>2010</v>
      </c>
      <c r="B750">
        <v>3</v>
      </c>
      <c r="C750">
        <v>4</v>
      </c>
      <c r="D750" t="s">
        <v>173</v>
      </c>
      <c r="E750" t="s">
        <v>79</v>
      </c>
      <c r="F750" t="s">
        <v>179</v>
      </c>
      <c r="G750">
        <v>156750</v>
      </c>
      <c r="H750">
        <v>73625</v>
      </c>
      <c r="I750">
        <v>37800</v>
      </c>
      <c r="J750">
        <v>0</v>
      </c>
      <c r="K750">
        <v>72450</v>
      </c>
      <c r="L750">
        <v>45450</v>
      </c>
      <c r="M750">
        <v>0</v>
      </c>
      <c r="N750">
        <v>148230</v>
      </c>
      <c r="O750">
        <v>18090</v>
      </c>
      <c r="P750">
        <v>0</v>
      </c>
      <c r="Q750">
        <v>30105</v>
      </c>
      <c r="R750">
        <v>0</v>
      </c>
      <c r="S750">
        <v>0</v>
      </c>
      <c r="T750">
        <v>3600</v>
      </c>
      <c r="U750">
        <v>0</v>
      </c>
      <c r="V750">
        <v>0</v>
      </c>
      <c r="W750">
        <v>2123</v>
      </c>
      <c r="X750">
        <v>281.7</v>
      </c>
      <c r="Y750">
        <v>0</v>
      </c>
      <c r="Z750" cm="1">
        <f t="array" ref="Z750">MMULT($G750:$Y750,'Nelson Factor_2019'!$B$1:$B$19)/$G750</f>
        <v>15.662491228070175</v>
      </c>
      <c r="AA750" cm="1">
        <f t="array" ref="AA750">MMULT($G750:$R750,'Nelson Factor_2019'!$B$1:$B$12)/$G750</f>
        <v>15.001515151515152</v>
      </c>
    </row>
    <row r="751" spans="1:27" x14ac:dyDescent="0.25">
      <c r="A751">
        <v>2010</v>
      </c>
      <c r="B751">
        <v>3</v>
      </c>
      <c r="C751">
        <v>4</v>
      </c>
      <c r="D751" t="s">
        <v>173</v>
      </c>
      <c r="E751" t="s">
        <v>51</v>
      </c>
      <c r="F751" t="s">
        <v>182</v>
      </c>
      <c r="G751">
        <v>247000</v>
      </c>
      <c r="H751">
        <v>125500</v>
      </c>
      <c r="I751">
        <v>70900</v>
      </c>
      <c r="J751">
        <v>0</v>
      </c>
      <c r="K751">
        <v>97000</v>
      </c>
      <c r="L751">
        <v>33800</v>
      </c>
      <c r="M751">
        <v>0</v>
      </c>
      <c r="N751">
        <v>275500</v>
      </c>
      <c r="O751">
        <v>19600</v>
      </c>
      <c r="P751">
        <v>0</v>
      </c>
      <c r="Q751">
        <v>17740</v>
      </c>
      <c r="R751">
        <v>9100</v>
      </c>
      <c r="S751">
        <v>0</v>
      </c>
      <c r="T751">
        <v>0</v>
      </c>
      <c r="U751">
        <v>0</v>
      </c>
      <c r="V751">
        <v>165</v>
      </c>
      <c r="W751">
        <v>4000</v>
      </c>
      <c r="X751">
        <v>593</v>
      </c>
      <c r="Y751">
        <v>0</v>
      </c>
      <c r="Z751" cm="1">
        <f t="array" ref="Z751">MMULT($G751:$Y751,'Nelson Factor_2019'!$B$1:$B$19)/$G751</f>
        <v>12.559655870445344</v>
      </c>
      <c r="AA751" cm="1">
        <f t="array" ref="AA751">MMULT($G751:$R751,'Nelson Factor_2019'!$B$1:$B$12)/$G751</f>
        <v>11.982793522267206</v>
      </c>
    </row>
    <row r="752" spans="1:27" x14ac:dyDescent="0.25">
      <c r="A752">
        <v>2010</v>
      </c>
      <c r="B752">
        <v>3</v>
      </c>
      <c r="C752">
        <v>4</v>
      </c>
      <c r="D752" t="s">
        <v>173</v>
      </c>
      <c r="E752" t="s">
        <v>236</v>
      </c>
      <c r="F752" t="s">
        <v>188</v>
      </c>
      <c r="G752">
        <v>60000</v>
      </c>
      <c r="H752">
        <v>15000</v>
      </c>
      <c r="I752">
        <v>6500</v>
      </c>
      <c r="J752">
        <v>0</v>
      </c>
      <c r="K752">
        <v>20200</v>
      </c>
      <c r="L752">
        <v>17500</v>
      </c>
      <c r="M752">
        <v>0</v>
      </c>
      <c r="N752">
        <v>32000</v>
      </c>
      <c r="O752">
        <v>4750</v>
      </c>
      <c r="P752">
        <v>0</v>
      </c>
      <c r="Q752">
        <v>0</v>
      </c>
      <c r="R752">
        <v>5000</v>
      </c>
      <c r="S752">
        <v>0</v>
      </c>
      <c r="T752">
        <v>0</v>
      </c>
      <c r="U752">
        <v>0</v>
      </c>
      <c r="V752">
        <v>0</v>
      </c>
      <c r="W752">
        <v>250</v>
      </c>
      <c r="X752">
        <v>18</v>
      </c>
      <c r="Y752">
        <v>0</v>
      </c>
      <c r="Z752" cm="1">
        <f t="array" ref="Z752">MMULT($G752:$Y752,'Nelson Factor_2019'!$B$1:$B$19)/$G752</f>
        <v>8.0628333333333337</v>
      </c>
      <c r="AA752" cm="1">
        <f t="array" ref="AA752">MMULT($G752:$R752,'Nelson Factor_2019'!$B$1:$B$12)/$G752</f>
        <v>7.9908333333333337</v>
      </c>
    </row>
    <row r="753" spans="1:27" x14ac:dyDescent="0.25">
      <c r="A753">
        <v>2010</v>
      </c>
      <c r="B753">
        <v>3</v>
      </c>
      <c r="C753">
        <v>6</v>
      </c>
      <c r="D753" t="s">
        <v>173</v>
      </c>
      <c r="E753" t="s">
        <v>54</v>
      </c>
      <c r="F753" t="s">
        <v>185</v>
      </c>
      <c r="G753">
        <v>576000</v>
      </c>
      <c r="H753">
        <v>278500</v>
      </c>
      <c r="I753">
        <v>88000</v>
      </c>
      <c r="J753">
        <v>0</v>
      </c>
      <c r="K753">
        <v>204500</v>
      </c>
      <c r="L753">
        <v>122000</v>
      </c>
      <c r="M753">
        <v>26500</v>
      </c>
      <c r="N753">
        <v>727000</v>
      </c>
      <c r="O753">
        <v>35000</v>
      </c>
      <c r="P753">
        <v>0</v>
      </c>
      <c r="Q753">
        <v>0</v>
      </c>
      <c r="R753">
        <v>0</v>
      </c>
      <c r="S753">
        <v>21500</v>
      </c>
      <c r="T753">
        <v>0</v>
      </c>
      <c r="U753">
        <v>0</v>
      </c>
      <c r="V753">
        <v>37.5</v>
      </c>
      <c r="W753">
        <v>3550</v>
      </c>
      <c r="X753">
        <v>1550</v>
      </c>
      <c r="Y753">
        <v>0</v>
      </c>
      <c r="Z753" cm="1">
        <f t="array" ref="Z753">MMULT($G753:$Y753,'Nelson Factor_2019'!$B$1:$B$19)/$G753</f>
        <v>12.980186631944445</v>
      </c>
      <c r="AA753" cm="1">
        <f t="array" ref="AA753">MMULT($G753:$R753,'Nelson Factor_2019'!$B$1:$B$12)/$G753</f>
        <v>10.094704861111111</v>
      </c>
    </row>
    <row r="754" spans="1:27" x14ac:dyDescent="0.25">
      <c r="A754">
        <v>2010</v>
      </c>
      <c r="B754">
        <v>3</v>
      </c>
      <c r="C754">
        <v>6</v>
      </c>
      <c r="D754" t="s">
        <v>173</v>
      </c>
      <c r="E754" t="s">
        <v>54</v>
      </c>
      <c r="F754" t="s">
        <v>186</v>
      </c>
      <c r="G754">
        <v>344500</v>
      </c>
      <c r="H754">
        <v>143000</v>
      </c>
      <c r="I754">
        <v>45500</v>
      </c>
      <c r="J754">
        <v>0</v>
      </c>
      <c r="K754">
        <v>113000</v>
      </c>
      <c r="L754">
        <v>138500</v>
      </c>
      <c r="M754">
        <v>60000</v>
      </c>
      <c r="N754">
        <v>288500</v>
      </c>
      <c r="O754">
        <v>15500</v>
      </c>
      <c r="P754">
        <v>0</v>
      </c>
      <c r="Q754">
        <v>0</v>
      </c>
      <c r="R754">
        <v>24500</v>
      </c>
      <c r="S754">
        <v>10000</v>
      </c>
      <c r="T754">
        <v>4500</v>
      </c>
      <c r="U754">
        <v>0</v>
      </c>
      <c r="V754">
        <v>49.5</v>
      </c>
      <c r="W754">
        <v>2720</v>
      </c>
      <c r="X754">
        <v>560</v>
      </c>
      <c r="Y754">
        <v>0</v>
      </c>
      <c r="Z754" cm="1">
        <f t="array" ref="Z754">MMULT($G754:$Y754,'Nelson Factor_2019'!$B$1:$B$19)/$G754</f>
        <v>12.921188679245283</v>
      </c>
      <c r="AA754" cm="1">
        <f t="array" ref="AA754">MMULT($G754:$R754,'Nelson Factor_2019'!$B$1:$B$12)/$G754</f>
        <v>10.658635703918723</v>
      </c>
    </row>
    <row r="755" spans="1:27" x14ac:dyDescent="0.25">
      <c r="A755">
        <v>2010</v>
      </c>
      <c r="B755">
        <v>3</v>
      </c>
      <c r="C755">
        <v>6</v>
      </c>
      <c r="D755" t="s">
        <v>173</v>
      </c>
      <c r="E755" t="s">
        <v>35</v>
      </c>
      <c r="F755" t="s">
        <v>179</v>
      </c>
      <c r="G755">
        <v>279300</v>
      </c>
      <c r="H755">
        <v>83125</v>
      </c>
      <c r="I755">
        <v>11970</v>
      </c>
      <c r="J755">
        <v>0</v>
      </c>
      <c r="K755">
        <v>96030</v>
      </c>
      <c r="L755">
        <v>60750</v>
      </c>
      <c r="M755">
        <v>11700</v>
      </c>
      <c r="N755">
        <v>225090</v>
      </c>
      <c r="O755">
        <v>12870</v>
      </c>
      <c r="P755">
        <v>0</v>
      </c>
      <c r="Q755">
        <v>44550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798</v>
      </c>
      <c r="X755">
        <v>241</v>
      </c>
      <c r="Y755">
        <v>0</v>
      </c>
      <c r="Z755" cm="1">
        <f t="array" ref="Z755">MMULT($G755:$Y755,'Nelson Factor_2019'!$B$1:$B$19)/$G755</f>
        <v>11.06671142141067</v>
      </c>
      <c r="AA755" cm="1">
        <f t="array" ref="AA755">MMULT($G755:$R755,'Nelson Factor_2019'!$B$1:$B$12)/$G755</f>
        <v>10.859622269960616</v>
      </c>
    </row>
    <row r="756" spans="1:27" x14ac:dyDescent="0.25">
      <c r="A756">
        <v>2010</v>
      </c>
      <c r="B756">
        <v>3</v>
      </c>
      <c r="C756">
        <v>4</v>
      </c>
      <c r="D756" t="s">
        <v>173</v>
      </c>
      <c r="E756" t="s">
        <v>244</v>
      </c>
      <c r="F756" t="s">
        <v>190</v>
      </c>
      <c r="G756">
        <v>268000</v>
      </c>
      <c r="H756">
        <v>191100</v>
      </c>
      <c r="I756">
        <v>98500</v>
      </c>
      <c r="J756">
        <v>0</v>
      </c>
      <c r="K756">
        <v>97000</v>
      </c>
      <c r="L756">
        <v>33700</v>
      </c>
      <c r="M756">
        <v>0</v>
      </c>
      <c r="N756">
        <v>307900</v>
      </c>
      <c r="O756">
        <v>11250</v>
      </c>
      <c r="P756">
        <v>0</v>
      </c>
      <c r="Q756">
        <v>8350</v>
      </c>
      <c r="R756">
        <v>0</v>
      </c>
      <c r="S756">
        <v>4050</v>
      </c>
      <c r="T756">
        <v>4000</v>
      </c>
      <c r="U756">
        <v>0</v>
      </c>
      <c r="V756">
        <v>0</v>
      </c>
      <c r="W756">
        <v>5000</v>
      </c>
      <c r="X756">
        <v>1042</v>
      </c>
      <c r="Y756">
        <v>0</v>
      </c>
      <c r="Z756" cm="1">
        <f t="array" ref="Z756">MMULT($G756:$Y756,'Nelson Factor_2019'!$B$1:$B$19)/$G756</f>
        <v>13.388097014925373</v>
      </c>
      <c r="AA756" cm="1">
        <f t="array" ref="AA756">MMULT($G756:$R756,'Nelson Factor_2019'!$B$1:$B$12)/$G756</f>
        <v>11.398992537313433</v>
      </c>
    </row>
    <row r="757" spans="1:27" x14ac:dyDescent="0.25">
      <c r="A757">
        <v>2010</v>
      </c>
      <c r="B757">
        <v>3</v>
      </c>
      <c r="C757">
        <v>1</v>
      </c>
      <c r="D757" t="s">
        <v>173</v>
      </c>
      <c r="E757" t="s">
        <v>234</v>
      </c>
      <c r="F757" t="s">
        <v>178</v>
      </c>
      <c r="G757">
        <v>76000</v>
      </c>
      <c r="H757">
        <v>0</v>
      </c>
      <c r="I757">
        <v>0</v>
      </c>
      <c r="J757">
        <v>0</v>
      </c>
      <c r="K757">
        <v>55600</v>
      </c>
      <c r="L757">
        <v>10000</v>
      </c>
      <c r="M757">
        <v>0</v>
      </c>
      <c r="N757">
        <v>0</v>
      </c>
      <c r="O757">
        <v>12400</v>
      </c>
      <c r="P757">
        <v>0</v>
      </c>
      <c r="Q757">
        <v>1900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37</v>
      </c>
      <c r="Y757">
        <v>0</v>
      </c>
      <c r="Z757" cm="1">
        <f t="array" ref="Z757">MMULT($G757:$Y757,'Nelson Factor_2019'!$B$1:$B$19)/$G757</f>
        <v>8.295789473684211</v>
      </c>
      <c r="AA757" cm="1">
        <f t="array" ref="AA757">MMULT($G757:$R757,'Nelson Factor_2019'!$B$1:$B$12)/$G757</f>
        <v>8.1789473684210527</v>
      </c>
    </row>
    <row r="758" spans="1:27" x14ac:dyDescent="0.25">
      <c r="A758">
        <v>2010</v>
      </c>
      <c r="B758">
        <v>3</v>
      </c>
      <c r="C758">
        <v>6</v>
      </c>
      <c r="D758" t="s">
        <v>173</v>
      </c>
      <c r="E758" t="s">
        <v>112</v>
      </c>
      <c r="F758" t="s">
        <v>191</v>
      </c>
      <c r="G758">
        <v>285000</v>
      </c>
      <c r="H758">
        <v>138000</v>
      </c>
      <c r="I758">
        <v>56000</v>
      </c>
      <c r="J758">
        <v>0</v>
      </c>
      <c r="K758">
        <v>88000</v>
      </c>
      <c r="L758">
        <v>45000</v>
      </c>
      <c r="M758">
        <v>20000</v>
      </c>
      <c r="N758">
        <v>263400</v>
      </c>
      <c r="O758">
        <v>19000</v>
      </c>
      <c r="P758">
        <v>0</v>
      </c>
      <c r="Q758">
        <v>0</v>
      </c>
      <c r="R758">
        <v>0</v>
      </c>
      <c r="S758">
        <v>39000</v>
      </c>
      <c r="T758">
        <v>0</v>
      </c>
      <c r="U758">
        <v>0</v>
      </c>
      <c r="V758">
        <v>0</v>
      </c>
      <c r="W758">
        <v>2450</v>
      </c>
      <c r="X758">
        <v>660</v>
      </c>
      <c r="Y758">
        <v>0</v>
      </c>
      <c r="Z758" cm="1">
        <f t="array" ref="Z758">MMULT($G758:$Y758,'Nelson Factor_2019'!$B$1:$B$19)/$G758</f>
        <v>18.05017543859649</v>
      </c>
      <c r="AA758" cm="1">
        <f t="array" ref="AA758">MMULT($G758:$R758,'Nelson Factor_2019'!$B$1:$B$12)/$G758</f>
        <v>9.2838596491228067</v>
      </c>
    </row>
    <row r="759" spans="1:27" x14ac:dyDescent="0.25">
      <c r="A759">
        <v>2010</v>
      </c>
      <c r="B759">
        <v>3</v>
      </c>
      <c r="C759">
        <v>4</v>
      </c>
      <c r="D759" t="s">
        <v>173</v>
      </c>
      <c r="E759" t="s">
        <v>229</v>
      </c>
      <c r="F759" t="s">
        <v>184</v>
      </c>
      <c r="G759">
        <v>117000</v>
      </c>
      <c r="H759">
        <v>41000</v>
      </c>
      <c r="I759">
        <v>12000</v>
      </c>
      <c r="J759">
        <v>0</v>
      </c>
      <c r="K759">
        <v>50000</v>
      </c>
      <c r="L759">
        <v>20000</v>
      </c>
      <c r="M759">
        <v>0</v>
      </c>
      <c r="N759">
        <v>44000</v>
      </c>
      <c r="O759">
        <v>11000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500</v>
      </c>
      <c r="X759">
        <v>24</v>
      </c>
      <c r="Y759">
        <v>0</v>
      </c>
      <c r="Z759" cm="1">
        <f t="array" ref="Z759">MMULT($G759:$Y759,'Nelson Factor_2019'!$B$1:$B$19)/$G759</f>
        <v>7.5731623931623933</v>
      </c>
      <c r="AA759" cm="1">
        <f t="array" ref="AA759">MMULT($G759:$R759,'Nelson Factor_2019'!$B$1:$B$12)/$G759</f>
        <v>7.5239316239316238</v>
      </c>
    </row>
    <row r="760" spans="1:27" x14ac:dyDescent="0.25">
      <c r="A760">
        <v>2010</v>
      </c>
      <c r="B760">
        <v>3</v>
      </c>
      <c r="C760">
        <v>6</v>
      </c>
      <c r="D760" t="s">
        <v>173</v>
      </c>
      <c r="E760" t="s">
        <v>192</v>
      </c>
      <c r="F760" t="s">
        <v>193</v>
      </c>
      <c r="G760">
        <v>327000</v>
      </c>
      <c r="H760">
        <v>173100</v>
      </c>
      <c r="I760">
        <v>83200</v>
      </c>
      <c r="J760">
        <v>0</v>
      </c>
      <c r="K760">
        <v>66300</v>
      </c>
      <c r="L760">
        <v>66000</v>
      </c>
      <c r="M760">
        <v>53800</v>
      </c>
      <c r="N760">
        <v>277700</v>
      </c>
      <c r="O760">
        <v>17600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54.8</v>
      </c>
      <c r="V760">
        <v>35.299999999999997</v>
      </c>
      <c r="W760">
        <v>6562</v>
      </c>
      <c r="X760">
        <v>1012</v>
      </c>
      <c r="Y760">
        <v>0</v>
      </c>
      <c r="Z760" cm="1">
        <f t="array" ref="Z760">MMULT($G760:$Y760,'Nelson Factor_2019'!$B$1:$B$19)/$G760</f>
        <v>10.542660856269112</v>
      </c>
      <c r="AA760" cm="1">
        <f t="array" ref="AA760">MMULT($G760:$R760,'Nelson Factor_2019'!$B$1:$B$12)/$G760</f>
        <v>9.7996330275229351</v>
      </c>
    </row>
    <row r="761" spans="1:27" x14ac:dyDescent="0.25">
      <c r="A761">
        <v>2010</v>
      </c>
      <c r="B761">
        <v>3</v>
      </c>
      <c r="C761">
        <v>1</v>
      </c>
      <c r="D761" t="s">
        <v>173</v>
      </c>
      <c r="E761" t="s">
        <v>194</v>
      </c>
      <c r="F761" t="s">
        <v>191</v>
      </c>
      <c r="G761">
        <v>173589</v>
      </c>
      <c r="H761">
        <v>51781</v>
      </c>
      <c r="I761">
        <v>0</v>
      </c>
      <c r="J761">
        <v>0</v>
      </c>
      <c r="K761">
        <v>76493</v>
      </c>
      <c r="L761">
        <v>37539</v>
      </c>
      <c r="M761">
        <v>0</v>
      </c>
      <c r="N761">
        <v>158338</v>
      </c>
      <c r="O761">
        <v>5955</v>
      </c>
      <c r="P761">
        <v>0</v>
      </c>
      <c r="Q761">
        <v>57314</v>
      </c>
      <c r="R761">
        <v>9644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256</v>
      </c>
      <c r="Y761">
        <v>1667</v>
      </c>
      <c r="Z761" cm="1">
        <f t="array" ref="Z761">MMULT($G761:$Y761,'Nelson Factor_2019'!$B$1:$B$19)/$G761</f>
        <v>14.87481810483383</v>
      </c>
      <c r="AA761" cm="1">
        <f t="array" ref="AA761">MMULT($G761:$R761,'Nelson Factor_2019'!$B$1:$B$12)/$G761</f>
        <v>14.506473912517498</v>
      </c>
    </row>
    <row r="762" spans="1:27" x14ac:dyDescent="0.25">
      <c r="A762">
        <v>2010</v>
      </c>
      <c r="B762">
        <v>3</v>
      </c>
      <c r="C762">
        <v>2</v>
      </c>
      <c r="D762" t="s">
        <v>173</v>
      </c>
      <c r="E762" t="s">
        <v>66</v>
      </c>
      <c r="F762" t="s">
        <v>179</v>
      </c>
      <c r="G762">
        <v>205000</v>
      </c>
      <c r="H762">
        <v>95000</v>
      </c>
      <c r="I762">
        <v>0</v>
      </c>
      <c r="J762">
        <v>0</v>
      </c>
      <c r="K762">
        <v>0</v>
      </c>
      <c r="L762">
        <v>67000</v>
      </c>
      <c r="M762">
        <v>49000</v>
      </c>
      <c r="N762">
        <v>296000</v>
      </c>
      <c r="O762">
        <v>21300</v>
      </c>
      <c r="P762">
        <v>11200</v>
      </c>
      <c r="Q762">
        <v>23000</v>
      </c>
      <c r="R762">
        <v>12000</v>
      </c>
      <c r="S762">
        <v>0</v>
      </c>
      <c r="T762">
        <v>0</v>
      </c>
      <c r="U762">
        <v>194</v>
      </c>
      <c r="V762">
        <v>74</v>
      </c>
      <c r="W762">
        <v>998</v>
      </c>
      <c r="X762">
        <v>790</v>
      </c>
      <c r="Y762">
        <v>38000</v>
      </c>
      <c r="Z762" cm="1">
        <f t="array" ref="Z762">MMULT($G762:$Y762,'Nelson Factor_2019'!$B$1:$B$19)/$G762</f>
        <v>13.967648780487805</v>
      </c>
      <c r="AA762" cm="1">
        <f t="array" ref="AA762">MMULT($G762:$R762,'Nelson Factor_2019'!$B$1:$B$12)/$G762</f>
        <v>12.763414634146342</v>
      </c>
    </row>
    <row r="763" spans="1:27" x14ac:dyDescent="0.25">
      <c r="A763">
        <v>2010</v>
      </c>
      <c r="B763">
        <v>3</v>
      </c>
      <c r="C763">
        <v>3</v>
      </c>
      <c r="D763" t="s">
        <v>173</v>
      </c>
      <c r="E763" t="s">
        <v>66</v>
      </c>
      <c r="F763" t="s">
        <v>190</v>
      </c>
      <c r="G763">
        <v>90000</v>
      </c>
      <c r="H763">
        <v>39000</v>
      </c>
      <c r="I763">
        <v>0</v>
      </c>
      <c r="J763">
        <v>0</v>
      </c>
      <c r="K763">
        <v>65000</v>
      </c>
      <c r="L763">
        <v>0</v>
      </c>
      <c r="M763">
        <v>27600</v>
      </c>
      <c r="N763">
        <v>88500</v>
      </c>
      <c r="O763">
        <v>11000</v>
      </c>
      <c r="P763">
        <v>1400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300</v>
      </c>
      <c r="Y763">
        <v>0</v>
      </c>
      <c r="Z763" cm="1">
        <f t="array" ref="Z763">MMULT($G763:$Y763,'Nelson Factor_2019'!$B$1:$B$19)/$G763</f>
        <v>12.986111111111111</v>
      </c>
      <c r="AA763" cm="1">
        <f t="array" ref="AA763">MMULT($G763:$R763,'Nelson Factor_2019'!$B$1:$B$12)/$G763</f>
        <v>12.186111111111112</v>
      </c>
    </row>
    <row r="764" spans="1:27" x14ac:dyDescent="0.25">
      <c r="A764">
        <v>2010</v>
      </c>
      <c r="B764">
        <v>3</v>
      </c>
      <c r="C764">
        <v>6</v>
      </c>
      <c r="D764" t="s">
        <v>173</v>
      </c>
      <c r="E764" t="s">
        <v>66</v>
      </c>
      <c r="F764" t="s">
        <v>191</v>
      </c>
      <c r="G764">
        <v>250000</v>
      </c>
      <c r="H764">
        <v>145000</v>
      </c>
      <c r="I764">
        <v>100000</v>
      </c>
      <c r="J764">
        <v>0</v>
      </c>
      <c r="K764">
        <v>80000</v>
      </c>
      <c r="L764">
        <v>53000</v>
      </c>
      <c r="M764">
        <v>45000</v>
      </c>
      <c r="N764">
        <v>282000</v>
      </c>
      <c r="O764">
        <v>20000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105</v>
      </c>
      <c r="V764">
        <v>6</v>
      </c>
      <c r="W764">
        <v>6200</v>
      </c>
      <c r="X764">
        <v>1050</v>
      </c>
      <c r="Y764">
        <v>0</v>
      </c>
      <c r="Z764" cm="1">
        <f t="array" ref="Z764">MMULT($G764:$Y764,'Nelson Factor_2019'!$B$1:$B$19)/$G764</f>
        <v>13.802443999999999</v>
      </c>
      <c r="AA764" cm="1">
        <f t="array" ref="AA764">MMULT($G764:$R764,'Nelson Factor_2019'!$B$1:$B$12)/$G764</f>
        <v>12.794</v>
      </c>
    </row>
    <row r="765" spans="1:27" x14ac:dyDescent="0.25">
      <c r="A765">
        <v>2010</v>
      </c>
      <c r="B765">
        <v>3</v>
      </c>
      <c r="C765">
        <v>3</v>
      </c>
      <c r="D765" t="s">
        <v>173</v>
      </c>
      <c r="E765" t="s">
        <v>66</v>
      </c>
      <c r="F765" t="s">
        <v>195</v>
      </c>
      <c r="G765">
        <v>166660</v>
      </c>
      <c r="H765">
        <v>53200</v>
      </c>
      <c r="I765">
        <v>0</v>
      </c>
      <c r="J765">
        <v>0</v>
      </c>
      <c r="K765">
        <v>54465</v>
      </c>
      <c r="L765">
        <v>47400</v>
      </c>
      <c r="M765">
        <v>29500</v>
      </c>
      <c r="N765">
        <v>97612</v>
      </c>
      <c r="O765">
        <v>9500</v>
      </c>
      <c r="P765">
        <v>0</v>
      </c>
      <c r="Q765">
        <v>0</v>
      </c>
      <c r="R765">
        <v>7000</v>
      </c>
      <c r="S765">
        <v>0</v>
      </c>
      <c r="T765">
        <v>4900</v>
      </c>
      <c r="U765">
        <v>0</v>
      </c>
      <c r="V765">
        <v>0</v>
      </c>
      <c r="W765">
        <v>0</v>
      </c>
      <c r="X765">
        <v>60</v>
      </c>
      <c r="Y765">
        <v>0</v>
      </c>
      <c r="Z765" cm="1">
        <f t="array" ref="Z765">MMULT($G765:$Y765,'Nelson Factor_2019'!$B$1:$B$19)/$G765</f>
        <v>8.7545901836073448</v>
      </c>
      <c r="AA765" cm="1">
        <f t="array" ref="AA765">MMULT($G765:$R765,'Nelson Factor_2019'!$B$1:$B$12)/$G765</f>
        <v>8.3741749669986802</v>
      </c>
    </row>
    <row r="766" spans="1:27" x14ac:dyDescent="0.25">
      <c r="A766">
        <v>2010</v>
      </c>
      <c r="B766">
        <v>3</v>
      </c>
      <c r="C766">
        <v>4</v>
      </c>
      <c r="D766" t="s">
        <v>173</v>
      </c>
      <c r="E766" t="s">
        <v>66</v>
      </c>
      <c r="F766" t="s">
        <v>178</v>
      </c>
      <c r="G766">
        <v>225000</v>
      </c>
      <c r="H766">
        <v>130000</v>
      </c>
      <c r="I766">
        <v>50000</v>
      </c>
      <c r="J766">
        <v>0</v>
      </c>
      <c r="K766">
        <v>80000</v>
      </c>
      <c r="L766">
        <v>14500</v>
      </c>
      <c r="M766">
        <v>0</v>
      </c>
      <c r="N766">
        <v>263000</v>
      </c>
      <c r="O766">
        <v>12000</v>
      </c>
      <c r="P766">
        <v>0</v>
      </c>
      <c r="Q766">
        <v>0</v>
      </c>
      <c r="R766">
        <v>6500</v>
      </c>
      <c r="S766">
        <v>0</v>
      </c>
      <c r="T766">
        <v>2500</v>
      </c>
      <c r="U766">
        <v>0</v>
      </c>
      <c r="V766">
        <v>60</v>
      </c>
      <c r="W766">
        <v>3000</v>
      </c>
      <c r="X766">
        <v>890</v>
      </c>
      <c r="Y766">
        <v>0</v>
      </c>
      <c r="Z766" cm="1">
        <f t="array" ref="Z766">MMULT($G766:$Y766,'Nelson Factor_2019'!$B$1:$B$19)/$G766</f>
        <v>10.476266666666668</v>
      </c>
      <c r="AA766" cm="1">
        <f t="array" ref="AA766">MMULT($G766:$R766,'Nelson Factor_2019'!$B$1:$B$12)/$G766</f>
        <v>9.4155555555555548</v>
      </c>
    </row>
    <row r="767" spans="1:27" x14ac:dyDescent="0.25">
      <c r="A767">
        <v>2010</v>
      </c>
      <c r="B767">
        <v>3</v>
      </c>
      <c r="C767">
        <v>1</v>
      </c>
      <c r="D767" t="s">
        <v>173</v>
      </c>
      <c r="E767" t="s">
        <v>66</v>
      </c>
      <c r="F767" t="s">
        <v>196</v>
      </c>
      <c r="G767">
        <v>96000</v>
      </c>
      <c r="H767">
        <v>35000</v>
      </c>
      <c r="I767">
        <v>0</v>
      </c>
      <c r="J767">
        <v>0</v>
      </c>
      <c r="K767">
        <v>24500</v>
      </c>
      <c r="L767">
        <v>34000</v>
      </c>
      <c r="M767">
        <v>0</v>
      </c>
      <c r="N767">
        <v>78300</v>
      </c>
      <c r="O767">
        <v>6500</v>
      </c>
      <c r="P767">
        <v>0</v>
      </c>
      <c r="Q767">
        <v>18000</v>
      </c>
      <c r="R767">
        <v>0</v>
      </c>
      <c r="S767">
        <v>3200</v>
      </c>
      <c r="T767">
        <v>0</v>
      </c>
      <c r="U767">
        <v>0</v>
      </c>
      <c r="V767">
        <v>10</v>
      </c>
      <c r="W767">
        <v>0</v>
      </c>
      <c r="X767">
        <v>0</v>
      </c>
      <c r="Y767">
        <v>0</v>
      </c>
      <c r="Z767" cm="1">
        <f t="array" ref="Z767">MMULT($G767:$Y767,'Nelson Factor_2019'!$B$1:$B$19)/$G767</f>
        <v>13.242291666666667</v>
      </c>
      <c r="AA767" cm="1">
        <f t="array" ref="AA767">MMULT($G767:$R767,'Nelson Factor_2019'!$B$1:$B$12)/$G767</f>
        <v>11.2421875</v>
      </c>
    </row>
    <row r="768" spans="1:27" x14ac:dyDescent="0.25">
      <c r="A768">
        <v>2010</v>
      </c>
      <c r="B768">
        <v>3</v>
      </c>
      <c r="C768">
        <v>1</v>
      </c>
      <c r="D768" t="s">
        <v>173</v>
      </c>
      <c r="E768" t="s">
        <v>197</v>
      </c>
      <c r="F768" t="s">
        <v>198</v>
      </c>
      <c r="G768">
        <v>125000</v>
      </c>
      <c r="H768">
        <v>34700</v>
      </c>
      <c r="I768">
        <v>0</v>
      </c>
      <c r="J768">
        <v>0</v>
      </c>
      <c r="K768">
        <v>28000</v>
      </c>
      <c r="L768">
        <v>18000</v>
      </c>
      <c r="M768">
        <v>0</v>
      </c>
      <c r="N768">
        <v>37800</v>
      </c>
      <c r="O768">
        <v>10000</v>
      </c>
      <c r="P768">
        <v>0</v>
      </c>
      <c r="Q768">
        <v>0</v>
      </c>
      <c r="R768">
        <v>2500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20</v>
      </c>
      <c r="Y768">
        <v>4800</v>
      </c>
      <c r="Z768" cm="1">
        <f t="array" ref="Z768">MMULT($G768:$Y768,'Nelson Factor_2019'!$B$1:$B$19)/$G768</f>
        <v>5.1368799999999997</v>
      </c>
      <c r="AA768" cm="1">
        <f t="array" ref="AA768">MMULT($G768:$R768,'Nelson Factor_2019'!$B$1:$B$12)/$G768</f>
        <v>5.0408799999999996</v>
      </c>
    </row>
    <row r="769" spans="1:27" x14ac:dyDescent="0.25">
      <c r="A769">
        <v>2010</v>
      </c>
      <c r="B769">
        <v>3</v>
      </c>
      <c r="C769">
        <v>4</v>
      </c>
      <c r="D769" t="s">
        <v>173</v>
      </c>
      <c r="E769" t="s">
        <v>240</v>
      </c>
      <c r="F769" t="s">
        <v>181</v>
      </c>
      <c r="G769">
        <v>146000</v>
      </c>
      <c r="H769">
        <v>75000</v>
      </c>
      <c r="I769">
        <v>26000</v>
      </c>
      <c r="J769">
        <v>0</v>
      </c>
      <c r="K769">
        <v>55000</v>
      </c>
      <c r="L769">
        <v>29000</v>
      </c>
      <c r="M769">
        <v>0</v>
      </c>
      <c r="N769">
        <v>164000</v>
      </c>
      <c r="O769">
        <v>17000</v>
      </c>
      <c r="P769">
        <v>0</v>
      </c>
      <c r="Q769">
        <v>0</v>
      </c>
      <c r="R769">
        <v>42000</v>
      </c>
      <c r="S769">
        <v>0</v>
      </c>
      <c r="T769">
        <v>0</v>
      </c>
      <c r="U769">
        <v>90</v>
      </c>
      <c r="V769">
        <v>10</v>
      </c>
      <c r="W769">
        <v>1250</v>
      </c>
      <c r="X769">
        <v>400</v>
      </c>
      <c r="Y769">
        <v>0</v>
      </c>
      <c r="Z769" cm="1">
        <f t="array" ref="Z769">MMULT($G769:$Y769,'Nelson Factor_2019'!$B$1:$B$19)/$G769</f>
        <v>11.75068493150685</v>
      </c>
      <c r="AA769" cm="1">
        <f t="array" ref="AA769">MMULT($G769:$R769,'Nelson Factor_2019'!$B$1:$B$12)/$G769</f>
        <v>11.092465753424657</v>
      </c>
    </row>
    <row r="770" spans="1:27" x14ac:dyDescent="0.25">
      <c r="A770">
        <v>2010</v>
      </c>
      <c r="B770">
        <v>4</v>
      </c>
      <c r="C770">
        <v>1</v>
      </c>
      <c r="D770" t="s">
        <v>199</v>
      </c>
      <c r="E770" t="s">
        <v>237</v>
      </c>
      <c r="F770" t="s">
        <v>201</v>
      </c>
      <c r="G770">
        <v>30000</v>
      </c>
      <c r="H770">
        <v>5000</v>
      </c>
      <c r="I770">
        <v>0</v>
      </c>
      <c r="J770">
        <v>0</v>
      </c>
      <c r="K770">
        <v>11500</v>
      </c>
      <c r="L770">
        <v>7300</v>
      </c>
      <c r="M770">
        <v>0</v>
      </c>
      <c r="N770">
        <v>18500</v>
      </c>
      <c r="O770">
        <v>2500</v>
      </c>
      <c r="P770">
        <v>0</v>
      </c>
      <c r="Q770">
        <v>0</v>
      </c>
      <c r="R770">
        <v>4200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4</v>
      </c>
      <c r="Y770">
        <v>0</v>
      </c>
      <c r="Z770" cm="1">
        <f t="array" ref="Z770">MMULT($G770:$Y770,'Nelson Factor_2019'!$B$1:$B$19)/$G770</f>
        <v>7.5603333333333333</v>
      </c>
      <c r="AA770" cm="1">
        <f t="array" ref="AA770">MMULT($G770:$R770,'Nelson Factor_2019'!$B$1:$B$12)/$G770</f>
        <v>7.5283333333333333</v>
      </c>
    </row>
    <row r="771" spans="1:27" x14ac:dyDescent="0.25">
      <c r="A771">
        <v>2010</v>
      </c>
      <c r="B771">
        <v>4</v>
      </c>
      <c r="C771">
        <v>4</v>
      </c>
      <c r="D771" t="s">
        <v>199</v>
      </c>
      <c r="E771" t="s">
        <v>227</v>
      </c>
      <c r="F771" t="s">
        <v>201</v>
      </c>
      <c r="G771">
        <v>45000</v>
      </c>
      <c r="H771">
        <v>25600</v>
      </c>
      <c r="I771">
        <v>7200</v>
      </c>
      <c r="J771">
        <v>0</v>
      </c>
      <c r="K771">
        <v>13000</v>
      </c>
      <c r="L771">
        <v>7000</v>
      </c>
      <c r="M771">
        <v>0</v>
      </c>
      <c r="N771">
        <v>39000</v>
      </c>
      <c r="O771">
        <v>4500</v>
      </c>
      <c r="P771">
        <v>0</v>
      </c>
      <c r="Q771">
        <v>0</v>
      </c>
      <c r="R771">
        <v>1000</v>
      </c>
      <c r="S771">
        <v>0</v>
      </c>
      <c r="T771">
        <v>0</v>
      </c>
      <c r="U771">
        <v>0</v>
      </c>
      <c r="V771">
        <v>0</v>
      </c>
      <c r="W771">
        <v>281</v>
      </c>
      <c r="X771">
        <v>30</v>
      </c>
      <c r="Y771">
        <v>0</v>
      </c>
      <c r="Z771" cm="1">
        <f t="array" ref="Z771">MMULT($G771:$Y771,'Nelson Factor_2019'!$B$1:$B$19)/$G771</f>
        <v>8.8439999999999994</v>
      </c>
      <c r="AA771" cm="1">
        <f t="array" ref="AA771">MMULT($G771:$R771,'Nelson Factor_2019'!$B$1:$B$12)/$G771</f>
        <v>8.6839999999999993</v>
      </c>
    </row>
    <row r="772" spans="1:27" x14ac:dyDescent="0.25">
      <c r="A772">
        <v>2010</v>
      </c>
      <c r="B772">
        <v>4</v>
      </c>
      <c r="C772">
        <v>1</v>
      </c>
      <c r="D772" t="s">
        <v>199</v>
      </c>
      <c r="E772" t="s">
        <v>202</v>
      </c>
      <c r="F772" t="s">
        <v>203</v>
      </c>
      <c r="G772">
        <v>29450</v>
      </c>
      <c r="H772">
        <v>0</v>
      </c>
      <c r="I772">
        <v>0</v>
      </c>
      <c r="J772">
        <v>0</v>
      </c>
      <c r="K772">
        <v>8900</v>
      </c>
      <c r="L772">
        <v>8000</v>
      </c>
      <c r="M772">
        <v>0</v>
      </c>
      <c r="N772">
        <v>25000</v>
      </c>
      <c r="O772">
        <v>2900</v>
      </c>
      <c r="P772">
        <v>0</v>
      </c>
      <c r="Q772">
        <v>0</v>
      </c>
      <c r="R772">
        <v>3000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10</v>
      </c>
      <c r="Y772">
        <v>0</v>
      </c>
      <c r="Z772" cm="1">
        <f t="array" ref="Z772">MMULT($G772:$Y772,'Nelson Factor_2019'!$B$1:$B$19)/$G772</f>
        <v>7.6655348047538201</v>
      </c>
      <c r="AA772" cm="1">
        <f t="array" ref="AA772">MMULT($G772:$R772,'Nelson Factor_2019'!$B$1:$B$12)/$G772</f>
        <v>7.5840407470288627</v>
      </c>
    </row>
    <row r="773" spans="1:27" x14ac:dyDescent="0.25">
      <c r="A773">
        <v>2010</v>
      </c>
      <c r="B773">
        <v>4</v>
      </c>
      <c r="C773">
        <v>0</v>
      </c>
      <c r="D773" t="s">
        <v>199</v>
      </c>
      <c r="E773" t="s">
        <v>204</v>
      </c>
      <c r="F773" t="s">
        <v>203</v>
      </c>
      <c r="G773">
        <v>12500</v>
      </c>
      <c r="H773">
        <v>6000</v>
      </c>
      <c r="I773">
        <v>0</v>
      </c>
      <c r="J773">
        <v>0</v>
      </c>
      <c r="K773">
        <v>0</v>
      </c>
      <c r="L773">
        <v>2200</v>
      </c>
      <c r="M773">
        <v>0</v>
      </c>
      <c r="N773">
        <v>6200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1200</v>
      </c>
      <c r="Z773" cm="1">
        <f t="array" ref="Z773">MMULT($G773:$Y773,'Nelson Factor_2019'!$B$1:$B$19)/$G773</f>
        <v>3.8879999999999999</v>
      </c>
      <c r="AA773" cm="1">
        <f t="array" ref="AA773">MMULT($G773:$R773,'Nelson Factor_2019'!$B$1:$B$12)/$G773</f>
        <v>3.7440000000000002</v>
      </c>
    </row>
    <row r="774" spans="1:27" x14ac:dyDescent="0.25">
      <c r="A774">
        <v>2010</v>
      </c>
      <c r="B774">
        <v>4</v>
      </c>
      <c r="C774">
        <v>1</v>
      </c>
      <c r="D774" t="s">
        <v>199</v>
      </c>
      <c r="E774" t="s">
        <v>148</v>
      </c>
      <c r="F774" t="s">
        <v>201</v>
      </c>
      <c r="G774">
        <v>60000</v>
      </c>
      <c r="H774">
        <v>0</v>
      </c>
      <c r="I774">
        <v>0</v>
      </c>
      <c r="J774">
        <v>0</v>
      </c>
      <c r="K774">
        <v>23000</v>
      </c>
      <c r="L774">
        <v>12000</v>
      </c>
      <c r="M774">
        <v>0</v>
      </c>
      <c r="N774">
        <v>23000</v>
      </c>
      <c r="O774">
        <v>6000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15</v>
      </c>
      <c r="Y774">
        <v>0</v>
      </c>
      <c r="Z774" cm="1">
        <f t="array" ref="Z774">MMULT($G774:$Y774,'Nelson Factor_2019'!$B$1:$B$19)/$G774</f>
        <v>6.3183333333333334</v>
      </c>
      <c r="AA774" cm="1">
        <f t="array" ref="AA774">MMULT($G774:$R774,'Nelson Factor_2019'!$B$1:$B$12)/$G774</f>
        <v>6.2583333333333337</v>
      </c>
    </row>
    <row r="775" spans="1:27" x14ac:dyDescent="0.25">
      <c r="A775">
        <v>2010</v>
      </c>
      <c r="B775">
        <v>1</v>
      </c>
      <c r="C775">
        <v>4</v>
      </c>
      <c r="D775" t="s">
        <v>205</v>
      </c>
      <c r="E775" t="s">
        <v>206</v>
      </c>
      <c r="F775" t="s">
        <v>207</v>
      </c>
      <c r="G775">
        <v>70000</v>
      </c>
      <c r="H775">
        <v>33000</v>
      </c>
      <c r="I775">
        <v>17100</v>
      </c>
      <c r="J775">
        <v>0</v>
      </c>
      <c r="K775">
        <v>26700</v>
      </c>
      <c r="L775">
        <v>10800</v>
      </c>
      <c r="M775">
        <v>0</v>
      </c>
      <c r="N775">
        <v>29300</v>
      </c>
      <c r="O775">
        <v>0</v>
      </c>
      <c r="P775">
        <v>4000</v>
      </c>
      <c r="Q775">
        <v>0</v>
      </c>
      <c r="R775">
        <v>0</v>
      </c>
      <c r="S775">
        <v>0</v>
      </c>
      <c r="T775">
        <v>660</v>
      </c>
      <c r="U775">
        <v>0</v>
      </c>
      <c r="V775">
        <v>0</v>
      </c>
      <c r="W775">
        <v>905</v>
      </c>
      <c r="X775">
        <v>36</v>
      </c>
      <c r="Y775">
        <v>0</v>
      </c>
      <c r="Z775" cm="1">
        <f t="array" ref="Z775">MMULT($G775:$Y775,'Nelson Factor_2019'!$B$1:$B$19)/$G775</f>
        <v>8.3405714285714279</v>
      </c>
      <c r="AA775" cm="1">
        <f t="array" ref="AA775">MMULT($G775:$R775,'Nelson Factor_2019'!$B$1:$B$12)/$G775</f>
        <v>8.1228571428571428</v>
      </c>
    </row>
    <row r="776" spans="1:27" x14ac:dyDescent="0.25">
      <c r="A776">
        <v>2010</v>
      </c>
      <c r="B776">
        <v>5</v>
      </c>
      <c r="C776">
        <v>5</v>
      </c>
      <c r="D776" t="s">
        <v>208</v>
      </c>
      <c r="E776" t="s">
        <v>32</v>
      </c>
      <c r="F776" t="s">
        <v>209</v>
      </c>
      <c r="G776">
        <v>222300</v>
      </c>
      <c r="H776">
        <v>100700</v>
      </c>
      <c r="I776">
        <v>55800</v>
      </c>
      <c r="J776">
        <v>0</v>
      </c>
      <c r="K776">
        <v>0</v>
      </c>
      <c r="L776">
        <v>58500</v>
      </c>
      <c r="M776">
        <v>54900</v>
      </c>
      <c r="N776">
        <v>127800</v>
      </c>
      <c r="O776">
        <v>0</v>
      </c>
      <c r="P776">
        <v>0</v>
      </c>
      <c r="Q776">
        <v>0</v>
      </c>
      <c r="R776">
        <v>21600</v>
      </c>
      <c r="S776">
        <v>0</v>
      </c>
      <c r="T776">
        <v>0</v>
      </c>
      <c r="U776">
        <v>92.5</v>
      </c>
      <c r="V776">
        <v>42</v>
      </c>
      <c r="W776">
        <v>3250</v>
      </c>
      <c r="X776">
        <v>225</v>
      </c>
      <c r="Y776">
        <v>0</v>
      </c>
      <c r="Z776" cm="1">
        <f t="array" ref="Z776">MMULT($G776:$Y776,'Nelson Factor_2019'!$B$1:$B$19)/$G776</f>
        <v>8.7352429149797572</v>
      </c>
      <c r="AA776" cm="1">
        <f t="array" ref="AA776">MMULT($G776:$R776,'Nelson Factor_2019'!$B$1:$B$12)/$G776</f>
        <v>8.4917228969860545</v>
      </c>
    </row>
    <row r="777" spans="1:27" x14ac:dyDescent="0.25">
      <c r="A777">
        <v>2010</v>
      </c>
      <c r="B777">
        <v>5</v>
      </c>
      <c r="C777">
        <v>1</v>
      </c>
      <c r="D777" t="s">
        <v>208</v>
      </c>
      <c r="E777" t="s">
        <v>51</v>
      </c>
      <c r="F777" t="s">
        <v>209</v>
      </c>
      <c r="G777">
        <v>100000</v>
      </c>
      <c r="H777">
        <v>46400</v>
      </c>
      <c r="I777">
        <v>0</v>
      </c>
      <c r="J777">
        <v>0</v>
      </c>
      <c r="K777">
        <v>32500</v>
      </c>
      <c r="L777">
        <v>15700</v>
      </c>
      <c r="M777">
        <v>0</v>
      </c>
      <c r="N777">
        <v>72000</v>
      </c>
      <c r="O777">
        <v>8600</v>
      </c>
      <c r="P777">
        <v>0</v>
      </c>
      <c r="Q777">
        <v>0</v>
      </c>
      <c r="R777">
        <v>4000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105</v>
      </c>
      <c r="Y777">
        <v>0</v>
      </c>
      <c r="Z777" cm="1">
        <f t="array" ref="Z777">MMULT($G777:$Y777,'Nelson Factor_2019'!$B$1:$B$19)/$G777</f>
        <v>7.3701999999999996</v>
      </c>
      <c r="AA777" cm="1">
        <f t="array" ref="AA777">MMULT($G777:$R777,'Nelson Factor_2019'!$B$1:$B$12)/$G777</f>
        <v>7.1181999999999999</v>
      </c>
    </row>
    <row r="778" spans="1:27" x14ac:dyDescent="0.25">
      <c r="A778">
        <v>2010</v>
      </c>
      <c r="B778">
        <v>5</v>
      </c>
      <c r="C778">
        <v>4</v>
      </c>
      <c r="D778" t="s">
        <v>208</v>
      </c>
      <c r="E778" t="s">
        <v>61</v>
      </c>
      <c r="F778" t="s">
        <v>210</v>
      </c>
      <c r="G778">
        <v>148600</v>
      </c>
      <c r="H778">
        <v>65500</v>
      </c>
      <c r="I778">
        <v>25700</v>
      </c>
      <c r="J778">
        <v>0</v>
      </c>
      <c r="K778">
        <v>57900</v>
      </c>
      <c r="L778">
        <v>33000</v>
      </c>
      <c r="M778">
        <v>0</v>
      </c>
      <c r="N778">
        <v>130600</v>
      </c>
      <c r="O778">
        <v>12050</v>
      </c>
      <c r="P778">
        <v>4300</v>
      </c>
      <c r="Q778">
        <v>0</v>
      </c>
      <c r="R778">
        <v>7000</v>
      </c>
      <c r="S778">
        <v>0</v>
      </c>
      <c r="T778">
        <v>0</v>
      </c>
      <c r="U778">
        <v>7</v>
      </c>
      <c r="V778">
        <v>0</v>
      </c>
      <c r="W778">
        <v>1400</v>
      </c>
      <c r="X778">
        <v>350</v>
      </c>
      <c r="Y778">
        <v>0</v>
      </c>
      <c r="Z778" cm="1">
        <f t="array" ref="Z778">MMULT($G778:$Y778,'Nelson Factor_2019'!$B$1:$B$19)/$G778</f>
        <v>10.322388963660835</v>
      </c>
      <c r="AA778" cm="1">
        <f t="array" ref="AA778">MMULT($G778:$R778,'Nelson Factor_2019'!$B$1:$B$12)/$G778</f>
        <v>9.7570659488559901</v>
      </c>
    </row>
    <row r="779" spans="1:27" x14ac:dyDescent="0.25">
      <c r="A779">
        <v>2010</v>
      </c>
      <c r="B779">
        <v>5</v>
      </c>
      <c r="C779">
        <v>1</v>
      </c>
      <c r="D779" t="s">
        <v>208</v>
      </c>
      <c r="E779" t="s">
        <v>148</v>
      </c>
      <c r="F779" t="s">
        <v>210</v>
      </c>
      <c r="G779">
        <v>113300</v>
      </c>
      <c r="H779">
        <v>47200</v>
      </c>
      <c r="I779">
        <v>0</v>
      </c>
      <c r="J779">
        <v>0</v>
      </c>
      <c r="K779">
        <v>44800</v>
      </c>
      <c r="L779">
        <v>26500</v>
      </c>
      <c r="M779">
        <v>0</v>
      </c>
      <c r="N779">
        <v>61600</v>
      </c>
      <c r="O779">
        <v>11000</v>
      </c>
      <c r="P779">
        <v>0</v>
      </c>
      <c r="Q779">
        <v>0</v>
      </c>
      <c r="R779">
        <v>3400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48</v>
      </c>
      <c r="Y779">
        <v>1000</v>
      </c>
      <c r="Z779" cm="1">
        <f t="array" ref="Z779">MMULT($G779:$Y779,'Nelson Factor_2019'!$B$1:$B$19)/$G779</f>
        <v>7.6185348631950571</v>
      </c>
      <c r="AA779" cm="1">
        <f t="array" ref="AA779">MMULT($G779:$R779,'Nelson Factor_2019'!$B$1:$B$12)/$G779</f>
        <v>7.5036187113857018</v>
      </c>
    </row>
    <row r="780" spans="1:27" x14ac:dyDescent="0.25">
      <c r="A780">
        <v>2010</v>
      </c>
      <c r="B780">
        <v>5</v>
      </c>
      <c r="C780">
        <v>0</v>
      </c>
      <c r="D780" t="s">
        <v>208</v>
      </c>
      <c r="E780" t="s">
        <v>211</v>
      </c>
      <c r="F780" t="s">
        <v>212</v>
      </c>
      <c r="G780">
        <v>39000</v>
      </c>
      <c r="H780">
        <v>17700</v>
      </c>
      <c r="I780">
        <v>0</v>
      </c>
      <c r="J780">
        <v>0</v>
      </c>
      <c r="K780">
        <v>0</v>
      </c>
      <c r="L780">
        <v>5650</v>
      </c>
      <c r="M780">
        <v>0</v>
      </c>
      <c r="N780">
        <v>14800</v>
      </c>
      <c r="O780">
        <v>0</v>
      </c>
      <c r="P780">
        <v>0</v>
      </c>
      <c r="Q780">
        <v>0</v>
      </c>
      <c r="R780">
        <v>3000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10000</v>
      </c>
      <c r="Z780" cm="1">
        <f t="array" ref="Z780">MMULT($G780:$Y780,'Nelson Factor_2019'!$B$1:$B$19)/$G780</f>
        <v>3.8784615384615386</v>
      </c>
      <c r="AA780" cm="1">
        <f t="array" ref="AA780">MMULT($G780:$R780,'Nelson Factor_2019'!$B$1:$B$12)/$G780</f>
        <v>3.493846153846154</v>
      </c>
    </row>
    <row r="781" spans="1:27" x14ac:dyDescent="0.25">
      <c r="A781">
        <v>2010</v>
      </c>
      <c r="B781">
        <v>1</v>
      </c>
      <c r="C781">
        <v>0</v>
      </c>
      <c r="D781" t="s">
        <v>213</v>
      </c>
      <c r="E781" t="s">
        <v>214</v>
      </c>
      <c r="F781" t="s">
        <v>215</v>
      </c>
      <c r="G781">
        <v>19400</v>
      </c>
      <c r="H781">
        <v>8400</v>
      </c>
      <c r="I781">
        <v>0</v>
      </c>
      <c r="J781">
        <v>0</v>
      </c>
      <c r="K781">
        <v>0</v>
      </c>
      <c r="L781">
        <v>3600</v>
      </c>
      <c r="M781">
        <v>0</v>
      </c>
      <c r="N781">
        <v>18600</v>
      </c>
      <c r="O781">
        <v>0</v>
      </c>
      <c r="P781">
        <v>0</v>
      </c>
      <c r="Q781">
        <v>0</v>
      </c>
      <c r="R781">
        <v>0</v>
      </c>
      <c r="S781">
        <v>4800</v>
      </c>
      <c r="T781">
        <v>0</v>
      </c>
      <c r="U781">
        <v>4.0999999999999996</v>
      </c>
      <c r="V781">
        <v>0</v>
      </c>
      <c r="W781">
        <v>0</v>
      </c>
      <c r="X781">
        <v>1</v>
      </c>
      <c r="Y781">
        <v>0</v>
      </c>
      <c r="Z781" cm="1">
        <f t="array" ref="Z781">MMULT($G781:$Y781,'Nelson Factor_2019'!$B$1:$B$19)/$G781</f>
        <v>19.745572164948452</v>
      </c>
      <c r="AA781" cm="1">
        <f t="array" ref="AA781">MMULT($G781:$R781,'Nelson Factor_2019'!$B$1:$B$12)/$G781</f>
        <v>4.8876288659793818</v>
      </c>
    </row>
    <row r="782" spans="1:27" x14ac:dyDescent="0.25">
      <c r="A782">
        <v>2010</v>
      </c>
      <c r="B782">
        <v>2</v>
      </c>
      <c r="C782">
        <v>1</v>
      </c>
      <c r="D782" t="s">
        <v>216</v>
      </c>
      <c r="E782" t="s">
        <v>115</v>
      </c>
      <c r="F782" t="s">
        <v>217</v>
      </c>
      <c r="G782">
        <v>33250</v>
      </c>
      <c r="H782">
        <v>19500</v>
      </c>
      <c r="I782">
        <v>0</v>
      </c>
      <c r="J782">
        <v>0</v>
      </c>
      <c r="K782">
        <v>9900</v>
      </c>
      <c r="L782">
        <v>7200</v>
      </c>
      <c r="M782">
        <v>0</v>
      </c>
      <c r="N782">
        <v>20620</v>
      </c>
      <c r="O782">
        <v>1350</v>
      </c>
      <c r="P782">
        <v>0</v>
      </c>
      <c r="Q782">
        <v>0</v>
      </c>
      <c r="R782">
        <v>1800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15</v>
      </c>
      <c r="Y782">
        <v>6750</v>
      </c>
      <c r="Z782" cm="1">
        <f t="array" ref="Z782">MMULT($G782:$Y782,'Nelson Factor_2019'!$B$1:$B$19)/$G782</f>
        <v>7.1631578947368419</v>
      </c>
      <c r="AA782" cm="1">
        <f t="array" ref="AA782">MMULT($G782:$R782,'Nelson Factor_2019'!$B$1:$B$12)/$G782</f>
        <v>6.7503759398496239</v>
      </c>
    </row>
    <row r="783" spans="1:27" x14ac:dyDescent="0.25">
      <c r="A783">
        <v>2010</v>
      </c>
      <c r="B783">
        <v>4</v>
      </c>
      <c r="C783">
        <v>4</v>
      </c>
      <c r="D783" t="s">
        <v>218</v>
      </c>
      <c r="E783" t="s">
        <v>219</v>
      </c>
      <c r="F783" t="s">
        <v>220</v>
      </c>
      <c r="G783">
        <v>52000</v>
      </c>
      <c r="H783">
        <v>26000</v>
      </c>
      <c r="I783">
        <v>14000</v>
      </c>
      <c r="J783">
        <v>0</v>
      </c>
      <c r="K783">
        <v>12000</v>
      </c>
      <c r="L783">
        <v>9000</v>
      </c>
      <c r="M783">
        <v>0</v>
      </c>
      <c r="N783">
        <v>39000</v>
      </c>
      <c r="O783">
        <v>4000</v>
      </c>
      <c r="P783">
        <v>0</v>
      </c>
      <c r="Q783">
        <v>0</v>
      </c>
      <c r="R783">
        <v>1200</v>
      </c>
      <c r="S783">
        <v>0</v>
      </c>
      <c r="T783">
        <v>0</v>
      </c>
      <c r="U783">
        <v>5.5</v>
      </c>
      <c r="V783">
        <v>0</v>
      </c>
      <c r="W783">
        <v>800</v>
      </c>
      <c r="X783">
        <v>105</v>
      </c>
      <c r="Y783">
        <v>0</v>
      </c>
      <c r="Z783" cm="1">
        <f t="array" ref="Z783">MMULT($G783:$Y783,'Nelson Factor_2019'!$B$1:$B$19)/$G783</f>
        <v>9.1174134615384617</v>
      </c>
      <c r="AA783" cm="1">
        <f t="array" ref="AA783">MMULT($G783:$R783,'Nelson Factor_2019'!$B$1:$B$12)/$G783</f>
        <v>8.6326923076923077</v>
      </c>
    </row>
    <row r="784" spans="1:27" x14ac:dyDescent="0.25">
      <c r="A784">
        <v>2010</v>
      </c>
      <c r="B784">
        <v>4</v>
      </c>
      <c r="C784">
        <v>1</v>
      </c>
      <c r="D784" t="s">
        <v>218</v>
      </c>
      <c r="E784" t="s">
        <v>221</v>
      </c>
      <c r="F784" t="s">
        <v>222</v>
      </c>
      <c r="G784">
        <v>22500</v>
      </c>
      <c r="H784">
        <v>6000</v>
      </c>
      <c r="I784">
        <v>0</v>
      </c>
      <c r="J784">
        <v>0</v>
      </c>
      <c r="K784">
        <v>10000</v>
      </c>
      <c r="L784">
        <v>5500</v>
      </c>
      <c r="M784">
        <v>0</v>
      </c>
      <c r="N784">
        <v>16000</v>
      </c>
      <c r="O784">
        <v>0</v>
      </c>
      <c r="P784">
        <v>1000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19.7</v>
      </c>
      <c r="Y784">
        <v>0</v>
      </c>
      <c r="Z784" cm="1">
        <f t="array" ref="Z784">MMULT($G784:$Y784,'Nelson Factor_2019'!$B$1:$B$19)/$G784</f>
        <v>7.6679111111111107</v>
      </c>
      <c r="AA784" cm="1">
        <f t="array" ref="AA784">MMULT($G784:$R784,'Nelson Factor_2019'!$B$1:$B$12)/$G784</f>
        <v>7.4577777777777774</v>
      </c>
    </row>
    <row r="785" spans="1:27" x14ac:dyDescent="0.25">
      <c r="A785">
        <v>2010</v>
      </c>
      <c r="B785">
        <v>4</v>
      </c>
      <c r="C785">
        <v>1</v>
      </c>
      <c r="D785" t="s">
        <v>218</v>
      </c>
      <c r="E785" t="s">
        <v>159</v>
      </c>
      <c r="F785" t="s">
        <v>223</v>
      </c>
      <c r="G785">
        <v>66000</v>
      </c>
      <c r="H785">
        <v>6500</v>
      </c>
      <c r="I785">
        <v>0</v>
      </c>
      <c r="J785">
        <v>0</v>
      </c>
      <c r="K785">
        <v>10000</v>
      </c>
      <c r="L785">
        <v>5700</v>
      </c>
      <c r="M785">
        <v>0</v>
      </c>
      <c r="N785">
        <v>15500</v>
      </c>
      <c r="O785">
        <v>0</v>
      </c>
      <c r="P785">
        <v>300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19.7</v>
      </c>
      <c r="Y785">
        <v>1750</v>
      </c>
      <c r="Z785" cm="1">
        <f t="array" ref="Z785">MMULT($G785:$Y785,'Nelson Factor_2019'!$B$1:$B$19)/$G785</f>
        <v>3.2129242424242426</v>
      </c>
      <c r="AA785" cm="1">
        <f t="array" ref="AA785">MMULT($G785:$R785,'Nelson Factor_2019'!$B$1:$B$12)/$G785</f>
        <v>3.1015151515151516</v>
      </c>
    </row>
    <row r="786" spans="1:27" x14ac:dyDescent="0.25">
      <c r="A786">
        <v>2010</v>
      </c>
      <c r="B786">
        <v>4</v>
      </c>
      <c r="C786">
        <v>1</v>
      </c>
      <c r="D786" t="s">
        <v>218</v>
      </c>
      <c r="E786" t="s">
        <v>224</v>
      </c>
      <c r="F786" t="s">
        <v>225</v>
      </c>
      <c r="G786">
        <v>12500</v>
      </c>
      <c r="H786">
        <v>1500</v>
      </c>
      <c r="I786">
        <v>0</v>
      </c>
      <c r="J786">
        <v>0</v>
      </c>
      <c r="K786">
        <v>5500</v>
      </c>
      <c r="L786">
        <v>2750</v>
      </c>
      <c r="M786">
        <v>0</v>
      </c>
      <c r="N786">
        <v>7500</v>
      </c>
      <c r="O786">
        <v>1300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4</v>
      </c>
      <c r="Y786">
        <v>0</v>
      </c>
      <c r="Z786" cm="1">
        <f t="array" ref="Z786">MMULT($G786:$Y786,'Nelson Factor_2019'!$B$1:$B$19)/$G786</f>
        <v>7.5128000000000004</v>
      </c>
      <c r="AA786" cm="1">
        <f t="array" ref="AA786">MMULT($G786:$R786,'Nelson Factor_2019'!$B$1:$B$12)/$G786</f>
        <v>7.4359999999999999</v>
      </c>
    </row>
    <row r="787" spans="1:27" x14ac:dyDescent="0.25">
      <c r="A787">
        <v>2011</v>
      </c>
      <c r="B787">
        <v>3</v>
      </c>
      <c r="C787">
        <v>0</v>
      </c>
      <c r="D787" t="s">
        <v>24</v>
      </c>
      <c r="E787" t="s">
        <v>238</v>
      </c>
      <c r="F787" t="s">
        <v>30</v>
      </c>
      <c r="G787">
        <v>20000</v>
      </c>
      <c r="H787">
        <v>15000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 cm="1">
        <f t="array" ref="Z787">MMULT($G787:$Y787,'Nelson Factor_2019'!$B$1:$B$19)/$G787</f>
        <v>1.9750000000000001</v>
      </c>
      <c r="AA787" cm="1">
        <f t="array" ref="AA787">MMULT($G787:$R787,'Nelson Factor_2019'!$B$1:$B$12)/$G787</f>
        <v>1.9750000000000001</v>
      </c>
    </row>
    <row r="788" spans="1:27" x14ac:dyDescent="0.25">
      <c r="A788">
        <v>2011</v>
      </c>
      <c r="B788">
        <v>3</v>
      </c>
      <c r="C788">
        <v>4</v>
      </c>
      <c r="D788" t="s">
        <v>24</v>
      </c>
      <c r="E788" t="s">
        <v>25</v>
      </c>
      <c r="F788" t="s">
        <v>26</v>
      </c>
      <c r="G788">
        <v>35000</v>
      </c>
      <c r="H788">
        <v>15000</v>
      </c>
      <c r="I788">
        <v>14000</v>
      </c>
      <c r="J788">
        <v>0</v>
      </c>
      <c r="K788">
        <v>0</v>
      </c>
      <c r="L788">
        <v>7200</v>
      </c>
      <c r="M788">
        <v>0</v>
      </c>
      <c r="N788">
        <v>42000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8</v>
      </c>
      <c r="V788">
        <v>8</v>
      </c>
      <c r="W788">
        <v>500</v>
      </c>
      <c r="X788">
        <v>120</v>
      </c>
      <c r="Y788">
        <v>14000</v>
      </c>
      <c r="Z788" cm="1">
        <f t="array" ref="Z788">MMULT($G788:$Y788,'Nelson Factor_2019'!$B$1:$B$19)/$G788</f>
        <v>10.009028571428571</v>
      </c>
      <c r="AA788" cm="1">
        <f t="array" ref="AA788">MMULT($G788:$R788,'Nelson Factor_2019'!$B$1:$B$12)/$G788</f>
        <v>8.5857142857142854</v>
      </c>
    </row>
    <row r="789" spans="1:27" x14ac:dyDescent="0.25">
      <c r="A789">
        <v>2011</v>
      </c>
      <c r="B789">
        <v>3</v>
      </c>
      <c r="C789">
        <v>2</v>
      </c>
      <c r="D789" t="s">
        <v>24</v>
      </c>
      <c r="E789" t="s">
        <v>27</v>
      </c>
      <c r="F789" t="s">
        <v>28</v>
      </c>
      <c r="G789">
        <v>85000</v>
      </c>
      <c r="H789">
        <v>28000</v>
      </c>
      <c r="I789">
        <v>0</v>
      </c>
      <c r="J789">
        <v>0</v>
      </c>
      <c r="K789">
        <v>0</v>
      </c>
      <c r="L789">
        <v>22500</v>
      </c>
      <c r="M789">
        <v>30000</v>
      </c>
      <c r="N789">
        <v>43000</v>
      </c>
      <c r="O789">
        <v>0</v>
      </c>
      <c r="P789">
        <v>0</v>
      </c>
      <c r="Q789">
        <v>0</v>
      </c>
      <c r="R789">
        <v>7500</v>
      </c>
      <c r="S789">
        <v>0</v>
      </c>
      <c r="T789">
        <v>0</v>
      </c>
      <c r="U789">
        <v>0</v>
      </c>
      <c r="V789">
        <v>6</v>
      </c>
      <c r="W789">
        <v>0</v>
      </c>
      <c r="X789">
        <v>20</v>
      </c>
      <c r="Y789">
        <v>0</v>
      </c>
      <c r="Z789" cm="1">
        <f t="array" ref="Z789">MMULT($G789:$Y789,'Nelson Factor_2019'!$B$1:$B$19)/$G789</f>
        <v>7.1612470588235295</v>
      </c>
      <c r="AA789" cm="1">
        <f t="array" ref="AA789">MMULT($G789:$R789,'Nelson Factor_2019'!$B$1:$B$12)/$G789</f>
        <v>7.104705882352941</v>
      </c>
    </row>
    <row r="790" spans="1:27" x14ac:dyDescent="0.25">
      <c r="A790">
        <v>2011</v>
      </c>
      <c r="B790">
        <v>5</v>
      </c>
      <c r="C790">
        <v>4</v>
      </c>
      <c r="D790" t="s">
        <v>31</v>
      </c>
      <c r="E790" t="s">
        <v>32</v>
      </c>
      <c r="F790" t="s">
        <v>34</v>
      </c>
      <c r="G790">
        <v>15000</v>
      </c>
      <c r="H790">
        <v>0</v>
      </c>
      <c r="I790">
        <v>15000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 cm="1">
        <f t="array" ref="Z790">MMULT($G790:$Y790,'Nelson Factor_2019'!$B$1:$B$19)/$G790</f>
        <v>8.5</v>
      </c>
      <c r="AA790" cm="1">
        <f t="array" ref="AA790">MMULT($G790:$R790,'Nelson Factor_2019'!$B$1:$B$12)/$G790</f>
        <v>8.5</v>
      </c>
    </row>
    <row r="791" spans="1:27" x14ac:dyDescent="0.25">
      <c r="A791">
        <v>2011</v>
      </c>
      <c r="B791">
        <v>5</v>
      </c>
      <c r="C791">
        <v>4</v>
      </c>
      <c r="D791" t="s">
        <v>31</v>
      </c>
      <c r="E791" t="s">
        <v>51</v>
      </c>
      <c r="F791" t="s">
        <v>33</v>
      </c>
      <c r="G791">
        <v>14500</v>
      </c>
      <c r="H791">
        <v>0</v>
      </c>
      <c r="I791">
        <v>14500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 cm="1">
        <f t="array" ref="Z791">MMULT($G791:$Y791,'Nelson Factor_2019'!$B$1:$B$19)/$G791</f>
        <v>8.5</v>
      </c>
      <c r="AA791" cm="1">
        <f t="array" ref="AA791">MMULT($G791:$R791,'Nelson Factor_2019'!$B$1:$B$12)/$G791</f>
        <v>8.5</v>
      </c>
    </row>
    <row r="792" spans="1:27" x14ac:dyDescent="0.25">
      <c r="A792">
        <v>2011</v>
      </c>
      <c r="B792">
        <v>5</v>
      </c>
      <c r="C792">
        <v>0</v>
      </c>
      <c r="D792" t="s">
        <v>31</v>
      </c>
      <c r="E792" t="s">
        <v>35</v>
      </c>
      <c r="F792" t="s">
        <v>36</v>
      </c>
      <c r="G792">
        <v>215175</v>
      </c>
      <c r="H792">
        <v>5225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1350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1800</v>
      </c>
      <c r="Z792" cm="1">
        <f t="array" ref="Z792">MMULT($G792:$Y792,'Nelson Factor_2019'!$B$1:$B$19)/$G792</f>
        <v>1.1695945160915533</v>
      </c>
      <c r="AA792" cm="1">
        <f t="array" ref="AA792">MMULT($G792:$R792,'Nelson Factor_2019'!$B$1:$B$12)/$G792</f>
        <v>1.1570465899848961</v>
      </c>
    </row>
    <row r="793" spans="1:27" x14ac:dyDescent="0.25">
      <c r="A793">
        <v>2011</v>
      </c>
      <c r="B793">
        <v>5</v>
      </c>
      <c r="C793">
        <v>0</v>
      </c>
      <c r="D793" t="s">
        <v>31</v>
      </c>
      <c r="E793" t="s">
        <v>37</v>
      </c>
      <c r="F793" t="s">
        <v>36</v>
      </c>
      <c r="G793">
        <v>17500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 cm="1">
        <f t="array" ref="Z793">MMULT($G793:$Y793,'Nelson Factor_2019'!$B$1:$B$19)/$G793</f>
        <v>1</v>
      </c>
      <c r="AA793" cm="1">
        <f t="array" ref="AA793">MMULT($G793:$R793,'Nelson Factor_2019'!$B$1:$B$12)/$G793</f>
        <v>1</v>
      </c>
    </row>
    <row r="794" spans="1:27" x14ac:dyDescent="0.25">
      <c r="A794">
        <v>2011</v>
      </c>
      <c r="B794">
        <v>5</v>
      </c>
      <c r="C794">
        <v>0</v>
      </c>
      <c r="D794" t="s">
        <v>31</v>
      </c>
      <c r="E794" t="s">
        <v>37</v>
      </c>
      <c r="F794" t="s">
        <v>38</v>
      </c>
      <c r="G794">
        <v>48000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 cm="1">
        <f t="array" ref="Z794">MMULT($G794:$Y794,'Nelson Factor_2019'!$B$1:$B$19)/$G794</f>
        <v>1</v>
      </c>
      <c r="AA794" cm="1">
        <f t="array" ref="AA794">MMULT($G794:$R794,'Nelson Factor_2019'!$B$1:$B$12)/$G794</f>
        <v>1</v>
      </c>
    </row>
    <row r="795" spans="1:27" x14ac:dyDescent="0.25">
      <c r="A795">
        <v>2011</v>
      </c>
      <c r="B795">
        <v>5</v>
      </c>
      <c r="C795">
        <v>2</v>
      </c>
      <c r="D795" t="s">
        <v>31</v>
      </c>
      <c r="E795" t="s">
        <v>39</v>
      </c>
      <c r="F795" t="s">
        <v>40</v>
      </c>
      <c r="G795">
        <v>72000</v>
      </c>
      <c r="H795">
        <v>19000</v>
      </c>
      <c r="I795">
        <v>0</v>
      </c>
      <c r="J795">
        <v>0</v>
      </c>
      <c r="K795">
        <v>0</v>
      </c>
      <c r="L795">
        <v>12000</v>
      </c>
      <c r="M795">
        <v>12500</v>
      </c>
      <c r="N795">
        <v>12500</v>
      </c>
      <c r="O795">
        <v>0</v>
      </c>
      <c r="P795">
        <v>0</v>
      </c>
      <c r="Q795">
        <v>0</v>
      </c>
      <c r="R795">
        <v>4000</v>
      </c>
      <c r="S795">
        <v>0</v>
      </c>
      <c r="T795">
        <v>0</v>
      </c>
      <c r="U795">
        <v>13</v>
      </c>
      <c r="V795">
        <v>0</v>
      </c>
      <c r="W795">
        <v>0</v>
      </c>
      <c r="X795">
        <v>19</v>
      </c>
      <c r="Y795">
        <v>1000</v>
      </c>
      <c r="Z795" cm="1">
        <f t="array" ref="Z795">MMULT($G795:$Y795,'Nelson Factor_2019'!$B$1:$B$19)/$G795</f>
        <v>4.2503194444444441</v>
      </c>
      <c r="AA795" cm="1">
        <f t="array" ref="AA795">MMULT($G795:$R795,'Nelson Factor_2019'!$B$1:$B$12)/$G795</f>
        <v>4.165972222222222</v>
      </c>
    </row>
    <row r="796" spans="1:27" x14ac:dyDescent="0.25">
      <c r="A796">
        <v>2011</v>
      </c>
      <c r="B796">
        <v>3</v>
      </c>
      <c r="C796">
        <v>0</v>
      </c>
      <c r="D796" t="s">
        <v>41</v>
      </c>
      <c r="E796" t="s">
        <v>42</v>
      </c>
      <c r="F796" t="s">
        <v>43</v>
      </c>
      <c r="G796">
        <v>7000</v>
      </c>
      <c r="H796">
        <v>3000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4500</v>
      </c>
      <c r="O796">
        <v>0</v>
      </c>
      <c r="P796">
        <v>0</v>
      </c>
      <c r="Q796">
        <v>0</v>
      </c>
      <c r="R796">
        <v>0</v>
      </c>
      <c r="S796">
        <v>4500</v>
      </c>
      <c r="T796">
        <v>0</v>
      </c>
      <c r="U796">
        <v>2.5</v>
      </c>
      <c r="V796">
        <v>0</v>
      </c>
      <c r="W796">
        <v>0</v>
      </c>
      <c r="X796">
        <v>0</v>
      </c>
      <c r="Y796">
        <v>1500</v>
      </c>
      <c r="Z796" cm="1">
        <f t="array" ref="Z796">MMULT($G796:$Y796,'Nelson Factor_2019'!$B$1:$B$19)/$G796</f>
        <v>42.057499999999997</v>
      </c>
      <c r="AA796" cm="1">
        <f t="array" ref="AA796">MMULT($G796:$R796,'Nelson Factor_2019'!$B$1:$B$12)/$G796</f>
        <v>3.1642857142857141</v>
      </c>
    </row>
    <row r="797" spans="1:27" x14ac:dyDescent="0.25">
      <c r="A797">
        <v>2011</v>
      </c>
      <c r="B797">
        <v>3</v>
      </c>
      <c r="C797">
        <v>1</v>
      </c>
      <c r="D797" t="s">
        <v>41</v>
      </c>
      <c r="E797" t="s">
        <v>44</v>
      </c>
      <c r="F797" t="s">
        <v>45</v>
      </c>
      <c r="G797">
        <v>70000</v>
      </c>
      <c r="H797">
        <v>27075</v>
      </c>
      <c r="I797">
        <v>0</v>
      </c>
      <c r="J797">
        <v>0</v>
      </c>
      <c r="K797">
        <v>17550</v>
      </c>
      <c r="L797">
        <v>13320</v>
      </c>
      <c r="M797">
        <v>0</v>
      </c>
      <c r="N797">
        <v>74070</v>
      </c>
      <c r="O797">
        <v>4500</v>
      </c>
      <c r="P797">
        <v>0</v>
      </c>
      <c r="Q797">
        <v>0</v>
      </c>
      <c r="R797">
        <v>5940</v>
      </c>
      <c r="S797">
        <v>0</v>
      </c>
      <c r="T797">
        <v>0</v>
      </c>
      <c r="U797">
        <v>10</v>
      </c>
      <c r="V797">
        <v>15</v>
      </c>
      <c r="W797">
        <v>0</v>
      </c>
      <c r="X797">
        <v>157</v>
      </c>
      <c r="Y797">
        <v>10800</v>
      </c>
      <c r="Z797" cm="1">
        <f t="array" ref="Z797">MMULT($G797:$Y797,'Nelson Factor_2019'!$B$1:$B$19)/$G797</f>
        <v>8.2713928571428568</v>
      </c>
      <c r="AA797" cm="1">
        <f t="array" ref="AA797">MMULT($G797:$R797,'Nelson Factor_2019'!$B$1:$B$12)/$G797</f>
        <v>7.5013214285714289</v>
      </c>
    </row>
    <row r="798" spans="1:27" x14ac:dyDescent="0.25">
      <c r="A798">
        <v>2011</v>
      </c>
      <c r="B798">
        <v>5</v>
      </c>
      <c r="C798">
        <v>5</v>
      </c>
      <c r="D798" t="s">
        <v>46</v>
      </c>
      <c r="E798" t="s">
        <v>176</v>
      </c>
      <c r="F798" t="s">
        <v>57</v>
      </c>
      <c r="G798">
        <v>70000</v>
      </c>
      <c r="H798">
        <v>39000</v>
      </c>
      <c r="I798">
        <v>22000</v>
      </c>
      <c r="J798">
        <v>0</v>
      </c>
      <c r="K798">
        <v>0</v>
      </c>
      <c r="L798">
        <v>14700</v>
      </c>
      <c r="M798">
        <v>23500</v>
      </c>
      <c r="N798">
        <v>21900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24.7</v>
      </c>
      <c r="V798">
        <v>5</v>
      </c>
      <c r="W798">
        <v>1200</v>
      </c>
      <c r="X798">
        <v>103</v>
      </c>
      <c r="Y798">
        <v>0</v>
      </c>
      <c r="Z798" cm="1">
        <f t="array" ref="Z798">MMULT($G798:$Y798,'Nelson Factor_2019'!$B$1:$B$19)/$G798</f>
        <v>8.9528528571428563</v>
      </c>
      <c r="AA798" cm="1">
        <f t="array" ref="AA798">MMULT($G798:$R798,'Nelson Factor_2019'!$B$1:$B$12)/$G798</f>
        <v>8.5992857142857151</v>
      </c>
    </row>
    <row r="799" spans="1:27" x14ac:dyDescent="0.25">
      <c r="A799">
        <v>2011</v>
      </c>
      <c r="B799">
        <v>5</v>
      </c>
      <c r="C799">
        <v>0</v>
      </c>
      <c r="D799" t="s">
        <v>46</v>
      </c>
      <c r="E799" t="s">
        <v>176</v>
      </c>
      <c r="F799" t="s">
        <v>230</v>
      </c>
      <c r="G799">
        <v>88000</v>
      </c>
      <c r="H799">
        <v>59800</v>
      </c>
      <c r="I799">
        <v>0</v>
      </c>
      <c r="J799">
        <v>0</v>
      </c>
      <c r="K799">
        <v>0</v>
      </c>
      <c r="L799">
        <v>11600</v>
      </c>
      <c r="M799">
        <v>0</v>
      </c>
      <c r="N799">
        <v>35250</v>
      </c>
      <c r="O799">
        <v>0</v>
      </c>
      <c r="P799">
        <v>0</v>
      </c>
      <c r="Q799">
        <v>0</v>
      </c>
      <c r="R799">
        <v>3750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40</v>
      </c>
      <c r="Y799">
        <v>35000</v>
      </c>
      <c r="Z799" cm="1">
        <f t="array" ref="Z799">MMULT($G799:$Y799,'Nelson Factor_2019'!$B$1:$B$19)/$G799</f>
        <v>4.3774431818181823</v>
      </c>
      <c r="AA799" cm="1">
        <f t="array" ref="AA799">MMULT($G799:$R799,'Nelson Factor_2019'!$B$1:$B$12)/$G799</f>
        <v>3.6717613636363637</v>
      </c>
    </row>
    <row r="800" spans="1:27" x14ac:dyDescent="0.25">
      <c r="A800">
        <v>2011</v>
      </c>
      <c r="B800">
        <v>5</v>
      </c>
      <c r="C800">
        <v>6</v>
      </c>
      <c r="D800" t="s">
        <v>46</v>
      </c>
      <c r="E800" t="s">
        <v>32</v>
      </c>
      <c r="F800" t="s">
        <v>47</v>
      </c>
      <c r="G800">
        <v>251275</v>
      </c>
      <c r="H800">
        <v>133000</v>
      </c>
      <c r="I800">
        <v>63450</v>
      </c>
      <c r="J800">
        <v>0</v>
      </c>
      <c r="K800">
        <v>92250</v>
      </c>
      <c r="L800">
        <v>46800</v>
      </c>
      <c r="M800">
        <v>45000</v>
      </c>
      <c r="N800">
        <v>226530</v>
      </c>
      <c r="O800">
        <v>15300</v>
      </c>
      <c r="P800">
        <v>0</v>
      </c>
      <c r="Q800">
        <v>0</v>
      </c>
      <c r="R800">
        <v>28193</v>
      </c>
      <c r="S800">
        <v>0</v>
      </c>
      <c r="T800">
        <v>0</v>
      </c>
      <c r="U800">
        <v>105</v>
      </c>
      <c r="V800">
        <v>28</v>
      </c>
      <c r="W800">
        <v>2108</v>
      </c>
      <c r="X800">
        <v>446</v>
      </c>
      <c r="Y800">
        <v>0</v>
      </c>
      <c r="Z800" cm="1">
        <f t="array" ref="Z800">MMULT($G800:$Y800,'Nelson Factor_2019'!$B$1:$B$19)/$G800</f>
        <v>11.774458262859417</v>
      </c>
      <c r="AA800" cm="1">
        <f t="array" ref="AA800">MMULT($G800:$R800,'Nelson Factor_2019'!$B$1:$B$12)/$G800</f>
        <v>11.347941498358372</v>
      </c>
    </row>
    <row r="801" spans="1:27" x14ac:dyDescent="0.25">
      <c r="A801">
        <v>2011</v>
      </c>
      <c r="B801">
        <v>5</v>
      </c>
      <c r="C801">
        <v>6</v>
      </c>
      <c r="D801" t="s">
        <v>46</v>
      </c>
      <c r="E801" t="s">
        <v>227</v>
      </c>
      <c r="F801" t="s">
        <v>49</v>
      </c>
      <c r="G801">
        <v>269000</v>
      </c>
      <c r="H801">
        <v>161000</v>
      </c>
      <c r="I801">
        <v>67500</v>
      </c>
      <c r="J801">
        <v>0</v>
      </c>
      <c r="K801">
        <v>65000</v>
      </c>
      <c r="L801">
        <v>44000</v>
      </c>
      <c r="M801">
        <v>46000</v>
      </c>
      <c r="N801">
        <v>201000</v>
      </c>
      <c r="O801">
        <v>30000</v>
      </c>
      <c r="P801">
        <v>0</v>
      </c>
      <c r="Q801">
        <v>0</v>
      </c>
      <c r="R801">
        <v>27000</v>
      </c>
      <c r="S801">
        <v>0</v>
      </c>
      <c r="T801">
        <v>0</v>
      </c>
      <c r="U801">
        <v>69.3</v>
      </c>
      <c r="V801">
        <v>0</v>
      </c>
      <c r="W801">
        <v>4064</v>
      </c>
      <c r="X801">
        <v>544</v>
      </c>
      <c r="Y801">
        <v>0</v>
      </c>
      <c r="Z801" cm="1">
        <f t="array" ref="Z801">MMULT($G801:$Y801,'Nelson Factor_2019'!$B$1:$B$19)/$G801</f>
        <v>11.065722304832713</v>
      </c>
      <c r="AA801" cm="1">
        <f t="array" ref="AA801">MMULT($G801:$R801,'Nelson Factor_2019'!$B$1:$B$12)/$G801</f>
        <v>10.580111524163568</v>
      </c>
    </row>
    <row r="802" spans="1:27" x14ac:dyDescent="0.25">
      <c r="A802">
        <v>2011</v>
      </c>
      <c r="B802">
        <v>5</v>
      </c>
      <c r="C802">
        <v>3</v>
      </c>
      <c r="D802" t="s">
        <v>46</v>
      </c>
      <c r="E802" t="s">
        <v>227</v>
      </c>
      <c r="F802" t="s">
        <v>50</v>
      </c>
      <c r="G802">
        <v>243000</v>
      </c>
      <c r="H802">
        <v>110000</v>
      </c>
      <c r="I802">
        <v>0</v>
      </c>
      <c r="J802">
        <v>0</v>
      </c>
      <c r="K802">
        <v>80000</v>
      </c>
      <c r="L802">
        <v>69000</v>
      </c>
      <c r="M802">
        <v>151000</v>
      </c>
      <c r="N802">
        <v>197340</v>
      </c>
      <c r="O802">
        <v>24000</v>
      </c>
      <c r="P802">
        <v>3700</v>
      </c>
      <c r="Q802">
        <v>0</v>
      </c>
      <c r="R802">
        <v>36600</v>
      </c>
      <c r="S802">
        <v>16000</v>
      </c>
      <c r="T802">
        <v>0</v>
      </c>
      <c r="U802">
        <v>150</v>
      </c>
      <c r="V802">
        <v>20</v>
      </c>
      <c r="W802">
        <v>0</v>
      </c>
      <c r="X802">
        <v>600</v>
      </c>
      <c r="Y802">
        <v>0</v>
      </c>
      <c r="Z802" cm="1">
        <f t="array" ref="Z802">MMULT($G802:$Y802,'Nelson Factor_2019'!$B$1:$B$19)/$G802</f>
        <v>18.120658436213994</v>
      </c>
      <c r="AA802" cm="1">
        <f t="array" ref="AA802">MMULT($G802:$R802,'Nelson Factor_2019'!$B$1:$B$12)/$G802</f>
        <v>13.576748971193416</v>
      </c>
    </row>
    <row r="803" spans="1:27" x14ac:dyDescent="0.25">
      <c r="A803">
        <v>2011</v>
      </c>
      <c r="B803">
        <v>5</v>
      </c>
      <c r="C803">
        <v>6</v>
      </c>
      <c r="D803" t="s">
        <v>46</v>
      </c>
      <c r="E803" t="s">
        <v>51</v>
      </c>
      <c r="F803" t="s">
        <v>52</v>
      </c>
      <c r="G803">
        <v>138700</v>
      </c>
      <c r="H803">
        <v>78000</v>
      </c>
      <c r="I803">
        <v>48000</v>
      </c>
      <c r="J803">
        <v>0</v>
      </c>
      <c r="K803">
        <v>45000</v>
      </c>
      <c r="L803">
        <v>35200</v>
      </c>
      <c r="M803">
        <v>24750</v>
      </c>
      <c r="N803">
        <v>135850</v>
      </c>
      <c r="O803">
        <v>14200</v>
      </c>
      <c r="P803">
        <v>0</v>
      </c>
      <c r="Q803">
        <v>0</v>
      </c>
      <c r="R803">
        <v>17500</v>
      </c>
      <c r="S803">
        <v>0</v>
      </c>
      <c r="T803">
        <v>0</v>
      </c>
      <c r="U803">
        <v>100.8</v>
      </c>
      <c r="V803">
        <v>0</v>
      </c>
      <c r="W803">
        <v>2000</v>
      </c>
      <c r="X803">
        <v>340</v>
      </c>
      <c r="Y803">
        <v>0</v>
      </c>
      <c r="Z803" cm="1">
        <f t="array" ref="Z803">MMULT($G803:$Y803,'Nelson Factor_2019'!$B$1:$B$19)/$G803</f>
        <v>13.409702956020189</v>
      </c>
      <c r="AA803" cm="1">
        <f t="array" ref="AA803">MMULT($G803:$R803,'Nelson Factor_2019'!$B$1:$B$12)/$G803</f>
        <v>12.820656092285509</v>
      </c>
    </row>
    <row r="804" spans="1:27" x14ac:dyDescent="0.25">
      <c r="A804">
        <v>2011</v>
      </c>
      <c r="B804">
        <v>5</v>
      </c>
      <c r="C804">
        <v>5</v>
      </c>
      <c r="D804" t="s">
        <v>46</v>
      </c>
      <c r="E804" t="s">
        <v>51</v>
      </c>
      <c r="F804" t="s">
        <v>53</v>
      </c>
      <c r="G804">
        <v>120000</v>
      </c>
      <c r="H804">
        <v>87000</v>
      </c>
      <c r="I804">
        <v>47000</v>
      </c>
      <c r="J804">
        <v>0</v>
      </c>
      <c r="K804">
        <v>0</v>
      </c>
      <c r="L804">
        <v>31000</v>
      </c>
      <c r="M804">
        <v>56000</v>
      </c>
      <c r="N804">
        <v>73000</v>
      </c>
      <c r="O804">
        <v>0</v>
      </c>
      <c r="P804">
        <v>0</v>
      </c>
      <c r="Q804">
        <v>0</v>
      </c>
      <c r="R804">
        <v>9000</v>
      </c>
      <c r="S804">
        <v>0</v>
      </c>
      <c r="T804">
        <v>0</v>
      </c>
      <c r="U804">
        <v>80</v>
      </c>
      <c r="V804">
        <v>3</v>
      </c>
      <c r="W804">
        <v>2180</v>
      </c>
      <c r="X804">
        <v>650</v>
      </c>
      <c r="Y804">
        <v>0</v>
      </c>
      <c r="Z804" cm="1">
        <f t="array" ref="Z804">MMULT($G804:$Y804,'Nelson Factor_2019'!$B$1:$B$19)/$G804</f>
        <v>12.951525</v>
      </c>
      <c r="AA804" cm="1">
        <f t="array" ref="AA804">MMULT($G804:$R804,'Nelson Factor_2019'!$B$1:$B$12)/$G804</f>
        <v>11.650833333333333</v>
      </c>
    </row>
    <row r="805" spans="1:27" x14ac:dyDescent="0.25">
      <c r="A805">
        <v>2011</v>
      </c>
      <c r="B805">
        <v>5</v>
      </c>
      <c r="C805">
        <v>6</v>
      </c>
      <c r="D805" t="s">
        <v>46</v>
      </c>
      <c r="E805" t="s">
        <v>54</v>
      </c>
      <c r="F805" t="s">
        <v>55</v>
      </c>
      <c r="G805">
        <v>149500</v>
      </c>
      <c r="H805">
        <v>98000</v>
      </c>
      <c r="I805">
        <v>50500</v>
      </c>
      <c r="J805">
        <v>0</v>
      </c>
      <c r="K805">
        <v>83500</v>
      </c>
      <c r="L805">
        <v>17000</v>
      </c>
      <c r="M805">
        <v>20500</v>
      </c>
      <c r="N805">
        <v>143500</v>
      </c>
      <c r="O805">
        <v>23500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143</v>
      </c>
      <c r="V805">
        <v>14</v>
      </c>
      <c r="W805">
        <v>3050</v>
      </c>
      <c r="X805">
        <v>380</v>
      </c>
      <c r="Y805">
        <v>0</v>
      </c>
      <c r="Z805" cm="1">
        <f t="array" ref="Z805">MMULT($G805:$Y805,'Nelson Factor_2019'!$B$1:$B$19)/$G805</f>
        <v>13.984996655518394</v>
      </c>
      <c r="AA805" cm="1">
        <f t="array" ref="AA805">MMULT($G805:$R805,'Nelson Factor_2019'!$B$1:$B$12)/$G805</f>
        <v>13.373913043478261</v>
      </c>
    </row>
    <row r="806" spans="1:27" x14ac:dyDescent="0.25">
      <c r="A806">
        <v>2011</v>
      </c>
      <c r="B806">
        <v>5</v>
      </c>
      <c r="C806">
        <v>0</v>
      </c>
      <c r="D806" t="s">
        <v>46</v>
      </c>
      <c r="E806" t="s">
        <v>56</v>
      </c>
      <c r="F806" t="s">
        <v>57</v>
      </c>
      <c r="G806">
        <v>25000</v>
      </c>
      <c r="H806">
        <v>0</v>
      </c>
      <c r="I806">
        <v>0</v>
      </c>
      <c r="J806">
        <v>0</v>
      </c>
      <c r="K806">
        <v>0</v>
      </c>
      <c r="L806">
        <v>3000</v>
      </c>
      <c r="M806">
        <v>0</v>
      </c>
      <c r="N806">
        <v>13000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4.5</v>
      </c>
      <c r="Y806">
        <v>0</v>
      </c>
      <c r="Z806" cm="1">
        <f t="array" ref="Z806">MMULT($G806:$Y806,'Nelson Factor_2019'!$B$1:$B$19)/$G806</f>
        <v>2.9432</v>
      </c>
      <c r="AA806" cm="1">
        <f t="array" ref="AA806">MMULT($G806:$R806,'Nelson Factor_2019'!$B$1:$B$12)/$G806</f>
        <v>2.9</v>
      </c>
    </row>
    <row r="807" spans="1:27" x14ac:dyDescent="0.25">
      <c r="A807">
        <v>2011</v>
      </c>
      <c r="B807">
        <v>5</v>
      </c>
      <c r="C807">
        <v>0</v>
      </c>
      <c r="D807" t="s">
        <v>46</v>
      </c>
      <c r="E807" t="s">
        <v>60</v>
      </c>
      <c r="F807" t="s">
        <v>57</v>
      </c>
      <c r="G807">
        <v>24300</v>
      </c>
      <c r="H807">
        <v>14000</v>
      </c>
      <c r="I807">
        <v>0</v>
      </c>
      <c r="J807">
        <v>10000</v>
      </c>
      <c r="K807">
        <v>0</v>
      </c>
      <c r="L807">
        <v>0</v>
      </c>
      <c r="M807">
        <v>0</v>
      </c>
      <c r="N807">
        <v>4800</v>
      </c>
      <c r="O807">
        <v>0</v>
      </c>
      <c r="P807">
        <v>0</v>
      </c>
      <c r="Q807">
        <v>0</v>
      </c>
      <c r="R807">
        <v>0</v>
      </c>
      <c r="S807">
        <v>4000</v>
      </c>
      <c r="T807">
        <v>0</v>
      </c>
      <c r="U807">
        <v>4.2</v>
      </c>
      <c r="V807">
        <v>0</v>
      </c>
      <c r="W807">
        <v>0</v>
      </c>
      <c r="X807">
        <v>6</v>
      </c>
      <c r="Y807">
        <v>6500</v>
      </c>
      <c r="Z807" cm="1">
        <f t="array" ref="Z807">MMULT($G807:$Y807,'Nelson Factor_2019'!$B$1:$B$19)/$G807</f>
        <v>13.71169547325103</v>
      </c>
      <c r="AA807" cm="1">
        <f t="array" ref="AA807">MMULT($G807:$R807,'Nelson Factor_2019'!$B$1:$B$12)/$G807</f>
        <v>3.3744855967078191</v>
      </c>
    </row>
    <row r="808" spans="1:27" x14ac:dyDescent="0.25">
      <c r="A808">
        <v>2011</v>
      </c>
      <c r="B808">
        <v>5</v>
      </c>
      <c r="C808">
        <v>6</v>
      </c>
      <c r="D808" t="s">
        <v>46</v>
      </c>
      <c r="E808" t="s">
        <v>61</v>
      </c>
      <c r="F808" t="s">
        <v>62</v>
      </c>
      <c r="G808">
        <v>145000</v>
      </c>
      <c r="H808">
        <v>91100</v>
      </c>
      <c r="I808">
        <v>46500</v>
      </c>
      <c r="J808">
        <v>0</v>
      </c>
      <c r="K808">
        <v>68870</v>
      </c>
      <c r="L808">
        <v>29400</v>
      </c>
      <c r="M808">
        <v>37900</v>
      </c>
      <c r="N808">
        <v>117950</v>
      </c>
      <c r="O808">
        <v>11000</v>
      </c>
      <c r="P808">
        <v>2470</v>
      </c>
      <c r="Q808">
        <v>0</v>
      </c>
      <c r="R808">
        <v>15000</v>
      </c>
      <c r="S808">
        <v>0</v>
      </c>
      <c r="T808">
        <v>0</v>
      </c>
      <c r="U808">
        <v>101</v>
      </c>
      <c r="V808">
        <v>0</v>
      </c>
      <c r="W808">
        <v>1150</v>
      </c>
      <c r="X808">
        <v>360</v>
      </c>
      <c r="Y808">
        <v>15000</v>
      </c>
      <c r="Z808" cm="1">
        <f t="array" ref="Z808">MMULT($G808:$Y808,'Nelson Factor_2019'!$B$1:$B$19)/$G808</f>
        <v>14.201213793103449</v>
      </c>
      <c r="AA808" cm="1">
        <f t="array" ref="AA808">MMULT($G808:$R808,'Nelson Factor_2019'!$B$1:$B$12)/$G808</f>
        <v>13.44948275862069</v>
      </c>
    </row>
    <row r="809" spans="1:27" x14ac:dyDescent="0.25">
      <c r="A809">
        <v>2011</v>
      </c>
      <c r="B809">
        <v>5</v>
      </c>
      <c r="C809">
        <v>6</v>
      </c>
      <c r="D809" t="s">
        <v>46</v>
      </c>
      <c r="E809" t="s">
        <v>239</v>
      </c>
      <c r="F809" t="s">
        <v>63</v>
      </c>
      <c r="G809">
        <v>100000</v>
      </c>
      <c r="H809">
        <v>62000</v>
      </c>
      <c r="I809">
        <v>40000</v>
      </c>
      <c r="J809">
        <v>0</v>
      </c>
      <c r="K809">
        <v>36000</v>
      </c>
      <c r="L809">
        <v>32500</v>
      </c>
      <c r="M809">
        <v>32000</v>
      </c>
      <c r="N809">
        <v>101250</v>
      </c>
      <c r="O809">
        <v>12000</v>
      </c>
      <c r="P809">
        <v>0</v>
      </c>
      <c r="Q809">
        <v>0</v>
      </c>
      <c r="R809">
        <v>8000</v>
      </c>
      <c r="S809">
        <v>0</v>
      </c>
      <c r="T809">
        <v>0</v>
      </c>
      <c r="U809">
        <v>55</v>
      </c>
      <c r="V809">
        <v>55</v>
      </c>
      <c r="W809">
        <v>1615</v>
      </c>
      <c r="X809">
        <v>265</v>
      </c>
      <c r="Y809">
        <v>0</v>
      </c>
      <c r="Z809" cm="1">
        <f t="array" ref="Z809">MMULT($G809:$Y809,'Nelson Factor_2019'!$B$1:$B$19)/$G809</f>
        <v>15.75935</v>
      </c>
      <c r="AA809" cm="1">
        <f t="array" ref="AA809">MMULT($G809:$R809,'Nelson Factor_2019'!$B$1:$B$12)/$G809</f>
        <v>15.122249999999999</v>
      </c>
    </row>
    <row r="810" spans="1:27" x14ac:dyDescent="0.25">
      <c r="A810">
        <v>2011</v>
      </c>
      <c r="B810">
        <v>5</v>
      </c>
      <c r="C810">
        <v>6</v>
      </c>
      <c r="D810" t="s">
        <v>46</v>
      </c>
      <c r="E810" t="s">
        <v>239</v>
      </c>
      <c r="F810" t="s">
        <v>65</v>
      </c>
      <c r="G810">
        <v>161000</v>
      </c>
      <c r="H810">
        <v>144000</v>
      </c>
      <c r="I810">
        <v>42000</v>
      </c>
      <c r="J810">
        <v>0</v>
      </c>
      <c r="K810">
        <v>66500</v>
      </c>
      <c r="L810">
        <v>42000</v>
      </c>
      <c r="M810">
        <v>32000</v>
      </c>
      <c r="N810">
        <v>172500</v>
      </c>
      <c r="O810">
        <v>14000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105</v>
      </c>
      <c r="V810">
        <v>0</v>
      </c>
      <c r="W810">
        <v>1500</v>
      </c>
      <c r="X810">
        <v>140</v>
      </c>
      <c r="Y810">
        <v>0</v>
      </c>
      <c r="Z810" cm="1">
        <f t="array" ref="Z810">MMULT($G810:$Y810,'Nelson Factor_2019'!$B$1:$B$19)/$G810</f>
        <v>13.249409937888199</v>
      </c>
      <c r="AA810" cm="1">
        <f t="array" ref="AA810">MMULT($G810:$R810,'Nelson Factor_2019'!$B$1:$B$12)/$G810</f>
        <v>13.040062111801243</v>
      </c>
    </row>
    <row r="811" spans="1:27" x14ac:dyDescent="0.25">
      <c r="A811">
        <v>2011</v>
      </c>
      <c r="B811">
        <v>5</v>
      </c>
      <c r="C811">
        <v>6</v>
      </c>
      <c r="D811" t="s">
        <v>46</v>
      </c>
      <c r="E811" t="s">
        <v>66</v>
      </c>
      <c r="F811" t="s">
        <v>67</v>
      </c>
      <c r="G811">
        <v>170000</v>
      </c>
      <c r="H811">
        <v>78500</v>
      </c>
      <c r="I811">
        <v>28000</v>
      </c>
      <c r="J811">
        <v>0</v>
      </c>
      <c r="K811">
        <v>69000</v>
      </c>
      <c r="L811">
        <v>36000</v>
      </c>
      <c r="M811">
        <v>36000</v>
      </c>
      <c r="N811">
        <v>146000</v>
      </c>
      <c r="O811">
        <v>17100</v>
      </c>
      <c r="P811">
        <v>2900</v>
      </c>
      <c r="Q811">
        <v>0</v>
      </c>
      <c r="R811">
        <v>0</v>
      </c>
      <c r="S811">
        <v>0</v>
      </c>
      <c r="T811">
        <v>0</v>
      </c>
      <c r="U811">
        <v>131.5</v>
      </c>
      <c r="V811">
        <v>0</v>
      </c>
      <c r="W811">
        <v>1080</v>
      </c>
      <c r="X811">
        <v>275</v>
      </c>
      <c r="Y811">
        <v>5000</v>
      </c>
      <c r="Z811" cm="1">
        <f t="array" ref="Z811">MMULT($G811:$Y811,'Nelson Factor_2019'!$B$1:$B$19)/$G811</f>
        <v>11.780479411764706</v>
      </c>
      <c r="AA811" cm="1">
        <f t="array" ref="AA811">MMULT($G811:$R811,'Nelson Factor_2019'!$B$1:$B$12)/$G811</f>
        <v>11.347352941176471</v>
      </c>
    </row>
    <row r="812" spans="1:27" x14ac:dyDescent="0.25">
      <c r="A812">
        <v>2011</v>
      </c>
      <c r="B812">
        <v>5</v>
      </c>
      <c r="C812">
        <v>4</v>
      </c>
      <c r="D812" t="s">
        <v>46</v>
      </c>
      <c r="E812" t="s">
        <v>66</v>
      </c>
      <c r="F812" t="s">
        <v>63</v>
      </c>
      <c r="G812">
        <v>135000</v>
      </c>
      <c r="H812">
        <v>46000</v>
      </c>
      <c r="I812">
        <v>28000</v>
      </c>
      <c r="J812">
        <v>0</v>
      </c>
      <c r="K812">
        <v>54000</v>
      </c>
      <c r="L812">
        <v>17500</v>
      </c>
      <c r="M812">
        <v>0</v>
      </c>
      <c r="N812">
        <v>139500</v>
      </c>
      <c r="O812">
        <v>14500</v>
      </c>
      <c r="P812">
        <v>0</v>
      </c>
      <c r="Q812">
        <v>0</v>
      </c>
      <c r="R812">
        <v>10200</v>
      </c>
      <c r="S812">
        <v>0</v>
      </c>
      <c r="T812">
        <v>0</v>
      </c>
      <c r="U812">
        <v>50</v>
      </c>
      <c r="V812">
        <v>0</v>
      </c>
      <c r="W812">
        <v>1700</v>
      </c>
      <c r="X812">
        <v>250</v>
      </c>
      <c r="Y812">
        <v>0</v>
      </c>
      <c r="Z812" cm="1">
        <f t="array" ref="Z812">MMULT($G812:$Y812,'Nelson Factor_2019'!$B$1:$B$19)/$G812</f>
        <v>10.375555555555556</v>
      </c>
      <c r="AA812" cm="1">
        <f t="array" ref="AA812">MMULT($G812:$R812,'Nelson Factor_2019'!$B$1:$B$12)/$G812</f>
        <v>9.93074074074074</v>
      </c>
    </row>
    <row r="813" spans="1:27" x14ac:dyDescent="0.25">
      <c r="A813">
        <v>2011</v>
      </c>
      <c r="B813">
        <v>4</v>
      </c>
      <c r="C813">
        <v>1</v>
      </c>
      <c r="D813" t="s">
        <v>68</v>
      </c>
      <c r="E813" t="s">
        <v>231</v>
      </c>
      <c r="F813" t="s">
        <v>242</v>
      </c>
      <c r="G813">
        <v>93000</v>
      </c>
      <c r="H813">
        <v>32500</v>
      </c>
      <c r="I813">
        <v>0</v>
      </c>
      <c r="J813">
        <v>0</v>
      </c>
      <c r="K813">
        <v>27000</v>
      </c>
      <c r="L813">
        <v>18500</v>
      </c>
      <c r="M813">
        <v>0</v>
      </c>
      <c r="N813">
        <v>73400</v>
      </c>
      <c r="O813">
        <v>0</v>
      </c>
      <c r="P813">
        <v>3500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26</v>
      </c>
      <c r="W813">
        <v>0</v>
      </c>
      <c r="X813">
        <v>94</v>
      </c>
      <c r="Y813">
        <v>10500</v>
      </c>
      <c r="Z813" cm="1">
        <f t="array" ref="Z813">MMULT($G813:$Y813,'Nelson Factor_2019'!$B$1:$B$19)/$G813</f>
        <v>6.9525376344086025</v>
      </c>
      <c r="AA813" cm="1">
        <f t="array" ref="AA813">MMULT($G813:$R813,'Nelson Factor_2019'!$B$1:$B$12)/$G813</f>
        <v>6.540322580645161</v>
      </c>
    </row>
    <row r="814" spans="1:27" x14ac:dyDescent="0.25">
      <c r="A814">
        <v>2011</v>
      </c>
      <c r="B814">
        <v>1</v>
      </c>
      <c r="C814">
        <v>3</v>
      </c>
      <c r="D814" t="s">
        <v>72</v>
      </c>
      <c r="E814" t="s">
        <v>245</v>
      </c>
      <c r="F814" t="s">
        <v>74</v>
      </c>
      <c r="G814">
        <v>190000</v>
      </c>
      <c r="H814">
        <v>102000</v>
      </c>
      <c r="I814">
        <v>0</v>
      </c>
      <c r="J814">
        <v>0</v>
      </c>
      <c r="K814">
        <v>82000</v>
      </c>
      <c r="L814">
        <v>43000</v>
      </c>
      <c r="M814">
        <v>18000</v>
      </c>
      <c r="N814">
        <v>130000</v>
      </c>
      <c r="O814">
        <v>11000</v>
      </c>
      <c r="P814">
        <v>5040</v>
      </c>
      <c r="Q814">
        <v>1260</v>
      </c>
      <c r="R814">
        <v>6000</v>
      </c>
      <c r="S814">
        <v>0</v>
      </c>
      <c r="T814">
        <v>0</v>
      </c>
      <c r="U814">
        <v>40</v>
      </c>
      <c r="V814">
        <v>22</v>
      </c>
      <c r="W814">
        <v>2200</v>
      </c>
      <c r="X814">
        <v>532</v>
      </c>
      <c r="Y814">
        <v>0</v>
      </c>
      <c r="Z814" cm="1">
        <f t="array" ref="Z814">MMULT($G814:$Y814,'Nelson Factor_2019'!$B$1:$B$19)/$G814</f>
        <v>9.6312736842105267</v>
      </c>
      <c r="AA814" cm="1">
        <f t="array" ref="AA814">MMULT($G814:$R814,'Nelson Factor_2019'!$B$1:$B$12)/$G814</f>
        <v>8.9589473684210521</v>
      </c>
    </row>
    <row r="815" spans="1:27" x14ac:dyDescent="0.25">
      <c r="A815">
        <v>2011</v>
      </c>
      <c r="B815">
        <v>5</v>
      </c>
      <c r="C815">
        <v>1</v>
      </c>
      <c r="D815" t="s">
        <v>75</v>
      </c>
      <c r="E815" t="s">
        <v>227</v>
      </c>
      <c r="F815" t="s">
        <v>76</v>
      </c>
      <c r="G815">
        <v>54000</v>
      </c>
      <c r="H815">
        <v>30000</v>
      </c>
      <c r="I815">
        <v>0</v>
      </c>
      <c r="J815">
        <v>0</v>
      </c>
      <c r="K815">
        <v>21000</v>
      </c>
      <c r="L815">
        <v>0</v>
      </c>
      <c r="M815">
        <v>0</v>
      </c>
      <c r="N815">
        <v>3000</v>
      </c>
      <c r="O815">
        <v>4000</v>
      </c>
      <c r="P815">
        <v>1000</v>
      </c>
      <c r="Q815">
        <v>0</v>
      </c>
      <c r="R815">
        <v>1200</v>
      </c>
      <c r="S815">
        <v>0</v>
      </c>
      <c r="T815">
        <v>0</v>
      </c>
      <c r="U815">
        <v>2</v>
      </c>
      <c r="V815">
        <v>0</v>
      </c>
      <c r="W815">
        <v>0</v>
      </c>
      <c r="X815">
        <v>0</v>
      </c>
      <c r="Y815">
        <v>1300</v>
      </c>
      <c r="Z815" cm="1">
        <f t="array" ref="Z815">MMULT($G815:$Y815,'Nelson Factor_2019'!$B$1:$B$19)/$G815</f>
        <v>5.2231851851851854</v>
      </c>
      <c r="AA815" cm="1">
        <f t="array" ref="AA815">MMULT($G815:$R815,'Nelson Factor_2019'!$B$1:$B$12)/$G815</f>
        <v>5.1870370370370367</v>
      </c>
    </row>
    <row r="816" spans="1:27" x14ac:dyDescent="0.25">
      <c r="A816">
        <v>2011</v>
      </c>
      <c r="B816">
        <v>5</v>
      </c>
      <c r="C816">
        <v>2</v>
      </c>
      <c r="D816" t="s">
        <v>75</v>
      </c>
      <c r="E816" t="s">
        <v>77</v>
      </c>
      <c r="F816" t="s">
        <v>76</v>
      </c>
      <c r="G816">
        <v>93700</v>
      </c>
      <c r="H816">
        <v>39500</v>
      </c>
      <c r="I816">
        <v>0</v>
      </c>
      <c r="J816">
        <v>11500</v>
      </c>
      <c r="K816">
        <v>0</v>
      </c>
      <c r="L816">
        <v>12800</v>
      </c>
      <c r="M816">
        <v>17600</v>
      </c>
      <c r="N816">
        <v>12800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18</v>
      </c>
      <c r="V816">
        <v>0</v>
      </c>
      <c r="W816">
        <v>0</v>
      </c>
      <c r="X816">
        <v>34</v>
      </c>
      <c r="Y816">
        <v>1000</v>
      </c>
      <c r="Z816" cm="1">
        <f t="array" ref="Z816">MMULT($G816:$Y816,'Nelson Factor_2019'!$B$1:$B$19)/$G816</f>
        <v>4.5160405549626468</v>
      </c>
      <c r="AA816" cm="1">
        <f t="array" ref="AA816">MMULT($G816:$R816,'Nelson Factor_2019'!$B$1:$B$12)/$G816</f>
        <v>4.4127534685165424</v>
      </c>
    </row>
    <row r="817" spans="1:27" x14ac:dyDescent="0.25">
      <c r="A817">
        <v>2011</v>
      </c>
      <c r="B817">
        <v>2</v>
      </c>
      <c r="C817">
        <v>4</v>
      </c>
      <c r="D817" t="s">
        <v>78</v>
      </c>
      <c r="E817" t="s">
        <v>79</v>
      </c>
      <c r="F817" t="s">
        <v>80</v>
      </c>
      <c r="G817">
        <v>158650</v>
      </c>
      <c r="H817">
        <v>71250</v>
      </c>
      <c r="I817">
        <v>36000</v>
      </c>
      <c r="J817">
        <v>0</v>
      </c>
      <c r="K817">
        <v>60300</v>
      </c>
      <c r="L817">
        <v>28080</v>
      </c>
      <c r="M817">
        <v>0</v>
      </c>
      <c r="N817">
        <v>103410</v>
      </c>
      <c r="O817">
        <v>18900</v>
      </c>
      <c r="P817">
        <v>0</v>
      </c>
      <c r="Q817">
        <v>6030</v>
      </c>
      <c r="R817">
        <v>0</v>
      </c>
      <c r="S817">
        <v>0</v>
      </c>
      <c r="T817">
        <v>0</v>
      </c>
      <c r="U817">
        <v>4.5</v>
      </c>
      <c r="V817">
        <v>0</v>
      </c>
      <c r="W817">
        <v>2102</v>
      </c>
      <c r="X817">
        <v>344</v>
      </c>
      <c r="Y817">
        <v>0</v>
      </c>
      <c r="Z817" cm="1">
        <f t="array" ref="Z817">MMULT($G817:$Y817,'Nelson Factor_2019'!$B$1:$B$19)/$G817</f>
        <v>10.55256539552474</v>
      </c>
      <c r="AA817" cm="1">
        <f t="array" ref="AA817">MMULT($G817:$R817,'Nelson Factor_2019'!$B$1:$B$12)/$G817</f>
        <v>10.032146233848094</v>
      </c>
    </row>
    <row r="818" spans="1:27" x14ac:dyDescent="0.25">
      <c r="A818">
        <v>2011</v>
      </c>
      <c r="B818">
        <v>2</v>
      </c>
      <c r="C818">
        <v>4</v>
      </c>
      <c r="D818" t="s">
        <v>78</v>
      </c>
      <c r="E818" t="s">
        <v>54</v>
      </c>
      <c r="F818" t="s">
        <v>82</v>
      </c>
      <c r="G818">
        <v>238000</v>
      </c>
      <c r="H818">
        <v>121500</v>
      </c>
      <c r="I818">
        <v>56000</v>
      </c>
      <c r="J818">
        <v>0</v>
      </c>
      <c r="K818">
        <v>94500</v>
      </c>
      <c r="L818">
        <v>50000</v>
      </c>
      <c r="M818">
        <v>0</v>
      </c>
      <c r="N818">
        <v>248500</v>
      </c>
      <c r="O818">
        <v>27000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3330</v>
      </c>
      <c r="X818">
        <v>580</v>
      </c>
      <c r="Y818">
        <v>14500</v>
      </c>
      <c r="Z818" cm="1">
        <f t="array" ref="Z818">MMULT($G818:$Y818,'Nelson Factor_2019'!$B$1:$B$19)/$G818</f>
        <v>11.282142857142857</v>
      </c>
      <c r="AA818" cm="1">
        <f t="array" ref="AA818">MMULT($G818:$R818,'Nelson Factor_2019'!$B$1:$B$12)/$G818</f>
        <v>10.605882352941176</v>
      </c>
    </row>
    <row r="819" spans="1:27" x14ac:dyDescent="0.25">
      <c r="A819">
        <v>2011</v>
      </c>
      <c r="B819">
        <v>2</v>
      </c>
      <c r="C819">
        <v>6</v>
      </c>
      <c r="D819" t="s">
        <v>78</v>
      </c>
      <c r="E819" t="s">
        <v>246</v>
      </c>
      <c r="F819" t="s">
        <v>84</v>
      </c>
      <c r="G819">
        <v>206000</v>
      </c>
      <c r="H819">
        <v>67900</v>
      </c>
      <c r="I819">
        <v>27600</v>
      </c>
      <c r="J819">
        <v>0</v>
      </c>
      <c r="K819">
        <v>48500</v>
      </c>
      <c r="L819">
        <v>74100</v>
      </c>
      <c r="M819">
        <v>26600</v>
      </c>
      <c r="N819">
        <v>175400</v>
      </c>
      <c r="O819">
        <v>11900</v>
      </c>
      <c r="P819">
        <v>0</v>
      </c>
      <c r="Q819">
        <v>0</v>
      </c>
      <c r="R819">
        <v>13800</v>
      </c>
      <c r="S819">
        <v>0</v>
      </c>
      <c r="T819">
        <v>0</v>
      </c>
      <c r="U819">
        <v>0</v>
      </c>
      <c r="V819">
        <v>0</v>
      </c>
      <c r="W819">
        <v>1187</v>
      </c>
      <c r="X819">
        <v>183</v>
      </c>
      <c r="Y819">
        <v>0</v>
      </c>
      <c r="Z819" cm="1">
        <f t="array" ref="Z819">MMULT($G819:$Y819,'Nelson Factor_2019'!$B$1:$B$19)/$G819</f>
        <v>9.7980097087378635</v>
      </c>
      <c r="AA819" cm="1">
        <f t="array" ref="AA819">MMULT($G819:$R819,'Nelson Factor_2019'!$B$1:$B$12)/$G819</f>
        <v>9.584805825242718</v>
      </c>
    </row>
    <row r="820" spans="1:27" x14ac:dyDescent="0.25">
      <c r="A820">
        <v>2011</v>
      </c>
      <c r="B820">
        <v>2</v>
      </c>
      <c r="C820">
        <v>6</v>
      </c>
      <c r="D820" t="s">
        <v>78</v>
      </c>
      <c r="E820" t="s">
        <v>240</v>
      </c>
      <c r="F820" t="s">
        <v>81</v>
      </c>
      <c r="G820">
        <v>306000</v>
      </c>
      <c r="H820">
        <v>119000</v>
      </c>
      <c r="I820">
        <v>16000</v>
      </c>
      <c r="J820">
        <v>0</v>
      </c>
      <c r="K820">
        <v>91000</v>
      </c>
      <c r="L820">
        <v>85000</v>
      </c>
      <c r="M820">
        <v>41400</v>
      </c>
      <c r="N820">
        <v>225000</v>
      </c>
      <c r="O820">
        <v>20000</v>
      </c>
      <c r="P820">
        <v>0</v>
      </c>
      <c r="Q820">
        <v>3500</v>
      </c>
      <c r="R820">
        <v>0</v>
      </c>
      <c r="S820">
        <v>0</v>
      </c>
      <c r="T820">
        <v>0</v>
      </c>
      <c r="U820">
        <v>105</v>
      </c>
      <c r="V820">
        <v>0</v>
      </c>
      <c r="W820">
        <v>1250</v>
      </c>
      <c r="X820">
        <v>440</v>
      </c>
      <c r="Y820">
        <v>40000</v>
      </c>
      <c r="Z820" cm="1">
        <f t="array" ref="Z820">MMULT($G820:$Y820,'Nelson Factor_2019'!$B$1:$B$19)/$G820</f>
        <v>9.415375816993464</v>
      </c>
      <c r="AA820" cm="1">
        <f t="array" ref="AA820">MMULT($G820:$R820,'Nelson Factor_2019'!$B$1:$B$12)/$G820</f>
        <v>8.8738562091503272</v>
      </c>
    </row>
    <row r="821" spans="1:27" x14ac:dyDescent="0.25">
      <c r="A821">
        <v>2011</v>
      </c>
      <c r="B821">
        <v>2</v>
      </c>
      <c r="C821">
        <v>4</v>
      </c>
      <c r="D821" t="s">
        <v>85</v>
      </c>
      <c r="E821" t="s">
        <v>32</v>
      </c>
      <c r="F821" t="s">
        <v>86</v>
      </c>
      <c r="G821">
        <v>384750</v>
      </c>
      <c r="H821">
        <v>180975</v>
      </c>
      <c r="I821">
        <v>31050</v>
      </c>
      <c r="J821">
        <v>0</v>
      </c>
      <c r="K821">
        <v>148500</v>
      </c>
      <c r="L821">
        <v>57600</v>
      </c>
      <c r="M821">
        <v>0</v>
      </c>
      <c r="N821">
        <v>300150</v>
      </c>
      <c r="O821">
        <v>22500</v>
      </c>
      <c r="P821">
        <v>0</v>
      </c>
      <c r="Q821">
        <v>0</v>
      </c>
      <c r="R821">
        <v>23400</v>
      </c>
      <c r="S821">
        <v>0</v>
      </c>
      <c r="T821">
        <v>0</v>
      </c>
      <c r="U821">
        <v>30</v>
      </c>
      <c r="V821">
        <v>29</v>
      </c>
      <c r="W821">
        <v>1557</v>
      </c>
      <c r="X821">
        <v>486</v>
      </c>
      <c r="Y821">
        <v>26550</v>
      </c>
      <c r="Z821" cm="1">
        <f t="array" ref="Z821">MMULT($G821:$Y821,'Nelson Factor_2019'!$B$1:$B$19)/$G821</f>
        <v>8.4054359974009092</v>
      </c>
      <c r="AA821" cm="1">
        <f t="array" ref="AA821">MMULT($G821:$R821,'Nelson Factor_2019'!$B$1:$B$12)/$G821</f>
        <v>7.9986159844054585</v>
      </c>
    </row>
    <row r="822" spans="1:27" x14ac:dyDescent="0.25">
      <c r="A822">
        <v>2011</v>
      </c>
      <c r="B822">
        <v>2</v>
      </c>
      <c r="C822">
        <v>1</v>
      </c>
      <c r="D822" t="s">
        <v>85</v>
      </c>
      <c r="E822" t="s">
        <v>87</v>
      </c>
      <c r="F822" t="s">
        <v>88</v>
      </c>
      <c r="G822">
        <v>26500</v>
      </c>
      <c r="H822">
        <v>11000</v>
      </c>
      <c r="I822">
        <v>0</v>
      </c>
      <c r="J822">
        <v>0</v>
      </c>
      <c r="K822">
        <v>7850</v>
      </c>
      <c r="L822">
        <v>6500</v>
      </c>
      <c r="M822">
        <v>0</v>
      </c>
      <c r="N822">
        <v>21000</v>
      </c>
      <c r="O822">
        <v>2000</v>
      </c>
      <c r="P822">
        <v>0</v>
      </c>
      <c r="Q822">
        <v>0</v>
      </c>
      <c r="R822">
        <v>2200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8</v>
      </c>
      <c r="Y822">
        <v>3300</v>
      </c>
      <c r="Z822" cm="1">
        <f t="array" ref="Z822">MMULT($G822:$Y822,'Nelson Factor_2019'!$B$1:$B$19)/$G822</f>
        <v>7.7875471698113206</v>
      </c>
      <c r="AA822" cm="1">
        <f t="array" ref="AA822">MMULT($G822:$R822,'Nelson Factor_2019'!$B$1:$B$12)/$G822</f>
        <v>7.5283018867924527</v>
      </c>
    </row>
    <row r="823" spans="1:27" x14ac:dyDescent="0.25">
      <c r="A823">
        <v>2011</v>
      </c>
      <c r="B823">
        <v>2</v>
      </c>
      <c r="C823">
        <v>4</v>
      </c>
      <c r="D823" t="s">
        <v>89</v>
      </c>
      <c r="E823" t="s">
        <v>247</v>
      </c>
      <c r="F823" t="s">
        <v>91</v>
      </c>
      <c r="G823">
        <v>120000</v>
      </c>
      <c r="H823">
        <v>46000</v>
      </c>
      <c r="I823">
        <v>24000</v>
      </c>
      <c r="J823">
        <v>0</v>
      </c>
      <c r="K823">
        <v>36000</v>
      </c>
      <c r="L823">
        <v>24000</v>
      </c>
      <c r="M823">
        <v>0</v>
      </c>
      <c r="N823">
        <v>102000</v>
      </c>
      <c r="O823">
        <v>10000</v>
      </c>
      <c r="P823">
        <v>0</v>
      </c>
      <c r="Q823">
        <v>0</v>
      </c>
      <c r="R823">
        <v>8500</v>
      </c>
      <c r="S823">
        <v>0</v>
      </c>
      <c r="T823">
        <v>0</v>
      </c>
      <c r="U823">
        <v>0</v>
      </c>
      <c r="V823">
        <v>36</v>
      </c>
      <c r="W823">
        <v>1150</v>
      </c>
      <c r="X823">
        <v>146</v>
      </c>
      <c r="Y823">
        <v>0</v>
      </c>
      <c r="Z823" cm="1">
        <f t="array" ref="Z823">MMULT($G823:$Y823,'Nelson Factor_2019'!$B$1:$B$19)/$G823</f>
        <v>9.2614666666666672</v>
      </c>
      <c r="AA823" cm="1">
        <f t="array" ref="AA823">MMULT($G823:$R823,'Nelson Factor_2019'!$B$1:$B$12)/$G823</f>
        <v>8.9691666666666663</v>
      </c>
    </row>
    <row r="824" spans="1:27" x14ac:dyDescent="0.25">
      <c r="A824">
        <v>2011</v>
      </c>
      <c r="B824">
        <v>2</v>
      </c>
      <c r="C824">
        <v>4</v>
      </c>
      <c r="D824" t="s">
        <v>89</v>
      </c>
      <c r="E824" t="s">
        <v>92</v>
      </c>
      <c r="F824" t="s">
        <v>45</v>
      </c>
      <c r="G824">
        <v>135000</v>
      </c>
      <c r="H824">
        <v>53200</v>
      </c>
      <c r="I824">
        <v>16650</v>
      </c>
      <c r="J824">
        <v>0</v>
      </c>
      <c r="K824">
        <v>36000</v>
      </c>
      <c r="L824">
        <v>27450</v>
      </c>
      <c r="M824">
        <v>0</v>
      </c>
      <c r="N824">
        <v>134100</v>
      </c>
      <c r="O824">
        <v>12150</v>
      </c>
      <c r="P824">
        <v>0</v>
      </c>
      <c r="Q824">
        <v>1980</v>
      </c>
      <c r="R824">
        <v>11250</v>
      </c>
      <c r="S824">
        <v>0</v>
      </c>
      <c r="T824">
        <v>0</v>
      </c>
      <c r="U824">
        <v>41</v>
      </c>
      <c r="V824">
        <v>20</v>
      </c>
      <c r="W824">
        <v>1000</v>
      </c>
      <c r="X824">
        <v>260</v>
      </c>
      <c r="Y824">
        <v>0</v>
      </c>
      <c r="Z824" cm="1">
        <f t="array" ref="Z824">MMULT($G824:$Y824,'Nelson Factor_2019'!$B$1:$B$19)/$G824</f>
        <v>9.4433037037037035</v>
      </c>
      <c r="AA824" cm="1">
        <f t="array" ref="AA824">MMULT($G824:$R824,'Nelson Factor_2019'!$B$1:$B$12)/$G824</f>
        <v>8.9806296296296289</v>
      </c>
    </row>
    <row r="825" spans="1:27" x14ac:dyDescent="0.25">
      <c r="A825">
        <v>2011</v>
      </c>
      <c r="B825">
        <v>2</v>
      </c>
      <c r="C825">
        <v>6</v>
      </c>
      <c r="D825" t="s">
        <v>89</v>
      </c>
      <c r="E825" t="s">
        <v>93</v>
      </c>
      <c r="F825" t="s">
        <v>94</v>
      </c>
      <c r="G825">
        <v>82700</v>
      </c>
      <c r="H825">
        <v>35400</v>
      </c>
      <c r="I825">
        <v>20800</v>
      </c>
      <c r="J825">
        <v>0</v>
      </c>
      <c r="K825">
        <v>22700</v>
      </c>
      <c r="L825">
        <v>22700</v>
      </c>
      <c r="M825">
        <v>33100</v>
      </c>
      <c r="N825">
        <v>72500</v>
      </c>
      <c r="O825">
        <v>6400</v>
      </c>
      <c r="P825">
        <v>0</v>
      </c>
      <c r="Q825">
        <v>0</v>
      </c>
      <c r="R825">
        <v>13000</v>
      </c>
      <c r="S825">
        <v>0</v>
      </c>
      <c r="T825">
        <v>0</v>
      </c>
      <c r="U825">
        <v>32.1</v>
      </c>
      <c r="V825">
        <v>74.599999999999994</v>
      </c>
      <c r="W825">
        <v>819</v>
      </c>
      <c r="X825">
        <v>123</v>
      </c>
      <c r="Y825">
        <v>0</v>
      </c>
      <c r="Z825" cm="1">
        <f t="array" ref="Z825">MMULT($G825:$Y825,'Nelson Factor_2019'!$B$1:$B$19)/$G825</f>
        <v>13.459452237001212</v>
      </c>
      <c r="AA825" cm="1">
        <f t="array" ref="AA825">MMULT($G825:$R825,'Nelson Factor_2019'!$B$1:$B$12)/$G825</f>
        <v>13.101209189842805</v>
      </c>
    </row>
    <row r="826" spans="1:27" x14ac:dyDescent="0.25">
      <c r="A826">
        <v>2011</v>
      </c>
      <c r="B826">
        <v>2</v>
      </c>
      <c r="C826">
        <v>1</v>
      </c>
      <c r="D826" t="s">
        <v>95</v>
      </c>
      <c r="E826" t="s">
        <v>246</v>
      </c>
      <c r="F826" t="s">
        <v>96</v>
      </c>
      <c r="G826">
        <v>212000</v>
      </c>
      <c r="H826">
        <v>111600</v>
      </c>
      <c r="I826">
        <v>0</v>
      </c>
      <c r="J826">
        <v>0</v>
      </c>
      <c r="K826">
        <v>98800</v>
      </c>
      <c r="L826">
        <v>49900</v>
      </c>
      <c r="M826">
        <v>0</v>
      </c>
      <c r="N826">
        <v>267600</v>
      </c>
      <c r="O826">
        <v>20000</v>
      </c>
      <c r="P826">
        <v>0</v>
      </c>
      <c r="Q826">
        <v>13800</v>
      </c>
      <c r="R826">
        <v>17100</v>
      </c>
      <c r="S826">
        <v>0</v>
      </c>
      <c r="T826">
        <v>0</v>
      </c>
      <c r="U826">
        <v>32.299999999999997</v>
      </c>
      <c r="V826">
        <v>0</v>
      </c>
      <c r="W826">
        <v>0</v>
      </c>
      <c r="X826">
        <v>406</v>
      </c>
      <c r="Y826">
        <v>25700</v>
      </c>
      <c r="Z826" cm="1">
        <f t="array" ref="Z826">MMULT($G826:$Y826,'Nelson Factor_2019'!$B$1:$B$19)/$G826</f>
        <v>11.941991981132075</v>
      </c>
      <c r="AA826" cm="1">
        <f t="array" ref="AA826">MMULT($G826:$R826,'Nelson Factor_2019'!$B$1:$B$12)/$G826</f>
        <v>11.300377358490566</v>
      </c>
    </row>
    <row r="827" spans="1:27" x14ac:dyDescent="0.25">
      <c r="A827">
        <v>2011</v>
      </c>
      <c r="B827">
        <v>2</v>
      </c>
      <c r="C827">
        <v>0</v>
      </c>
      <c r="D827" t="s">
        <v>95</v>
      </c>
      <c r="E827" t="s">
        <v>97</v>
      </c>
      <c r="F827" t="s">
        <v>98</v>
      </c>
      <c r="G827">
        <v>5500</v>
      </c>
      <c r="H827">
        <v>0</v>
      </c>
      <c r="I827">
        <v>0</v>
      </c>
      <c r="J827">
        <v>0</v>
      </c>
      <c r="K827">
        <v>0</v>
      </c>
      <c r="L827">
        <v>1500</v>
      </c>
      <c r="M827">
        <v>0</v>
      </c>
      <c r="N827">
        <v>2000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 cm="1">
        <f t="array" ref="Z827">MMULT($G827:$Y827,'Nelson Factor_2019'!$B$1:$B$19)/$G827</f>
        <v>3.2727272727272729</v>
      </c>
      <c r="AA827" cm="1">
        <f t="array" ref="AA827">MMULT($G827:$R827,'Nelson Factor_2019'!$B$1:$B$12)/$G827</f>
        <v>3.2727272727272729</v>
      </c>
    </row>
    <row r="828" spans="1:27" x14ac:dyDescent="0.25">
      <c r="A828">
        <v>2011</v>
      </c>
      <c r="B828">
        <v>3</v>
      </c>
      <c r="C828">
        <v>1</v>
      </c>
      <c r="D828" t="s">
        <v>99</v>
      </c>
      <c r="E828" t="s">
        <v>243</v>
      </c>
      <c r="F828" t="s">
        <v>120</v>
      </c>
      <c r="G828">
        <v>83000</v>
      </c>
      <c r="H828">
        <v>36000</v>
      </c>
      <c r="I828">
        <v>0</v>
      </c>
      <c r="J828">
        <v>0</v>
      </c>
      <c r="K828">
        <v>33000</v>
      </c>
      <c r="L828">
        <v>12000</v>
      </c>
      <c r="M828">
        <v>0</v>
      </c>
      <c r="N828">
        <v>18500</v>
      </c>
      <c r="O828">
        <v>0</v>
      </c>
      <c r="P828">
        <v>2100</v>
      </c>
      <c r="Q828">
        <v>0</v>
      </c>
      <c r="R828">
        <v>4500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 cm="1">
        <f t="array" ref="Z828">MMULT($G828:$Y828,'Nelson Factor_2019'!$B$1:$B$19)/$G828</f>
        <v>5.645180722891566</v>
      </c>
      <c r="AA828" cm="1">
        <f t="array" ref="AA828">MMULT($G828:$R828,'Nelson Factor_2019'!$B$1:$B$12)/$G828</f>
        <v>5.645180722891566</v>
      </c>
    </row>
    <row r="829" spans="1:27" x14ac:dyDescent="0.25">
      <c r="A829">
        <v>2011</v>
      </c>
      <c r="B829">
        <v>3</v>
      </c>
      <c r="C829">
        <v>0</v>
      </c>
      <c r="D829" t="s">
        <v>99</v>
      </c>
      <c r="E829" t="s">
        <v>100</v>
      </c>
      <c r="F829" t="s">
        <v>101</v>
      </c>
      <c r="G829">
        <v>32000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 cm="1">
        <f t="array" ref="Z829">MMULT($G829:$Y829,'Nelson Factor_2019'!$B$1:$B$19)/$G829</f>
        <v>1</v>
      </c>
      <c r="AA829" cm="1">
        <f t="array" ref="AA829">MMULT($G829:$R829,'Nelson Factor_2019'!$B$1:$B$12)/$G829</f>
        <v>1</v>
      </c>
    </row>
    <row r="830" spans="1:27" x14ac:dyDescent="0.25">
      <c r="A830">
        <v>2011</v>
      </c>
      <c r="B830">
        <v>3</v>
      </c>
      <c r="C830">
        <v>0</v>
      </c>
      <c r="D830" t="s">
        <v>99</v>
      </c>
      <c r="E830" t="s">
        <v>102</v>
      </c>
      <c r="F830" t="s">
        <v>103</v>
      </c>
      <c r="G830">
        <v>9500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5000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2.5</v>
      </c>
      <c r="V830">
        <v>2.5</v>
      </c>
      <c r="W830">
        <v>0</v>
      </c>
      <c r="X830">
        <v>0</v>
      </c>
      <c r="Y830">
        <v>0</v>
      </c>
      <c r="Z830" cm="1">
        <f t="array" ref="Z830">MMULT($G830:$Y830,'Nelson Factor_2019'!$B$1:$B$19)/$G830</f>
        <v>2.3163157894736841</v>
      </c>
      <c r="AA830" cm="1">
        <f t="array" ref="AA830">MMULT($G830:$R830,'Nelson Factor_2019'!$B$1:$B$12)/$G830</f>
        <v>2.3157894736842106</v>
      </c>
    </row>
    <row r="831" spans="1:27" x14ac:dyDescent="0.25">
      <c r="A831">
        <v>2011</v>
      </c>
      <c r="B831">
        <v>3</v>
      </c>
      <c r="C831">
        <v>2</v>
      </c>
      <c r="D831" t="s">
        <v>99</v>
      </c>
      <c r="E831" t="s">
        <v>102</v>
      </c>
      <c r="F831" t="s">
        <v>104</v>
      </c>
      <c r="G831">
        <v>9500</v>
      </c>
      <c r="H831">
        <v>8500</v>
      </c>
      <c r="I831">
        <v>0</v>
      </c>
      <c r="J831">
        <v>0</v>
      </c>
      <c r="K831">
        <v>0</v>
      </c>
      <c r="L831">
        <v>0</v>
      </c>
      <c r="M831">
        <v>8000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7500</v>
      </c>
      <c r="T831">
        <v>0</v>
      </c>
      <c r="U831">
        <v>4.5</v>
      </c>
      <c r="V831">
        <v>4.5</v>
      </c>
      <c r="W831">
        <v>0</v>
      </c>
      <c r="X831">
        <v>3</v>
      </c>
      <c r="Y831">
        <v>0</v>
      </c>
      <c r="Z831" cm="1">
        <f t="array" ref="Z831">MMULT($G831:$Y831,'Nelson Factor_2019'!$B$1:$B$19)/$G831</f>
        <v>56.345157894736843</v>
      </c>
      <c r="AA831" cm="1">
        <f t="array" ref="AA831">MMULT($G831:$R831,'Nelson Factor_2019'!$B$1:$B$12)/$G831</f>
        <v>8.9</v>
      </c>
    </row>
    <row r="832" spans="1:27" x14ac:dyDescent="0.25">
      <c r="A832">
        <v>2011</v>
      </c>
      <c r="B832">
        <v>3</v>
      </c>
      <c r="C832">
        <v>2</v>
      </c>
      <c r="D832" t="s">
        <v>99</v>
      </c>
      <c r="E832" t="s">
        <v>102</v>
      </c>
      <c r="F832" t="s">
        <v>105</v>
      </c>
      <c r="G832">
        <v>35000</v>
      </c>
      <c r="H832">
        <v>15000</v>
      </c>
      <c r="I832">
        <v>0</v>
      </c>
      <c r="J832">
        <v>0</v>
      </c>
      <c r="K832">
        <v>0</v>
      </c>
      <c r="L832">
        <v>10000</v>
      </c>
      <c r="M832">
        <v>8500</v>
      </c>
      <c r="N832">
        <v>24000</v>
      </c>
      <c r="O832">
        <v>0</v>
      </c>
      <c r="P832">
        <v>0</v>
      </c>
      <c r="Q832">
        <v>0</v>
      </c>
      <c r="R832">
        <v>0</v>
      </c>
      <c r="S832">
        <v>8000</v>
      </c>
      <c r="T832">
        <v>0</v>
      </c>
      <c r="U832">
        <v>6.1</v>
      </c>
      <c r="V832">
        <v>6.1</v>
      </c>
      <c r="W832">
        <v>0</v>
      </c>
      <c r="X832">
        <v>15</v>
      </c>
      <c r="Y832">
        <v>0</v>
      </c>
      <c r="Z832" cm="1">
        <f t="array" ref="Z832">MMULT($G832:$Y832,'Nelson Factor_2019'!$B$1:$B$19)/$G832</f>
        <v>20.460348571428572</v>
      </c>
      <c r="AA832" cm="1">
        <f t="array" ref="AA832">MMULT($G832:$R832,'Nelson Factor_2019'!$B$1:$B$12)/$G832</f>
        <v>6.6428571428571432</v>
      </c>
    </row>
    <row r="833" spans="1:27" x14ac:dyDescent="0.25">
      <c r="A833">
        <v>2011</v>
      </c>
      <c r="B833">
        <v>3</v>
      </c>
      <c r="C833">
        <v>4</v>
      </c>
      <c r="D833" t="s">
        <v>99</v>
      </c>
      <c r="E833" t="s">
        <v>233</v>
      </c>
      <c r="F833" t="s">
        <v>110</v>
      </c>
      <c r="G833">
        <v>189000</v>
      </c>
      <c r="H833">
        <v>159500</v>
      </c>
      <c r="I833">
        <v>28500</v>
      </c>
      <c r="J833">
        <v>0</v>
      </c>
      <c r="K833">
        <v>68000</v>
      </c>
      <c r="L833">
        <v>18500</v>
      </c>
      <c r="M833">
        <v>0</v>
      </c>
      <c r="N833">
        <v>152000</v>
      </c>
      <c r="O833">
        <v>12500</v>
      </c>
      <c r="P833">
        <v>0</v>
      </c>
      <c r="Q833">
        <v>5500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1540</v>
      </c>
      <c r="X833">
        <v>870</v>
      </c>
      <c r="Y833">
        <v>0</v>
      </c>
      <c r="Z833" cm="1">
        <f t="array" ref="Z833">MMULT($G833:$Y833,'Nelson Factor_2019'!$B$1:$B$19)/$G833</f>
        <v>10.234920634920634</v>
      </c>
      <c r="AA833" cm="1">
        <f t="array" ref="AA833">MMULT($G833:$R833,'Nelson Factor_2019'!$B$1:$B$12)/$G833</f>
        <v>9.1301587301587297</v>
      </c>
    </row>
    <row r="834" spans="1:27" x14ac:dyDescent="0.25">
      <c r="A834">
        <v>2011</v>
      </c>
      <c r="B834">
        <v>3</v>
      </c>
      <c r="C834">
        <v>0</v>
      </c>
      <c r="D834" t="s">
        <v>99</v>
      </c>
      <c r="E834" t="s">
        <v>248</v>
      </c>
      <c r="F834" t="s">
        <v>101</v>
      </c>
      <c r="G834">
        <v>0</v>
      </c>
      <c r="H834">
        <v>36100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8550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 cm="1">
        <f t="array" ref="Z834">MMULT($G834:$Y834,'Nelson Factor_2019'!$B$1:$B$19)/$H834</f>
        <v>15.510526315789473</v>
      </c>
      <c r="AA834" cm="1">
        <f t="array" ref="AA834">MMULT($G834:$R834,'Nelson Factor_2019'!$B$1:$B$12)/$H834</f>
        <v>1.3</v>
      </c>
    </row>
    <row r="835" spans="1:27" x14ac:dyDescent="0.25">
      <c r="A835">
        <v>2011</v>
      </c>
      <c r="B835">
        <v>3</v>
      </c>
      <c r="C835">
        <v>6</v>
      </c>
      <c r="D835" t="s">
        <v>99</v>
      </c>
      <c r="E835" t="s">
        <v>79</v>
      </c>
      <c r="F835" t="s">
        <v>101</v>
      </c>
      <c r="G835">
        <v>440000</v>
      </c>
      <c r="H835">
        <v>79800</v>
      </c>
      <c r="I835">
        <v>88200</v>
      </c>
      <c r="J835">
        <v>0</v>
      </c>
      <c r="K835">
        <v>126000</v>
      </c>
      <c r="L835">
        <v>94500</v>
      </c>
      <c r="M835">
        <v>37800</v>
      </c>
      <c r="N835">
        <v>233100</v>
      </c>
      <c r="O835">
        <v>20700</v>
      </c>
      <c r="P835">
        <v>0</v>
      </c>
      <c r="Q835">
        <v>13500</v>
      </c>
      <c r="R835">
        <v>28800</v>
      </c>
      <c r="S835">
        <v>9900</v>
      </c>
      <c r="T835">
        <v>3150</v>
      </c>
      <c r="U835">
        <v>47.7</v>
      </c>
      <c r="V835">
        <v>10.8</v>
      </c>
      <c r="W835">
        <v>3870</v>
      </c>
      <c r="X835">
        <v>567</v>
      </c>
      <c r="Y835">
        <v>0</v>
      </c>
      <c r="Z835" cm="1">
        <f t="array" ref="Z835">MMULT($G835:$Y835,'Nelson Factor_2019'!$B$1:$B$19)/$G835</f>
        <v>10.554382954545455</v>
      </c>
      <c r="AA835" cm="1">
        <f t="array" ref="AA835">MMULT($G835:$R835,'Nelson Factor_2019'!$B$1:$B$12)/$G835</f>
        <v>8.823386363636363</v>
      </c>
    </row>
    <row r="836" spans="1:27" x14ac:dyDescent="0.25">
      <c r="A836">
        <v>2011</v>
      </c>
      <c r="B836">
        <v>3</v>
      </c>
      <c r="C836">
        <v>4</v>
      </c>
      <c r="D836" t="s">
        <v>99</v>
      </c>
      <c r="E836" t="s">
        <v>51</v>
      </c>
      <c r="F836" t="s">
        <v>107</v>
      </c>
      <c r="G836">
        <v>247000</v>
      </c>
      <c r="H836">
        <v>92000</v>
      </c>
      <c r="I836">
        <v>26000</v>
      </c>
      <c r="J836">
        <v>0</v>
      </c>
      <c r="K836">
        <v>104000</v>
      </c>
      <c r="L836">
        <v>43500</v>
      </c>
      <c r="M836">
        <v>0</v>
      </c>
      <c r="N836">
        <v>201400</v>
      </c>
      <c r="O836">
        <v>38000</v>
      </c>
      <c r="P836">
        <v>0</v>
      </c>
      <c r="Q836">
        <v>31800</v>
      </c>
      <c r="R836">
        <v>0</v>
      </c>
      <c r="S836">
        <v>0</v>
      </c>
      <c r="T836">
        <v>0</v>
      </c>
      <c r="U836">
        <v>0</v>
      </c>
      <c r="V836">
        <v>10.4</v>
      </c>
      <c r="W836">
        <v>800</v>
      </c>
      <c r="X836">
        <v>85</v>
      </c>
      <c r="Y836">
        <v>0</v>
      </c>
      <c r="Z836" cm="1">
        <f t="array" ref="Z836">MMULT($G836:$Y836,'Nelson Factor_2019'!$B$1:$B$19)/$G836</f>
        <v>11.915021862348178</v>
      </c>
      <c r="AA836" cm="1">
        <f t="array" ref="AA836">MMULT($G836:$R836,'Nelson Factor_2019'!$B$1:$B$12)/$G836</f>
        <v>11.832388663967611</v>
      </c>
    </row>
    <row r="837" spans="1:27" x14ac:dyDescent="0.25">
      <c r="A837">
        <v>2011</v>
      </c>
      <c r="B837">
        <v>3</v>
      </c>
      <c r="C837">
        <v>6</v>
      </c>
      <c r="D837" t="s">
        <v>99</v>
      </c>
      <c r="E837" t="s">
        <v>51</v>
      </c>
      <c r="F837" t="s">
        <v>108</v>
      </c>
      <c r="G837">
        <v>239000</v>
      </c>
      <c r="H837">
        <v>106200</v>
      </c>
      <c r="I837">
        <v>61000</v>
      </c>
      <c r="J837">
        <v>0</v>
      </c>
      <c r="K837">
        <v>46400</v>
      </c>
      <c r="L837">
        <v>44300</v>
      </c>
      <c r="M837">
        <v>34200</v>
      </c>
      <c r="N837">
        <v>218600</v>
      </c>
      <c r="O837">
        <v>7200</v>
      </c>
      <c r="P837">
        <v>540</v>
      </c>
      <c r="Q837">
        <v>0</v>
      </c>
      <c r="R837">
        <v>0</v>
      </c>
      <c r="S837">
        <v>0</v>
      </c>
      <c r="T837">
        <v>0</v>
      </c>
      <c r="U837">
        <v>15</v>
      </c>
      <c r="V837">
        <v>112</v>
      </c>
      <c r="W837">
        <v>3600</v>
      </c>
      <c r="X837">
        <v>310</v>
      </c>
      <c r="Y837">
        <v>0</v>
      </c>
      <c r="Z837" cm="1">
        <f t="array" ref="Z837">MMULT($G837:$Y837,'Nelson Factor_2019'!$B$1:$B$19)/$G837</f>
        <v>9.6505732217573215</v>
      </c>
      <c r="AA837" cm="1">
        <f t="array" ref="AA837">MMULT($G837:$R837,'Nelson Factor_2019'!$B$1:$B$12)/$G837</f>
        <v>9.3387447698744772</v>
      </c>
    </row>
    <row r="838" spans="1:27" x14ac:dyDescent="0.25">
      <c r="A838">
        <v>2011</v>
      </c>
      <c r="B838">
        <v>3</v>
      </c>
      <c r="C838">
        <v>6</v>
      </c>
      <c r="D838" t="s">
        <v>99</v>
      </c>
      <c r="E838" t="s">
        <v>54</v>
      </c>
      <c r="F838" t="s">
        <v>109</v>
      </c>
      <c r="G838">
        <v>503500</v>
      </c>
      <c r="H838">
        <v>234500</v>
      </c>
      <c r="I838">
        <v>116000</v>
      </c>
      <c r="J838">
        <v>0</v>
      </c>
      <c r="K838">
        <v>231000</v>
      </c>
      <c r="L838">
        <v>75500</v>
      </c>
      <c r="M838">
        <v>26500</v>
      </c>
      <c r="N838">
        <v>519500</v>
      </c>
      <c r="O838">
        <v>38500</v>
      </c>
      <c r="P838">
        <v>9500</v>
      </c>
      <c r="Q838">
        <v>0</v>
      </c>
      <c r="R838">
        <v>0</v>
      </c>
      <c r="S838">
        <v>16000</v>
      </c>
      <c r="T838">
        <v>0</v>
      </c>
      <c r="U838">
        <v>0</v>
      </c>
      <c r="V838">
        <v>12</v>
      </c>
      <c r="W838">
        <v>5430</v>
      </c>
      <c r="X838">
        <v>690</v>
      </c>
      <c r="Y838">
        <v>0</v>
      </c>
      <c r="Z838" cm="1">
        <f t="array" ref="Z838">MMULT($G838:$Y838,'Nelson Factor_2019'!$B$1:$B$19)/$G838</f>
        <v>13.025247269116187</v>
      </c>
      <c r="AA838" cm="1">
        <f t="array" ref="AA838">MMULT($G838:$R838,'Nelson Factor_2019'!$B$1:$B$12)/$G838</f>
        <v>10.789672293942402</v>
      </c>
    </row>
    <row r="839" spans="1:27" x14ac:dyDescent="0.25">
      <c r="A839">
        <v>2011</v>
      </c>
      <c r="B839">
        <v>3</v>
      </c>
      <c r="C839">
        <v>6</v>
      </c>
      <c r="D839" t="s">
        <v>99</v>
      </c>
      <c r="E839" t="s">
        <v>246</v>
      </c>
      <c r="F839" t="s">
        <v>111</v>
      </c>
      <c r="G839">
        <v>436000</v>
      </c>
      <c r="H839">
        <v>232200</v>
      </c>
      <c r="I839">
        <v>80300</v>
      </c>
      <c r="J839">
        <v>0</v>
      </c>
      <c r="K839">
        <v>124500</v>
      </c>
      <c r="L839">
        <v>107400</v>
      </c>
      <c r="M839">
        <v>66500</v>
      </c>
      <c r="N839">
        <v>434700</v>
      </c>
      <c r="O839">
        <v>25700</v>
      </c>
      <c r="P839">
        <v>0</v>
      </c>
      <c r="Q839">
        <v>0</v>
      </c>
      <c r="R839">
        <v>41900</v>
      </c>
      <c r="S839">
        <v>0</v>
      </c>
      <c r="T839">
        <v>0</v>
      </c>
      <c r="U839">
        <v>0</v>
      </c>
      <c r="V839">
        <v>0</v>
      </c>
      <c r="W839">
        <v>4736</v>
      </c>
      <c r="X839">
        <v>1143</v>
      </c>
      <c r="Y839">
        <v>28500</v>
      </c>
      <c r="Z839" cm="1">
        <f t="array" ref="Z839">MMULT($G839:$Y839,'Nelson Factor_2019'!$B$1:$B$19)/$G839</f>
        <v>11.336307339449542</v>
      </c>
      <c r="AA839" cm="1">
        <f t="array" ref="AA839">MMULT($G839:$R839,'Nelson Factor_2019'!$B$1:$B$12)/$G839</f>
        <v>10.60908256880734</v>
      </c>
    </row>
    <row r="840" spans="1:27" x14ac:dyDescent="0.25">
      <c r="A840">
        <v>2011</v>
      </c>
      <c r="B840">
        <v>3</v>
      </c>
      <c r="C840">
        <v>3</v>
      </c>
      <c r="D840" t="s">
        <v>99</v>
      </c>
      <c r="E840" t="s">
        <v>112</v>
      </c>
      <c r="F840" t="s">
        <v>113</v>
      </c>
      <c r="G840">
        <v>227000</v>
      </c>
      <c r="H840">
        <v>104000</v>
      </c>
      <c r="I840">
        <v>0</v>
      </c>
      <c r="J840">
        <v>12520</v>
      </c>
      <c r="K840">
        <v>86000</v>
      </c>
      <c r="L840">
        <v>36000</v>
      </c>
      <c r="M840">
        <v>51780</v>
      </c>
      <c r="N840">
        <v>216000</v>
      </c>
      <c r="O840">
        <v>14000</v>
      </c>
      <c r="P840">
        <v>4000</v>
      </c>
      <c r="Q840">
        <v>0</v>
      </c>
      <c r="R840">
        <v>12000</v>
      </c>
      <c r="S840">
        <v>0</v>
      </c>
      <c r="T840">
        <v>0</v>
      </c>
      <c r="U840">
        <v>58</v>
      </c>
      <c r="V840">
        <v>0</v>
      </c>
      <c r="W840">
        <v>0</v>
      </c>
      <c r="X840">
        <v>640</v>
      </c>
      <c r="Y840">
        <v>0</v>
      </c>
      <c r="Z840" cm="1">
        <f t="array" ref="Z840">MMULT($G840:$Y840,'Nelson Factor_2019'!$B$1:$B$19)/$G840</f>
        <v>10.645497797356828</v>
      </c>
      <c r="AA840" cm="1">
        <f t="array" ref="AA840">MMULT($G840:$R840,'Nelson Factor_2019'!$B$1:$B$12)/$G840</f>
        <v>9.9685903083700449</v>
      </c>
    </row>
    <row r="841" spans="1:27" x14ac:dyDescent="0.25">
      <c r="A841">
        <v>2011</v>
      </c>
      <c r="B841">
        <v>3</v>
      </c>
      <c r="C841">
        <v>6</v>
      </c>
      <c r="D841" t="s">
        <v>99</v>
      </c>
      <c r="E841" t="s">
        <v>112</v>
      </c>
      <c r="F841" t="s">
        <v>114</v>
      </c>
      <c r="G841">
        <v>220000</v>
      </c>
      <c r="H841">
        <v>78000</v>
      </c>
      <c r="I841">
        <v>21380</v>
      </c>
      <c r="J841">
        <v>0</v>
      </c>
      <c r="K841">
        <v>107000</v>
      </c>
      <c r="L841">
        <v>20000</v>
      </c>
      <c r="M841">
        <v>31000</v>
      </c>
      <c r="N841">
        <v>123500</v>
      </c>
      <c r="O841">
        <v>14000</v>
      </c>
      <c r="P841">
        <v>7780</v>
      </c>
      <c r="Q841">
        <v>0</v>
      </c>
      <c r="R841">
        <v>0</v>
      </c>
      <c r="S841">
        <v>0</v>
      </c>
      <c r="T841">
        <v>8000</v>
      </c>
      <c r="U841">
        <v>50</v>
      </c>
      <c r="V841">
        <v>0</v>
      </c>
      <c r="W841">
        <v>1020</v>
      </c>
      <c r="X841">
        <v>140</v>
      </c>
      <c r="Y841">
        <v>0</v>
      </c>
      <c r="Z841" cm="1">
        <f t="array" ref="Z841">MMULT($G841:$Y841,'Nelson Factor_2019'!$B$1:$B$19)/$G841</f>
        <v>9.5997727272727271</v>
      </c>
      <c r="AA841" cm="1">
        <f t="array" ref="AA841">MMULT($G841:$R841,'Nelson Factor_2019'!$B$1:$B$12)/$G841</f>
        <v>9.0831818181818189</v>
      </c>
    </row>
    <row r="842" spans="1:27" x14ac:dyDescent="0.25">
      <c r="A842">
        <v>2011</v>
      </c>
      <c r="B842">
        <v>3</v>
      </c>
      <c r="C842">
        <v>1</v>
      </c>
      <c r="D842" t="s">
        <v>99</v>
      </c>
      <c r="E842" t="s">
        <v>115</v>
      </c>
      <c r="F842" t="s">
        <v>116</v>
      </c>
      <c r="G842">
        <v>125000</v>
      </c>
      <c r="H842">
        <v>50000</v>
      </c>
      <c r="I842">
        <v>0</v>
      </c>
      <c r="J842">
        <v>0</v>
      </c>
      <c r="K842">
        <v>37000</v>
      </c>
      <c r="L842">
        <v>0</v>
      </c>
      <c r="M842">
        <v>0</v>
      </c>
      <c r="N842">
        <v>123750</v>
      </c>
      <c r="O842">
        <v>8500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1800</v>
      </c>
      <c r="Y842">
        <v>0</v>
      </c>
      <c r="Z842" cm="1">
        <f t="array" ref="Z842">MMULT($G842:$Y842,'Nelson Factor_2019'!$B$1:$B$19)/$G842</f>
        <v>9.907</v>
      </c>
      <c r="AA842" cm="1">
        <f t="array" ref="AA842">MMULT($G842:$R842,'Nelson Factor_2019'!$B$1:$B$12)/$G842</f>
        <v>6.4509999999999996</v>
      </c>
    </row>
    <row r="843" spans="1:27" x14ac:dyDescent="0.25">
      <c r="A843">
        <v>2011</v>
      </c>
      <c r="B843">
        <v>3</v>
      </c>
      <c r="C843">
        <v>1</v>
      </c>
      <c r="D843" t="s">
        <v>99</v>
      </c>
      <c r="E843" t="s">
        <v>117</v>
      </c>
      <c r="F843" t="s">
        <v>118</v>
      </c>
      <c r="G843">
        <v>56050</v>
      </c>
      <c r="H843">
        <v>25650</v>
      </c>
      <c r="I843">
        <v>0</v>
      </c>
      <c r="J843">
        <v>0</v>
      </c>
      <c r="K843">
        <v>22500</v>
      </c>
      <c r="L843">
        <v>9900</v>
      </c>
      <c r="M843">
        <v>0</v>
      </c>
      <c r="N843">
        <v>44100</v>
      </c>
      <c r="O843">
        <v>6750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50</v>
      </c>
      <c r="Y843">
        <v>0</v>
      </c>
      <c r="Z843" cm="1">
        <f t="array" ref="Z843">MMULT($G843:$Y843,'Nelson Factor_2019'!$B$1:$B$19)/$G843</f>
        <v>8.2719892952720784</v>
      </c>
      <c r="AA843" cm="1">
        <f t="array" ref="AA843">MMULT($G843:$R843,'Nelson Factor_2019'!$B$1:$B$12)/$G843</f>
        <v>8.0578947368421048</v>
      </c>
    </row>
    <row r="844" spans="1:27" x14ac:dyDescent="0.25">
      <c r="A844">
        <v>2011</v>
      </c>
      <c r="B844">
        <v>3</v>
      </c>
      <c r="C844">
        <v>0</v>
      </c>
      <c r="D844" t="s">
        <v>99</v>
      </c>
      <c r="E844" t="s">
        <v>27</v>
      </c>
      <c r="F844" t="s">
        <v>119</v>
      </c>
      <c r="G844">
        <v>55000</v>
      </c>
      <c r="H844">
        <v>28000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 cm="1">
        <f t="array" ref="Z844">MMULT($G844:$Y844,'Nelson Factor_2019'!$B$1:$B$19)/$G844</f>
        <v>1.6618181818181819</v>
      </c>
      <c r="AA844" cm="1">
        <f t="array" ref="AA844">MMULT($G844:$R844,'Nelson Factor_2019'!$B$1:$B$12)/$G844</f>
        <v>1.6618181818181819</v>
      </c>
    </row>
    <row r="845" spans="1:27" x14ac:dyDescent="0.25">
      <c r="A845">
        <v>2011</v>
      </c>
      <c r="B845">
        <v>3</v>
      </c>
      <c r="C845">
        <v>4</v>
      </c>
      <c r="D845" t="s">
        <v>99</v>
      </c>
      <c r="E845" t="s">
        <v>66</v>
      </c>
      <c r="F845" t="s">
        <v>114</v>
      </c>
      <c r="G845">
        <v>250000</v>
      </c>
      <c r="H845">
        <v>200000</v>
      </c>
      <c r="I845">
        <v>70400</v>
      </c>
      <c r="J845">
        <v>0</v>
      </c>
      <c r="K845">
        <v>100000</v>
      </c>
      <c r="L845">
        <v>25000</v>
      </c>
      <c r="M845">
        <v>0</v>
      </c>
      <c r="N845">
        <v>131100</v>
      </c>
      <c r="O845">
        <v>19000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4500</v>
      </c>
      <c r="X845">
        <v>450</v>
      </c>
      <c r="Y845">
        <v>0</v>
      </c>
      <c r="Z845" cm="1">
        <f t="array" ref="Z845">MMULT($G845:$Y845,'Nelson Factor_2019'!$B$1:$B$19)/$G845</f>
        <v>9.5549999999999997</v>
      </c>
      <c r="AA845" cm="1">
        <f t="array" ref="AA845">MMULT($G845:$R845,'Nelson Factor_2019'!$B$1:$B$12)/$G845</f>
        <v>9.1229999999999993</v>
      </c>
    </row>
    <row r="846" spans="1:27" x14ac:dyDescent="0.25">
      <c r="A846">
        <v>2011</v>
      </c>
      <c r="B846">
        <v>2</v>
      </c>
      <c r="C846">
        <v>1</v>
      </c>
      <c r="D846" t="s">
        <v>121</v>
      </c>
      <c r="E846" t="s">
        <v>234</v>
      </c>
      <c r="F846" t="s">
        <v>122</v>
      </c>
      <c r="G846">
        <v>106000</v>
      </c>
      <c r="H846">
        <v>52300</v>
      </c>
      <c r="I846">
        <v>0</v>
      </c>
      <c r="J846">
        <v>0</v>
      </c>
      <c r="K846">
        <v>30900</v>
      </c>
      <c r="L846">
        <v>20400</v>
      </c>
      <c r="M846">
        <v>0</v>
      </c>
      <c r="N846">
        <v>97000</v>
      </c>
      <c r="O846">
        <v>4800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132</v>
      </c>
      <c r="Y846">
        <v>21900</v>
      </c>
      <c r="Z846" cm="1">
        <f t="array" ref="Z846">MMULT($G846:$Y846,'Nelson Factor_2019'!$B$1:$B$19)/$G846</f>
        <v>7.7020754716981132</v>
      </c>
      <c r="AA846" cm="1">
        <f t="array" ref="AA846">MMULT($G846:$R846,'Nelson Factor_2019'!$B$1:$B$12)/$G846</f>
        <v>7.0933018867924531</v>
      </c>
    </row>
    <row r="847" spans="1:27" x14ac:dyDescent="0.25">
      <c r="A847">
        <v>2011</v>
      </c>
      <c r="B847">
        <v>2</v>
      </c>
      <c r="C847">
        <v>6</v>
      </c>
      <c r="D847" t="s">
        <v>123</v>
      </c>
      <c r="E847" t="s">
        <v>35</v>
      </c>
      <c r="F847" t="s">
        <v>124</v>
      </c>
      <c r="G847">
        <v>322050</v>
      </c>
      <c r="H847">
        <v>185250</v>
      </c>
      <c r="I847">
        <v>63720</v>
      </c>
      <c r="J847">
        <v>0</v>
      </c>
      <c r="K847">
        <v>77850</v>
      </c>
      <c r="L847">
        <v>46170</v>
      </c>
      <c r="M847">
        <v>36000</v>
      </c>
      <c r="N847">
        <v>287550</v>
      </c>
      <c r="O847">
        <v>11250</v>
      </c>
      <c r="P847">
        <v>4140</v>
      </c>
      <c r="Q847">
        <v>0</v>
      </c>
      <c r="R847">
        <v>16200</v>
      </c>
      <c r="S847">
        <v>0</v>
      </c>
      <c r="T847">
        <v>0</v>
      </c>
      <c r="U847">
        <v>157.5</v>
      </c>
      <c r="V847">
        <v>9</v>
      </c>
      <c r="W847">
        <v>3690</v>
      </c>
      <c r="X847">
        <v>990</v>
      </c>
      <c r="Y847">
        <v>40500</v>
      </c>
      <c r="Z847" cm="1">
        <f t="array" ref="Z847">MMULT($G847:$Y847,'Nelson Factor_2019'!$B$1:$B$19)/$G847</f>
        <v>10.081094550535632</v>
      </c>
      <c r="AA847" cm="1">
        <f t="array" ref="AA847">MMULT($G847:$R847,'Nelson Factor_2019'!$B$1:$B$12)/$G847</f>
        <v>9.1541686073591055</v>
      </c>
    </row>
    <row r="848" spans="1:27" x14ac:dyDescent="0.25">
      <c r="A848">
        <v>2011</v>
      </c>
      <c r="B848">
        <v>2</v>
      </c>
      <c r="C848">
        <v>1</v>
      </c>
      <c r="D848" t="s">
        <v>123</v>
      </c>
      <c r="E848" t="s">
        <v>249</v>
      </c>
      <c r="F848" t="s">
        <v>125</v>
      </c>
      <c r="G848">
        <v>74000</v>
      </c>
      <c r="H848">
        <v>41300</v>
      </c>
      <c r="I848">
        <v>0</v>
      </c>
      <c r="J848">
        <v>0</v>
      </c>
      <c r="K848">
        <v>27100</v>
      </c>
      <c r="L848">
        <v>18600</v>
      </c>
      <c r="M848">
        <v>0</v>
      </c>
      <c r="N848">
        <v>75000</v>
      </c>
      <c r="O848">
        <v>5200</v>
      </c>
      <c r="P848">
        <v>0</v>
      </c>
      <c r="Q848">
        <v>0</v>
      </c>
      <c r="R848">
        <v>8600</v>
      </c>
      <c r="S848">
        <v>0</v>
      </c>
      <c r="T848">
        <v>0</v>
      </c>
      <c r="U848">
        <v>8</v>
      </c>
      <c r="V848">
        <v>0</v>
      </c>
      <c r="W848">
        <v>0</v>
      </c>
      <c r="X848">
        <v>111</v>
      </c>
      <c r="Y848">
        <v>12400</v>
      </c>
      <c r="Z848" cm="1">
        <f t="array" ref="Z848">MMULT($G848:$Y848,'Nelson Factor_2019'!$B$1:$B$19)/$G848</f>
        <v>9.3761891891891889</v>
      </c>
      <c r="AA848" cm="1">
        <f t="array" ref="AA848">MMULT($G848:$R848,'Nelson Factor_2019'!$B$1:$B$12)/$G848</f>
        <v>8.76472972972973</v>
      </c>
    </row>
    <row r="849" spans="1:27" x14ac:dyDescent="0.25">
      <c r="A849">
        <v>2011</v>
      </c>
      <c r="B849">
        <v>3</v>
      </c>
      <c r="C849">
        <v>6</v>
      </c>
      <c r="D849" t="s">
        <v>126</v>
      </c>
      <c r="E849" t="s">
        <v>227</v>
      </c>
      <c r="F849" t="s">
        <v>127</v>
      </c>
      <c r="G849">
        <v>330000</v>
      </c>
      <c r="H849">
        <v>240000</v>
      </c>
      <c r="I849">
        <v>98000</v>
      </c>
      <c r="J849">
        <v>0</v>
      </c>
      <c r="K849">
        <v>86000</v>
      </c>
      <c r="L849">
        <v>85000</v>
      </c>
      <c r="M849">
        <v>58000</v>
      </c>
      <c r="N849">
        <v>238500</v>
      </c>
      <c r="O849">
        <v>14800</v>
      </c>
      <c r="P849">
        <v>2100</v>
      </c>
      <c r="Q849">
        <v>19000</v>
      </c>
      <c r="R849">
        <v>0</v>
      </c>
      <c r="S849">
        <v>0</v>
      </c>
      <c r="T849">
        <v>0</v>
      </c>
      <c r="U849">
        <v>205</v>
      </c>
      <c r="V849">
        <v>0</v>
      </c>
      <c r="W849">
        <v>6440</v>
      </c>
      <c r="X849">
        <v>1067</v>
      </c>
      <c r="Y849">
        <v>0</v>
      </c>
      <c r="Z849" cm="1">
        <f t="array" ref="Z849">MMULT($G849:$Y849,'Nelson Factor_2019'!$B$1:$B$19)/$G849</f>
        <v>12.677378787878787</v>
      </c>
      <c r="AA849" cm="1">
        <f t="array" ref="AA849">MMULT($G849:$R849,'Nelson Factor_2019'!$B$1:$B$12)/$G849</f>
        <v>11.900757575757575</v>
      </c>
    </row>
    <row r="850" spans="1:27" x14ac:dyDescent="0.25">
      <c r="A850">
        <v>2011</v>
      </c>
      <c r="B850">
        <v>3</v>
      </c>
      <c r="C850">
        <v>0</v>
      </c>
      <c r="D850" t="s">
        <v>126</v>
      </c>
      <c r="E850" t="s">
        <v>128</v>
      </c>
      <c r="F850" t="s">
        <v>129</v>
      </c>
      <c r="G850">
        <v>23000</v>
      </c>
      <c r="H850">
        <v>10200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22000</v>
      </c>
      <c r="O850">
        <v>0</v>
      </c>
      <c r="P850">
        <v>0</v>
      </c>
      <c r="Q850">
        <v>0</v>
      </c>
      <c r="R850">
        <v>0</v>
      </c>
      <c r="S850">
        <v>22000</v>
      </c>
      <c r="T850">
        <v>0</v>
      </c>
      <c r="U850">
        <v>13</v>
      </c>
      <c r="V850">
        <v>0</v>
      </c>
      <c r="W850">
        <v>0</v>
      </c>
      <c r="X850">
        <v>0</v>
      </c>
      <c r="Y850">
        <v>9600</v>
      </c>
      <c r="Z850" cm="1">
        <f t="array" ref="Z850">MMULT($G850:$Y850,'Nelson Factor_2019'!$B$1:$B$19)/$G850</f>
        <v>61.985782608695651</v>
      </c>
      <c r="AA850" cm="1">
        <f t="array" ref="AA850">MMULT($G850:$R850,'Nelson Factor_2019'!$B$1:$B$12)/$G850</f>
        <v>3.9678260869565216</v>
      </c>
    </row>
    <row r="851" spans="1:27" x14ac:dyDescent="0.25">
      <c r="A851">
        <v>2011</v>
      </c>
      <c r="B851">
        <v>4</v>
      </c>
      <c r="C851">
        <v>4</v>
      </c>
      <c r="D851" t="s">
        <v>130</v>
      </c>
      <c r="E851" t="s">
        <v>235</v>
      </c>
      <c r="F851" t="s">
        <v>132</v>
      </c>
      <c r="G851">
        <v>55000</v>
      </c>
      <c r="H851">
        <v>31300</v>
      </c>
      <c r="I851">
        <v>15000</v>
      </c>
      <c r="J851">
        <v>0</v>
      </c>
      <c r="K851">
        <v>14000</v>
      </c>
      <c r="L851">
        <v>12500</v>
      </c>
      <c r="M851">
        <v>0</v>
      </c>
      <c r="N851">
        <v>51600</v>
      </c>
      <c r="O851">
        <v>4300</v>
      </c>
      <c r="P851">
        <v>0</v>
      </c>
      <c r="Q851">
        <v>0</v>
      </c>
      <c r="R851">
        <v>2500</v>
      </c>
      <c r="S851">
        <v>0</v>
      </c>
      <c r="T851">
        <v>0</v>
      </c>
      <c r="U851">
        <v>21</v>
      </c>
      <c r="V851">
        <v>21</v>
      </c>
      <c r="W851">
        <v>0</v>
      </c>
      <c r="X851">
        <v>90</v>
      </c>
      <c r="Y851">
        <v>19000</v>
      </c>
      <c r="Z851" cm="1">
        <f t="array" ref="Z851">MMULT($G851:$Y851,'Nelson Factor_2019'!$B$1:$B$19)/$G851</f>
        <v>10.624218181818183</v>
      </c>
      <c r="AA851" cm="1">
        <f t="array" ref="AA851">MMULT($G851:$R851,'Nelson Factor_2019'!$B$1:$B$12)/$G851</f>
        <v>9.7125454545454541</v>
      </c>
    </row>
    <row r="852" spans="1:27" x14ac:dyDescent="0.25">
      <c r="A852">
        <v>2011</v>
      </c>
      <c r="B852">
        <v>4</v>
      </c>
      <c r="C852">
        <v>4</v>
      </c>
      <c r="D852" t="s">
        <v>130</v>
      </c>
      <c r="E852" t="s">
        <v>51</v>
      </c>
      <c r="F852" t="s">
        <v>133</v>
      </c>
      <c r="G852">
        <v>58000</v>
      </c>
      <c r="H852">
        <v>35000</v>
      </c>
      <c r="I852">
        <v>20000</v>
      </c>
      <c r="J852">
        <v>0</v>
      </c>
      <c r="K852">
        <v>19400</v>
      </c>
      <c r="L852">
        <v>12200</v>
      </c>
      <c r="M852">
        <v>0</v>
      </c>
      <c r="N852">
        <v>72000</v>
      </c>
      <c r="O852">
        <v>6800</v>
      </c>
      <c r="P852">
        <v>0</v>
      </c>
      <c r="Q852">
        <v>0</v>
      </c>
      <c r="R852">
        <v>3600</v>
      </c>
      <c r="S852">
        <v>0</v>
      </c>
      <c r="T852">
        <v>0</v>
      </c>
      <c r="U852">
        <v>31</v>
      </c>
      <c r="V852">
        <v>57.199999999999996</v>
      </c>
      <c r="W852">
        <v>1020</v>
      </c>
      <c r="X852">
        <v>224</v>
      </c>
      <c r="Y852">
        <v>0</v>
      </c>
      <c r="Z852" cm="1">
        <f t="array" ref="Z852">MMULT($G852:$Y852,'Nelson Factor_2019'!$B$1:$B$19)/$G852</f>
        <v>12.819796551724137</v>
      </c>
      <c r="AA852" cm="1">
        <f t="array" ref="AA852">MMULT($G852:$R852,'Nelson Factor_2019'!$B$1:$B$12)/$G852</f>
        <v>11.891379310344828</v>
      </c>
    </row>
    <row r="853" spans="1:27" x14ac:dyDescent="0.25">
      <c r="A853">
        <v>2011</v>
      </c>
      <c r="B853">
        <v>4</v>
      </c>
      <c r="C853">
        <v>6</v>
      </c>
      <c r="D853" t="s">
        <v>130</v>
      </c>
      <c r="E853" t="s">
        <v>54</v>
      </c>
      <c r="F853" t="s">
        <v>133</v>
      </c>
      <c r="G853">
        <v>60000</v>
      </c>
      <c r="H853">
        <v>27500</v>
      </c>
      <c r="I853">
        <v>10000</v>
      </c>
      <c r="J853">
        <v>0</v>
      </c>
      <c r="K853">
        <v>18000</v>
      </c>
      <c r="L853">
        <v>12000</v>
      </c>
      <c r="M853">
        <v>5500</v>
      </c>
      <c r="N853">
        <v>54500</v>
      </c>
      <c r="O853">
        <v>5000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22</v>
      </c>
      <c r="V853">
        <v>4.5</v>
      </c>
      <c r="W853">
        <v>490</v>
      </c>
      <c r="X853">
        <v>0</v>
      </c>
      <c r="Y853">
        <v>14500</v>
      </c>
      <c r="Z853" cm="1">
        <f t="array" ref="Z853">MMULT($G853:$Y853,'Nelson Factor_2019'!$B$1:$B$19)/$G853</f>
        <v>9.8462750000000003</v>
      </c>
      <c r="AA853" cm="1">
        <f t="array" ref="AA853">MMULT($G853:$R853,'Nelson Factor_2019'!$B$1:$B$12)/$G853</f>
        <v>9.4833333333333325</v>
      </c>
    </row>
    <row r="854" spans="1:27" x14ac:dyDescent="0.25">
      <c r="A854">
        <v>2011</v>
      </c>
      <c r="B854">
        <v>4</v>
      </c>
      <c r="C854">
        <v>1</v>
      </c>
      <c r="D854" t="s">
        <v>130</v>
      </c>
      <c r="E854" t="s">
        <v>134</v>
      </c>
      <c r="F854" t="s">
        <v>135</v>
      </c>
      <c r="G854">
        <v>9500</v>
      </c>
      <c r="H854">
        <v>5000</v>
      </c>
      <c r="I854">
        <v>0</v>
      </c>
      <c r="J854">
        <v>0</v>
      </c>
      <c r="K854">
        <v>2800</v>
      </c>
      <c r="L854">
        <v>1000</v>
      </c>
      <c r="M854">
        <v>0</v>
      </c>
      <c r="N854">
        <v>7100</v>
      </c>
      <c r="O854">
        <v>1000</v>
      </c>
      <c r="P854">
        <v>400</v>
      </c>
      <c r="Q854">
        <v>0</v>
      </c>
      <c r="R854">
        <v>700</v>
      </c>
      <c r="S854">
        <v>0</v>
      </c>
      <c r="T854">
        <v>0</v>
      </c>
      <c r="U854">
        <v>5</v>
      </c>
      <c r="V854">
        <v>0</v>
      </c>
      <c r="W854">
        <v>0</v>
      </c>
      <c r="X854">
        <v>0</v>
      </c>
      <c r="Y854">
        <v>3800</v>
      </c>
      <c r="Z854" cm="1">
        <f t="array" ref="Z854">MMULT($G854:$Y854,'Nelson Factor_2019'!$B$1:$B$19)/$G854</f>
        <v>8.142631578947368</v>
      </c>
      <c r="AA854" cm="1">
        <f t="array" ref="AA854">MMULT($G854:$R854,'Nelson Factor_2019'!$B$1:$B$12)/$G854</f>
        <v>7.5421052631578949</v>
      </c>
    </row>
    <row r="855" spans="1:27" x14ac:dyDescent="0.25">
      <c r="A855">
        <v>2011</v>
      </c>
      <c r="B855">
        <v>1</v>
      </c>
      <c r="C855">
        <v>1</v>
      </c>
      <c r="D855" t="s">
        <v>136</v>
      </c>
      <c r="E855" t="s">
        <v>51</v>
      </c>
      <c r="F855" t="s">
        <v>137</v>
      </c>
      <c r="G855">
        <v>238000</v>
      </c>
      <c r="H855">
        <v>71250</v>
      </c>
      <c r="I855">
        <v>0</v>
      </c>
      <c r="J855">
        <v>0</v>
      </c>
      <c r="K855">
        <v>130500</v>
      </c>
      <c r="L855">
        <v>28800</v>
      </c>
      <c r="M855">
        <v>0</v>
      </c>
      <c r="N855">
        <v>198000</v>
      </c>
      <c r="O855">
        <v>15750</v>
      </c>
      <c r="P855">
        <v>0</v>
      </c>
      <c r="Q855">
        <v>0</v>
      </c>
      <c r="R855">
        <v>24525</v>
      </c>
      <c r="S855">
        <v>0</v>
      </c>
      <c r="T855">
        <v>0</v>
      </c>
      <c r="U855">
        <v>18</v>
      </c>
      <c r="V855">
        <v>13.1</v>
      </c>
      <c r="W855">
        <v>0</v>
      </c>
      <c r="X855">
        <v>0</v>
      </c>
      <c r="Y855">
        <v>0</v>
      </c>
      <c r="Z855" cm="1">
        <f t="array" ref="Z855">MMULT($G855:$Y855,'Nelson Factor_2019'!$B$1:$B$19)/$G855</f>
        <v>8.3350046218487392</v>
      </c>
      <c r="AA855" cm="1">
        <f t="array" ref="AA855">MMULT($G855:$R855,'Nelson Factor_2019'!$B$1:$B$12)/$G855</f>
        <v>8.3348739495798316</v>
      </c>
    </row>
    <row r="856" spans="1:27" x14ac:dyDescent="0.25">
      <c r="A856">
        <v>2011</v>
      </c>
      <c r="B856">
        <v>1</v>
      </c>
      <c r="C856">
        <v>1</v>
      </c>
      <c r="D856" t="s">
        <v>136</v>
      </c>
      <c r="E856" t="s">
        <v>138</v>
      </c>
      <c r="F856" t="s">
        <v>139</v>
      </c>
      <c r="G856">
        <v>150000</v>
      </c>
      <c r="H856">
        <v>47500</v>
      </c>
      <c r="I856">
        <v>0</v>
      </c>
      <c r="J856">
        <v>0</v>
      </c>
      <c r="K856">
        <v>55000</v>
      </c>
      <c r="L856">
        <v>28000</v>
      </c>
      <c r="M856">
        <v>0</v>
      </c>
      <c r="N856">
        <v>29000</v>
      </c>
      <c r="O856">
        <v>4000</v>
      </c>
      <c r="P856">
        <v>3300</v>
      </c>
      <c r="Q856">
        <v>17000</v>
      </c>
      <c r="R856">
        <v>10000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20</v>
      </c>
      <c r="Y856">
        <v>0</v>
      </c>
      <c r="Z856" cm="1">
        <f t="array" ref="Z856">MMULT($G856:$Y856,'Nelson Factor_2019'!$B$1:$B$19)/$G856</f>
        <v>8.0136666666666674</v>
      </c>
      <c r="AA856" cm="1">
        <f t="array" ref="AA856">MMULT($G856:$R856,'Nelson Factor_2019'!$B$1:$B$12)/$G856</f>
        <v>7.9816666666666665</v>
      </c>
    </row>
    <row r="857" spans="1:27" x14ac:dyDescent="0.25">
      <c r="A857">
        <v>2011</v>
      </c>
      <c r="B857">
        <v>1</v>
      </c>
      <c r="C857">
        <v>4</v>
      </c>
      <c r="D857" t="s">
        <v>136</v>
      </c>
      <c r="E857" t="s">
        <v>66</v>
      </c>
      <c r="F857" t="s">
        <v>140</v>
      </c>
      <c r="G857">
        <v>185000</v>
      </c>
      <c r="H857">
        <v>90000</v>
      </c>
      <c r="I857">
        <v>27000</v>
      </c>
      <c r="J857">
        <v>0</v>
      </c>
      <c r="K857">
        <v>55000</v>
      </c>
      <c r="L857">
        <v>30000</v>
      </c>
      <c r="M857">
        <v>0</v>
      </c>
      <c r="N857">
        <v>141250</v>
      </c>
      <c r="O857">
        <v>11200</v>
      </c>
      <c r="P857">
        <v>0</v>
      </c>
      <c r="Q857">
        <v>0</v>
      </c>
      <c r="R857">
        <v>0</v>
      </c>
      <c r="S857">
        <v>11500</v>
      </c>
      <c r="T857">
        <v>0</v>
      </c>
      <c r="U857">
        <v>13.5</v>
      </c>
      <c r="V857">
        <v>9</v>
      </c>
      <c r="W857">
        <v>1470</v>
      </c>
      <c r="X857">
        <v>230</v>
      </c>
      <c r="Y857">
        <v>16000</v>
      </c>
      <c r="Z857" cm="1">
        <f t="array" ref="Z857">MMULT($G857:$Y857,'Nelson Factor_2019'!$B$1:$B$19)/$G857</f>
        <v>11.99377027027027</v>
      </c>
      <c r="AA857" cm="1">
        <f t="array" ref="AA857">MMULT($G857:$R857,'Nelson Factor_2019'!$B$1:$B$12)/$G857</f>
        <v>7.8358108108108109</v>
      </c>
    </row>
    <row r="858" spans="1:27" x14ac:dyDescent="0.25">
      <c r="A858">
        <v>2011</v>
      </c>
      <c r="B858">
        <v>3</v>
      </c>
      <c r="C858">
        <v>1</v>
      </c>
      <c r="D858" t="s">
        <v>141</v>
      </c>
      <c r="E858" t="s">
        <v>197</v>
      </c>
      <c r="F858" t="s">
        <v>144</v>
      </c>
      <c r="G858">
        <v>40000</v>
      </c>
      <c r="H858">
        <v>0</v>
      </c>
      <c r="I858">
        <v>0</v>
      </c>
      <c r="J858">
        <v>0</v>
      </c>
      <c r="K858">
        <v>7000</v>
      </c>
      <c r="L858">
        <v>8000</v>
      </c>
      <c r="M858">
        <v>0</v>
      </c>
      <c r="N858">
        <v>11500</v>
      </c>
      <c r="O858">
        <v>2500</v>
      </c>
      <c r="P858">
        <v>0</v>
      </c>
      <c r="Q858">
        <v>0</v>
      </c>
      <c r="R858">
        <v>5000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2</v>
      </c>
      <c r="Y858">
        <v>0</v>
      </c>
      <c r="Z858" cm="1">
        <f t="array" ref="Z858">MMULT($G858:$Y858,'Nelson Factor_2019'!$B$1:$B$19)/$G858</f>
        <v>4.7807500000000003</v>
      </c>
      <c r="AA858" cm="1">
        <f t="array" ref="AA858">MMULT($G858:$R858,'Nelson Factor_2019'!$B$1:$B$12)/$G858</f>
        <v>4.7687499999999998</v>
      </c>
    </row>
    <row r="859" spans="1:27" x14ac:dyDescent="0.25">
      <c r="A859">
        <v>2011</v>
      </c>
      <c r="B859">
        <v>3</v>
      </c>
      <c r="C859">
        <v>1</v>
      </c>
      <c r="D859" t="s">
        <v>141</v>
      </c>
      <c r="E859" t="s">
        <v>202</v>
      </c>
      <c r="F859" t="s">
        <v>146</v>
      </c>
      <c r="G859">
        <v>100000</v>
      </c>
      <c r="H859">
        <v>25000</v>
      </c>
      <c r="I859">
        <v>0</v>
      </c>
      <c r="J859">
        <v>0</v>
      </c>
      <c r="K859">
        <v>27000</v>
      </c>
      <c r="L859">
        <v>24000</v>
      </c>
      <c r="M859">
        <v>0</v>
      </c>
      <c r="N859">
        <v>97400</v>
      </c>
      <c r="O859">
        <v>9000</v>
      </c>
      <c r="P859">
        <v>0</v>
      </c>
      <c r="Q859">
        <v>0</v>
      </c>
      <c r="R859">
        <v>11000</v>
      </c>
      <c r="S859">
        <v>0</v>
      </c>
      <c r="T859">
        <v>0</v>
      </c>
      <c r="U859">
        <v>9</v>
      </c>
      <c r="V859">
        <v>0</v>
      </c>
      <c r="W859">
        <v>0</v>
      </c>
      <c r="X859">
        <v>110</v>
      </c>
      <c r="Y859">
        <v>5000</v>
      </c>
      <c r="Z859" cm="1">
        <f t="array" ref="Z859">MMULT($G859:$Y859,'Nelson Factor_2019'!$B$1:$B$19)/$G859</f>
        <v>8.1490899999999993</v>
      </c>
      <c r="AA859" cm="1">
        <f t="array" ref="AA859">MMULT($G859:$R859,'Nelson Factor_2019'!$B$1:$B$12)/$G859</f>
        <v>7.81</v>
      </c>
    </row>
    <row r="860" spans="1:27" x14ac:dyDescent="0.25">
      <c r="A860">
        <v>2011</v>
      </c>
      <c r="B860">
        <v>2</v>
      </c>
      <c r="C860">
        <v>1</v>
      </c>
      <c r="D860" t="s">
        <v>147</v>
      </c>
      <c r="E860" t="s">
        <v>148</v>
      </c>
      <c r="F860" t="s">
        <v>149</v>
      </c>
      <c r="G860">
        <v>58000</v>
      </c>
      <c r="H860">
        <v>0</v>
      </c>
      <c r="I860">
        <v>0</v>
      </c>
      <c r="J860">
        <v>0</v>
      </c>
      <c r="K860">
        <v>25700</v>
      </c>
      <c r="L860">
        <v>11500</v>
      </c>
      <c r="M860">
        <v>0</v>
      </c>
      <c r="N860">
        <v>23600</v>
      </c>
      <c r="O860">
        <v>4200</v>
      </c>
      <c r="P860">
        <v>1100</v>
      </c>
      <c r="Q860">
        <v>0</v>
      </c>
      <c r="R860">
        <v>4800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15</v>
      </c>
      <c r="Y860">
        <v>0</v>
      </c>
      <c r="Z860" cm="1">
        <f t="array" ref="Z860">MMULT($G860:$Y860,'Nelson Factor_2019'!$B$1:$B$19)/$G860</f>
        <v>6.8913793103448278</v>
      </c>
      <c r="AA860" cm="1">
        <f t="array" ref="AA860">MMULT($G860:$R860,'Nelson Factor_2019'!$B$1:$B$12)/$G860</f>
        <v>6.8293103448275865</v>
      </c>
    </row>
    <row r="861" spans="1:27" x14ac:dyDescent="0.25">
      <c r="A861">
        <v>2011</v>
      </c>
      <c r="B861">
        <v>2</v>
      </c>
      <c r="C861">
        <v>6</v>
      </c>
      <c r="D861" t="s">
        <v>150</v>
      </c>
      <c r="E861" t="s">
        <v>32</v>
      </c>
      <c r="F861" t="s">
        <v>151</v>
      </c>
      <c r="G861">
        <v>152000</v>
      </c>
      <c r="H861">
        <v>67925</v>
      </c>
      <c r="I861">
        <v>31050</v>
      </c>
      <c r="J861">
        <v>0</v>
      </c>
      <c r="K861">
        <v>49500</v>
      </c>
      <c r="L861">
        <v>38700</v>
      </c>
      <c r="M861">
        <v>27900</v>
      </c>
      <c r="N861">
        <v>96750</v>
      </c>
      <c r="O861">
        <v>10350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33</v>
      </c>
      <c r="V861">
        <v>23</v>
      </c>
      <c r="W861">
        <v>2006</v>
      </c>
      <c r="X861">
        <v>351</v>
      </c>
      <c r="Y861">
        <v>9000</v>
      </c>
      <c r="Z861" cm="1">
        <f t="array" ref="Z861">MMULT($G861:$Y861,'Nelson Factor_2019'!$B$1:$B$19)/$G861</f>
        <v>10.724003289473684</v>
      </c>
      <c r="AA861" cm="1">
        <f t="array" ref="AA861">MMULT($G861:$R861,'Nelson Factor_2019'!$B$1:$B$12)/$G861</f>
        <v>10.080608552631579</v>
      </c>
    </row>
    <row r="862" spans="1:27" x14ac:dyDescent="0.25">
      <c r="A862">
        <v>2011</v>
      </c>
      <c r="B862">
        <v>2</v>
      </c>
      <c r="C862">
        <v>6</v>
      </c>
      <c r="D862" t="s">
        <v>150</v>
      </c>
      <c r="E862" t="s">
        <v>241</v>
      </c>
      <c r="F862" t="s">
        <v>154</v>
      </c>
      <c r="G862">
        <v>161500</v>
      </c>
      <c r="H862">
        <v>49400</v>
      </c>
      <c r="I862">
        <v>20700</v>
      </c>
      <c r="J862">
        <v>0</v>
      </c>
      <c r="K862">
        <v>36000</v>
      </c>
      <c r="L862">
        <v>49500</v>
      </c>
      <c r="M862">
        <v>23400</v>
      </c>
      <c r="N862">
        <v>88200</v>
      </c>
      <c r="O862">
        <v>0</v>
      </c>
      <c r="P862">
        <v>0</v>
      </c>
      <c r="Q862">
        <v>6300</v>
      </c>
      <c r="R862">
        <v>16200</v>
      </c>
      <c r="S862">
        <v>0</v>
      </c>
      <c r="T862">
        <v>0</v>
      </c>
      <c r="U862">
        <v>0</v>
      </c>
      <c r="V862">
        <v>10.4</v>
      </c>
      <c r="W862">
        <v>800</v>
      </c>
      <c r="X862">
        <v>100</v>
      </c>
      <c r="Y862">
        <v>0</v>
      </c>
      <c r="Z862" cm="1">
        <f t="array" ref="Z862">MMULT($G862:$Y862,'Nelson Factor_2019'!$B$1:$B$19)/$G862</f>
        <v>8.9831603715170267</v>
      </c>
      <c r="AA862" cm="1">
        <f t="array" ref="AA862">MMULT($G862:$R862,'Nelson Factor_2019'!$B$1:$B$12)/$G862</f>
        <v>8.8344891640866869</v>
      </c>
    </row>
    <row r="863" spans="1:27" x14ac:dyDescent="0.25">
      <c r="A863">
        <v>2011</v>
      </c>
      <c r="B863">
        <v>2</v>
      </c>
      <c r="C863">
        <v>1</v>
      </c>
      <c r="D863" t="s">
        <v>150</v>
      </c>
      <c r="E863" t="s">
        <v>249</v>
      </c>
      <c r="F863" t="s">
        <v>152</v>
      </c>
      <c r="G863">
        <v>78000</v>
      </c>
      <c r="H863">
        <v>33200</v>
      </c>
      <c r="I863">
        <v>0</v>
      </c>
      <c r="J863">
        <v>0</v>
      </c>
      <c r="K863">
        <v>24700</v>
      </c>
      <c r="L863">
        <v>20400</v>
      </c>
      <c r="M863">
        <v>0</v>
      </c>
      <c r="N863">
        <v>78000</v>
      </c>
      <c r="O863">
        <v>7100</v>
      </c>
      <c r="P863">
        <v>1000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112</v>
      </c>
      <c r="Y863">
        <v>14000</v>
      </c>
      <c r="Z863" cm="1">
        <f t="array" ref="Z863">MMULT($G863:$Y863,'Nelson Factor_2019'!$B$1:$B$19)/$G863</f>
        <v>8.913333333333334</v>
      </c>
      <c r="AA863" cm="1">
        <f t="array" ref="AA863">MMULT($G863:$R863,'Nelson Factor_2019'!$B$1:$B$12)/$G863</f>
        <v>8.2994871794871798</v>
      </c>
    </row>
    <row r="864" spans="1:27" x14ac:dyDescent="0.25">
      <c r="A864">
        <v>2011</v>
      </c>
      <c r="B864">
        <v>2</v>
      </c>
      <c r="C864">
        <v>3</v>
      </c>
      <c r="D864" t="s">
        <v>150</v>
      </c>
      <c r="E864" t="s">
        <v>138</v>
      </c>
      <c r="F864" t="s">
        <v>151</v>
      </c>
      <c r="G864">
        <v>170000</v>
      </c>
      <c r="H864">
        <v>30000</v>
      </c>
      <c r="I864">
        <v>0</v>
      </c>
      <c r="J864">
        <v>0</v>
      </c>
      <c r="K864">
        <v>60000</v>
      </c>
      <c r="L864">
        <v>45600</v>
      </c>
      <c r="M864">
        <v>28200</v>
      </c>
      <c r="N864">
        <v>48000</v>
      </c>
      <c r="O864">
        <v>9000</v>
      </c>
      <c r="P864">
        <v>0</v>
      </c>
      <c r="Q864">
        <v>9000</v>
      </c>
      <c r="R864">
        <v>0</v>
      </c>
      <c r="S864">
        <v>0</v>
      </c>
      <c r="T864">
        <v>0</v>
      </c>
      <c r="U864">
        <v>52</v>
      </c>
      <c r="V864">
        <v>0</v>
      </c>
      <c r="W864">
        <v>0</v>
      </c>
      <c r="X864">
        <v>0</v>
      </c>
      <c r="Y864">
        <v>0</v>
      </c>
      <c r="Z864" cm="1">
        <f t="array" ref="Z864">MMULT($G864:$Y864,'Nelson Factor_2019'!$B$1:$B$19)/$G864</f>
        <v>8.3097176470588234</v>
      </c>
      <c r="AA864" cm="1">
        <f t="array" ref="AA864">MMULT($G864:$R864,'Nelson Factor_2019'!$B$1:$B$12)/$G864</f>
        <v>8.3094117647058816</v>
      </c>
    </row>
    <row r="865" spans="1:27" x14ac:dyDescent="0.25">
      <c r="A865">
        <v>2011</v>
      </c>
      <c r="B865">
        <v>2</v>
      </c>
      <c r="C865">
        <v>4</v>
      </c>
      <c r="D865" t="s">
        <v>155</v>
      </c>
      <c r="E865" t="s">
        <v>51</v>
      </c>
      <c r="F865" t="s">
        <v>156</v>
      </c>
      <c r="G865">
        <v>187000</v>
      </c>
      <c r="H865">
        <v>80000</v>
      </c>
      <c r="I865">
        <v>23100</v>
      </c>
      <c r="J865">
        <v>0</v>
      </c>
      <c r="K865">
        <v>59300</v>
      </c>
      <c r="L865">
        <v>44000</v>
      </c>
      <c r="M865">
        <v>0</v>
      </c>
      <c r="N865">
        <v>187700</v>
      </c>
      <c r="O865">
        <v>13000</v>
      </c>
      <c r="P865">
        <v>2400</v>
      </c>
      <c r="Q865">
        <v>0</v>
      </c>
      <c r="R865">
        <v>23400</v>
      </c>
      <c r="S865">
        <v>0</v>
      </c>
      <c r="T865">
        <v>0</v>
      </c>
      <c r="U865">
        <v>31.4</v>
      </c>
      <c r="V865">
        <v>15.4</v>
      </c>
      <c r="W865">
        <v>1150</v>
      </c>
      <c r="X865">
        <v>198</v>
      </c>
      <c r="Y865">
        <v>0</v>
      </c>
      <c r="Z865" cm="1">
        <f t="array" ref="Z865">MMULT($G865:$Y865,'Nelson Factor_2019'!$B$1:$B$19)/$G865</f>
        <v>9.5244213903743304</v>
      </c>
      <c r="AA865" cm="1">
        <f t="array" ref="AA865">MMULT($G865:$R865,'Nelson Factor_2019'!$B$1:$B$12)/$G865</f>
        <v>9.2700534759358284</v>
      </c>
    </row>
    <row r="866" spans="1:27" x14ac:dyDescent="0.25">
      <c r="A866">
        <v>2011</v>
      </c>
      <c r="B866">
        <v>2</v>
      </c>
      <c r="C866">
        <v>1</v>
      </c>
      <c r="D866" t="s">
        <v>155</v>
      </c>
      <c r="E866" t="s">
        <v>202</v>
      </c>
      <c r="F866" t="s">
        <v>160</v>
      </c>
      <c r="G866">
        <v>75000</v>
      </c>
      <c r="H866">
        <v>25175</v>
      </c>
      <c r="I866">
        <v>0</v>
      </c>
      <c r="J866">
        <v>0</v>
      </c>
      <c r="K866">
        <v>16200</v>
      </c>
      <c r="L866">
        <v>10800</v>
      </c>
      <c r="M866">
        <v>0</v>
      </c>
      <c r="N866">
        <v>26300</v>
      </c>
      <c r="O866">
        <v>2700</v>
      </c>
      <c r="P866">
        <v>0</v>
      </c>
      <c r="Q866">
        <v>0</v>
      </c>
      <c r="R866">
        <v>5400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19</v>
      </c>
      <c r="Y866">
        <v>2250</v>
      </c>
      <c r="Z866" cm="1">
        <f t="array" ref="Z866">MMULT($G866:$Y866,'Nelson Factor_2019'!$B$1:$B$19)/$G866</f>
        <v>5.0108333333333333</v>
      </c>
      <c r="AA866" cm="1">
        <f t="array" ref="AA866">MMULT($G866:$R866,'Nelson Factor_2019'!$B$1:$B$12)/$G866</f>
        <v>4.9050333333333329</v>
      </c>
    </row>
    <row r="867" spans="1:27" x14ac:dyDescent="0.25">
      <c r="A867">
        <v>2011</v>
      </c>
      <c r="B867">
        <v>2</v>
      </c>
      <c r="C867">
        <v>4</v>
      </c>
      <c r="D867" t="s">
        <v>155</v>
      </c>
      <c r="E867" t="s">
        <v>202</v>
      </c>
      <c r="F867" t="s">
        <v>160</v>
      </c>
      <c r="G867">
        <v>85000</v>
      </c>
      <c r="H867">
        <v>30000</v>
      </c>
      <c r="I867">
        <v>8500</v>
      </c>
      <c r="J867">
        <v>0</v>
      </c>
      <c r="K867">
        <v>0</v>
      </c>
      <c r="L867">
        <v>17500</v>
      </c>
      <c r="M867">
        <v>0</v>
      </c>
      <c r="N867">
        <v>34500</v>
      </c>
      <c r="O867">
        <v>0</v>
      </c>
      <c r="P867">
        <v>0</v>
      </c>
      <c r="Q867">
        <v>0</v>
      </c>
      <c r="R867">
        <v>0</v>
      </c>
      <c r="S867">
        <v>8500</v>
      </c>
      <c r="T867">
        <v>0</v>
      </c>
      <c r="U867">
        <v>0</v>
      </c>
      <c r="V867">
        <v>0</v>
      </c>
      <c r="W867">
        <v>350</v>
      </c>
      <c r="X867">
        <v>0</v>
      </c>
      <c r="Y867">
        <v>0</v>
      </c>
      <c r="Z867" cm="1">
        <f t="array" ref="Z867">MMULT($G867:$Y867,'Nelson Factor_2019'!$B$1:$B$19)/$G867</f>
        <v>10.252941176470589</v>
      </c>
      <c r="AA867" cm="1">
        <f t="array" ref="AA867">MMULT($G867:$R867,'Nelson Factor_2019'!$B$1:$B$12)/$G867</f>
        <v>4.2529411764705882</v>
      </c>
    </row>
    <row r="868" spans="1:27" x14ac:dyDescent="0.25">
      <c r="A868">
        <v>2011</v>
      </c>
      <c r="B868">
        <v>2</v>
      </c>
      <c r="C868">
        <v>3</v>
      </c>
      <c r="D868" t="s">
        <v>155</v>
      </c>
      <c r="E868" t="s">
        <v>66</v>
      </c>
      <c r="F868" t="s">
        <v>161</v>
      </c>
      <c r="G868">
        <v>91500</v>
      </c>
      <c r="H868">
        <v>32000</v>
      </c>
      <c r="I868">
        <v>0</v>
      </c>
      <c r="J868">
        <v>0</v>
      </c>
      <c r="K868">
        <v>30576</v>
      </c>
      <c r="L868">
        <v>21679</v>
      </c>
      <c r="M868">
        <v>12000</v>
      </c>
      <c r="N868">
        <v>86500</v>
      </c>
      <c r="O868">
        <v>7012</v>
      </c>
      <c r="P868">
        <v>0</v>
      </c>
      <c r="Q868">
        <v>0</v>
      </c>
      <c r="R868">
        <v>7000</v>
      </c>
      <c r="S868">
        <v>0</v>
      </c>
      <c r="T868">
        <v>0</v>
      </c>
      <c r="U868">
        <v>26</v>
      </c>
      <c r="V868">
        <v>26</v>
      </c>
      <c r="W868">
        <v>0</v>
      </c>
      <c r="X868">
        <v>243</v>
      </c>
      <c r="Y868">
        <v>11000</v>
      </c>
      <c r="Z868" cm="1">
        <f t="array" ref="Z868">MMULT($G868:$Y868,'Nelson Factor_2019'!$B$1:$B$19)/$G868</f>
        <v>9.8709617486338797</v>
      </c>
      <c r="AA868" cm="1">
        <f t="array" ref="AA868">MMULT($G868:$R868,'Nelson Factor_2019'!$B$1:$B$12)/$G868</f>
        <v>9.0526885245901632</v>
      </c>
    </row>
    <row r="869" spans="1:27" x14ac:dyDescent="0.25">
      <c r="A869">
        <v>2011</v>
      </c>
      <c r="B869">
        <v>2</v>
      </c>
      <c r="C869">
        <v>3</v>
      </c>
      <c r="D869" t="s">
        <v>155</v>
      </c>
      <c r="E869" t="s">
        <v>228</v>
      </c>
      <c r="F869" t="s">
        <v>158</v>
      </c>
      <c r="G869">
        <v>52500</v>
      </c>
      <c r="H869">
        <v>15500</v>
      </c>
      <c r="I869">
        <v>0</v>
      </c>
      <c r="J869">
        <v>0</v>
      </c>
      <c r="K869">
        <v>18500</v>
      </c>
      <c r="L869">
        <v>13000</v>
      </c>
      <c r="M869">
        <v>5500</v>
      </c>
      <c r="N869">
        <v>23700</v>
      </c>
      <c r="O869">
        <v>4000</v>
      </c>
      <c r="P869">
        <v>0</v>
      </c>
      <c r="Q869">
        <v>0</v>
      </c>
      <c r="R869">
        <v>3500</v>
      </c>
      <c r="S869">
        <v>0</v>
      </c>
      <c r="T869">
        <v>0</v>
      </c>
      <c r="U869">
        <v>9</v>
      </c>
      <c r="V869">
        <v>0</v>
      </c>
      <c r="W869">
        <v>0</v>
      </c>
      <c r="X869">
        <v>0</v>
      </c>
      <c r="Y869">
        <v>5000</v>
      </c>
      <c r="Z869" cm="1">
        <f t="array" ref="Z869">MMULT($G869:$Y869,'Nelson Factor_2019'!$B$1:$B$19)/$G869</f>
        <v>7.8077904761904762</v>
      </c>
      <c r="AA869" cm="1">
        <f t="array" ref="AA869">MMULT($G869:$R869,'Nelson Factor_2019'!$B$1:$B$12)/$G869</f>
        <v>7.6647619047619049</v>
      </c>
    </row>
    <row r="870" spans="1:27" x14ac:dyDescent="0.25">
      <c r="A870">
        <v>2011</v>
      </c>
      <c r="B870">
        <v>1</v>
      </c>
      <c r="C870">
        <v>0</v>
      </c>
      <c r="D870" t="s">
        <v>162</v>
      </c>
      <c r="E870" t="s">
        <v>163</v>
      </c>
      <c r="F870" t="s">
        <v>164</v>
      </c>
      <c r="G870">
        <v>10000</v>
      </c>
      <c r="H870">
        <v>0</v>
      </c>
      <c r="I870">
        <v>0</v>
      </c>
      <c r="J870">
        <v>0</v>
      </c>
      <c r="K870">
        <v>0</v>
      </c>
      <c r="L870">
        <v>1800</v>
      </c>
      <c r="M870">
        <v>0</v>
      </c>
      <c r="N870">
        <v>3500</v>
      </c>
      <c r="O870">
        <v>0</v>
      </c>
      <c r="P870">
        <v>0</v>
      </c>
      <c r="Q870">
        <v>0</v>
      </c>
      <c r="R870">
        <v>600</v>
      </c>
      <c r="S870">
        <v>2600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 cm="1">
        <f t="array" ref="Z870">MMULT($G870:$Y870,'Nelson Factor_2019'!$B$1:$B$19)/$G870</f>
        <v>18.555</v>
      </c>
      <c r="AA870" cm="1">
        <f t="array" ref="AA870">MMULT($G870:$R870,'Nelson Factor_2019'!$B$1:$B$12)/$G870</f>
        <v>2.9550000000000001</v>
      </c>
    </row>
    <row r="871" spans="1:27" x14ac:dyDescent="0.25">
      <c r="A871">
        <v>2011</v>
      </c>
      <c r="B871">
        <v>1</v>
      </c>
      <c r="C871">
        <v>3</v>
      </c>
      <c r="D871" t="s">
        <v>162</v>
      </c>
      <c r="E871" t="s">
        <v>51</v>
      </c>
      <c r="F871" t="s">
        <v>165</v>
      </c>
      <c r="G871">
        <v>185000</v>
      </c>
      <c r="H871">
        <v>78700</v>
      </c>
      <c r="I871">
        <v>0</v>
      </c>
      <c r="J871">
        <v>0</v>
      </c>
      <c r="K871">
        <v>48400</v>
      </c>
      <c r="L871">
        <v>48800</v>
      </c>
      <c r="M871">
        <v>21500</v>
      </c>
      <c r="N871">
        <v>129600</v>
      </c>
      <c r="O871">
        <v>11800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160</v>
      </c>
      <c r="Y871">
        <v>0</v>
      </c>
      <c r="Z871" cm="1">
        <f t="array" ref="Z871">MMULT($G871:$Y871,'Nelson Factor_2019'!$B$1:$B$19)/$G871</f>
        <v>7.9681621621621623</v>
      </c>
      <c r="AA871" cm="1">
        <f t="array" ref="AA871">MMULT($G871:$R871,'Nelson Factor_2019'!$B$1:$B$12)/$G871</f>
        <v>7.7605945945945942</v>
      </c>
    </row>
    <row r="872" spans="1:27" x14ac:dyDescent="0.25">
      <c r="A872">
        <v>2011</v>
      </c>
      <c r="B872">
        <v>1</v>
      </c>
      <c r="C872">
        <v>1</v>
      </c>
      <c r="D872" t="s">
        <v>162</v>
      </c>
      <c r="E872" t="s">
        <v>138</v>
      </c>
      <c r="F872" t="s">
        <v>166</v>
      </c>
      <c r="G872">
        <v>175000</v>
      </c>
      <c r="H872">
        <v>26400</v>
      </c>
      <c r="I872">
        <v>0</v>
      </c>
      <c r="J872">
        <v>0</v>
      </c>
      <c r="K872">
        <v>93000</v>
      </c>
      <c r="L872">
        <v>15600</v>
      </c>
      <c r="M872">
        <v>0</v>
      </c>
      <c r="N872">
        <v>48000</v>
      </c>
      <c r="O872">
        <v>10000</v>
      </c>
      <c r="P872">
        <v>0</v>
      </c>
      <c r="Q872">
        <v>21600</v>
      </c>
      <c r="R872">
        <v>0</v>
      </c>
      <c r="S872">
        <v>0</v>
      </c>
      <c r="T872">
        <v>2600</v>
      </c>
      <c r="U872">
        <v>6</v>
      </c>
      <c r="V872">
        <v>0</v>
      </c>
      <c r="W872">
        <v>0</v>
      </c>
      <c r="X872">
        <v>0</v>
      </c>
      <c r="Y872">
        <v>0</v>
      </c>
      <c r="Z872" cm="1">
        <f t="array" ref="Z872">MMULT($G872:$Y872,'Nelson Factor_2019'!$B$1:$B$19)/$G872</f>
        <v>8.70472</v>
      </c>
      <c r="AA872" cm="1">
        <f t="array" ref="AA872">MMULT($G872:$R872,'Nelson Factor_2019'!$B$1:$B$12)/$G872</f>
        <v>8.5561142857142851</v>
      </c>
    </row>
    <row r="873" spans="1:27" x14ac:dyDescent="0.25">
      <c r="A873">
        <v>2011</v>
      </c>
      <c r="B873">
        <v>1</v>
      </c>
      <c r="C873">
        <v>1</v>
      </c>
      <c r="D873" t="s">
        <v>162</v>
      </c>
      <c r="E873" t="s">
        <v>138</v>
      </c>
      <c r="F873" t="s">
        <v>167</v>
      </c>
      <c r="G873">
        <v>330000</v>
      </c>
      <c r="H873">
        <v>157400</v>
      </c>
      <c r="I873">
        <v>0</v>
      </c>
      <c r="J873">
        <v>0</v>
      </c>
      <c r="K873">
        <v>113500</v>
      </c>
      <c r="L873">
        <v>68000</v>
      </c>
      <c r="M873">
        <v>0</v>
      </c>
      <c r="N873">
        <v>163600</v>
      </c>
      <c r="O873">
        <v>16700</v>
      </c>
      <c r="P873">
        <v>0</v>
      </c>
      <c r="Q873">
        <v>13700</v>
      </c>
      <c r="R873">
        <v>7300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 cm="1">
        <f t="array" ref="Z873">MMULT($G873:$Y873,'Nelson Factor_2019'!$B$1:$B$19)/$G873</f>
        <v>7.3561212121212121</v>
      </c>
      <c r="AA873" cm="1">
        <f t="array" ref="AA873">MMULT($G873:$R873,'Nelson Factor_2019'!$B$1:$B$12)/$G873</f>
        <v>7.3561212121212121</v>
      </c>
    </row>
    <row r="874" spans="1:27" x14ac:dyDescent="0.25">
      <c r="A874">
        <v>2011</v>
      </c>
      <c r="B874">
        <v>1</v>
      </c>
      <c r="C874">
        <v>1</v>
      </c>
      <c r="D874" t="s">
        <v>162</v>
      </c>
      <c r="E874" t="s">
        <v>168</v>
      </c>
      <c r="F874" t="s">
        <v>169</v>
      </c>
      <c r="G874">
        <v>66700</v>
      </c>
      <c r="H874">
        <v>27000</v>
      </c>
      <c r="I874">
        <v>0</v>
      </c>
      <c r="J874">
        <v>0</v>
      </c>
      <c r="K874">
        <v>23000</v>
      </c>
      <c r="L874">
        <v>16000</v>
      </c>
      <c r="M874">
        <v>0</v>
      </c>
      <c r="N874">
        <v>40000</v>
      </c>
      <c r="O874">
        <v>3500</v>
      </c>
      <c r="P874">
        <v>1000</v>
      </c>
      <c r="Q874">
        <v>0</v>
      </c>
      <c r="R874">
        <v>6800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12000</v>
      </c>
      <c r="Z874" cm="1">
        <f t="array" ref="Z874">MMULT($G874:$Y874,'Nelson Factor_2019'!$B$1:$B$19)/$G874</f>
        <v>7.5442278860569711</v>
      </c>
      <c r="AA874" cm="1">
        <f t="array" ref="AA874">MMULT($G874:$R874,'Nelson Factor_2019'!$B$1:$B$12)/$G874</f>
        <v>7.2743628185907045</v>
      </c>
    </row>
    <row r="875" spans="1:27" x14ac:dyDescent="0.25">
      <c r="A875">
        <v>2011</v>
      </c>
      <c r="B875">
        <v>2</v>
      </c>
      <c r="C875">
        <v>1</v>
      </c>
      <c r="D875" t="s">
        <v>170</v>
      </c>
      <c r="E875" t="s">
        <v>66</v>
      </c>
      <c r="F875" t="s">
        <v>172</v>
      </c>
      <c r="G875">
        <v>195000</v>
      </c>
      <c r="H875">
        <v>0</v>
      </c>
      <c r="I875">
        <v>0</v>
      </c>
      <c r="J875">
        <v>0</v>
      </c>
      <c r="K875">
        <v>69000</v>
      </c>
      <c r="L875">
        <v>36000</v>
      </c>
      <c r="M875">
        <v>0</v>
      </c>
      <c r="N875">
        <v>151315</v>
      </c>
      <c r="O875">
        <v>12000</v>
      </c>
      <c r="P875">
        <v>0</v>
      </c>
      <c r="Q875">
        <v>0</v>
      </c>
      <c r="R875">
        <v>4000</v>
      </c>
      <c r="S875">
        <v>0</v>
      </c>
      <c r="T875">
        <v>0</v>
      </c>
      <c r="U875">
        <v>0</v>
      </c>
      <c r="V875">
        <v>0</v>
      </c>
      <c r="W875">
        <v>748</v>
      </c>
      <c r="X875">
        <v>105</v>
      </c>
      <c r="Y875">
        <v>0</v>
      </c>
      <c r="Z875" cm="1">
        <f t="array" ref="Z875">MMULT($G875:$Y875,'Nelson Factor_2019'!$B$1:$B$19)/$G875</f>
        <v>6.79224358974359</v>
      </c>
      <c r="AA875" cm="1">
        <f t="array" ref="AA875">MMULT($G875:$R875,'Nelson Factor_2019'!$B$1:$B$12)/$G875</f>
        <v>6.6630128205128205</v>
      </c>
    </row>
    <row r="876" spans="1:27" x14ac:dyDescent="0.25">
      <c r="A876">
        <v>2011</v>
      </c>
      <c r="B876">
        <v>3</v>
      </c>
      <c r="C876">
        <v>0</v>
      </c>
      <c r="D876" t="s">
        <v>173</v>
      </c>
      <c r="E876" t="s">
        <v>174</v>
      </c>
      <c r="F876" t="s">
        <v>175</v>
      </c>
      <c r="G876">
        <v>12000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1200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 cm="1">
        <f t="array" ref="Z876">MMULT($G876:$Y876,'Nelson Factor_2019'!$B$1:$B$19)/$G876</f>
        <v>3</v>
      </c>
      <c r="AA876" cm="1">
        <f t="array" ref="AA876">MMULT($G876:$R876,'Nelson Factor_2019'!$B$1:$B$12)/$G876</f>
        <v>3</v>
      </c>
    </row>
    <row r="877" spans="1:27" x14ac:dyDescent="0.25">
      <c r="A877">
        <v>2011</v>
      </c>
      <c r="B877">
        <v>3</v>
      </c>
      <c r="C877">
        <v>1</v>
      </c>
      <c r="D877" t="s">
        <v>173</v>
      </c>
      <c r="E877" t="s">
        <v>176</v>
      </c>
      <c r="F877" t="s">
        <v>177</v>
      </c>
      <c r="G877">
        <v>70000</v>
      </c>
      <c r="H877">
        <v>24000</v>
      </c>
      <c r="I877">
        <v>0</v>
      </c>
      <c r="J877">
        <v>0</v>
      </c>
      <c r="K877">
        <v>24000</v>
      </c>
      <c r="L877">
        <v>21000</v>
      </c>
      <c r="M877">
        <v>0</v>
      </c>
      <c r="N877">
        <v>67950</v>
      </c>
      <c r="O877">
        <v>5000</v>
      </c>
      <c r="P877">
        <v>0</v>
      </c>
      <c r="Q877">
        <v>2000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135</v>
      </c>
      <c r="Y877">
        <v>8000</v>
      </c>
      <c r="Z877" cm="1">
        <f t="array" ref="Z877">MMULT($G877:$Y877,'Nelson Factor_2019'!$B$1:$B$19)/$G877</f>
        <v>9.3496428571428574</v>
      </c>
      <c r="AA877" cm="1">
        <f t="array" ref="AA877">MMULT($G877:$R877,'Nelson Factor_2019'!$B$1:$B$12)/$G877</f>
        <v>8.7153571428571421</v>
      </c>
    </row>
    <row r="878" spans="1:27" x14ac:dyDescent="0.25">
      <c r="A878">
        <v>2011</v>
      </c>
      <c r="B878">
        <v>3</v>
      </c>
      <c r="C878">
        <v>6</v>
      </c>
      <c r="D878" t="s">
        <v>173</v>
      </c>
      <c r="E878" t="s">
        <v>32</v>
      </c>
      <c r="F878" t="s">
        <v>178</v>
      </c>
      <c r="G878">
        <v>451250</v>
      </c>
      <c r="H878">
        <v>225150</v>
      </c>
      <c r="I878">
        <v>38700</v>
      </c>
      <c r="J878">
        <v>0</v>
      </c>
      <c r="K878">
        <v>157500</v>
      </c>
      <c r="L878">
        <v>124200</v>
      </c>
      <c r="M878">
        <v>117000</v>
      </c>
      <c r="N878">
        <v>409050</v>
      </c>
      <c r="O878">
        <v>33300</v>
      </c>
      <c r="P878">
        <v>0</v>
      </c>
      <c r="Q878">
        <v>85500</v>
      </c>
      <c r="R878">
        <v>0</v>
      </c>
      <c r="S878">
        <v>0</v>
      </c>
      <c r="T878">
        <v>0</v>
      </c>
      <c r="U878">
        <v>0</v>
      </c>
      <c r="V878">
        <v>59.699999999999996</v>
      </c>
      <c r="W878">
        <v>2495</v>
      </c>
      <c r="X878">
        <v>1317</v>
      </c>
      <c r="Y878">
        <v>0</v>
      </c>
      <c r="Z878" cm="1">
        <f t="array" ref="Z878">MMULT($G878:$Y878,'Nelson Factor_2019'!$B$1:$B$19)/$G878</f>
        <v>15.330658614958448</v>
      </c>
      <c r="AA878" cm="1">
        <f t="array" ref="AA878">MMULT($G878:$R878,'Nelson Factor_2019'!$B$1:$B$12)/$G878</f>
        <v>14.630072022160665</v>
      </c>
    </row>
    <row r="879" spans="1:27" x14ac:dyDescent="0.25">
      <c r="A879">
        <v>2011</v>
      </c>
      <c r="B879">
        <v>3</v>
      </c>
      <c r="C879">
        <v>4</v>
      </c>
      <c r="D879" t="s">
        <v>173</v>
      </c>
      <c r="E879" t="s">
        <v>79</v>
      </c>
      <c r="F879" t="s">
        <v>179</v>
      </c>
      <c r="G879">
        <v>156750</v>
      </c>
      <c r="H879">
        <v>73625</v>
      </c>
      <c r="I879">
        <v>37800</v>
      </c>
      <c r="J879">
        <v>0</v>
      </c>
      <c r="K879">
        <v>72450</v>
      </c>
      <c r="L879">
        <v>45450</v>
      </c>
      <c r="M879">
        <v>0</v>
      </c>
      <c r="N879">
        <v>148230</v>
      </c>
      <c r="O879">
        <v>18090</v>
      </c>
      <c r="P879">
        <v>0</v>
      </c>
      <c r="Q879">
        <v>30105</v>
      </c>
      <c r="R879">
        <v>0</v>
      </c>
      <c r="S879">
        <v>0</v>
      </c>
      <c r="T879">
        <v>3600</v>
      </c>
      <c r="U879">
        <v>0</v>
      </c>
      <c r="V879">
        <v>0</v>
      </c>
      <c r="W879">
        <v>2123</v>
      </c>
      <c r="X879">
        <v>281.7</v>
      </c>
      <c r="Y879">
        <v>0</v>
      </c>
      <c r="Z879" cm="1">
        <f t="array" ref="Z879">MMULT($G879:$Y879,'Nelson Factor_2019'!$B$1:$B$19)/$G879</f>
        <v>15.662491228070175</v>
      </c>
      <c r="AA879" cm="1">
        <f t="array" ref="AA879">MMULT($G879:$R879,'Nelson Factor_2019'!$B$1:$B$12)/$G879</f>
        <v>15.001515151515152</v>
      </c>
    </row>
    <row r="880" spans="1:27" x14ac:dyDescent="0.25">
      <c r="A880">
        <v>2011</v>
      </c>
      <c r="B880">
        <v>3</v>
      </c>
      <c r="C880">
        <v>4</v>
      </c>
      <c r="D880" t="s">
        <v>173</v>
      </c>
      <c r="E880" t="s">
        <v>51</v>
      </c>
      <c r="F880" t="s">
        <v>182</v>
      </c>
      <c r="G880">
        <v>247000</v>
      </c>
      <c r="H880">
        <v>125500</v>
      </c>
      <c r="I880">
        <v>70900</v>
      </c>
      <c r="J880">
        <v>0</v>
      </c>
      <c r="K880">
        <v>97000</v>
      </c>
      <c r="L880">
        <v>33800</v>
      </c>
      <c r="M880">
        <v>0</v>
      </c>
      <c r="N880">
        <v>275500</v>
      </c>
      <c r="O880">
        <v>19600</v>
      </c>
      <c r="P880">
        <v>0</v>
      </c>
      <c r="Q880">
        <v>17700</v>
      </c>
      <c r="R880">
        <v>9100</v>
      </c>
      <c r="S880">
        <v>0</v>
      </c>
      <c r="T880">
        <v>0</v>
      </c>
      <c r="U880">
        <v>0</v>
      </c>
      <c r="V880">
        <v>165</v>
      </c>
      <c r="W880">
        <v>4000</v>
      </c>
      <c r="X880">
        <v>593</v>
      </c>
      <c r="Y880">
        <v>0</v>
      </c>
      <c r="Z880" cm="1">
        <f t="array" ref="Z880">MMULT($G880:$Y880,'Nelson Factor_2019'!$B$1:$B$19)/$G880</f>
        <v>12.556417004048583</v>
      </c>
      <c r="AA880" cm="1">
        <f t="array" ref="AA880">MMULT($G880:$R880,'Nelson Factor_2019'!$B$1:$B$12)/$G880</f>
        <v>11.979554655870446</v>
      </c>
    </row>
    <row r="881" spans="1:27" x14ac:dyDescent="0.25">
      <c r="A881">
        <v>2011</v>
      </c>
      <c r="B881">
        <v>3</v>
      </c>
      <c r="C881">
        <v>4</v>
      </c>
      <c r="D881" t="s">
        <v>173</v>
      </c>
      <c r="E881" t="s">
        <v>236</v>
      </c>
      <c r="F881" t="s">
        <v>188</v>
      </c>
      <c r="G881">
        <v>60000</v>
      </c>
      <c r="H881">
        <v>15000</v>
      </c>
      <c r="I881">
        <v>6500</v>
      </c>
      <c r="J881">
        <v>0</v>
      </c>
      <c r="K881">
        <v>20200</v>
      </c>
      <c r="L881">
        <v>17500</v>
      </c>
      <c r="M881">
        <v>0</v>
      </c>
      <c r="N881">
        <v>32000</v>
      </c>
      <c r="O881">
        <v>4750</v>
      </c>
      <c r="P881">
        <v>0</v>
      </c>
      <c r="Q881">
        <v>0</v>
      </c>
      <c r="R881">
        <v>5000</v>
      </c>
      <c r="S881">
        <v>0</v>
      </c>
      <c r="T881">
        <v>0</v>
      </c>
      <c r="U881">
        <v>0</v>
      </c>
      <c r="V881">
        <v>0</v>
      </c>
      <c r="W881">
        <v>250</v>
      </c>
      <c r="X881">
        <v>18</v>
      </c>
      <c r="Y881">
        <v>0</v>
      </c>
      <c r="Z881" cm="1">
        <f t="array" ref="Z881">MMULT($G881:$Y881,'Nelson Factor_2019'!$B$1:$B$19)/$G881</f>
        <v>8.0628333333333337</v>
      </c>
      <c r="AA881" cm="1">
        <f t="array" ref="AA881">MMULT($G881:$R881,'Nelson Factor_2019'!$B$1:$B$12)/$G881</f>
        <v>7.9908333333333337</v>
      </c>
    </row>
    <row r="882" spans="1:27" x14ac:dyDescent="0.25">
      <c r="A882">
        <v>2011</v>
      </c>
      <c r="B882">
        <v>3</v>
      </c>
      <c r="C882">
        <v>6</v>
      </c>
      <c r="D882" t="s">
        <v>173</v>
      </c>
      <c r="E882" t="s">
        <v>54</v>
      </c>
      <c r="F882" t="s">
        <v>185</v>
      </c>
      <c r="G882">
        <v>560500</v>
      </c>
      <c r="H882">
        <v>286000</v>
      </c>
      <c r="I882">
        <v>90000</v>
      </c>
      <c r="J882">
        <v>0</v>
      </c>
      <c r="K882">
        <v>204500</v>
      </c>
      <c r="L882">
        <v>120000</v>
      </c>
      <c r="M882">
        <v>26500</v>
      </c>
      <c r="N882">
        <v>750000</v>
      </c>
      <c r="O882">
        <v>36000</v>
      </c>
      <c r="P882">
        <v>0</v>
      </c>
      <c r="Q882">
        <v>0</v>
      </c>
      <c r="R882">
        <v>0</v>
      </c>
      <c r="S882">
        <v>21500</v>
      </c>
      <c r="T882">
        <v>0</v>
      </c>
      <c r="U882">
        <v>0</v>
      </c>
      <c r="V882">
        <v>37.5</v>
      </c>
      <c r="W882">
        <v>3550</v>
      </c>
      <c r="X882">
        <v>1550</v>
      </c>
      <c r="Y882">
        <v>0</v>
      </c>
      <c r="Z882" cm="1">
        <f t="array" ref="Z882">MMULT($G882:$Y882,'Nelson Factor_2019'!$B$1:$B$19)/$G882</f>
        <v>13.458229259589652</v>
      </c>
      <c r="AA882" cm="1">
        <f t="array" ref="AA882">MMULT($G882:$R882,'Nelson Factor_2019'!$B$1:$B$12)/$G882</f>
        <v>10.492952720785013</v>
      </c>
    </row>
    <row r="883" spans="1:27" x14ac:dyDescent="0.25">
      <c r="A883">
        <v>2011</v>
      </c>
      <c r="B883">
        <v>3</v>
      </c>
      <c r="C883">
        <v>6</v>
      </c>
      <c r="D883" t="s">
        <v>173</v>
      </c>
      <c r="E883" t="s">
        <v>54</v>
      </c>
      <c r="F883" t="s">
        <v>186</v>
      </c>
      <c r="G883">
        <v>344500</v>
      </c>
      <c r="H883">
        <v>143000</v>
      </c>
      <c r="I883">
        <v>45500</v>
      </c>
      <c r="J883">
        <v>0</v>
      </c>
      <c r="K883">
        <v>113000</v>
      </c>
      <c r="L883">
        <v>138500</v>
      </c>
      <c r="M883">
        <v>60000</v>
      </c>
      <c r="N883">
        <v>289000</v>
      </c>
      <c r="O883">
        <v>14000</v>
      </c>
      <c r="P883">
        <v>0</v>
      </c>
      <c r="Q883">
        <v>0</v>
      </c>
      <c r="R883">
        <v>24500</v>
      </c>
      <c r="S883">
        <v>10000</v>
      </c>
      <c r="T883">
        <v>3500</v>
      </c>
      <c r="U883">
        <v>0</v>
      </c>
      <c r="V883">
        <v>49.5</v>
      </c>
      <c r="W883">
        <v>2720</v>
      </c>
      <c r="X883">
        <v>560</v>
      </c>
      <c r="Y883">
        <v>0</v>
      </c>
      <c r="Z883" cm="1">
        <f t="array" ref="Z883">MMULT($G883:$Y883,'Nelson Factor_2019'!$B$1:$B$19)/$G883</f>
        <v>12.852248185776487</v>
      </c>
      <c r="AA883" cm="1">
        <f t="array" ref="AA883">MMULT($G883:$R883,'Nelson Factor_2019'!$B$1:$B$12)/$G883</f>
        <v>10.618722786647314</v>
      </c>
    </row>
    <row r="884" spans="1:27" x14ac:dyDescent="0.25">
      <c r="A884">
        <v>2011</v>
      </c>
      <c r="B884">
        <v>3</v>
      </c>
      <c r="C884">
        <v>6</v>
      </c>
      <c r="D884" t="s">
        <v>173</v>
      </c>
      <c r="E884" t="s">
        <v>35</v>
      </c>
      <c r="F884" t="s">
        <v>179</v>
      </c>
      <c r="G884">
        <v>279300</v>
      </c>
      <c r="H884">
        <v>83125</v>
      </c>
      <c r="I884">
        <v>11970</v>
      </c>
      <c r="J884">
        <v>0</v>
      </c>
      <c r="K884">
        <v>96030</v>
      </c>
      <c r="L884">
        <v>60750</v>
      </c>
      <c r="M884">
        <v>11700</v>
      </c>
      <c r="N884">
        <v>225090</v>
      </c>
      <c r="O884">
        <v>12870</v>
      </c>
      <c r="P884">
        <v>0</v>
      </c>
      <c r="Q884">
        <v>44550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798</v>
      </c>
      <c r="X884">
        <v>241</v>
      </c>
      <c r="Y884">
        <v>0</v>
      </c>
      <c r="Z884" cm="1">
        <f t="array" ref="Z884">MMULT($G884:$Y884,'Nelson Factor_2019'!$B$1:$B$19)/$G884</f>
        <v>11.06671142141067</v>
      </c>
      <c r="AA884" cm="1">
        <f t="array" ref="AA884">MMULT($G884:$R884,'Nelson Factor_2019'!$B$1:$B$12)/$G884</f>
        <v>10.859622269960616</v>
      </c>
    </row>
    <row r="885" spans="1:27" x14ac:dyDescent="0.25">
      <c r="A885">
        <v>2011</v>
      </c>
      <c r="B885">
        <v>3</v>
      </c>
      <c r="C885">
        <v>4</v>
      </c>
      <c r="D885" t="s">
        <v>173</v>
      </c>
      <c r="E885" t="s">
        <v>244</v>
      </c>
      <c r="F885" t="s">
        <v>190</v>
      </c>
      <c r="G885">
        <v>268000</v>
      </c>
      <c r="H885">
        <v>191100</v>
      </c>
      <c r="I885">
        <v>98500</v>
      </c>
      <c r="J885">
        <v>0</v>
      </c>
      <c r="K885">
        <v>97000</v>
      </c>
      <c r="L885">
        <v>33700</v>
      </c>
      <c r="M885">
        <v>0</v>
      </c>
      <c r="N885">
        <v>307900</v>
      </c>
      <c r="O885">
        <v>11250</v>
      </c>
      <c r="P885">
        <v>0</v>
      </c>
      <c r="Q885">
        <v>8350</v>
      </c>
      <c r="R885">
        <v>0</v>
      </c>
      <c r="S885">
        <v>4050</v>
      </c>
      <c r="T885">
        <v>4000</v>
      </c>
      <c r="U885">
        <v>0</v>
      </c>
      <c r="V885">
        <v>0</v>
      </c>
      <c r="W885">
        <v>5000</v>
      </c>
      <c r="X885">
        <v>1042</v>
      </c>
      <c r="Y885">
        <v>0</v>
      </c>
      <c r="Z885" cm="1">
        <f t="array" ref="Z885">MMULT($G885:$Y885,'Nelson Factor_2019'!$B$1:$B$19)/$G885</f>
        <v>13.388097014925373</v>
      </c>
      <c r="AA885" cm="1">
        <f t="array" ref="AA885">MMULT($G885:$R885,'Nelson Factor_2019'!$B$1:$B$12)/$G885</f>
        <v>11.398992537313433</v>
      </c>
    </row>
    <row r="886" spans="1:27" x14ac:dyDescent="0.25">
      <c r="A886">
        <v>2011</v>
      </c>
      <c r="B886">
        <v>3</v>
      </c>
      <c r="C886">
        <v>1</v>
      </c>
      <c r="D886" t="s">
        <v>173</v>
      </c>
      <c r="E886" t="s">
        <v>249</v>
      </c>
      <c r="F886" t="s">
        <v>178</v>
      </c>
      <c r="G886">
        <v>76000</v>
      </c>
      <c r="H886">
        <v>0</v>
      </c>
      <c r="I886">
        <v>0</v>
      </c>
      <c r="J886">
        <v>0</v>
      </c>
      <c r="K886">
        <v>55600</v>
      </c>
      <c r="L886">
        <v>10000</v>
      </c>
      <c r="M886">
        <v>0</v>
      </c>
      <c r="N886">
        <v>0</v>
      </c>
      <c r="O886">
        <v>12400</v>
      </c>
      <c r="P886">
        <v>0</v>
      </c>
      <c r="Q886">
        <v>1900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36</v>
      </c>
      <c r="Y886">
        <v>0</v>
      </c>
      <c r="Z886" cm="1">
        <f t="array" ref="Z886">MMULT($G886:$Y886,'Nelson Factor_2019'!$B$1:$B$19)/$G886</f>
        <v>8.2926315789473684</v>
      </c>
      <c r="AA886" cm="1">
        <f t="array" ref="AA886">MMULT($G886:$R886,'Nelson Factor_2019'!$B$1:$B$12)/$G886</f>
        <v>8.1789473684210527</v>
      </c>
    </row>
    <row r="887" spans="1:27" x14ac:dyDescent="0.25">
      <c r="A887">
        <v>2011</v>
      </c>
      <c r="B887">
        <v>3</v>
      </c>
      <c r="C887">
        <v>6</v>
      </c>
      <c r="D887" t="s">
        <v>173</v>
      </c>
      <c r="E887" t="s">
        <v>112</v>
      </c>
      <c r="F887" t="s">
        <v>191</v>
      </c>
      <c r="G887">
        <v>285000</v>
      </c>
      <c r="H887">
        <v>138000</v>
      </c>
      <c r="I887">
        <v>56000</v>
      </c>
      <c r="J887">
        <v>0</v>
      </c>
      <c r="K887">
        <v>88000</v>
      </c>
      <c r="L887">
        <v>45000</v>
      </c>
      <c r="M887">
        <v>20000</v>
      </c>
      <c r="N887">
        <v>263700</v>
      </c>
      <c r="O887">
        <v>19000</v>
      </c>
      <c r="P887">
        <v>0</v>
      </c>
      <c r="Q887">
        <v>0</v>
      </c>
      <c r="R887">
        <v>0</v>
      </c>
      <c r="S887">
        <v>39000</v>
      </c>
      <c r="T887">
        <v>0</v>
      </c>
      <c r="U887">
        <v>0</v>
      </c>
      <c r="V887">
        <v>0</v>
      </c>
      <c r="W887">
        <v>2450</v>
      </c>
      <c r="X887">
        <v>660</v>
      </c>
      <c r="Y887">
        <v>0</v>
      </c>
      <c r="Z887" cm="1">
        <f t="array" ref="Z887">MMULT($G887:$Y887,'Nelson Factor_2019'!$B$1:$B$19)/$G887</f>
        <v>18.052807017543859</v>
      </c>
      <c r="AA887" cm="1">
        <f t="array" ref="AA887">MMULT($G887:$R887,'Nelson Factor_2019'!$B$1:$B$12)/$G887</f>
        <v>9.2864912280701759</v>
      </c>
    </row>
    <row r="888" spans="1:27" x14ac:dyDescent="0.25">
      <c r="A888">
        <v>2011</v>
      </c>
      <c r="B888">
        <v>3</v>
      </c>
      <c r="C888">
        <v>4</v>
      </c>
      <c r="D888" t="s">
        <v>173</v>
      </c>
      <c r="E888" t="s">
        <v>229</v>
      </c>
      <c r="F888" t="s">
        <v>184</v>
      </c>
      <c r="G888">
        <v>117000</v>
      </c>
      <c r="H888">
        <v>41000</v>
      </c>
      <c r="I888">
        <v>12000</v>
      </c>
      <c r="J888">
        <v>0</v>
      </c>
      <c r="K888">
        <v>50000</v>
      </c>
      <c r="L888">
        <v>20000</v>
      </c>
      <c r="M888">
        <v>0</v>
      </c>
      <c r="N888">
        <v>44000</v>
      </c>
      <c r="O888">
        <v>11000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500</v>
      </c>
      <c r="X888">
        <v>24</v>
      </c>
      <c r="Y888">
        <v>0</v>
      </c>
      <c r="Z888" cm="1">
        <f t="array" ref="Z888">MMULT($G888:$Y888,'Nelson Factor_2019'!$B$1:$B$19)/$G888</f>
        <v>7.5731623931623933</v>
      </c>
      <c r="AA888" cm="1">
        <f t="array" ref="AA888">MMULT($G888:$R888,'Nelson Factor_2019'!$B$1:$B$12)/$G888</f>
        <v>7.5239316239316238</v>
      </c>
    </row>
    <row r="889" spans="1:27" x14ac:dyDescent="0.25">
      <c r="A889">
        <v>2011</v>
      </c>
      <c r="B889">
        <v>3</v>
      </c>
      <c r="C889">
        <v>6</v>
      </c>
      <c r="D889" t="s">
        <v>173</v>
      </c>
      <c r="E889" t="s">
        <v>192</v>
      </c>
      <c r="F889" t="s">
        <v>193</v>
      </c>
      <c r="G889">
        <v>327000</v>
      </c>
      <c r="H889">
        <v>173100</v>
      </c>
      <c r="I889">
        <v>81600</v>
      </c>
      <c r="J889">
        <v>0</v>
      </c>
      <c r="K889">
        <v>66300</v>
      </c>
      <c r="L889">
        <v>67100</v>
      </c>
      <c r="M889">
        <v>53400</v>
      </c>
      <c r="N889">
        <v>238400</v>
      </c>
      <c r="O889">
        <v>17600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56.6</v>
      </c>
      <c r="V889">
        <v>35.299999999999997</v>
      </c>
      <c r="W889">
        <v>6417</v>
      </c>
      <c r="X889">
        <v>1011</v>
      </c>
      <c r="Y889">
        <v>0</v>
      </c>
      <c r="Z889" cm="1">
        <f t="array" ref="Z889">MMULT($G889:$Y889,'Nelson Factor_2019'!$B$1:$B$19)/$G889</f>
        <v>10.21181009174312</v>
      </c>
      <c r="AA889" cm="1">
        <f t="array" ref="AA889">MMULT($G889:$R889,'Nelson Factor_2019'!$B$1:$B$12)/$G889</f>
        <v>9.4695107033639143</v>
      </c>
    </row>
    <row r="890" spans="1:27" x14ac:dyDescent="0.25">
      <c r="A890">
        <v>2011</v>
      </c>
      <c r="B890">
        <v>3</v>
      </c>
      <c r="C890">
        <v>4</v>
      </c>
      <c r="D890" t="s">
        <v>173</v>
      </c>
      <c r="E890" t="s">
        <v>194</v>
      </c>
      <c r="F890" t="s">
        <v>191</v>
      </c>
      <c r="G890">
        <v>173589</v>
      </c>
      <c r="H890">
        <v>104521</v>
      </c>
      <c r="I890">
        <v>47945</v>
      </c>
      <c r="J890">
        <v>0</v>
      </c>
      <c r="K890">
        <v>76493</v>
      </c>
      <c r="L890">
        <v>37539</v>
      </c>
      <c r="M890">
        <v>0</v>
      </c>
      <c r="N890">
        <v>228486</v>
      </c>
      <c r="O890">
        <v>5955</v>
      </c>
      <c r="P890">
        <v>0</v>
      </c>
      <c r="Q890">
        <v>57314</v>
      </c>
      <c r="R890">
        <v>9644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683</v>
      </c>
      <c r="Y890">
        <v>1667</v>
      </c>
      <c r="Z890" cm="1">
        <f t="array" ref="Z890">MMULT($G890:$Y890,'Nelson Factor_2019'!$B$1:$B$19)/$G890</f>
        <v>18.941893207518909</v>
      </c>
      <c r="AA890" cm="1">
        <f t="array" ref="AA890">MMULT($G890:$R890,'Nelson Factor_2019'!$B$1:$B$12)/$G890</f>
        <v>17.98318902695447</v>
      </c>
    </row>
    <row r="891" spans="1:27" x14ac:dyDescent="0.25">
      <c r="A891">
        <v>2011</v>
      </c>
      <c r="B891">
        <v>3</v>
      </c>
      <c r="C891">
        <v>6</v>
      </c>
      <c r="D891" t="s">
        <v>173</v>
      </c>
      <c r="E891" t="s">
        <v>66</v>
      </c>
      <c r="F891" t="s">
        <v>179</v>
      </c>
      <c r="G891">
        <v>205000</v>
      </c>
      <c r="H891">
        <v>95000</v>
      </c>
      <c r="I891">
        <v>17500</v>
      </c>
      <c r="J891">
        <v>0</v>
      </c>
      <c r="K891">
        <v>92000</v>
      </c>
      <c r="L891">
        <v>47000</v>
      </c>
      <c r="M891">
        <v>49000</v>
      </c>
      <c r="N891">
        <v>296000</v>
      </c>
      <c r="O891">
        <v>21300</v>
      </c>
      <c r="P891">
        <v>11200</v>
      </c>
      <c r="Q891">
        <v>23000</v>
      </c>
      <c r="R891">
        <v>12000</v>
      </c>
      <c r="S891">
        <v>0</v>
      </c>
      <c r="T891">
        <v>0</v>
      </c>
      <c r="U891">
        <v>194</v>
      </c>
      <c r="V891">
        <v>74</v>
      </c>
      <c r="W891">
        <v>998</v>
      </c>
      <c r="X891">
        <v>790</v>
      </c>
      <c r="Y891">
        <v>38000</v>
      </c>
      <c r="Z891" cm="1">
        <f t="array" ref="Z891">MMULT($G891:$Y891,'Nelson Factor_2019'!$B$1:$B$19)/$G891</f>
        <v>16.812770731707317</v>
      </c>
      <c r="AA891" cm="1">
        <f t="array" ref="AA891">MMULT($G891:$R891,'Nelson Factor_2019'!$B$1:$B$12)/$G891</f>
        <v>15.608536585365854</v>
      </c>
    </row>
    <row r="892" spans="1:27" x14ac:dyDescent="0.25">
      <c r="A892">
        <v>2011</v>
      </c>
      <c r="B892">
        <v>3</v>
      </c>
      <c r="C892">
        <v>3</v>
      </c>
      <c r="D892" t="s">
        <v>173</v>
      </c>
      <c r="E892" t="s">
        <v>66</v>
      </c>
      <c r="F892" t="s">
        <v>190</v>
      </c>
      <c r="G892">
        <v>90000</v>
      </c>
      <c r="H892">
        <v>39000</v>
      </c>
      <c r="I892">
        <v>0</v>
      </c>
      <c r="J892">
        <v>0</v>
      </c>
      <c r="K892">
        <v>65000</v>
      </c>
      <c r="L892">
        <v>0</v>
      </c>
      <c r="M892">
        <v>32000</v>
      </c>
      <c r="N892">
        <v>84100</v>
      </c>
      <c r="O892">
        <v>11000</v>
      </c>
      <c r="P892">
        <v>1400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300</v>
      </c>
      <c r="Y892">
        <v>0</v>
      </c>
      <c r="Z892" cm="1">
        <f t="array" ref="Z892">MMULT($G892:$Y892,'Nelson Factor_2019'!$B$1:$B$19)/$G892</f>
        <v>13.255000000000001</v>
      </c>
      <c r="AA892" cm="1">
        <f t="array" ref="AA892">MMULT($G892:$R892,'Nelson Factor_2019'!$B$1:$B$12)/$G892</f>
        <v>12.455</v>
      </c>
    </row>
    <row r="893" spans="1:27" x14ac:dyDescent="0.25">
      <c r="A893">
        <v>2011</v>
      </c>
      <c r="B893">
        <v>3</v>
      </c>
      <c r="C893">
        <v>6</v>
      </c>
      <c r="D893" t="s">
        <v>173</v>
      </c>
      <c r="E893" t="s">
        <v>66</v>
      </c>
      <c r="F893" t="s">
        <v>191</v>
      </c>
      <c r="G893">
        <v>310000</v>
      </c>
      <c r="H893">
        <v>145000</v>
      </c>
      <c r="I893">
        <v>100000</v>
      </c>
      <c r="J893">
        <v>0</v>
      </c>
      <c r="K893">
        <v>80000</v>
      </c>
      <c r="L893">
        <v>53000</v>
      </c>
      <c r="M893">
        <v>45000</v>
      </c>
      <c r="N893">
        <v>282000</v>
      </c>
      <c r="O893">
        <v>20000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105</v>
      </c>
      <c r="V893">
        <v>6</v>
      </c>
      <c r="W893">
        <v>6200</v>
      </c>
      <c r="X893">
        <v>1050</v>
      </c>
      <c r="Y893">
        <v>0</v>
      </c>
      <c r="Z893" cm="1">
        <f t="array" ref="Z893">MMULT($G893:$Y893,'Nelson Factor_2019'!$B$1:$B$19)/$G893</f>
        <v>11.324551612903226</v>
      </c>
      <c r="AA893" cm="1">
        <f t="array" ref="AA893">MMULT($G893:$R893,'Nelson Factor_2019'!$B$1:$B$12)/$G893</f>
        <v>10.511290322580646</v>
      </c>
    </row>
    <row r="894" spans="1:27" x14ac:dyDescent="0.25">
      <c r="A894">
        <v>2011</v>
      </c>
      <c r="B894">
        <v>3</v>
      </c>
      <c r="C894">
        <v>3</v>
      </c>
      <c r="D894" t="s">
        <v>173</v>
      </c>
      <c r="E894" t="s">
        <v>66</v>
      </c>
      <c r="F894" t="s">
        <v>195</v>
      </c>
      <c r="G894">
        <v>170000</v>
      </c>
      <c r="H894">
        <v>53200</v>
      </c>
      <c r="I894">
        <v>0</v>
      </c>
      <c r="J894">
        <v>0</v>
      </c>
      <c r="K894">
        <v>54465</v>
      </c>
      <c r="L894">
        <v>47400</v>
      </c>
      <c r="M894">
        <v>29500</v>
      </c>
      <c r="N894">
        <v>97612</v>
      </c>
      <c r="O894">
        <v>9500</v>
      </c>
      <c r="P894">
        <v>0</v>
      </c>
      <c r="Q894">
        <v>0</v>
      </c>
      <c r="R894">
        <v>7000</v>
      </c>
      <c r="S894">
        <v>0</v>
      </c>
      <c r="T894">
        <v>4900</v>
      </c>
      <c r="U894">
        <v>0</v>
      </c>
      <c r="V894">
        <v>0</v>
      </c>
      <c r="W894">
        <v>0</v>
      </c>
      <c r="X894">
        <v>60</v>
      </c>
      <c r="Y894">
        <v>0</v>
      </c>
      <c r="Z894" cm="1">
        <f t="array" ref="Z894">MMULT($G894:$Y894,'Nelson Factor_2019'!$B$1:$B$19)/$G894</f>
        <v>8.6022352941176479</v>
      </c>
      <c r="AA894" cm="1">
        <f t="array" ref="AA894">MMULT($G894:$R894,'Nelson Factor_2019'!$B$1:$B$12)/$G894</f>
        <v>8.2292941176470595</v>
      </c>
    </row>
    <row r="895" spans="1:27" x14ac:dyDescent="0.25">
      <c r="A895">
        <v>2011</v>
      </c>
      <c r="B895">
        <v>3</v>
      </c>
      <c r="C895">
        <v>4</v>
      </c>
      <c r="D895" t="s">
        <v>173</v>
      </c>
      <c r="E895" t="s">
        <v>66</v>
      </c>
      <c r="F895" t="s">
        <v>178</v>
      </c>
      <c r="G895">
        <v>245000</v>
      </c>
      <c r="H895">
        <v>130000</v>
      </c>
      <c r="I895">
        <v>50000</v>
      </c>
      <c r="J895">
        <v>0</v>
      </c>
      <c r="K895">
        <v>80000</v>
      </c>
      <c r="L895">
        <v>14500</v>
      </c>
      <c r="M895">
        <v>0</v>
      </c>
      <c r="N895">
        <v>263000</v>
      </c>
      <c r="O895">
        <v>12000</v>
      </c>
      <c r="P895">
        <v>0</v>
      </c>
      <c r="Q895">
        <v>0</v>
      </c>
      <c r="R895">
        <v>6500</v>
      </c>
      <c r="S895">
        <v>0</v>
      </c>
      <c r="T895">
        <v>2500</v>
      </c>
      <c r="U895">
        <v>0</v>
      </c>
      <c r="V895">
        <v>60</v>
      </c>
      <c r="W895">
        <v>3000</v>
      </c>
      <c r="X895">
        <v>890</v>
      </c>
      <c r="Y895">
        <v>0</v>
      </c>
      <c r="Z895" cm="1">
        <f t="array" ref="Z895">MMULT($G895:$Y895,'Nelson Factor_2019'!$B$1:$B$19)/$G895</f>
        <v>9.7026938775510203</v>
      </c>
      <c r="AA895" cm="1">
        <f t="array" ref="AA895">MMULT($G895:$R895,'Nelson Factor_2019'!$B$1:$B$12)/$G895</f>
        <v>8.7285714285714278</v>
      </c>
    </row>
    <row r="896" spans="1:27" x14ac:dyDescent="0.25">
      <c r="A896">
        <v>2011</v>
      </c>
      <c r="B896">
        <v>3</v>
      </c>
      <c r="C896">
        <v>1</v>
      </c>
      <c r="D896" t="s">
        <v>173</v>
      </c>
      <c r="E896" t="s">
        <v>66</v>
      </c>
      <c r="F896" t="s">
        <v>196</v>
      </c>
      <c r="G896">
        <v>100000</v>
      </c>
      <c r="H896">
        <v>35000</v>
      </c>
      <c r="I896">
        <v>0</v>
      </c>
      <c r="J896">
        <v>0</v>
      </c>
      <c r="K896">
        <v>24500</v>
      </c>
      <c r="L896">
        <v>34000</v>
      </c>
      <c r="M896">
        <v>0</v>
      </c>
      <c r="N896">
        <v>78300</v>
      </c>
      <c r="O896">
        <v>6500</v>
      </c>
      <c r="P896">
        <v>0</v>
      </c>
      <c r="Q896">
        <v>18000</v>
      </c>
      <c r="R896">
        <v>0</v>
      </c>
      <c r="S896">
        <v>3200</v>
      </c>
      <c r="T896">
        <v>0</v>
      </c>
      <c r="U896">
        <v>0</v>
      </c>
      <c r="V896">
        <v>10</v>
      </c>
      <c r="W896">
        <v>0</v>
      </c>
      <c r="X896">
        <v>0</v>
      </c>
      <c r="Y896">
        <v>0</v>
      </c>
      <c r="Z896" cm="1">
        <f t="array" ref="Z896">MMULT($G896:$Y896,'Nelson Factor_2019'!$B$1:$B$19)/$G896</f>
        <v>12.752599999999999</v>
      </c>
      <c r="AA896" cm="1">
        <f t="array" ref="AA896">MMULT($G896:$R896,'Nelson Factor_2019'!$B$1:$B$12)/$G896</f>
        <v>10.8325</v>
      </c>
    </row>
    <row r="897" spans="1:27" x14ac:dyDescent="0.25">
      <c r="A897">
        <v>2011</v>
      </c>
      <c r="B897">
        <v>3</v>
      </c>
      <c r="C897">
        <v>1</v>
      </c>
      <c r="D897" t="s">
        <v>173</v>
      </c>
      <c r="E897" t="s">
        <v>197</v>
      </c>
      <c r="F897" t="s">
        <v>198</v>
      </c>
      <c r="G897">
        <v>125000</v>
      </c>
      <c r="H897">
        <v>34700</v>
      </c>
      <c r="I897">
        <v>0</v>
      </c>
      <c r="J897">
        <v>0</v>
      </c>
      <c r="K897">
        <v>28000</v>
      </c>
      <c r="L897">
        <v>18000</v>
      </c>
      <c r="M897">
        <v>0</v>
      </c>
      <c r="N897">
        <v>37800</v>
      </c>
      <c r="O897">
        <v>10000</v>
      </c>
      <c r="P897">
        <v>0</v>
      </c>
      <c r="Q897">
        <v>0</v>
      </c>
      <c r="R897">
        <v>2500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20</v>
      </c>
      <c r="Y897">
        <v>4800</v>
      </c>
      <c r="Z897" cm="1">
        <f t="array" ref="Z897">MMULT($G897:$Y897,'Nelson Factor_2019'!$B$1:$B$19)/$G897</f>
        <v>5.1368799999999997</v>
      </c>
      <c r="AA897" cm="1">
        <f t="array" ref="AA897">MMULT($G897:$R897,'Nelson Factor_2019'!$B$1:$B$12)/$G897</f>
        <v>5.0408799999999996</v>
      </c>
    </row>
    <row r="898" spans="1:27" x14ac:dyDescent="0.25">
      <c r="A898">
        <v>2011</v>
      </c>
      <c r="B898">
        <v>3</v>
      </c>
      <c r="C898">
        <v>4</v>
      </c>
      <c r="D898" t="s">
        <v>173</v>
      </c>
      <c r="E898" t="s">
        <v>240</v>
      </c>
      <c r="F898" t="s">
        <v>181</v>
      </c>
      <c r="G898">
        <v>146000</v>
      </c>
      <c r="H898">
        <v>75000</v>
      </c>
      <c r="I898">
        <v>26000</v>
      </c>
      <c r="J898">
        <v>0</v>
      </c>
      <c r="K898">
        <v>55000</v>
      </c>
      <c r="L898">
        <v>29000</v>
      </c>
      <c r="M898">
        <v>0</v>
      </c>
      <c r="N898">
        <v>154000</v>
      </c>
      <c r="O898">
        <v>17000</v>
      </c>
      <c r="P898">
        <v>0</v>
      </c>
      <c r="Q898">
        <v>0</v>
      </c>
      <c r="R898">
        <v>44000</v>
      </c>
      <c r="S898">
        <v>0</v>
      </c>
      <c r="T898">
        <v>0</v>
      </c>
      <c r="U898">
        <v>90</v>
      </c>
      <c r="V898">
        <v>10</v>
      </c>
      <c r="W898">
        <v>1250</v>
      </c>
      <c r="X898">
        <v>400</v>
      </c>
      <c r="Y898">
        <v>0</v>
      </c>
      <c r="Z898" cm="1">
        <f t="array" ref="Z898">MMULT($G898:$Y898,'Nelson Factor_2019'!$B$1:$B$19)/$G898</f>
        <v>11.62054794520548</v>
      </c>
      <c r="AA898" cm="1">
        <f t="array" ref="AA898">MMULT($G898:$R898,'Nelson Factor_2019'!$B$1:$B$12)/$G898</f>
        <v>10.962328767123287</v>
      </c>
    </row>
    <row r="899" spans="1:27" x14ac:dyDescent="0.25">
      <c r="A899">
        <v>2011</v>
      </c>
      <c r="B899">
        <v>4</v>
      </c>
      <c r="C899">
        <v>1</v>
      </c>
      <c r="D899" t="s">
        <v>199</v>
      </c>
      <c r="E899" t="s">
        <v>237</v>
      </c>
      <c r="F899" t="s">
        <v>201</v>
      </c>
      <c r="G899">
        <v>30000</v>
      </c>
      <c r="H899">
        <v>5000</v>
      </c>
      <c r="I899">
        <v>0</v>
      </c>
      <c r="J899">
        <v>0</v>
      </c>
      <c r="K899">
        <v>11500</v>
      </c>
      <c r="L899">
        <v>7300</v>
      </c>
      <c r="M899">
        <v>0</v>
      </c>
      <c r="N899">
        <v>18500</v>
      </c>
      <c r="O899">
        <v>2500</v>
      </c>
      <c r="P899">
        <v>0</v>
      </c>
      <c r="Q899">
        <v>0</v>
      </c>
      <c r="R899">
        <v>4200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4</v>
      </c>
      <c r="Y899">
        <v>0</v>
      </c>
      <c r="Z899" cm="1">
        <f t="array" ref="Z899">MMULT($G899:$Y899,'Nelson Factor_2019'!$B$1:$B$19)/$G899</f>
        <v>7.5603333333333333</v>
      </c>
      <c r="AA899" cm="1">
        <f t="array" ref="AA899">MMULT($G899:$R899,'Nelson Factor_2019'!$B$1:$B$12)/$G899</f>
        <v>7.5283333333333333</v>
      </c>
    </row>
    <row r="900" spans="1:27" x14ac:dyDescent="0.25">
      <c r="A900">
        <v>2011</v>
      </c>
      <c r="B900">
        <v>4</v>
      </c>
      <c r="C900">
        <v>4</v>
      </c>
      <c r="D900" t="s">
        <v>199</v>
      </c>
      <c r="E900" t="s">
        <v>227</v>
      </c>
      <c r="F900" t="s">
        <v>201</v>
      </c>
      <c r="G900">
        <v>45000</v>
      </c>
      <c r="H900">
        <v>25600</v>
      </c>
      <c r="I900">
        <v>7200</v>
      </c>
      <c r="J900">
        <v>0</v>
      </c>
      <c r="K900">
        <v>13000</v>
      </c>
      <c r="L900">
        <v>7000</v>
      </c>
      <c r="M900">
        <v>0</v>
      </c>
      <c r="N900">
        <v>39000</v>
      </c>
      <c r="O900">
        <v>4500</v>
      </c>
      <c r="P900">
        <v>0</v>
      </c>
      <c r="Q900">
        <v>0</v>
      </c>
      <c r="R900">
        <v>1000</v>
      </c>
      <c r="S900">
        <v>0</v>
      </c>
      <c r="T900">
        <v>0</v>
      </c>
      <c r="U900">
        <v>0</v>
      </c>
      <c r="V900">
        <v>0</v>
      </c>
      <c r="W900">
        <v>281</v>
      </c>
      <c r="X900">
        <v>56</v>
      </c>
      <c r="Y900">
        <v>0</v>
      </c>
      <c r="Z900" cm="1">
        <f t="array" ref="Z900">MMULT($G900:$Y900,'Nelson Factor_2019'!$B$1:$B$19)/$G900</f>
        <v>8.9826666666666668</v>
      </c>
      <c r="AA900" cm="1">
        <f t="array" ref="AA900">MMULT($G900:$R900,'Nelson Factor_2019'!$B$1:$B$12)/$G900</f>
        <v>8.6839999999999993</v>
      </c>
    </row>
    <row r="901" spans="1:27" x14ac:dyDescent="0.25">
      <c r="A901">
        <v>2011</v>
      </c>
      <c r="B901">
        <v>4</v>
      </c>
      <c r="C901">
        <v>1</v>
      </c>
      <c r="D901" t="s">
        <v>199</v>
      </c>
      <c r="E901" t="s">
        <v>202</v>
      </c>
      <c r="F901" t="s">
        <v>203</v>
      </c>
      <c r="G901">
        <v>29450</v>
      </c>
      <c r="H901">
        <v>0</v>
      </c>
      <c r="I901">
        <v>0</v>
      </c>
      <c r="J901">
        <v>0</v>
      </c>
      <c r="K901">
        <v>8900</v>
      </c>
      <c r="L901">
        <v>8000</v>
      </c>
      <c r="M901">
        <v>0</v>
      </c>
      <c r="N901">
        <v>25000</v>
      </c>
      <c r="O901">
        <v>2900</v>
      </c>
      <c r="P901">
        <v>0</v>
      </c>
      <c r="Q901">
        <v>0</v>
      </c>
      <c r="R901">
        <v>3000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10</v>
      </c>
      <c r="Y901">
        <v>0</v>
      </c>
      <c r="Z901" cm="1">
        <f t="array" ref="Z901">MMULT($G901:$Y901,'Nelson Factor_2019'!$B$1:$B$19)/$G901</f>
        <v>7.6655348047538201</v>
      </c>
      <c r="AA901" cm="1">
        <f t="array" ref="AA901">MMULT($G901:$R901,'Nelson Factor_2019'!$B$1:$B$12)/$G901</f>
        <v>7.5840407470288627</v>
      </c>
    </row>
    <row r="902" spans="1:27" x14ac:dyDescent="0.25">
      <c r="A902">
        <v>2011</v>
      </c>
      <c r="B902">
        <v>4</v>
      </c>
      <c r="C902">
        <v>0</v>
      </c>
      <c r="D902" t="s">
        <v>199</v>
      </c>
      <c r="E902" t="s">
        <v>204</v>
      </c>
      <c r="F902" t="s">
        <v>203</v>
      </c>
      <c r="G902">
        <v>6250</v>
      </c>
      <c r="H902">
        <v>6000</v>
      </c>
      <c r="I902">
        <v>0</v>
      </c>
      <c r="J902">
        <v>0</v>
      </c>
      <c r="K902">
        <v>0</v>
      </c>
      <c r="L902">
        <v>2200</v>
      </c>
      <c r="M902">
        <v>0</v>
      </c>
      <c r="N902">
        <v>6200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1200</v>
      </c>
      <c r="Z902" cm="1">
        <f t="array" ref="Z902">MMULT($G902:$Y902,'Nelson Factor_2019'!$B$1:$B$19)/$G902</f>
        <v>6.7759999999999998</v>
      </c>
      <c r="AA902" cm="1">
        <f t="array" ref="AA902">MMULT($G902:$R902,'Nelson Factor_2019'!$B$1:$B$12)/$G902</f>
        <v>6.4880000000000004</v>
      </c>
    </row>
    <row r="903" spans="1:27" x14ac:dyDescent="0.25">
      <c r="A903">
        <v>2011</v>
      </c>
      <c r="B903">
        <v>4</v>
      </c>
      <c r="C903">
        <v>1</v>
      </c>
      <c r="D903" t="s">
        <v>199</v>
      </c>
      <c r="E903" t="s">
        <v>148</v>
      </c>
      <c r="F903" t="s">
        <v>201</v>
      </c>
      <c r="G903">
        <v>60000</v>
      </c>
      <c r="H903">
        <v>0</v>
      </c>
      <c r="I903">
        <v>0</v>
      </c>
      <c r="J903">
        <v>0</v>
      </c>
      <c r="K903">
        <v>23000</v>
      </c>
      <c r="L903">
        <v>12000</v>
      </c>
      <c r="M903">
        <v>0</v>
      </c>
      <c r="N903">
        <v>23000</v>
      </c>
      <c r="O903">
        <v>6000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15</v>
      </c>
      <c r="Y903">
        <v>0</v>
      </c>
      <c r="Z903" cm="1">
        <f t="array" ref="Z903">MMULT($G903:$Y903,'Nelson Factor_2019'!$B$1:$B$19)/$G903</f>
        <v>6.3183333333333334</v>
      </c>
      <c r="AA903" cm="1">
        <f t="array" ref="AA903">MMULT($G903:$R903,'Nelson Factor_2019'!$B$1:$B$12)/$G903</f>
        <v>6.2583333333333337</v>
      </c>
    </row>
    <row r="904" spans="1:27" x14ac:dyDescent="0.25">
      <c r="A904">
        <v>2011</v>
      </c>
      <c r="B904">
        <v>1</v>
      </c>
      <c r="C904">
        <v>4</v>
      </c>
      <c r="D904" t="s">
        <v>205</v>
      </c>
      <c r="E904" t="s">
        <v>250</v>
      </c>
      <c r="F904" t="s">
        <v>207</v>
      </c>
      <c r="G904">
        <v>70000</v>
      </c>
      <c r="H904">
        <v>33000</v>
      </c>
      <c r="I904">
        <v>17100</v>
      </c>
      <c r="J904">
        <v>0</v>
      </c>
      <c r="K904">
        <v>26700</v>
      </c>
      <c r="L904">
        <v>10800</v>
      </c>
      <c r="M904">
        <v>0</v>
      </c>
      <c r="N904">
        <v>29300</v>
      </c>
      <c r="O904">
        <v>0</v>
      </c>
      <c r="P904">
        <v>4000</v>
      </c>
      <c r="Q904">
        <v>0</v>
      </c>
      <c r="R904">
        <v>0</v>
      </c>
      <c r="S904">
        <v>0</v>
      </c>
      <c r="T904">
        <v>660</v>
      </c>
      <c r="U904">
        <v>0</v>
      </c>
      <c r="V904">
        <v>0</v>
      </c>
      <c r="W904">
        <v>905</v>
      </c>
      <c r="X904">
        <v>36</v>
      </c>
      <c r="Y904">
        <v>0</v>
      </c>
      <c r="Z904" cm="1">
        <f t="array" ref="Z904">MMULT($G904:$Y904,'Nelson Factor_2019'!$B$1:$B$19)/$G904</f>
        <v>8.3405714285714279</v>
      </c>
      <c r="AA904" cm="1">
        <f t="array" ref="AA904">MMULT($G904:$R904,'Nelson Factor_2019'!$B$1:$B$12)/$G904</f>
        <v>8.1228571428571428</v>
      </c>
    </row>
    <row r="905" spans="1:27" x14ac:dyDescent="0.25">
      <c r="A905">
        <v>2011</v>
      </c>
      <c r="B905">
        <v>5</v>
      </c>
      <c r="C905">
        <v>5</v>
      </c>
      <c r="D905" t="s">
        <v>208</v>
      </c>
      <c r="E905" t="s">
        <v>32</v>
      </c>
      <c r="F905" t="s">
        <v>209</v>
      </c>
      <c r="G905">
        <v>222300</v>
      </c>
      <c r="H905">
        <v>100700</v>
      </c>
      <c r="I905">
        <v>55800</v>
      </c>
      <c r="J905">
        <v>0</v>
      </c>
      <c r="K905">
        <v>0</v>
      </c>
      <c r="L905">
        <v>58500</v>
      </c>
      <c r="M905">
        <v>58500</v>
      </c>
      <c r="N905">
        <v>131400</v>
      </c>
      <c r="O905">
        <v>0</v>
      </c>
      <c r="P905">
        <v>0</v>
      </c>
      <c r="Q905">
        <v>0</v>
      </c>
      <c r="R905">
        <v>21600</v>
      </c>
      <c r="S905">
        <v>0</v>
      </c>
      <c r="T905">
        <v>0</v>
      </c>
      <c r="U905">
        <v>92.5</v>
      </c>
      <c r="V905">
        <v>42</v>
      </c>
      <c r="W905">
        <v>3250</v>
      </c>
      <c r="X905">
        <v>225</v>
      </c>
      <c r="Y905">
        <v>0</v>
      </c>
      <c r="Z905" cm="1">
        <f t="array" ref="Z905">MMULT($G905:$Y905,'Nelson Factor_2019'!$B$1:$B$19)/$G905</f>
        <v>8.9052834008097168</v>
      </c>
      <c r="AA905" cm="1">
        <f t="array" ref="AA905">MMULT($G905:$R905,'Nelson Factor_2019'!$B$1:$B$12)/$G905</f>
        <v>8.6617633828160141</v>
      </c>
    </row>
    <row r="906" spans="1:27" x14ac:dyDescent="0.25">
      <c r="A906">
        <v>2011</v>
      </c>
      <c r="B906">
        <v>5</v>
      </c>
      <c r="C906">
        <v>1</v>
      </c>
      <c r="D906" t="s">
        <v>208</v>
      </c>
      <c r="E906" t="s">
        <v>51</v>
      </c>
      <c r="F906" t="s">
        <v>209</v>
      </c>
      <c r="G906">
        <v>100000</v>
      </c>
      <c r="H906">
        <v>46400</v>
      </c>
      <c r="I906">
        <v>0</v>
      </c>
      <c r="J906">
        <v>0</v>
      </c>
      <c r="K906">
        <v>32500</v>
      </c>
      <c r="L906">
        <v>15700</v>
      </c>
      <c r="M906">
        <v>0</v>
      </c>
      <c r="N906">
        <v>72000</v>
      </c>
      <c r="O906">
        <v>8600</v>
      </c>
      <c r="P906">
        <v>0</v>
      </c>
      <c r="Q906">
        <v>0</v>
      </c>
      <c r="R906">
        <v>4000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105</v>
      </c>
      <c r="Y906">
        <v>0</v>
      </c>
      <c r="Z906" cm="1">
        <f t="array" ref="Z906">MMULT($G906:$Y906,'Nelson Factor_2019'!$B$1:$B$19)/$G906</f>
        <v>7.3701999999999996</v>
      </c>
      <c r="AA906" cm="1">
        <f t="array" ref="AA906">MMULT($G906:$R906,'Nelson Factor_2019'!$B$1:$B$12)/$G906</f>
        <v>7.1181999999999999</v>
      </c>
    </row>
    <row r="907" spans="1:27" x14ac:dyDescent="0.25">
      <c r="A907">
        <v>2011</v>
      </c>
      <c r="B907">
        <v>5</v>
      </c>
      <c r="C907">
        <v>4</v>
      </c>
      <c r="D907" t="s">
        <v>208</v>
      </c>
      <c r="E907" t="s">
        <v>61</v>
      </c>
      <c r="F907" t="s">
        <v>210</v>
      </c>
      <c r="G907">
        <v>148600</v>
      </c>
      <c r="H907">
        <v>65500</v>
      </c>
      <c r="I907">
        <v>25700</v>
      </c>
      <c r="J907">
        <v>0</v>
      </c>
      <c r="K907">
        <v>57900</v>
      </c>
      <c r="L907">
        <v>33000</v>
      </c>
      <c r="M907">
        <v>0</v>
      </c>
      <c r="N907">
        <v>130600</v>
      </c>
      <c r="O907">
        <v>12050</v>
      </c>
      <c r="P907">
        <v>4300</v>
      </c>
      <c r="Q907">
        <v>0</v>
      </c>
      <c r="R907">
        <v>7000</v>
      </c>
      <c r="S907">
        <v>0</v>
      </c>
      <c r="T907">
        <v>0</v>
      </c>
      <c r="U907">
        <v>7</v>
      </c>
      <c r="V907">
        <v>0</v>
      </c>
      <c r="W907">
        <v>1400</v>
      </c>
      <c r="X907">
        <v>350</v>
      </c>
      <c r="Y907">
        <v>0</v>
      </c>
      <c r="Z907" cm="1">
        <f t="array" ref="Z907">MMULT($G907:$Y907,'Nelson Factor_2019'!$B$1:$B$19)/$G907</f>
        <v>10.322388963660835</v>
      </c>
      <c r="AA907" cm="1">
        <f t="array" ref="AA907">MMULT($G907:$R907,'Nelson Factor_2019'!$B$1:$B$12)/$G907</f>
        <v>9.7570659488559901</v>
      </c>
    </row>
    <row r="908" spans="1:27" x14ac:dyDescent="0.25">
      <c r="A908">
        <v>2011</v>
      </c>
      <c r="B908">
        <v>5</v>
      </c>
      <c r="C908">
        <v>1</v>
      </c>
      <c r="D908" t="s">
        <v>208</v>
      </c>
      <c r="E908" t="s">
        <v>148</v>
      </c>
      <c r="F908" t="s">
        <v>210</v>
      </c>
      <c r="G908">
        <v>120000</v>
      </c>
      <c r="H908">
        <v>47200</v>
      </c>
      <c r="I908">
        <v>0</v>
      </c>
      <c r="J908">
        <v>0</v>
      </c>
      <c r="K908">
        <v>44800</v>
      </c>
      <c r="L908">
        <v>26500</v>
      </c>
      <c r="M908">
        <v>0</v>
      </c>
      <c r="N908">
        <v>61600</v>
      </c>
      <c r="O908">
        <v>11000</v>
      </c>
      <c r="P908">
        <v>0</v>
      </c>
      <c r="Q908">
        <v>0</v>
      </c>
      <c r="R908">
        <v>3400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48</v>
      </c>
      <c r="Y908">
        <v>1000</v>
      </c>
      <c r="Z908" cm="1">
        <f t="array" ref="Z908">MMULT($G908:$Y908,'Nelson Factor_2019'!$B$1:$B$19)/$G908</f>
        <v>7.2489999999999997</v>
      </c>
      <c r="AA908" cm="1">
        <f t="array" ref="AA908">MMULT($G908:$R908,'Nelson Factor_2019'!$B$1:$B$12)/$G908</f>
        <v>7.1405000000000003</v>
      </c>
    </row>
    <row r="909" spans="1:27" x14ac:dyDescent="0.25">
      <c r="A909">
        <v>2011</v>
      </c>
      <c r="B909">
        <v>5</v>
      </c>
      <c r="C909">
        <v>0</v>
      </c>
      <c r="D909" t="s">
        <v>208</v>
      </c>
      <c r="E909" t="s">
        <v>211</v>
      </c>
      <c r="F909" t="s">
        <v>212</v>
      </c>
      <c r="G909">
        <v>39000</v>
      </c>
      <c r="H909">
        <v>17700</v>
      </c>
      <c r="I909">
        <v>0</v>
      </c>
      <c r="J909">
        <v>0</v>
      </c>
      <c r="K909">
        <v>0</v>
      </c>
      <c r="L909">
        <v>5650</v>
      </c>
      <c r="M909">
        <v>0</v>
      </c>
      <c r="N909">
        <v>14800</v>
      </c>
      <c r="O909">
        <v>0</v>
      </c>
      <c r="P909">
        <v>0</v>
      </c>
      <c r="Q909">
        <v>0</v>
      </c>
      <c r="R909">
        <v>3000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10000</v>
      </c>
      <c r="Z909" cm="1">
        <f t="array" ref="Z909">MMULT($G909:$Y909,'Nelson Factor_2019'!$B$1:$B$19)/$G909</f>
        <v>3.8784615384615386</v>
      </c>
      <c r="AA909" cm="1">
        <f t="array" ref="AA909">MMULT($G909:$R909,'Nelson Factor_2019'!$B$1:$B$12)/$G909</f>
        <v>3.493846153846154</v>
      </c>
    </row>
    <row r="910" spans="1:27" x14ac:dyDescent="0.25">
      <c r="A910">
        <v>2011</v>
      </c>
      <c r="B910">
        <v>1</v>
      </c>
      <c r="C910">
        <v>0</v>
      </c>
      <c r="D910" t="s">
        <v>213</v>
      </c>
      <c r="E910" t="s">
        <v>214</v>
      </c>
      <c r="F910" t="s">
        <v>215</v>
      </c>
      <c r="G910">
        <v>19400</v>
      </c>
      <c r="H910">
        <v>8400</v>
      </c>
      <c r="I910">
        <v>0</v>
      </c>
      <c r="J910">
        <v>0</v>
      </c>
      <c r="K910">
        <v>0</v>
      </c>
      <c r="L910">
        <v>3600</v>
      </c>
      <c r="M910">
        <v>0</v>
      </c>
      <c r="N910">
        <v>18600</v>
      </c>
      <c r="O910">
        <v>0</v>
      </c>
      <c r="P910">
        <v>0</v>
      </c>
      <c r="Q910">
        <v>0</v>
      </c>
      <c r="R910">
        <v>0</v>
      </c>
      <c r="S910">
        <v>4800</v>
      </c>
      <c r="T910">
        <v>0</v>
      </c>
      <c r="U910">
        <v>4.0999999999999996</v>
      </c>
      <c r="V910">
        <v>0</v>
      </c>
      <c r="W910">
        <v>0</v>
      </c>
      <c r="X910">
        <v>1</v>
      </c>
      <c r="Y910">
        <v>0</v>
      </c>
      <c r="Z910" cm="1">
        <f t="array" ref="Z910">MMULT($G910:$Y910,'Nelson Factor_2019'!$B$1:$B$19)/$G910</f>
        <v>19.745572164948452</v>
      </c>
      <c r="AA910" cm="1">
        <f t="array" ref="AA910">MMULT($G910:$R910,'Nelson Factor_2019'!$B$1:$B$12)/$G910</f>
        <v>4.8876288659793818</v>
      </c>
    </row>
    <row r="911" spans="1:27" x14ac:dyDescent="0.25">
      <c r="A911">
        <v>2011</v>
      </c>
      <c r="B911">
        <v>2</v>
      </c>
      <c r="C911">
        <v>1</v>
      </c>
      <c r="D911" t="s">
        <v>216</v>
      </c>
      <c r="E911" t="s">
        <v>115</v>
      </c>
      <c r="F911" t="s">
        <v>217</v>
      </c>
      <c r="G911">
        <v>33250</v>
      </c>
      <c r="H911">
        <v>19500</v>
      </c>
      <c r="I911">
        <v>0</v>
      </c>
      <c r="J911">
        <v>0</v>
      </c>
      <c r="K911">
        <v>9900</v>
      </c>
      <c r="L911">
        <v>7200</v>
      </c>
      <c r="M911">
        <v>0</v>
      </c>
      <c r="N911">
        <v>20620</v>
      </c>
      <c r="O911">
        <v>1350</v>
      </c>
      <c r="P911">
        <v>0</v>
      </c>
      <c r="Q911">
        <v>0</v>
      </c>
      <c r="R911">
        <v>1800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15</v>
      </c>
      <c r="Y911">
        <v>6750</v>
      </c>
      <c r="Z911" cm="1">
        <f t="array" ref="Z911">MMULT($G911:$Y911,'Nelson Factor_2019'!$B$1:$B$19)/$G911</f>
        <v>7.1631578947368419</v>
      </c>
      <c r="AA911" cm="1">
        <f t="array" ref="AA911">MMULT($G911:$R911,'Nelson Factor_2019'!$B$1:$B$12)/$G911</f>
        <v>6.7503759398496239</v>
      </c>
    </row>
    <row r="912" spans="1:27" x14ac:dyDescent="0.25">
      <c r="A912">
        <v>2011</v>
      </c>
      <c r="B912">
        <v>4</v>
      </c>
      <c r="C912">
        <v>4</v>
      </c>
      <c r="D912" t="s">
        <v>218</v>
      </c>
      <c r="E912" t="s">
        <v>219</v>
      </c>
      <c r="F912" t="s">
        <v>220</v>
      </c>
      <c r="G912">
        <v>52000</v>
      </c>
      <c r="H912">
        <v>26000</v>
      </c>
      <c r="I912">
        <v>14000</v>
      </c>
      <c r="J912">
        <v>0</v>
      </c>
      <c r="K912">
        <v>12000</v>
      </c>
      <c r="L912">
        <v>9000</v>
      </c>
      <c r="M912">
        <v>0</v>
      </c>
      <c r="N912">
        <v>39000</v>
      </c>
      <c r="O912">
        <v>4000</v>
      </c>
      <c r="P912">
        <v>0</v>
      </c>
      <c r="Q912">
        <v>0</v>
      </c>
      <c r="R912">
        <v>1200</v>
      </c>
      <c r="S912">
        <v>0</v>
      </c>
      <c r="T912">
        <v>0</v>
      </c>
      <c r="U912">
        <v>5.5</v>
      </c>
      <c r="V912">
        <v>0</v>
      </c>
      <c r="W912">
        <v>800</v>
      </c>
      <c r="X912">
        <v>105</v>
      </c>
      <c r="Y912">
        <v>0</v>
      </c>
      <c r="Z912" cm="1">
        <f t="array" ref="Z912">MMULT($G912:$Y912,'Nelson Factor_2019'!$B$1:$B$19)/$G912</f>
        <v>9.1174134615384617</v>
      </c>
      <c r="AA912" cm="1">
        <f t="array" ref="AA912">MMULT($G912:$R912,'Nelson Factor_2019'!$B$1:$B$12)/$G912</f>
        <v>8.6326923076923077</v>
      </c>
    </row>
    <row r="913" spans="1:27" x14ac:dyDescent="0.25">
      <c r="A913">
        <v>2011</v>
      </c>
      <c r="B913">
        <v>4</v>
      </c>
      <c r="C913">
        <v>1</v>
      </c>
      <c r="D913" t="s">
        <v>218</v>
      </c>
      <c r="E913" t="s">
        <v>221</v>
      </c>
      <c r="F913" t="s">
        <v>222</v>
      </c>
      <c r="G913">
        <v>22500</v>
      </c>
      <c r="H913">
        <v>6000</v>
      </c>
      <c r="I913">
        <v>0</v>
      </c>
      <c r="J913">
        <v>0</v>
      </c>
      <c r="K913">
        <v>10000</v>
      </c>
      <c r="L913">
        <v>5500</v>
      </c>
      <c r="M913">
        <v>0</v>
      </c>
      <c r="N913">
        <v>16000</v>
      </c>
      <c r="O913">
        <v>0</v>
      </c>
      <c r="P913">
        <v>1000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19.7</v>
      </c>
      <c r="Y913">
        <v>0</v>
      </c>
      <c r="Z913" cm="1">
        <f t="array" ref="Z913">MMULT($G913:$Y913,'Nelson Factor_2019'!$B$1:$B$19)/$G913</f>
        <v>7.6679111111111107</v>
      </c>
      <c r="AA913" cm="1">
        <f t="array" ref="AA913">MMULT($G913:$R913,'Nelson Factor_2019'!$B$1:$B$12)/$G913</f>
        <v>7.4577777777777774</v>
      </c>
    </row>
    <row r="914" spans="1:27" x14ac:dyDescent="0.25">
      <c r="A914">
        <v>2011</v>
      </c>
      <c r="B914">
        <v>4</v>
      </c>
      <c r="C914">
        <v>1</v>
      </c>
      <c r="D914" t="s">
        <v>218</v>
      </c>
      <c r="E914" t="s">
        <v>159</v>
      </c>
      <c r="F914" t="s">
        <v>223</v>
      </c>
      <c r="G914">
        <v>66000</v>
      </c>
      <c r="H914">
        <v>6500</v>
      </c>
      <c r="I914">
        <v>0</v>
      </c>
      <c r="J914">
        <v>0</v>
      </c>
      <c r="K914">
        <v>10000</v>
      </c>
      <c r="L914">
        <v>5700</v>
      </c>
      <c r="M914">
        <v>0</v>
      </c>
      <c r="N914">
        <v>15500</v>
      </c>
      <c r="O914">
        <v>0</v>
      </c>
      <c r="P914">
        <v>300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19.7</v>
      </c>
      <c r="Y914">
        <v>1750</v>
      </c>
      <c r="Z914" cm="1">
        <f t="array" ref="Z914">MMULT($G914:$Y914,'Nelson Factor_2019'!$B$1:$B$19)/$G914</f>
        <v>3.2129242424242426</v>
      </c>
      <c r="AA914" cm="1">
        <f t="array" ref="AA914">MMULT($G914:$R914,'Nelson Factor_2019'!$B$1:$B$12)/$G914</f>
        <v>3.1015151515151516</v>
      </c>
    </row>
    <row r="915" spans="1:27" x14ac:dyDescent="0.25">
      <c r="A915">
        <v>2011</v>
      </c>
      <c r="B915">
        <v>4</v>
      </c>
      <c r="C915">
        <v>1</v>
      </c>
      <c r="D915" t="s">
        <v>218</v>
      </c>
      <c r="E915" t="s">
        <v>224</v>
      </c>
      <c r="F915" t="s">
        <v>225</v>
      </c>
      <c r="G915">
        <v>12500</v>
      </c>
      <c r="H915">
        <v>1500</v>
      </c>
      <c r="I915">
        <v>0</v>
      </c>
      <c r="J915">
        <v>0</v>
      </c>
      <c r="K915">
        <v>5500</v>
      </c>
      <c r="L915">
        <v>2750</v>
      </c>
      <c r="M915">
        <v>0</v>
      </c>
      <c r="N915">
        <v>7500</v>
      </c>
      <c r="O915">
        <v>1300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4</v>
      </c>
      <c r="Y915">
        <v>0</v>
      </c>
      <c r="Z915" cm="1">
        <f t="array" ref="Z915">MMULT($G915:$Y915,'Nelson Factor_2019'!$B$1:$B$19)/$G915</f>
        <v>7.5128000000000004</v>
      </c>
      <c r="AA915" cm="1">
        <f t="array" ref="AA915">MMULT($G915:$R915,'Nelson Factor_2019'!$B$1:$B$12)/$G915</f>
        <v>7.4359999999999999</v>
      </c>
    </row>
    <row r="916" spans="1:27" x14ac:dyDescent="0.25">
      <c r="A916">
        <v>2012</v>
      </c>
      <c r="B916">
        <v>3</v>
      </c>
      <c r="C916">
        <v>0</v>
      </c>
      <c r="D916" t="s">
        <v>24</v>
      </c>
      <c r="E916" t="s">
        <v>238</v>
      </c>
      <c r="F916" t="s">
        <v>30</v>
      </c>
      <c r="G916">
        <v>20000</v>
      </c>
      <c r="H916">
        <v>15000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 cm="1">
        <f t="array" ref="Z916">MMULT($G916:$Y916,'Nelson Factor_2019'!$B$1:$B$19)/$G916</f>
        <v>1.9750000000000001</v>
      </c>
      <c r="AA916" cm="1">
        <f t="array" ref="AA916">MMULT($G916:$R916,'Nelson Factor_2019'!$B$1:$B$12)/$G916</f>
        <v>1.9750000000000001</v>
      </c>
    </row>
    <row r="917" spans="1:27" x14ac:dyDescent="0.25">
      <c r="A917">
        <v>2012</v>
      </c>
      <c r="B917">
        <v>3</v>
      </c>
      <c r="C917">
        <v>5</v>
      </c>
      <c r="D917" t="s">
        <v>24</v>
      </c>
      <c r="E917" t="s">
        <v>25</v>
      </c>
      <c r="F917" t="s">
        <v>26</v>
      </c>
      <c r="G917">
        <v>72000</v>
      </c>
      <c r="H917">
        <v>15000</v>
      </c>
      <c r="I917">
        <v>32000</v>
      </c>
      <c r="J917">
        <v>0</v>
      </c>
      <c r="K917">
        <v>0</v>
      </c>
      <c r="L917">
        <v>23200</v>
      </c>
      <c r="M917">
        <v>15000</v>
      </c>
      <c r="N917">
        <v>42000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8</v>
      </c>
      <c r="V917">
        <v>8</v>
      </c>
      <c r="W917">
        <v>500</v>
      </c>
      <c r="X917">
        <v>120</v>
      </c>
      <c r="Y917">
        <v>14000</v>
      </c>
      <c r="Z917" cm="1">
        <f t="array" ref="Z917">MMULT($G917:$Y917,'Nelson Factor_2019'!$B$1:$B$19)/$G917</f>
        <v>10.032166666666667</v>
      </c>
      <c r="AA917" cm="1">
        <f t="array" ref="AA917">MMULT($G917:$R917,'Nelson Factor_2019'!$B$1:$B$12)/$G917</f>
        <v>9.3402777777777786</v>
      </c>
    </row>
    <row r="918" spans="1:27" x14ac:dyDescent="0.25">
      <c r="A918">
        <v>2012</v>
      </c>
      <c r="B918">
        <v>3</v>
      </c>
      <c r="C918">
        <v>2</v>
      </c>
      <c r="D918" t="s">
        <v>24</v>
      </c>
      <c r="E918" t="s">
        <v>27</v>
      </c>
      <c r="F918" t="s">
        <v>28</v>
      </c>
      <c r="G918">
        <v>85000</v>
      </c>
      <c r="H918">
        <v>28000</v>
      </c>
      <c r="I918">
        <v>0</v>
      </c>
      <c r="J918">
        <v>0</v>
      </c>
      <c r="K918">
        <v>0</v>
      </c>
      <c r="L918">
        <v>22500</v>
      </c>
      <c r="M918">
        <v>30000</v>
      </c>
      <c r="N918">
        <v>43000</v>
      </c>
      <c r="O918">
        <v>0</v>
      </c>
      <c r="P918">
        <v>0</v>
      </c>
      <c r="Q918">
        <v>0</v>
      </c>
      <c r="R918">
        <v>7500</v>
      </c>
      <c r="S918">
        <v>0</v>
      </c>
      <c r="T918">
        <v>0</v>
      </c>
      <c r="U918">
        <v>0</v>
      </c>
      <c r="V918">
        <v>6</v>
      </c>
      <c r="W918">
        <v>0</v>
      </c>
      <c r="X918">
        <v>20</v>
      </c>
      <c r="Y918">
        <v>0</v>
      </c>
      <c r="Z918" cm="1">
        <f t="array" ref="Z918">MMULT($G918:$Y918,'Nelson Factor_2019'!$B$1:$B$19)/$G918</f>
        <v>7.1612470588235295</v>
      </c>
      <c r="AA918" cm="1">
        <f t="array" ref="AA918">MMULT($G918:$R918,'Nelson Factor_2019'!$B$1:$B$12)/$G918</f>
        <v>7.104705882352941</v>
      </c>
    </row>
    <row r="919" spans="1:27" x14ac:dyDescent="0.25">
      <c r="A919">
        <v>2012</v>
      </c>
      <c r="B919">
        <v>5</v>
      </c>
      <c r="C919">
        <v>4</v>
      </c>
      <c r="D919" t="s">
        <v>31</v>
      </c>
      <c r="E919" t="s">
        <v>32</v>
      </c>
      <c r="F919" t="s">
        <v>34</v>
      </c>
      <c r="G919">
        <v>15000</v>
      </c>
      <c r="H919">
        <v>0</v>
      </c>
      <c r="I919">
        <v>15000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 cm="1">
        <f t="array" ref="Z919">MMULT($G919:$Y919,'Nelson Factor_2019'!$B$1:$B$19)/$G919</f>
        <v>8.5</v>
      </c>
      <c r="AA919" cm="1">
        <f t="array" ref="AA919">MMULT($G919:$R919,'Nelson Factor_2019'!$B$1:$B$12)/$G919</f>
        <v>8.5</v>
      </c>
    </row>
    <row r="920" spans="1:27" x14ac:dyDescent="0.25">
      <c r="A920">
        <v>2012</v>
      </c>
      <c r="B920">
        <v>5</v>
      </c>
      <c r="C920">
        <v>4</v>
      </c>
      <c r="D920" t="s">
        <v>31</v>
      </c>
      <c r="E920" t="s">
        <v>51</v>
      </c>
      <c r="F920" t="s">
        <v>33</v>
      </c>
      <c r="G920">
        <v>14500</v>
      </c>
      <c r="H920">
        <v>0</v>
      </c>
      <c r="I920">
        <v>14500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 cm="1">
        <f t="array" ref="Z920">MMULT($G920:$Y920,'Nelson Factor_2019'!$B$1:$B$19)/$G920</f>
        <v>8.5</v>
      </c>
      <c r="AA920" cm="1">
        <f t="array" ref="AA920">MMULT($G920:$R920,'Nelson Factor_2019'!$B$1:$B$12)/$G920</f>
        <v>8.5</v>
      </c>
    </row>
    <row r="921" spans="1:27" x14ac:dyDescent="0.25">
      <c r="A921">
        <v>2012</v>
      </c>
      <c r="B921">
        <v>5</v>
      </c>
      <c r="C921">
        <v>0</v>
      </c>
      <c r="D921" t="s">
        <v>31</v>
      </c>
      <c r="E921" t="s">
        <v>35</v>
      </c>
      <c r="F921" t="s">
        <v>36</v>
      </c>
      <c r="G921">
        <v>215175</v>
      </c>
      <c r="H921">
        <v>5225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1350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1800</v>
      </c>
      <c r="Z921" cm="1">
        <f t="array" ref="Z921">MMULT($G921:$Y921,'Nelson Factor_2019'!$B$1:$B$19)/$G921</f>
        <v>1.1695945160915533</v>
      </c>
      <c r="AA921" cm="1">
        <f t="array" ref="AA921">MMULT($G921:$R921,'Nelson Factor_2019'!$B$1:$B$12)/$G921</f>
        <v>1.1570465899848961</v>
      </c>
    </row>
    <row r="922" spans="1:27" x14ac:dyDescent="0.25">
      <c r="A922">
        <v>2012</v>
      </c>
      <c r="B922">
        <v>5</v>
      </c>
      <c r="C922">
        <v>0</v>
      </c>
      <c r="D922" t="s">
        <v>31</v>
      </c>
      <c r="E922" t="s">
        <v>37</v>
      </c>
      <c r="F922" t="s">
        <v>36</v>
      </c>
      <c r="G922">
        <v>17500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 cm="1">
        <f t="array" ref="Z922">MMULT($G922:$Y922,'Nelson Factor_2019'!$B$1:$B$19)/$G922</f>
        <v>1</v>
      </c>
      <c r="AA922" cm="1">
        <f t="array" ref="AA922">MMULT($G922:$R922,'Nelson Factor_2019'!$B$1:$B$12)/$G922</f>
        <v>1</v>
      </c>
    </row>
    <row r="923" spans="1:27" x14ac:dyDescent="0.25">
      <c r="A923">
        <v>2012</v>
      </c>
      <c r="B923">
        <v>5</v>
      </c>
      <c r="C923">
        <v>0</v>
      </c>
      <c r="D923" t="s">
        <v>31</v>
      </c>
      <c r="E923" t="s">
        <v>37</v>
      </c>
      <c r="F923" t="s">
        <v>38</v>
      </c>
      <c r="G923">
        <v>48000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 cm="1">
        <f t="array" ref="Z923">MMULT($G923:$Y923,'Nelson Factor_2019'!$B$1:$B$19)/$G923</f>
        <v>1</v>
      </c>
      <c r="AA923" cm="1">
        <f t="array" ref="AA923">MMULT($G923:$R923,'Nelson Factor_2019'!$B$1:$B$12)/$G923</f>
        <v>1</v>
      </c>
    </row>
    <row r="924" spans="1:27" x14ac:dyDescent="0.25">
      <c r="A924">
        <v>2012</v>
      </c>
      <c r="B924">
        <v>5</v>
      </c>
      <c r="C924">
        <v>2</v>
      </c>
      <c r="D924" t="s">
        <v>31</v>
      </c>
      <c r="E924" t="s">
        <v>39</v>
      </c>
      <c r="F924" t="s">
        <v>40</v>
      </c>
      <c r="G924">
        <v>72000</v>
      </c>
      <c r="H924">
        <v>19000</v>
      </c>
      <c r="I924">
        <v>0</v>
      </c>
      <c r="J924">
        <v>0</v>
      </c>
      <c r="K924">
        <v>0</v>
      </c>
      <c r="L924">
        <v>12000</v>
      </c>
      <c r="M924">
        <v>12500</v>
      </c>
      <c r="N924">
        <v>12500</v>
      </c>
      <c r="O924">
        <v>0</v>
      </c>
      <c r="P924">
        <v>0</v>
      </c>
      <c r="Q924">
        <v>0</v>
      </c>
      <c r="R924">
        <v>4000</v>
      </c>
      <c r="S924">
        <v>0</v>
      </c>
      <c r="T924">
        <v>0</v>
      </c>
      <c r="U924">
        <v>13</v>
      </c>
      <c r="V924">
        <v>0</v>
      </c>
      <c r="W924">
        <v>0</v>
      </c>
      <c r="X924">
        <v>19</v>
      </c>
      <c r="Y924">
        <v>1000</v>
      </c>
      <c r="Z924" cm="1">
        <f t="array" ref="Z924">MMULT($G924:$Y924,'Nelson Factor_2019'!$B$1:$B$19)/$G924</f>
        <v>4.2503194444444441</v>
      </c>
      <c r="AA924" cm="1">
        <f t="array" ref="AA924">MMULT($G924:$R924,'Nelson Factor_2019'!$B$1:$B$12)/$G924</f>
        <v>4.165972222222222</v>
      </c>
    </row>
    <row r="925" spans="1:27" x14ac:dyDescent="0.25">
      <c r="A925">
        <v>2012</v>
      </c>
      <c r="B925">
        <v>3</v>
      </c>
      <c r="C925">
        <v>0</v>
      </c>
      <c r="D925" t="s">
        <v>41</v>
      </c>
      <c r="E925" t="s">
        <v>42</v>
      </c>
      <c r="F925" t="s">
        <v>43</v>
      </c>
      <c r="G925">
        <v>7000</v>
      </c>
      <c r="H925">
        <v>3000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4500</v>
      </c>
      <c r="O925">
        <v>0</v>
      </c>
      <c r="P925">
        <v>0</v>
      </c>
      <c r="Q925">
        <v>0</v>
      </c>
      <c r="R925">
        <v>0</v>
      </c>
      <c r="S925">
        <v>4500</v>
      </c>
      <c r="T925">
        <v>0</v>
      </c>
      <c r="U925">
        <v>2.5</v>
      </c>
      <c r="V925">
        <v>0</v>
      </c>
      <c r="W925">
        <v>0</v>
      </c>
      <c r="X925">
        <v>0</v>
      </c>
      <c r="Y925">
        <v>1500</v>
      </c>
      <c r="Z925" cm="1">
        <f t="array" ref="Z925">MMULT($G925:$Y925,'Nelson Factor_2019'!$B$1:$B$19)/$G925</f>
        <v>42.057499999999997</v>
      </c>
      <c r="AA925" cm="1">
        <f t="array" ref="AA925">MMULT($G925:$R925,'Nelson Factor_2019'!$B$1:$B$12)/$G925</f>
        <v>3.1642857142857141</v>
      </c>
    </row>
    <row r="926" spans="1:27" x14ac:dyDescent="0.25">
      <c r="A926">
        <v>2012</v>
      </c>
      <c r="B926">
        <v>3</v>
      </c>
      <c r="C926">
        <v>1</v>
      </c>
      <c r="D926" t="s">
        <v>41</v>
      </c>
      <c r="E926" t="s">
        <v>44</v>
      </c>
      <c r="F926" t="s">
        <v>45</v>
      </c>
      <c r="G926">
        <v>70000</v>
      </c>
      <c r="H926">
        <v>27075</v>
      </c>
      <c r="I926">
        <v>0</v>
      </c>
      <c r="J926">
        <v>0</v>
      </c>
      <c r="K926">
        <v>17550</v>
      </c>
      <c r="L926">
        <v>13320</v>
      </c>
      <c r="M926">
        <v>0</v>
      </c>
      <c r="N926">
        <v>74070</v>
      </c>
      <c r="O926">
        <v>4500</v>
      </c>
      <c r="P926">
        <v>0</v>
      </c>
      <c r="Q926">
        <v>0</v>
      </c>
      <c r="R926">
        <v>5940</v>
      </c>
      <c r="S926">
        <v>0</v>
      </c>
      <c r="T926">
        <v>0</v>
      </c>
      <c r="U926">
        <v>10</v>
      </c>
      <c r="V926">
        <v>15</v>
      </c>
      <c r="W926">
        <v>0</v>
      </c>
      <c r="X926">
        <v>157</v>
      </c>
      <c r="Y926">
        <v>10800</v>
      </c>
      <c r="Z926" cm="1">
        <f t="array" ref="Z926">MMULT($G926:$Y926,'Nelson Factor_2019'!$B$1:$B$19)/$G926</f>
        <v>8.2713928571428568</v>
      </c>
      <c r="AA926" cm="1">
        <f t="array" ref="AA926">MMULT($G926:$R926,'Nelson Factor_2019'!$B$1:$B$12)/$G926</f>
        <v>7.5013214285714289</v>
      </c>
    </row>
    <row r="927" spans="1:27" x14ac:dyDescent="0.25">
      <c r="A927">
        <v>2012</v>
      </c>
      <c r="B927">
        <v>5</v>
      </c>
      <c r="C927">
        <v>0</v>
      </c>
      <c r="D927" t="s">
        <v>46</v>
      </c>
      <c r="E927" t="s">
        <v>176</v>
      </c>
      <c r="F927" t="s">
        <v>230</v>
      </c>
      <c r="G927">
        <v>88000</v>
      </c>
      <c r="H927">
        <v>59800</v>
      </c>
      <c r="I927">
        <v>0</v>
      </c>
      <c r="J927">
        <v>0</v>
      </c>
      <c r="K927">
        <v>0</v>
      </c>
      <c r="L927">
        <v>11600</v>
      </c>
      <c r="M927">
        <v>0</v>
      </c>
      <c r="N927">
        <v>35250</v>
      </c>
      <c r="O927">
        <v>0</v>
      </c>
      <c r="P927">
        <v>0</v>
      </c>
      <c r="Q927">
        <v>0</v>
      </c>
      <c r="R927">
        <v>3750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40</v>
      </c>
      <c r="Y927">
        <v>35000</v>
      </c>
      <c r="Z927" cm="1">
        <f t="array" ref="Z927">MMULT($G927:$Y927,'Nelson Factor_2019'!$B$1:$B$19)/$G927</f>
        <v>4.3774431818181823</v>
      </c>
      <c r="AA927" cm="1">
        <f t="array" ref="AA927">MMULT($G927:$R927,'Nelson Factor_2019'!$B$1:$B$12)/$G927</f>
        <v>3.6717613636363637</v>
      </c>
    </row>
    <row r="928" spans="1:27" x14ac:dyDescent="0.25">
      <c r="A928">
        <v>2012</v>
      </c>
      <c r="B928">
        <v>5</v>
      </c>
      <c r="C928">
        <v>6</v>
      </c>
      <c r="D928" t="s">
        <v>46</v>
      </c>
      <c r="E928" t="s">
        <v>32</v>
      </c>
      <c r="F928" t="s">
        <v>47</v>
      </c>
      <c r="G928">
        <v>252700</v>
      </c>
      <c r="H928">
        <v>133000</v>
      </c>
      <c r="I928">
        <v>60390</v>
      </c>
      <c r="J928">
        <v>0</v>
      </c>
      <c r="K928">
        <v>91800</v>
      </c>
      <c r="L928">
        <v>47700</v>
      </c>
      <c r="M928">
        <v>45000</v>
      </c>
      <c r="N928">
        <v>216900</v>
      </c>
      <c r="O928">
        <v>15300</v>
      </c>
      <c r="P928">
        <v>0</v>
      </c>
      <c r="Q928">
        <v>0</v>
      </c>
      <c r="R928">
        <v>28193</v>
      </c>
      <c r="S928">
        <v>0</v>
      </c>
      <c r="T928">
        <v>0</v>
      </c>
      <c r="U928">
        <v>105</v>
      </c>
      <c r="V928">
        <v>28</v>
      </c>
      <c r="W928">
        <v>2108</v>
      </c>
      <c r="X928">
        <v>449</v>
      </c>
      <c r="Y928">
        <v>0</v>
      </c>
      <c r="Z928" cm="1">
        <f t="array" ref="Z928">MMULT($G928:$Y928,'Nelson Factor_2019'!$B$1:$B$19)/$G928</f>
        <v>11.537582113177681</v>
      </c>
      <c r="AA928" cm="1">
        <f t="array" ref="AA928">MMULT($G928:$R928,'Nelson Factor_2019'!$B$1:$B$12)/$G928</f>
        <v>11.110621290067273</v>
      </c>
    </row>
    <row r="929" spans="1:27" x14ac:dyDescent="0.25">
      <c r="A929">
        <v>2012</v>
      </c>
      <c r="B929">
        <v>5</v>
      </c>
      <c r="C929">
        <v>6</v>
      </c>
      <c r="D929" t="s">
        <v>46</v>
      </c>
      <c r="E929" t="s">
        <v>227</v>
      </c>
      <c r="F929" t="s">
        <v>49</v>
      </c>
      <c r="G929">
        <v>269000</v>
      </c>
      <c r="H929">
        <v>161000</v>
      </c>
      <c r="I929">
        <v>67500</v>
      </c>
      <c r="J929">
        <v>0</v>
      </c>
      <c r="K929">
        <v>65000</v>
      </c>
      <c r="L929">
        <v>44000</v>
      </c>
      <c r="M929">
        <v>46000</v>
      </c>
      <c r="N929">
        <v>201000</v>
      </c>
      <c r="O929">
        <v>30000</v>
      </c>
      <c r="P929">
        <v>0</v>
      </c>
      <c r="Q929">
        <v>0</v>
      </c>
      <c r="R929">
        <v>27000</v>
      </c>
      <c r="S929">
        <v>0</v>
      </c>
      <c r="T929">
        <v>0</v>
      </c>
      <c r="U929">
        <v>69.3</v>
      </c>
      <c r="V929">
        <v>0</v>
      </c>
      <c r="W929">
        <v>4064</v>
      </c>
      <c r="X929">
        <v>544</v>
      </c>
      <c r="Y929">
        <v>0</v>
      </c>
      <c r="Z929" cm="1">
        <f t="array" ref="Z929">MMULT($G929:$Y929,'Nelson Factor_2019'!$B$1:$B$19)/$G929</f>
        <v>11.065722304832713</v>
      </c>
      <c r="AA929" cm="1">
        <f t="array" ref="AA929">MMULT($G929:$R929,'Nelson Factor_2019'!$B$1:$B$12)/$G929</f>
        <v>10.580111524163568</v>
      </c>
    </row>
    <row r="930" spans="1:27" x14ac:dyDescent="0.25">
      <c r="A930">
        <v>2012</v>
      </c>
      <c r="B930">
        <v>5</v>
      </c>
      <c r="C930">
        <v>3</v>
      </c>
      <c r="D930" t="s">
        <v>46</v>
      </c>
      <c r="E930" t="s">
        <v>227</v>
      </c>
      <c r="F930" t="s">
        <v>50</v>
      </c>
      <c r="G930">
        <v>257000</v>
      </c>
      <c r="H930">
        <v>110000</v>
      </c>
      <c r="I930">
        <v>0</v>
      </c>
      <c r="J930">
        <v>0</v>
      </c>
      <c r="K930">
        <v>80000</v>
      </c>
      <c r="L930">
        <v>69000</v>
      </c>
      <c r="M930">
        <v>151000</v>
      </c>
      <c r="N930">
        <v>197340</v>
      </c>
      <c r="O930">
        <v>24000</v>
      </c>
      <c r="P930">
        <v>3700</v>
      </c>
      <c r="Q930">
        <v>0</v>
      </c>
      <c r="R930">
        <v>36600</v>
      </c>
      <c r="S930">
        <v>16000</v>
      </c>
      <c r="T930">
        <v>0</v>
      </c>
      <c r="U930">
        <v>150</v>
      </c>
      <c r="V930">
        <v>20</v>
      </c>
      <c r="W930">
        <v>0</v>
      </c>
      <c r="X930">
        <v>600</v>
      </c>
      <c r="Y930">
        <v>0</v>
      </c>
      <c r="Z930" cm="1">
        <f t="array" ref="Z930">MMULT($G930:$Y930,'Nelson Factor_2019'!$B$1:$B$19)/$G930</f>
        <v>17.188015564202335</v>
      </c>
      <c r="AA930" cm="1">
        <f t="array" ref="AA930">MMULT($G930:$R930,'Nelson Factor_2019'!$B$1:$B$12)/$G930</f>
        <v>12.891634241245136</v>
      </c>
    </row>
    <row r="931" spans="1:27" x14ac:dyDescent="0.25">
      <c r="A931">
        <v>2012</v>
      </c>
      <c r="B931">
        <v>5</v>
      </c>
      <c r="C931">
        <v>6</v>
      </c>
      <c r="D931" t="s">
        <v>46</v>
      </c>
      <c r="E931" t="s">
        <v>51</v>
      </c>
      <c r="F931" t="s">
        <v>52</v>
      </c>
      <c r="G931">
        <v>138700</v>
      </c>
      <c r="H931">
        <v>78000</v>
      </c>
      <c r="I931">
        <v>48000</v>
      </c>
      <c r="J931">
        <v>0</v>
      </c>
      <c r="K931">
        <v>45000</v>
      </c>
      <c r="L931">
        <v>35200</v>
      </c>
      <c r="M931">
        <v>24750</v>
      </c>
      <c r="N931">
        <v>135850</v>
      </c>
      <c r="O931">
        <v>14200</v>
      </c>
      <c r="P931">
        <v>0</v>
      </c>
      <c r="Q931">
        <v>0</v>
      </c>
      <c r="R931">
        <v>17500</v>
      </c>
      <c r="S931">
        <v>0</v>
      </c>
      <c r="T931">
        <v>0</v>
      </c>
      <c r="U931">
        <v>100.8</v>
      </c>
      <c r="V931">
        <v>0</v>
      </c>
      <c r="W931">
        <v>2000</v>
      </c>
      <c r="X931">
        <v>340</v>
      </c>
      <c r="Y931">
        <v>0</v>
      </c>
      <c r="Z931" cm="1">
        <f t="array" ref="Z931">MMULT($G931:$Y931,'Nelson Factor_2019'!$B$1:$B$19)/$G931</f>
        <v>13.409702956020189</v>
      </c>
      <c r="AA931" cm="1">
        <f t="array" ref="AA931">MMULT($G931:$R931,'Nelson Factor_2019'!$B$1:$B$12)/$G931</f>
        <v>12.820656092285509</v>
      </c>
    </row>
    <row r="932" spans="1:27" x14ac:dyDescent="0.25">
      <c r="A932">
        <v>2012</v>
      </c>
      <c r="B932">
        <v>5</v>
      </c>
      <c r="C932">
        <v>5</v>
      </c>
      <c r="D932" t="s">
        <v>46</v>
      </c>
      <c r="E932" t="s">
        <v>51</v>
      </c>
      <c r="F932" t="s">
        <v>53</v>
      </c>
      <c r="G932">
        <v>120000</v>
      </c>
      <c r="H932">
        <v>87000</v>
      </c>
      <c r="I932">
        <v>47000</v>
      </c>
      <c r="J932">
        <v>0</v>
      </c>
      <c r="K932">
        <v>0</v>
      </c>
      <c r="L932">
        <v>31000</v>
      </c>
      <c r="M932">
        <v>56000</v>
      </c>
      <c r="N932">
        <v>73000</v>
      </c>
      <c r="O932">
        <v>0</v>
      </c>
      <c r="P932">
        <v>0</v>
      </c>
      <c r="Q932">
        <v>0</v>
      </c>
      <c r="R932">
        <v>9000</v>
      </c>
      <c r="S932">
        <v>0</v>
      </c>
      <c r="T932">
        <v>0</v>
      </c>
      <c r="U932">
        <v>80</v>
      </c>
      <c r="V932">
        <v>3</v>
      </c>
      <c r="W932">
        <v>2180</v>
      </c>
      <c r="X932">
        <v>570</v>
      </c>
      <c r="Y932">
        <v>0</v>
      </c>
      <c r="Z932" cm="1">
        <f t="array" ref="Z932">MMULT($G932:$Y932,'Nelson Factor_2019'!$B$1:$B$19)/$G932</f>
        <v>12.791525</v>
      </c>
      <c r="AA932" cm="1">
        <f t="array" ref="AA932">MMULT($G932:$R932,'Nelson Factor_2019'!$B$1:$B$12)/$G932</f>
        <v>11.650833333333333</v>
      </c>
    </row>
    <row r="933" spans="1:27" x14ac:dyDescent="0.25">
      <c r="A933">
        <v>2012</v>
      </c>
      <c r="B933">
        <v>5</v>
      </c>
      <c r="C933">
        <v>6</v>
      </c>
      <c r="D933" t="s">
        <v>46</v>
      </c>
      <c r="E933" t="s">
        <v>54</v>
      </c>
      <c r="F933" t="s">
        <v>55</v>
      </c>
      <c r="G933">
        <v>149500</v>
      </c>
      <c r="H933">
        <v>98000</v>
      </c>
      <c r="I933">
        <v>50500</v>
      </c>
      <c r="J933">
        <v>0</v>
      </c>
      <c r="K933">
        <v>83500</v>
      </c>
      <c r="L933">
        <v>17000</v>
      </c>
      <c r="M933">
        <v>21000</v>
      </c>
      <c r="N933">
        <v>143500</v>
      </c>
      <c r="O933">
        <v>23500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143</v>
      </c>
      <c r="V933">
        <v>14</v>
      </c>
      <c r="W933">
        <v>3050</v>
      </c>
      <c r="X933">
        <v>380</v>
      </c>
      <c r="Y933">
        <v>0</v>
      </c>
      <c r="Z933" cm="1">
        <f t="array" ref="Z933">MMULT($G933:$Y933,'Nelson Factor_2019'!$B$1:$B$19)/$G933</f>
        <v>14.011752508361203</v>
      </c>
      <c r="AA933" cm="1">
        <f t="array" ref="AA933">MMULT($G933:$R933,'Nelson Factor_2019'!$B$1:$B$12)/$G933</f>
        <v>13.40066889632107</v>
      </c>
    </row>
    <row r="934" spans="1:27" x14ac:dyDescent="0.25">
      <c r="A934">
        <v>2012</v>
      </c>
      <c r="B934">
        <v>5</v>
      </c>
      <c r="C934">
        <v>0</v>
      </c>
      <c r="D934" t="s">
        <v>46</v>
      </c>
      <c r="E934" t="s">
        <v>56</v>
      </c>
      <c r="F934" t="s">
        <v>57</v>
      </c>
      <c r="G934">
        <v>25000</v>
      </c>
      <c r="H934">
        <v>0</v>
      </c>
      <c r="I934">
        <v>0</v>
      </c>
      <c r="J934">
        <v>0</v>
      </c>
      <c r="K934">
        <v>0</v>
      </c>
      <c r="L934">
        <v>3000</v>
      </c>
      <c r="M934">
        <v>0</v>
      </c>
      <c r="N934">
        <v>13000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4.5</v>
      </c>
      <c r="Y934">
        <v>0</v>
      </c>
      <c r="Z934" cm="1">
        <f t="array" ref="Z934">MMULT($G934:$Y934,'Nelson Factor_2019'!$B$1:$B$19)/$G934</f>
        <v>2.9432</v>
      </c>
      <c r="AA934" cm="1">
        <f t="array" ref="AA934">MMULT($G934:$R934,'Nelson Factor_2019'!$B$1:$B$12)/$G934</f>
        <v>2.9</v>
      </c>
    </row>
    <row r="935" spans="1:27" x14ac:dyDescent="0.25">
      <c r="A935">
        <v>2012</v>
      </c>
      <c r="B935">
        <v>5</v>
      </c>
      <c r="C935">
        <v>0</v>
      </c>
      <c r="D935" t="s">
        <v>46</v>
      </c>
      <c r="E935" t="s">
        <v>60</v>
      </c>
      <c r="F935" t="s">
        <v>57</v>
      </c>
      <c r="G935">
        <v>24300</v>
      </c>
      <c r="H935">
        <v>14000</v>
      </c>
      <c r="I935">
        <v>0</v>
      </c>
      <c r="J935">
        <v>10000</v>
      </c>
      <c r="K935">
        <v>0</v>
      </c>
      <c r="L935">
        <v>0</v>
      </c>
      <c r="M935">
        <v>0</v>
      </c>
      <c r="N935">
        <v>4800</v>
      </c>
      <c r="O935">
        <v>0</v>
      </c>
      <c r="P935">
        <v>0</v>
      </c>
      <c r="Q935">
        <v>0</v>
      </c>
      <c r="R935">
        <v>0</v>
      </c>
      <c r="S935">
        <v>4000</v>
      </c>
      <c r="T935">
        <v>0</v>
      </c>
      <c r="U935">
        <v>4.2</v>
      </c>
      <c r="V935">
        <v>0</v>
      </c>
      <c r="W935">
        <v>0</v>
      </c>
      <c r="X935">
        <v>6</v>
      </c>
      <c r="Y935">
        <v>6500</v>
      </c>
      <c r="Z935" cm="1">
        <f t="array" ref="Z935">MMULT($G935:$Y935,'Nelson Factor_2019'!$B$1:$B$19)/$G935</f>
        <v>13.71169547325103</v>
      </c>
      <c r="AA935" cm="1">
        <f t="array" ref="AA935">MMULT($G935:$R935,'Nelson Factor_2019'!$B$1:$B$12)/$G935</f>
        <v>3.3744855967078191</v>
      </c>
    </row>
    <row r="936" spans="1:27" x14ac:dyDescent="0.25">
      <c r="A936">
        <v>2012</v>
      </c>
      <c r="B936">
        <v>5</v>
      </c>
      <c r="C936">
        <v>6</v>
      </c>
      <c r="D936" t="s">
        <v>46</v>
      </c>
      <c r="E936" t="s">
        <v>61</v>
      </c>
      <c r="F936" t="s">
        <v>62</v>
      </c>
      <c r="G936">
        <v>145000</v>
      </c>
      <c r="H936">
        <v>91100</v>
      </c>
      <c r="I936">
        <v>46500</v>
      </c>
      <c r="J936">
        <v>0</v>
      </c>
      <c r="K936">
        <v>68870</v>
      </c>
      <c r="L936">
        <v>29400</v>
      </c>
      <c r="M936">
        <v>37900</v>
      </c>
      <c r="N936">
        <v>117950</v>
      </c>
      <c r="O936">
        <v>11000</v>
      </c>
      <c r="P936">
        <v>2470</v>
      </c>
      <c r="Q936">
        <v>0</v>
      </c>
      <c r="R936">
        <v>15000</v>
      </c>
      <c r="S936">
        <v>0</v>
      </c>
      <c r="T936">
        <v>0</v>
      </c>
      <c r="U936">
        <v>101</v>
      </c>
      <c r="V936">
        <v>0</v>
      </c>
      <c r="W936">
        <v>1150</v>
      </c>
      <c r="X936">
        <v>360</v>
      </c>
      <c r="Y936">
        <v>15000</v>
      </c>
      <c r="Z936" cm="1">
        <f t="array" ref="Z936">MMULT($G936:$Y936,'Nelson Factor_2019'!$B$1:$B$19)/$G936</f>
        <v>14.201213793103449</v>
      </c>
      <c r="AA936" cm="1">
        <f t="array" ref="AA936">MMULT($G936:$R936,'Nelson Factor_2019'!$B$1:$B$12)/$G936</f>
        <v>13.44948275862069</v>
      </c>
    </row>
    <row r="937" spans="1:27" x14ac:dyDescent="0.25">
      <c r="A937">
        <v>2012</v>
      </c>
      <c r="B937">
        <v>5</v>
      </c>
      <c r="C937">
        <v>6</v>
      </c>
      <c r="D937" t="s">
        <v>46</v>
      </c>
      <c r="E937" t="s">
        <v>239</v>
      </c>
      <c r="F937" t="s">
        <v>63</v>
      </c>
      <c r="G937">
        <v>100000</v>
      </c>
      <c r="H937">
        <v>62000</v>
      </c>
      <c r="I937">
        <v>40000</v>
      </c>
      <c r="J937">
        <v>0</v>
      </c>
      <c r="K937">
        <v>36000</v>
      </c>
      <c r="L937">
        <v>32500</v>
      </c>
      <c r="M937">
        <v>32000</v>
      </c>
      <c r="N937">
        <v>101250</v>
      </c>
      <c r="O937">
        <v>12000</v>
      </c>
      <c r="P937">
        <v>0</v>
      </c>
      <c r="Q937">
        <v>0</v>
      </c>
      <c r="R937">
        <v>8000</v>
      </c>
      <c r="S937">
        <v>0</v>
      </c>
      <c r="T937">
        <v>0</v>
      </c>
      <c r="U937">
        <v>55</v>
      </c>
      <c r="V937">
        <v>55</v>
      </c>
      <c r="W937">
        <v>1615</v>
      </c>
      <c r="X937">
        <v>265</v>
      </c>
      <c r="Y937">
        <v>0</v>
      </c>
      <c r="Z937" cm="1">
        <f t="array" ref="Z937">MMULT($G937:$Y937,'Nelson Factor_2019'!$B$1:$B$19)/$G937</f>
        <v>15.75935</v>
      </c>
      <c r="AA937" cm="1">
        <f t="array" ref="AA937">MMULT($G937:$R937,'Nelson Factor_2019'!$B$1:$B$12)/$G937</f>
        <v>15.122249999999999</v>
      </c>
    </row>
    <row r="938" spans="1:27" x14ac:dyDescent="0.25">
      <c r="A938">
        <v>2012</v>
      </c>
      <c r="B938">
        <v>5</v>
      </c>
      <c r="C938">
        <v>6</v>
      </c>
      <c r="D938" t="s">
        <v>46</v>
      </c>
      <c r="E938" t="s">
        <v>239</v>
      </c>
      <c r="F938" t="s">
        <v>65</v>
      </c>
      <c r="G938">
        <v>161000</v>
      </c>
      <c r="H938">
        <v>144000</v>
      </c>
      <c r="I938">
        <v>42000</v>
      </c>
      <c r="J938">
        <v>0</v>
      </c>
      <c r="K938">
        <v>66500</v>
      </c>
      <c r="L938">
        <v>42000</v>
      </c>
      <c r="M938">
        <v>32000</v>
      </c>
      <c r="N938">
        <v>172500</v>
      </c>
      <c r="O938">
        <v>14000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105</v>
      </c>
      <c r="V938">
        <v>0</v>
      </c>
      <c r="W938">
        <v>1500</v>
      </c>
      <c r="X938">
        <v>140</v>
      </c>
      <c r="Y938">
        <v>0</v>
      </c>
      <c r="Z938" cm="1">
        <f t="array" ref="Z938">MMULT($G938:$Y938,'Nelson Factor_2019'!$B$1:$B$19)/$G938</f>
        <v>13.249409937888199</v>
      </c>
      <c r="AA938" cm="1">
        <f t="array" ref="AA938">MMULT($G938:$R938,'Nelson Factor_2019'!$B$1:$B$12)/$G938</f>
        <v>13.040062111801243</v>
      </c>
    </row>
    <row r="939" spans="1:27" x14ac:dyDescent="0.25">
      <c r="A939">
        <v>2012</v>
      </c>
      <c r="B939">
        <v>5</v>
      </c>
      <c r="C939">
        <v>6</v>
      </c>
      <c r="D939" t="s">
        <v>46</v>
      </c>
      <c r="E939" t="s">
        <v>66</v>
      </c>
      <c r="F939" t="s">
        <v>67</v>
      </c>
      <c r="G939">
        <v>170000</v>
      </c>
      <c r="H939">
        <v>78500</v>
      </c>
      <c r="I939">
        <v>28000</v>
      </c>
      <c r="J939">
        <v>0</v>
      </c>
      <c r="K939">
        <v>69000</v>
      </c>
      <c r="L939">
        <v>36000</v>
      </c>
      <c r="M939">
        <v>36000</v>
      </c>
      <c r="N939">
        <v>146000</v>
      </c>
      <c r="O939">
        <v>17100</v>
      </c>
      <c r="P939">
        <v>2900</v>
      </c>
      <c r="Q939">
        <v>0</v>
      </c>
      <c r="R939">
        <v>0</v>
      </c>
      <c r="S939">
        <v>0</v>
      </c>
      <c r="T939">
        <v>0</v>
      </c>
      <c r="U939">
        <v>131.5</v>
      </c>
      <c r="V939">
        <v>0</v>
      </c>
      <c r="W939">
        <v>1080</v>
      </c>
      <c r="X939">
        <v>275</v>
      </c>
      <c r="Y939">
        <v>5000</v>
      </c>
      <c r="Z939" cm="1">
        <f t="array" ref="Z939">MMULT($G939:$Y939,'Nelson Factor_2019'!$B$1:$B$19)/$G939</f>
        <v>11.780479411764706</v>
      </c>
      <c r="AA939" cm="1">
        <f t="array" ref="AA939">MMULT($G939:$R939,'Nelson Factor_2019'!$B$1:$B$12)/$G939</f>
        <v>11.347352941176471</v>
      </c>
    </row>
    <row r="940" spans="1:27" x14ac:dyDescent="0.25">
      <c r="A940">
        <v>2012</v>
      </c>
      <c r="B940">
        <v>5</v>
      </c>
      <c r="C940">
        <v>4</v>
      </c>
      <c r="D940" t="s">
        <v>46</v>
      </c>
      <c r="E940" t="s">
        <v>66</v>
      </c>
      <c r="F940" t="s">
        <v>63</v>
      </c>
      <c r="G940">
        <v>135000</v>
      </c>
      <c r="H940">
        <v>46000</v>
      </c>
      <c r="I940">
        <v>28000</v>
      </c>
      <c r="J940">
        <v>0</v>
      </c>
      <c r="K940">
        <v>54000</v>
      </c>
      <c r="L940">
        <v>17500</v>
      </c>
      <c r="M940">
        <v>0</v>
      </c>
      <c r="N940">
        <v>139500</v>
      </c>
      <c r="O940">
        <v>14500</v>
      </c>
      <c r="P940">
        <v>0</v>
      </c>
      <c r="Q940">
        <v>0</v>
      </c>
      <c r="R940">
        <v>10200</v>
      </c>
      <c r="S940">
        <v>0</v>
      </c>
      <c r="T940">
        <v>0</v>
      </c>
      <c r="U940">
        <v>50</v>
      </c>
      <c r="V940">
        <v>0</v>
      </c>
      <c r="W940">
        <v>1700</v>
      </c>
      <c r="X940">
        <v>250</v>
      </c>
      <c r="Y940">
        <v>0</v>
      </c>
      <c r="Z940" cm="1">
        <f t="array" ref="Z940">MMULT($G940:$Y940,'Nelson Factor_2019'!$B$1:$B$19)/$G940</f>
        <v>10.375555555555556</v>
      </c>
      <c r="AA940" cm="1">
        <f t="array" ref="AA940">MMULT($G940:$R940,'Nelson Factor_2019'!$B$1:$B$12)/$G940</f>
        <v>9.93074074074074</v>
      </c>
    </row>
    <row r="941" spans="1:27" x14ac:dyDescent="0.25">
      <c r="A941">
        <v>2012</v>
      </c>
      <c r="B941">
        <v>4</v>
      </c>
      <c r="C941">
        <v>1</v>
      </c>
      <c r="D941" t="s">
        <v>68</v>
      </c>
      <c r="E941" t="s">
        <v>231</v>
      </c>
      <c r="F941" t="s">
        <v>242</v>
      </c>
      <c r="G941">
        <v>98000</v>
      </c>
      <c r="H941">
        <v>34200</v>
      </c>
      <c r="I941">
        <v>0</v>
      </c>
      <c r="J941">
        <v>0</v>
      </c>
      <c r="K941">
        <v>30225</v>
      </c>
      <c r="L941">
        <v>21900</v>
      </c>
      <c r="M941">
        <v>0</v>
      </c>
      <c r="N941">
        <v>82800</v>
      </c>
      <c r="O941">
        <v>0</v>
      </c>
      <c r="P941">
        <v>3540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26</v>
      </c>
      <c r="W941">
        <v>0</v>
      </c>
      <c r="X941">
        <v>94</v>
      </c>
      <c r="Y941">
        <v>10500</v>
      </c>
      <c r="Z941" cm="1">
        <f t="array" ref="Z941">MMULT($G941:$Y941,'Nelson Factor_2019'!$B$1:$B$19)/$G941</f>
        <v>7.2861836734693881</v>
      </c>
      <c r="AA941" cm="1">
        <f t="array" ref="AA941">MMULT($G941:$R941,'Nelson Factor_2019'!$B$1:$B$12)/$G941</f>
        <v>6.8949999999999996</v>
      </c>
    </row>
    <row r="942" spans="1:27" x14ac:dyDescent="0.25">
      <c r="A942">
        <v>2012</v>
      </c>
      <c r="B942">
        <v>1</v>
      </c>
      <c r="C942">
        <v>3</v>
      </c>
      <c r="D942" t="s">
        <v>72</v>
      </c>
      <c r="E942" t="s">
        <v>245</v>
      </c>
      <c r="F942" t="s">
        <v>74</v>
      </c>
      <c r="G942">
        <v>190000</v>
      </c>
      <c r="H942">
        <v>102000</v>
      </c>
      <c r="I942">
        <v>0</v>
      </c>
      <c r="J942">
        <v>0</v>
      </c>
      <c r="K942">
        <v>82000</v>
      </c>
      <c r="L942">
        <v>43000</v>
      </c>
      <c r="M942">
        <v>18000</v>
      </c>
      <c r="N942">
        <v>130000</v>
      </c>
      <c r="O942">
        <v>11000</v>
      </c>
      <c r="P942">
        <v>5040</v>
      </c>
      <c r="Q942">
        <v>1260</v>
      </c>
      <c r="R942">
        <v>6000</v>
      </c>
      <c r="S942">
        <v>0</v>
      </c>
      <c r="T942">
        <v>0</v>
      </c>
      <c r="U942">
        <v>40</v>
      </c>
      <c r="V942">
        <v>22</v>
      </c>
      <c r="W942">
        <v>2200</v>
      </c>
      <c r="X942">
        <v>532</v>
      </c>
      <c r="Y942">
        <v>0</v>
      </c>
      <c r="Z942" cm="1">
        <f t="array" ref="Z942">MMULT($G942:$Y942,'Nelson Factor_2019'!$B$1:$B$19)/$G942</f>
        <v>9.6312736842105267</v>
      </c>
      <c r="AA942" cm="1">
        <f t="array" ref="AA942">MMULT($G942:$R942,'Nelson Factor_2019'!$B$1:$B$12)/$G942</f>
        <v>8.9589473684210521</v>
      </c>
    </row>
    <row r="943" spans="1:27" x14ac:dyDescent="0.25">
      <c r="A943">
        <v>2012</v>
      </c>
      <c r="B943">
        <v>5</v>
      </c>
      <c r="C943">
        <v>1</v>
      </c>
      <c r="D943" t="s">
        <v>75</v>
      </c>
      <c r="E943" t="s">
        <v>227</v>
      </c>
      <c r="F943" t="s">
        <v>76</v>
      </c>
      <c r="G943">
        <v>54000</v>
      </c>
      <c r="H943">
        <v>30000</v>
      </c>
      <c r="I943">
        <v>0</v>
      </c>
      <c r="J943">
        <v>0</v>
      </c>
      <c r="K943">
        <v>21000</v>
      </c>
      <c r="L943">
        <v>0</v>
      </c>
      <c r="M943">
        <v>0</v>
      </c>
      <c r="N943">
        <v>3000</v>
      </c>
      <c r="O943">
        <v>4000</v>
      </c>
      <c r="P943">
        <v>1000</v>
      </c>
      <c r="Q943">
        <v>0</v>
      </c>
      <c r="R943">
        <v>1200</v>
      </c>
      <c r="S943">
        <v>0</v>
      </c>
      <c r="T943">
        <v>0</v>
      </c>
      <c r="U943">
        <v>2</v>
      </c>
      <c r="V943">
        <v>0</v>
      </c>
      <c r="W943">
        <v>0</v>
      </c>
      <c r="X943">
        <v>0</v>
      </c>
      <c r="Y943">
        <v>1300</v>
      </c>
      <c r="Z943" cm="1">
        <f t="array" ref="Z943">MMULT($G943:$Y943,'Nelson Factor_2019'!$B$1:$B$19)/$G943</f>
        <v>5.2231851851851854</v>
      </c>
      <c r="AA943" cm="1">
        <f t="array" ref="AA943">MMULT($G943:$R943,'Nelson Factor_2019'!$B$1:$B$12)/$G943</f>
        <v>5.1870370370370367</v>
      </c>
    </row>
    <row r="944" spans="1:27" x14ac:dyDescent="0.25">
      <c r="A944">
        <v>2012</v>
      </c>
      <c r="B944">
        <v>5</v>
      </c>
      <c r="C944">
        <v>2</v>
      </c>
      <c r="D944" t="s">
        <v>75</v>
      </c>
      <c r="E944" t="s">
        <v>77</v>
      </c>
      <c r="F944" t="s">
        <v>76</v>
      </c>
      <c r="G944">
        <v>93700</v>
      </c>
      <c r="H944">
        <v>39500</v>
      </c>
      <c r="I944">
        <v>0</v>
      </c>
      <c r="J944">
        <v>11500</v>
      </c>
      <c r="K944">
        <v>0</v>
      </c>
      <c r="L944">
        <v>12800</v>
      </c>
      <c r="M944">
        <v>17600</v>
      </c>
      <c r="N944">
        <v>12800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18</v>
      </c>
      <c r="V944">
        <v>0</v>
      </c>
      <c r="W944">
        <v>0</v>
      </c>
      <c r="X944">
        <v>34</v>
      </c>
      <c r="Y944">
        <v>1000</v>
      </c>
      <c r="Z944" cm="1">
        <f t="array" ref="Z944">MMULT($G944:$Y944,'Nelson Factor_2019'!$B$1:$B$19)/$G944</f>
        <v>4.5160405549626468</v>
      </c>
      <c r="AA944" cm="1">
        <f t="array" ref="AA944">MMULT($G944:$R944,'Nelson Factor_2019'!$B$1:$B$12)/$G944</f>
        <v>4.4127534685165424</v>
      </c>
    </row>
    <row r="945" spans="1:27" x14ac:dyDescent="0.25">
      <c r="A945">
        <v>2012</v>
      </c>
      <c r="B945">
        <v>2</v>
      </c>
      <c r="C945">
        <v>4</v>
      </c>
      <c r="D945" t="s">
        <v>78</v>
      </c>
      <c r="E945" t="s">
        <v>79</v>
      </c>
      <c r="F945" t="s">
        <v>80</v>
      </c>
      <c r="G945">
        <v>158650</v>
      </c>
      <c r="H945">
        <v>71250</v>
      </c>
      <c r="I945">
        <v>36000</v>
      </c>
      <c r="J945">
        <v>0</v>
      </c>
      <c r="K945">
        <v>60300</v>
      </c>
      <c r="L945">
        <v>28080</v>
      </c>
      <c r="M945">
        <v>0</v>
      </c>
      <c r="N945">
        <v>103410</v>
      </c>
      <c r="O945">
        <v>18900</v>
      </c>
      <c r="P945">
        <v>0</v>
      </c>
      <c r="Q945">
        <v>6030</v>
      </c>
      <c r="R945">
        <v>0</v>
      </c>
      <c r="S945">
        <v>0</v>
      </c>
      <c r="T945">
        <v>0</v>
      </c>
      <c r="U945">
        <v>4.5</v>
      </c>
      <c r="V945">
        <v>0</v>
      </c>
      <c r="W945">
        <v>2102</v>
      </c>
      <c r="X945">
        <v>344</v>
      </c>
      <c r="Y945">
        <v>0</v>
      </c>
      <c r="Z945" cm="1">
        <f t="array" ref="Z945">MMULT($G945:$Y945,'Nelson Factor_2019'!$B$1:$B$19)/$G945</f>
        <v>10.55256539552474</v>
      </c>
      <c r="AA945" cm="1">
        <f t="array" ref="AA945">MMULT($G945:$R945,'Nelson Factor_2019'!$B$1:$B$12)/$G945</f>
        <v>10.032146233848094</v>
      </c>
    </row>
    <row r="946" spans="1:27" x14ac:dyDescent="0.25">
      <c r="A946">
        <v>2012</v>
      </c>
      <c r="B946">
        <v>2</v>
      </c>
      <c r="C946">
        <v>4</v>
      </c>
      <c r="D946" t="s">
        <v>78</v>
      </c>
      <c r="E946" t="s">
        <v>54</v>
      </c>
      <c r="F946" t="s">
        <v>82</v>
      </c>
      <c r="G946">
        <v>238000</v>
      </c>
      <c r="H946">
        <v>121500</v>
      </c>
      <c r="I946">
        <v>56000</v>
      </c>
      <c r="J946">
        <v>0</v>
      </c>
      <c r="K946">
        <v>94500</v>
      </c>
      <c r="L946">
        <v>50000</v>
      </c>
      <c r="M946">
        <v>0</v>
      </c>
      <c r="N946">
        <v>248500</v>
      </c>
      <c r="O946">
        <v>28000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3330</v>
      </c>
      <c r="X946">
        <v>580</v>
      </c>
      <c r="Y946">
        <v>14500</v>
      </c>
      <c r="Z946" cm="1">
        <f t="array" ref="Z946">MMULT($G946:$Y946,'Nelson Factor_2019'!$B$1:$B$19)/$G946</f>
        <v>11.324159663865546</v>
      </c>
      <c r="AA946" cm="1">
        <f t="array" ref="AA946">MMULT($G946:$R946,'Nelson Factor_2019'!$B$1:$B$12)/$G946</f>
        <v>10.647899159663865</v>
      </c>
    </row>
    <row r="947" spans="1:27" x14ac:dyDescent="0.25">
      <c r="A947">
        <v>2012</v>
      </c>
      <c r="B947">
        <v>2</v>
      </c>
      <c r="C947">
        <v>6</v>
      </c>
      <c r="D947" t="s">
        <v>78</v>
      </c>
      <c r="E947" t="s">
        <v>246</v>
      </c>
      <c r="F947" t="s">
        <v>84</v>
      </c>
      <c r="G947">
        <v>206000</v>
      </c>
      <c r="H947">
        <v>67900</v>
      </c>
      <c r="I947">
        <v>27600</v>
      </c>
      <c r="J947">
        <v>0</v>
      </c>
      <c r="K947">
        <v>51800</v>
      </c>
      <c r="L947">
        <v>76000</v>
      </c>
      <c r="M947">
        <v>27100</v>
      </c>
      <c r="N947">
        <v>177700</v>
      </c>
      <c r="O947">
        <v>11900</v>
      </c>
      <c r="P947">
        <v>0</v>
      </c>
      <c r="Q947">
        <v>6100</v>
      </c>
      <c r="R947">
        <v>14700</v>
      </c>
      <c r="S947">
        <v>0</v>
      </c>
      <c r="T947">
        <v>0</v>
      </c>
      <c r="U947">
        <v>0</v>
      </c>
      <c r="V947">
        <v>0</v>
      </c>
      <c r="W947">
        <v>1414</v>
      </c>
      <c r="X947">
        <v>183</v>
      </c>
      <c r="Y947">
        <v>0</v>
      </c>
      <c r="Z947" cm="1">
        <f t="array" ref="Z947">MMULT($G947:$Y947,'Nelson Factor_2019'!$B$1:$B$19)/$G947</f>
        <v>10.592912621359224</v>
      </c>
      <c r="AA947" cm="1">
        <f t="array" ref="AA947">MMULT($G947:$R947,'Nelson Factor_2019'!$B$1:$B$12)/$G947</f>
        <v>10.379708737864078</v>
      </c>
    </row>
    <row r="948" spans="1:27" x14ac:dyDescent="0.25">
      <c r="A948">
        <v>2012</v>
      </c>
      <c r="B948">
        <v>2</v>
      </c>
      <c r="C948">
        <v>6</v>
      </c>
      <c r="D948" t="s">
        <v>78</v>
      </c>
      <c r="E948" t="s">
        <v>240</v>
      </c>
      <c r="F948" t="s">
        <v>81</v>
      </c>
      <c r="G948">
        <v>356000</v>
      </c>
      <c r="H948">
        <v>180000</v>
      </c>
      <c r="I948">
        <v>81000</v>
      </c>
      <c r="J948">
        <v>0</v>
      </c>
      <c r="K948">
        <v>91000</v>
      </c>
      <c r="L948">
        <v>85000</v>
      </c>
      <c r="M948">
        <v>52200</v>
      </c>
      <c r="N948">
        <v>238000</v>
      </c>
      <c r="O948">
        <v>20000</v>
      </c>
      <c r="P948">
        <v>0</v>
      </c>
      <c r="Q948">
        <v>3500</v>
      </c>
      <c r="R948">
        <v>0</v>
      </c>
      <c r="S948">
        <v>0</v>
      </c>
      <c r="T948">
        <v>0</v>
      </c>
      <c r="U948">
        <v>170</v>
      </c>
      <c r="V948">
        <v>0</v>
      </c>
      <c r="W948">
        <v>5000</v>
      </c>
      <c r="X948">
        <v>900</v>
      </c>
      <c r="Y948">
        <v>20000</v>
      </c>
      <c r="Z948" cm="1">
        <f t="array" ref="Z948">MMULT($G948:$Y948,'Nelson Factor_2019'!$B$1:$B$19)/$G948</f>
        <v>10.38558988764045</v>
      </c>
      <c r="AA948" cm="1">
        <f t="array" ref="AA948">MMULT($G948:$R948,'Nelson Factor_2019'!$B$1:$B$12)/$G948</f>
        <v>9.6941011235955052</v>
      </c>
    </row>
    <row r="949" spans="1:27" x14ac:dyDescent="0.25">
      <c r="A949">
        <v>2012</v>
      </c>
      <c r="B949">
        <v>2</v>
      </c>
      <c r="C949">
        <v>4</v>
      </c>
      <c r="D949" t="s">
        <v>85</v>
      </c>
      <c r="E949" t="s">
        <v>32</v>
      </c>
      <c r="F949" t="s">
        <v>86</v>
      </c>
      <c r="G949">
        <v>392350</v>
      </c>
      <c r="H949">
        <v>183825</v>
      </c>
      <c r="I949">
        <v>31050</v>
      </c>
      <c r="J949">
        <v>0</v>
      </c>
      <c r="K949">
        <v>148500</v>
      </c>
      <c r="L949">
        <v>57600</v>
      </c>
      <c r="M949">
        <v>0</v>
      </c>
      <c r="N949">
        <v>321300</v>
      </c>
      <c r="O949">
        <v>22500</v>
      </c>
      <c r="P949">
        <v>0</v>
      </c>
      <c r="Q949">
        <v>0</v>
      </c>
      <c r="R949">
        <v>23400</v>
      </c>
      <c r="S949">
        <v>0</v>
      </c>
      <c r="T949">
        <v>0</v>
      </c>
      <c r="U949">
        <v>30</v>
      </c>
      <c r="V949">
        <v>9</v>
      </c>
      <c r="W949">
        <v>1557</v>
      </c>
      <c r="X949">
        <v>486</v>
      </c>
      <c r="Y949">
        <v>26550</v>
      </c>
      <c r="Z949" cm="1">
        <f t="array" ref="Z949">MMULT($G949:$Y949,'Nelson Factor_2019'!$B$1:$B$19)/$G949</f>
        <v>8.4061462979482613</v>
      </c>
      <c r="AA949" cm="1">
        <f t="array" ref="AA949">MMULT($G949:$R949,'Nelson Factor_2019'!$B$1:$B$12)/$G949</f>
        <v>8.007257550656302</v>
      </c>
    </row>
    <row r="950" spans="1:27" x14ac:dyDescent="0.25">
      <c r="A950">
        <v>2012</v>
      </c>
      <c r="B950">
        <v>2</v>
      </c>
      <c r="C950">
        <v>1</v>
      </c>
      <c r="D950" t="s">
        <v>85</v>
      </c>
      <c r="E950" t="s">
        <v>87</v>
      </c>
      <c r="F950" t="s">
        <v>88</v>
      </c>
      <c r="G950">
        <v>26500</v>
      </c>
      <c r="H950">
        <v>11000</v>
      </c>
      <c r="I950">
        <v>0</v>
      </c>
      <c r="J950">
        <v>0</v>
      </c>
      <c r="K950">
        <v>7850</v>
      </c>
      <c r="L950">
        <v>6500</v>
      </c>
      <c r="M950">
        <v>0</v>
      </c>
      <c r="N950">
        <v>21000</v>
      </c>
      <c r="O950">
        <v>2000</v>
      </c>
      <c r="P950">
        <v>0</v>
      </c>
      <c r="Q950">
        <v>0</v>
      </c>
      <c r="R950">
        <v>2200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8</v>
      </c>
      <c r="Y950">
        <v>3300</v>
      </c>
      <c r="Z950" cm="1">
        <f t="array" ref="Z950">MMULT($G950:$Y950,'Nelson Factor_2019'!$B$1:$B$19)/$G950</f>
        <v>7.7875471698113206</v>
      </c>
      <c r="AA950" cm="1">
        <f t="array" ref="AA950">MMULT($G950:$R950,'Nelson Factor_2019'!$B$1:$B$12)/$G950</f>
        <v>7.5283018867924527</v>
      </c>
    </row>
    <row r="951" spans="1:27" x14ac:dyDescent="0.25">
      <c r="A951">
        <v>2012</v>
      </c>
      <c r="B951">
        <v>2</v>
      </c>
      <c r="C951">
        <v>4</v>
      </c>
      <c r="D951" t="s">
        <v>89</v>
      </c>
      <c r="E951" t="s">
        <v>247</v>
      </c>
      <c r="F951" t="s">
        <v>91</v>
      </c>
      <c r="G951">
        <v>120000</v>
      </c>
      <c r="H951">
        <v>46000</v>
      </c>
      <c r="I951">
        <v>24000</v>
      </c>
      <c r="J951">
        <v>0</v>
      </c>
      <c r="K951">
        <v>36000</v>
      </c>
      <c r="L951">
        <v>24000</v>
      </c>
      <c r="M951">
        <v>0</v>
      </c>
      <c r="N951">
        <v>124000</v>
      </c>
      <c r="O951">
        <v>10000</v>
      </c>
      <c r="P951">
        <v>0</v>
      </c>
      <c r="Q951">
        <v>0</v>
      </c>
      <c r="R951">
        <v>8500</v>
      </c>
      <c r="S951">
        <v>0</v>
      </c>
      <c r="T951">
        <v>0</v>
      </c>
      <c r="U951">
        <v>0</v>
      </c>
      <c r="V951">
        <v>36</v>
      </c>
      <c r="W951">
        <v>1150</v>
      </c>
      <c r="X951">
        <v>146</v>
      </c>
      <c r="Y951">
        <v>0</v>
      </c>
      <c r="Z951" cm="1">
        <f t="array" ref="Z951">MMULT($G951:$Y951,'Nelson Factor_2019'!$B$1:$B$19)/$G951</f>
        <v>9.7197999999999993</v>
      </c>
      <c r="AA951" cm="1">
        <f t="array" ref="AA951">MMULT($G951:$R951,'Nelson Factor_2019'!$B$1:$B$12)/$G951</f>
        <v>9.4275000000000002</v>
      </c>
    </row>
    <row r="952" spans="1:27" x14ac:dyDescent="0.25">
      <c r="A952">
        <v>2012</v>
      </c>
      <c r="B952">
        <v>2</v>
      </c>
      <c r="C952">
        <v>4</v>
      </c>
      <c r="D952" t="s">
        <v>89</v>
      </c>
      <c r="E952" t="s">
        <v>251</v>
      </c>
      <c r="F952" t="s">
        <v>45</v>
      </c>
      <c r="G952">
        <v>133000</v>
      </c>
      <c r="H952">
        <v>60800</v>
      </c>
      <c r="I952">
        <v>17100</v>
      </c>
      <c r="J952">
        <v>0</v>
      </c>
      <c r="K952">
        <v>37800</v>
      </c>
      <c r="L952">
        <v>27900</v>
      </c>
      <c r="M952">
        <v>0</v>
      </c>
      <c r="N952">
        <v>139950</v>
      </c>
      <c r="O952">
        <v>12150</v>
      </c>
      <c r="P952">
        <v>0</v>
      </c>
      <c r="Q952">
        <v>1980</v>
      </c>
      <c r="R952">
        <v>11250</v>
      </c>
      <c r="S952">
        <v>0</v>
      </c>
      <c r="T952">
        <v>0</v>
      </c>
      <c r="U952">
        <v>39</v>
      </c>
      <c r="V952">
        <v>20</v>
      </c>
      <c r="W952">
        <v>1100</v>
      </c>
      <c r="X952">
        <v>285</v>
      </c>
      <c r="Y952">
        <v>0</v>
      </c>
      <c r="Z952" cm="1">
        <f t="array" ref="Z952">MMULT($G952:$Y952,'Nelson Factor_2019'!$B$1:$B$19)/$G952</f>
        <v>9.9231127819548881</v>
      </c>
      <c r="AA952" cm="1">
        <f t="array" ref="AA952">MMULT($G952:$R952,'Nelson Factor_2019'!$B$1:$B$12)/$G952</f>
        <v>9.4083834586466164</v>
      </c>
    </row>
    <row r="953" spans="1:27" x14ac:dyDescent="0.25">
      <c r="A953">
        <v>2012</v>
      </c>
      <c r="B953">
        <v>2</v>
      </c>
      <c r="C953">
        <v>6</v>
      </c>
      <c r="D953" t="s">
        <v>89</v>
      </c>
      <c r="E953" t="s">
        <v>93</v>
      </c>
      <c r="F953" t="s">
        <v>94</v>
      </c>
      <c r="G953">
        <v>82700</v>
      </c>
      <c r="H953">
        <v>35600</v>
      </c>
      <c r="I953">
        <v>20800</v>
      </c>
      <c r="J953">
        <v>0</v>
      </c>
      <c r="K953">
        <v>22700</v>
      </c>
      <c r="L953">
        <v>22700</v>
      </c>
      <c r="M953">
        <v>36400</v>
      </c>
      <c r="N953">
        <v>76700</v>
      </c>
      <c r="O953">
        <v>7600</v>
      </c>
      <c r="P953">
        <v>0</v>
      </c>
      <c r="Q953">
        <v>0</v>
      </c>
      <c r="R953">
        <v>13000</v>
      </c>
      <c r="S953">
        <v>0</v>
      </c>
      <c r="T953">
        <v>0</v>
      </c>
      <c r="U953">
        <v>35.9</v>
      </c>
      <c r="V953">
        <v>78.400000000000006</v>
      </c>
      <c r="W953">
        <v>819</v>
      </c>
      <c r="X953">
        <v>123</v>
      </c>
      <c r="Y953">
        <v>0</v>
      </c>
      <c r="Z953" cm="1">
        <f t="array" ref="Z953">MMULT($G953:$Y953,'Nelson Factor_2019'!$B$1:$B$19)/$G953</f>
        <v>14.053981862152355</v>
      </c>
      <c r="AA953" cm="1">
        <f t="array" ref="AA953">MMULT($G953:$R953,'Nelson Factor_2019'!$B$1:$B$12)/$G953</f>
        <v>13.6956469165659</v>
      </c>
    </row>
    <row r="954" spans="1:27" x14ac:dyDescent="0.25">
      <c r="A954">
        <v>2012</v>
      </c>
      <c r="B954">
        <v>2</v>
      </c>
      <c r="C954">
        <v>1</v>
      </c>
      <c r="D954" t="s">
        <v>95</v>
      </c>
      <c r="E954" t="s">
        <v>246</v>
      </c>
      <c r="F954" t="s">
        <v>96</v>
      </c>
      <c r="G954">
        <v>233000</v>
      </c>
      <c r="H954">
        <v>113100</v>
      </c>
      <c r="I954">
        <v>0</v>
      </c>
      <c r="J954">
        <v>0</v>
      </c>
      <c r="K954">
        <v>98800</v>
      </c>
      <c r="L954">
        <v>49900</v>
      </c>
      <c r="M954">
        <v>0</v>
      </c>
      <c r="N954">
        <v>258000</v>
      </c>
      <c r="O954">
        <v>20000</v>
      </c>
      <c r="P954">
        <v>0</v>
      </c>
      <c r="Q954">
        <v>10200</v>
      </c>
      <c r="R954">
        <v>14300</v>
      </c>
      <c r="S954">
        <v>0</v>
      </c>
      <c r="T954">
        <v>0</v>
      </c>
      <c r="U954">
        <v>32.299999999999997</v>
      </c>
      <c r="V954">
        <v>0</v>
      </c>
      <c r="W954">
        <v>0</v>
      </c>
      <c r="X954">
        <v>406</v>
      </c>
      <c r="Y954">
        <v>26200</v>
      </c>
      <c r="Z954" cm="1">
        <f t="array" ref="Z954">MMULT($G954:$Y954,'Nelson Factor_2019'!$B$1:$B$19)/$G954</f>
        <v>10.519323175965665</v>
      </c>
      <c r="AA954" cm="1">
        <f t="array" ref="AA954">MMULT($G954:$R954,'Nelson Factor_2019'!$B$1:$B$12)/$G954</f>
        <v>9.9323175965665236</v>
      </c>
    </row>
    <row r="955" spans="1:27" x14ac:dyDescent="0.25">
      <c r="A955">
        <v>2012</v>
      </c>
      <c r="B955">
        <v>2</v>
      </c>
      <c r="C955">
        <v>0</v>
      </c>
      <c r="D955" t="s">
        <v>95</v>
      </c>
      <c r="E955" t="s">
        <v>97</v>
      </c>
      <c r="F955" t="s">
        <v>98</v>
      </c>
      <c r="G955">
        <v>5500</v>
      </c>
      <c r="H955">
        <v>0</v>
      </c>
      <c r="I955">
        <v>0</v>
      </c>
      <c r="J955">
        <v>0</v>
      </c>
      <c r="K955">
        <v>0</v>
      </c>
      <c r="L955">
        <v>1500</v>
      </c>
      <c r="M955">
        <v>0</v>
      </c>
      <c r="N955">
        <v>2000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 cm="1">
        <f t="array" ref="Z955">MMULT($G955:$Y955,'Nelson Factor_2019'!$B$1:$B$19)/$G955</f>
        <v>3.2727272727272729</v>
      </c>
      <c r="AA955" cm="1">
        <f t="array" ref="AA955">MMULT($G955:$R955,'Nelson Factor_2019'!$B$1:$B$12)/$G955</f>
        <v>3.2727272727272729</v>
      </c>
    </row>
    <row r="956" spans="1:27" x14ac:dyDescent="0.25">
      <c r="A956">
        <v>2012</v>
      </c>
      <c r="B956">
        <v>3</v>
      </c>
      <c r="C956">
        <v>1</v>
      </c>
      <c r="D956" t="s">
        <v>99</v>
      </c>
      <c r="E956" t="s">
        <v>243</v>
      </c>
      <c r="F956" t="s">
        <v>120</v>
      </c>
      <c r="G956">
        <v>83000</v>
      </c>
      <c r="H956">
        <v>36000</v>
      </c>
      <c r="I956">
        <v>0</v>
      </c>
      <c r="J956">
        <v>0</v>
      </c>
      <c r="K956">
        <v>33000</v>
      </c>
      <c r="L956">
        <v>12000</v>
      </c>
      <c r="M956">
        <v>0</v>
      </c>
      <c r="N956">
        <v>18500</v>
      </c>
      <c r="O956">
        <v>0</v>
      </c>
      <c r="P956">
        <v>2100</v>
      </c>
      <c r="Q956">
        <v>0</v>
      </c>
      <c r="R956">
        <v>4500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 cm="1">
        <f t="array" ref="Z956">MMULT($G956:$Y956,'Nelson Factor_2019'!$B$1:$B$19)/$G956</f>
        <v>5.645180722891566</v>
      </c>
      <c r="AA956" cm="1">
        <f t="array" ref="AA956">MMULT($G956:$R956,'Nelson Factor_2019'!$B$1:$B$12)/$G956</f>
        <v>5.645180722891566</v>
      </c>
    </row>
    <row r="957" spans="1:27" x14ac:dyDescent="0.25">
      <c r="A957">
        <v>2012</v>
      </c>
      <c r="B957">
        <v>3</v>
      </c>
      <c r="C957">
        <v>0</v>
      </c>
      <c r="D957" t="s">
        <v>99</v>
      </c>
      <c r="E957" t="s">
        <v>100</v>
      </c>
      <c r="F957" t="s">
        <v>101</v>
      </c>
      <c r="G957">
        <v>32000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 cm="1">
        <f t="array" ref="Z957">MMULT($G957:$Y957,'Nelson Factor_2019'!$B$1:$B$19)/$G957</f>
        <v>1</v>
      </c>
      <c r="AA957" cm="1">
        <f t="array" ref="AA957">MMULT($G957:$R957,'Nelson Factor_2019'!$B$1:$B$12)/$G957</f>
        <v>1</v>
      </c>
    </row>
    <row r="958" spans="1:27" x14ac:dyDescent="0.25">
      <c r="A958">
        <v>2012</v>
      </c>
      <c r="B958">
        <v>3</v>
      </c>
      <c r="C958">
        <v>0</v>
      </c>
      <c r="D958" t="s">
        <v>99</v>
      </c>
      <c r="E958" t="s">
        <v>102</v>
      </c>
      <c r="F958" t="s">
        <v>103</v>
      </c>
      <c r="G958">
        <v>9500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5000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2.5</v>
      </c>
      <c r="V958">
        <v>2.5</v>
      </c>
      <c r="W958">
        <v>0</v>
      </c>
      <c r="X958">
        <v>0</v>
      </c>
      <c r="Y958">
        <v>0</v>
      </c>
      <c r="Z958" cm="1">
        <f t="array" ref="Z958">MMULT($G958:$Y958,'Nelson Factor_2019'!$B$1:$B$19)/$G958</f>
        <v>2.3163157894736841</v>
      </c>
      <c r="AA958" cm="1">
        <f t="array" ref="AA958">MMULT($G958:$R958,'Nelson Factor_2019'!$B$1:$B$12)/$G958</f>
        <v>2.3157894736842106</v>
      </c>
    </row>
    <row r="959" spans="1:27" x14ac:dyDescent="0.25">
      <c r="A959">
        <v>2012</v>
      </c>
      <c r="B959">
        <v>3</v>
      </c>
      <c r="C959">
        <v>2</v>
      </c>
      <c r="D959" t="s">
        <v>99</v>
      </c>
      <c r="E959" t="s">
        <v>102</v>
      </c>
      <c r="F959" t="s">
        <v>104</v>
      </c>
      <c r="G959">
        <v>9500</v>
      </c>
      <c r="H959">
        <v>8500</v>
      </c>
      <c r="I959">
        <v>0</v>
      </c>
      <c r="J959">
        <v>0</v>
      </c>
      <c r="K959">
        <v>0</v>
      </c>
      <c r="L959">
        <v>0</v>
      </c>
      <c r="M959">
        <v>8000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7500</v>
      </c>
      <c r="T959">
        <v>0</v>
      </c>
      <c r="U959">
        <v>4.5</v>
      </c>
      <c r="V959">
        <v>4.5</v>
      </c>
      <c r="W959">
        <v>0</v>
      </c>
      <c r="X959">
        <v>3</v>
      </c>
      <c r="Y959">
        <v>0</v>
      </c>
      <c r="Z959" cm="1">
        <f t="array" ref="Z959">MMULT($G959:$Y959,'Nelson Factor_2019'!$B$1:$B$19)/$G959</f>
        <v>56.345157894736843</v>
      </c>
      <c r="AA959" cm="1">
        <f t="array" ref="AA959">MMULT($G959:$R959,'Nelson Factor_2019'!$B$1:$B$12)/$G959</f>
        <v>8.9</v>
      </c>
    </row>
    <row r="960" spans="1:27" x14ac:dyDescent="0.25">
      <c r="A960">
        <v>2012</v>
      </c>
      <c r="B960">
        <v>3</v>
      </c>
      <c r="C960">
        <v>2</v>
      </c>
      <c r="D960" t="s">
        <v>99</v>
      </c>
      <c r="E960" t="s">
        <v>102</v>
      </c>
      <c r="F960" t="s">
        <v>105</v>
      </c>
      <c r="G960">
        <v>35000</v>
      </c>
      <c r="H960">
        <v>15000</v>
      </c>
      <c r="I960">
        <v>0</v>
      </c>
      <c r="J960">
        <v>0</v>
      </c>
      <c r="K960">
        <v>0</v>
      </c>
      <c r="L960">
        <v>10000</v>
      </c>
      <c r="M960">
        <v>8500</v>
      </c>
      <c r="N960">
        <v>24000</v>
      </c>
      <c r="O960">
        <v>0</v>
      </c>
      <c r="P960">
        <v>0</v>
      </c>
      <c r="Q960">
        <v>0</v>
      </c>
      <c r="R960">
        <v>0</v>
      </c>
      <c r="S960">
        <v>8000</v>
      </c>
      <c r="T960">
        <v>0</v>
      </c>
      <c r="U960">
        <v>6.1</v>
      </c>
      <c r="V960">
        <v>6.1</v>
      </c>
      <c r="W960">
        <v>0</v>
      </c>
      <c r="X960">
        <v>15</v>
      </c>
      <c r="Y960">
        <v>0</v>
      </c>
      <c r="Z960" cm="1">
        <f t="array" ref="Z960">MMULT($G960:$Y960,'Nelson Factor_2019'!$B$1:$B$19)/$G960</f>
        <v>20.460348571428572</v>
      </c>
      <c r="AA960" cm="1">
        <f t="array" ref="AA960">MMULT($G960:$R960,'Nelson Factor_2019'!$B$1:$B$12)/$G960</f>
        <v>6.6428571428571432</v>
      </c>
    </row>
    <row r="961" spans="1:27" x14ac:dyDescent="0.25">
      <c r="A961">
        <v>2012</v>
      </c>
      <c r="B961">
        <v>3</v>
      </c>
      <c r="C961">
        <v>4</v>
      </c>
      <c r="D961" t="s">
        <v>99</v>
      </c>
      <c r="E961" t="s">
        <v>233</v>
      </c>
      <c r="F961" t="s">
        <v>110</v>
      </c>
      <c r="G961">
        <v>189000</v>
      </c>
      <c r="H961">
        <v>159500</v>
      </c>
      <c r="I961">
        <v>28500</v>
      </c>
      <c r="J961">
        <v>0</v>
      </c>
      <c r="K961">
        <v>72000</v>
      </c>
      <c r="L961">
        <v>18500</v>
      </c>
      <c r="M961">
        <v>0</v>
      </c>
      <c r="N961">
        <v>156000</v>
      </c>
      <c r="O961">
        <v>15000</v>
      </c>
      <c r="P961">
        <v>0</v>
      </c>
      <c r="Q961">
        <v>5500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1540</v>
      </c>
      <c r="X961">
        <v>870</v>
      </c>
      <c r="Y961">
        <v>0</v>
      </c>
      <c r="Z961" cm="1">
        <f t="array" ref="Z961">MMULT($G961:$Y961,'Nelson Factor_2019'!$B$1:$B$19)/$G961</f>
        <v>10.547089947089948</v>
      </c>
      <c r="AA961" cm="1">
        <f t="array" ref="AA961">MMULT($G961:$R961,'Nelson Factor_2019'!$B$1:$B$12)/$G961</f>
        <v>9.4423280423280431</v>
      </c>
    </row>
    <row r="962" spans="1:27" x14ac:dyDescent="0.25">
      <c r="A962">
        <v>2012</v>
      </c>
      <c r="B962">
        <v>3</v>
      </c>
      <c r="C962">
        <v>0</v>
      </c>
      <c r="D962" t="s">
        <v>99</v>
      </c>
      <c r="E962" t="s">
        <v>248</v>
      </c>
      <c r="F962" t="s">
        <v>101</v>
      </c>
      <c r="G962">
        <v>0</v>
      </c>
      <c r="H962">
        <v>36100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8550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 cm="1">
        <f t="array" ref="Z962">MMULT($G962:$Y962,'Nelson Factor_2019'!$B$1:$B$19)/$H962</f>
        <v>15.510526315789473</v>
      </c>
      <c r="AA962" cm="1">
        <f t="array" ref="AA962">MMULT($G962:$R962,'Nelson Factor_2019'!$B$1:$B$12)/$H962</f>
        <v>1.3</v>
      </c>
    </row>
    <row r="963" spans="1:27" x14ac:dyDescent="0.25">
      <c r="A963">
        <v>2012</v>
      </c>
      <c r="B963">
        <v>3</v>
      </c>
      <c r="C963">
        <v>6</v>
      </c>
      <c r="D963" t="s">
        <v>99</v>
      </c>
      <c r="E963" t="s">
        <v>79</v>
      </c>
      <c r="F963" t="s">
        <v>101</v>
      </c>
      <c r="G963">
        <v>440000</v>
      </c>
      <c r="H963">
        <v>79800</v>
      </c>
      <c r="I963">
        <v>88200</v>
      </c>
      <c r="J963">
        <v>0</v>
      </c>
      <c r="K963">
        <v>126000</v>
      </c>
      <c r="L963">
        <v>94500</v>
      </c>
      <c r="M963">
        <v>37800</v>
      </c>
      <c r="N963">
        <v>233100</v>
      </c>
      <c r="O963">
        <v>20700</v>
      </c>
      <c r="P963">
        <v>0</v>
      </c>
      <c r="Q963">
        <v>13500</v>
      </c>
      <c r="R963">
        <v>28800</v>
      </c>
      <c r="S963">
        <v>9900</v>
      </c>
      <c r="T963">
        <v>3150</v>
      </c>
      <c r="U963">
        <v>47.7</v>
      </c>
      <c r="V963">
        <v>10.8</v>
      </c>
      <c r="W963">
        <v>3870</v>
      </c>
      <c r="X963">
        <v>567</v>
      </c>
      <c r="Y963">
        <v>0</v>
      </c>
      <c r="Z963" cm="1">
        <f t="array" ref="Z963">MMULT($G963:$Y963,'Nelson Factor_2019'!$B$1:$B$19)/$G963</f>
        <v>10.554382954545455</v>
      </c>
      <c r="AA963" cm="1">
        <f t="array" ref="AA963">MMULT($G963:$R963,'Nelson Factor_2019'!$B$1:$B$12)/$G963</f>
        <v>8.823386363636363</v>
      </c>
    </row>
    <row r="964" spans="1:27" x14ac:dyDescent="0.25">
      <c r="A964">
        <v>2012</v>
      </c>
      <c r="B964">
        <v>3</v>
      </c>
      <c r="C964">
        <v>4</v>
      </c>
      <c r="D964" t="s">
        <v>99</v>
      </c>
      <c r="E964" t="s">
        <v>51</v>
      </c>
      <c r="F964" t="s">
        <v>107</v>
      </c>
      <c r="G964">
        <v>247000</v>
      </c>
      <c r="H964">
        <v>92000</v>
      </c>
      <c r="I964">
        <v>26000</v>
      </c>
      <c r="J964">
        <v>0</v>
      </c>
      <c r="K964">
        <v>104000</v>
      </c>
      <c r="L964">
        <v>43500</v>
      </c>
      <c r="M964">
        <v>0</v>
      </c>
      <c r="N964">
        <v>201400</v>
      </c>
      <c r="O964">
        <v>38000</v>
      </c>
      <c r="P964">
        <v>0</v>
      </c>
      <c r="Q964">
        <v>38100</v>
      </c>
      <c r="R964">
        <v>0</v>
      </c>
      <c r="S964">
        <v>0</v>
      </c>
      <c r="T964">
        <v>0</v>
      </c>
      <c r="U964">
        <v>0</v>
      </c>
      <c r="V964">
        <v>10.4</v>
      </c>
      <c r="W964">
        <v>800</v>
      </c>
      <c r="X964">
        <v>85</v>
      </c>
      <c r="Y964">
        <v>0</v>
      </c>
      <c r="Z964" cm="1">
        <f t="array" ref="Z964">MMULT($G964:$Y964,'Nelson Factor_2019'!$B$1:$B$19)/$G964</f>
        <v>12.425143319838057</v>
      </c>
      <c r="AA964" cm="1">
        <f t="array" ref="AA964">MMULT($G964:$R964,'Nelson Factor_2019'!$B$1:$B$12)/$G964</f>
        <v>12.34251012145749</v>
      </c>
    </row>
    <row r="965" spans="1:27" x14ac:dyDescent="0.25">
      <c r="A965">
        <v>2012</v>
      </c>
      <c r="B965">
        <v>3</v>
      </c>
      <c r="C965">
        <v>6</v>
      </c>
      <c r="D965" t="s">
        <v>99</v>
      </c>
      <c r="E965" t="s">
        <v>51</v>
      </c>
      <c r="F965" t="s">
        <v>108</v>
      </c>
      <c r="G965">
        <v>239000</v>
      </c>
      <c r="H965">
        <v>106200</v>
      </c>
      <c r="I965">
        <v>61000</v>
      </c>
      <c r="J965">
        <v>0</v>
      </c>
      <c r="K965">
        <v>46400</v>
      </c>
      <c r="L965">
        <v>44300</v>
      </c>
      <c r="M965">
        <v>63000</v>
      </c>
      <c r="N965">
        <v>218600</v>
      </c>
      <c r="O965">
        <v>7600</v>
      </c>
      <c r="P965">
        <v>540</v>
      </c>
      <c r="Q965">
        <v>0</v>
      </c>
      <c r="R965">
        <v>0</v>
      </c>
      <c r="S965">
        <v>0</v>
      </c>
      <c r="T965">
        <v>0</v>
      </c>
      <c r="U965">
        <v>15</v>
      </c>
      <c r="V965">
        <v>112</v>
      </c>
      <c r="W965">
        <v>3600</v>
      </c>
      <c r="X965">
        <v>310</v>
      </c>
      <c r="Y965">
        <v>0</v>
      </c>
      <c r="Z965" cm="1">
        <f t="array" ref="Z965">MMULT($G965:$Y965,'Nelson Factor_2019'!$B$1:$B$19)/$G965</f>
        <v>10.631326359832636</v>
      </c>
      <c r="AA965" cm="1">
        <f t="array" ref="AA965">MMULT($G965:$R965,'Nelson Factor_2019'!$B$1:$B$12)/$G965</f>
        <v>10.31949790794979</v>
      </c>
    </row>
    <row r="966" spans="1:27" x14ac:dyDescent="0.25">
      <c r="A966">
        <v>2012</v>
      </c>
      <c r="B966">
        <v>3</v>
      </c>
      <c r="C966">
        <v>6</v>
      </c>
      <c r="D966" t="s">
        <v>99</v>
      </c>
      <c r="E966" t="s">
        <v>54</v>
      </c>
      <c r="F966" t="s">
        <v>109</v>
      </c>
      <c r="G966">
        <v>502500</v>
      </c>
      <c r="H966">
        <v>236500</v>
      </c>
      <c r="I966">
        <v>117500</v>
      </c>
      <c r="J966">
        <v>0</v>
      </c>
      <c r="K966">
        <v>231000</v>
      </c>
      <c r="L966">
        <v>75500</v>
      </c>
      <c r="M966">
        <v>24500</v>
      </c>
      <c r="N966">
        <v>524500</v>
      </c>
      <c r="O966">
        <v>38500</v>
      </c>
      <c r="P966">
        <v>9500</v>
      </c>
      <c r="Q966">
        <v>0</v>
      </c>
      <c r="R966">
        <v>0</v>
      </c>
      <c r="S966">
        <v>16000</v>
      </c>
      <c r="T966">
        <v>0</v>
      </c>
      <c r="U966">
        <v>0</v>
      </c>
      <c r="V966">
        <v>12</v>
      </c>
      <c r="W966">
        <v>5430</v>
      </c>
      <c r="X966">
        <v>690</v>
      </c>
      <c r="Y966">
        <v>0</v>
      </c>
      <c r="Z966" cm="1">
        <f t="array" ref="Z966">MMULT($G966:$Y966,'Nelson Factor_2019'!$B$1:$B$19)/$G966</f>
        <v>13.06977512437811</v>
      </c>
      <c r="AA966" cm="1">
        <f t="array" ref="AA966">MMULT($G966:$R966,'Nelson Factor_2019'!$B$1:$B$12)/$G966</f>
        <v>10.829751243781095</v>
      </c>
    </row>
    <row r="967" spans="1:27" x14ac:dyDescent="0.25">
      <c r="A967">
        <v>2012</v>
      </c>
      <c r="B967">
        <v>3</v>
      </c>
      <c r="C967">
        <v>6</v>
      </c>
      <c r="D967" t="s">
        <v>99</v>
      </c>
      <c r="E967" t="s">
        <v>246</v>
      </c>
      <c r="F967" t="s">
        <v>111</v>
      </c>
      <c r="G967">
        <v>490000</v>
      </c>
      <c r="H967">
        <v>254700</v>
      </c>
      <c r="I967">
        <v>82700</v>
      </c>
      <c r="J967">
        <v>0</v>
      </c>
      <c r="K967">
        <v>134000</v>
      </c>
      <c r="L967">
        <v>114500</v>
      </c>
      <c r="M967">
        <v>88400</v>
      </c>
      <c r="N967">
        <v>493600</v>
      </c>
      <c r="O967">
        <v>27600</v>
      </c>
      <c r="P967">
        <v>0</v>
      </c>
      <c r="Q967">
        <v>0</v>
      </c>
      <c r="R967">
        <v>46600</v>
      </c>
      <c r="S967">
        <v>0</v>
      </c>
      <c r="T967">
        <v>0</v>
      </c>
      <c r="U967">
        <v>0</v>
      </c>
      <c r="V967">
        <v>0</v>
      </c>
      <c r="W967">
        <v>5468</v>
      </c>
      <c r="X967">
        <v>1143</v>
      </c>
      <c r="Y967">
        <v>30000</v>
      </c>
      <c r="Z967" cm="1">
        <f t="array" ref="Z967">MMULT($G967:$Y967,'Nelson Factor_2019'!$B$1:$B$19)/$G967</f>
        <v>11.21261224489796</v>
      </c>
      <c r="AA967" cm="1">
        <f t="array" ref="AA967">MMULT($G967:$R967,'Nelson Factor_2019'!$B$1:$B$12)/$G967</f>
        <v>10.560938775510204</v>
      </c>
    </row>
    <row r="968" spans="1:27" x14ac:dyDescent="0.25">
      <c r="A968">
        <v>2012</v>
      </c>
      <c r="B968">
        <v>3</v>
      </c>
      <c r="C968">
        <v>3</v>
      </c>
      <c r="D968" t="s">
        <v>99</v>
      </c>
      <c r="E968" t="s">
        <v>112</v>
      </c>
      <c r="F968" t="s">
        <v>113</v>
      </c>
      <c r="G968">
        <v>227000</v>
      </c>
      <c r="H968">
        <v>104000</v>
      </c>
      <c r="I968">
        <v>0</v>
      </c>
      <c r="J968">
        <v>12520</v>
      </c>
      <c r="K968">
        <v>86000</v>
      </c>
      <c r="L968">
        <v>36000</v>
      </c>
      <c r="M968">
        <v>51780</v>
      </c>
      <c r="N968">
        <v>216000</v>
      </c>
      <c r="O968">
        <v>14000</v>
      </c>
      <c r="P968">
        <v>4000</v>
      </c>
      <c r="Q968">
        <v>0</v>
      </c>
      <c r="R968">
        <v>12000</v>
      </c>
      <c r="S968">
        <v>0</v>
      </c>
      <c r="T968">
        <v>0</v>
      </c>
      <c r="U968">
        <v>58</v>
      </c>
      <c r="V968">
        <v>0</v>
      </c>
      <c r="W968">
        <v>0</v>
      </c>
      <c r="X968">
        <v>640</v>
      </c>
      <c r="Y968">
        <v>0</v>
      </c>
      <c r="Z968" cm="1">
        <f t="array" ref="Z968">MMULT($G968:$Y968,'Nelson Factor_2019'!$B$1:$B$19)/$G968</f>
        <v>10.645497797356828</v>
      </c>
      <c r="AA968" cm="1">
        <f t="array" ref="AA968">MMULT($G968:$R968,'Nelson Factor_2019'!$B$1:$B$12)/$G968</f>
        <v>9.9685903083700449</v>
      </c>
    </row>
    <row r="969" spans="1:27" x14ac:dyDescent="0.25">
      <c r="A969">
        <v>2012</v>
      </c>
      <c r="B969">
        <v>3</v>
      </c>
      <c r="C969">
        <v>6</v>
      </c>
      <c r="D969" t="s">
        <v>99</v>
      </c>
      <c r="E969" t="s">
        <v>112</v>
      </c>
      <c r="F969" t="s">
        <v>114</v>
      </c>
      <c r="G969">
        <v>220000</v>
      </c>
      <c r="H969">
        <v>78000</v>
      </c>
      <c r="I969">
        <v>21380</v>
      </c>
      <c r="J969">
        <v>0</v>
      </c>
      <c r="K969">
        <v>107000</v>
      </c>
      <c r="L969">
        <v>20000</v>
      </c>
      <c r="M969">
        <v>31000</v>
      </c>
      <c r="N969">
        <v>123500</v>
      </c>
      <c r="O969">
        <v>14000</v>
      </c>
      <c r="P969">
        <v>7780</v>
      </c>
      <c r="Q969">
        <v>0</v>
      </c>
      <c r="R969">
        <v>0</v>
      </c>
      <c r="S969">
        <v>0</v>
      </c>
      <c r="T969">
        <v>8000</v>
      </c>
      <c r="U969">
        <v>50</v>
      </c>
      <c r="V969">
        <v>0</v>
      </c>
      <c r="W969">
        <v>1020</v>
      </c>
      <c r="X969">
        <v>140</v>
      </c>
      <c r="Y969">
        <v>0</v>
      </c>
      <c r="Z969" cm="1">
        <f t="array" ref="Z969">MMULT($G969:$Y969,'Nelson Factor_2019'!$B$1:$B$19)/$G969</f>
        <v>9.5997727272727271</v>
      </c>
      <c r="AA969" cm="1">
        <f t="array" ref="AA969">MMULT($G969:$R969,'Nelson Factor_2019'!$B$1:$B$12)/$G969</f>
        <v>9.0831818181818189</v>
      </c>
    </row>
    <row r="970" spans="1:27" x14ac:dyDescent="0.25">
      <c r="A970">
        <v>2012</v>
      </c>
      <c r="B970">
        <v>3</v>
      </c>
      <c r="C970">
        <v>1</v>
      </c>
      <c r="D970" t="s">
        <v>99</v>
      </c>
      <c r="E970" t="s">
        <v>117</v>
      </c>
      <c r="F970" t="s">
        <v>118</v>
      </c>
      <c r="G970">
        <v>56050</v>
      </c>
      <c r="H970">
        <v>25650</v>
      </c>
      <c r="I970">
        <v>0</v>
      </c>
      <c r="J970">
        <v>0</v>
      </c>
      <c r="K970">
        <v>22500</v>
      </c>
      <c r="L970">
        <v>9900</v>
      </c>
      <c r="M970">
        <v>0</v>
      </c>
      <c r="N970">
        <v>44100</v>
      </c>
      <c r="O970">
        <v>6750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50</v>
      </c>
      <c r="Y970">
        <v>0</v>
      </c>
      <c r="Z970" cm="1">
        <f t="array" ref="Z970">MMULT($G970:$Y970,'Nelson Factor_2019'!$B$1:$B$19)/$G970</f>
        <v>8.2719892952720784</v>
      </c>
      <c r="AA970" cm="1">
        <f t="array" ref="AA970">MMULT($G970:$R970,'Nelson Factor_2019'!$B$1:$B$12)/$G970</f>
        <v>8.0578947368421048</v>
      </c>
    </row>
    <row r="971" spans="1:27" x14ac:dyDescent="0.25">
      <c r="A971">
        <v>2012</v>
      </c>
      <c r="B971">
        <v>3</v>
      </c>
      <c r="C971">
        <v>0</v>
      </c>
      <c r="D971" t="s">
        <v>99</v>
      </c>
      <c r="E971" t="s">
        <v>27</v>
      </c>
      <c r="F971" t="s">
        <v>119</v>
      </c>
      <c r="G971">
        <v>55000</v>
      </c>
      <c r="H971">
        <v>28000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 cm="1">
        <f t="array" ref="Z971">MMULT($G971:$Y971,'Nelson Factor_2019'!$B$1:$B$19)/$G971</f>
        <v>1.6618181818181819</v>
      </c>
      <c r="AA971" cm="1">
        <f t="array" ref="AA971">MMULT($G971:$R971,'Nelson Factor_2019'!$B$1:$B$12)/$G971</f>
        <v>1.6618181818181819</v>
      </c>
    </row>
    <row r="972" spans="1:27" x14ac:dyDescent="0.25">
      <c r="A972">
        <v>2012</v>
      </c>
      <c r="B972">
        <v>3</v>
      </c>
      <c r="C972">
        <v>1</v>
      </c>
      <c r="D972" t="s">
        <v>99</v>
      </c>
      <c r="E972" t="s">
        <v>66</v>
      </c>
      <c r="F972" t="s">
        <v>116</v>
      </c>
      <c r="G972">
        <v>135000</v>
      </c>
      <c r="H972">
        <v>50000</v>
      </c>
      <c r="I972">
        <v>0</v>
      </c>
      <c r="J972">
        <v>0</v>
      </c>
      <c r="K972">
        <v>37000</v>
      </c>
      <c r="L972">
        <v>0</v>
      </c>
      <c r="M972">
        <v>0</v>
      </c>
      <c r="N972">
        <v>123750</v>
      </c>
      <c r="O972">
        <v>8500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1800</v>
      </c>
      <c r="Y972">
        <v>0</v>
      </c>
      <c r="Z972" cm="1">
        <f t="array" ref="Z972">MMULT($G972:$Y972,'Nelson Factor_2019'!$B$1:$B$19)/$G972</f>
        <v>9.2472222222222218</v>
      </c>
      <c r="AA972" cm="1">
        <f t="array" ref="AA972">MMULT($G972:$R972,'Nelson Factor_2019'!$B$1:$B$12)/$G972</f>
        <v>6.0472222222222225</v>
      </c>
    </row>
    <row r="973" spans="1:27" x14ac:dyDescent="0.25">
      <c r="A973">
        <v>2012</v>
      </c>
      <c r="B973">
        <v>3</v>
      </c>
      <c r="C973">
        <v>4</v>
      </c>
      <c r="D973" t="s">
        <v>99</v>
      </c>
      <c r="E973" t="s">
        <v>66</v>
      </c>
      <c r="F973" t="s">
        <v>114</v>
      </c>
      <c r="G973">
        <v>250000</v>
      </c>
      <c r="H973">
        <v>200000</v>
      </c>
      <c r="I973">
        <v>70400</v>
      </c>
      <c r="J973">
        <v>0</v>
      </c>
      <c r="K973">
        <v>100000</v>
      </c>
      <c r="L973">
        <v>25000</v>
      </c>
      <c r="M973">
        <v>0</v>
      </c>
      <c r="N973">
        <v>131100</v>
      </c>
      <c r="O973">
        <v>19000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4500</v>
      </c>
      <c r="X973">
        <v>450</v>
      </c>
      <c r="Y973">
        <v>0</v>
      </c>
      <c r="Z973" cm="1">
        <f t="array" ref="Z973">MMULT($G973:$Y973,'Nelson Factor_2019'!$B$1:$B$19)/$G973</f>
        <v>9.5549999999999997</v>
      </c>
      <c r="AA973" cm="1">
        <f t="array" ref="AA973">MMULT($G973:$R973,'Nelson Factor_2019'!$B$1:$B$12)/$G973</f>
        <v>9.1229999999999993</v>
      </c>
    </row>
    <row r="974" spans="1:27" x14ac:dyDescent="0.25">
      <c r="A974">
        <v>2012</v>
      </c>
      <c r="B974">
        <v>2</v>
      </c>
      <c r="C974">
        <v>1</v>
      </c>
      <c r="D974" t="s">
        <v>121</v>
      </c>
      <c r="E974" t="s">
        <v>234</v>
      </c>
      <c r="F974" t="s">
        <v>122</v>
      </c>
      <c r="G974">
        <v>106000</v>
      </c>
      <c r="H974">
        <v>52300</v>
      </c>
      <c r="I974">
        <v>0</v>
      </c>
      <c r="J974">
        <v>0</v>
      </c>
      <c r="K974">
        <v>30900</v>
      </c>
      <c r="L974">
        <v>20400</v>
      </c>
      <c r="M974">
        <v>0</v>
      </c>
      <c r="N974">
        <v>99400</v>
      </c>
      <c r="O974">
        <v>4800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132</v>
      </c>
      <c r="Y974">
        <v>21800</v>
      </c>
      <c r="Z974" cm="1">
        <f t="array" ref="Z974">MMULT($G974:$Y974,'Nelson Factor_2019'!$B$1:$B$19)/$G974</f>
        <v>7.7572641509433966</v>
      </c>
      <c r="AA974" cm="1">
        <f t="array" ref="AA974">MMULT($G974:$R974,'Nelson Factor_2019'!$B$1:$B$12)/$G974</f>
        <v>7.1499056603773585</v>
      </c>
    </row>
    <row r="975" spans="1:27" x14ac:dyDescent="0.25">
      <c r="A975">
        <v>2012</v>
      </c>
      <c r="B975">
        <v>2</v>
      </c>
      <c r="C975">
        <v>6</v>
      </c>
      <c r="D975" t="s">
        <v>123</v>
      </c>
      <c r="E975" t="s">
        <v>35</v>
      </c>
      <c r="F975" t="s">
        <v>124</v>
      </c>
      <c r="G975">
        <v>322050</v>
      </c>
      <c r="H975">
        <v>185250</v>
      </c>
      <c r="I975">
        <v>63720</v>
      </c>
      <c r="J975">
        <v>0</v>
      </c>
      <c r="K975">
        <v>77850</v>
      </c>
      <c r="L975">
        <v>46170</v>
      </c>
      <c r="M975">
        <v>36000</v>
      </c>
      <c r="N975">
        <v>287550</v>
      </c>
      <c r="O975">
        <v>11250</v>
      </c>
      <c r="P975">
        <v>4140</v>
      </c>
      <c r="Q975">
        <v>0</v>
      </c>
      <c r="R975">
        <v>16200</v>
      </c>
      <c r="S975">
        <v>0</v>
      </c>
      <c r="T975">
        <v>0</v>
      </c>
      <c r="U975">
        <v>157.5</v>
      </c>
      <c r="V975">
        <v>9</v>
      </c>
      <c r="W975">
        <v>3690</v>
      </c>
      <c r="X975">
        <v>990</v>
      </c>
      <c r="Y975">
        <v>40500</v>
      </c>
      <c r="Z975" cm="1">
        <f t="array" ref="Z975">MMULT($G975:$Y975,'Nelson Factor_2019'!$B$1:$B$19)/$G975</f>
        <v>10.081094550535632</v>
      </c>
      <c r="AA975" cm="1">
        <f t="array" ref="AA975">MMULT($G975:$R975,'Nelson Factor_2019'!$B$1:$B$12)/$G975</f>
        <v>9.1541686073591055</v>
      </c>
    </row>
    <row r="976" spans="1:27" x14ac:dyDescent="0.25">
      <c r="A976">
        <v>2012</v>
      </c>
      <c r="B976">
        <v>2</v>
      </c>
      <c r="C976">
        <v>1</v>
      </c>
      <c r="D976" t="s">
        <v>123</v>
      </c>
      <c r="E976" t="s">
        <v>252</v>
      </c>
      <c r="F976" t="s">
        <v>125</v>
      </c>
      <c r="G976">
        <v>74000</v>
      </c>
      <c r="H976">
        <v>41300</v>
      </c>
      <c r="I976">
        <v>0</v>
      </c>
      <c r="J976">
        <v>0</v>
      </c>
      <c r="K976">
        <v>27100</v>
      </c>
      <c r="L976">
        <v>18600</v>
      </c>
      <c r="M976">
        <v>0</v>
      </c>
      <c r="N976">
        <v>75000</v>
      </c>
      <c r="O976">
        <v>5200</v>
      </c>
      <c r="P976">
        <v>0</v>
      </c>
      <c r="Q976">
        <v>0</v>
      </c>
      <c r="R976">
        <v>8600</v>
      </c>
      <c r="S976">
        <v>0</v>
      </c>
      <c r="T976">
        <v>0</v>
      </c>
      <c r="U976">
        <v>8</v>
      </c>
      <c r="V976">
        <v>0</v>
      </c>
      <c r="W976">
        <v>0</v>
      </c>
      <c r="X976">
        <v>111</v>
      </c>
      <c r="Y976">
        <v>12400</v>
      </c>
      <c r="Z976" cm="1">
        <f t="array" ref="Z976">MMULT($G976:$Y976,'Nelson Factor_2019'!$B$1:$B$19)/$G976</f>
        <v>9.3761891891891889</v>
      </c>
      <c r="AA976" cm="1">
        <f t="array" ref="AA976">MMULT($G976:$R976,'Nelson Factor_2019'!$B$1:$B$12)/$G976</f>
        <v>8.76472972972973</v>
      </c>
    </row>
    <row r="977" spans="1:27" x14ac:dyDescent="0.25">
      <c r="A977">
        <v>2012</v>
      </c>
      <c r="B977">
        <v>3</v>
      </c>
      <c r="C977">
        <v>6</v>
      </c>
      <c r="D977" t="s">
        <v>126</v>
      </c>
      <c r="E977" t="s">
        <v>227</v>
      </c>
      <c r="F977" t="s">
        <v>127</v>
      </c>
      <c r="G977">
        <v>330000</v>
      </c>
      <c r="H977">
        <v>240000</v>
      </c>
      <c r="I977">
        <v>98000</v>
      </c>
      <c r="J977">
        <v>0</v>
      </c>
      <c r="K977">
        <v>86000</v>
      </c>
      <c r="L977">
        <v>85000</v>
      </c>
      <c r="M977">
        <v>58000</v>
      </c>
      <c r="N977">
        <v>238500</v>
      </c>
      <c r="O977">
        <v>14800</v>
      </c>
      <c r="P977">
        <v>2100</v>
      </c>
      <c r="Q977">
        <v>19000</v>
      </c>
      <c r="R977">
        <v>0</v>
      </c>
      <c r="S977">
        <v>0</v>
      </c>
      <c r="T977">
        <v>0</v>
      </c>
      <c r="U977">
        <v>205</v>
      </c>
      <c r="V977">
        <v>0</v>
      </c>
      <c r="W977">
        <v>6440</v>
      </c>
      <c r="X977">
        <v>1067</v>
      </c>
      <c r="Y977">
        <v>0</v>
      </c>
      <c r="Z977" cm="1">
        <f t="array" ref="Z977">MMULT($G977:$Y977,'Nelson Factor_2019'!$B$1:$B$19)/$G977</f>
        <v>12.677378787878787</v>
      </c>
      <c r="AA977" cm="1">
        <f t="array" ref="AA977">MMULT($G977:$R977,'Nelson Factor_2019'!$B$1:$B$12)/$G977</f>
        <v>11.900757575757575</v>
      </c>
    </row>
    <row r="978" spans="1:27" x14ac:dyDescent="0.25">
      <c r="A978">
        <v>2012</v>
      </c>
      <c r="B978">
        <v>3</v>
      </c>
      <c r="C978">
        <v>0</v>
      </c>
      <c r="D978" t="s">
        <v>126</v>
      </c>
      <c r="E978" t="s">
        <v>128</v>
      </c>
      <c r="F978" t="s">
        <v>129</v>
      </c>
      <c r="G978">
        <v>23000</v>
      </c>
      <c r="H978">
        <v>10200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22000</v>
      </c>
      <c r="O978">
        <v>0</v>
      </c>
      <c r="P978">
        <v>0</v>
      </c>
      <c r="Q978">
        <v>0</v>
      </c>
      <c r="R978">
        <v>0</v>
      </c>
      <c r="S978">
        <v>22000</v>
      </c>
      <c r="T978">
        <v>0</v>
      </c>
      <c r="U978">
        <v>13</v>
      </c>
      <c r="V978">
        <v>0</v>
      </c>
      <c r="W978">
        <v>0</v>
      </c>
      <c r="X978">
        <v>0</v>
      </c>
      <c r="Y978">
        <v>9600</v>
      </c>
      <c r="Z978" cm="1">
        <f t="array" ref="Z978">MMULT($G978:$Y978,'Nelson Factor_2019'!$B$1:$B$19)/$G978</f>
        <v>61.985782608695651</v>
      </c>
      <c r="AA978" cm="1">
        <f t="array" ref="AA978">MMULT($G978:$R978,'Nelson Factor_2019'!$B$1:$B$12)/$G978</f>
        <v>3.9678260869565216</v>
      </c>
    </row>
    <row r="979" spans="1:27" x14ac:dyDescent="0.25">
      <c r="A979">
        <v>2012</v>
      </c>
      <c r="B979">
        <v>4</v>
      </c>
      <c r="C979">
        <v>4</v>
      </c>
      <c r="D979" t="s">
        <v>130</v>
      </c>
      <c r="E979" t="s">
        <v>235</v>
      </c>
      <c r="F979" t="s">
        <v>132</v>
      </c>
      <c r="G979">
        <v>55000</v>
      </c>
      <c r="H979">
        <v>31300</v>
      </c>
      <c r="I979">
        <v>15000</v>
      </c>
      <c r="J979">
        <v>0</v>
      </c>
      <c r="K979">
        <v>14000</v>
      </c>
      <c r="L979">
        <v>12500</v>
      </c>
      <c r="M979">
        <v>0</v>
      </c>
      <c r="N979">
        <v>51600</v>
      </c>
      <c r="O979">
        <v>4300</v>
      </c>
      <c r="P979">
        <v>0</v>
      </c>
      <c r="Q979">
        <v>0</v>
      </c>
      <c r="R979">
        <v>2500</v>
      </c>
      <c r="S979">
        <v>0</v>
      </c>
      <c r="T979">
        <v>0</v>
      </c>
      <c r="U979">
        <v>21</v>
      </c>
      <c r="V979">
        <v>21</v>
      </c>
      <c r="W979">
        <v>0</v>
      </c>
      <c r="X979">
        <v>90</v>
      </c>
      <c r="Y979">
        <v>19000</v>
      </c>
      <c r="Z979" cm="1">
        <f t="array" ref="Z979">MMULT($G979:$Y979,'Nelson Factor_2019'!$B$1:$B$19)/$G979</f>
        <v>10.624218181818183</v>
      </c>
      <c r="AA979" cm="1">
        <f t="array" ref="AA979">MMULT($G979:$R979,'Nelson Factor_2019'!$B$1:$B$12)/$G979</f>
        <v>9.7125454545454541</v>
      </c>
    </row>
    <row r="980" spans="1:27" x14ac:dyDescent="0.25">
      <c r="A980">
        <v>2012</v>
      </c>
      <c r="B980">
        <v>4</v>
      </c>
      <c r="C980">
        <v>4</v>
      </c>
      <c r="D980" t="s">
        <v>130</v>
      </c>
      <c r="E980" t="s">
        <v>51</v>
      </c>
      <c r="F980" t="s">
        <v>133</v>
      </c>
      <c r="G980">
        <v>58000</v>
      </c>
      <c r="H980">
        <v>35000</v>
      </c>
      <c r="I980">
        <v>20000</v>
      </c>
      <c r="J980">
        <v>0</v>
      </c>
      <c r="K980">
        <v>19400</v>
      </c>
      <c r="L980">
        <v>12200</v>
      </c>
      <c r="M980">
        <v>0</v>
      </c>
      <c r="N980">
        <v>72000</v>
      </c>
      <c r="O980">
        <v>6900</v>
      </c>
      <c r="P980">
        <v>0</v>
      </c>
      <c r="Q980">
        <v>0</v>
      </c>
      <c r="R980">
        <v>3600</v>
      </c>
      <c r="S980">
        <v>0</v>
      </c>
      <c r="T980">
        <v>0</v>
      </c>
      <c r="U980">
        <v>31</v>
      </c>
      <c r="V980">
        <v>57.199999999999996</v>
      </c>
      <c r="W980">
        <v>950</v>
      </c>
      <c r="X980">
        <v>224</v>
      </c>
      <c r="Y980">
        <v>0</v>
      </c>
      <c r="Z980" cm="1">
        <f t="array" ref="Z980">MMULT($G980:$Y980,'Nelson Factor_2019'!$B$1:$B$19)/$G980</f>
        <v>12.837037931034482</v>
      </c>
      <c r="AA980" cm="1">
        <f t="array" ref="AA980">MMULT($G980:$R980,'Nelson Factor_2019'!$B$1:$B$12)/$G980</f>
        <v>11.908620689655173</v>
      </c>
    </row>
    <row r="981" spans="1:27" x14ac:dyDescent="0.25">
      <c r="A981">
        <v>2012</v>
      </c>
      <c r="B981">
        <v>4</v>
      </c>
      <c r="C981">
        <v>6</v>
      </c>
      <c r="D981" t="s">
        <v>130</v>
      </c>
      <c r="E981" t="s">
        <v>54</v>
      </c>
      <c r="F981" t="s">
        <v>133</v>
      </c>
      <c r="G981">
        <v>60000</v>
      </c>
      <c r="H981">
        <v>27500</v>
      </c>
      <c r="I981">
        <v>10000</v>
      </c>
      <c r="J981">
        <v>0</v>
      </c>
      <c r="K981">
        <v>18000</v>
      </c>
      <c r="L981">
        <v>12000</v>
      </c>
      <c r="M981">
        <v>5500</v>
      </c>
      <c r="N981">
        <v>54500</v>
      </c>
      <c r="O981">
        <v>5000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22</v>
      </c>
      <c r="V981">
        <v>4.5</v>
      </c>
      <c r="W981">
        <v>490</v>
      </c>
      <c r="X981">
        <v>0</v>
      </c>
      <c r="Y981">
        <v>14500</v>
      </c>
      <c r="Z981" cm="1">
        <f t="array" ref="Z981">MMULT($G981:$Y981,'Nelson Factor_2019'!$B$1:$B$19)/$G981</f>
        <v>9.8462750000000003</v>
      </c>
      <c r="AA981" cm="1">
        <f t="array" ref="AA981">MMULT($G981:$R981,'Nelson Factor_2019'!$B$1:$B$12)/$G981</f>
        <v>9.4833333333333325</v>
      </c>
    </row>
    <row r="982" spans="1:27" x14ac:dyDescent="0.25">
      <c r="A982">
        <v>2012</v>
      </c>
      <c r="B982">
        <v>4</v>
      </c>
      <c r="C982">
        <v>1</v>
      </c>
      <c r="D982" t="s">
        <v>130</v>
      </c>
      <c r="E982" t="s">
        <v>134</v>
      </c>
      <c r="F982" t="s">
        <v>135</v>
      </c>
      <c r="G982">
        <v>9500</v>
      </c>
      <c r="H982">
        <v>5000</v>
      </c>
      <c r="I982">
        <v>0</v>
      </c>
      <c r="J982">
        <v>0</v>
      </c>
      <c r="K982">
        <v>2800</v>
      </c>
      <c r="L982">
        <v>1000</v>
      </c>
      <c r="M982">
        <v>0</v>
      </c>
      <c r="N982">
        <v>7100</v>
      </c>
      <c r="O982">
        <v>1000</v>
      </c>
      <c r="P982">
        <v>400</v>
      </c>
      <c r="Q982">
        <v>0</v>
      </c>
      <c r="R982">
        <v>700</v>
      </c>
      <c r="S982">
        <v>0</v>
      </c>
      <c r="T982">
        <v>0</v>
      </c>
      <c r="U982">
        <v>5</v>
      </c>
      <c r="V982">
        <v>0</v>
      </c>
      <c r="W982">
        <v>0</v>
      </c>
      <c r="X982">
        <v>0</v>
      </c>
      <c r="Y982">
        <v>3800</v>
      </c>
      <c r="Z982" cm="1">
        <f t="array" ref="Z982">MMULT($G982:$Y982,'Nelson Factor_2019'!$B$1:$B$19)/$G982</f>
        <v>8.142631578947368</v>
      </c>
      <c r="AA982" cm="1">
        <f t="array" ref="AA982">MMULT($G982:$R982,'Nelson Factor_2019'!$B$1:$B$12)/$G982</f>
        <v>7.5421052631578949</v>
      </c>
    </row>
    <row r="983" spans="1:27" x14ac:dyDescent="0.25">
      <c r="A983">
        <v>2012</v>
      </c>
      <c r="B983">
        <v>1</v>
      </c>
      <c r="C983">
        <v>1</v>
      </c>
      <c r="D983" t="s">
        <v>136</v>
      </c>
      <c r="E983" t="s">
        <v>51</v>
      </c>
      <c r="F983" t="s">
        <v>137</v>
      </c>
      <c r="G983">
        <v>238000</v>
      </c>
      <c r="H983">
        <v>71250</v>
      </c>
      <c r="I983">
        <v>0</v>
      </c>
      <c r="J983">
        <v>0</v>
      </c>
      <c r="K983">
        <v>130500</v>
      </c>
      <c r="L983">
        <v>28800</v>
      </c>
      <c r="M983">
        <v>0</v>
      </c>
      <c r="N983">
        <v>184500</v>
      </c>
      <c r="O983">
        <v>16000</v>
      </c>
      <c r="P983">
        <v>0</v>
      </c>
      <c r="Q983">
        <v>0</v>
      </c>
      <c r="R983">
        <v>28000</v>
      </c>
      <c r="S983">
        <v>0</v>
      </c>
      <c r="T983">
        <v>0</v>
      </c>
      <c r="U983">
        <v>18</v>
      </c>
      <c r="V983">
        <v>13.1</v>
      </c>
      <c r="W983">
        <v>0</v>
      </c>
      <c r="X983">
        <v>0</v>
      </c>
      <c r="Y983">
        <v>0</v>
      </c>
      <c r="Z983" cm="1">
        <f t="array" ref="Z983">MMULT($G983:$Y983,'Nelson Factor_2019'!$B$1:$B$19)/$G983</f>
        <v>8.2475046218487407</v>
      </c>
      <c r="AA983" cm="1">
        <f t="array" ref="AA983">MMULT($G983:$R983,'Nelson Factor_2019'!$B$1:$B$12)/$G983</f>
        <v>8.2473739495798313</v>
      </c>
    </row>
    <row r="984" spans="1:27" x14ac:dyDescent="0.25">
      <c r="A984">
        <v>2012</v>
      </c>
      <c r="B984">
        <v>1</v>
      </c>
      <c r="C984">
        <v>4</v>
      </c>
      <c r="D984" t="s">
        <v>136</v>
      </c>
      <c r="E984" t="s">
        <v>253</v>
      </c>
      <c r="F984" t="s">
        <v>140</v>
      </c>
      <c r="G984">
        <v>185000</v>
      </c>
      <c r="H984">
        <v>90000</v>
      </c>
      <c r="I984">
        <v>27000</v>
      </c>
      <c r="J984">
        <v>0</v>
      </c>
      <c r="K984">
        <v>55000</v>
      </c>
      <c r="L984">
        <v>30000</v>
      </c>
      <c r="M984">
        <v>0</v>
      </c>
      <c r="N984">
        <v>141250</v>
      </c>
      <c r="O984">
        <v>11200</v>
      </c>
      <c r="P984">
        <v>0</v>
      </c>
      <c r="Q984">
        <v>0</v>
      </c>
      <c r="R984">
        <v>0</v>
      </c>
      <c r="S984">
        <v>11500</v>
      </c>
      <c r="T984">
        <v>0</v>
      </c>
      <c r="U984">
        <v>13.5</v>
      </c>
      <c r="V984">
        <v>9</v>
      </c>
      <c r="W984">
        <v>1470</v>
      </c>
      <c r="X984">
        <v>230</v>
      </c>
      <c r="Y984">
        <v>16000</v>
      </c>
      <c r="Z984" cm="1">
        <f t="array" ref="Z984">MMULT($G984:$Y984,'Nelson Factor_2019'!$B$1:$B$19)/$G984</f>
        <v>11.99377027027027</v>
      </c>
      <c r="AA984" cm="1">
        <f t="array" ref="AA984">MMULT($G984:$R984,'Nelson Factor_2019'!$B$1:$B$12)/$G984</f>
        <v>7.8358108108108109</v>
      </c>
    </row>
    <row r="985" spans="1:27" x14ac:dyDescent="0.25">
      <c r="A985">
        <v>2012</v>
      </c>
      <c r="B985">
        <v>3</v>
      </c>
      <c r="C985">
        <v>1</v>
      </c>
      <c r="D985" t="s">
        <v>141</v>
      </c>
      <c r="E985" t="s">
        <v>197</v>
      </c>
      <c r="F985" t="s">
        <v>144</v>
      </c>
      <c r="G985">
        <v>40000</v>
      </c>
      <c r="H985">
        <v>0</v>
      </c>
      <c r="I985">
        <v>0</v>
      </c>
      <c r="J985">
        <v>0</v>
      </c>
      <c r="K985">
        <v>7000</v>
      </c>
      <c r="L985">
        <v>8000</v>
      </c>
      <c r="M985">
        <v>0</v>
      </c>
      <c r="N985">
        <v>11500</v>
      </c>
      <c r="O985">
        <v>2500</v>
      </c>
      <c r="P985">
        <v>0</v>
      </c>
      <c r="Q985">
        <v>0</v>
      </c>
      <c r="R985">
        <v>5000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2</v>
      </c>
      <c r="Y985">
        <v>0</v>
      </c>
      <c r="Z985" cm="1">
        <f t="array" ref="Z985">MMULT($G985:$Y985,'Nelson Factor_2019'!$B$1:$B$19)/$G985</f>
        <v>4.7807500000000003</v>
      </c>
      <c r="AA985" cm="1">
        <f t="array" ref="AA985">MMULT($G985:$R985,'Nelson Factor_2019'!$B$1:$B$12)/$G985</f>
        <v>4.7687499999999998</v>
      </c>
    </row>
    <row r="986" spans="1:27" x14ac:dyDescent="0.25">
      <c r="A986">
        <v>2012</v>
      </c>
      <c r="B986">
        <v>3</v>
      </c>
      <c r="C986">
        <v>1</v>
      </c>
      <c r="D986" t="s">
        <v>141</v>
      </c>
      <c r="E986" t="s">
        <v>251</v>
      </c>
      <c r="F986" t="s">
        <v>146</v>
      </c>
      <c r="G986">
        <v>100000</v>
      </c>
      <c r="H986">
        <v>25000</v>
      </c>
      <c r="I986">
        <v>0</v>
      </c>
      <c r="J986">
        <v>0</v>
      </c>
      <c r="K986">
        <v>27000</v>
      </c>
      <c r="L986">
        <v>24000</v>
      </c>
      <c r="M986">
        <v>0</v>
      </c>
      <c r="N986">
        <v>97400</v>
      </c>
      <c r="O986">
        <v>9000</v>
      </c>
      <c r="P986">
        <v>0</v>
      </c>
      <c r="Q986">
        <v>0</v>
      </c>
      <c r="R986">
        <v>11000</v>
      </c>
      <c r="S986">
        <v>0</v>
      </c>
      <c r="T986">
        <v>0</v>
      </c>
      <c r="U986">
        <v>9</v>
      </c>
      <c r="V986">
        <v>0</v>
      </c>
      <c r="W986">
        <v>0</v>
      </c>
      <c r="X986">
        <v>110</v>
      </c>
      <c r="Y986">
        <v>5000</v>
      </c>
      <c r="Z986" cm="1">
        <f t="array" ref="Z986">MMULT($G986:$Y986,'Nelson Factor_2019'!$B$1:$B$19)/$G986</f>
        <v>8.1490899999999993</v>
      </c>
      <c r="AA986" cm="1">
        <f t="array" ref="AA986">MMULT($G986:$R986,'Nelson Factor_2019'!$B$1:$B$12)/$G986</f>
        <v>7.81</v>
      </c>
    </row>
    <row r="987" spans="1:27" x14ac:dyDescent="0.25">
      <c r="A987">
        <v>2012</v>
      </c>
      <c r="B987">
        <v>2</v>
      </c>
      <c r="C987">
        <v>1</v>
      </c>
      <c r="D987" t="s">
        <v>147</v>
      </c>
      <c r="E987" t="s">
        <v>148</v>
      </c>
      <c r="F987" t="s">
        <v>149</v>
      </c>
      <c r="G987">
        <v>58000</v>
      </c>
      <c r="H987">
        <v>0</v>
      </c>
      <c r="I987">
        <v>0</v>
      </c>
      <c r="J987">
        <v>0</v>
      </c>
      <c r="K987">
        <v>25700</v>
      </c>
      <c r="L987">
        <v>11500</v>
      </c>
      <c r="M987">
        <v>0</v>
      </c>
      <c r="N987">
        <v>23600</v>
      </c>
      <c r="O987">
        <v>4200</v>
      </c>
      <c r="P987">
        <v>1100</v>
      </c>
      <c r="Q987">
        <v>0</v>
      </c>
      <c r="R987">
        <v>4800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15</v>
      </c>
      <c r="Y987">
        <v>0</v>
      </c>
      <c r="Z987" cm="1">
        <f t="array" ref="Z987">MMULT($G987:$Y987,'Nelson Factor_2019'!$B$1:$B$19)/$G987</f>
        <v>6.8913793103448278</v>
      </c>
      <c r="AA987" cm="1">
        <f t="array" ref="AA987">MMULT($G987:$R987,'Nelson Factor_2019'!$B$1:$B$12)/$G987</f>
        <v>6.8293103448275865</v>
      </c>
    </row>
    <row r="988" spans="1:27" x14ac:dyDescent="0.25">
      <c r="A988">
        <v>2012</v>
      </c>
      <c r="B988">
        <v>2</v>
      </c>
      <c r="C988">
        <v>6</v>
      </c>
      <c r="D988" t="s">
        <v>150</v>
      </c>
      <c r="E988" t="s">
        <v>32</v>
      </c>
      <c r="F988" t="s">
        <v>151</v>
      </c>
      <c r="G988">
        <v>152000</v>
      </c>
      <c r="H988">
        <v>67925</v>
      </c>
      <c r="I988">
        <v>31050</v>
      </c>
      <c r="J988">
        <v>0</v>
      </c>
      <c r="K988">
        <v>49500</v>
      </c>
      <c r="L988">
        <v>38700</v>
      </c>
      <c r="M988">
        <v>27900</v>
      </c>
      <c r="N988">
        <v>96750</v>
      </c>
      <c r="O988">
        <v>10350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33</v>
      </c>
      <c r="V988">
        <v>23</v>
      </c>
      <c r="W988">
        <v>2006</v>
      </c>
      <c r="X988">
        <v>351</v>
      </c>
      <c r="Y988">
        <v>9000</v>
      </c>
      <c r="Z988" cm="1">
        <f t="array" ref="Z988">MMULT($G988:$Y988,'Nelson Factor_2019'!$B$1:$B$19)/$G988</f>
        <v>10.724003289473684</v>
      </c>
      <c r="AA988" cm="1">
        <f t="array" ref="AA988">MMULT($G988:$R988,'Nelson Factor_2019'!$B$1:$B$12)/$G988</f>
        <v>10.080608552631579</v>
      </c>
    </row>
    <row r="989" spans="1:27" x14ac:dyDescent="0.25">
      <c r="A989">
        <v>2012</v>
      </c>
      <c r="B989">
        <v>2</v>
      </c>
      <c r="C989">
        <v>6</v>
      </c>
      <c r="D989" t="s">
        <v>150</v>
      </c>
      <c r="E989" t="s">
        <v>241</v>
      </c>
      <c r="F989" t="s">
        <v>154</v>
      </c>
      <c r="G989">
        <v>161500</v>
      </c>
      <c r="H989">
        <v>49400</v>
      </c>
      <c r="I989">
        <v>20700</v>
      </c>
      <c r="J989">
        <v>0</v>
      </c>
      <c r="K989">
        <v>36000</v>
      </c>
      <c r="L989">
        <v>49500</v>
      </c>
      <c r="M989">
        <v>23400</v>
      </c>
      <c r="N989">
        <v>88200</v>
      </c>
      <c r="O989">
        <v>0</v>
      </c>
      <c r="P989">
        <v>0</v>
      </c>
      <c r="Q989">
        <v>6300</v>
      </c>
      <c r="R989">
        <v>16200</v>
      </c>
      <c r="S989">
        <v>0</v>
      </c>
      <c r="T989">
        <v>0</v>
      </c>
      <c r="U989">
        <v>0</v>
      </c>
      <c r="V989">
        <v>10.4</v>
      </c>
      <c r="W989">
        <v>800</v>
      </c>
      <c r="X989">
        <v>100</v>
      </c>
      <c r="Y989">
        <v>0</v>
      </c>
      <c r="Z989" cm="1">
        <f t="array" ref="Z989">MMULT($G989:$Y989,'Nelson Factor_2019'!$B$1:$B$19)/$G989</f>
        <v>8.9831603715170267</v>
      </c>
      <c r="AA989" cm="1">
        <f t="array" ref="AA989">MMULT($G989:$R989,'Nelson Factor_2019'!$B$1:$B$12)/$G989</f>
        <v>8.8344891640866869</v>
      </c>
    </row>
    <row r="990" spans="1:27" x14ac:dyDescent="0.25">
      <c r="A990">
        <v>2012</v>
      </c>
      <c r="B990">
        <v>2</v>
      </c>
      <c r="C990">
        <v>1</v>
      </c>
      <c r="D990" t="s">
        <v>150</v>
      </c>
      <c r="E990" t="s">
        <v>249</v>
      </c>
      <c r="F990" t="s">
        <v>152</v>
      </c>
      <c r="G990">
        <v>78000</v>
      </c>
      <c r="H990">
        <v>33300</v>
      </c>
      <c r="I990">
        <v>0</v>
      </c>
      <c r="J990">
        <v>0</v>
      </c>
      <c r="K990">
        <v>24700</v>
      </c>
      <c r="L990">
        <v>20400</v>
      </c>
      <c r="M990">
        <v>0</v>
      </c>
      <c r="N990">
        <v>84600</v>
      </c>
      <c r="O990">
        <v>7100</v>
      </c>
      <c r="P990">
        <v>1000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94</v>
      </c>
      <c r="Y990">
        <v>14100</v>
      </c>
      <c r="Z990" cm="1">
        <f t="array" ref="Z990">MMULT($G990:$Y990,'Nelson Factor_2019'!$B$1:$B$19)/$G990</f>
        <v>9.0730769230769237</v>
      </c>
      <c r="AA990" cm="1">
        <f t="array" ref="AA990">MMULT($G990:$R990,'Nelson Factor_2019'!$B$1:$B$12)/$G990</f>
        <v>8.5126923076923084</v>
      </c>
    </row>
    <row r="991" spans="1:27" x14ac:dyDescent="0.25">
      <c r="A991">
        <v>2012</v>
      </c>
      <c r="B991">
        <v>2</v>
      </c>
      <c r="C991">
        <v>3</v>
      </c>
      <c r="D991" t="s">
        <v>150</v>
      </c>
      <c r="E991" t="s">
        <v>253</v>
      </c>
      <c r="F991" t="s">
        <v>151</v>
      </c>
      <c r="G991">
        <v>170000</v>
      </c>
      <c r="H991">
        <v>30000</v>
      </c>
      <c r="I991">
        <v>0</v>
      </c>
      <c r="J991">
        <v>0</v>
      </c>
      <c r="K991">
        <v>60000</v>
      </c>
      <c r="L991">
        <v>45600</v>
      </c>
      <c r="M991">
        <v>28200</v>
      </c>
      <c r="N991">
        <v>48000</v>
      </c>
      <c r="O991">
        <v>9000</v>
      </c>
      <c r="P991">
        <v>0</v>
      </c>
      <c r="Q991">
        <v>9000</v>
      </c>
      <c r="R991">
        <v>0</v>
      </c>
      <c r="S991">
        <v>0</v>
      </c>
      <c r="T991">
        <v>0</v>
      </c>
      <c r="U991">
        <v>52</v>
      </c>
      <c r="V991">
        <v>0</v>
      </c>
      <c r="W991">
        <v>0</v>
      </c>
      <c r="X991">
        <v>0</v>
      </c>
      <c r="Y991">
        <v>0</v>
      </c>
      <c r="Z991" cm="1">
        <f t="array" ref="Z991">MMULT($G991:$Y991,'Nelson Factor_2019'!$B$1:$B$19)/$G991</f>
        <v>8.3097176470588234</v>
      </c>
      <c r="AA991" cm="1">
        <f t="array" ref="AA991">MMULT($G991:$R991,'Nelson Factor_2019'!$B$1:$B$12)/$G991</f>
        <v>8.3094117647058816</v>
      </c>
    </row>
    <row r="992" spans="1:27" x14ac:dyDescent="0.25">
      <c r="A992">
        <v>2012</v>
      </c>
      <c r="B992">
        <v>2</v>
      </c>
      <c r="C992">
        <v>4</v>
      </c>
      <c r="D992" t="s">
        <v>155</v>
      </c>
      <c r="E992" t="s">
        <v>51</v>
      </c>
      <c r="F992" t="s">
        <v>156</v>
      </c>
      <c r="G992">
        <v>187000</v>
      </c>
      <c r="H992">
        <v>80000</v>
      </c>
      <c r="I992">
        <v>23100</v>
      </c>
      <c r="J992">
        <v>0</v>
      </c>
      <c r="K992">
        <v>59300</v>
      </c>
      <c r="L992">
        <v>44000</v>
      </c>
      <c r="M992">
        <v>0</v>
      </c>
      <c r="N992">
        <v>187700</v>
      </c>
      <c r="O992">
        <v>13000</v>
      </c>
      <c r="P992">
        <v>2400</v>
      </c>
      <c r="Q992">
        <v>0</v>
      </c>
      <c r="R992">
        <v>23400</v>
      </c>
      <c r="S992">
        <v>0</v>
      </c>
      <c r="T992">
        <v>0</v>
      </c>
      <c r="U992">
        <v>31.4</v>
      </c>
      <c r="V992">
        <v>15.4</v>
      </c>
      <c r="W992">
        <v>1150</v>
      </c>
      <c r="X992">
        <v>198</v>
      </c>
      <c r="Y992">
        <v>0</v>
      </c>
      <c r="Z992" cm="1">
        <f t="array" ref="Z992">MMULT($G992:$Y992,'Nelson Factor_2019'!$B$1:$B$19)/$G992</f>
        <v>9.5244213903743304</v>
      </c>
      <c r="AA992" cm="1">
        <f t="array" ref="AA992">MMULT($G992:$R992,'Nelson Factor_2019'!$B$1:$B$12)/$G992</f>
        <v>9.2700534759358284</v>
      </c>
    </row>
    <row r="993" spans="1:27" x14ac:dyDescent="0.25">
      <c r="A993">
        <v>2012</v>
      </c>
      <c r="B993">
        <v>2</v>
      </c>
      <c r="C993">
        <v>0</v>
      </c>
      <c r="D993" t="s">
        <v>155</v>
      </c>
      <c r="E993" t="s">
        <v>251</v>
      </c>
      <c r="F993" t="s">
        <v>160</v>
      </c>
      <c r="G993">
        <v>125000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 cm="1">
        <f t="array" ref="Z993">MMULT($G993:$Y993,'Nelson Factor_2019'!$B$1:$B$19)/$G993</f>
        <v>1</v>
      </c>
      <c r="AA993" cm="1">
        <f t="array" ref="AA993">MMULT($G993:$R993,'Nelson Factor_2019'!$B$1:$B$12)/$G993</f>
        <v>1</v>
      </c>
    </row>
    <row r="994" spans="1:27" x14ac:dyDescent="0.25">
      <c r="A994">
        <v>2012</v>
      </c>
      <c r="B994">
        <v>2</v>
      </c>
      <c r="C994">
        <v>3</v>
      </c>
      <c r="D994" t="s">
        <v>155</v>
      </c>
      <c r="E994" t="s">
        <v>66</v>
      </c>
      <c r="F994" t="s">
        <v>161</v>
      </c>
      <c r="G994">
        <v>91500</v>
      </c>
      <c r="H994">
        <v>32000</v>
      </c>
      <c r="I994">
        <v>0</v>
      </c>
      <c r="J994">
        <v>0</v>
      </c>
      <c r="K994">
        <v>30576</v>
      </c>
      <c r="L994">
        <v>21679</v>
      </c>
      <c r="M994">
        <v>12000</v>
      </c>
      <c r="N994">
        <v>86500</v>
      </c>
      <c r="O994">
        <v>7012</v>
      </c>
      <c r="P994">
        <v>0</v>
      </c>
      <c r="Q994">
        <v>0</v>
      </c>
      <c r="R994">
        <v>7000</v>
      </c>
      <c r="S994">
        <v>0</v>
      </c>
      <c r="T994">
        <v>0</v>
      </c>
      <c r="U994">
        <v>26</v>
      </c>
      <c r="V994">
        <v>26</v>
      </c>
      <c r="W994">
        <v>0</v>
      </c>
      <c r="X994">
        <v>243</v>
      </c>
      <c r="Y994">
        <v>11000</v>
      </c>
      <c r="Z994" cm="1">
        <f t="array" ref="Z994">MMULT($G994:$Y994,'Nelson Factor_2019'!$B$1:$B$19)/$G994</f>
        <v>9.8709617486338797</v>
      </c>
      <c r="AA994" cm="1">
        <f t="array" ref="AA994">MMULT($G994:$R994,'Nelson Factor_2019'!$B$1:$B$12)/$G994</f>
        <v>9.0526885245901632</v>
      </c>
    </row>
    <row r="995" spans="1:27" x14ac:dyDescent="0.25">
      <c r="A995">
        <v>2012</v>
      </c>
      <c r="B995">
        <v>2</v>
      </c>
      <c r="C995">
        <v>3</v>
      </c>
      <c r="D995" t="s">
        <v>155</v>
      </c>
      <c r="E995" t="s">
        <v>228</v>
      </c>
      <c r="F995" t="s">
        <v>158</v>
      </c>
      <c r="G995">
        <v>52500</v>
      </c>
      <c r="H995">
        <v>15500</v>
      </c>
      <c r="I995">
        <v>0</v>
      </c>
      <c r="J995">
        <v>0</v>
      </c>
      <c r="K995">
        <v>18500</v>
      </c>
      <c r="L995">
        <v>13000</v>
      </c>
      <c r="M995">
        <v>5500</v>
      </c>
      <c r="N995">
        <v>23700</v>
      </c>
      <c r="O995">
        <v>4000</v>
      </c>
      <c r="P995">
        <v>0</v>
      </c>
      <c r="Q995">
        <v>0</v>
      </c>
      <c r="R995">
        <v>3500</v>
      </c>
      <c r="S995">
        <v>0</v>
      </c>
      <c r="T995">
        <v>0</v>
      </c>
      <c r="U995">
        <v>9</v>
      </c>
      <c r="V995">
        <v>0</v>
      </c>
      <c r="W995">
        <v>0</v>
      </c>
      <c r="X995">
        <v>0</v>
      </c>
      <c r="Y995">
        <v>5000</v>
      </c>
      <c r="Z995" cm="1">
        <f t="array" ref="Z995">MMULT($G995:$Y995,'Nelson Factor_2019'!$B$1:$B$19)/$G995</f>
        <v>7.8077904761904762</v>
      </c>
      <c r="AA995" cm="1">
        <f t="array" ref="AA995">MMULT($G995:$R995,'Nelson Factor_2019'!$B$1:$B$12)/$G995</f>
        <v>7.6647619047619049</v>
      </c>
    </row>
    <row r="996" spans="1:27" x14ac:dyDescent="0.25">
      <c r="A996">
        <v>2012</v>
      </c>
      <c r="B996">
        <v>1</v>
      </c>
      <c r="C996">
        <v>0</v>
      </c>
      <c r="D996" t="s">
        <v>162</v>
      </c>
      <c r="E996" t="s">
        <v>163</v>
      </c>
      <c r="F996" t="s">
        <v>164</v>
      </c>
      <c r="G996">
        <v>10000</v>
      </c>
      <c r="H996">
        <v>0</v>
      </c>
      <c r="I996">
        <v>0</v>
      </c>
      <c r="J996">
        <v>0</v>
      </c>
      <c r="K996">
        <v>0</v>
      </c>
      <c r="L996">
        <v>1800</v>
      </c>
      <c r="M996">
        <v>0</v>
      </c>
      <c r="N996">
        <v>3500</v>
      </c>
      <c r="O996">
        <v>0</v>
      </c>
      <c r="P996">
        <v>0</v>
      </c>
      <c r="Q996">
        <v>0</v>
      </c>
      <c r="R996">
        <v>600</v>
      </c>
      <c r="S996">
        <v>2600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 cm="1">
        <f t="array" ref="Z996">MMULT($G996:$Y996,'Nelson Factor_2019'!$B$1:$B$19)/$G996</f>
        <v>18.555</v>
      </c>
      <c r="AA996" cm="1">
        <f t="array" ref="AA996">MMULT($G996:$R996,'Nelson Factor_2019'!$B$1:$B$12)/$G996</f>
        <v>2.9550000000000001</v>
      </c>
    </row>
    <row r="997" spans="1:27" x14ac:dyDescent="0.25">
      <c r="A997">
        <v>2012</v>
      </c>
      <c r="B997">
        <v>1</v>
      </c>
      <c r="C997">
        <v>3</v>
      </c>
      <c r="D997" t="s">
        <v>162</v>
      </c>
      <c r="E997" t="s">
        <v>51</v>
      </c>
      <c r="F997" t="s">
        <v>165</v>
      </c>
      <c r="G997">
        <v>185000</v>
      </c>
      <c r="H997">
        <v>78700</v>
      </c>
      <c r="I997">
        <v>0</v>
      </c>
      <c r="J997">
        <v>0</v>
      </c>
      <c r="K997">
        <v>48400</v>
      </c>
      <c r="L997">
        <v>48800</v>
      </c>
      <c r="M997">
        <v>21500</v>
      </c>
      <c r="N997">
        <v>130200</v>
      </c>
      <c r="O997">
        <v>11800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160</v>
      </c>
      <c r="Y997">
        <v>0</v>
      </c>
      <c r="Z997" cm="1">
        <f t="array" ref="Z997">MMULT($G997:$Y997,'Nelson Factor_2019'!$B$1:$B$19)/$G997</f>
        <v>7.9762702702702706</v>
      </c>
      <c r="AA997" cm="1">
        <f t="array" ref="AA997">MMULT($G997:$R997,'Nelson Factor_2019'!$B$1:$B$12)/$G997</f>
        <v>7.7687027027027025</v>
      </c>
    </row>
    <row r="998" spans="1:27" x14ac:dyDescent="0.25">
      <c r="A998">
        <v>2012</v>
      </c>
      <c r="B998">
        <v>1</v>
      </c>
      <c r="C998">
        <v>1</v>
      </c>
      <c r="D998" t="s">
        <v>162</v>
      </c>
      <c r="E998" t="s">
        <v>138</v>
      </c>
      <c r="F998" t="s">
        <v>166</v>
      </c>
      <c r="G998">
        <v>175000</v>
      </c>
      <c r="H998">
        <v>26400</v>
      </c>
      <c r="I998">
        <v>0</v>
      </c>
      <c r="J998">
        <v>0</v>
      </c>
      <c r="K998">
        <v>93000</v>
      </c>
      <c r="L998">
        <v>15600</v>
      </c>
      <c r="M998">
        <v>0</v>
      </c>
      <c r="N998">
        <v>48000</v>
      </c>
      <c r="O998">
        <v>10000</v>
      </c>
      <c r="P998">
        <v>0</v>
      </c>
      <c r="Q998">
        <v>21600</v>
      </c>
      <c r="R998">
        <v>0</v>
      </c>
      <c r="S998">
        <v>0</v>
      </c>
      <c r="T998">
        <v>2600</v>
      </c>
      <c r="U998">
        <v>6</v>
      </c>
      <c r="V998">
        <v>0</v>
      </c>
      <c r="W998">
        <v>0</v>
      </c>
      <c r="X998">
        <v>0</v>
      </c>
      <c r="Y998">
        <v>0</v>
      </c>
      <c r="Z998" cm="1">
        <f t="array" ref="Z998">MMULT($G998:$Y998,'Nelson Factor_2019'!$B$1:$B$19)/$G998</f>
        <v>8.70472</v>
      </c>
      <c r="AA998" cm="1">
        <f t="array" ref="AA998">MMULT($G998:$R998,'Nelson Factor_2019'!$B$1:$B$12)/$G998</f>
        <v>8.5561142857142851</v>
      </c>
    </row>
    <row r="999" spans="1:27" x14ac:dyDescent="0.25">
      <c r="A999">
        <v>2012</v>
      </c>
      <c r="B999">
        <v>1</v>
      </c>
      <c r="C999">
        <v>1</v>
      </c>
      <c r="D999" t="s">
        <v>162</v>
      </c>
      <c r="E999" t="s">
        <v>138</v>
      </c>
      <c r="F999" t="s">
        <v>167</v>
      </c>
      <c r="G999">
        <v>330000</v>
      </c>
      <c r="H999">
        <v>157400</v>
      </c>
      <c r="I999">
        <v>0</v>
      </c>
      <c r="J999">
        <v>0</v>
      </c>
      <c r="K999">
        <v>113500</v>
      </c>
      <c r="L999">
        <v>68000</v>
      </c>
      <c r="M999">
        <v>0</v>
      </c>
      <c r="N999">
        <v>163600</v>
      </c>
      <c r="O999">
        <v>16700</v>
      </c>
      <c r="P999">
        <v>0</v>
      </c>
      <c r="Q999">
        <v>13700</v>
      </c>
      <c r="R999">
        <v>7300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 cm="1">
        <f t="array" ref="Z999">MMULT($G999:$Y999,'Nelson Factor_2019'!$B$1:$B$19)/$G999</f>
        <v>7.3561212121212121</v>
      </c>
      <c r="AA999" cm="1">
        <f t="array" ref="AA999">MMULT($G999:$R999,'Nelson Factor_2019'!$B$1:$B$12)/$G999</f>
        <v>7.3561212121212121</v>
      </c>
    </row>
    <row r="1000" spans="1:27" x14ac:dyDescent="0.25">
      <c r="A1000">
        <v>2012</v>
      </c>
      <c r="B1000">
        <v>1</v>
      </c>
      <c r="C1000">
        <v>1</v>
      </c>
      <c r="D1000" t="s">
        <v>162</v>
      </c>
      <c r="E1000" t="s">
        <v>168</v>
      </c>
      <c r="F1000" t="s">
        <v>169</v>
      </c>
      <c r="G1000">
        <v>66700</v>
      </c>
      <c r="H1000">
        <v>27000</v>
      </c>
      <c r="I1000">
        <v>0</v>
      </c>
      <c r="J1000">
        <v>0</v>
      </c>
      <c r="K1000">
        <v>23000</v>
      </c>
      <c r="L1000">
        <v>16000</v>
      </c>
      <c r="M1000">
        <v>0</v>
      </c>
      <c r="N1000">
        <v>40000</v>
      </c>
      <c r="O1000">
        <v>3500</v>
      </c>
      <c r="P1000">
        <v>1000</v>
      </c>
      <c r="Q1000">
        <v>0</v>
      </c>
      <c r="R1000">
        <v>6800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12000</v>
      </c>
      <c r="Z1000" cm="1">
        <f t="array" ref="Z1000">MMULT($G1000:$Y1000,'Nelson Factor_2019'!$B$1:$B$19)/$G1000</f>
        <v>7.5442278860569711</v>
      </c>
      <c r="AA1000" cm="1">
        <f t="array" ref="AA1000">MMULT($G1000:$R1000,'Nelson Factor_2019'!$B$1:$B$12)/$G1000</f>
        <v>7.2743628185907045</v>
      </c>
    </row>
    <row r="1001" spans="1:27" x14ac:dyDescent="0.25">
      <c r="A1001">
        <v>2012</v>
      </c>
      <c r="B1001">
        <v>2</v>
      </c>
      <c r="C1001">
        <v>1</v>
      </c>
      <c r="D1001" t="s">
        <v>170</v>
      </c>
      <c r="E1001" t="s">
        <v>66</v>
      </c>
      <c r="F1001" t="s">
        <v>172</v>
      </c>
      <c r="G1001">
        <v>195000</v>
      </c>
      <c r="H1001">
        <v>0</v>
      </c>
      <c r="I1001">
        <v>0</v>
      </c>
      <c r="J1001">
        <v>0</v>
      </c>
      <c r="K1001">
        <v>69000</v>
      </c>
      <c r="L1001">
        <v>36000</v>
      </c>
      <c r="M1001">
        <v>0</v>
      </c>
      <c r="N1001">
        <v>151315</v>
      </c>
      <c r="O1001">
        <v>12000</v>
      </c>
      <c r="P1001">
        <v>0</v>
      </c>
      <c r="Q1001">
        <v>0</v>
      </c>
      <c r="R1001">
        <v>4000</v>
      </c>
      <c r="S1001">
        <v>0</v>
      </c>
      <c r="T1001">
        <v>0</v>
      </c>
      <c r="U1001">
        <v>0</v>
      </c>
      <c r="V1001">
        <v>0</v>
      </c>
      <c r="W1001">
        <v>748</v>
      </c>
      <c r="X1001">
        <v>105</v>
      </c>
      <c r="Y1001">
        <v>0</v>
      </c>
      <c r="Z1001" cm="1">
        <f t="array" ref="Z1001">MMULT($G1001:$Y1001,'Nelson Factor_2019'!$B$1:$B$19)/$G1001</f>
        <v>6.79224358974359</v>
      </c>
      <c r="AA1001" cm="1">
        <f t="array" ref="AA1001">MMULT($G1001:$R1001,'Nelson Factor_2019'!$B$1:$B$12)/$G1001</f>
        <v>6.6630128205128205</v>
      </c>
    </row>
    <row r="1002" spans="1:27" x14ac:dyDescent="0.25">
      <c r="A1002">
        <v>2012</v>
      </c>
      <c r="B1002">
        <v>3</v>
      </c>
      <c r="C1002">
        <v>1</v>
      </c>
      <c r="D1002" t="s">
        <v>173</v>
      </c>
      <c r="E1002" t="s">
        <v>176</v>
      </c>
      <c r="F1002" t="s">
        <v>177</v>
      </c>
      <c r="G1002">
        <v>70000</v>
      </c>
      <c r="H1002">
        <v>24000</v>
      </c>
      <c r="I1002">
        <v>0</v>
      </c>
      <c r="J1002">
        <v>0</v>
      </c>
      <c r="K1002">
        <v>24000</v>
      </c>
      <c r="L1002">
        <v>21000</v>
      </c>
      <c r="M1002">
        <v>0</v>
      </c>
      <c r="N1002">
        <v>67950</v>
      </c>
      <c r="O1002">
        <v>5000</v>
      </c>
      <c r="P1002">
        <v>0</v>
      </c>
      <c r="Q1002">
        <v>2000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135</v>
      </c>
      <c r="Y1002">
        <v>8000</v>
      </c>
      <c r="Z1002" cm="1">
        <f t="array" ref="Z1002">MMULT($G1002:$Y1002,'Nelson Factor_2019'!$B$1:$B$19)/$G1002</f>
        <v>9.3496428571428574</v>
      </c>
      <c r="AA1002" cm="1">
        <f t="array" ref="AA1002">MMULT($G1002:$R1002,'Nelson Factor_2019'!$B$1:$B$12)/$G1002</f>
        <v>8.7153571428571421</v>
      </c>
    </row>
    <row r="1003" spans="1:27" x14ac:dyDescent="0.25">
      <c r="A1003">
        <v>2012</v>
      </c>
      <c r="B1003">
        <v>3</v>
      </c>
      <c r="C1003">
        <v>6</v>
      </c>
      <c r="D1003" t="s">
        <v>173</v>
      </c>
      <c r="E1003" t="s">
        <v>32</v>
      </c>
      <c r="F1003" t="s">
        <v>178</v>
      </c>
      <c r="G1003">
        <v>451250</v>
      </c>
      <c r="H1003">
        <v>225150</v>
      </c>
      <c r="I1003">
        <v>29700</v>
      </c>
      <c r="J1003">
        <v>0</v>
      </c>
      <c r="K1003">
        <v>163800</v>
      </c>
      <c r="L1003">
        <v>124200</v>
      </c>
      <c r="M1003">
        <v>117000</v>
      </c>
      <c r="N1003">
        <v>409050</v>
      </c>
      <c r="O1003">
        <v>33300</v>
      </c>
      <c r="P1003">
        <v>0</v>
      </c>
      <c r="Q1003">
        <v>85500</v>
      </c>
      <c r="R1003">
        <v>0</v>
      </c>
      <c r="S1003">
        <v>0</v>
      </c>
      <c r="T1003">
        <v>0</v>
      </c>
      <c r="U1003">
        <v>0</v>
      </c>
      <c r="V1003">
        <v>6.9</v>
      </c>
      <c r="W1003">
        <v>2495</v>
      </c>
      <c r="X1003">
        <v>1317</v>
      </c>
      <c r="Y1003">
        <v>0</v>
      </c>
      <c r="Z1003" cm="1">
        <f t="array" ref="Z1003">MMULT($G1003:$Y1003,'Nelson Factor_2019'!$B$1:$B$19)/$G1003</f>
        <v>15.264724432132965</v>
      </c>
      <c r="AA1003" cm="1">
        <f t="array" ref="AA1003">MMULT($G1003:$R1003,'Nelson Factor_2019'!$B$1:$B$12)/$G1003</f>
        <v>14.564254847645429</v>
      </c>
    </row>
    <row r="1004" spans="1:27" x14ac:dyDescent="0.25">
      <c r="A1004">
        <v>2012</v>
      </c>
      <c r="B1004">
        <v>3</v>
      </c>
      <c r="C1004">
        <v>4</v>
      </c>
      <c r="D1004" t="s">
        <v>173</v>
      </c>
      <c r="E1004" t="s">
        <v>79</v>
      </c>
      <c r="F1004" t="s">
        <v>179</v>
      </c>
      <c r="G1004">
        <v>156750</v>
      </c>
      <c r="H1004">
        <v>73625</v>
      </c>
      <c r="I1004">
        <v>37800</v>
      </c>
      <c r="J1004">
        <v>0</v>
      </c>
      <c r="K1004">
        <v>72450</v>
      </c>
      <c r="L1004">
        <v>45450</v>
      </c>
      <c r="M1004">
        <v>0</v>
      </c>
      <c r="N1004">
        <v>148230</v>
      </c>
      <c r="O1004">
        <v>18090</v>
      </c>
      <c r="P1004">
        <v>0</v>
      </c>
      <c r="Q1004">
        <v>30105</v>
      </c>
      <c r="R1004">
        <v>0</v>
      </c>
      <c r="S1004">
        <v>0</v>
      </c>
      <c r="T1004">
        <v>3600</v>
      </c>
      <c r="U1004">
        <v>0</v>
      </c>
      <c r="V1004">
        <v>0</v>
      </c>
      <c r="W1004">
        <v>2123</v>
      </c>
      <c r="X1004">
        <v>281.7</v>
      </c>
      <c r="Y1004">
        <v>0</v>
      </c>
      <c r="Z1004" cm="1">
        <f t="array" ref="Z1004">MMULT($G1004:$Y1004,'Nelson Factor_2019'!$B$1:$B$19)/$G1004</f>
        <v>15.662491228070175</v>
      </c>
      <c r="AA1004" cm="1">
        <f t="array" ref="AA1004">MMULT($G1004:$R1004,'Nelson Factor_2019'!$B$1:$B$12)/$G1004</f>
        <v>15.001515151515152</v>
      </c>
    </row>
    <row r="1005" spans="1:27" x14ac:dyDescent="0.25">
      <c r="A1005">
        <v>2012</v>
      </c>
      <c r="B1005">
        <v>3</v>
      </c>
      <c r="C1005">
        <v>4</v>
      </c>
      <c r="D1005" t="s">
        <v>173</v>
      </c>
      <c r="E1005" t="s">
        <v>51</v>
      </c>
      <c r="F1005" t="s">
        <v>182</v>
      </c>
      <c r="G1005">
        <v>247000</v>
      </c>
      <c r="H1005">
        <v>125500</v>
      </c>
      <c r="I1005">
        <v>70900</v>
      </c>
      <c r="J1005">
        <v>0</v>
      </c>
      <c r="K1005">
        <v>97000</v>
      </c>
      <c r="L1005">
        <v>33800</v>
      </c>
      <c r="M1005">
        <v>0</v>
      </c>
      <c r="N1005">
        <v>275500</v>
      </c>
      <c r="O1005">
        <v>19600</v>
      </c>
      <c r="P1005">
        <v>0</v>
      </c>
      <c r="Q1005">
        <v>17700</v>
      </c>
      <c r="R1005">
        <v>9100</v>
      </c>
      <c r="S1005">
        <v>0</v>
      </c>
      <c r="T1005">
        <v>0</v>
      </c>
      <c r="U1005">
        <v>0</v>
      </c>
      <c r="V1005">
        <v>165</v>
      </c>
      <c r="W1005">
        <v>4000</v>
      </c>
      <c r="X1005">
        <v>593</v>
      </c>
      <c r="Y1005">
        <v>0</v>
      </c>
      <c r="Z1005" cm="1">
        <f t="array" ref="Z1005">MMULT($G1005:$Y1005,'Nelson Factor_2019'!$B$1:$B$19)/$G1005</f>
        <v>12.556417004048583</v>
      </c>
      <c r="AA1005" cm="1">
        <f t="array" ref="AA1005">MMULT($G1005:$R1005,'Nelson Factor_2019'!$B$1:$B$12)/$G1005</f>
        <v>11.979554655870446</v>
      </c>
    </row>
    <row r="1006" spans="1:27" x14ac:dyDescent="0.25">
      <c r="A1006">
        <v>2012</v>
      </c>
      <c r="B1006">
        <v>3</v>
      </c>
      <c r="C1006">
        <v>4</v>
      </c>
      <c r="D1006" t="s">
        <v>173</v>
      </c>
      <c r="E1006" t="s">
        <v>236</v>
      </c>
      <c r="F1006" t="s">
        <v>188</v>
      </c>
      <c r="G1006">
        <v>60000</v>
      </c>
      <c r="H1006">
        <v>15000</v>
      </c>
      <c r="I1006">
        <v>6500</v>
      </c>
      <c r="J1006">
        <v>0</v>
      </c>
      <c r="K1006">
        <v>20200</v>
      </c>
      <c r="L1006">
        <v>17500</v>
      </c>
      <c r="M1006">
        <v>0</v>
      </c>
      <c r="N1006">
        <v>32000</v>
      </c>
      <c r="O1006">
        <v>4750</v>
      </c>
      <c r="P1006">
        <v>0</v>
      </c>
      <c r="Q1006">
        <v>0</v>
      </c>
      <c r="R1006">
        <v>5000</v>
      </c>
      <c r="S1006">
        <v>0</v>
      </c>
      <c r="T1006">
        <v>0</v>
      </c>
      <c r="U1006">
        <v>0</v>
      </c>
      <c r="V1006">
        <v>0</v>
      </c>
      <c r="W1006">
        <v>250</v>
      </c>
      <c r="X1006">
        <v>18</v>
      </c>
      <c r="Y1006">
        <v>0</v>
      </c>
      <c r="Z1006" cm="1">
        <f t="array" ref="Z1006">MMULT($G1006:$Y1006,'Nelson Factor_2019'!$B$1:$B$19)/$G1006</f>
        <v>8.0628333333333337</v>
      </c>
      <c r="AA1006" cm="1">
        <f t="array" ref="AA1006">MMULT($G1006:$R1006,'Nelson Factor_2019'!$B$1:$B$12)/$G1006</f>
        <v>7.9908333333333337</v>
      </c>
    </row>
    <row r="1007" spans="1:27" x14ac:dyDescent="0.25">
      <c r="A1007">
        <v>2012</v>
      </c>
      <c r="B1007">
        <v>3</v>
      </c>
      <c r="C1007">
        <v>6</v>
      </c>
      <c r="D1007" t="s">
        <v>173</v>
      </c>
      <c r="E1007" t="s">
        <v>54</v>
      </c>
      <c r="F1007" t="s">
        <v>185</v>
      </c>
      <c r="G1007">
        <v>560500</v>
      </c>
      <c r="H1007">
        <v>286000</v>
      </c>
      <c r="I1007">
        <v>90000</v>
      </c>
      <c r="J1007">
        <v>0</v>
      </c>
      <c r="K1007">
        <v>204500</v>
      </c>
      <c r="L1007">
        <v>120000</v>
      </c>
      <c r="M1007">
        <v>26500</v>
      </c>
      <c r="N1007">
        <v>756000</v>
      </c>
      <c r="O1007">
        <v>36000</v>
      </c>
      <c r="P1007">
        <v>0</v>
      </c>
      <c r="Q1007">
        <v>0</v>
      </c>
      <c r="R1007">
        <v>0</v>
      </c>
      <c r="S1007">
        <v>21500</v>
      </c>
      <c r="T1007">
        <v>0</v>
      </c>
      <c r="U1007">
        <v>0</v>
      </c>
      <c r="V1007">
        <v>0</v>
      </c>
      <c r="W1007">
        <v>3550</v>
      </c>
      <c r="X1007">
        <v>1550</v>
      </c>
      <c r="Y1007">
        <v>0</v>
      </c>
      <c r="Z1007" cm="1">
        <f t="array" ref="Z1007">MMULT($G1007:$Y1007,'Nelson Factor_2019'!$B$1:$B$19)/$G1007</f>
        <v>13.48492417484389</v>
      </c>
      <c r="AA1007" cm="1">
        <f t="array" ref="AA1007">MMULT($G1007:$R1007,'Nelson Factor_2019'!$B$1:$B$12)/$G1007</f>
        <v>10.51971454058876</v>
      </c>
    </row>
    <row r="1008" spans="1:27" x14ac:dyDescent="0.25">
      <c r="A1008">
        <v>2012</v>
      </c>
      <c r="B1008">
        <v>3</v>
      </c>
      <c r="C1008">
        <v>6</v>
      </c>
      <c r="D1008" t="s">
        <v>173</v>
      </c>
      <c r="E1008" t="s">
        <v>54</v>
      </c>
      <c r="F1008" t="s">
        <v>186</v>
      </c>
      <c r="G1008">
        <v>344500</v>
      </c>
      <c r="H1008">
        <v>143000</v>
      </c>
      <c r="I1008">
        <v>45500</v>
      </c>
      <c r="J1008">
        <v>0</v>
      </c>
      <c r="K1008">
        <v>113000</v>
      </c>
      <c r="L1008">
        <v>138500</v>
      </c>
      <c r="M1008">
        <v>60000</v>
      </c>
      <c r="N1008">
        <v>294000</v>
      </c>
      <c r="O1008">
        <v>14000</v>
      </c>
      <c r="P1008">
        <v>0</v>
      </c>
      <c r="Q1008">
        <v>0</v>
      </c>
      <c r="R1008">
        <v>24500</v>
      </c>
      <c r="S1008">
        <v>10000</v>
      </c>
      <c r="T1008">
        <v>3500</v>
      </c>
      <c r="U1008">
        <v>0</v>
      </c>
      <c r="V1008">
        <v>49.5</v>
      </c>
      <c r="W1008">
        <v>2720</v>
      </c>
      <c r="X1008">
        <v>560</v>
      </c>
      <c r="Y1008">
        <v>0</v>
      </c>
      <c r="Z1008" cm="1">
        <f t="array" ref="Z1008">MMULT($G1008:$Y1008,'Nelson Factor_2019'!$B$1:$B$19)/$G1008</f>
        <v>12.888532656023221</v>
      </c>
      <c r="AA1008" cm="1">
        <f t="array" ref="AA1008">MMULT($G1008:$R1008,'Nelson Factor_2019'!$B$1:$B$12)/$G1008</f>
        <v>10.655007256894049</v>
      </c>
    </row>
    <row r="1009" spans="1:27" x14ac:dyDescent="0.25">
      <c r="A1009">
        <v>2012</v>
      </c>
      <c r="B1009">
        <v>3</v>
      </c>
      <c r="C1009">
        <v>6</v>
      </c>
      <c r="D1009" t="s">
        <v>173</v>
      </c>
      <c r="E1009" t="s">
        <v>35</v>
      </c>
      <c r="F1009" t="s">
        <v>179</v>
      </c>
      <c r="G1009">
        <v>279300</v>
      </c>
      <c r="H1009">
        <v>83125</v>
      </c>
      <c r="I1009">
        <v>11970</v>
      </c>
      <c r="J1009">
        <v>0</v>
      </c>
      <c r="K1009">
        <v>96030</v>
      </c>
      <c r="L1009">
        <v>60750</v>
      </c>
      <c r="M1009">
        <v>11700</v>
      </c>
      <c r="N1009">
        <v>225090</v>
      </c>
      <c r="O1009">
        <v>12870</v>
      </c>
      <c r="P1009">
        <v>0</v>
      </c>
      <c r="Q1009">
        <v>44550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798</v>
      </c>
      <c r="X1009">
        <v>241</v>
      </c>
      <c r="Y1009">
        <v>0</v>
      </c>
      <c r="Z1009" cm="1">
        <f t="array" ref="Z1009">MMULT($G1009:$Y1009,'Nelson Factor_2019'!$B$1:$B$19)/$G1009</f>
        <v>11.06671142141067</v>
      </c>
      <c r="AA1009" cm="1">
        <f t="array" ref="AA1009">MMULT($G1009:$R1009,'Nelson Factor_2019'!$B$1:$B$12)/$G1009</f>
        <v>10.859622269960616</v>
      </c>
    </row>
    <row r="1010" spans="1:27" x14ac:dyDescent="0.25">
      <c r="A1010">
        <v>2012</v>
      </c>
      <c r="B1010">
        <v>3</v>
      </c>
      <c r="C1010">
        <v>4</v>
      </c>
      <c r="D1010" t="s">
        <v>173</v>
      </c>
      <c r="E1010" t="s">
        <v>244</v>
      </c>
      <c r="F1010" t="s">
        <v>190</v>
      </c>
      <c r="G1010">
        <v>268000</v>
      </c>
      <c r="H1010">
        <v>191100</v>
      </c>
      <c r="I1010">
        <v>98500</v>
      </c>
      <c r="J1010">
        <v>0</v>
      </c>
      <c r="K1010">
        <v>97000</v>
      </c>
      <c r="L1010">
        <v>33700</v>
      </c>
      <c r="M1010">
        <v>0</v>
      </c>
      <c r="N1010">
        <v>307900</v>
      </c>
      <c r="O1010">
        <v>11250</v>
      </c>
      <c r="P1010">
        <v>0</v>
      </c>
      <c r="Q1010">
        <v>8350</v>
      </c>
      <c r="R1010">
        <v>0</v>
      </c>
      <c r="S1010">
        <v>4050</v>
      </c>
      <c r="T1010">
        <v>4000</v>
      </c>
      <c r="U1010">
        <v>0</v>
      </c>
      <c r="V1010">
        <v>0</v>
      </c>
      <c r="W1010">
        <v>5000</v>
      </c>
      <c r="X1010">
        <v>1042</v>
      </c>
      <c r="Y1010">
        <v>0</v>
      </c>
      <c r="Z1010" cm="1">
        <f t="array" ref="Z1010">MMULT($G1010:$Y1010,'Nelson Factor_2019'!$B$1:$B$19)/$G1010</f>
        <v>13.388097014925373</v>
      </c>
      <c r="AA1010" cm="1">
        <f t="array" ref="AA1010">MMULT($G1010:$R1010,'Nelson Factor_2019'!$B$1:$B$12)/$G1010</f>
        <v>11.398992537313433</v>
      </c>
    </row>
    <row r="1011" spans="1:27" x14ac:dyDescent="0.25">
      <c r="A1011">
        <v>2012</v>
      </c>
      <c r="B1011">
        <v>3</v>
      </c>
      <c r="C1011">
        <v>1</v>
      </c>
      <c r="D1011" t="s">
        <v>173</v>
      </c>
      <c r="E1011" t="s">
        <v>249</v>
      </c>
      <c r="F1011" t="s">
        <v>178</v>
      </c>
      <c r="G1011">
        <v>80000</v>
      </c>
      <c r="H1011">
        <v>0</v>
      </c>
      <c r="I1011">
        <v>0</v>
      </c>
      <c r="J1011">
        <v>0</v>
      </c>
      <c r="K1011">
        <v>55600</v>
      </c>
      <c r="L1011">
        <v>10500</v>
      </c>
      <c r="M1011">
        <v>0</v>
      </c>
      <c r="N1011">
        <v>0</v>
      </c>
      <c r="O1011">
        <v>13800</v>
      </c>
      <c r="P1011">
        <v>0</v>
      </c>
      <c r="Q1011">
        <v>2800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36</v>
      </c>
      <c r="Y1011">
        <v>0</v>
      </c>
      <c r="Z1011" cm="1">
        <f t="array" ref="Z1011">MMULT($G1011:$Y1011,'Nelson Factor_2019'!$B$1:$B$19)/$G1011</f>
        <v>8.3592499999999994</v>
      </c>
      <c r="AA1011" cm="1">
        <f t="array" ref="AA1011">MMULT($G1011:$R1011,'Nelson Factor_2019'!$B$1:$B$12)/$G1011</f>
        <v>8.2512500000000006</v>
      </c>
    </row>
    <row r="1012" spans="1:27" x14ac:dyDescent="0.25">
      <c r="A1012">
        <v>2012</v>
      </c>
      <c r="B1012">
        <v>3</v>
      </c>
      <c r="C1012">
        <v>6</v>
      </c>
      <c r="D1012" t="s">
        <v>173</v>
      </c>
      <c r="E1012" t="s">
        <v>112</v>
      </c>
      <c r="F1012" t="s">
        <v>191</v>
      </c>
      <c r="G1012">
        <v>325000</v>
      </c>
      <c r="H1012">
        <v>138000</v>
      </c>
      <c r="I1012">
        <v>95000</v>
      </c>
      <c r="J1012">
        <v>0</v>
      </c>
      <c r="K1012">
        <v>88000</v>
      </c>
      <c r="L1012">
        <v>45000</v>
      </c>
      <c r="M1012">
        <v>20000</v>
      </c>
      <c r="N1012">
        <v>263700</v>
      </c>
      <c r="O1012">
        <v>19000</v>
      </c>
      <c r="P1012">
        <v>0</v>
      </c>
      <c r="Q1012">
        <v>0</v>
      </c>
      <c r="R1012">
        <v>0</v>
      </c>
      <c r="S1012">
        <v>39000</v>
      </c>
      <c r="T1012">
        <v>0</v>
      </c>
      <c r="U1012">
        <v>0</v>
      </c>
      <c r="V1012">
        <v>0</v>
      </c>
      <c r="W1012">
        <v>2450</v>
      </c>
      <c r="X1012">
        <v>660</v>
      </c>
      <c r="Y1012">
        <v>0</v>
      </c>
      <c r="Z1012" cm="1">
        <f t="array" ref="Z1012">MMULT($G1012:$Y1012,'Nelson Factor_2019'!$B$1:$B$19)/$G1012</f>
        <v>16.853999999999999</v>
      </c>
      <c r="AA1012" cm="1">
        <f t="array" ref="AA1012">MMULT($G1012:$R1012,'Nelson Factor_2019'!$B$1:$B$12)/$G1012</f>
        <v>9.1666153846153851</v>
      </c>
    </row>
    <row r="1013" spans="1:27" x14ac:dyDescent="0.25">
      <c r="A1013">
        <v>2012</v>
      </c>
      <c r="B1013">
        <v>3</v>
      </c>
      <c r="C1013">
        <v>0</v>
      </c>
      <c r="D1013" t="s">
        <v>173</v>
      </c>
      <c r="E1013" t="s">
        <v>254</v>
      </c>
      <c r="F1013" t="s">
        <v>175</v>
      </c>
      <c r="G1013">
        <v>14500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1200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 cm="1">
        <f t="array" ref="Z1013">MMULT($G1013:$Y1013,'Nelson Factor_2019'!$B$1:$B$19)/$G1013</f>
        <v>2.6551724137931036</v>
      </c>
      <c r="AA1013" cm="1">
        <f t="array" ref="AA1013">MMULT($G1013:$R1013,'Nelson Factor_2019'!$B$1:$B$12)/$G1013</f>
        <v>2.6551724137931036</v>
      </c>
    </row>
    <row r="1014" spans="1:27" x14ac:dyDescent="0.25">
      <c r="A1014">
        <v>2012</v>
      </c>
      <c r="B1014">
        <v>3</v>
      </c>
      <c r="C1014">
        <v>4</v>
      </c>
      <c r="D1014" t="s">
        <v>173</v>
      </c>
      <c r="E1014" t="s">
        <v>229</v>
      </c>
      <c r="F1014" t="s">
        <v>184</v>
      </c>
      <c r="G1014">
        <v>117000</v>
      </c>
      <c r="H1014">
        <v>41000</v>
      </c>
      <c r="I1014">
        <v>12000</v>
      </c>
      <c r="J1014">
        <v>0</v>
      </c>
      <c r="K1014">
        <v>50000</v>
      </c>
      <c r="L1014">
        <v>20000</v>
      </c>
      <c r="M1014">
        <v>0</v>
      </c>
      <c r="N1014">
        <v>44000</v>
      </c>
      <c r="O1014">
        <v>11000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500</v>
      </c>
      <c r="X1014">
        <v>24</v>
      </c>
      <c r="Y1014">
        <v>0</v>
      </c>
      <c r="Z1014" cm="1">
        <f t="array" ref="Z1014">MMULT($G1014:$Y1014,'Nelson Factor_2019'!$B$1:$B$19)/$G1014</f>
        <v>7.5731623931623933</v>
      </c>
      <c r="AA1014" cm="1">
        <f t="array" ref="AA1014">MMULT($G1014:$R1014,'Nelson Factor_2019'!$B$1:$B$12)/$G1014</f>
        <v>7.5239316239316238</v>
      </c>
    </row>
    <row r="1015" spans="1:27" x14ac:dyDescent="0.25">
      <c r="A1015">
        <v>2012</v>
      </c>
      <c r="B1015">
        <v>3</v>
      </c>
      <c r="C1015">
        <v>6</v>
      </c>
      <c r="D1015" t="s">
        <v>173</v>
      </c>
      <c r="E1015" t="s">
        <v>192</v>
      </c>
      <c r="F1015" t="s">
        <v>193</v>
      </c>
      <c r="G1015">
        <v>327000</v>
      </c>
      <c r="H1015">
        <v>173100</v>
      </c>
      <c r="I1015">
        <v>81600</v>
      </c>
      <c r="J1015">
        <v>0</v>
      </c>
      <c r="K1015">
        <v>66300</v>
      </c>
      <c r="L1015">
        <v>67100</v>
      </c>
      <c r="M1015">
        <v>53400</v>
      </c>
      <c r="N1015">
        <v>238400</v>
      </c>
      <c r="O1015">
        <v>17600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56.6</v>
      </c>
      <c r="V1015">
        <v>35.299999999999997</v>
      </c>
      <c r="W1015">
        <v>6417</v>
      </c>
      <c r="X1015">
        <v>1011</v>
      </c>
      <c r="Y1015">
        <v>0</v>
      </c>
      <c r="Z1015" cm="1">
        <f t="array" ref="Z1015">MMULT($G1015:$Y1015,'Nelson Factor_2019'!$B$1:$B$19)/$G1015</f>
        <v>10.21181009174312</v>
      </c>
      <c r="AA1015" cm="1">
        <f t="array" ref="AA1015">MMULT($G1015:$R1015,'Nelson Factor_2019'!$B$1:$B$12)/$G1015</f>
        <v>9.4695107033639143</v>
      </c>
    </row>
    <row r="1016" spans="1:27" x14ac:dyDescent="0.25">
      <c r="A1016">
        <v>2012</v>
      </c>
      <c r="B1016">
        <v>3</v>
      </c>
      <c r="C1016">
        <v>4</v>
      </c>
      <c r="D1016" t="s">
        <v>173</v>
      </c>
      <c r="E1016" t="s">
        <v>194</v>
      </c>
      <c r="F1016" t="s">
        <v>191</v>
      </c>
      <c r="G1016">
        <v>173589</v>
      </c>
      <c r="H1016">
        <v>109315</v>
      </c>
      <c r="I1016">
        <v>50438</v>
      </c>
      <c r="J1016">
        <v>0</v>
      </c>
      <c r="K1016">
        <v>76493</v>
      </c>
      <c r="L1016">
        <v>37539</v>
      </c>
      <c r="M1016">
        <v>0</v>
      </c>
      <c r="N1016">
        <v>232278</v>
      </c>
      <c r="O1016">
        <v>5955</v>
      </c>
      <c r="P1016">
        <v>0</v>
      </c>
      <c r="Q1016">
        <v>57314</v>
      </c>
      <c r="R1016">
        <v>9644</v>
      </c>
      <c r="S1016">
        <v>0</v>
      </c>
      <c r="T1016">
        <v>0</v>
      </c>
      <c r="U1016">
        <v>0</v>
      </c>
      <c r="V1016">
        <v>0</v>
      </c>
      <c r="W1016">
        <v>0</v>
      </c>
      <c r="X1016">
        <v>683</v>
      </c>
      <c r="Y1016">
        <v>1667</v>
      </c>
      <c r="Z1016" cm="1">
        <f t="array" ref="Z1016">MMULT($G1016:$Y1016,'Nelson Factor_2019'!$B$1:$B$19)/$G1016</f>
        <v>19.140118325469931</v>
      </c>
      <c r="AA1016" cm="1">
        <f t="array" ref="AA1016">MMULT($G1016:$R1016,'Nelson Factor_2019'!$B$1:$B$12)/$G1016</f>
        <v>18.181414144905496</v>
      </c>
    </row>
    <row r="1017" spans="1:27" x14ac:dyDescent="0.25">
      <c r="A1017">
        <v>2012</v>
      </c>
      <c r="B1017">
        <v>3</v>
      </c>
      <c r="C1017">
        <v>6</v>
      </c>
      <c r="D1017" t="s">
        <v>173</v>
      </c>
      <c r="E1017" t="s">
        <v>66</v>
      </c>
      <c r="F1017" t="s">
        <v>179</v>
      </c>
      <c r="G1017">
        <v>205000</v>
      </c>
      <c r="H1017">
        <v>95000</v>
      </c>
      <c r="I1017">
        <v>17500</v>
      </c>
      <c r="J1017">
        <v>0</v>
      </c>
      <c r="K1017">
        <v>92000</v>
      </c>
      <c r="L1017">
        <v>47000</v>
      </c>
      <c r="M1017">
        <v>49000</v>
      </c>
      <c r="N1017">
        <v>296000</v>
      </c>
      <c r="O1017">
        <v>21300</v>
      </c>
      <c r="P1017">
        <v>11200</v>
      </c>
      <c r="Q1017">
        <v>23000</v>
      </c>
      <c r="R1017">
        <v>12000</v>
      </c>
      <c r="S1017">
        <v>0</v>
      </c>
      <c r="T1017">
        <v>0</v>
      </c>
      <c r="U1017">
        <v>194</v>
      </c>
      <c r="V1017">
        <v>74</v>
      </c>
      <c r="W1017">
        <v>998</v>
      </c>
      <c r="X1017">
        <v>790</v>
      </c>
      <c r="Y1017">
        <v>38000</v>
      </c>
      <c r="Z1017" cm="1">
        <f t="array" ref="Z1017">MMULT($G1017:$Y1017,'Nelson Factor_2019'!$B$1:$B$19)/$G1017</f>
        <v>16.812770731707317</v>
      </c>
      <c r="AA1017" cm="1">
        <f t="array" ref="AA1017">MMULT($G1017:$R1017,'Nelson Factor_2019'!$B$1:$B$12)/$G1017</f>
        <v>15.608536585365854</v>
      </c>
    </row>
    <row r="1018" spans="1:27" x14ac:dyDescent="0.25">
      <c r="A1018">
        <v>2012</v>
      </c>
      <c r="B1018">
        <v>3</v>
      </c>
      <c r="C1018">
        <v>3</v>
      </c>
      <c r="D1018" t="s">
        <v>173</v>
      </c>
      <c r="E1018" t="s">
        <v>66</v>
      </c>
      <c r="F1018" t="s">
        <v>190</v>
      </c>
      <c r="G1018">
        <v>90000</v>
      </c>
      <c r="H1018">
        <v>39000</v>
      </c>
      <c r="I1018">
        <v>0</v>
      </c>
      <c r="J1018">
        <v>0</v>
      </c>
      <c r="K1018">
        <v>67000</v>
      </c>
      <c r="L1018">
        <v>0</v>
      </c>
      <c r="M1018">
        <v>34000</v>
      </c>
      <c r="N1018">
        <v>88500</v>
      </c>
      <c r="O1018">
        <v>11000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300</v>
      </c>
      <c r="Y1018">
        <v>0</v>
      </c>
      <c r="Z1018" cm="1">
        <f t="array" ref="Z1018">MMULT($G1018:$Y1018,'Nelson Factor_2019'!$B$1:$B$19)/$G1018</f>
        <v>13.532777777777778</v>
      </c>
      <c r="AA1018" cm="1">
        <f t="array" ref="AA1018">MMULT($G1018:$R1018,'Nelson Factor_2019'!$B$1:$B$12)/$G1018</f>
        <v>12.732777777777779</v>
      </c>
    </row>
    <row r="1019" spans="1:27" x14ac:dyDescent="0.25">
      <c r="A1019">
        <v>2012</v>
      </c>
      <c r="B1019">
        <v>3</v>
      </c>
      <c r="C1019">
        <v>6</v>
      </c>
      <c r="D1019" t="s">
        <v>173</v>
      </c>
      <c r="E1019" t="s">
        <v>66</v>
      </c>
      <c r="F1019" t="s">
        <v>191</v>
      </c>
      <c r="G1019">
        <v>310000</v>
      </c>
      <c r="H1019">
        <v>145000</v>
      </c>
      <c r="I1019">
        <v>100000</v>
      </c>
      <c r="J1019">
        <v>0</v>
      </c>
      <c r="K1019">
        <v>80000</v>
      </c>
      <c r="L1019">
        <v>53000</v>
      </c>
      <c r="M1019">
        <v>45000</v>
      </c>
      <c r="N1019">
        <v>282000</v>
      </c>
      <c r="O1019">
        <v>20000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105</v>
      </c>
      <c r="V1019">
        <v>6</v>
      </c>
      <c r="W1019">
        <v>6200</v>
      </c>
      <c r="X1019">
        <v>1050</v>
      </c>
      <c r="Y1019">
        <v>0</v>
      </c>
      <c r="Z1019" cm="1">
        <f t="array" ref="Z1019">MMULT($G1019:$Y1019,'Nelson Factor_2019'!$B$1:$B$19)/$G1019</f>
        <v>11.324551612903226</v>
      </c>
      <c r="AA1019" cm="1">
        <f t="array" ref="AA1019">MMULT($G1019:$R1019,'Nelson Factor_2019'!$B$1:$B$12)/$G1019</f>
        <v>10.511290322580646</v>
      </c>
    </row>
    <row r="1020" spans="1:27" x14ac:dyDescent="0.25">
      <c r="A1020">
        <v>2012</v>
      </c>
      <c r="B1020">
        <v>3</v>
      </c>
      <c r="C1020">
        <v>3</v>
      </c>
      <c r="D1020" t="s">
        <v>173</v>
      </c>
      <c r="E1020" t="s">
        <v>66</v>
      </c>
      <c r="F1020" t="s">
        <v>195</v>
      </c>
      <c r="G1020">
        <v>170000</v>
      </c>
      <c r="H1020">
        <v>53200</v>
      </c>
      <c r="I1020">
        <v>0</v>
      </c>
      <c r="J1020">
        <v>0</v>
      </c>
      <c r="K1020">
        <v>54465</v>
      </c>
      <c r="L1020">
        <v>47400</v>
      </c>
      <c r="M1020">
        <v>29500</v>
      </c>
      <c r="N1020">
        <v>97612</v>
      </c>
      <c r="O1020">
        <v>9500</v>
      </c>
      <c r="P1020">
        <v>0</v>
      </c>
      <c r="Q1020">
        <v>0</v>
      </c>
      <c r="R1020">
        <v>7000</v>
      </c>
      <c r="S1020">
        <v>0</v>
      </c>
      <c r="T1020">
        <v>4900</v>
      </c>
      <c r="U1020">
        <v>0</v>
      </c>
      <c r="V1020">
        <v>0</v>
      </c>
      <c r="W1020">
        <v>0</v>
      </c>
      <c r="X1020">
        <v>60</v>
      </c>
      <c r="Y1020">
        <v>0</v>
      </c>
      <c r="Z1020" cm="1">
        <f t="array" ref="Z1020">MMULT($G1020:$Y1020,'Nelson Factor_2019'!$B$1:$B$19)/$G1020</f>
        <v>8.6022352941176479</v>
      </c>
      <c r="AA1020" cm="1">
        <f t="array" ref="AA1020">MMULT($G1020:$R1020,'Nelson Factor_2019'!$B$1:$B$12)/$G1020</f>
        <v>8.2292941176470595</v>
      </c>
    </row>
    <row r="1021" spans="1:27" x14ac:dyDescent="0.25">
      <c r="A1021">
        <v>2012</v>
      </c>
      <c r="B1021">
        <v>3</v>
      </c>
      <c r="C1021">
        <v>4</v>
      </c>
      <c r="D1021" t="s">
        <v>173</v>
      </c>
      <c r="E1021" t="s">
        <v>66</v>
      </c>
      <c r="F1021" t="s">
        <v>178</v>
      </c>
      <c r="G1021">
        <v>245000</v>
      </c>
      <c r="H1021">
        <v>130000</v>
      </c>
      <c r="I1021">
        <v>50000</v>
      </c>
      <c r="J1021">
        <v>0</v>
      </c>
      <c r="K1021">
        <v>80000</v>
      </c>
      <c r="L1021">
        <v>14500</v>
      </c>
      <c r="M1021">
        <v>0</v>
      </c>
      <c r="N1021">
        <v>263000</v>
      </c>
      <c r="O1021">
        <v>12000</v>
      </c>
      <c r="P1021">
        <v>0</v>
      </c>
      <c r="Q1021">
        <v>0</v>
      </c>
      <c r="R1021">
        <v>6500</v>
      </c>
      <c r="S1021">
        <v>0</v>
      </c>
      <c r="T1021">
        <v>2500</v>
      </c>
      <c r="U1021">
        <v>0</v>
      </c>
      <c r="V1021">
        <v>60</v>
      </c>
      <c r="W1021">
        <v>3000</v>
      </c>
      <c r="X1021">
        <v>890</v>
      </c>
      <c r="Y1021">
        <v>0</v>
      </c>
      <c r="Z1021" cm="1">
        <f t="array" ref="Z1021">MMULT($G1021:$Y1021,'Nelson Factor_2019'!$B$1:$B$19)/$G1021</f>
        <v>9.7026938775510203</v>
      </c>
      <c r="AA1021" cm="1">
        <f t="array" ref="AA1021">MMULT($G1021:$R1021,'Nelson Factor_2019'!$B$1:$B$12)/$G1021</f>
        <v>8.7285714285714278</v>
      </c>
    </row>
    <row r="1022" spans="1:27" x14ac:dyDescent="0.25">
      <c r="A1022">
        <v>2012</v>
      </c>
      <c r="B1022">
        <v>3</v>
      </c>
      <c r="C1022">
        <v>1</v>
      </c>
      <c r="D1022" t="s">
        <v>173</v>
      </c>
      <c r="E1022" t="s">
        <v>66</v>
      </c>
      <c r="F1022" t="s">
        <v>196</v>
      </c>
      <c r="G1022">
        <v>100000</v>
      </c>
      <c r="H1022">
        <v>35000</v>
      </c>
      <c r="I1022">
        <v>0</v>
      </c>
      <c r="J1022">
        <v>0</v>
      </c>
      <c r="K1022">
        <v>24500</v>
      </c>
      <c r="L1022">
        <v>34000</v>
      </c>
      <c r="M1022">
        <v>0</v>
      </c>
      <c r="N1022">
        <v>78300</v>
      </c>
      <c r="O1022">
        <v>6500</v>
      </c>
      <c r="P1022">
        <v>0</v>
      </c>
      <c r="Q1022">
        <v>18000</v>
      </c>
      <c r="R1022">
        <v>0</v>
      </c>
      <c r="S1022">
        <v>3200</v>
      </c>
      <c r="T1022">
        <v>0</v>
      </c>
      <c r="U1022">
        <v>0</v>
      </c>
      <c r="V1022">
        <v>10</v>
      </c>
      <c r="W1022">
        <v>0</v>
      </c>
      <c r="X1022">
        <v>0</v>
      </c>
      <c r="Y1022">
        <v>0</v>
      </c>
      <c r="Z1022" cm="1">
        <f t="array" ref="Z1022">MMULT($G1022:$Y1022,'Nelson Factor_2019'!$B$1:$B$19)/$G1022</f>
        <v>12.752599999999999</v>
      </c>
      <c r="AA1022" cm="1">
        <f t="array" ref="AA1022">MMULT($G1022:$R1022,'Nelson Factor_2019'!$B$1:$B$12)/$G1022</f>
        <v>10.8325</v>
      </c>
    </row>
    <row r="1023" spans="1:27" x14ac:dyDescent="0.25">
      <c r="A1023">
        <v>2012</v>
      </c>
      <c r="B1023">
        <v>3</v>
      </c>
      <c r="C1023">
        <v>1</v>
      </c>
      <c r="D1023" t="s">
        <v>173</v>
      </c>
      <c r="E1023" t="s">
        <v>197</v>
      </c>
      <c r="F1023" t="s">
        <v>198</v>
      </c>
      <c r="G1023">
        <v>125000</v>
      </c>
      <c r="H1023">
        <v>34700</v>
      </c>
      <c r="I1023">
        <v>0</v>
      </c>
      <c r="J1023">
        <v>0</v>
      </c>
      <c r="K1023">
        <v>28000</v>
      </c>
      <c r="L1023">
        <v>18000</v>
      </c>
      <c r="M1023">
        <v>0</v>
      </c>
      <c r="N1023">
        <v>37800</v>
      </c>
      <c r="O1023">
        <v>10000</v>
      </c>
      <c r="P1023">
        <v>0</v>
      </c>
      <c r="Q1023">
        <v>0</v>
      </c>
      <c r="R1023">
        <v>2500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20</v>
      </c>
      <c r="Y1023">
        <v>4800</v>
      </c>
      <c r="Z1023" cm="1">
        <f t="array" ref="Z1023">MMULT($G1023:$Y1023,'Nelson Factor_2019'!$B$1:$B$19)/$G1023</f>
        <v>5.1368799999999997</v>
      </c>
      <c r="AA1023" cm="1">
        <f t="array" ref="AA1023">MMULT($G1023:$R1023,'Nelson Factor_2019'!$B$1:$B$12)/$G1023</f>
        <v>5.0408799999999996</v>
      </c>
    </row>
    <row r="1024" spans="1:27" x14ac:dyDescent="0.25">
      <c r="A1024">
        <v>2012</v>
      </c>
      <c r="B1024">
        <v>3</v>
      </c>
      <c r="C1024">
        <v>4</v>
      </c>
      <c r="D1024" t="s">
        <v>173</v>
      </c>
      <c r="E1024" t="s">
        <v>240</v>
      </c>
      <c r="F1024" t="s">
        <v>181</v>
      </c>
      <c r="G1024">
        <v>146000</v>
      </c>
      <c r="H1024">
        <v>75000</v>
      </c>
      <c r="I1024">
        <v>26000</v>
      </c>
      <c r="J1024">
        <v>0</v>
      </c>
      <c r="K1024">
        <v>55000</v>
      </c>
      <c r="L1024">
        <v>29000</v>
      </c>
      <c r="M1024">
        <v>0</v>
      </c>
      <c r="N1024">
        <v>154000</v>
      </c>
      <c r="O1024">
        <v>17000</v>
      </c>
      <c r="P1024">
        <v>0</v>
      </c>
      <c r="Q1024">
        <v>0</v>
      </c>
      <c r="R1024">
        <v>44000</v>
      </c>
      <c r="S1024">
        <v>0</v>
      </c>
      <c r="T1024">
        <v>0</v>
      </c>
      <c r="U1024">
        <v>90</v>
      </c>
      <c r="V1024">
        <v>10</v>
      </c>
      <c r="W1024">
        <v>1250</v>
      </c>
      <c r="X1024">
        <v>400</v>
      </c>
      <c r="Y1024">
        <v>0</v>
      </c>
      <c r="Z1024" cm="1">
        <f t="array" ref="Z1024">MMULT($G1024:$Y1024,'Nelson Factor_2019'!$B$1:$B$19)/$G1024</f>
        <v>11.62054794520548</v>
      </c>
      <c r="AA1024" cm="1">
        <f t="array" ref="AA1024">MMULT($G1024:$R1024,'Nelson Factor_2019'!$B$1:$B$12)/$G1024</f>
        <v>10.962328767123287</v>
      </c>
    </row>
    <row r="1025" spans="1:27" x14ac:dyDescent="0.25">
      <c r="A1025">
        <v>2012</v>
      </c>
      <c r="B1025">
        <v>4</v>
      </c>
      <c r="C1025">
        <v>1</v>
      </c>
      <c r="D1025" t="s">
        <v>199</v>
      </c>
      <c r="E1025" t="s">
        <v>237</v>
      </c>
      <c r="F1025" t="s">
        <v>201</v>
      </c>
      <c r="G1025">
        <v>30000</v>
      </c>
      <c r="H1025">
        <v>5000</v>
      </c>
      <c r="I1025">
        <v>0</v>
      </c>
      <c r="J1025">
        <v>0</v>
      </c>
      <c r="K1025">
        <v>11500</v>
      </c>
      <c r="L1025">
        <v>7300</v>
      </c>
      <c r="M1025">
        <v>0</v>
      </c>
      <c r="N1025">
        <v>18500</v>
      </c>
      <c r="O1025">
        <v>2500</v>
      </c>
      <c r="P1025">
        <v>0</v>
      </c>
      <c r="Q1025">
        <v>0</v>
      </c>
      <c r="R1025">
        <v>4200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4</v>
      </c>
      <c r="Y1025">
        <v>0</v>
      </c>
      <c r="Z1025" cm="1">
        <f t="array" ref="Z1025">MMULT($G1025:$Y1025,'Nelson Factor_2019'!$B$1:$B$19)/$G1025</f>
        <v>7.5603333333333333</v>
      </c>
      <c r="AA1025" cm="1">
        <f t="array" ref="AA1025">MMULT($G1025:$R1025,'Nelson Factor_2019'!$B$1:$B$12)/$G1025</f>
        <v>7.5283333333333333</v>
      </c>
    </row>
    <row r="1026" spans="1:27" x14ac:dyDescent="0.25">
      <c r="A1026">
        <v>2012</v>
      </c>
      <c r="B1026">
        <v>4</v>
      </c>
      <c r="C1026">
        <v>4</v>
      </c>
      <c r="D1026" t="s">
        <v>199</v>
      </c>
      <c r="E1026" t="s">
        <v>227</v>
      </c>
      <c r="F1026" t="s">
        <v>201</v>
      </c>
      <c r="G1026">
        <v>45000</v>
      </c>
      <c r="H1026">
        <v>25600</v>
      </c>
      <c r="I1026">
        <v>7200</v>
      </c>
      <c r="J1026">
        <v>0</v>
      </c>
      <c r="K1026">
        <v>13000</v>
      </c>
      <c r="L1026">
        <v>7000</v>
      </c>
      <c r="M1026">
        <v>0</v>
      </c>
      <c r="N1026">
        <v>39000</v>
      </c>
      <c r="O1026">
        <v>4500</v>
      </c>
      <c r="P1026">
        <v>0</v>
      </c>
      <c r="Q1026">
        <v>0</v>
      </c>
      <c r="R1026">
        <v>1000</v>
      </c>
      <c r="S1026">
        <v>0</v>
      </c>
      <c r="T1026">
        <v>0</v>
      </c>
      <c r="U1026">
        <v>0</v>
      </c>
      <c r="V1026">
        <v>0</v>
      </c>
      <c r="W1026">
        <v>281</v>
      </c>
      <c r="X1026">
        <v>56</v>
      </c>
      <c r="Y1026">
        <v>0</v>
      </c>
      <c r="Z1026" cm="1">
        <f t="array" ref="Z1026">MMULT($G1026:$Y1026,'Nelson Factor_2019'!$B$1:$B$19)/$G1026</f>
        <v>8.9826666666666668</v>
      </c>
      <c r="AA1026" cm="1">
        <f t="array" ref="AA1026">MMULT($G1026:$R1026,'Nelson Factor_2019'!$B$1:$B$12)/$G1026</f>
        <v>8.6839999999999993</v>
      </c>
    </row>
    <row r="1027" spans="1:27" x14ac:dyDescent="0.25">
      <c r="A1027">
        <v>2012</v>
      </c>
      <c r="B1027">
        <v>4</v>
      </c>
      <c r="C1027">
        <v>1</v>
      </c>
      <c r="D1027" t="s">
        <v>199</v>
      </c>
      <c r="E1027" t="s">
        <v>251</v>
      </c>
      <c r="F1027" t="s">
        <v>203</v>
      </c>
      <c r="G1027">
        <v>29450</v>
      </c>
      <c r="H1027">
        <v>0</v>
      </c>
      <c r="I1027">
        <v>0</v>
      </c>
      <c r="J1027">
        <v>0</v>
      </c>
      <c r="K1027">
        <v>8900</v>
      </c>
      <c r="L1027">
        <v>8000</v>
      </c>
      <c r="M1027">
        <v>0</v>
      </c>
      <c r="N1027">
        <v>25000</v>
      </c>
      <c r="O1027">
        <v>2900</v>
      </c>
      <c r="P1027">
        <v>0</v>
      </c>
      <c r="Q1027">
        <v>0</v>
      </c>
      <c r="R1027">
        <v>3000</v>
      </c>
      <c r="S1027">
        <v>0</v>
      </c>
      <c r="T1027">
        <v>0</v>
      </c>
      <c r="U1027">
        <v>0</v>
      </c>
      <c r="V1027">
        <v>0</v>
      </c>
      <c r="W1027">
        <v>0</v>
      </c>
      <c r="X1027">
        <v>10</v>
      </c>
      <c r="Y1027">
        <v>0</v>
      </c>
      <c r="Z1027" cm="1">
        <f t="array" ref="Z1027">MMULT($G1027:$Y1027,'Nelson Factor_2019'!$B$1:$B$19)/$G1027</f>
        <v>7.6655348047538201</v>
      </c>
      <c r="AA1027" cm="1">
        <f t="array" ref="AA1027">MMULT($G1027:$R1027,'Nelson Factor_2019'!$B$1:$B$12)/$G1027</f>
        <v>7.5840407470288627</v>
      </c>
    </row>
    <row r="1028" spans="1:27" x14ac:dyDescent="0.25">
      <c r="A1028">
        <v>2012</v>
      </c>
      <c r="B1028">
        <v>4</v>
      </c>
      <c r="C1028">
        <v>0</v>
      </c>
      <c r="D1028" t="s">
        <v>199</v>
      </c>
      <c r="E1028" t="s">
        <v>204</v>
      </c>
      <c r="F1028" t="s">
        <v>203</v>
      </c>
      <c r="G1028">
        <v>6250</v>
      </c>
      <c r="H1028">
        <v>6000</v>
      </c>
      <c r="I1028">
        <v>0</v>
      </c>
      <c r="J1028">
        <v>0</v>
      </c>
      <c r="K1028">
        <v>0</v>
      </c>
      <c r="L1028">
        <v>2200</v>
      </c>
      <c r="M1028">
        <v>0</v>
      </c>
      <c r="N1028">
        <v>6200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1200</v>
      </c>
      <c r="Z1028" cm="1">
        <f t="array" ref="Z1028">MMULT($G1028:$Y1028,'Nelson Factor_2019'!$B$1:$B$19)/$G1028</f>
        <v>6.7759999999999998</v>
      </c>
      <c r="AA1028" cm="1">
        <f t="array" ref="AA1028">MMULT($G1028:$R1028,'Nelson Factor_2019'!$B$1:$B$12)/$G1028</f>
        <v>6.4880000000000004</v>
      </c>
    </row>
    <row r="1029" spans="1:27" x14ac:dyDescent="0.25">
      <c r="A1029">
        <v>2012</v>
      </c>
      <c r="B1029">
        <v>4</v>
      </c>
      <c r="C1029">
        <v>1</v>
      </c>
      <c r="D1029" t="s">
        <v>199</v>
      </c>
      <c r="E1029" t="s">
        <v>148</v>
      </c>
      <c r="F1029" t="s">
        <v>201</v>
      </c>
      <c r="G1029">
        <v>60000</v>
      </c>
      <c r="H1029">
        <v>0</v>
      </c>
      <c r="I1029">
        <v>0</v>
      </c>
      <c r="J1029">
        <v>0</v>
      </c>
      <c r="K1029">
        <v>23000</v>
      </c>
      <c r="L1029">
        <v>12000</v>
      </c>
      <c r="M1029">
        <v>0</v>
      </c>
      <c r="N1029">
        <v>23000</v>
      </c>
      <c r="O1029">
        <v>6000</v>
      </c>
      <c r="P1029">
        <v>0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0</v>
      </c>
      <c r="X1029">
        <v>15</v>
      </c>
      <c r="Y1029">
        <v>0</v>
      </c>
      <c r="Z1029" cm="1">
        <f t="array" ref="Z1029">MMULT($G1029:$Y1029,'Nelson Factor_2019'!$B$1:$B$19)/$G1029</f>
        <v>6.3183333333333334</v>
      </c>
      <c r="AA1029" cm="1">
        <f t="array" ref="AA1029">MMULT($G1029:$R1029,'Nelson Factor_2019'!$B$1:$B$12)/$G1029</f>
        <v>6.2583333333333337</v>
      </c>
    </row>
    <row r="1030" spans="1:27" x14ac:dyDescent="0.25">
      <c r="A1030">
        <v>2012</v>
      </c>
      <c r="B1030">
        <v>5</v>
      </c>
      <c r="C1030">
        <v>5</v>
      </c>
      <c r="D1030" t="s">
        <v>208</v>
      </c>
      <c r="E1030" t="s">
        <v>32</v>
      </c>
      <c r="F1030" t="s">
        <v>209</v>
      </c>
      <c r="G1030">
        <v>222300</v>
      </c>
      <c r="H1030">
        <v>100700</v>
      </c>
      <c r="I1030">
        <v>55800</v>
      </c>
      <c r="J1030">
        <v>0</v>
      </c>
      <c r="K1030">
        <v>0</v>
      </c>
      <c r="L1030">
        <v>58500</v>
      </c>
      <c r="M1030">
        <v>58500</v>
      </c>
      <c r="N1030">
        <v>131400</v>
      </c>
      <c r="O1030">
        <v>0</v>
      </c>
      <c r="P1030">
        <v>0</v>
      </c>
      <c r="Q1030">
        <v>0</v>
      </c>
      <c r="R1030">
        <v>21600</v>
      </c>
      <c r="S1030">
        <v>0</v>
      </c>
      <c r="T1030">
        <v>0</v>
      </c>
      <c r="U1030">
        <v>92.5</v>
      </c>
      <c r="V1030">
        <v>42</v>
      </c>
      <c r="W1030">
        <v>3250</v>
      </c>
      <c r="X1030">
        <v>225</v>
      </c>
      <c r="Y1030">
        <v>0</v>
      </c>
      <c r="Z1030" cm="1">
        <f t="array" ref="Z1030">MMULT($G1030:$Y1030,'Nelson Factor_2019'!$B$1:$B$19)/$G1030</f>
        <v>8.9052834008097168</v>
      </c>
      <c r="AA1030" cm="1">
        <f t="array" ref="AA1030">MMULT($G1030:$R1030,'Nelson Factor_2019'!$B$1:$B$12)/$G1030</f>
        <v>8.6617633828160141</v>
      </c>
    </row>
    <row r="1031" spans="1:27" x14ac:dyDescent="0.25">
      <c r="A1031">
        <v>2012</v>
      </c>
      <c r="B1031">
        <v>5</v>
      </c>
      <c r="C1031">
        <v>1</v>
      </c>
      <c r="D1031" t="s">
        <v>208</v>
      </c>
      <c r="E1031" t="s">
        <v>51</v>
      </c>
      <c r="F1031" t="s">
        <v>209</v>
      </c>
      <c r="G1031">
        <v>100000</v>
      </c>
      <c r="H1031">
        <v>46400</v>
      </c>
      <c r="I1031">
        <v>0</v>
      </c>
      <c r="J1031">
        <v>0</v>
      </c>
      <c r="K1031">
        <v>32500</v>
      </c>
      <c r="L1031">
        <v>15700</v>
      </c>
      <c r="M1031">
        <v>0</v>
      </c>
      <c r="N1031">
        <v>58700</v>
      </c>
      <c r="O1031">
        <v>8600</v>
      </c>
      <c r="P1031">
        <v>0</v>
      </c>
      <c r="Q1031">
        <v>0</v>
      </c>
      <c r="R1031">
        <v>4000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105</v>
      </c>
      <c r="Y1031">
        <v>0</v>
      </c>
      <c r="Z1031" cm="1">
        <f t="array" ref="Z1031">MMULT($G1031:$Y1031,'Nelson Factor_2019'!$B$1:$B$19)/$G1031</f>
        <v>7.0377000000000001</v>
      </c>
      <c r="AA1031" cm="1">
        <f t="array" ref="AA1031">MMULT($G1031:$R1031,'Nelson Factor_2019'!$B$1:$B$12)/$G1031</f>
        <v>6.7857000000000003</v>
      </c>
    </row>
    <row r="1032" spans="1:27" x14ac:dyDescent="0.25">
      <c r="A1032">
        <v>2012</v>
      </c>
      <c r="B1032">
        <v>5</v>
      </c>
      <c r="C1032">
        <v>4</v>
      </c>
      <c r="D1032" t="s">
        <v>208</v>
      </c>
      <c r="E1032" t="s">
        <v>61</v>
      </c>
      <c r="F1032" t="s">
        <v>210</v>
      </c>
      <c r="G1032">
        <v>148600</v>
      </c>
      <c r="H1032">
        <v>65500</v>
      </c>
      <c r="I1032">
        <v>25700</v>
      </c>
      <c r="J1032">
        <v>0</v>
      </c>
      <c r="K1032">
        <v>57900</v>
      </c>
      <c r="L1032">
        <v>33000</v>
      </c>
      <c r="M1032">
        <v>0</v>
      </c>
      <c r="N1032">
        <v>130600</v>
      </c>
      <c r="O1032">
        <v>12050</v>
      </c>
      <c r="P1032">
        <v>4300</v>
      </c>
      <c r="Q1032">
        <v>0</v>
      </c>
      <c r="R1032">
        <v>7000</v>
      </c>
      <c r="S1032">
        <v>0</v>
      </c>
      <c r="T1032">
        <v>0</v>
      </c>
      <c r="U1032">
        <v>7</v>
      </c>
      <c r="V1032">
        <v>0</v>
      </c>
      <c r="W1032">
        <v>1400</v>
      </c>
      <c r="X1032">
        <v>350</v>
      </c>
      <c r="Y1032">
        <v>0</v>
      </c>
      <c r="Z1032" cm="1">
        <f t="array" ref="Z1032">MMULT($G1032:$Y1032,'Nelson Factor_2019'!$B$1:$B$19)/$G1032</f>
        <v>10.322388963660835</v>
      </c>
      <c r="AA1032" cm="1">
        <f t="array" ref="AA1032">MMULT($G1032:$R1032,'Nelson Factor_2019'!$B$1:$B$12)/$G1032</f>
        <v>9.7570659488559901</v>
      </c>
    </row>
    <row r="1033" spans="1:27" x14ac:dyDescent="0.25">
      <c r="A1033">
        <v>2012</v>
      </c>
      <c r="B1033">
        <v>5</v>
      </c>
      <c r="C1033">
        <v>1</v>
      </c>
      <c r="D1033" t="s">
        <v>208</v>
      </c>
      <c r="E1033" t="s">
        <v>148</v>
      </c>
      <c r="F1033" t="s">
        <v>210</v>
      </c>
      <c r="G1033">
        <v>120000</v>
      </c>
      <c r="H1033">
        <v>47200</v>
      </c>
      <c r="I1033">
        <v>0</v>
      </c>
      <c r="J1033">
        <v>0</v>
      </c>
      <c r="K1033">
        <v>44800</v>
      </c>
      <c r="L1033">
        <v>26500</v>
      </c>
      <c r="M1033">
        <v>0</v>
      </c>
      <c r="N1033">
        <v>61600</v>
      </c>
      <c r="O1033">
        <v>11000</v>
      </c>
      <c r="P1033">
        <v>0</v>
      </c>
      <c r="Q1033">
        <v>0</v>
      </c>
      <c r="R1033">
        <v>3400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48</v>
      </c>
      <c r="Y1033">
        <v>1000</v>
      </c>
      <c r="Z1033" cm="1">
        <f t="array" ref="Z1033">MMULT($G1033:$Y1033,'Nelson Factor_2019'!$B$1:$B$19)/$G1033</f>
        <v>7.2489999999999997</v>
      </c>
      <c r="AA1033" cm="1">
        <f t="array" ref="AA1033">MMULT($G1033:$R1033,'Nelson Factor_2019'!$B$1:$B$12)/$G1033</f>
        <v>7.1405000000000003</v>
      </c>
    </row>
    <row r="1034" spans="1:27" x14ac:dyDescent="0.25">
      <c r="A1034">
        <v>2012</v>
      </c>
      <c r="B1034">
        <v>5</v>
      </c>
      <c r="C1034">
        <v>0</v>
      </c>
      <c r="D1034" t="s">
        <v>208</v>
      </c>
      <c r="E1034" t="s">
        <v>211</v>
      </c>
      <c r="F1034" t="s">
        <v>212</v>
      </c>
      <c r="G1034">
        <v>39000</v>
      </c>
      <c r="H1034">
        <v>17700</v>
      </c>
      <c r="I1034">
        <v>0</v>
      </c>
      <c r="J1034">
        <v>0</v>
      </c>
      <c r="K1034">
        <v>0</v>
      </c>
      <c r="L1034">
        <v>5650</v>
      </c>
      <c r="M1034">
        <v>0</v>
      </c>
      <c r="N1034">
        <v>14800</v>
      </c>
      <c r="O1034">
        <v>0</v>
      </c>
      <c r="P1034">
        <v>0</v>
      </c>
      <c r="Q1034">
        <v>0</v>
      </c>
      <c r="R1034">
        <v>3000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10000</v>
      </c>
      <c r="Z1034" cm="1">
        <f t="array" ref="Z1034">MMULT($G1034:$Y1034,'Nelson Factor_2019'!$B$1:$B$19)/$G1034</f>
        <v>3.8784615384615386</v>
      </c>
      <c r="AA1034" cm="1">
        <f t="array" ref="AA1034">MMULT($G1034:$R1034,'Nelson Factor_2019'!$B$1:$B$12)/$G1034</f>
        <v>3.493846153846154</v>
      </c>
    </row>
    <row r="1035" spans="1:27" x14ac:dyDescent="0.25">
      <c r="A1035">
        <v>2012</v>
      </c>
      <c r="B1035">
        <v>1</v>
      </c>
      <c r="C1035">
        <v>0</v>
      </c>
      <c r="D1035" t="s">
        <v>213</v>
      </c>
      <c r="E1035" t="s">
        <v>214</v>
      </c>
      <c r="F1035" t="s">
        <v>215</v>
      </c>
      <c r="G1035">
        <v>20000</v>
      </c>
      <c r="H1035">
        <v>8400</v>
      </c>
      <c r="I1035">
        <v>0</v>
      </c>
      <c r="J1035">
        <v>0</v>
      </c>
      <c r="K1035">
        <v>0</v>
      </c>
      <c r="L1035">
        <v>4200</v>
      </c>
      <c r="M1035">
        <v>0</v>
      </c>
      <c r="N1035">
        <v>19000</v>
      </c>
      <c r="O1035">
        <v>0</v>
      </c>
      <c r="P1035">
        <v>0</v>
      </c>
      <c r="Q1035">
        <v>0</v>
      </c>
      <c r="R1035">
        <v>0</v>
      </c>
      <c r="S1035">
        <v>4800</v>
      </c>
      <c r="T1035">
        <v>0</v>
      </c>
      <c r="U1035">
        <v>4.0999999999999996</v>
      </c>
      <c r="V1035">
        <v>0</v>
      </c>
      <c r="W1035">
        <v>0</v>
      </c>
      <c r="X1035">
        <v>1</v>
      </c>
      <c r="Y1035">
        <v>0</v>
      </c>
      <c r="Z1035" cm="1">
        <f t="array" ref="Z1035">MMULT($G1035:$Y1035,'Nelson Factor_2019'!$B$1:$B$19)/$G1035</f>
        <v>19.383205</v>
      </c>
      <c r="AA1035" cm="1">
        <f t="array" ref="AA1035">MMULT($G1035:$R1035,'Nelson Factor_2019'!$B$1:$B$12)/$G1035</f>
        <v>4.9710000000000001</v>
      </c>
    </row>
    <row r="1036" spans="1:27" x14ac:dyDescent="0.25">
      <c r="A1036">
        <v>2012</v>
      </c>
      <c r="B1036">
        <v>2</v>
      </c>
      <c r="C1036">
        <v>1</v>
      </c>
      <c r="D1036" t="s">
        <v>216</v>
      </c>
      <c r="E1036" t="s">
        <v>255</v>
      </c>
      <c r="F1036" t="s">
        <v>217</v>
      </c>
      <c r="G1036">
        <v>33250</v>
      </c>
      <c r="H1036">
        <v>19500</v>
      </c>
      <c r="I1036">
        <v>0</v>
      </c>
      <c r="J1036">
        <v>0</v>
      </c>
      <c r="K1036">
        <v>9900</v>
      </c>
      <c r="L1036">
        <v>7200</v>
      </c>
      <c r="M1036">
        <v>0</v>
      </c>
      <c r="N1036">
        <v>20620</v>
      </c>
      <c r="O1036">
        <v>1350</v>
      </c>
      <c r="P1036">
        <v>0</v>
      </c>
      <c r="Q1036">
        <v>0</v>
      </c>
      <c r="R1036">
        <v>1800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15</v>
      </c>
      <c r="Y1036">
        <v>6750</v>
      </c>
      <c r="Z1036" cm="1">
        <f t="array" ref="Z1036">MMULT($G1036:$Y1036,'Nelson Factor_2019'!$B$1:$B$19)/$G1036</f>
        <v>7.1631578947368419</v>
      </c>
      <c r="AA1036" cm="1">
        <f t="array" ref="AA1036">MMULT($G1036:$R1036,'Nelson Factor_2019'!$B$1:$B$12)/$G1036</f>
        <v>6.7503759398496239</v>
      </c>
    </row>
    <row r="1037" spans="1:27" x14ac:dyDescent="0.25">
      <c r="A1037">
        <v>2012</v>
      </c>
      <c r="B1037">
        <v>4</v>
      </c>
      <c r="C1037">
        <v>4</v>
      </c>
      <c r="D1037" t="s">
        <v>218</v>
      </c>
      <c r="E1037" t="s">
        <v>251</v>
      </c>
      <c r="F1037" t="s">
        <v>220</v>
      </c>
      <c r="G1037">
        <v>52000</v>
      </c>
      <c r="H1037">
        <v>26000</v>
      </c>
      <c r="I1037">
        <v>14000</v>
      </c>
      <c r="J1037">
        <v>0</v>
      </c>
      <c r="K1037">
        <v>12000</v>
      </c>
      <c r="L1037">
        <v>9000</v>
      </c>
      <c r="M1037">
        <v>0</v>
      </c>
      <c r="N1037">
        <v>39000</v>
      </c>
      <c r="O1037">
        <v>4000</v>
      </c>
      <c r="P1037">
        <v>0</v>
      </c>
      <c r="Q1037">
        <v>0</v>
      </c>
      <c r="R1037">
        <v>1200</v>
      </c>
      <c r="S1037">
        <v>0</v>
      </c>
      <c r="T1037">
        <v>0</v>
      </c>
      <c r="U1037">
        <v>5.5</v>
      </c>
      <c r="V1037">
        <v>0</v>
      </c>
      <c r="W1037">
        <v>800</v>
      </c>
      <c r="X1037">
        <v>105</v>
      </c>
      <c r="Y1037">
        <v>0</v>
      </c>
      <c r="Z1037" cm="1">
        <f t="array" ref="Z1037">MMULT($G1037:$Y1037,'Nelson Factor_2019'!$B$1:$B$19)/$G1037</f>
        <v>9.1174134615384617</v>
      </c>
      <c r="AA1037" cm="1">
        <f t="array" ref="AA1037">MMULT($G1037:$R1037,'Nelson Factor_2019'!$B$1:$B$12)/$G1037</f>
        <v>8.6326923076923077</v>
      </c>
    </row>
    <row r="1038" spans="1:27" x14ac:dyDescent="0.25">
      <c r="A1038">
        <v>2012</v>
      </c>
      <c r="B1038">
        <v>4</v>
      </c>
      <c r="C1038">
        <v>1</v>
      </c>
      <c r="D1038" t="s">
        <v>218</v>
      </c>
      <c r="E1038" t="s">
        <v>221</v>
      </c>
      <c r="F1038" t="s">
        <v>222</v>
      </c>
      <c r="G1038">
        <v>22500</v>
      </c>
      <c r="H1038">
        <v>6000</v>
      </c>
      <c r="I1038">
        <v>0</v>
      </c>
      <c r="J1038">
        <v>0</v>
      </c>
      <c r="K1038">
        <v>10000</v>
      </c>
      <c r="L1038">
        <v>5500</v>
      </c>
      <c r="M1038">
        <v>0</v>
      </c>
      <c r="N1038">
        <v>16000</v>
      </c>
      <c r="O1038">
        <v>0</v>
      </c>
      <c r="P1038">
        <v>1000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19.7</v>
      </c>
      <c r="Y1038">
        <v>0</v>
      </c>
      <c r="Z1038" cm="1">
        <f t="array" ref="Z1038">MMULT($G1038:$Y1038,'Nelson Factor_2019'!$B$1:$B$19)/$G1038</f>
        <v>7.6679111111111107</v>
      </c>
      <c r="AA1038" cm="1">
        <f t="array" ref="AA1038">MMULT($G1038:$R1038,'Nelson Factor_2019'!$B$1:$B$12)/$G1038</f>
        <v>7.4577777777777774</v>
      </c>
    </row>
    <row r="1039" spans="1:27" x14ac:dyDescent="0.25">
      <c r="A1039">
        <v>2012</v>
      </c>
      <c r="B1039">
        <v>4</v>
      </c>
      <c r="C1039">
        <v>1</v>
      </c>
      <c r="D1039" t="s">
        <v>218</v>
      </c>
      <c r="E1039" t="s">
        <v>159</v>
      </c>
      <c r="F1039" t="s">
        <v>223</v>
      </c>
      <c r="G1039">
        <v>66000</v>
      </c>
      <c r="H1039">
        <v>6500</v>
      </c>
      <c r="I1039">
        <v>0</v>
      </c>
      <c r="J1039">
        <v>0</v>
      </c>
      <c r="K1039">
        <v>10000</v>
      </c>
      <c r="L1039">
        <v>5700</v>
      </c>
      <c r="M1039">
        <v>0</v>
      </c>
      <c r="N1039">
        <v>15500</v>
      </c>
      <c r="O1039">
        <v>0</v>
      </c>
      <c r="P1039">
        <v>300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19.7</v>
      </c>
      <c r="Y1039">
        <v>1750</v>
      </c>
      <c r="Z1039" cm="1">
        <f t="array" ref="Z1039">MMULT($G1039:$Y1039,'Nelson Factor_2019'!$B$1:$B$19)/$G1039</f>
        <v>3.2129242424242426</v>
      </c>
      <c r="AA1039" cm="1">
        <f t="array" ref="AA1039">MMULT($G1039:$R1039,'Nelson Factor_2019'!$B$1:$B$12)/$G1039</f>
        <v>3.1015151515151516</v>
      </c>
    </row>
    <row r="1040" spans="1:27" x14ac:dyDescent="0.25">
      <c r="A1040">
        <v>2012</v>
      </c>
      <c r="B1040">
        <v>4</v>
      </c>
      <c r="C1040">
        <v>1</v>
      </c>
      <c r="D1040" t="s">
        <v>218</v>
      </c>
      <c r="E1040" t="s">
        <v>224</v>
      </c>
      <c r="F1040" t="s">
        <v>225</v>
      </c>
      <c r="G1040">
        <v>12500</v>
      </c>
      <c r="H1040">
        <v>1500</v>
      </c>
      <c r="I1040">
        <v>0</v>
      </c>
      <c r="J1040">
        <v>0</v>
      </c>
      <c r="K1040">
        <v>5500</v>
      </c>
      <c r="L1040">
        <v>2750</v>
      </c>
      <c r="M1040">
        <v>0</v>
      </c>
      <c r="N1040">
        <v>7500</v>
      </c>
      <c r="O1040">
        <v>1300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4</v>
      </c>
      <c r="Y1040">
        <v>0</v>
      </c>
      <c r="Z1040" cm="1">
        <f t="array" ref="Z1040">MMULT($G1040:$Y1040,'Nelson Factor_2019'!$B$1:$B$19)/$G1040</f>
        <v>7.5128000000000004</v>
      </c>
      <c r="AA1040" cm="1">
        <f t="array" ref="AA1040">MMULT($G1040:$R1040,'Nelson Factor_2019'!$B$1:$B$12)/$G1040</f>
        <v>7.4359999999999999</v>
      </c>
    </row>
    <row r="1041" spans="1:27" x14ac:dyDescent="0.25">
      <c r="A1041">
        <v>2013</v>
      </c>
      <c r="B1041">
        <v>3</v>
      </c>
      <c r="C1041">
        <v>0</v>
      </c>
      <c r="D1041" t="s">
        <v>256</v>
      </c>
      <c r="E1041" t="s">
        <v>238</v>
      </c>
      <c r="F1041" t="s">
        <v>30</v>
      </c>
      <c r="G1041">
        <v>20000</v>
      </c>
      <c r="H1041">
        <v>15000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 cm="1">
        <f t="array" ref="Z1041">MMULT($G1041:$Y1041,'Nelson Factor_2019'!$B$1:$B$19)/$G1041</f>
        <v>1.9750000000000001</v>
      </c>
      <c r="AA1041" cm="1">
        <f t="array" ref="AA1041">MMULT($G1041:$R1041,'Nelson Factor_2019'!$B$1:$B$12)/$G1041</f>
        <v>1.9750000000000001</v>
      </c>
    </row>
    <row r="1042" spans="1:27" x14ac:dyDescent="0.25">
      <c r="A1042">
        <v>2013</v>
      </c>
      <c r="B1042">
        <v>3</v>
      </c>
      <c r="C1042">
        <v>5</v>
      </c>
      <c r="D1042" t="s">
        <v>256</v>
      </c>
      <c r="E1042" t="s">
        <v>25</v>
      </c>
      <c r="F1042" t="s">
        <v>26</v>
      </c>
      <c r="G1042">
        <v>72000</v>
      </c>
      <c r="H1042">
        <v>15000</v>
      </c>
      <c r="I1042">
        <v>32000</v>
      </c>
      <c r="J1042">
        <v>0</v>
      </c>
      <c r="K1042">
        <v>0</v>
      </c>
      <c r="L1042">
        <v>23200</v>
      </c>
      <c r="M1042">
        <v>15000</v>
      </c>
      <c r="N1042">
        <v>42000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8</v>
      </c>
      <c r="V1042">
        <v>8</v>
      </c>
      <c r="W1042">
        <v>500</v>
      </c>
      <c r="X1042">
        <v>120</v>
      </c>
      <c r="Y1042">
        <v>14000</v>
      </c>
      <c r="Z1042" cm="1">
        <f t="array" ref="Z1042">MMULT($G1042:$Y1042,'Nelson Factor_2019'!$B$1:$B$19)/$G1042</f>
        <v>10.032166666666667</v>
      </c>
      <c r="AA1042" cm="1">
        <f t="array" ref="AA1042">MMULT($G1042:$R1042,'Nelson Factor_2019'!$B$1:$B$12)/$G1042</f>
        <v>9.3402777777777786</v>
      </c>
    </row>
    <row r="1043" spans="1:27" x14ac:dyDescent="0.25">
      <c r="A1043">
        <v>2013</v>
      </c>
      <c r="B1043">
        <v>3</v>
      </c>
      <c r="C1043">
        <v>2</v>
      </c>
      <c r="D1043" t="s">
        <v>256</v>
      </c>
      <c r="E1043" t="s">
        <v>27</v>
      </c>
      <c r="F1043" t="s">
        <v>28</v>
      </c>
      <c r="G1043">
        <v>85000</v>
      </c>
      <c r="H1043">
        <v>28000</v>
      </c>
      <c r="I1043">
        <v>0</v>
      </c>
      <c r="J1043">
        <v>0</v>
      </c>
      <c r="K1043">
        <v>0</v>
      </c>
      <c r="L1043">
        <v>22500</v>
      </c>
      <c r="M1043">
        <v>30000</v>
      </c>
      <c r="N1043">
        <v>43000</v>
      </c>
      <c r="O1043">
        <v>0</v>
      </c>
      <c r="P1043">
        <v>0</v>
      </c>
      <c r="Q1043">
        <v>0</v>
      </c>
      <c r="R1043">
        <v>7500</v>
      </c>
      <c r="S1043">
        <v>0</v>
      </c>
      <c r="T1043">
        <v>0</v>
      </c>
      <c r="U1043">
        <v>0</v>
      </c>
      <c r="V1043">
        <v>6</v>
      </c>
      <c r="W1043">
        <v>0</v>
      </c>
      <c r="X1043">
        <v>20</v>
      </c>
      <c r="Y1043">
        <v>0</v>
      </c>
      <c r="Z1043" cm="1">
        <f t="array" ref="Z1043">MMULT($G1043:$Y1043,'Nelson Factor_2019'!$B$1:$B$19)/$G1043</f>
        <v>7.1612470588235295</v>
      </c>
      <c r="AA1043" cm="1">
        <f t="array" ref="AA1043">MMULT($G1043:$R1043,'Nelson Factor_2019'!$B$1:$B$12)/$G1043</f>
        <v>7.104705882352941</v>
      </c>
    </row>
    <row r="1044" spans="1:27" x14ac:dyDescent="0.25">
      <c r="A1044">
        <v>2013</v>
      </c>
      <c r="B1044">
        <v>5</v>
      </c>
      <c r="C1044">
        <v>4</v>
      </c>
      <c r="D1044" t="s">
        <v>257</v>
      </c>
      <c r="E1044" t="s">
        <v>32</v>
      </c>
      <c r="F1044" t="s">
        <v>34</v>
      </c>
      <c r="G1044">
        <v>15000</v>
      </c>
      <c r="H1044">
        <v>0</v>
      </c>
      <c r="I1044">
        <v>15000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 cm="1">
        <f t="array" ref="Z1044">MMULT($G1044:$Y1044,'Nelson Factor_2019'!$B$1:$B$19)/$G1044</f>
        <v>8.5</v>
      </c>
      <c r="AA1044" cm="1">
        <f t="array" ref="AA1044">MMULT($G1044:$R1044,'Nelson Factor_2019'!$B$1:$B$12)/$G1044</f>
        <v>8.5</v>
      </c>
    </row>
    <row r="1045" spans="1:27" x14ac:dyDescent="0.25">
      <c r="A1045">
        <v>2013</v>
      </c>
      <c r="B1045">
        <v>5</v>
      </c>
      <c r="C1045">
        <v>4</v>
      </c>
      <c r="D1045" t="s">
        <v>257</v>
      </c>
      <c r="E1045" t="s">
        <v>258</v>
      </c>
      <c r="F1045" t="s">
        <v>33</v>
      </c>
      <c r="G1045">
        <v>14500</v>
      </c>
      <c r="H1045">
        <v>0</v>
      </c>
      <c r="I1045">
        <v>14500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 cm="1">
        <f t="array" ref="Z1045">MMULT($G1045:$Y1045,'Nelson Factor_2019'!$B$1:$B$19)/$G1045</f>
        <v>8.5</v>
      </c>
      <c r="AA1045" cm="1">
        <f t="array" ref="AA1045">MMULT($G1045:$R1045,'Nelson Factor_2019'!$B$1:$B$12)/$G1045</f>
        <v>8.5</v>
      </c>
    </row>
    <row r="1046" spans="1:27" x14ac:dyDescent="0.25">
      <c r="A1046">
        <v>2013</v>
      </c>
      <c r="B1046">
        <v>5</v>
      </c>
      <c r="C1046">
        <v>0</v>
      </c>
      <c r="D1046" t="s">
        <v>257</v>
      </c>
      <c r="E1046" t="s">
        <v>259</v>
      </c>
      <c r="F1046" t="s">
        <v>36</v>
      </c>
      <c r="G1046">
        <v>215175</v>
      </c>
      <c r="H1046">
        <v>5225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1350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1800</v>
      </c>
      <c r="Z1046" cm="1">
        <f t="array" ref="Z1046">MMULT($G1046:$Y1046,'Nelson Factor_2019'!$B$1:$B$19)/$G1046</f>
        <v>1.1695945160915533</v>
      </c>
      <c r="AA1046" cm="1">
        <f t="array" ref="AA1046">MMULT($G1046:$R1046,'Nelson Factor_2019'!$B$1:$B$12)/$G1046</f>
        <v>1.1570465899848961</v>
      </c>
    </row>
    <row r="1047" spans="1:27" x14ac:dyDescent="0.25">
      <c r="A1047">
        <v>2013</v>
      </c>
      <c r="B1047">
        <v>5</v>
      </c>
      <c r="C1047">
        <v>0</v>
      </c>
      <c r="D1047" t="s">
        <v>257</v>
      </c>
      <c r="E1047" t="s">
        <v>37</v>
      </c>
      <c r="F1047" t="s">
        <v>36</v>
      </c>
      <c r="G1047">
        <v>17500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 cm="1">
        <f t="array" ref="Z1047">MMULT($G1047:$Y1047,'Nelson Factor_2019'!$B$1:$B$19)/$G1047</f>
        <v>1</v>
      </c>
      <c r="AA1047" cm="1">
        <f t="array" ref="AA1047">MMULT($G1047:$R1047,'Nelson Factor_2019'!$B$1:$B$12)/$G1047</f>
        <v>1</v>
      </c>
    </row>
    <row r="1048" spans="1:27" x14ac:dyDescent="0.25">
      <c r="A1048">
        <v>2013</v>
      </c>
      <c r="B1048">
        <v>5</v>
      </c>
      <c r="C1048">
        <v>0</v>
      </c>
      <c r="D1048" t="s">
        <v>257</v>
      </c>
      <c r="E1048" t="s">
        <v>37</v>
      </c>
      <c r="F1048" t="s">
        <v>38</v>
      </c>
      <c r="G1048">
        <v>48000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 cm="1">
        <f t="array" ref="Z1048">MMULT($G1048:$Y1048,'Nelson Factor_2019'!$B$1:$B$19)/$G1048</f>
        <v>1</v>
      </c>
      <c r="AA1048" cm="1">
        <f t="array" ref="AA1048">MMULT($G1048:$R1048,'Nelson Factor_2019'!$B$1:$B$12)/$G1048</f>
        <v>1</v>
      </c>
    </row>
    <row r="1049" spans="1:27" x14ac:dyDescent="0.25">
      <c r="A1049">
        <v>2013</v>
      </c>
      <c r="B1049">
        <v>5</v>
      </c>
      <c r="C1049">
        <v>2</v>
      </c>
      <c r="D1049" t="s">
        <v>257</v>
      </c>
      <c r="E1049" t="s">
        <v>239</v>
      </c>
      <c r="F1049" t="s">
        <v>40</v>
      </c>
      <c r="G1049">
        <v>72000</v>
      </c>
      <c r="H1049">
        <v>19000</v>
      </c>
      <c r="I1049">
        <v>0</v>
      </c>
      <c r="J1049">
        <v>0</v>
      </c>
      <c r="K1049">
        <v>0</v>
      </c>
      <c r="L1049">
        <v>12000</v>
      </c>
      <c r="M1049">
        <v>12500</v>
      </c>
      <c r="N1049">
        <v>12500</v>
      </c>
      <c r="O1049">
        <v>0</v>
      </c>
      <c r="P1049">
        <v>0</v>
      </c>
      <c r="Q1049">
        <v>0</v>
      </c>
      <c r="R1049">
        <v>4000</v>
      </c>
      <c r="S1049">
        <v>0</v>
      </c>
      <c r="T1049">
        <v>0</v>
      </c>
      <c r="U1049">
        <v>13</v>
      </c>
      <c r="V1049">
        <v>0</v>
      </c>
      <c r="W1049">
        <v>0</v>
      </c>
      <c r="X1049">
        <v>19</v>
      </c>
      <c r="Y1049">
        <v>1000</v>
      </c>
      <c r="Z1049" cm="1">
        <f t="array" ref="Z1049">MMULT($G1049:$Y1049,'Nelson Factor_2019'!$B$1:$B$19)/$G1049</f>
        <v>4.2503194444444441</v>
      </c>
      <c r="AA1049" cm="1">
        <f t="array" ref="AA1049">MMULT($G1049:$R1049,'Nelson Factor_2019'!$B$1:$B$12)/$G1049</f>
        <v>4.165972222222222</v>
      </c>
    </row>
    <row r="1050" spans="1:27" x14ac:dyDescent="0.25">
      <c r="A1050">
        <v>2013</v>
      </c>
      <c r="B1050">
        <v>3</v>
      </c>
      <c r="C1050">
        <v>0</v>
      </c>
      <c r="D1050" t="s">
        <v>260</v>
      </c>
      <c r="E1050" t="s">
        <v>42</v>
      </c>
      <c r="F1050" t="s">
        <v>43</v>
      </c>
      <c r="G1050">
        <v>7000</v>
      </c>
      <c r="H1050">
        <v>3000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4500</v>
      </c>
      <c r="O1050">
        <v>0</v>
      </c>
      <c r="P1050">
        <v>0</v>
      </c>
      <c r="Q1050">
        <v>0</v>
      </c>
      <c r="R1050">
        <v>0</v>
      </c>
      <c r="S1050">
        <v>4500</v>
      </c>
      <c r="T1050">
        <v>0</v>
      </c>
      <c r="U1050">
        <v>2.5</v>
      </c>
      <c r="V1050">
        <v>0</v>
      </c>
      <c r="W1050">
        <v>0</v>
      </c>
      <c r="X1050">
        <v>0</v>
      </c>
      <c r="Y1050">
        <v>1500</v>
      </c>
      <c r="Z1050" cm="1">
        <f t="array" ref="Z1050">MMULT($G1050:$Y1050,'Nelson Factor_2019'!$B$1:$B$19)/$G1050</f>
        <v>42.057499999999997</v>
      </c>
      <c r="AA1050" cm="1">
        <f t="array" ref="AA1050">MMULT($G1050:$R1050,'Nelson Factor_2019'!$B$1:$B$12)/$G1050</f>
        <v>3.1642857142857141</v>
      </c>
    </row>
    <row r="1051" spans="1:27" x14ac:dyDescent="0.25">
      <c r="A1051">
        <v>2013</v>
      </c>
      <c r="B1051">
        <v>3</v>
      </c>
      <c r="C1051">
        <v>4</v>
      </c>
      <c r="D1051" t="s">
        <v>260</v>
      </c>
      <c r="E1051" t="s">
        <v>44</v>
      </c>
      <c r="F1051" t="s">
        <v>45</v>
      </c>
      <c r="G1051">
        <v>140000</v>
      </c>
      <c r="H1051">
        <v>64000</v>
      </c>
      <c r="I1051">
        <v>19000</v>
      </c>
      <c r="J1051">
        <v>0</v>
      </c>
      <c r="K1051">
        <v>42000</v>
      </c>
      <c r="L1051">
        <v>31000</v>
      </c>
      <c r="M1051">
        <v>0</v>
      </c>
      <c r="N1051">
        <v>162000</v>
      </c>
      <c r="O1051">
        <v>13500</v>
      </c>
      <c r="P1051">
        <v>0</v>
      </c>
      <c r="Q1051">
        <v>2200</v>
      </c>
      <c r="R1051">
        <v>14000</v>
      </c>
      <c r="S1051">
        <v>0</v>
      </c>
      <c r="T1051">
        <v>0</v>
      </c>
      <c r="U1051">
        <v>39</v>
      </c>
      <c r="V1051">
        <v>22</v>
      </c>
      <c r="W1051">
        <v>0</v>
      </c>
      <c r="X1051">
        <v>285</v>
      </c>
      <c r="Y1051">
        <v>0</v>
      </c>
      <c r="Z1051" cm="1">
        <f t="array" ref="Z1051">MMULT($G1051:$Y1051,'Nelson Factor_2019'!$B$1:$B$19)/$G1051</f>
        <v>10.479721428571429</v>
      </c>
      <c r="AA1051" cm="1">
        <f t="array" ref="AA1051">MMULT($G1051:$R1051,'Nelson Factor_2019'!$B$1:$B$12)/$G1051</f>
        <v>9.9907142857142865</v>
      </c>
    </row>
    <row r="1052" spans="1:27" x14ac:dyDescent="0.25">
      <c r="A1052">
        <v>2013</v>
      </c>
      <c r="B1052">
        <v>5</v>
      </c>
      <c r="C1052">
        <v>0</v>
      </c>
      <c r="D1052" t="s">
        <v>261</v>
      </c>
      <c r="E1052" t="s">
        <v>176</v>
      </c>
      <c r="F1052" t="s">
        <v>230</v>
      </c>
      <c r="G1052">
        <v>88000</v>
      </c>
      <c r="H1052">
        <v>59800</v>
      </c>
      <c r="I1052">
        <v>0</v>
      </c>
      <c r="J1052">
        <v>0</v>
      </c>
      <c r="K1052">
        <v>0</v>
      </c>
      <c r="L1052">
        <v>11600</v>
      </c>
      <c r="M1052">
        <v>0</v>
      </c>
      <c r="N1052">
        <v>35250</v>
      </c>
      <c r="O1052">
        <v>0</v>
      </c>
      <c r="P1052">
        <v>0</v>
      </c>
      <c r="Q1052">
        <v>0</v>
      </c>
      <c r="R1052">
        <v>3750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40</v>
      </c>
      <c r="Y1052">
        <v>35000</v>
      </c>
      <c r="Z1052" cm="1">
        <f t="array" ref="Z1052">MMULT($G1052:$Y1052,'Nelson Factor_2019'!$B$1:$B$19)/$G1052</f>
        <v>4.3774431818181823</v>
      </c>
      <c r="AA1052" cm="1">
        <f t="array" ref="AA1052">MMULT($G1052:$R1052,'Nelson Factor_2019'!$B$1:$B$12)/$G1052</f>
        <v>3.6717613636363637</v>
      </c>
    </row>
    <row r="1053" spans="1:27" x14ac:dyDescent="0.25">
      <c r="A1053">
        <v>2013</v>
      </c>
      <c r="B1053">
        <v>5</v>
      </c>
      <c r="C1053">
        <v>6</v>
      </c>
      <c r="D1053" t="s">
        <v>261</v>
      </c>
      <c r="E1053" t="s">
        <v>32</v>
      </c>
      <c r="F1053" t="s">
        <v>47</v>
      </c>
      <c r="G1053">
        <v>252700</v>
      </c>
      <c r="H1053">
        <v>133000</v>
      </c>
      <c r="I1053">
        <v>60390</v>
      </c>
      <c r="J1053">
        <v>0</v>
      </c>
      <c r="K1053">
        <v>91800</v>
      </c>
      <c r="L1053">
        <v>47700</v>
      </c>
      <c r="M1053">
        <v>45000</v>
      </c>
      <c r="N1053">
        <v>216900</v>
      </c>
      <c r="O1053">
        <v>15300</v>
      </c>
      <c r="P1053">
        <v>0</v>
      </c>
      <c r="Q1053">
        <v>0</v>
      </c>
      <c r="R1053">
        <v>28192.5</v>
      </c>
      <c r="S1053">
        <v>0</v>
      </c>
      <c r="T1053">
        <v>0</v>
      </c>
      <c r="U1053">
        <v>105</v>
      </c>
      <c r="V1053">
        <v>28</v>
      </c>
      <c r="W1053">
        <v>2108</v>
      </c>
      <c r="X1053">
        <v>449</v>
      </c>
      <c r="Y1053">
        <v>0</v>
      </c>
      <c r="Z1053" cm="1">
        <f t="array" ref="Z1053">MMULT($G1053:$Y1053,'Nelson Factor_2019'!$B$1:$B$19)/$G1053</f>
        <v>11.537576177285318</v>
      </c>
      <c r="AA1053" cm="1">
        <f t="array" ref="AA1053">MMULT($G1053:$R1053,'Nelson Factor_2019'!$B$1:$B$12)/$G1053</f>
        <v>11.110615354174911</v>
      </c>
    </row>
    <row r="1054" spans="1:27" x14ac:dyDescent="0.25">
      <c r="A1054">
        <v>2013</v>
      </c>
      <c r="B1054">
        <v>5</v>
      </c>
      <c r="C1054">
        <v>6</v>
      </c>
      <c r="D1054" t="s">
        <v>261</v>
      </c>
      <c r="E1054" t="s">
        <v>227</v>
      </c>
      <c r="F1054" t="s">
        <v>49</v>
      </c>
      <c r="G1054">
        <v>269000</v>
      </c>
      <c r="H1054">
        <v>161000</v>
      </c>
      <c r="I1054">
        <v>67500</v>
      </c>
      <c r="J1054">
        <v>0</v>
      </c>
      <c r="K1054">
        <v>65000</v>
      </c>
      <c r="L1054">
        <v>44000</v>
      </c>
      <c r="M1054">
        <v>46000</v>
      </c>
      <c r="N1054">
        <v>201000</v>
      </c>
      <c r="O1054">
        <v>30000</v>
      </c>
      <c r="P1054">
        <v>0</v>
      </c>
      <c r="Q1054">
        <v>0</v>
      </c>
      <c r="R1054">
        <v>27000</v>
      </c>
      <c r="S1054">
        <v>0</v>
      </c>
      <c r="T1054">
        <v>0</v>
      </c>
      <c r="U1054">
        <v>69.3</v>
      </c>
      <c r="V1054">
        <v>0</v>
      </c>
      <c r="W1054">
        <v>4064</v>
      </c>
      <c r="X1054">
        <v>775</v>
      </c>
      <c r="Y1054">
        <v>0</v>
      </c>
      <c r="Z1054" cm="1">
        <f t="array" ref="Z1054">MMULT($G1054:$Y1054,'Nelson Factor_2019'!$B$1:$B$19)/$G1054</f>
        <v>11.271818959107806</v>
      </c>
      <c r="AA1054" cm="1">
        <f t="array" ref="AA1054">MMULT($G1054:$R1054,'Nelson Factor_2019'!$B$1:$B$12)/$G1054</f>
        <v>10.580111524163568</v>
      </c>
    </row>
    <row r="1055" spans="1:27" x14ac:dyDescent="0.25">
      <c r="A1055">
        <v>2013</v>
      </c>
      <c r="B1055">
        <v>5</v>
      </c>
      <c r="C1055">
        <v>3</v>
      </c>
      <c r="D1055" t="s">
        <v>261</v>
      </c>
      <c r="E1055" t="s">
        <v>227</v>
      </c>
      <c r="F1055" t="s">
        <v>50</v>
      </c>
      <c r="G1055">
        <v>257000</v>
      </c>
      <c r="H1055">
        <v>110000</v>
      </c>
      <c r="I1055">
        <v>0</v>
      </c>
      <c r="J1055">
        <v>0</v>
      </c>
      <c r="K1055">
        <v>80000</v>
      </c>
      <c r="L1055">
        <v>69000</v>
      </c>
      <c r="M1055">
        <v>151000</v>
      </c>
      <c r="N1055">
        <v>197340</v>
      </c>
      <c r="O1055">
        <v>24000</v>
      </c>
      <c r="P1055">
        <v>3700</v>
      </c>
      <c r="Q1055">
        <v>0</v>
      </c>
      <c r="R1055">
        <v>36600</v>
      </c>
      <c r="S1055">
        <v>16000</v>
      </c>
      <c r="T1055">
        <v>0</v>
      </c>
      <c r="U1055">
        <v>150</v>
      </c>
      <c r="V1055">
        <v>20</v>
      </c>
      <c r="W1055">
        <v>0</v>
      </c>
      <c r="X1055">
        <v>600</v>
      </c>
      <c r="Y1055">
        <v>0</v>
      </c>
      <c r="Z1055" cm="1">
        <f t="array" ref="Z1055">MMULT($G1055:$Y1055,'Nelson Factor_2019'!$B$1:$B$19)/$G1055</f>
        <v>17.188015564202335</v>
      </c>
      <c r="AA1055" cm="1">
        <f t="array" ref="AA1055">MMULT($G1055:$R1055,'Nelson Factor_2019'!$B$1:$B$12)/$G1055</f>
        <v>12.891634241245136</v>
      </c>
    </row>
    <row r="1056" spans="1:27" x14ac:dyDescent="0.25">
      <c r="A1056">
        <v>2013</v>
      </c>
      <c r="B1056">
        <v>5</v>
      </c>
      <c r="C1056">
        <v>6</v>
      </c>
      <c r="D1056" t="s">
        <v>261</v>
      </c>
      <c r="E1056" t="s">
        <v>258</v>
      </c>
      <c r="F1056" t="s">
        <v>52</v>
      </c>
      <c r="G1056">
        <v>138700</v>
      </c>
      <c r="H1056">
        <v>78000</v>
      </c>
      <c r="I1056">
        <v>48000</v>
      </c>
      <c r="J1056">
        <v>0</v>
      </c>
      <c r="K1056">
        <v>45000</v>
      </c>
      <c r="L1056">
        <v>35200</v>
      </c>
      <c r="M1056">
        <v>24750</v>
      </c>
      <c r="N1056">
        <v>135850</v>
      </c>
      <c r="O1056">
        <v>14200</v>
      </c>
      <c r="P1056">
        <v>0</v>
      </c>
      <c r="Q1056">
        <v>0</v>
      </c>
      <c r="R1056">
        <v>17500</v>
      </c>
      <c r="S1056">
        <v>0</v>
      </c>
      <c r="T1056">
        <v>0</v>
      </c>
      <c r="U1056">
        <v>100.8</v>
      </c>
      <c r="V1056">
        <v>0</v>
      </c>
      <c r="W1056">
        <v>2000</v>
      </c>
      <c r="X1056">
        <v>340</v>
      </c>
      <c r="Y1056">
        <v>0</v>
      </c>
      <c r="Z1056" cm="1">
        <f t="array" ref="Z1056">MMULT($G1056:$Y1056,'Nelson Factor_2019'!$B$1:$B$19)/$G1056</f>
        <v>13.409702956020189</v>
      </c>
      <c r="AA1056" cm="1">
        <f t="array" ref="AA1056">MMULT($G1056:$R1056,'Nelson Factor_2019'!$B$1:$B$12)/$G1056</f>
        <v>12.820656092285509</v>
      </c>
    </row>
    <row r="1057" spans="1:27" x14ac:dyDescent="0.25">
      <c r="A1057">
        <v>2013</v>
      </c>
      <c r="B1057">
        <v>5</v>
      </c>
      <c r="C1057">
        <v>5</v>
      </c>
      <c r="D1057" t="s">
        <v>261</v>
      </c>
      <c r="E1057" t="s">
        <v>258</v>
      </c>
      <c r="F1057" t="s">
        <v>262</v>
      </c>
      <c r="G1057">
        <v>120000</v>
      </c>
      <c r="H1057">
        <v>87000</v>
      </c>
      <c r="I1057">
        <v>47000</v>
      </c>
      <c r="J1057">
        <v>0</v>
      </c>
      <c r="K1057">
        <v>0</v>
      </c>
      <c r="L1057">
        <v>31000</v>
      </c>
      <c r="M1057">
        <v>58000</v>
      </c>
      <c r="N1057">
        <v>73000</v>
      </c>
      <c r="O1057">
        <v>0</v>
      </c>
      <c r="P1057">
        <v>0</v>
      </c>
      <c r="Q1057">
        <v>0</v>
      </c>
      <c r="R1057">
        <v>9000</v>
      </c>
      <c r="S1057">
        <v>0</v>
      </c>
      <c r="T1057">
        <v>0</v>
      </c>
      <c r="U1057">
        <v>95</v>
      </c>
      <c r="V1057">
        <v>3</v>
      </c>
      <c r="W1057">
        <v>2200</v>
      </c>
      <c r="X1057">
        <v>570</v>
      </c>
      <c r="Y1057">
        <v>0</v>
      </c>
      <c r="Z1057" cm="1">
        <f t="array" ref="Z1057">MMULT($G1057:$Y1057,'Nelson Factor_2019'!$B$1:$B$19)/$G1057</f>
        <v>12.924983333333333</v>
      </c>
      <c r="AA1057" cm="1">
        <f t="array" ref="AA1057">MMULT($G1057:$R1057,'Nelson Factor_2019'!$B$1:$B$12)/$G1057</f>
        <v>11.784166666666666</v>
      </c>
    </row>
    <row r="1058" spans="1:27" x14ac:dyDescent="0.25">
      <c r="A1058">
        <v>2013</v>
      </c>
      <c r="B1058">
        <v>5</v>
      </c>
      <c r="C1058">
        <v>6</v>
      </c>
      <c r="D1058" t="s">
        <v>261</v>
      </c>
      <c r="E1058" t="s">
        <v>54</v>
      </c>
      <c r="F1058" t="s">
        <v>55</v>
      </c>
      <c r="G1058">
        <v>149500</v>
      </c>
      <c r="H1058">
        <v>98000</v>
      </c>
      <c r="I1058">
        <v>50500</v>
      </c>
      <c r="J1058">
        <v>0</v>
      </c>
      <c r="K1058">
        <v>83500</v>
      </c>
      <c r="L1058">
        <v>17000</v>
      </c>
      <c r="M1058">
        <v>21000</v>
      </c>
      <c r="N1058">
        <v>143500</v>
      </c>
      <c r="O1058">
        <v>24000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142</v>
      </c>
      <c r="V1058">
        <v>14</v>
      </c>
      <c r="W1058">
        <v>3050</v>
      </c>
      <c r="X1058">
        <v>380</v>
      </c>
      <c r="Y1058">
        <v>0</v>
      </c>
      <c r="Z1058" cm="1">
        <f t="array" ref="Z1058">MMULT($G1058:$Y1058,'Nelson Factor_2019'!$B$1:$B$19)/$G1058</f>
        <v>14.045190635451505</v>
      </c>
      <c r="AA1058" cm="1">
        <f t="array" ref="AA1058">MMULT($G1058:$R1058,'Nelson Factor_2019'!$B$1:$B$12)/$G1058</f>
        <v>13.434113712374582</v>
      </c>
    </row>
    <row r="1059" spans="1:27" x14ac:dyDescent="0.25">
      <c r="A1059">
        <v>2013</v>
      </c>
      <c r="B1059">
        <v>5</v>
      </c>
      <c r="C1059">
        <v>0</v>
      </c>
      <c r="D1059" t="s">
        <v>261</v>
      </c>
      <c r="E1059" t="s">
        <v>56</v>
      </c>
      <c r="F1059" t="s">
        <v>57</v>
      </c>
      <c r="G1059">
        <v>25000</v>
      </c>
      <c r="H1059">
        <v>0</v>
      </c>
      <c r="I1059">
        <v>0</v>
      </c>
      <c r="J1059">
        <v>0</v>
      </c>
      <c r="K1059">
        <v>0</v>
      </c>
      <c r="L1059">
        <v>3000</v>
      </c>
      <c r="M1059">
        <v>0</v>
      </c>
      <c r="N1059">
        <v>13000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4.5</v>
      </c>
      <c r="Y1059">
        <v>0</v>
      </c>
      <c r="Z1059" cm="1">
        <f t="array" ref="Z1059">MMULT($G1059:$Y1059,'Nelson Factor_2019'!$B$1:$B$19)/$G1059</f>
        <v>2.9432</v>
      </c>
      <c r="AA1059" cm="1">
        <f t="array" ref="AA1059">MMULT($G1059:$R1059,'Nelson Factor_2019'!$B$1:$B$12)/$G1059</f>
        <v>2.9</v>
      </c>
    </row>
    <row r="1060" spans="1:27" x14ac:dyDescent="0.25">
      <c r="A1060">
        <v>2013</v>
      </c>
      <c r="B1060">
        <v>5</v>
      </c>
      <c r="C1060">
        <v>0</v>
      </c>
      <c r="D1060" t="s">
        <v>261</v>
      </c>
      <c r="E1060" t="s">
        <v>60</v>
      </c>
      <c r="F1060" t="s">
        <v>57</v>
      </c>
      <c r="G1060">
        <v>24300</v>
      </c>
      <c r="H1060">
        <v>14000</v>
      </c>
      <c r="I1060">
        <v>0</v>
      </c>
      <c r="J1060">
        <v>10000</v>
      </c>
      <c r="K1060">
        <v>0</v>
      </c>
      <c r="L1060">
        <v>0</v>
      </c>
      <c r="M1060">
        <v>0</v>
      </c>
      <c r="N1060">
        <v>4800</v>
      </c>
      <c r="O1060">
        <v>0</v>
      </c>
      <c r="P1060">
        <v>0</v>
      </c>
      <c r="Q1060">
        <v>0</v>
      </c>
      <c r="R1060">
        <v>0</v>
      </c>
      <c r="S1060">
        <v>4000</v>
      </c>
      <c r="T1060">
        <v>0</v>
      </c>
      <c r="U1060">
        <v>4.2</v>
      </c>
      <c r="V1060">
        <v>0</v>
      </c>
      <c r="W1060">
        <v>0</v>
      </c>
      <c r="X1060">
        <v>6</v>
      </c>
      <c r="Y1060">
        <v>6500</v>
      </c>
      <c r="Z1060" cm="1">
        <f t="array" ref="Z1060">MMULT($G1060:$Y1060,'Nelson Factor_2019'!$B$1:$B$19)/$G1060</f>
        <v>13.71169547325103</v>
      </c>
      <c r="AA1060" cm="1">
        <f t="array" ref="AA1060">MMULT($G1060:$R1060,'Nelson Factor_2019'!$B$1:$B$12)/$G1060</f>
        <v>3.3744855967078191</v>
      </c>
    </row>
    <row r="1061" spans="1:27" x14ac:dyDescent="0.25">
      <c r="A1061">
        <v>2013</v>
      </c>
      <c r="B1061">
        <v>5</v>
      </c>
      <c r="C1061">
        <v>6</v>
      </c>
      <c r="D1061" t="s">
        <v>261</v>
      </c>
      <c r="E1061" t="s">
        <v>61</v>
      </c>
      <c r="F1061" t="s">
        <v>62</v>
      </c>
      <c r="G1061">
        <v>145000</v>
      </c>
      <c r="H1061">
        <v>91100</v>
      </c>
      <c r="I1061">
        <v>46500</v>
      </c>
      <c r="J1061">
        <v>0</v>
      </c>
      <c r="K1061">
        <v>68870</v>
      </c>
      <c r="L1061">
        <v>29400</v>
      </c>
      <c r="M1061">
        <v>37900</v>
      </c>
      <c r="N1061">
        <v>117950</v>
      </c>
      <c r="O1061">
        <v>11000</v>
      </c>
      <c r="P1061">
        <v>2470</v>
      </c>
      <c r="Q1061">
        <v>0</v>
      </c>
      <c r="R1061">
        <v>15000</v>
      </c>
      <c r="S1061">
        <v>0</v>
      </c>
      <c r="T1061">
        <v>0</v>
      </c>
      <c r="U1061">
        <v>101</v>
      </c>
      <c r="V1061">
        <v>0</v>
      </c>
      <c r="W1061">
        <v>1150</v>
      </c>
      <c r="X1061">
        <v>360</v>
      </c>
      <c r="Y1061">
        <v>15000</v>
      </c>
      <c r="Z1061" cm="1">
        <f t="array" ref="Z1061">MMULT($G1061:$Y1061,'Nelson Factor_2019'!$B$1:$B$19)/$G1061</f>
        <v>14.201213793103449</v>
      </c>
      <c r="AA1061" cm="1">
        <f t="array" ref="AA1061">MMULT($G1061:$R1061,'Nelson Factor_2019'!$B$1:$B$12)/$G1061</f>
        <v>13.44948275862069</v>
      </c>
    </row>
    <row r="1062" spans="1:27" x14ac:dyDescent="0.25">
      <c r="A1062">
        <v>2013</v>
      </c>
      <c r="B1062">
        <v>5</v>
      </c>
      <c r="C1062">
        <v>6</v>
      </c>
      <c r="D1062" t="s">
        <v>261</v>
      </c>
      <c r="E1062" t="s">
        <v>239</v>
      </c>
      <c r="F1062" t="s">
        <v>63</v>
      </c>
      <c r="G1062">
        <v>100000</v>
      </c>
      <c r="H1062">
        <v>62000</v>
      </c>
      <c r="I1062">
        <v>40000</v>
      </c>
      <c r="J1062">
        <v>0</v>
      </c>
      <c r="K1062">
        <v>36000</v>
      </c>
      <c r="L1062">
        <v>32500</v>
      </c>
      <c r="M1062">
        <v>32000</v>
      </c>
      <c r="N1062">
        <v>101250</v>
      </c>
      <c r="O1062">
        <v>12000</v>
      </c>
      <c r="P1062">
        <v>0</v>
      </c>
      <c r="Q1062">
        <v>0</v>
      </c>
      <c r="R1062">
        <v>8000</v>
      </c>
      <c r="S1062">
        <v>0</v>
      </c>
      <c r="T1062">
        <v>0</v>
      </c>
      <c r="U1062">
        <v>55</v>
      </c>
      <c r="V1062">
        <v>55</v>
      </c>
      <c r="W1062">
        <v>1615</v>
      </c>
      <c r="X1062">
        <v>265</v>
      </c>
      <c r="Y1062">
        <v>0</v>
      </c>
      <c r="Z1062" cm="1">
        <f t="array" ref="Z1062">MMULT($G1062:$Y1062,'Nelson Factor_2019'!$B$1:$B$19)/$G1062</f>
        <v>15.75935</v>
      </c>
      <c r="AA1062" cm="1">
        <f t="array" ref="AA1062">MMULT($G1062:$R1062,'Nelson Factor_2019'!$B$1:$B$12)/$G1062</f>
        <v>15.122249999999999</v>
      </c>
    </row>
    <row r="1063" spans="1:27" x14ac:dyDescent="0.25">
      <c r="A1063">
        <v>2013</v>
      </c>
      <c r="B1063">
        <v>5</v>
      </c>
      <c r="C1063">
        <v>6</v>
      </c>
      <c r="D1063" t="s">
        <v>261</v>
      </c>
      <c r="E1063" t="s">
        <v>239</v>
      </c>
      <c r="F1063" t="s">
        <v>65</v>
      </c>
      <c r="G1063">
        <v>161000</v>
      </c>
      <c r="H1063">
        <v>144000</v>
      </c>
      <c r="I1063">
        <v>42000</v>
      </c>
      <c r="J1063">
        <v>0</v>
      </c>
      <c r="K1063">
        <v>66500</v>
      </c>
      <c r="L1063">
        <v>42000</v>
      </c>
      <c r="M1063">
        <v>32000</v>
      </c>
      <c r="N1063">
        <v>172500</v>
      </c>
      <c r="O1063">
        <v>14000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105</v>
      </c>
      <c r="V1063">
        <v>0</v>
      </c>
      <c r="W1063">
        <v>1500</v>
      </c>
      <c r="X1063">
        <v>140</v>
      </c>
      <c r="Y1063">
        <v>0</v>
      </c>
      <c r="Z1063" cm="1">
        <f t="array" ref="Z1063">MMULT($G1063:$Y1063,'Nelson Factor_2019'!$B$1:$B$19)/$G1063</f>
        <v>13.249409937888199</v>
      </c>
      <c r="AA1063" cm="1">
        <f t="array" ref="AA1063">MMULT($G1063:$R1063,'Nelson Factor_2019'!$B$1:$B$12)/$G1063</f>
        <v>13.040062111801243</v>
      </c>
    </row>
    <row r="1064" spans="1:27" x14ac:dyDescent="0.25">
      <c r="A1064">
        <v>2013</v>
      </c>
      <c r="B1064">
        <v>5</v>
      </c>
      <c r="C1064">
        <v>6</v>
      </c>
      <c r="D1064" t="s">
        <v>261</v>
      </c>
      <c r="E1064" t="s">
        <v>66</v>
      </c>
      <c r="F1064" t="s">
        <v>67</v>
      </c>
      <c r="G1064">
        <v>170000</v>
      </c>
      <c r="H1064">
        <v>78500</v>
      </c>
      <c r="I1064">
        <v>28000</v>
      </c>
      <c r="J1064">
        <v>0</v>
      </c>
      <c r="K1064">
        <v>69000</v>
      </c>
      <c r="L1064">
        <v>36000</v>
      </c>
      <c r="M1064">
        <v>36000</v>
      </c>
      <c r="N1064">
        <v>146000</v>
      </c>
      <c r="O1064">
        <v>17100</v>
      </c>
      <c r="P1064">
        <v>2900</v>
      </c>
      <c r="Q1064">
        <v>0</v>
      </c>
      <c r="R1064">
        <v>0</v>
      </c>
      <c r="S1064">
        <v>0</v>
      </c>
      <c r="T1064">
        <v>0</v>
      </c>
      <c r="U1064">
        <v>131.5</v>
      </c>
      <c r="V1064">
        <v>0</v>
      </c>
      <c r="W1064">
        <v>1080</v>
      </c>
      <c r="X1064">
        <v>275</v>
      </c>
      <c r="Y1064">
        <v>5000</v>
      </c>
      <c r="Z1064" cm="1">
        <f t="array" ref="Z1064">MMULT($G1064:$Y1064,'Nelson Factor_2019'!$B$1:$B$19)/$G1064</f>
        <v>11.780479411764706</v>
      </c>
      <c r="AA1064" cm="1">
        <f t="array" ref="AA1064">MMULT($G1064:$R1064,'Nelson Factor_2019'!$B$1:$B$12)/$G1064</f>
        <v>11.347352941176471</v>
      </c>
    </row>
    <row r="1065" spans="1:27" x14ac:dyDescent="0.25">
      <c r="A1065">
        <v>2013</v>
      </c>
      <c r="B1065">
        <v>5</v>
      </c>
      <c r="C1065">
        <v>4</v>
      </c>
      <c r="D1065" t="s">
        <v>261</v>
      </c>
      <c r="E1065" t="s">
        <v>66</v>
      </c>
      <c r="F1065" t="s">
        <v>63</v>
      </c>
      <c r="G1065">
        <v>135000</v>
      </c>
      <c r="H1065">
        <v>46000</v>
      </c>
      <c r="I1065">
        <v>28000</v>
      </c>
      <c r="J1065">
        <v>0</v>
      </c>
      <c r="K1065">
        <v>54000</v>
      </c>
      <c r="L1065">
        <v>17500</v>
      </c>
      <c r="M1065">
        <v>0</v>
      </c>
      <c r="N1065">
        <v>139500</v>
      </c>
      <c r="O1065">
        <v>14500</v>
      </c>
      <c r="P1065">
        <v>0</v>
      </c>
      <c r="Q1065">
        <v>0</v>
      </c>
      <c r="R1065">
        <v>10200</v>
      </c>
      <c r="S1065">
        <v>0</v>
      </c>
      <c r="T1065">
        <v>0</v>
      </c>
      <c r="U1065">
        <v>50</v>
      </c>
      <c r="V1065">
        <v>0</v>
      </c>
      <c r="W1065">
        <v>1700</v>
      </c>
      <c r="X1065">
        <v>250</v>
      </c>
      <c r="Y1065">
        <v>0</v>
      </c>
      <c r="Z1065" cm="1">
        <f t="array" ref="Z1065">MMULT($G1065:$Y1065,'Nelson Factor_2019'!$B$1:$B$19)/$G1065</f>
        <v>10.375555555555556</v>
      </c>
      <c r="AA1065" cm="1">
        <f t="array" ref="AA1065">MMULT($G1065:$R1065,'Nelson Factor_2019'!$B$1:$B$12)/$G1065</f>
        <v>9.93074074074074</v>
      </c>
    </row>
    <row r="1066" spans="1:27" x14ac:dyDescent="0.25">
      <c r="A1066">
        <v>2013</v>
      </c>
      <c r="B1066">
        <v>4</v>
      </c>
      <c r="C1066">
        <v>1</v>
      </c>
      <c r="D1066" t="s">
        <v>263</v>
      </c>
      <c r="E1066" t="s">
        <v>264</v>
      </c>
      <c r="F1066" t="s">
        <v>70</v>
      </c>
      <c r="G1066">
        <v>98000</v>
      </c>
      <c r="H1066">
        <v>34200</v>
      </c>
      <c r="I1066">
        <v>0</v>
      </c>
      <c r="J1066">
        <v>0</v>
      </c>
      <c r="K1066">
        <v>30225</v>
      </c>
      <c r="L1066">
        <v>21900</v>
      </c>
      <c r="M1066">
        <v>0</v>
      </c>
      <c r="N1066">
        <v>82800</v>
      </c>
      <c r="O1066">
        <v>0</v>
      </c>
      <c r="P1066">
        <v>3540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26</v>
      </c>
      <c r="W1066">
        <v>0</v>
      </c>
      <c r="X1066">
        <v>94</v>
      </c>
      <c r="Y1066">
        <v>10500</v>
      </c>
      <c r="Z1066" cm="1">
        <f t="array" ref="Z1066">MMULT($G1066:$Y1066,'Nelson Factor_2019'!$B$1:$B$19)/$G1066</f>
        <v>7.2861836734693881</v>
      </c>
      <c r="AA1066" cm="1">
        <f t="array" ref="AA1066">MMULT($G1066:$R1066,'Nelson Factor_2019'!$B$1:$B$12)/$G1066</f>
        <v>6.8949999999999996</v>
      </c>
    </row>
    <row r="1067" spans="1:27" x14ac:dyDescent="0.25">
      <c r="A1067">
        <v>2013</v>
      </c>
      <c r="B1067">
        <v>1</v>
      </c>
      <c r="C1067">
        <v>3</v>
      </c>
      <c r="D1067" t="s">
        <v>265</v>
      </c>
      <c r="E1067" t="s">
        <v>245</v>
      </c>
      <c r="F1067" t="s">
        <v>74</v>
      </c>
      <c r="G1067">
        <v>190000</v>
      </c>
      <c r="H1067">
        <v>102000</v>
      </c>
      <c r="I1067">
        <v>0</v>
      </c>
      <c r="J1067">
        <v>0</v>
      </c>
      <c r="K1067">
        <v>82000</v>
      </c>
      <c r="L1067">
        <v>43000</v>
      </c>
      <c r="M1067">
        <v>18000</v>
      </c>
      <c r="N1067">
        <v>130000</v>
      </c>
      <c r="O1067">
        <v>11000</v>
      </c>
      <c r="P1067">
        <v>5040</v>
      </c>
      <c r="Q1067">
        <v>1260</v>
      </c>
      <c r="R1067">
        <v>6000</v>
      </c>
      <c r="S1067">
        <v>0</v>
      </c>
      <c r="T1067">
        <v>0</v>
      </c>
      <c r="U1067">
        <v>40</v>
      </c>
      <c r="V1067">
        <v>22</v>
      </c>
      <c r="W1067">
        <v>2200</v>
      </c>
      <c r="X1067">
        <v>532</v>
      </c>
      <c r="Y1067">
        <v>0</v>
      </c>
      <c r="Z1067" cm="1">
        <f t="array" ref="Z1067">MMULT($G1067:$Y1067,'Nelson Factor_2019'!$B$1:$B$19)/$G1067</f>
        <v>9.6312736842105267</v>
      </c>
      <c r="AA1067" cm="1">
        <f t="array" ref="AA1067">MMULT($G1067:$R1067,'Nelson Factor_2019'!$B$1:$B$12)/$G1067</f>
        <v>8.9589473684210521</v>
      </c>
    </row>
    <row r="1068" spans="1:27" x14ac:dyDescent="0.25">
      <c r="A1068">
        <v>2013</v>
      </c>
      <c r="B1068">
        <v>5</v>
      </c>
      <c r="C1068">
        <v>1</v>
      </c>
      <c r="D1068" t="s">
        <v>266</v>
      </c>
      <c r="E1068" t="s">
        <v>227</v>
      </c>
      <c r="F1068" t="s">
        <v>76</v>
      </c>
      <c r="G1068">
        <v>54000</v>
      </c>
      <c r="H1068">
        <v>30000</v>
      </c>
      <c r="I1068">
        <v>0</v>
      </c>
      <c r="J1068">
        <v>0</v>
      </c>
      <c r="K1068">
        <v>21000</v>
      </c>
      <c r="L1068">
        <v>0</v>
      </c>
      <c r="M1068">
        <v>0</v>
      </c>
      <c r="N1068">
        <v>3000</v>
      </c>
      <c r="O1068">
        <v>4000</v>
      </c>
      <c r="P1068">
        <v>1000</v>
      </c>
      <c r="Q1068">
        <v>0</v>
      </c>
      <c r="R1068">
        <v>1200</v>
      </c>
      <c r="S1068">
        <v>0</v>
      </c>
      <c r="T1068">
        <v>0</v>
      </c>
      <c r="U1068">
        <v>2</v>
      </c>
      <c r="V1068">
        <v>0</v>
      </c>
      <c r="W1068">
        <v>0</v>
      </c>
      <c r="X1068">
        <v>0</v>
      </c>
      <c r="Y1068">
        <v>1300</v>
      </c>
      <c r="Z1068" cm="1">
        <f t="array" ref="Z1068">MMULT($G1068:$Y1068,'Nelson Factor_2019'!$B$1:$B$19)/$G1068</f>
        <v>5.2231851851851854</v>
      </c>
      <c r="AA1068" cm="1">
        <f t="array" ref="AA1068">MMULT($G1068:$R1068,'Nelson Factor_2019'!$B$1:$B$12)/$G1068</f>
        <v>5.1870370370370367</v>
      </c>
    </row>
    <row r="1069" spans="1:27" x14ac:dyDescent="0.25">
      <c r="A1069">
        <v>2013</v>
      </c>
      <c r="B1069">
        <v>5</v>
      </c>
      <c r="C1069">
        <v>2</v>
      </c>
      <c r="D1069" t="s">
        <v>266</v>
      </c>
      <c r="E1069" t="s">
        <v>77</v>
      </c>
      <c r="F1069" t="s">
        <v>76</v>
      </c>
      <c r="G1069">
        <v>93700</v>
      </c>
      <c r="H1069">
        <v>39500</v>
      </c>
      <c r="I1069">
        <v>0</v>
      </c>
      <c r="J1069">
        <v>11500</v>
      </c>
      <c r="K1069">
        <v>0</v>
      </c>
      <c r="L1069">
        <v>12800</v>
      </c>
      <c r="M1069">
        <v>17600</v>
      </c>
      <c r="N1069">
        <v>12800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18</v>
      </c>
      <c r="V1069">
        <v>0</v>
      </c>
      <c r="W1069">
        <v>0</v>
      </c>
      <c r="X1069">
        <v>34</v>
      </c>
      <c r="Y1069">
        <v>1000</v>
      </c>
      <c r="Z1069" cm="1">
        <f t="array" ref="Z1069">MMULT($G1069:$Y1069,'Nelson Factor_2019'!$B$1:$B$19)/$G1069</f>
        <v>4.5160405549626468</v>
      </c>
      <c r="AA1069" cm="1">
        <f t="array" ref="AA1069">MMULT($G1069:$R1069,'Nelson Factor_2019'!$B$1:$B$12)/$G1069</f>
        <v>4.4127534685165424</v>
      </c>
    </row>
    <row r="1070" spans="1:27" x14ac:dyDescent="0.25">
      <c r="A1070">
        <v>2013</v>
      </c>
      <c r="B1070">
        <v>2</v>
      </c>
      <c r="C1070">
        <v>4</v>
      </c>
      <c r="D1070" t="s">
        <v>267</v>
      </c>
      <c r="E1070" t="s">
        <v>79</v>
      </c>
      <c r="F1070" t="s">
        <v>80</v>
      </c>
      <c r="G1070">
        <v>158650</v>
      </c>
      <c r="H1070">
        <v>71250</v>
      </c>
      <c r="I1070">
        <v>36000</v>
      </c>
      <c r="J1070">
        <v>0</v>
      </c>
      <c r="K1070">
        <v>60300</v>
      </c>
      <c r="L1070">
        <v>28080</v>
      </c>
      <c r="M1070">
        <v>0</v>
      </c>
      <c r="N1070">
        <v>103410</v>
      </c>
      <c r="O1070">
        <v>18900</v>
      </c>
      <c r="P1070">
        <v>0</v>
      </c>
      <c r="Q1070">
        <v>6030</v>
      </c>
      <c r="R1070">
        <v>0</v>
      </c>
      <c r="S1070">
        <v>0</v>
      </c>
      <c r="T1070">
        <v>0</v>
      </c>
      <c r="U1070">
        <v>4.5</v>
      </c>
      <c r="V1070">
        <v>0</v>
      </c>
      <c r="W1070">
        <v>2101.5</v>
      </c>
      <c r="X1070">
        <v>343.8</v>
      </c>
      <c r="Y1070">
        <v>0</v>
      </c>
      <c r="Z1070" cm="1">
        <f t="array" ref="Z1070">MMULT($G1070:$Y1070,'Nelson Factor_2019'!$B$1:$B$19)/$G1070</f>
        <v>10.552262842735582</v>
      </c>
      <c r="AA1070" cm="1">
        <f t="array" ref="AA1070">MMULT($G1070:$R1070,'Nelson Factor_2019'!$B$1:$B$12)/$G1070</f>
        <v>10.032146233848094</v>
      </c>
    </row>
    <row r="1071" spans="1:27" x14ac:dyDescent="0.25">
      <c r="A1071">
        <v>2013</v>
      </c>
      <c r="B1071">
        <v>2</v>
      </c>
      <c r="C1071">
        <v>4</v>
      </c>
      <c r="D1071" t="s">
        <v>267</v>
      </c>
      <c r="E1071" t="s">
        <v>54</v>
      </c>
      <c r="F1071" t="s">
        <v>82</v>
      </c>
      <c r="G1071">
        <v>238000</v>
      </c>
      <c r="H1071">
        <v>121500</v>
      </c>
      <c r="I1071">
        <v>56500</v>
      </c>
      <c r="J1071">
        <v>0</v>
      </c>
      <c r="K1071">
        <v>94500</v>
      </c>
      <c r="L1071">
        <v>50000</v>
      </c>
      <c r="M1071">
        <v>0</v>
      </c>
      <c r="N1071">
        <v>249000</v>
      </c>
      <c r="O1071">
        <v>28000</v>
      </c>
      <c r="P1071">
        <v>0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3350</v>
      </c>
      <c r="X1071">
        <v>580</v>
      </c>
      <c r="Y1071">
        <v>14500</v>
      </c>
      <c r="Z1071" cm="1">
        <f t="array" ref="Z1071">MMULT($G1071:$Y1071,'Nelson Factor_2019'!$B$1:$B$19)/$G1071</f>
        <v>11.34516806722689</v>
      </c>
      <c r="AA1071" cm="1">
        <f t="array" ref="AA1071">MMULT($G1071:$R1071,'Nelson Factor_2019'!$B$1:$B$12)/$G1071</f>
        <v>10.668907563025209</v>
      </c>
    </row>
    <row r="1072" spans="1:27" x14ac:dyDescent="0.25">
      <c r="A1072">
        <v>2013</v>
      </c>
      <c r="B1072">
        <v>2</v>
      </c>
      <c r="C1072">
        <v>6</v>
      </c>
      <c r="D1072" t="s">
        <v>267</v>
      </c>
      <c r="E1072" t="s">
        <v>246</v>
      </c>
      <c r="F1072" t="s">
        <v>84</v>
      </c>
      <c r="G1072">
        <v>206000</v>
      </c>
      <c r="H1072">
        <v>67900</v>
      </c>
      <c r="I1072">
        <v>27600</v>
      </c>
      <c r="J1072">
        <v>0</v>
      </c>
      <c r="K1072">
        <v>51800</v>
      </c>
      <c r="L1072">
        <v>76000</v>
      </c>
      <c r="M1072">
        <v>27100</v>
      </c>
      <c r="N1072">
        <v>177700</v>
      </c>
      <c r="O1072">
        <v>11900</v>
      </c>
      <c r="P1072">
        <v>0</v>
      </c>
      <c r="Q1072">
        <v>6100</v>
      </c>
      <c r="R1072">
        <v>15200</v>
      </c>
      <c r="S1072">
        <v>0</v>
      </c>
      <c r="T1072">
        <v>0</v>
      </c>
      <c r="U1072">
        <v>0</v>
      </c>
      <c r="V1072">
        <v>0</v>
      </c>
      <c r="W1072">
        <v>1295</v>
      </c>
      <c r="X1072">
        <v>174</v>
      </c>
      <c r="Y1072">
        <v>0</v>
      </c>
      <c r="Z1072" cm="1">
        <f t="array" ref="Z1072">MMULT($G1072:$Y1072,'Nelson Factor_2019'!$B$1:$B$19)/$G1072</f>
        <v>10.589708737864077</v>
      </c>
      <c r="AA1072" cm="1">
        <f t="array" ref="AA1072">MMULT($G1072:$R1072,'Nelson Factor_2019'!$B$1:$B$12)/$G1072</f>
        <v>10.386990291262135</v>
      </c>
    </row>
    <row r="1073" spans="1:27" x14ac:dyDescent="0.25">
      <c r="A1073">
        <v>2013</v>
      </c>
      <c r="B1073">
        <v>2</v>
      </c>
      <c r="C1073">
        <v>6</v>
      </c>
      <c r="D1073" t="s">
        <v>267</v>
      </c>
      <c r="E1073" t="s">
        <v>240</v>
      </c>
      <c r="F1073" t="s">
        <v>81</v>
      </c>
      <c r="G1073">
        <v>311000</v>
      </c>
      <c r="H1073">
        <v>187000</v>
      </c>
      <c r="I1073">
        <v>75000</v>
      </c>
      <c r="J1073">
        <v>0</v>
      </c>
      <c r="K1073">
        <v>91000</v>
      </c>
      <c r="L1073">
        <v>72000</v>
      </c>
      <c r="M1073">
        <v>49000</v>
      </c>
      <c r="N1073">
        <v>236000</v>
      </c>
      <c r="O1073">
        <v>20000</v>
      </c>
      <c r="P1073">
        <v>0</v>
      </c>
      <c r="Q1073">
        <v>4100</v>
      </c>
      <c r="R1073">
        <v>0</v>
      </c>
      <c r="S1073">
        <v>0</v>
      </c>
      <c r="T1073">
        <v>0</v>
      </c>
      <c r="U1073">
        <v>171</v>
      </c>
      <c r="V1073">
        <v>0</v>
      </c>
      <c r="W1073">
        <v>5100</v>
      </c>
      <c r="X1073">
        <v>825</v>
      </c>
      <c r="Y1073">
        <v>18000</v>
      </c>
      <c r="Z1073" cm="1">
        <f t="array" ref="Z1073">MMULT($G1073:$Y1073,'Nelson Factor_2019'!$B$1:$B$19)/$G1073</f>
        <v>11.291868167202573</v>
      </c>
      <c r="AA1073" cm="1">
        <f t="array" ref="AA1073">MMULT($G1073:$R1073,'Nelson Factor_2019'!$B$1:$B$12)/$G1073</f>
        <v>10.567845659163988</v>
      </c>
    </row>
    <row r="1074" spans="1:27" x14ac:dyDescent="0.25">
      <c r="A1074">
        <v>2013</v>
      </c>
      <c r="B1074">
        <v>2</v>
      </c>
      <c r="C1074">
        <v>4</v>
      </c>
      <c r="D1074" t="s">
        <v>268</v>
      </c>
      <c r="E1074" t="s">
        <v>32</v>
      </c>
      <c r="F1074" t="s">
        <v>86</v>
      </c>
      <c r="G1074">
        <v>392350</v>
      </c>
      <c r="H1074">
        <v>183825</v>
      </c>
      <c r="I1074">
        <v>31050</v>
      </c>
      <c r="J1074">
        <v>0</v>
      </c>
      <c r="K1074">
        <v>148500</v>
      </c>
      <c r="L1074">
        <v>57600</v>
      </c>
      <c r="M1074">
        <v>0</v>
      </c>
      <c r="N1074">
        <v>321300</v>
      </c>
      <c r="O1074">
        <v>22500</v>
      </c>
      <c r="P1074">
        <v>0</v>
      </c>
      <c r="Q1074">
        <v>0</v>
      </c>
      <c r="R1074">
        <v>23400</v>
      </c>
      <c r="S1074">
        <v>0</v>
      </c>
      <c r="T1074">
        <v>0</v>
      </c>
      <c r="U1074">
        <v>30</v>
      </c>
      <c r="V1074">
        <v>9</v>
      </c>
      <c r="W1074">
        <v>1557</v>
      </c>
      <c r="X1074">
        <v>486</v>
      </c>
      <c r="Y1074">
        <v>26550</v>
      </c>
      <c r="Z1074" cm="1">
        <f t="array" ref="Z1074">MMULT($G1074:$Y1074,'Nelson Factor_2019'!$B$1:$B$19)/$G1074</f>
        <v>8.4061462979482613</v>
      </c>
      <c r="AA1074" cm="1">
        <f t="array" ref="AA1074">MMULT($G1074:$R1074,'Nelson Factor_2019'!$B$1:$B$12)/$G1074</f>
        <v>8.007257550656302</v>
      </c>
    </row>
    <row r="1075" spans="1:27" x14ac:dyDescent="0.25">
      <c r="A1075">
        <v>2013</v>
      </c>
      <c r="B1075">
        <v>2</v>
      </c>
      <c r="C1075">
        <v>1</v>
      </c>
      <c r="D1075" t="s">
        <v>268</v>
      </c>
      <c r="E1075" t="s">
        <v>87</v>
      </c>
      <c r="F1075" t="s">
        <v>88</v>
      </c>
      <c r="G1075">
        <v>27000</v>
      </c>
      <c r="H1075">
        <v>11000</v>
      </c>
      <c r="I1075">
        <v>0</v>
      </c>
      <c r="J1075">
        <v>0</v>
      </c>
      <c r="K1075">
        <v>7850</v>
      </c>
      <c r="L1075">
        <v>6500</v>
      </c>
      <c r="M1075">
        <v>0</v>
      </c>
      <c r="N1075">
        <v>21000</v>
      </c>
      <c r="O1075">
        <v>2000</v>
      </c>
      <c r="P1075">
        <v>0</v>
      </c>
      <c r="Q1075">
        <v>0</v>
      </c>
      <c r="R1075">
        <v>2200</v>
      </c>
      <c r="S1075">
        <v>0</v>
      </c>
      <c r="T1075">
        <v>0</v>
      </c>
      <c r="U1075">
        <v>0</v>
      </c>
      <c r="V1075">
        <v>0</v>
      </c>
      <c r="W1075">
        <v>0</v>
      </c>
      <c r="X1075">
        <v>8</v>
      </c>
      <c r="Y1075">
        <v>3300</v>
      </c>
      <c r="Z1075" cm="1">
        <f t="array" ref="Z1075">MMULT($G1075:$Y1075,'Nelson Factor_2019'!$B$1:$B$19)/$G1075</f>
        <v>7.6618518518518517</v>
      </c>
      <c r="AA1075" cm="1">
        <f t="array" ref="AA1075">MMULT($G1075:$R1075,'Nelson Factor_2019'!$B$1:$B$12)/$G1075</f>
        <v>7.4074074074074074</v>
      </c>
    </row>
    <row r="1076" spans="1:27" x14ac:dyDescent="0.25">
      <c r="A1076">
        <v>2013</v>
      </c>
      <c r="B1076">
        <v>2</v>
      </c>
      <c r="C1076">
        <v>4</v>
      </c>
      <c r="D1076" t="s">
        <v>269</v>
      </c>
      <c r="E1076" t="s">
        <v>247</v>
      </c>
      <c r="F1076" t="s">
        <v>91</v>
      </c>
      <c r="G1076">
        <v>120000</v>
      </c>
      <c r="H1076">
        <v>46000</v>
      </c>
      <c r="I1076">
        <v>25000</v>
      </c>
      <c r="J1076">
        <v>0</v>
      </c>
      <c r="K1076">
        <v>36000</v>
      </c>
      <c r="L1076">
        <v>26000</v>
      </c>
      <c r="M1076">
        <v>0</v>
      </c>
      <c r="N1076">
        <v>124000</v>
      </c>
      <c r="O1076">
        <v>10000</v>
      </c>
      <c r="P1076">
        <v>0</v>
      </c>
      <c r="Q1076">
        <v>0</v>
      </c>
      <c r="R1076">
        <v>8500</v>
      </c>
      <c r="S1076">
        <v>0</v>
      </c>
      <c r="T1076">
        <v>0</v>
      </c>
      <c r="U1076">
        <v>0</v>
      </c>
      <c r="V1076">
        <v>36</v>
      </c>
      <c r="W1076">
        <v>1150</v>
      </c>
      <c r="X1076">
        <v>146</v>
      </c>
      <c r="Y1076">
        <v>0</v>
      </c>
      <c r="Z1076" cm="1">
        <f t="array" ref="Z1076">MMULT($G1076:$Y1076,'Nelson Factor_2019'!$B$1:$B$19)/$G1076</f>
        <v>9.8656333333333333</v>
      </c>
      <c r="AA1076" cm="1">
        <f t="array" ref="AA1076">MMULT($G1076:$R1076,'Nelson Factor_2019'!$B$1:$B$12)/$G1076</f>
        <v>9.5733333333333341</v>
      </c>
    </row>
    <row r="1077" spans="1:27" x14ac:dyDescent="0.25">
      <c r="A1077">
        <v>2013</v>
      </c>
      <c r="B1077">
        <v>2</v>
      </c>
      <c r="C1077">
        <v>4</v>
      </c>
      <c r="D1077" t="s">
        <v>269</v>
      </c>
      <c r="E1077" t="s">
        <v>251</v>
      </c>
      <c r="F1077" t="s">
        <v>45</v>
      </c>
      <c r="G1077">
        <v>133000</v>
      </c>
      <c r="H1077">
        <v>60800</v>
      </c>
      <c r="I1077">
        <v>17100</v>
      </c>
      <c r="J1077">
        <v>0</v>
      </c>
      <c r="K1077">
        <v>37800</v>
      </c>
      <c r="L1077">
        <v>27900</v>
      </c>
      <c r="M1077">
        <v>0</v>
      </c>
      <c r="N1077">
        <v>139950</v>
      </c>
      <c r="O1077">
        <v>12150</v>
      </c>
      <c r="P1077">
        <v>0</v>
      </c>
      <c r="Q1077">
        <v>1980</v>
      </c>
      <c r="R1077">
        <v>11250</v>
      </c>
      <c r="S1077">
        <v>0</v>
      </c>
      <c r="T1077">
        <v>0</v>
      </c>
      <c r="U1077">
        <v>39</v>
      </c>
      <c r="V1077">
        <v>20</v>
      </c>
      <c r="W1077">
        <v>1100</v>
      </c>
      <c r="X1077">
        <v>285</v>
      </c>
      <c r="Y1077">
        <v>0</v>
      </c>
      <c r="Z1077" cm="1">
        <f t="array" ref="Z1077">MMULT($G1077:$Y1077,'Nelson Factor_2019'!$B$1:$B$19)/$G1077</f>
        <v>9.9231127819548881</v>
      </c>
      <c r="AA1077" cm="1">
        <f t="array" ref="AA1077">MMULT($G1077:$R1077,'Nelson Factor_2019'!$B$1:$B$12)/$G1077</f>
        <v>9.4083834586466164</v>
      </c>
    </row>
    <row r="1078" spans="1:27" x14ac:dyDescent="0.25">
      <c r="A1078">
        <v>2013</v>
      </c>
      <c r="B1078">
        <v>2</v>
      </c>
      <c r="C1078">
        <v>6</v>
      </c>
      <c r="D1078" t="s">
        <v>269</v>
      </c>
      <c r="E1078" t="s">
        <v>93</v>
      </c>
      <c r="F1078" t="s">
        <v>94</v>
      </c>
      <c r="G1078">
        <v>82700</v>
      </c>
      <c r="H1078">
        <v>35400</v>
      </c>
      <c r="I1078">
        <v>20800</v>
      </c>
      <c r="J1078">
        <v>0</v>
      </c>
      <c r="K1078">
        <v>22700</v>
      </c>
      <c r="L1078">
        <v>22700</v>
      </c>
      <c r="M1078">
        <v>36400</v>
      </c>
      <c r="N1078">
        <v>76700</v>
      </c>
      <c r="O1078">
        <v>7600</v>
      </c>
      <c r="P1078">
        <v>0</v>
      </c>
      <c r="Q1078">
        <v>0</v>
      </c>
      <c r="R1078">
        <v>13000</v>
      </c>
      <c r="S1078">
        <v>0</v>
      </c>
      <c r="T1078">
        <v>0</v>
      </c>
      <c r="U1078">
        <v>35.9</v>
      </c>
      <c r="V1078">
        <v>78.400000000000006</v>
      </c>
      <c r="W1078">
        <v>819</v>
      </c>
      <c r="X1078">
        <v>123</v>
      </c>
      <c r="Y1078">
        <v>0</v>
      </c>
      <c r="Z1078" cm="1">
        <f t="array" ref="Z1078">MMULT($G1078:$Y1078,'Nelson Factor_2019'!$B$1:$B$19)/$G1078</f>
        <v>14.050837968561062</v>
      </c>
      <c r="AA1078" cm="1">
        <f t="array" ref="AA1078">MMULT($G1078:$R1078,'Nelson Factor_2019'!$B$1:$B$12)/$G1078</f>
        <v>13.692503022974607</v>
      </c>
    </row>
    <row r="1079" spans="1:27" x14ac:dyDescent="0.25">
      <c r="A1079">
        <v>2013</v>
      </c>
      <c r="B1079">
        <v>2</v>
      </c>
      <c r="C1079">
        <v>1</v>
      </c>
      <c r="D1079" t="s">
        <v>270</v>
      </c>
      <c r="E1079" t="s">
        <v>246</v>
      </c>
      <c r="F1079" t="s">
        <v>96</v>
      </c>
      <c r="G1079">
        <v>240000</v>
      </c>
      <c r="H1079">
        <v>113100</v>
      </c>
      <c r="I1079">
        <v>0</v>
      </c>
      <c r="J1079">
        <v>0</v>
      </c>
      <c r="K1079">
        <v>98800</v>
      </c>
      <c r="L1079">
        <v>49900</v>
      </c>
      <c r="M1079">
        <v>0</v>
      </c>
      <c r="N1079">
        <v>258000</v>
      </c>
      <c r="O1079">
        <v>20000</v>
      </c>
      <c r="P1079">
        <v>0</v>
      </c>
      <c r="Q1079">
        <v>10200</v>
      </c>
      <c r="R1079">
        <v>17100</v>
      </c>
      <c r="S1079">
        <v>0</v>
      </c>
      <c r="T1079">
        <v>0</v>
      </c>
      <c r="U1079">
        <v>32.299999999999997</v>
      </c>
      <c r="V1079">
        <v>0</v>
      </c>
      <c r="W1079">
        <v>0</v>
      </c>
      <c r="X1079">
        <v>386</v>
      </c>
      <c r="Y1079">
        <v>33600</v>
      </c>
      <c r="Z1079" cm="1">
        <f t="array" ref="Z1079">MMULT($G1079:$Y1079,'Nelson Factor_2019'!$B$1:$B$19)/$G1079</f>
        <v>10.302926249999999</v>
      </c>
      <c r="AA1079" cm="1">
        <f t="array" ref="AA1079">MMULT($G1079:$R1079,'Nelson Factor_2019'!$B$1:$B$12)/$G1079</f>
        <v>9.7067916666666658</v>
      </c>
    </row>
    <row r="1080" spans="1:27" x14ac:dyDescent="0.25">
      <c r="A1080">
        <v>2013</v>
      </c>
      <c r="B1080">
        <v>2</v>
      </c>
      <c r="C1080">
        <v>0</v>
      </c>
      <c r="D1080" t="s">
        <v>270</v>
      </c>
      <c r="E1080" t="s">
        <v>271</v>
      </c>
      <c r="F1080" t="s">
        <v>98</v>
      </c>
      <c r="G1080">
        <v>5500</v>
      </c>
      <c r="H1080">
        <v>0</v>
      </c>
      <c r="I1080">
        <v>0</v>
      </c>
      <c r="J1080">
        <v>0</v>
      </c>
      <c r="K1080">
        <v>0</v>
      </c>
      <c r="L1080">
        <v>1500</v>
      </c>
      <c r="M1080">
        <v>0</v>
      </c>
      <c r="N1080">
        <v>2000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 cm="1">
        <f t="array" ref="Z1080">MMULT($G1080:$Y1080,'Nelson Factor_2019'!$B$1:$B$19)/$G1080</f>
        <v>3.2727272727272729</v>
      </c>
      <c r="AA1080" cm="1">
        <f t="array" ref="AA1080">MMULT($G1080:$R1080,'Nelson Factor_2019'!$B$1:$B$12)/$G1080</f>
        <v>3.2727272727272729</v>
      </c>
    </row>
    <row r="1081" spans="1:27" x14ac:dyDescent="0.25">
      <c r="A1081">
        <v>2013</v>
      </c>
      <c r="B1081">
        <v>3</v>
      </c>
      <c r="C1081">
        <v>1</v>
      </c>
      <c r="D1081" t="s">
        <v>272</v>
      </c>
      <c r="E1081" t="s">
        <v>176</v>
      </c>
      <c r="F1081" t="s">
        <v>120</v>
      </c>
      <c r="G1081">
        <v>83000</v>
      </c>
      <c r="H1081">
        <v>36000</v>
      </c>
      <c r="I1081">
        <v>0</v>
      </c>
      <c r="J1081">
        <v>0</v>
      </c>
      <c r="K1081">
        <v>33000</v>
      </c>
      <c r="L1081">
        <v>12000</v>
      </c>
      <c r="M1081">
        <v>0</v>
      </c>
      <c r="N1081">
        <v>18500</v>
      </c>
      <c r="O1081">
        <v>0</v>
      </c>
      <c r="P1081">
        <v>2100</v>
      </c>
      <c r="Q1081">
        <v>0</v>
      </c>
      <c r="R1081">
        <v>4500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0</v>
      </c>
      <c r="Z1081" cm="1">
        <f t="array" ref="Z1081">MMULT($G1081:$Y1081,'Nelson Factor_2019'!$B$1:$B$19)/$G1081</f>
        <v>5.645180722891566</v>
      </c>
      <c r="AA1081" cm="1">
        <f t="array" ref="AA1081">MMULT($G1081:$R1081,'Nelson Factor_2019'!$B$1:$B$12)/$G1081</f>
        <v>5.645180722891566</v>
      </c>
    </row>
    <row r="1082" spans="1:27" x14ac:dyDescent="0.25">
      <c r="A1082">
        <v>2013</v>
      </c>
      <c r="B1082">
        <v>3</v>
      </c>
      <c r="C1082">
        <v>0</v>
      </c>
      <c r="D1082" t="s">
        <v>272</v>
      </c>
      <c r="E1082" t="s">
        <v>100</v>
      </c>
      <c r="F1082" t="s">
        <v>101</v>
      </c>
      <c r="G1082">
        <v>32000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0</v>
      </c>
      <c r="Z1082" cm="1">
        <f t="array" ref="Z1082">MMULT($G1082:$Y1082,'Nelson Factor_2019'!$B$1:$B$19)/$G1082</f>
        <v>1</v>
      </c>
      <c r="AA1082" cm="1">
        <f t="array" ref="AA1082">MMULT($G1082:$R1082,'Nelson Factor_2019'!$B$1:$B$12)/$G1082</f>
        <v>1</v>
      </c>
    </row>
    <row r="1083" spans="1:27" x14ac:dyDescent="0.25">
      <c r="A1083">
        <v>2013</v>
      </c>
      <c r="B1083">
        <v>3</v>
      </c>
      <c r="C1083">
        <v>0</v>
      </c>
      <c r="D1083" t="s">
        <v>272</v>
      </c>
      <c r="E1083" t="s">
        <v>102</v>
      </c>
      <c r="F1083" t="s">
        <v>103</v>
      </c>
      <c r="G1083">
        <v>9500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5000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2.5</v>
      </c>
      <c r="V1083">
        <v>2.5</v>
      </c>
      <c r="W1083">
        <v>0</v>
      </c>
      <c r="X1083">
        <v>0</v>
      </c>
      <c r="Y1083">
        <v>0</v>
      </c>
      <c r="Z1083" cm="1">
        <f t="array" ref="Z1083">MMULT($G1083:$Y1083,'Nelson Factor_2019'!$B$1:$B$19)/$G1083</f>
        <v>2.3163157894736841</v>
      </c>
      <c r="AA1083" cm="1">
        <f t="array" ref="AA1083">MMULT($G1083:$R1083,'Nelson Factor_2019'!$B$1:$B$12)/$G1083</f>
        <v>2.3157894736842106</v>
      </c>
    </row>
    <row r="1084" spans="1:27" x14ac:dyDescent="0.25">
      <c r="A1084">
        <v>2013</v>
      </c>
      <c r="B1084">
        <v>3</v>
      </c>
      <c r="C1084">
        <v>2</v>
      </c>
      <c r="D1084" t="s">
        <v>272</v>
      </c>
      <c r="E1084" t="s">
        <v>102</v>
      </c>
      <c r="F1084" t="s">
        <v>104</v>
      </c>
      <c r="G1084">
        <v>9500</v>
      </c>
      <c r="H1084">
        <v>8500</v>
      </c>
      <c r="I1084">
        <v>0</v>
      </c>
      <c r="J1084">
        <v>0</v>
      </c>
      <c r="K1084">
        <v>0</v>
      </c>
      <c r="L1084">
        <v>0</v>
      </c>
      <c r="M1084">
        <v>8000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7500</v>
      </c>
      <c r="T1084">
        <v>0</v>
      </c>
      <c r="U1084">
        <v>4.5</v>
      </c>
      <c r="V1084">
        <v>4.5</v>
      </c>
      <c r="W1084">
        <v>0</v>
      </c>
      <c r="X1084">
        <v>3</v>
      </c>
      <c r="Y1084">
        <v>0</v>
      </c>
      <c r="Z1084" cm="1">
        <f t="array" ref="Z1084">MMULT($G1084:$Y1084,'Nelson Factor_2019'!$B$1:$B$19)/$G1084</f>
        <v>56.345157894736843</v>
      </c>
      <c r="AA1084" cm="1">
        <f t="array" ref="AA1084">MMULT($G1084:$R1084,'Nelson Factor_2019'!$B$1:$B$12)/$G1084</f>
        <v>8.9</v>
      </c>
    </row>
    <row r="1085" spans="1:27" x14ac:dyDescent="0.25">
      <c r="A1085">
        <v>2013</v>
      </c>
      <c r="B1085">
        <v>3</v>
      </c>
      <c r="C1085">
        <v>2</v>
      </c>
      <c r="D1085" t="s">
        <v>272</v>
      </c>
      <c r="E1085" t="s">
        <v>102</v>
      </c>
      <c r="F1085" t="s">
        <v>105</v>
      </c>
      <c r="G1085">
        <v>35000</v>
      </c>
      <c r="H1085">
        <v>15000</v>
      </c>
      <c r="I1085">
        <v>0</v>
      </c>
      <c r="J1085">
        <v>0</v>
      </c>
      <c r="K1085">
        <v>0</v>
      </c>
      <c r="L1085">
        <v>10000</v>
      </c>
      <c r="M1085">
        <v>8500</v>
      </c>
      <c r="N1085">
        <v>24000</v>
      </c>
      <c r="O1085">
        <v>0</v>
      </c>
      <c r="P1085">
        <v>0</v>
      </c>
      <c r="Q1085">
        <v>0</v>
      </c>
      <c r="R1085">
        <v>0</v>
      </c>
      <c r="S1085">
        <v>8000</v>
      </c>
      <c r="T1085">
        <v>0</v>
      </c>
      <c r="U1085">
        <v>6.1</v>
      </c>
      <c r="V1085">
        <v>6.1</v>
      </c>
      <c r="W1085">
        <v>0</v>
      </c>
      <c r="X1085">
        <v>15</v>
      </c>
      <c r="Y1085">
        <v>0</v>
      </c>
      <c r="Z1085" cm="1">
        <f t="array" ref="Z1085">MMULT($G1085:$Y1085,'Nelson Factor_2019'!$B$1:$B$19)/$G1085</f>
        <v>20.460348571428572</v>
      </c>
      <c r="AA1085" cm="1">
        <f t="array" ref="AA1085">MMULT($G1085:$R1085,'Nelson Factor_2019'!$B$1:$B$12)/$G1085</f>
        <v>6.6428571428571432</v>
      </c>
    </row>
    <row r="1086" spans="1:27" x14ac:dyDescent="0.25">
      <c r="A1086">
        <v>2013</v>
      </c>
      <c r="B1086">
        <v>3</v>
      </c>
      <c r="C1086">
        <v>4</v>
      </c>
      <c r="D1086" t="s">
        <v>272</v>
      </c>
      <c r="E1086" t="s">
        <v>233</v>
      </c>
      <c r="F1086" t="s">
        <v>110</v>
      </c>
      <c r="G1086">
        <v>189000</v>
      </c>
      <c r="H1086">
        <v>159500</v>
      </c>
      <c r="I1086">
        <v>28500</v>
      </c>
      <c r="J1086">
        <v>0</v>
      </c>
      <c r="K1086">
        <v>72000</v>
      </c>
      <c r="L1086">
        <v>20000</v>
      </c>
      <c r="M1086">
        <v>0</v>
      </c>
      <c r="N1086">
        <v>158000</v>
      </c>
      <c r="O1086">
        <v>15000</v>
      </c>
      <c r="P1086">
        <v>0</v>
      </c>
      <c r="Q1086">
        <v>5500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1540</v>
      </c>
      <c r="X1086">
        <v>870</v>
      </c>
      <c r="Y1086">
        <v>0</v>
      </c>
      <c r="Z1086" cm="1">
        <f t="array" ref="Z1086">MMULT($G1086:$Y1086,'Nelson Factor_2019'!$B$1:$B$19)/$G1086</f>
        <v>10.613227513227514</v>
      </c>
      <c r="AA1086" cm="1">
        <f t="array" ref="AA1086">MMULT($G1086:$R1086,'Nelson Factor_2019'!$B$1:$B$12)/$G1086</f>
        <v>9.5084656084656078</v>
      </c>
    </row>
    <row r="1087" spans="1:27" x14ac:dyDescent="0.25">
      <c r="A1087">
        <v>2013</v>
      </c>
      <c r="B1087">
        <v>3</v>
      </c>
      <c r="C1087">
        <v>0</v>
      </c>
      <c r="D1087" t="s">
        <v>272</v>
      </c>
      <c r="E1087" t="s">
        <v>248</v>
      </c>
      <c r="F1087" t="s">
        <v>101</v>
      </c>
      <c r="G1087">
        <v>0</v>
      </c>
      <c r="H1087">
        <v>36100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8550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 cm="1">
        <f t="array" ref="Z1087">MMULT($G1087:$Y1087,'Nelson Factor_2019'!$B$1:$B$19)/$H1087</f>
        <v>15.510526315789473</v>
      </c>
      <c r="AA1087" cm="1">
        <f t="array" ref="AA1087">MMULT($G1087:$R1087,'Nelson Factor_2019'!$B$1:$B$12)/$H1087</f>
        <v>1.3</v>
      </c>
    </row>
    <row r="1088" spans="1:27" x14ac:dyDescent="0.25">
      <c r="A1088">
        <v>2013</v>
      </c>
      <c r="B1088">
        <v>3</v>
      </c>
      <c r="C1088">
        <v>6</v>
      </c>
      <c r="D1088" t="s">
        <v>272</v>
      </c>
      <c r="E1088" t="s">
        <v>79</v>
      </c>
      <c r="F1088" t="s">
        <v>101</v>
      </c>
      <c r="G1088">
        <v>440000</v>
      </c>
      <c r="H1088">
        <v>79800</v>
      </c>
      <c r="I1088">
        <v>88200</v>
      </c>
      <c r="J1088">
        <v>0</v>
      </c>
      <c r="K1088">
        <v>126000</v>
      </c>
      <c r="L1088">
        <v>94500</v>
      </c>
      <c r="M1088">
        <v>37800</v>
      </c>
      <c r="N1088">
        <v>233100</v>
      </c>
      <c r="O1088">
        <v>20700</v>
      </c>
      <c r="P1088">
        <v>0</v>
      </c>
      <c r="Q1088">
        <v>13500</v>
      </c>
      <c r="R1088">
        <v>28800</v>
      </c>
      <c r="S1088">
        <v>9900</v>
      </c>
      <c r="T1088">
        <v>3150</v>
      </c>
      <c r="U1088">
        <v>47.7</v>
      </c>
      <c r="V1088">
        <v>10.8</v>
      </c>
      <c r="W1088">
        <v>3870</v>
      </c>
      <c r="X1088">
        <v>567</v>
      </c>
      <c r="Y1088">
        <v>0</v>
      </c>
      <c r="Z1088" cm="1">
        <f t="array" ref="Z1088">MMULT($G1088:$Y1088,'Nelson Factor_2019'!$B$1:$B$19)/$G1088</f>
        <v>10.554382954545455</v>
      </c>
      <c r="AA1088" cm="1">
        <f t="array" ref="AA1088">MMULT($G1088:$R1088,'Nelson Factor_2019'!$B$1:$B$12)/$G1088</f>
        <v>8.823386363636363</v>
      </c>
    </row>
    <row r="1089" spans="1:27" x14ac:dyDescent="0.25">
      <c r="A1089">
        <v>2013</v>
      </c>
      <c r="B1089">
        <v>3</v>
      </c>
      <c r="C1089">
        <v>4</v>
      </c>
      <c r="D1089" t="s">
        <v>272</v>
      </c>
      <c r="E1089" t="s">
        <v>258</v>
      </c>
      <c r="F1089" t="s">
        <v>107</v>
      </c>
      <c r="G1089">
        <v>247000</v>
      </c>
      <c r="H1089">
        <v>100300</v>
      </c>
      <c r="I1089">
        <v>23400</v>
      </c>
      <c r="J1089">
        <v>0</v>
      </c>
      <c r="K1089">
        <v>94500</v>
      </c>
      <c r="L1089">
        <v>40200</v>
      </c>
      <c r="M1089">
        <v>0</v>
      </c>
      <c r="N1089">
        <v>199500</v>
      </c>
      <c r="O1089">
        <v>34200</v>
      </c>
      <c r="P1089">
        <v>0</v>
      </c>
      <c r="Q1089">
        <v>38100</v>
      </c>
      <c r="R1089">
        <v>0</v>
      </c>
      <c r="S1089">
        <v>0</v>
      </c>
      <c r="T1089">
        <v>0</v>
      </c>
      <c r="U1089">
        <v>0</v>
      </c>
      <c r="V1089">
        <v>10.4</v>
      </c>
      <c r="W1089">
        <v>1100</v>
      </c>
      <c r="X1089">
        <v>80</v>
      </c>
      <c r="Y1089">
        <v>0</v>
      </c>
      <c r="Z1089" cm="1">
        <f t="array" ref="Z1089">MMULT($G1089:$Y1089,'Nelson Factor_2019'!$B$1:$B$19)/$G1089</f>
        <v>11.914374089068826</v>
      </c>
      <c r="AA1089" cm="1">
        <f t="array" ref="AA1089">MMULT($G1089:$R1089,'Nelson Factor_2019'!$B$1:$B$12)/$G1089</f>
        <v>11.836599190283401</v>
      </c>
    </row>
    <row r="1090" spans="1:27" x14ac:dyDescent="0.25">
      <c r="A1090">
        <v>2013</v>
      </c>
      <c r="B1090">
        <v>3</v>
      </c>
      <c r="C1090">
        <v>6</v>
      </c>
      <c r="D1090" t="s">
        <v>272</v>
      </c>
      <c r="E1090" t="s">
        <v>258</v>
      </c>
      <c r="F1090" t="s">
        <v>108</v>
      </c>
      <c r="G1090">
        <v>239000</v>
      </c>
      <c r="H1090">
        <v>106200</v>
      </c>
      <c r="I1090">
        <v>61000</v>
      </c>
      <c r="J1090">
        <v>0</v>
      </c>
      <c r="K1090">
        <v>46400</v>
      </c>
      <c r="L1090">
        <v>44300</v>
      </c>
      <c r="M1090">
        <v>63000</v>
      </c>
      <c r="N1090">
        <v>218600</v>
      </c>
      <c r="O1090">
        <v>7600</v>
      </c>
      <c r="P1090">
        <v>540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15</v>
      </c>
      <c r="W1090">
        <v>3600</v>
      </c>
      <c r="X1090">
        <v>310</v>
      </c>
      <c r="Y1090">
        <v>0</v>
      </c>
      <c r="Z1090" cm="1">
        <f t="array" ref="Z1090">MMULT($G1090:$Y1090,'Nelson Factor_2019'!$B$1:$B$19)/$G1090</f>
        <v>10.630857740585775</v>
      </c>
      <c r="AA1090" cm="1">
        <f t="array" ref="AA1090">MMULT($G1090:$R1090,'Nelson Factor_2019'!$B$1:$B$12)/$G1090</f>
        <v>10.31949790794979</v>
      </c>
    </row>
    <row r="1091" spans="1:27" x14ac:dyDescent="0.25">
      <c r="A1091">
        <v>2013</v>
      </c>
      <c r="B1091">
        <v>3</v>
      </c>
      <c r="C1091">
        <v>6</v>
      </c>
      <c r="D1091" t="s">
        <v>272</v>
      </c>
      <c r="E1091" t="s">
        <v>54</v>
      </c>
      <c r="F1091" t="s">
        <v>109</v>
      </c>
      <c r="G1091">
        <v>502500</v>
      </c>
      <c r="H1091">
        <v>236500</v>
      </c>
      <c r="I1091">
        <v>117500</v>
      </c>
      <c r="J1091">
        <v>0</v>
      </c>
      <c r="K1091">
        <v>232500</v>
      </c>
      <c r="L1091">
        <v>73500</v>
      </c>
      <c r="M1091">
        <v>24500</v>
      </c>
      <c r="N1091">
        <v>597500</v>
      </c>
      <c r="O1091">
        <v>40000</v>
      </c>
      <c r="P1091">
        <v>9500</v>
      </c>
      <c r="Q1091">
        <v>0</v>
      </c>
      <c r="R1091">
        <v>0</v>
      </c>
      <c r="S1091">
        <v>16000</v>
      </c>
      <c r="T1091">
        <v>0</v>
      </c>
      <c r="U1091">
        <v>0</v>
      </c>
      <c r="V1091">
        <v>12</v>
      </c>
      <c r="W1091">
        <v>5430</v>
      </c>
      <c r="X1091">
        <v>690</v>
      </c>
      <c r="Y1091">
        <v>0</v>
      </c>
      <c r="Z1091" cm="1">
        <f t="array" ref="Z1091">MMULT($G1091:$Y1091,'Nelson Factor_2019'!$B$1:$B$19)/$G1091</f>
        <v>13.460819900497512</v>
      </c>
      <c r="AA1091" cm="1">
        <f t="array" ref="AA1091">MMULT($G1091:$R1091,'Nelson Factor_2019'!$B$1:$B$12)/$G1091</f>
        <v>11.220796019900497</v>
      </c>
    </row>
    <row r="1092" spans="1:27" x14ac:dyDescent="0.25">
      <c r="A1092">
        <v>2013</v>
      </c>
      <c r="B1092">
        <v>3</v>
      </c>
      <c r="C1092">
        <v>6</v>
      </c>
      <c r="D1092" t="s">
        <v>272</v>
      </c>
      <c r="E1092" t="s">
        <v>246</v>
      </c>
      <c r="F1092" t="s">
        <v>111</v>
      </c>
      <c r="G1092">
        <v>522000</v>
      </c>
      <c r="H1092">
        <v>265100</v>
      </c>
      <c r="I1092">
        <v>82700</v>
      </c>
      <c r="J1092">
        <v>0</v>
      </c>
      <c r="K1092">
        <v>134000</v>
      </c>
      <c r="L1092">
        <v>118800</v>
      </c>
      <c r="M1092">
        <v>88400</v>
      </c>
      <c r="N1092">
        <v>503500</v>
      </c>
      <c r="O1092">
        <v>29500</v>
      </c>
      <c r="P1092">
        <v>0</v>
      </c>
      <c r="Q1092">
        <v>0</v>
      </c>
      <c r="R1092">
        <v>46600</v>
      </c>
      <c r="S1092">
        <v>0</v>
      </c>
      <c r="T1092">
        <v>0</v>
      </c>
      <c r="U1092">
        <v>0</v>
      </c>
      <c r="V1092">
        <v>0</v>
      </c>
      <c r="W1092">
        <v>5282</v>
      </c>
      <c r="X1092">
        <v>1272</v>
      </c>
      <c r="Y1092">
        <v>33300</v>
      </c>
      <c r="Z1092" cm="1">
        <f t="array" ref="Z1092">MMULT($G1092:$Y1092,'Nelson Factor_2019'!$B$1:$B$19)/$G1092</f>
        <v>10.806245210727969</v>
      </c>
      <c r="AA1092" cm="1">
        <f t="array" ref="AA1092">MMULT($G1092:$R1092,'Nelson Factor_2019'!$B$1:$B$12)/$G1092</f>
        <v>10.125727969348659</v>
      </c>
    </row>
    <row r="1093" spans="1:27" x14ac:dyDescent="0.25">
      <c r="A1093">
        <v>2013</v>
      </c>
      <c r="B1093">
        <v>3</v>
      </c>
      <c r="C1093">
        <v>3</v>
      </c>
      <c r="D1093" t="s">
        <v>272</v>
      </c>
      <c r="E1093" t="s">
        <v>112</v>
      </c>
      <c r="F1093" t="s">
        <v>113</v>
      </c>
      <c r="G1093">
        <v>227000</v>
      </c>
      <c r="H1093">
        <v>104000</v>
      </c>
      <c r="I1093">
        <v>0</v>
      </c>
      <c r="J1093">
        <v>12520</v>
      </c>
      <c r="K1093">
        <v>86000</v>
      </c>
      <c r="L1093">
        <v>36000</v>
      </c>
      <c r="M1093">
        <v>51780</v>
      </c>
      <c r="N1093">
        <v>216000</v>
      </c>
      <c r="O1093">
        <v>14000</v>
      </c>
      <c r="P1093">
        <v>4000</v>
      </c>
      <c r="Q1093">
        <v>0</v>
      </c>
      <c r="R1093">
        <v>12000</v>
      </c>
      <c r="S1093">
        <v>0</v>
      </c>
      <c r="T1093">
        <v>0</v>
      </c>
      <c r="U1093">
        <v>58</v>
      </c>
      <c r="V1093">
        <v>0</v>
      </c>
      <c r="W1093">
        <v>0</v>
      </c>
      <c r="X1093">
        <v>640</v>
      </c>
      <c r="Y1093">
        <v>0</v>
      </c>
      <c r="Z1093" cm="1">
        <f t="array" ref="Z1093">MMULT($G1093:$Y1093,'Nelson Factor_2019'!$B$1:$B$19)/$G1093</f>
        <v>10.645497797356828</v>
      </c>
      <c r="AA1093" cm="1">
        <f t="array" ref="AA1093">MMULT($G1093:$R1093,'Nelson Factor_2019'!$B$1:$B$12)/$G1093</f>
        <v>9.9685903083700449</v>
      </c>
    </row>
    <row r="1094" spans="1:27" x14ac:dyDescent="0.25">
      <c r="A1094">
        <v>2013</v>
      </c>
      <c r="B1094">
        <v>3</v>
      </c>
      <c r="C1094">
        <v>6</v>
      </c>
      <c r="D1094" t="s">
        <v>272</v>
      </c>
      <c r="E1094" t="s">
        <v>112</v>
      </c>
      <c r="F1094" t="s">
        <v>114</v>
      </c>
      <c r="G1094">
        <v>220000</v>
      </c>
      <c r="H1094">
        <v>78000</v>
      </c>
      <c r="I1094">
        <v>21380</v>
      </c>
      <c r="J1094">
        <v>0</v>
      </c>
      <c r="K1094">
        <v>107000</v>
      </c>
      <c r="L1094">
        <v>20000</v>
      </c>
      <c r="M1094">
        <v>31000</v>
      </c>
      <c r="N1094">
        <v>123500</v>
      </c>
      <c r="O1094">
        <v>14000</v>
      </c>
      <c r="P1094">
        <v>7780</v>
      </c>
      <c r="Q1094">
        <v>0</v>
      </c>
      <c r="R1094">
        <v>0</v>
      </c>
      <c r="S1094">
        <v>0</v>
      </c>
      <c r="T1094">
        <v>8000</v>
      </c>
      <c r="U1094">
        <v>50</v>
      </c>
      <c r="V1094">
        <v>0</v>
      </c>
      <c r="W1094">
        <v>1020</v>
      </c>
      <c r="X1094">
        <v>140</v>
      </c>
      <c r="Y1094">
        <v>0</v>
      </c>
      <c r="Z1094" cm="1">
        <f t="array" ref="Z1094">MMULT($G1094:$Y1094,'Nelson Factor_2019'!$B$1:$B$19)/$G1094</f>
        <v>9.5997727272727271</v>
      </c>
      <c r="AA1094" cm="1">
        <f t="array" ref="AA1094">MMULT($G1094:$R1094,'Nelson Factor_2019'!$B$1:$B$12)/$G1094</f>
        <v>9.0831818181818189</v>
      </c>
    </row>
    <row r="1095" spans="1:27" x14ac:dyDescent="0.25">
      <c r="A1095">
        <v>2013</v>
      </c>
      <c r="B1095">
        <v>3</v>
      </c>
      <c r="C1095">
        <v>1</v>
      </c>
      <c r="D1095" t="s">
        <v>272</v>
      </c>
      <c r="E1095" t="s">
        <v>117</v>
      </c>
      <c r="F1095" t="s">
        <v>118</v>
      </c>
      <c r="G1095">
        <v>56050</v>
      </c>
      <c r="H1095">
        <v>25650</v>
      </c>
      <c r="I1095">
        <v>0</v>
      </c>
      <c r="J1095">
        <v>0</v>
      </c>
      <c r="K1095">
        <v>22500</v>
      </c>
      <c r="L1095">
        <v>9900</v>
      </c>
      <c r="M1095">
        <v>0</v>
      </c>
      <c r="N1095">
        <v>44100</v>
      </c>
      <c r="O1095">
        <v>6750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50</v>
      </c>
      <c r="Y1095">
        <v>0</v>
      </c>
      <c r="Z1095" cm="1">
        <f t="array" ref="Z1095">MMULT($G1095:$Y1095,'Nelson Factor_2019'!$B$1:$B$19)/$G1095</f>
        <v>8.2719892952720784</v>
      </c>
      <c r="AA1095" cm="1">
        <f t="array" ref="AA1095">MMULT($G1095:$R1095,'Nelson Factor_2019'!$B$1:$B$12)/$G1095</f>
        <v>8.0578947368421048</v>
      </c>
    </row>
    <row r="1096" spans="1:27" x14ac:dyDescent="0.25">
      <c r="A1096">
        <v>2013</v>
      </c>
      <c r="B1096">
        <v>3</v>
      </c>
      <c r="C1096">
        <v>0</v>
      </c>
      <c r="D1096" t="s">
        <v>272</v>
      </c>
      <c r="E1096" t="s">
        <v>27</v>
      </c>
      <c r="F1096" t="s">
        <v>119</v>
      </c>
      <c r="G1096">
        <v>55000</v>
      </c>
      <c r="H1096">
        <v>28000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0</v>
      </c>
      <c r="Z1096" cm="1">
        <f t="array" ref="Z1096">MMULT($G1096:$Y1096,'Nelson Factor_2019'!$B$1:$B$19)/$G1096</f>
        <v>1.6618181818181819</v>
      </c>
      <c r="AA1096" cm="1">
        <f t="array" ref="AA1096">MMULT($G1096:$R1096,'Nelson Factor_2019'!$B$1:$B$12)/$G1096</f>
        <v>1.6618181818181819</v>
      </c>
    </row>
    <row r="1097" spans="1:27" x14ac:dyDescent="0.25">
      <c r="A1097">
        <v>2013</v>
      </c>
      <c r="B1097">
        <v>3</v>
      </c>
      <c r="C1097">
        <v>1</v>
      </c>
      <c r="D1097" t="s">
        <v>272</v>
      </c>
      <c r="E1097" t="s">
        <v>66</v>
      </c>
      <c r="F1097" t="s">
        <v>116</v>
      </c>
      <c r="G1097">
        <v>135000</v>
      </c>
      <c r="H1097">
        <v>50000</v>
      </c>
      <c r="I1097">
        <v>0</v>
      </c>
      <c r="J1097">
        <v>0</v>
      </c>
      <c r="K1097">
        <v>37000</v>
      </c>
      <c r="L1097">
        <v>0</v>
      </c>
      <c r="M1097">
        <v>0</v>
      </c>
      <c r="N1097">
        <v>123750</v>
      </c>
      <c r="O1097">
        <v>8500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1800</v>
      </c>
      <c r="Y1097">
        <v>0</v>
      </c>
      <c r="Z1097" cm="1">
        <f t="array" ref="Z1097">MMULT($G1097:$Y1097,'Nelson Factor_2019'!$B$1:$B$19)/$G1097</f>
        <v>9.2472222222222218</v>
      </c>
      <c r="AA1097" cm="1">
        <f t="array" ref="AA1097">MMULT($G1097:$R1097,'Nelson Factor_2019'!$B$1:$B$12)/$G1097</f>
        <v>6.0472222222222225</v>
      </c>
    </row>
    <row r="1098" spans="1:27" x14ac:dyDescent="0.25">
      <c r="A1098">
        <v>2013</v>
      </c>
      <c r="B1098">
        <v>3</v>
      </c>
      <c r="C1098">
        <v>4</v>
      </c>
      <c r="D1098" t="s">
        <v>272</v>
      </c>
      <c r="E1098" t="s">
        <v>66</v>
      </c>
      <c r="F1098" t="s">
        <v>114</v>
      </c>
      <c r="G1098">
        <v>250000</v>
      </c>
      <c r="H1098">
        <v>200000</v>
      </c>
      <c r="I1098">
        <v>70400</v>
      </c>
      <c r="J1098">
        <v>0</v>
      </c>
      <c r="K1098">
        <v>100000</v>
      </c>
      <c r="L1098">
        <v>25000</v>
      </c>
      <c r="M1098">
        <v>0</v>
      </c>
      <c r="N1098">
        <v>131100</v>
      </c>
      <c r="O1098">
        <v>19000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4500</v>
      </c>
      <c r="X1098">
        <v>450</v>
      </c>
      <c r="Y1098">
        <v>0</v>
      </c>
      <c r="Z1098" cm="1">
        <f t="array" ref="Z1098">MMULT($G1098:$Y1098,'Nelson Factor_2019'!$B$1:$B$19)/$G1098</f>
        <v>9.5549999999999997</v>
      </c>
      <c r="AA1098" cm="1">
        <f t="array" ref="AA1098">MMULT($G1098:$R1098,'Nelson Factor_2019'!$B$1:$B$12)/$G1098</f>
        <v>9.1229999999999993</v>
      </c>
    </row>
    <row r="1099" spans="1:27" x14ac:dyDescent="0.25">
      <c r="A1099">
        <v>2013</v>
      </c>
      <c r="B1099">
        <v>2</v>
      </c>
      <c r="C1099">
        <v>1</v>
      </c>
      <c r="D1099" t="s">
        <v>273</v>
      </c>
      <c r="E1099" t="s">
        <v>246</v>
      </c>
      <c r="F1099" t="s">
        <v>122</v>
      </c>
      <c r="G1099">
        <v>120000</v>
      </c>
      <c r="H1099">
        <v>69800</v>
      </c>
      <c r="I1099">
        <v>0</v>
      </c>
      <c r="J1099">
        <v>0</v>
      </c>
      <c r="K1099">
        <v>33300</v>
      </c>
      <c r="L1099">
        <v>20400</v>
      </c>
      <c r="M1099">
        <v>0</v>
      </c>
      <c r="N1099">
        <v>110800</v>
      </c>
      <c r="O1099">
        <v>5700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392</v>
      </c>
      <c r="Y1099">
        <v>21800</v>
      </c>
      <c r="Z1099" cm="1">
        <f t="array" ref="Z1099">MMULT($G1099:$Y1099,'Nelson Factor_2019'!$B$1:$B$19)/$G1099</f>
        <v>8.1110000000000007</v>
      </c>
      <c r="AA1099" cm="1">
        <f t="array" ref="AA1099">MMULT($G1099:$R1099,'Nelson Factor_2019'!$B$1:$B$12)/$G1099</f>
        <v>7.0545</v>
      </c>
    </row>
    <row r="1100" spans="1:27" x14ac:dyDescent="0.25">
      <c r="A1100">
        <v>2013</v>
      </c>
      <c r="B1100">
        <v>2</v>
      </c>
      <c r="C1100">
        <v>6</v>
      </c>
      <c r="D1100" t="s">
        <v>274</v>
      </c>
      <c r="E1100" t="s">
        <v>35</v>
      </c>
      <c r="F1100" t="s">
        <v>124</v>
      </c>
      <c r="G1100">
        <v>304000</v>
      </c>
      <c r="H1100">
        <v>203300</v>
      </c>
      <c r="I1100">
        <v>61920</v>
      </c>
      <c r="J1100">
        <v>0</v>
      </c>
      <c r="K1100">
        <v>77850</v>
      </c>
      <c r="L1100">
        <v>43920</v>
      </c>
      <c r="M1100">
        <v>45000</v>
      </c>
      <c r="N1100">
        <v>308390</v>
      </c>
      <c r="O1100">
        <v>11250</v>
      </c>
      <c r="P1100">
        <v>4140</v>
      </c>
      <c r="Q1100">
        <v>0</v>
      </c>
      <c r="R1100">
        <v>16200</v>
      </c>
      <c r="S1100">
        <v>0</v>
      </c>
      <c r="T1100">
        <v>0</v>
      </c>
      <c r="U1100">
        <v>158.4</v>
      </c>
      <c r="V1100">
        <v>0</v>
      </c>
      <c r="W1100">
        <v>3690</v>
      </c>
      <c r="X1100">
        <v>990</v>
      </c>
      <c r="Y1100">
        <v>40500</v>
      </c>
      <c r="Z1100" cm="1">
        <f t="array" ref="Z1100">MMULT($G1100:$Y1100,'Nelson Factor_2019'!$B$1:$B$19)/$G1100</f>
        <v>11.024254605263158</v>
      </c>
      <c r="AA1100" cm="1">
        <f t="array" ref="AA1100">MMULT($G1100:$R1100,'Nelson Factor_2019'!$B$1:$B$12)/$G1100</f>
        <v>10.042319078947369</v>
      </c>
    </row>
    <row r="1101" spans="1:27" x14ac:dyDescent="0.25">
      <c r="A1101">
        <v>2013</v>
      </c>
      <c r="B1101">
        <v>2</v>
      </c>
      <c r="C1101">
        <v>1</v>
      </c>
      <c r="D1101" t="s">
        <v>274</v>
      </c>
      <c r="E1101" t="s">
        <v>252</v>
      </c>
      <c r="F1101" t="s">
        <v>125</v>
      </c>
      <c r="G1101">
        <v>74000</v>
      </c>
      <c r="H1101">
        <v>41300</v>
      </c>
      <c r="I1101">
        <v>0</v>
      </c>
      <c r="J1101">
        <v>0</v>
      </c>
      <c r="K1101">
        <v>27100</v>
      </c>
      <c r="L1101">
        <v>18600</v>
      </c>
      <c r="M1101">
        <v>0</v>
      </c>
      <c r="N1101">
        <v>55500</v>
      </c>
      <c r="O1101">
        <v>5200</v>
      </c>
      <c r="P1101">
        <v>0</v>
      </c>
      <c r="Q1101">
        <v>0</v>
      </c>
      <c r="R1101">
        <v>8600</v>
      </c>
      <c r="S1101">
        <v>0</v>
      </c>
      <c r="T1101">
        <v>0</v>
      </c>
      <c r="U1101">
        <v>11.25</v>
      </c>
      <c r="V1101">
        <v>8</v>
      </c>
      <c r="W1101">
        <v>0</v>
      </c>
      <c r="X1101">
        <v>111</v>
      </c>
      <c r="Y1101">
        <v>12400</v>
      </c>
      <c r="Z1101" cm="1">
        <f t="array" ref="Z1101">MMULT($G1101:$Y1101,'Nelson Factor_2019'!$B$1:$B$19)/$G1101</f>
        <v>8.7175574324324323</v>
      </c>
      <c r="AA1101" cm="1">
        <f t="array" ref="AA1101">MMULT($G1101:$R1101,'Nelson Factor_2019'!$B$1:$B$12)/$G1101</f>
        <v>8.1059459459459458</v>
      </c>
    </row>
    <row r="1102" spans="1:27" x14ac:dyDescent="0.25">
      <c r="A1102">
        <v>2013</v>
      </c>
      <c r="B1102">
        <v>3</v>
      </c>
      <c r="C1102">
        <v>6</v>
      </c>
      <c r="D1102" t="s">
        <v>275</v>
      </c>
      <c r="E1102" t="s">
        <v>227</v>
      </c>
      <c r="F1102" t="s">
        <v>127</v>
      </c>
      <c r="G1102">
        <v>330000</v>
      </c>
      <c r="H1102">
        <v>240000</v>
      </c>
      <c r="I1102">
        <v>98000</v>
      </c>
      <c r="J1102">
        <v>0</v>
      </c>
      <c r="K1102">
        <v>86000</v>
      </c>
      <c r="L1102">
        <v>85000</v>
      </c>
      <c r="M1102">
        <v>58000</v>
      </c>
      <c r="N1102">
        <v>238500</v>
      </c>
      <c r="O1102">
        <v>14800</v>
      </c>
      <c r="P1102">
        <v>0</v>
      </c>
      <c r="Q1102">
        <v>19000</v>
      </c>
      <c r="R1102">
        <v>0</v>
      </c>
      <c r="S1102">
        <v>0</v>
      </c>
      <c r="T1102">
        <v>0</v>
      </c>
      <c r="U1102">
        <v>205</v>
      </c>
      <c r="V1102">
        <v>0</v>
      </c>
      <c r="W1102">
        <v>6440</v>
      </c>
      <c r="X1102">
        <v>1113</v>
      </c>
      <c r="Y1102">
        <v>0</v>
      </c>
      <c r="Z1102" cm="1">
        <f t="array" ref="Z1102">MMULT($G1102:$Y1102,'Nelson Factor_2019'!$B$1:$B$19)/$G1102</f>
        <v>12.647196969696969</v>
      </c>
      <c r="AA1102" cm="1">
        <f t="array" ref="AA1102">MMULT($G1102:$R1102,'Nelson Factor_2019'!$B$1:$B$12)/$G1102</f>
        <v>11.837121212121213</v>
      </c>
    </row>
    <row r="1103" spans="1:27" x14ac:dyDescent="0.25">
      <c r="A1103">
        <v>2013</v>
      </c>
      <c r="B1103">
        <v>3</v>
      </c>
      <c r="C1103">
        <v>0</v>
      </c>
      <c r="D1103" t="s">
        <v>275</v>
      </c>
      <c r="E1103" t="s">
        <v>128</v>
      </c>
      <c r="F1103" t="s">
        <v>129</v>
      </c>
      <c r="G1103">
        <v>23000</v>
      </c>
      <c r="H1103">
        <v>10200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22000</v>
      </c>
      <c r="O1103">
        <v>0</v>
      </c>
      <c r="P1103">
        <v>0</v>
      </c>
      <c r="Q1103">
        <v>0</v>
      </c>
      <c r="R1103">
        <v>0</v>
      </c>
      <c r="S1103">
        <v>22000</v>
      </c>
      <c r="T1103">
        <v>0</v>
      </c>
      <c r="U1103">
        <v>13</v>
      </c>
      <c r="V1103">
        <v>0</v>
      </c>
      <c r="W1103">
        <v>0</v>
      </c>
      <c r="X1103">
        <v>0</v>
      </c>
      <c r="Y1103">
        <v>9600</v>
      </c>
      <c r="Z1103" cm="1">
        <f t="array" ref="Z1103">MMULT($G1103:$Y1103,'Nelson Factor_2019'!$B$1:$B$19)/$G1103</f>
        <v>61.985782608695651</v>
      </c>
      <c r="AA1103" cm="1">
        <f t="array" ref="AA1103">MMULT($G1103:$R1103,'Nelson Factor_2019'!$B$1:$B$12)/$G1103</f>
        <v>3.9678260869565216</v>
      </c>
    </row>
    <row r="1104" spans="1:27" x14ac:dyDescent="0.25">
      <c r="A1104">
        <v>2013</v>
      </c>
      <c r="B1104">
        <v>4</v>
      </c>
      <c r="C1104">
        <v>4</v>
      </c>
      <c r="D1104" t="s">
        <v>276</v>
      </c>
      <c r="E1104" t="s">
        <v>235</v>
      </c>
      <c r="F1104" t="s">
        <v>132</v>
      </c>
      <c r="G1104">
        <v>55000</v>
      </c>
      <c r="H1104">
        <v>31300</v>
      </c>
      <c r="I1104">
        <v>15000</v>
      </c>
      <c r="J1104">
        <v>0</v>
      </c>
      <c r="K1104">
        <v>14000</v>
      </c>
      <c r="L1104">
        <v>12500</v>
      </c>
      <c r="M1104">
        <v>0</v>
      </c>
      <c r="N1104">
        <v>51600</v>
      </c>
      <c r="O1104">
        <v>4300</v>
      </c>
      <c r="P1104">
        <v>0</v>
      </c>
      <c r="Q1104">
        <v>0</v>
      </c>
      <c r="R1104">
        <v>2500</v>
      </c>
      <c r="S1104">
        <v>0</v>
      </c>
      <c r="T1104">
        <v>0</v>
      </c>
      <c r="U1104">
        <v>21</v>
      </c>
      <c r="V1104">
        <v>21</v>
      </c>
      <c r="W1104">
        <v>0</v>
      </c>
      <c r="X1104">
        <v>90</v>
      </c>
      <c r="Y1104">
        <v>19000</v>
      </c>
      <c r="Z1104" cm="1">
        <f t="array" ref="Z1104">MMULT($G1104:$Y1104,'Nelson Factor_2019'!$B$1:$B$19)/$G1104</f>
        <v>10.624218181818183</v>
      </c>
      <c r="AA1104" cm="1">
        <f t="array" ref="AA1104">MMULT($G1104:$R1104,'Nelson Factor_2019'!$B$1:$B$12)/$G1104</f>
        <v>9.7125454545454541</v>
      </c>
    </row>
    <row r="1105" spans="1:27" x14ac:dyDescent="0.25">
      <c r="A1105">
        <v>2013</v>
      </c>
      <c r="B1105">
        <v>4</v>
      </c>
      <c r="C1105">
        <v>4</v>
      </c>
      <c r="D1105" t="s">
        <v>276</v>
      </c>
      <c r="E1105" t="s">
        <v>258</v>
      </c>
      <c r="F1105" t="s">
        <v>133</v>
      </c>
      <c r="G1105">
        <v>58000</v>
      </c>
      <c r="H1105">
        <v>35000</v>
      </c>
      <c r="I1105">
        <v>20000</v>
      </c>
      <c r="J1105">
        <v>0</v>
      </c>
      <c r="K1105">
        <v>19400</v>
      </c>
      <c r="L1105">
        <v>12200</v>
      </c>
      <c r="M1105">
        <v>0</v>
      </c>
      <c r="N1105">
        <v>72000</v>
      </c>
      <c r="O1105">
        <v>6900</v>
      </c>
      <c r="P1105">
        <v>0</v>
      </c>
      <c r="Q1105">
        <v>0</v>
      </c>
      <c r="R1105">
        <v>3600</v>
      </c>
      <c r="S1105">
        <v>0</v>
      </c>
      <c r="T1105">
        <v>0</v>
      </c>
      <c r="U1105">
        <v>31</v>
      </c>
      <c r="V1105">
        <v>57.199999999999996</v>
      </c>
      <c r="W1105">
        <v>950</v>
      </c>
      <c r="X1105">
        <v>224</v>
      </c>
      <c r="Y1105">
        <v>0</v>
      </c>
      <c r="Z1105" cm="1">
        <f t="array" ref="Z1105">MMULT($G1105:$Y1105,'Nelson Factor_2019'!$B$1:$B$19)/$G1105</f>
        <v>12.837037931034482</v>
      </c>
      <c r="AA1105" cm="1">
        <f t="array" ref="AA1105">MMULT($G1105:$R1105,'Nelson Factor_2019'!$B$1:$B$12)/$G1105</f>
        <v>11.908620689655173</v>
      </c>
    </row>
    <row r="1106" spans="1:27" x14ac:dyDescent="0.25">
      <c r="A1106">
        <v>2013</v>
      </c>
      <c r="B1106">
        <v>4</v>
      </c>
      <c r="C1106">
        <v>6</v>
      </c>
      <c r="D1106" t="s">
        <v>276</v>
      </c>
      <c r="E1106" t="s">
        <v>54</v>
      </c>
      <c r="F1106" t="s">
        <v>133</v>
      </c>
      <c r="G1106">
        <v>60000</v>
      </c>
      <c r="H1106">
        <v>27500</v>
      </c>
      <c r="I1106">
        <v>9500</v>
      </c>
      <c r="J1106">
        <v>0</v>
      </c>
      <c r="K1106">
        <v>18000</v>
      </c>
      <c r="L1106">
        <v>12000</v>
      </c>
      <c r="M1106">
        <v>5500</v>
      </c>
      <c r="N1106">
        <v>54500</v>
      </c>
      <c r="O1106">
        <v>5000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22</v>
      </c>
      <c r="V1106">
        <v>4.5</v>
      </c>
      <c r="W1106">
        <v>490</v>
      </c>
      <c r="X1106">
        <v>0</v>
      </c>
      <c r="Y1106">
        <v>14500</v>
      </c>
      <c r="Z1106" cm="1">
        <f t="array" ref="Z1106">MMULT($G1106:$Y1106,'Nelson Factor_2019'!$B$1:$B$19)/$G1106</f>
        <v>9.7837750000000003</v>
      </c>
      <c r="AA1106" cm="1">
        <f t="array" ref="AA1106">MMULT($G1106:$R1106,'Nelson Factor_2019'!$B$1:$B$12)/$G1106</f>
        <v>9.4208333333333325</v>
      </c>
    </row>
    <row r="1107" spans="1:27" x14ac:dyDescent="0.25">
      <c r="A1107">
        <v>2013</v>
      </c>
      <c r="B1107">
        <v>4</v>
      </c>
      <c r="C1107">
        <v>1</v>
      </c>
      <c r="D1107" t="s">
        <v>276</v>
      </c>
      <c r="E1107" t="s">
        <v>134</v>
      </c>
      <c r="F1107" t="s">
        <v>135</v>
      </c>
      <c r="G1107">
        <v>9500</v>
      </c>
      <c r="H1107">
        <v>5000</v>
      </c>
      <c r="I1107">
        <v>0</v>
      </c>
      <c r="J1107">
        <v>0</v>
      </c>
      <c r="K1107">
        <v>2800</v>
      </c>
      <c r="L1107">
        <v>1000</v>
      </c>
      <c r="M1107">
        <v>0</v>
      </c>
      <c r="N1107">
        <v>7100</v>
      </c>
      <c r="O1107">
        <v>1000</v>
      </c>
      <c r="P1107">
        <v>400</v>
      </c>
      <c r="Q1107">
        <v>0</v>
      </c>
      <c r="R1107">
        <v>700</v>
      </c>
      <c r="S1107">
        <v>0</v>
      </c>
      <c r="T1107">
        <v>0</v>
      </c>
      <c r="U1107">
        <v>5</v>
      </c>
      <c r="V1107">
        <v>0</v>
      </c>
      <c r="W1107">
        <v>0</v>
      </c>
      <c r="X1107">
        <v>0</v>
      </c>
      <c r="Y1107">
        <v>3800</v>
      </c>
      <c r="Z1107" cm="1">
        <f t="array" ref="Z1107">MMULT($G1107:$Y1107,'Nelson Factor_2019'!$B$1:$B$19)/$G1107</f>
        <v>8.142631578947368</v>
      </c>
      <c r="AA1107" cm="1">
        <f t="array" ref="AA1107">MMULT($G1107:$R1107,'Nelson Factor_2019'!$B$1:$B$12)/$G1107</f>
        <v>7.5421052631578949</v>
      </c>
    </row>
    <row r="1108" spans="1:27" x14ac:dyDescent="0.25">
      <c r="A1108">
        <v>2013</v>
      </c>
      <c r="B1108">
        <v>1</v>
      </c>
      <c r="C1108">
        <v>1</v>
      </c>
      <c r="D1108" t="s">
        <v>277</v>
      </c>
      <c r="E1108" t="s">
        <v>258</v>
      </c>
      <c r="F1108" t="s">
        <v>137</v>
      </c>
      <c r="G1108">
        <v>238000</v>
      </c>
      <c r="H1108">
        <v>71250</v>
      </c>
      <c r="I1108">
        <v>0</v>
      </c>
      <c r="J1108">
        <v>0</v>
      </c>
      <c r="K1108">
        <v>130500</v>
      </c>
      <c r="L1108">
        <v>28800</v>
      </c>
      <c r="M1108">
        <v>0</v>
      </c>
      <c r="N1108">
        <v>184500</v>
      </c>
      <c r="O1108">
        <v>16000</v>
      </c>
      <c r="P1108">
        <v>0</v>
      </c>
      <c r="Q1108">
        <v>0</v>
      </c>
      <c r="R1108">
        <v>28000</v>
      </c>
      <c r="S1108">
        <v>0</v>
      </c>
      <c r="T1108">
        <v>0</v>
      </c>
      <c r="U1108">
        <v>19.8</v>
      </c>
      <c r="V1108">
        <v>13.1</v>
      </c>
      <c r="W1108">
        <v>0</v>
      </c>
      <c r="X1108">
        <v>0</v>
      </c>
      <c r="Y1108">
        <v>0</v>
      </c>
      <c r="Z1108" cm="1">
        <f t="array" ref="Z1108">MMULT($G1108:$Y1108,'Nelson Factor_2019'!$B$1:$B$19)/$G1108</f>
        <v>8.2475121848739494</v>
      </c>
      <c r="AA1108" cm="1">
        <f t="array" ref="AA1108">MMULT($G1108:$R1108,'Nelson Factor_2019'!$B$1:$B$12)/$G1108</f>
        <v>8.2473739495798313</v>
      </c>
    </row>
    <row r="1109" spans="1:27" x14ac:dyDescent="0.25">
      <c r="A1109">
        <v>2013</v>
      </c>
      <c r="B1109">
        <v>1</v>
      </c>
      <c r="C1109">
        <v>4</v>
      </c>
      <c r="D1109" t="s">
        <v>277</v>
      </c>
      <c r="E1109" t="s">
        <v>253</v>
      </c>
      <c r="F1109" t="s">
        <v>140</v>
      </c>
      <c r="G1109">
        <v>185000</v>
      </c>
      <c r="H1109">
        <v>90000</v>
      </c>
      <c r="I1109">
        <v>27000</v>
      </c>
      <c r="J1109">
        <v>0</v>
      </c>
      <c r="K1109">
        <v>55000</v>
      </c>
      <c r="L1109">
        <v>30000</v>
      </c>
      <c r="M1109">
        <v>0</v>
      </c>
      <c r="N1109">
        <v>141250</v>
      </c>
      <c r="O1109">
        <v>11200</v>
      </c>
      <c r="P1109">
        <v>0</v>
      </c>
      <c r="Q1109">
        <v>0</v>
      </c>
      <c r="R1109">
        <v>0</v>
      </c>
      <c r="S1109">
        <v>11500</v>
      </c>
      <c r="T1109">
        <v>0</v>
      </c>
      <c r="U1109">
        <v>13.5</v>
      </c>
      <c r="V1109">
        <v>9</v>
      </c>
      <c r="W1109">
        <v>1470</v>
      </c>
      <c r="X1109">
        <v>230</v>
      </c>
      <c r="Y1109">
        <v>16000</v>
      </c>
      <c r="Z1109" cm="1">
        <f t="array" ref="Z1109">MMULT($G1109:$Y1109,'Nelson Factor_2019'!$B$1:$B$19)/$G1109</f>
        <v>11.99377027027027</v>
      </c>
      <c r="AA1109" cm="1">
        <f t="array" ref="AA1109">MMULT($G1109:$R1109,'Nelson Factor_2019'!$B$1:$B$12)/$G1109</f>
        <v>7.8358108108108109</v>
      </c>
    </row>
    <row r="1110" spans="1:27" x14ac:dyDescent="0.25">
      <c r="A1110">
        <v>2013</v>
      </c>
      <c r="B1110">
        <v>3</v>
      </c>
      <c r="C1110">
        <v>1</v>
      </c>
      <c r="D1110" t="s">
        <v>278</v>
      </c>
      <c r="E1110" t="s">
        <v>197</v>
      </c>
      <c r="F1110" t="s">
        <v>144</v>
      </c>
      <c r="G1110">
        <v>40000</v>
      </c>
      <c r="H1110">
        <v>0</v>
      </c>
      <c r="I1110">
        <v>0</v>
      </c>
      <c r="J1110">
        <v>0</v>
      </c>
      <c r="K1110">
        <v>7000</v>
      </c>
      <c r="L1110">
        <v>8000</v>
      </c>
      <c r="M1110">
        <v>0</v>
      </c>
      <c r="N1110">
        <v>11500</v>
      </c>
      <c r="O1110">
        <v>2500</v>
      </c>
      <c r="P1110">
        <v>0</v>
      </c>
      <c r="Q1110">
        <v>0</v>
      </c>
      <c r="R1110">
        <v>5000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2</v>
      </c>
      <c r="Y1110">
        <v>0</v>
      </c>
      <c r="Z1110" cm="1">
        <f t="array" ref="Z1110">MMULT($G1110:$Y1110,'Nelson Factor_2019'!$B$1:$B$19)/$G1110</f>
        <v>4.7807500000000003</v>
      </c>
      <c r="AA1110" cm="1">
        <f t="array" ref="AA1110">MMULT($G1110:$R1110,'Nelson Factor_2019'!$B$1:$B$12)/$G1110</f>
        <v>4.7687499999999998</v>
      </c>
    </row>
    <row r="1111" spans="1:27" x14ac:dyDescent="0.25">
      <c r="A1111">
        <v>2013</v>
      </c>
      <c r="B1111">
        <v>3</v>
      </c>
      <c r="C1111">
        <v>1</v>
      </c>
      <c r="D1111" t="s">
        <v>278</v>
      </c>
      <c r="E1111" t="s">
        <v>251</v>
      </c>
      <c r="F1111" t="s">
        <v>146</v>
      </c>
      <c r="G1111">
        <v>100000</v>
      </c>
      <c r="H1111">
        <v>25000</v>
      </c>
      <c r="I1111">
        <v>0</v>
      </c>
      <c r="J1111">
        <v>0</v>
      </c>
      <c r="K1111">
        <v>27000</v>
      </c>
      <c r="L1111">
        <v>24000</v>
      </c>
      <c r="M1111">
        <v>0</v>
      </c>
      <c r="N1111">
        <v>97400</v>
      </c>
      <c r="O1111">
        <v>9000</v>
      </c>
      <c r="P1111">
        <v>0</v>
      </c>
      <c r="Q1111">
        <v>0</v>
      </c>
      <c r="R1111">
        <v>11000</v>
      </c>
      <c r="S1111">
        <v>0</v>
      </c>
      <c r="T1111">
        <v>0</v>
      </c>
      <c r="U1111">
        <v>0</v>
      </c>
      <c r="V1111">
        <v>9</v>
      </c>
      <c r="W1111">
        <v>0</v>
      </c>
      <c r="X1111">
        <v>110</v>
      </c>
      <c r="Y1111">
        <v>5000</v>
      </c>
      <c r="Z1111" cm="1">
        <f t="array" ref="Z1111">MMULT($G1111:$Y1111,'Nelson Factor_2019'!$B$1:$B$19)/$G1111</f>
        <v>8.1490899999999993</v>
      </c>
      <c r="AA1111" cm="1">
        <f t="array" ref="AA1111">MMULT($G1111:$R1111,'Nelson Factor_2019'!$B$1:$B$12)/$G1111</f>
        <v>7.81</v>
      </c>
    </row>
    <row r="1112" spans="1:27" x14ac:dyDescent="0.25">
      <c r="A1112">
        <v>2013</v>
      </c>
      <c r="B1112">
        <v>2</v>
      </c>
      <c r="C1112">
        <v>1</v>
      </c>
      <c r="D1112" t="s">
        <v>279</v>
      </c>
      <c r="E1112" t="s">
        <v>148</v>
      </c>
      <c r="F1112" t="s">
        <v>149</v>
      </c>
      <c r="G1112">
        <v>58000</v>
      </c>
      <c r="H1112">
        <v>0</v>
      </c>
      <c r="I1112">
        <v>0</v>
      </c>
      <c r="J1112">
        <v>0</v>
      </c>
      <c r="K1112">
        <v>25700</v>
      </c>
      <c r="L1112">
        <v>11500</v>
      </c>
      <c r="M1112">
        <v>0</v>
      </c>
      <c r="N1112">
        <v>23600</v>
      </c>
      <c r="O1112">
        <v>4200</v>
      </c>
      <c r="P1112">
        <v>1100</v>
      </c>
      <c r="Q1112">
        <v>0</v>
      </c>
      <c r="R1112">
        <v>4800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15</v>
      </c>
      <c r="Y1112">
        <v>0</v>
      </c>
      <c r="Z1112" cm="1">
        <f t="array" ref="Z1112">MMULT($G1112:$Y1112,'Nelson Factor_2019'!$B$1:$B$19)/$G1112</f>
        <v>6.8913793103448278</v>
      </c>
      <c r="AA1112" cm="1">
        <f t="array" ref="AA1112">MMULT($G1112:$R1112,'Nelson Factor_2019'!$B$1:$B$12)/$G1112</f>
        <v>6.8293103448275865</v>
      </c>
    </row>
    <row r="1113" spans="1:27" x14ac:dyDescent="0.25">
      <c r="A1113">
        <v>2013</v>
      </c>
      <c r="B1113">
        <v>2</v>
      </c>
      <c r="C1113">
        <v>6</v>
      </c>
      <c r="D1113" t="s">
        <v>280</v>
      </c>
      <c r="E1113" t="s">
        <v>281</v>
      </c>
      <c r="F1113" t="s">
        <v>151</v>
      </c>
      <c r="G1113">
        <v>152000</v>
      </c>
      <c r="H1113">
        <v>67925</v>
      </c>
      <c r="I1113">
        <v>31050</v>
      </c>
      <c r="J1113">
        <v>0</v>
      </c>
      <c r="K1113">
        <v>49500</v>
      </c>
      <c r="L1113">
        <v>38700</v>
      </c>
      <c r="M1113">
        <v>27900</v>
      </c>
      <c r="N1113">
        <v>96750</v>
      </c>
      <c r="O1113">
        <v>10350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33</v>
      </c>
      <c r="V1113">
        <v>23</v>
      </c>
      <c r="W1113">
        <v>2006</v>
      </c>
      <c r="X1113">
        <v>351</v>
      </c>
      <c r="Y1113">
        <v>9000</v>
      </c>
      <c r="Z1113" cm="1">
        <f t="array" ref="Z1113">MMULT($G1113:$Y1113,'Nelson Factor_2019'!$B$1:$B$19)/$G1113</f>
        <v>10.724003289473684</v>
      </c>
      <c r="AA1113" cm="1">
        <f t="array" ref="AA1113">MMULT($G1113:$R1113,'Nelson Factor_2019'!$B$1:$B$12)/$G1113</f>
        <v>10.080608552631579</v>
      </c>
    </row>
    <row r="1114" spans="1:27" x14ac:dyDescent="0.25">
      <c r="A1114">
        <v>2013</v>
      </c>
      <c r="B1114">
        <v>2</v>
      </c>
      <c r="C1114">
        <v>6</v>
      </c>
      <c r="D1114" t="s">
        <v>280</v>
      </c>
      <c r="E1114" t="s">
        <v>241</v>
      </c>
      <c r="F1114" t="s">
        <v>154</v>
      </c>
      <c r="G1114">
        <v>161500</v>
      </c>
      <c r="H1114">
        <v>49400</v>
      </c>
      <c r="I1114">
        <v>20700</v>
      </c>
      <c r="J1114">
        <v>0</v>
      </c>
      <c r="K1114">
        <v>36000</v>
      </c>
      <c r="L1114">
        <v>49500</v>
      </c>
      <c r="M1114">
        <v>23400</v>
      </c>
      <c r="N1114">
        <v>88200</v>
      </c>
      <c r="O1114">
        <v>0</v>
      </c>
      <c r="P1114">
        <v>0</v>
      </c>
      <c r="Q1114">
        <v>6300</v>
      </c>
      <c r="R1114">
        <v>16200</v>
      </c>
      <c r="S1114">
        <v>0</v>
      </c>
      <c r="T1114">
        <v>0</v>
      </c>
      <c r="U1114">
        <v>0</v>
      </c>
      <c r="V1114">
        <v>10.4</v>
      </c>
      <c r="W1114">
        <v>800</v>
      </c>
      <c r="X1114">
        <v>100</v>
      </c>
      <c r="Y1114">
        <v>0</v>
      </c>
      <c r="Z1114" cm="1">
        <f t="array" ref="Z1114">MMULT($G1114:$Y1114,'Nelson Factor_2019'!$B$1:$B$19)/$G1114</f>
        <v>8.9831603715170267</v>
      </c>
      <c r="AA1114" cm="1">
        <f t="array" ref="AA1114">MMULT($G1114:$R1114,'Nelson Factor_2019'!$B$1:$B$12)/$G1114</f>
        <v>8.8344891640866869</v>
      </c>
    </row>
    <row r="1115" spans="1:27" x14ac:dyDescent="0.25">
      <c r="A1115">
        <v>2013</v>
      </c>
      <c r="B1115">
        <v>2</v>
      </c>
      <c r="C1115">
        <v>1</v>
      </c>
      <c r="D1115" t="s">
        <v>280</v>
      </c>
      <c r="E1115" t="s">
        <v>246</v>
      </c>
      <c r="F1115" t="s">
        <v>152</v>
      </c>
      <c r="G1115">
        <v>80000</v>
      </c>
      <c r="H1115">
        <v>33300</v>
      </c>
      <c r="I1115">
        <v>0</v>
      </c>
      <c r="J1115">
        <v>0</v>
      </c>
      <c r="K1115">
        <v>24700</v>
      </c>
      <c r="L1115">
        <v>20400</v>
      </c>
      <c r="M1115">
        <v>0</v>
      </c>
      <c r="N1115">
        <v>87900</v>
      </c>
      <c r="O1115">
        <v>7100</v>
      </c>
      <c r="P1115">
        <v>1000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89</v>
      </c>
      <c r="Y1115">
        <v>14100</v>
      </c>
      <c r="Z1115" cm="1">
        <f t="array" ref="Z1115">MMULT($G1115:$Y1115,'Nelson Factor_2019'!$B$1:$B$19)/$G1115</f>
        <v>8.9593749999999996</v>
      </c>
      <c r="AA1115" cm="1">
        <f t="array" ref="AA1115">MMULT($G1115:$R1115,'Nelson Factor_2019'!$B$1:$B$12)/$G1115</f>
        <v>8.4280000000000008</v>
      </c>
    </row>
    <row r="1116" spans="1:27" x14ac:dyDescent="0.25">
      <c r="A1116">
        <v>2013</v>
      </c>
      <c r="B1116">
        <v>2</v>
      </c>
      <c r="C1116">
        <v>3</v>
      </c>
      <c r="D1116" t="s">
        <v>280</v>
      </c>
      <c r="E1116" t="s">
        <v>253</v>
      </c>
      <c r="F1116" t="s">
        <v>151</v>
      </c>
      <c r="G1116">
        <v>170000</v>
      </c>
      <c r="H1116">
        <v>30000</v>
      </c>
      <c r="I1116">
        <v>0</v>
      </c>
      <c r="J1116">
        <v>0</v>
      </c>
      <c r="K1116">
        <v>60000</v>
      </c>
      <c r="L1116">
        <v>45600</v>
      </c>
      <c r="M1116">
        <v>28200</v>
      </c>
      <c r="N1116">
        <v>48000</v>
      </c>
      <c r="O1116">
        <v>9000</v>
      </c>
      <c r="P1116">
        <v>0</v>
      </c>
      <c r="Q1116">
        <v>9000</v>
      </c>
      <c r="R1116">
        <v>0</v>
      </c>
      <c r="S1116">
        <v>0</v>
      </c>
      <c r="T1116">
        <v>0</v>
      </c>
      <c r="U1116">
        <v>52</v>
      </c>
      <c r="V1116">
        <v>0</v>
      </c>
      <c r="W1116">
        <v>0</v>
      </c>
      <c r="X1116">
        <v>0</v>
      </c>
      <c r="Y1116">
        <v>0</v>
      </c>
      <c r="Z1116" cm="1">
        <f t="array" ref="Z1116">MMULT($G1116:$Y1116,'Nelson Factor_2019'!$B$1:$B$19)/$G1116</f>
        <v>8.3097176470588234</v>
      </c>
      <c r="AA1116" cm="1">
        <f t="array" ref="AA1116">MMULT($G1116:$R1116,'Nelson Factor_2019'!$B$1:$B$12)/$G1116</f>
        <v>8.3094117647058816</v>
      </c>
    </row>
    <row r="1117" spans="1:27" x14ac:dyDescent="0.25">
      <c r="A1117">
        <v>2013</v>
      </c>
      <c r="B1117">
        <v>2</v>
      </c>
      <c r="C1117">
        <v>4</v>
      </c>
      <c r="D1117" t="s">
        <v>282</v>
      </c>
      <c r="E1117" t="s">
        <v>258</v>
      </c>
      <c r="F1117" t="s">
        <v>156</v>
      </c>
      <c r="G1117">
        <v>190000</v>
      </c>
      <c r="H1117">
        <v>80000</v>
      </c>
      <c r="I1117">
        <v>23100</v>
      </c>
      <c r="J1117">
        <v>0</v>
      </c>
      <c r="K1117">
        <v>59300</v>
      </c>
      <c r="L1117">
        <v>44000</v>
      </c>
      <c r="M1117">
        <v>0</v>
      </c>
      <c r="N1117">
        <v>187700</v>
      </c>
      <c r="O1117">
        <v>13000</v>
      </c>
      <c r="P1117">
        <v>2400</v>
      </c>
      <c r="Q1117">
        <v>0</v>
      </c>
      <c r="R1117">
        <v>23400</v>
      </c>
      <c r="S1117">
        <v>0</v>
      </c>
      <c r="T1117">
        <v>0</v>
      </c>
      <c r="U1117">
        <v>31.4</v>
      </c>
      <c r="V1117">
        <v>15.4</v>
      </c>
      <c r="W1117">
        <v>1150</v>
      </c>
      <c r="X1117">
        <v>200</v>
      </c>
      <c r="Y1117">
        <v>0</v>
      </c>
      <c r="Z1117" cm="1">
        <f t="array" ref="Z1117">MMULT($G1117:$Y1117,'Nelson Factor_2019'!$B$1:$B$19)/$G1117</f>
        <v>9.3923515789473679</v>
      </c>
      <c r="AA1117" cm="1">
        <f t="array" ref="AA1117">MMULT($G1117:$R1117,'Nelson Factor_2019'!$B$1:$B$12)/$G1117</f>
        <v>9.1394736842105271</v>
      </c>
    </row>
    <row r="1118" spans="1:27" x14ac:dyDescent="0.25">
      <c r="A1118">
        <v>2013</v>
      </c>
      <c r="B1118">
        <v>2</v>
      </c>
      <c r="C1118">
        <v>0</v>
      </c>
      <c r="D1118" t="s">
        <v>282</v>
      </c>
      <c r="E1118" t="s">
        <v>283</v>
      </c>
      <c r="F1118" t="s">
        <v>160</v>
      </c>
      <c r="G1118">
        <v>125000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0</v>
      </c>
      <c r="X1118">
        <v>0</v>
      </c>
      <c r="Y1118">
        <v>0</v>
      </c>
      <c r="Z1118" cm="1">
        <f t="array" ref="Z1118">MMULT($G1118:$Y1118,'Nelson Factor_2019'!$B$1:$B$19)/$G1118</f>
        <v>1</v>
      </c>
      <c r="AA1118" cm="1">
        <f t="array" ref="AA1118">MMULT($G1118:$R1118,'Nelson Factor_2019'!$B$1:$B$12)/$G1118</f>
        <v>1</v>
      </c>
    </row>
    <row r="1119" spans="1:27" x14ac:dyDescent="0.25">
      <c r="A1119">
        <v>2013</v>
      </c>
      <c r="B1119">
        <v>2</v>
      </c>
      <c r="C1119">
        <v>3</v>
      </c>
      <c r="D1119" t="s">
        <v>282</v>
      </c>
      <c r="E1119" t="s">
        <v>66</v>
      </c>
      <c r="F1119" t="s">
        <v>161</v>
      </c>
      <c r="G1119">
        <v>91500</v>
      </c>
      <c r="H1119">
        <v>32000</v>
      </c>
      <c r="I1119">
        <v>0</v>
      </c>
      <c r="J1119">
        <v>0</v>
      </c>
      <c r="K1119">
        <v>30576</v>
      </c>
      <c r="L1119">
        <v>21679</v>
      </c>
      <c r="M1119">
        <v>12000</v>
      </c>
      <c r="N1119">
        <v>86500</v>
      </c>
      <c r="O1119">
        <v>7012</v>
      </c>
      <c r="P1119">
        <v>0</v>
      </c>
      <c r="Q1119">
        <v>0</v>
      </c>
      <c r="R1119">
        <v>7000</v>
      </c>
      <c r="S1119">
        <v>0</v>
      </c>
      <c r="T1119">
        <v>0</v>
      </c>
      <c r="U1119">
        <v>26</v>
      </c>
      <c r="V1119">
        <v>26</v>
      </c>
      <c r="W1119">
        <v>0</v>
      </c>
      <c r="X1119">
        <v>243</v>
      </c>
      <c r="Y1119">
        <v>11000</v>
      </c>
      <c r="Z1119" cm="1">
        <f t="array" ref="Z1119">MMULT($G1119:$Y1119,'Nelson Factor_2019'!$B$1:$B$19)/$G1119</f>
        <v>9.8709617486338797</v>
      </c>
      <c r="AA1119" cm="1">
        <f t="array" ref="AA1119">MMULT($G1119:$R1119,'Nelson Factor_2019'!$B$1:$B$12)/$G1119</f>
        <v>9.0526885245901632</v>
      </c>
    </row>
    <row r="1120" spans="1:27" x14ac:dyDescent="0.25">
      <c r="A1120">
        <v>2013</v>
      </c>
      <c r="B1120">
        <v>2</v>
      </c>
      <c r="C1120">
        <v>3</v>
      </c>
      <c r="D1120" t="s">
        <v>282</v>
      </c>
      <c r="E1120" t="s">
        <v>228</v>
      </c>
      <c r="F1120" t="s">
        <v>158</v>
      </c>
      <c r="G1120">
        <v>70000</v>
      </c>
      <c r="H1120">
        <v>42000</v>
      </c>
      <c r="I1120">
        <v>0</v>
      </c>
      <c r="J1120">
        <v>0</v>
      </c>
      <c r="K1120">
        <v>20500</v>
      </c>
      <c r="L1120">
        <v>18500</v>
      </c>
      <c r="M1120">
        <v>15000</v>
      </c>
      <c r="N1120">
        <v>29900</v>
      </c>
      <c r="O1120">
        <v>4000</v>
      </c>
      <c r="P1120">
        <v>0</v>
      </c>
      <c r="Q1120">
        <v>0</v>
      </c>
      <c r="R1120">
        <v>3500</v>
      </c>
      <c r="S1120">
        <v>0</v>
      </c>
      <c r="T1120">
        <v>0</v>
      </c>
      <c r="U1120">
        <v>9</v>
      </c>
      <c r="V1120">
        <v>0</v>
      </c>
      <c r="W1120">
        <v>0</v>
      </c>
      <c r="X1120">
        <v>0</v>
      </c>
      <c r="Y1120">
        <v>5000</v>
      </c>
      <c r="Z1120" cm="1">
        <f t="array" ref="Z1120">MMULT($G1120:$Y1120,'Nelson Factor_2019'!$B$1:$B$19)/$G1120</f>
        <v>8.4694142857142865</v>
      </c>
      <c r="AA1120" cm="1">
        <f t="array" ref="AA1120">MMULT($G1120:$R1120,'Nelson Factor_2019'!$B$1:$B$12)/$G1120</f>
        <v>8.3621428571428567</v>
      </c>
    </row>
    <row r="1121" spans="1:27" x14ac:dyDescent="0.25">
      <c r="A1121">
        <v>2013</v>
      </c>
      <c r="B1121">
        <v>1</v>
      </c>
      <c r="C1121">
        <v>0</v>
      </c>
      <c r="D1121" t="s">
        <v>284</v>
      </c>
      <c r="E1121" t="s">
        <v>163</v>
      </c>
      <c r="F1121" t="s">
        <v>164</v>
      </c>
      <c r="G1121">
        <v>10000</v>
      </c>
      <c r="H1121">
        <v>0</v>
      </c>
      <c r="I1121">
        <v>0</v>
      </c>
      <c r="J1121">
        <v>0</v>
      </c>
      <c r="K1121">
        <v>0</v>
      </c>
      <c r="L1121">
        <v>1800</v>
      </c>
      <c r="M1121">
        <v>0</v>
      </c>
      <c r="N1121">
        <v>3500</v>
      </c>
      <c r="O1121">
        <v>0</v>
      </c>
      <c r="P1121">
        <v>0</v>
      </c>
      <c r="Q1121">
        <v>0</v>
      </c>
      <c r="R1121">
        <v>600</v>
      </c>
      <c r="S1121">
        <v>2600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 cm="1">
        <f t="array" ref="Z1121">MMULT($G1121:$Y1121,'Nelson Factor_2019'!$B$1:$B$19)/$G1121</f>
        <v>18.555</v>
      </c>
      <c r="AA1121" cm="1">
        <f t="array" ref="AA1121">MMULT($G1121:$R1121,'Nelson Factor_2019'!$B$1:$B$12)/$G1121</f>
        <v>2.9550000000000001</v>
      </c>
    </row>
    <row r="1122" spans="1:27" x14ac:dyDescent="0.25">
      <c r="A1122">
        <v>2013</v>
      </c>
      <c r="B1122">
        <v>1</v>
      </c>
      <c r="C1122">
        <v>3</v>
      </c>
      <c r="D1122" t="s">
        <v>284</v>
      </c>
      <c r="E1122" t="s">
        <v>285</v>
      </c>
      <c r="F1122" t="s">
        <v>165</v>
      </c>
      <c r="G1122">
        <v>185000</v>
      </c>
      <c r="H1122">
        <v>78700</v>
      </c>
      <c r="I1122">
        <v>0</v>
      </c>
      <c r="J1122">
        <v>0</v>
      </c>
      <c r="K1122">
        <v>48400</v>
      </c>
      <c r="L1122">
        <v>48800</v>
      </c>
      <c r="M1122">
        <v>21500</v>
      </c>
      <c r="N1122">
        <v>130200</v>
      </c>
      <c r="O1122">
        <v>11800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160</v>
      </c>
      <c r="Y1122">
        <v>0</v>
      </c>
      <c r="Z1122" cm="1">
        <f t="array" ref="Z1122">MMULT($G1122:$Y1122,'Nelson Factor_2019'!$B$1:$B$19)/$G1122</f>
        <v>7.9762702702702706</v>
      </c>
      <c r="AA1122" cm="1">
        <f t="array" ref="AA1122">MMULT($G1122:$R1122,'Nelson Factor_2019'!$B$1:$B$12)/$G1122</f>
        <v>7.7687027027027025</v>
      </c>
    </row>
    <row r="1123" spans="1:27" x14ac:dyDescent="0.25">
      <c r="A1123">
        <v>2013</v>
      </c>
      <c r="B1123">
        <v>1</v>
      </c>
      <c r="C1123">
        <v>1</v>
      </c>
      <c r="D1123" t="s">
        <v>284</v>
      </c>
      <c r="E1123" t="s">
        <v>138</v>
      </c>
      <c r="F1123" t="s">
        <v>166</v>
      </c>
      <c r="G1123">
        <v>175000</v>
      </c>
      <c r="H1123">
        <v>26400</v>
      </c>
      <c r="I1123">
        <v>0</v>
      </c>
      <c r="J1123">
        <v>0</v>
      </c>
      <c r="K1123">
        <v>93000</v>
      </c>
      <c r="L1123">
        <v>15600</v>
      </c>
      <c r="M1123">
        <v>0</v>
      </c>
      <c r="N1123">
        <v>48000</v>
      </c>
      <c r="O1123">
        <v>10000</v>
      </c>
      <c r="P1123">
        <v>0</v>
      </c>
      <c r="Q1123">
        <v>21600</v>
      </c>
      <c r="R1123">
        <v>0</v>
      </c>
      <c r="S1123">
        <v>0</v>
      </c>
      <c r="T1123">
        <v>2600</v>
      </c>
      <c r="U1123">
        <v>6</v>
      </c>
      <c r="V1123">
        <v>0</v>
      </c>
      <c r="W1123">
        <v>0</v>
      </c>
      <c r="X1123">
        <v>0</v>
      </c>
      <c r="Y1123">
        <v>0</v>
      </c>
      <c r="Z1123" cm="1">
        <f t="array" ref="Z1123">MMULT($G1123:$Y1123,'Nelson Factor_2019'!$B$1:$B$19)/$G1123</f>
        <v>8.70472</v>
      </c>
      <c r="AA1123" cm="1">
        <f t="array" ref="AA1123">MMULT($G1123:$R1123,'Nelson Factor_2019'!$B$1:$B$12)/$G1123</f>
        <v>8.5561142857142851</v>
      </c>
    </row>
    <row r="1124" spans="1:27" x14ac:dyDescent="0.25">
      <c r="A1124">
        <v>2013</v>
      </c>
      <c r="B1124">
        <v>1</v>
      </c>
      <c r="C1124">
        <v>1</v>
      </c>
      <c r="D1124" t="s">
        <v>284</v>
      </c>
      <c r="E1124" t="s">
        <v>138</v>
      </c>
      <c r="F1124" t="s">
        <v>167</v>
      </c>
      <c r="G1124">
        <v>330000</v>
      </c>
      <c r="H1124">
        <v>157400</v>
      </c>
      <c r="I1124">
        <v>0</v>
      </c>
      <c r="J1124">
        <v>0</v>
      </c>
      <c r="K1124">
        <v>113500</v>
      </c>
      <c r="L1124">
        <v>68000</v>
      </c>
      <c r="M1124">
        <v>0</v>
      </c>
      <c r="N1124">
        <v>163600</v>
      </c>
      <c r="O1124">
        <v>16700</v>
      </c>
      <c r="P1124">
        <v>0</v>
      </c>
      <c r="Q1124">
        <v>13700</v>
      </c>
      <c r="R1124">
        <v>7300</v>
      </c>
      <c r="S1124">
        <v>0</v>
      </c>
      <c r="T1124">
        <v>0</v>
      </c>
      <c r="U1124">
        <v>0</v>
      </c>
      <c r="V1124">
        <v>0</v>
      </c>
      <c r="W1124">
        <v>0</v>
      </c>
      <c r="X1124">
        <v>0</v>
      </c>
      <c r="Y1124">
        <v>0</v>
      </c>
      <c r="Z1124" cm="1">
        <f t="array" ref="Z1124">MMULT($G1124:$Y1124,'Nelson Factor_2019'!$B$1:$B$19)/$G1124</f>
        <v>7.3561212121212121</v>
      </c>
      <c r="AA1124" cm="1">
        <f t="array" ref="AA1124">MMULT($G1124:$R1124,'Nelson Factor_2019'!$B$1:$B$12)/$G1124</f>
        <v>7.3561212121212121</v>
      </c>
    </row>
    <row r="1125" spans="1:27" x14ac:dyDescent="0.25">
      <c r="A1125">
        <v>2013</v>
      </c>
      <c r="B1125">
        <v>1</v>
      </c>
      <c r="C1125">
        <v>1</v>
      </c>
      <c r="D1125" t="s">
        <v>284</v>
      </c>
      <c r="E1125" t="s">
        <v>168</v>
      </c>
      <c r="F1125" t="s">
        <v>169</v>
      </c>
      <c r="G1125">
        <v>66700</v>
      </c>
      <c r="H1125">
        <v>27000</v>
      </c>
      <c r="I1125">
        <v>0</v>
      </c>
      <c r="J1125">
        <v>0</v>
      </c>
      <c r="K1125">
        <v>23000</v>
      </c>
      <c r="L1125">
        <v>16000</v>
      </c>
      <c r="M1125">
        <v>0</v>
      </c>
      <c r="N1125">
        <v>40000</v>
      </c>
      <c r="O1125">
        <v>3500</v>
      </c>
      <c r="P1125">
        <v>1000</v>
      </c>
      <c r="Q1125">
        <v>0</v>
      </c>
      <c r="R1125">
        <v>6800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12000</v>
      </c>
      <c r="Z1125" cm="1">
        <f t="array" ref="Z1125">MMULT($G1125:$Y1125,'Nelson Factor_2019'!$B$1:$B$19)/$G1125</f>
        <v>7.5442278860569711</v>
      </c>
      <c r="AA1125" cm="1">
        <f t="array" ref="AA1125">MMULT($G1125:$R1125,'Nelson Factor_2019'!$B$1:$B$12)/$G1125</f>
        <v>7.2743628185907045</v>
      </c>
    </row>
    <row r="1126" spans="1:27" x14ac:dyDescent="0.25">
      <c r="A1126">
        <v>2013</v>
      </c>
      <c r="B1126">
        <v>2</v>
      </c>
      <c r="C1126">
        <v>1</v>
      </c>
      <c r="D1126" t="s">
        <v>286</v>
      </c>
      <c r="E1126" t="s">
        <v>66</v>
      </c>
      <c r="F1126" t="s">
        <v>172</v>
      </c>
      <c r="G1126">
        <v>195000</v>
      </c>
      <c r="H1126">
        <v>0</v>
      </c>
      <c r="I1126">
        <v>0</v>
      </c>
      <c r="J1126">
        <v>0</v>
      </c>
      <c r="K1126">
        <v>69000</v>
      </c>
      <c r="L1126">
        <v>36000</v>
      </c>
      <c r="M1126">
        <v>0</v>
      </c>
      <c r="N1126">
        <v>151315</v>
      </c>
      <c r="O1126">
        <v>12000</v>
      </c>
      <c r="P1126">
        <v>0</v>
      </c>
      <c r="Q1126">
        <v>0</v>
      </c>
      <c r="R1126">
        <v>4000</v>
      </c>
      <c r="S1126">
        <v>0</v>
      </c>
      <c r="T1126">
        <v>0</v>
      </c>
      <c r="U1126">
        <v>0</v>
      </c>
      <c r="V1126">
        <v>0</v>
      </c>
      <c r="W1126">
        <v>748</v>
      </c>
      <c r="X1126">
        <v>105.2334252</v>
      </c>
      <c r="Y1126">
        <v>0</v>
      </c>
      <c r="Z1126" cm="1">
        <f t="array" ref="Z1126">MMULT($G1126:$Y1126,'Nelson Factor_2019'!$B$1:$B$19)/$G1126</f>
        <v>6.7925308822974362</v>
      </c>
      <c r="AA1126" cm="1">
        <f t="array" ref="AA1126">MMULT($G1126:$R1126,'Nelson Factor_2019'!$B$1:$B$12)/$G1126</f>
        <v>6.6630128205128205</v>
      </c>
    </row>
    <row r="1127" spans="1:27" x14ac:dyDescent="0.25">
      <c r="A1127">
        <v>2013</v>
      </c>
      <c r="B1127">
        <v>3</v>
      </c>
      <c r="C1127">
        <v>1</v>
      </c>
      <c r="D1127" t="s">
        <v>287</v>
      </c>
      <c r="E1127" t="s">
        <v>176</v>
      </c>
      <c r="F1127" t="s">
        <v>177</v>
      </c>
      <c r="G1127">
        <v>70000</v>
      </c>
      <c r="H1127">
        <v>24000</v>
      </c>
      <c r="I1127">
        <v>0</v>
      </c>
      <c r="J1127">
        <v>0</v>
      </c>
      <c r="K1127">
        <v>24000</v>
      </c>
      <c r="L1127">
        <v>21000</v>
      </c>
      <c r="M1127">
        <v>0</v>
      </c>
      <c r="N1127">
        <v>67950</v>
      </c>
      <c r="O1127">
        <v>5000</v>
      </c>
      <c r="P1127">
        <v>0</v>
      </c>
      <c r="Q1127">
        <v>2000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135</v>
      </c>
      <c r="Y1127">
        <v>8000</v>
      </c>
      <c r="Z1127" cm="1">
        <f t="array" ref="Z1127">MMULT($G1127:$Y1127,'Nelson Factor_2019'!$B$1:$B$19)/$G1127</f>
        <v>9.3496428571428574</v>
      </c>
      <c r="AA1127" cm="1">
        <f t="array" ref="AA1127">MMULT($G1127:$R1127,'Nelson Factor_2019'!$B$1:$B$12)/$G1127</f>
        <v>8.7153571428571421</v>
      </c>
    </row>
    <row r="1128" spans="1:27" x14ac:dyDescent="0.25">
      <c r="A1128">
        <v>2013</v>
      </c>
      <c r="B1128">
        <v>3</v>
      </c>
      <c r="C1128">
        <v>6</v>
      </c>
      <c r="D1128" t="s">
        <v>287</v>
      </c>
      <c r="E1128" t="s">
        <v>281</v>
      </c>
      <c r="F1128" t="s">
        <v>178</v>
      </c>
      <c r="G1128">
        <v>451250</v>
      </c>
      <c r="H1128">
        <v>225150</v>
      </c>
      <c r="I1128">
        <v>29700</v>
      </c>
      <c r="J1128">
        <v>0</v>
      </c>
      <c r="K1128">
        <v>163800</v>
      </c>
      <c r="L1128">
        <v>124200</v>
      </c>
      <c r="M1128">
        <v>117000</v>
      </c>
      <c r="N1128">
        <v>409050</v>
      </c>
      <c r="O1128">
        <v>33300</v>
      </c>
      <c r="P1128">
        <v>0</v>
      </c>
      <c r="Q1128">
        <v>85500</v>
      </c>
      <c r="R1128">
        <v>0</v>
      </c>
      <c r="S1128">
        <v>0</v>
      </c>
      <c r="T1128">
        <v>0</v>
      </c>
      <c r="U1128">
        <v>0</v>
      </c>
      <c r="V1128">
        <v>6.9</v>
      </c>
      <c r="W1128">
        <v>2385</v>
      </c>
      <c r="X1128">
        <v>1317</v>
      </c>
      <c r="Y1128">
        <v>0</v>
      </c>
      <c r="Z1128" cm="1">
        <f t="array" ref="Z1128">MMULT($G1128:$Y1128,'Nelson Factor_2019'!$B$1:$B$19)/$G1128</f>
        <v>15.264724432132965</v>
      </c>
      <c r="AA1128" cm="1">
        <f t="array" ref="AA1128">MMULT($G1128:$R1128,'Nelson Factor_2019'!$B$1:$B$12)/$G1128</f>
        <v>14.564254847645429</v>
      </c>
    </row>
    <row r="1129" spans="1:27" x14ac:dyDescent="0.25">
      <c r="A1129">
        <v>2013</v>
      </c>
      <c r="B1129">
        <v>3</v>
      </c>
      <c r="C1129">
        <v>4</v>
      </c>
      <c r="D1129" t="s">
        <v>287</v>
      </c>
      <c r="E1129" t="s">
        <v>79</v>
      </c>
      <c r="F1129" t="s">
        <v>179</v>
      </c>
      <c r="G1129">
        <v>156750</v>
      </c>
      <c r="H1129">
        <v>73625</v>
      </c>
      <c r="I1129">
        <v>37800</v>
      </c>
      <c r="J1129">
        <v>0</v>
      </c>
      <c r="K1129">
        <v>72450</v>
      </c>
      <c r="L1129">
        <v>45450</v>
      </c>
      <c r="M1129">
        <v>0</v>
      </c>
      <c r="N1129">
        <v>148230</v>
      </c>
      <c r="O1129">
        <v>18090</v>
      </c>
      <c r="P1129">
        <v>0</v>
      </c>
      <c r="Q1129">
        <v>30105</v>
      </c>
      <c r="R1129">
        <v>0</v>
      </c>
      <c r="S1129">
        <v>0</v>
      </c>
      <c r="T1129">
        <v>3600</v>
      </c>
      <c r="U1129">
        <v>0</v>
      </c>
      <c r="V1129">
        <v>0</v>
      </c>
      <c r="W1129">
        <v>2123.1</v>
      </c>
      <c r="X1129">
        <v>281.7</v>
      </c>
      <c r="Y1129">
        <v>0</v>
      </c>
      <c r="Z1129" cm="1">
        <f t="array" ref="Z1129">MMULT($G1129:$Y1129,'Nelson Factor_2019'!$B$1:$B$19)/$G1129</f>
        <v>15.662491228070175</v>
      </c>
      <c r="AA1129" cm="1">
        <f t="array" ref="AA1129">MMULT($G1129:$R1129,'Nelson Factor_2019'!$B$1:$B$12)/$G1129</f>
        <v>15.001515151515152</v>
      </c>
    </row>
    <row r="1130" spans="1:27" x14ac:dyDescent="0.25">
      <c r="A1130">
        <v>2013</v>
      </c>
      <c r="B1130">
        <v>3</v>
      </c>
      <c r="C1130">
        <v>4</v>
      </c>
      <c r="D1130" t="s">
        <v>287</v>
      </c>
      <c r="E1130" t="s">
        <v>258</v>
      </c>
      <c r="F1130" t="s">
        <v>182</v>
      </c>
      <c r="G1130">
        <v>247000</v>
      </c>
      <c r="H1130">
        <v>125500</v>
      </c>
      <c r="I1130">
        <v>70900</v>
      </c>
      <c r="J1130">
        <v>0</v>
      </c>
      <c r="K1130">
        <v>97000</v>
      </c>
      <c r="L1130">
        <v>33800</v>
      </c>
      <c r="M1130">
        <v>0</v>
      </c>
      <c r="N1130">
        <v>275500</v>
      </c>
      <c r="O1130">
        <v>19600</v>
      </c>
      <c r="P1130">
        <v>0</v>
      </c>
      <c r="Q1130">
        <v>17700</v>
      </c>
      <c r="R1130">
        <v>9100</v>
      </c>
      <c r="S1130">
        <v>0</v>
      </c>
      <c r="T1130">
        <v>0</v>
      </c>
      <c r="U1130">
        <v>0</v>
      </c>
      <c r="V1130">
        <v>165</v>
      </c>
      <c r="W1130">
        <v>4000</v>
      </c>
      <c r="X1130">
        <v>590</v>
      </c>
      <c r="Y1130">
        <v>0</v>
      </c>
      <c r="Z1130" cm="1">
        <f t="array" ref="Z1130">MMULT($G1130:$Y1130,'Nelson Factor_2019'!$B$1:$B$19)/$G1130</f>
        <v>12.553502024291499</v>
      </c>
      <c r="AA1130" cm="1">
        <f t="array" ref="AA1130">MMULT($G1130:$R1130,'Nelson Factor_2019'!$B$1:$B$12)/$G1130</f>
        <v>11.979554655870446</v>
      </c>
    </row>
    <row r="1131" spans="1:27" x14ac:dyDescent="0.25">
      <c r="A1131">
        <v>2013</v>
      </c>
      <c r="B1131">
        <v>3</v>
      </c>
      <c r="C1131">
        <v>4</v>
      </c>
      <c r="D1131" t="s">
        <v>287</v>
      </c>
      <c r="E1131" t="s">
        <v>236</v>
      </c>
      <c r="F1131" t="s">
        <v>188</v>
      </c>
      <c r="G1131">
        <v>60000</v>
      </c>
      <c r="H1131">
        <v>15000</v>
      </c>
      <c r="I1131">
        <v>6500</v>
      </c>
      <c r="J1131">
        <v>0</v>
      </c>
      <c r="K1131">
        <v>20200</v>
      </c>
      <c r="L1131">
        <v>17500</v>
      </c>
      <c r="M1131">
        <v>0</v>
      </c>
      <c r="N1131">
        <v>32000</v>
      </c>
      <c r="O1131">
        <v>4750</v>
      </c>
      <c r="P1131">
        <v>0</v>
      </c>
      <c r="Q1131">
        <v>0</v>
      </c>
      <c r="R1131">
        <v>5000</v>
      </c>
      <c r="S1131">
        <v>0</v>
      </c>
      <c r="T1131">
        <v>0</v>
      </c>
      <c r="U1131">
        <v>0</v>
      </c>
      <c r="V1131">
        <v>0</v>
      </c>
      <c r="W1131">
        <v>250</v>
      </c>
      <c r="X1131">
        <v>18</v>
      </c>
      <c r="Y1131">
        <v>0</v>
      </c>
      <c r="Z1131" cm="1">
        <f t="array" ref="Z1131">MMULT($G1131:$Y1131,'Nelson Factor_2019'!$B$1:$B$19)/$G1131</f>
        <v>8.0628333333333337</v>
      </c>
      <c r="AA1131" cm="1">
        <f t="array" ref="AA1131">MMULT($G1131:$R1131,'Nelson Factor_2019'!$B$1:$B$12)/$G1131</f>
        <v>7.9908333333333337</v>
      </c>
    </row>
    <row r="1132" spans="1:27" x14ac:dyDescent="0.25">
      <c r="A1132">
        <v>2013</v>
      </c>
      <c r="B1132">
        <v>3</v>
      </c>
      <c r="C1132">
        <v>6</v>
      </c>
      <c r="D1132" t="s">
        <v>287</v>
      </c>
      <c r="E1132" t="s">
        <v>54</v>
      </c>
      <c r="F1132" t="s">
        <v>185</v>
      </c>
      <c r="G1132">
        <v>560500</v>
      </c>
      <c r="H1132">
        <v>285000</v>
      </c>
      <c r="I1132">
        <v>90000</v>
      </c>
      <c r="J1132">
        <v>0</v>
      </c>
      <c r="K1132">
        <v>204500</v>
      </c>
      <c r="L1132">
        <v>120000</v>
      </c>
      <c r="M1132">
        <v>26500</v>
      </c>
      <c r="N1132">
        <v>756000</v>
      </c>
      <c r="O1132">
        <v>36000</v>
      </c>
      <c r="P1132">
        <v>0</v>
      </c>
      <c r="Q1132">
        <v>0</v>
      </c>
      <c r="R1132">
        <v>0</v>
      </c>
      <c r="S1132">
        <v>21500</v>
      </c>
      <c r="T1132">
        <v>0</v>
      </c>
      <c r="U1132">
        <v>0</v>
      </c>
      <c r="V1132">
        <v>0</v>
      </c>
      <c r="W1132">
        <v>3550</v>
      </c>
      <c r="X1132">
        <v>1550</v>
      </c>
      <c r="Y1132">
        <v>0</v>
      </c>
      <c r="Z1132" cm="1">
        <f t="array" ref="Z1132">MMULT($G1132:$Y1132,'Nelson Factor_2019'!$B$1:$B$19)/$G1132</f>
        <v>13.482604817127564</v>
      </c>
      <c r="AA1132" cm="1">
        <f t="array" ref="AA1132">MMULT($G1132:$R1132,'Nelson Factor_2019'!$B$1:$B$12)/$G1132</f>
        <v>10.517395182872436</v>
      </c>
    </row>
    <row r="1133" spans="1:27" x14ac:dyDescent="0.25">
      <c r="A1133">
        <v>2013</v>
      </c>
      <c r="B1133">
        <v>3</v>
      </c>
      <c r="C1133">
        <v>6</v>
      </c>
      <c r="D1133" t="s">
        <v>287</v>
      </c>
      <c r="E1133" t="s">
        <v>54</v>
      </c>
      <c r="F1133" t="s">
        <v>186</v>
      </c>
      <c r="G1133">
        <v>344500</v>
      </c>
      <c r="H1133">
        <v>143000</v>
      </c>
      <c r="I1133">
        <v>45500</v>
      </c>
      <c r="J1133">
        <v>0</v>
      </c>
      <c r="K1133">
        <v>113000</v>
      </c>
      <c r="L1133">
        <v>138500</v>
      </c>
      <c r="M1133">
        <v>60000</v>
      </c>
      <c r="N1133">
        <v>294000</v>
      </c>
      <c r="O1133">
        <v>14000</v>
      </c>
      <c r="P1133">
        <v>0</v>
      </c>
      <c r="Q1133">
        <v>0</v>
      </c>
      <c r="R1133">
        <v>24500</v>
      </c>
      <c r="S1133">
        <v>10000</v>
      </c>
      <c r="T1133">
        <v>3500</v>
      </c>
      <c r="U1133">
        <v>0</v>
      </c>
      <c r="V1133">
        <v>49.5</v>
      </c>
      <c r="W1133">
        <v>2720</v>
      </c>
      <c r="X1133">
        <v>560</v>
      </c>
      <c r="Y1133">
        <v>0</v>
      </c>
      <c r="Z1133" cm="1">
        <f t="array" ref="Z1133">MMULT($G1133:$Y1133,'Nelson Factor_2019'!$B$1:$B$19)/$G1133</f>
        <v>12.888532656023221</v>
      </c>
      <c r="AA1133" cm="1">
        <f t="array" ref="AA1133">MMULT($G1133:$R1133,'Nelson Factor_2019'!$B$1:$B$12)/$G1133</f>
        <v>10.655007256894049</v>
      </c>
    </row>
    <row r="1134" spans="1:27" x14ac:dyDescent="0.25">
      <c r="A1134">
        <v>2013</v>
      </c>
      <c r="B1134">
        <v>3</v>
      </c>
      <c r="C1134">
        <v>6</v>
      </c>
      <c r="D1134" t="s">
        <v>287</v>
      </c>
      <c r="E1134" t="s">
        <v>35</v>
      </c>
      <c r="F1134" t="s">
        <v>179</v>
      </c>
      <c r="G1134">
        <v>279300</v>
      </c>
      <c r="H1134">
        <v>83125</v>
      </c>
      <c r="I1134">
        <v>11970</v>
      </c>
      <c r="J1134">
        <v>0</v>
      </c>
      <c r="K1134">
        <v>96030</v>
      </c>
      <c r="L1134">
        <v>60750</v>
      </c>
      <c r="M1134">
        <v>11700</v>
      </c>
      <c r="N1134">
        <v>225090</v>
      </c>
      <c r="O1134">
        <v>12870</v>
      </c>
      <c r="P1134">
        <v>0</v>
      </c>
      <c r="Q1134">
        <v>44550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798</v>
      </c>
      <c r="X1134">
        <v>241</v>
      </c>
      <c r="Y1134">
        <v>0</v>
      </c>
      <c r="Z1134" cm="1">
        <f t="array" ref="Z1134">MMULT($G1134:$Y1134,'Nelson Factor_2019'!$B$1:$B$19)/$G1134</f>
        <v>11.06671142141067</v>
      </c>
      <c r="AA1134" cm="1">
        <f t="array" ref="AA1134">MMULT($G1134:$R1134,'Nelson Factor_2019'!$B$1:$B$12)/$G1134</f>
        <v>10.859622269960616</v>
      </c>
    </row>
    <row r="1135" spans="1:27" x14ac:dyDescent="0.25">
      <c r="A1135">
        <v>2013</v>
      </c>
      <c r="B1135">
        <v>3</v>
      </c>
      <c r="C1135">
        <v>4</v>
      </c>
      <c r="D1135" t="s">
        <v>287</v>
      </c>
      <c r="E1135" t="s">
        <v>244</v>
      </c>
      <c r="F1135" t="s">
        <v>190</v>
      </c>
      <c r="G1135">
        <v>268000</v>
      </c>
      <c r="H1135">
        <v>191100</v>
      </c>
      <c r="I1135">
        <v>98500</v>
      </c>
      <c r="J1135">
        <v>0</v>
      </c>
      <c r="K1135">
        <v>97000</v>
      </c>
      <c r="L1135">
        <v>33700</v>
      </c>
      <c r="M1135">
        <v>0</v>
      </c>
      <c r="N1135">
        <v>307900</v>
      </c>
      <c r="O1135">
        <v>11250</v>
      </c>
      <c r="P1135">
        <v>0</v>
      </c>
      <c r="Q1135">
        <v>8350</v>
      </c>
      <c r="R1135">
        <v>0</v>
      </c>
      <c r="S1135">
        <v>4050</v>
      </c>
      <c r="T1135">
        <v>4000</v>
      </c>
      <c r="U1135">
        <v>0</v>
      </c>
      <c r="V1135">
        <v>0</v>
      </c>
      <c r="W1135">
        <v>5000</v>
      </c>
      <c r="X1135">
        <v>1042</v>
      </c>
      <c r="Y1135">
        <v>0</v>
      </c>
      <c r="Z1135" cm="1">
        <f t="array" ref="Z1135">MMULT($G1135:$Y1135,'Nelson Factor_2019'!$B$1:$B$19)/$G1135</f>
        <v>13.388097014925373</v>
      </c>
      <c r="AA1135" cm="1">
        <f t="array" ref="AA1135">MMULT($G1135:$R1135,'Nelson Factor_2019'!$B$1:$B$12)/$G1135</f>
        <v>11.398992537313433</v>
      </c>
    </row>
    <row r="1136" spans="1:27" x14ac:dyDescent="0.25">
      <c r="A1136">
        <v>2013</v>
      </c>
      <c r="B1136">
        <v>3</v>
      </c>
      <c r="C1136">
        <v>1</v>
      </c>
      <c r="D1136" t="s">
        <v>287</v>
      </c>
      <c r="E1136" t="s">
        <v>246</v>
      </c>
      <c r="F1136" t="s">
        <v>178</v>
      </c>
      <c r="G1136">
        <v>80000</v>
      </c>
      <c r="H1136">
        <v>0</v>
      </c>
      <c r="I1136">
        <v>0</v>
      </c>
      <c r="J1136">
        <v>0</v>
      </c>
      <c r="K1136">
        <v>55600</v>
      </c>
      <c r="L1136">
        <v>10500</v>
      </c>
      <c r="M1136">
        <v>0</v>
      </c>
      <c r="N1136">
        <v>0</v>
      </c>
      <c r="O1136">
        <v>13800</v>
      </c>
      <c r="P1136">
        <v>0</v>
      </c>
      <c r="Q1136">
        <v>2800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35</v>
      </c>
      <c r="Y1136">
        <v>0</v>
      </c>
      <c r="Z1136" cm="1">
        <f t="array" ref="Z1136">MMULT($G1136:$Y1136,'Nelson Factor_2019'!$B$1:$B$19)/$G1136</f>
        <v>8.3562499999999993</v>
      </c>
      <c r="AA1136" cm="1">
        <f t="array" ref="AA1136">MMULT($G1136:$R1136,'Nelson Factor_2019'!$B$1:$B$12)/$G1136</f>
        <v>8.2512500000000006</v>
      </c>
    </row>
    <row r="1137" spans="1:27" x14ac:dyDescent="0.25">
      <c r="A1137">
        <v>2013</v>
      </c>
      <c r="B1137">
        <v>3</v>
      </c>
      <c r="C1137">
        <v>6</v>
      </c>
      <c r="D1137" t="s">
        <v>287</v>
      </c>
      <c r="E1137" t="s">
        <v>112</v>
      </c>
      <c r="F1137" t="s">
        <v>191</v>
      </c>
      <c r="G1137">
        <v>600000</v>
      </c>
      <c r="H1137">
        <v>138000</v>
      </c>
      <c r="I1137">
        <v>95000</v>
      </c>
      <c r="J1137">
        <v>0</v>
      </c>
      <c r="K1137">
        <v>88000</v>
      </c>
      <c r="L1137">
        <v>45000</v>
      </c>
      <c r="M1137">
        <v>20000</v>
      </c>
      <c r="N1137">
        <v>263700</v>
      </c>
      <c r="O1137">
        <v>19000</v>
      </c>
      <c r="P1137">
        <v>0</v>
      </c>
      <c r="Q1137">
        <v>0</v>
      </c>
      <c r="R1137">
        <v>0</v>
      </c>
      <c r="S1137">
        <v>39000</v>
      </c>
      <c r="T1137">
        <v>0</v>
      </c>
      <c r="U1137">
        <v>0</v>
      </c>
      <c r="V1137">
        <v>0</v>
      </c>
      <c r="W1137">
        <v>2450</v>
      </c>
      <c r="X1137">
        <v>660</v>
      </c>
      <c r="Y1137">
        <v>0</v>
      </c>
      <c r="Z1137" cm="1">
        <f t="array" ref="Z1137">MMULT($G1137:$Y1137,'Nelson Factor_2019'!$B$1:$B$19)/$G1137</f>
        <v>9.5875833333333329</v>
      </c>
      <c r="AA1137" cm="1">
        <f t="array" ref="AA1137">MMULT($G1137:$R1137,'Nelson Factor_2019'!$B$1:$B$12)/$G1137</f>
        <v>5.4235833333333332</v>
      </c>
    </row>
    <row r="1138" spans="1:27" x14ac:dyDescent="0.25">
      <c r="A1138">
        <v>2013</v>
      </c>
      <c r="B1138">
        <v>3</v>
      </c>
      <c r="C1138">
        <v>0</v>
      </c>
      <c r="D1138" t="s">
        <v>287</v>
      </c>
      <c r="E1138" t="s">
        <v>254</v>
      </c>
      <c r="F1138" t="s">
        <v>175</v>
      </c>
      <c r="G1138">
        <v>14500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1200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>
        <v>0</v>
      </c>
      <c r="Z1138" cm="1">
        <f t="array" ref="Z1138">MMULT($G1138:$Y1138,'Nelson Factor_2019'!$B$1:$B$19)/$G1138</f>
        <v>2.6551724137931036</v>
      </c>
      <c r="AA1138" cm="1">
        <f t="array" ref="AA1138">MMULT($G1138:$R1138,'Nelson Factor_2019'!$B$1:$B$12)/$G1138</f>
        <v>2.6551724137931036</v>
      </c>
    </row>
    <row r="1139" spans="1:27" x14ac:dyDescent="0.25">
      <c r="A1139">
        <v>2013</v>
      </c>
      <c r="B1139">
        <v>3</v>
      </c>
      <c r="C1139">
        <v>4</v>
      </c>
      <c r="D1139" t="s">
        <v>287</v>
      </c>
      <c r="E1139" t="s">
        <v>288</v>
      </c>
      <c r="F1139" t="s">
        <v>184</v>
      </c>
      <c r="G1139">
        <v>117000</v>
      </c>
      <c r="H1139">
        <v>41000</v>
      </c>
      <c r="I1139">
        <v>12000</v>
      </c>
      <c r="J1139">
        <v>0</v>
      </c>
      <c r="K1139">
        <v>50000</v>
      </c>
      <c r="L1139">
        <v>20000</v>
      </c>
      <c r="M1139">
        <v>0</v>
      </c>
      <c r="N1139">
        <v>44000</v>
      </c>
      <c r="O1139">
        <v>11000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500</v>
      </c>
      <c r="X1139">
        <v>24</v>
      </c>
      <c r="Y1139">
        <v>0</v>
      </c>
      <c r="Z1139" cm="1">
        <f t="array" ref="Z1139">MMULT($G1139:$Y1139,'Nelson Factor_2019'!$B$1:$B$19)/$G1139</f>
        <v>7.5731623931623933</v>
      </c>
      <c r="AA1139" cm="1">
        <f t="array" ref="AA1139">MMULT($G1139:$R1139,'Nelson Factor_2019'!$B$1:$B$12)/$G1139</f>
        <v>7.5239316239316238</v>
      </c>
    </row>
    <row r="1140" spans="1:27" x14ac:dyDescent="0.25">
      <c r="A1140">
        <v>2013</v>
      </c>
      <c r="B1140">
        <v>3</v>
      </c>
      <c r="C1140">
        <v>6</v>
      </c>
      <c r="D1140" t="s">
        <v>287</v>
      </c>
      <c r="E1140" t="s">
        <v>192</v>
      </c>
      <c r="F1140" t="s">
        <v>193</v>
      </c>
      <c r="G1140">
        <v>327000</v>
      </c>
      <c r="H1140">
        <v>173100</v>
      </c>
      <c r="I1140">
        <v>81600</v>
      </c>
      <c r="J1140">
        <v>0</v>
      </c>
      <c r="K1140">
        <v>66300</v>
      </c>
      <c r="L1140">
        <v>67100</v>
      </c>
      <c r="M1140">
        <v>53400</v>
      </c>
      <c r="N1140">
        <v>238400</v>
      </c>
      <c r="O1140">
        <v>17600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56.6</v>
      </c>
      <c r="V1140">
        <v>35.299999999999997</v>
      </c>
      <c r="W1140">
        <v>6417</v>
      </c>
      <c r="X1140">
        <v>1011</v>
      </c>
      <c r="Y1140">
        <v>0</v>
      </c>
      <c r="Z1140" cm="1">
        <f t="array" ref="Z1140">MMULT($G1140:$Y1140,'Nelson Factor_2019'!$B$1:$B$19)/$G1140</f>
        <v>10.21181009174312</v>
      </c>
      <c r="AA1140" cm="1">
        <f t="array" ref="AA1140">MMULT($G1140:$R1140,'Nelson Factor_2019'!$B$1:$B$12)/$G1140</f>
        <v>9.4695107033639143</v>
      </c>
    </row>
    <row r="1141" spans="1:27" x14ac:dyDescent="0.25">
      <c r="A1141">
        <v>2013</v>
      </c>
      <c r="B1141">
        <v>3</v>
      </c>
      <c r="C1141">
        <v>4</v>
      </c>
      <c r="D1141" t="s">
        <v>287</v>
      </c>
      <c r="E1141" t="s">
        <v>194</v>
      </c>
      <c r="F1141" t="s">
        <v>191</v>
      </c>
      <c r="G1141">
        <v>168767</v>
      </c>
      <c r="H1141">
        <v>106247</v>
      </c>
      <c r="I1141">
        <v>47945</v>
      </c>
      <c r="J1141">
        <v>0</v>
      </c>
      <c r="K1141">
        <v>74772</v>
      </c>
      <c r="L1141">
        <v>37918</v>
      </c>
      <c r="M1141">
        <v>0</v>
      </c>
      <c r="N1141">
        <v>233383</v>
      </c>
      <c r="O1141">
        <v>6049</v>
      </c>
      <c r="P1141">
        <v>0</v>
      </c>
      <c r="Q1141">
        <v>57314</v>
      </c>
      <c r="R1141">
        <v>7522</v>
      </c>
      <c r="S1141">
        <v>0</v>
      </c>
      <c r="T1141">
        <v>0</v>
      </c>
      <c r="U1141">
        <v>0</v>
      </c>
      <c r="V1141">
        <v>0</v>
      </c>
      <c r="W1141">
        <v>0</v>
      </c>
      <c r="X1141">
        <v>683</v>
      </c>
      <c r="Y1141">
        <v>1667</v>
      </c>
      <c r="Z1141" cm="1">
        <f t="array" ref="Z1141">MMULT($G1141:$Y1141,'Nelson Factor_2019'!$B$1:$B$19)/$G1141</f>
        <v>19.458256649700473</v>
      </c>
      <c r="AA1141" cm="1">
        <f t="array" ref="AA1141">MMULT($G1141:$R1141,'Nelson Factor_2019'!$B$1:$B$12)/$G1141</f>
        <v>18.47216043420811</v>
      </c>
    </row>
    <row r="1142" spans="1:27" x14ac:dyDescent="0.25">
      <c r="A1142">
        <v>2013</v>
      </c>
      <c r="B1142">
        <v>3</v>
      </c>
      <c r="C1142">
        <v>6</v>
      </c>
      <c r="D1142" t="s">
        <v>287</v>
      </c>
      <c r="E1142" t="s">
        <v>66</v>
      </c>
      <c r="F1142" t="s">
        <v>179</v>
      </c>
      <c r="G1142">
        <v>205000</v>
      </c>
      <c r="H1142">
        <v>95000</v>
      </c>
      <c r="I1142">
        <v>17500</v>
      </c>
      <c r="J1142">
        <v>0</v>
      </c>
      <c r="K1142">
        <v>92000</v>
      </c>
      <c r="L1142">
        <v>47000</v>
      </c>
      <c r="M1142">
        <v>49000</v>
      </c>
      <c r="N1142">
        <v>296000</v>
      </c>
      <c r="O1142">
        <v>21000</v>
      </c>
      <c r="P1142">
        <v>11200</v>
      </c>
      <c r="Q1142">
        <v>23000</v>
      </c>
      <c r="R1142">
        <v>12000</v>
      </c>
      <c r="S1142">
        <v>0</v>
      </c>
      <c r="T1142">
        <v>0</v>
      </c>
      <c r="U1142">
        <v>194</v>
      </c>
      <c r="V1142">
        <v>74</v>
      </c>
      <c r="W1142">
        <v>998</v>
      </c>
      <c r="X1142">
        <v>790</v>
      </c>
      <c r="Y1142">
        <v>38000</v>
      </c>
      <c r="Z1142" cm="1">
        <f t="array" ref="Z1142">MMULT($G1142:$Y1142,'Nelson Factor_2019'!$B$1:$B$19)/$G1142</f>
        <v>16.798136585365853</v>
      </c>
      <c r="AA1142" cm="1">
        <f t="array" ref="AA1142">MMULT($G1142:$R1142,'Nelson Factor_2019'!$B$1:$B$12)/$G1142</f>
        <v>15.59390243902439</v>
      </c>
    </row>
    <row r="1143" spans="1:27" x14ac:dyDescent="0.25">
      <c r="A1143">
        <v>2013</v>
      </c>
      <c r="B1143">
        <v>3</v>
      </c>
      <c r="C1143">
        <v>3</v>
      </c>
      <c r="D1143" t="s">
        <v>287</v>
      </c>
      <c r="E1143" t="s">
        <v>66</v>
      </c>
      <c r="F1143" t="s">
        <v>190</v>
      </c>
      <c r="G1143">
        <v>90000</v>
      </c>
      <c r="H1143">
        <v>39000</v>
      </c>
      <c r="I1143">
        <v>0</v>
      </c>
      <c r="J1143">
        <v>0</v>
      </c>
      <c r="K1143">
        <v>67000</v>
      </c>
      <c r="L1143">
        <v>0</v>
      </c>
      <c r="M1143">
        <v>34000</v>
      </c>
      <c r="N1143">
        <v>92500</v>
      </c>
      <c r="O1143">
        <v>11800</v>
      </c>
      <c r="P1143">
        <v>0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0</v>
      </c>
      <c r="W1143">
        <v>0</v>
      </c>
      <c r="X1143">
        <v>300</v>
      </c>
      <c r="Y1143">
        <v>0</v>
      </c>
      <c r="Z1143" cm="1">
        <f t="array" ref="Z1143">MMULT($G1143:$Y1143,'Nelson Factor_2019'!$B$1:$B$19)/$G1143</f>
        <v>13.732777777777779</v>
      </c>
      <c r="AA1143" cm="1">
        <f t="array" ref="AA1143">MMULT($G1143:$R1143,'Nelson Factor_2019'!$B$1:$B$12)/$G1143</f>
        <v>12.932777777777778</v>
      </c>
    </row>
    <row r="1144" spans="1:27" x14ac:dyDescent="0.25">
      <c r="A1144">
        <v>2013</v>
      </c>
      <c r="B1144">
        <v>3</v>
      </c>
      <c r="C1144">
        <v>6</v>
      </c>
      <c r="D1144" t="s">
        <v>287</v>
      </c>
      <c r="E1144" t="s">
        <v>66</v>
      </c>
      <c r="F1144" t="s">
        <v>191</v>
      </c>
      <c r="G1144">
        <v>310000</v>
      </c>
      <c r="H1144">
        <v>145000</v>
      </c>
      <c r="I1144">
        <v>100000</v>
      </c>
      <c r="J1144">
        <v>0</v>
      </c>
      <c r="K1144">
        <v>80000</v>
      </c>
      <c r="L1144">
        <v>53000</v>
      </c>
      <c r="M1144">
        <v>45000</v>
      </c>
      <c r="N1144">
        <v>282000</v>
      </c>
      <c r="O1144">
        <v>20000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105</v>
      </c>
      <c r="V1144">
        <v>6</v>
      </c>
      <c r="W1144">
        <v>6200</v>
      </c>
      <c r="X1144">
        <v>1050</v>
      </c>
      <c r="Y1144">
        <v>0</v>
      </c>
      <c r="Z1144" cm="1">
        <f t="array" ref="Z1144">MMULT($G1144:$Y1144,'Nelson Factor_2019'!$B$1:$B$19)/$G1144</f>
        <v>11.324551612903226</v>
      </c>
      <c r="AA1144" cm="1">
        <f t="array" ref="AA1144">MMULT($G1144:$R1144,'Nelson Factor_2019'!$B$1:$B$12)/$G1144</f>
        <v>10.511290322580646</v>
      </c>
    </row>
    <row r="1145" spans="1:27" x14ac:dyDescent="0.25">
      <c r="A1145">
        <v>2013</v>
      </c>
      <c r="B1145">
        <v>3</v>
      </c>
      <c r="C1145">
        <v>3</v>
      </c>
      <c r="D1145" t="s">
        <v>287</v>
      </c>
      <c r="E1145" t="s">
        <v>66</v>
      </c>
      <c r="F1145" t="s">
        <v>195</v>
      </c>
      <c r="G1145">
        <v>170000</v>
      </c>
      <c r="H1145">
        <v>53200</v>
      </c>
      <c r="I1145">
        <v>0</v>
      </c>
      <c r="J1145">
        <v>0</v>
      </c>
      <c r="K1145">
        <v>54465</v>
      </c>
      <c r="L1145">
        <v>47400</v>
      </c>
      <c r="M1145">
        <v>29500</v>
      </c>
      <c r="N1145">
        <v>97612</v>
      </c>
      <c r="O1145">
        <v>9500</v>
      </c>
      <c r="P1145">
        <v>0</v>
      </c>
      <c r="Q1145">
        <v>0</v>
      </c>
      <c r="R1145">
        <v>7000</v>
      </c>
      <c r="S1145">
        <v>0</v>
      </c>
      <c r="T1145">
        <v>4900</v>
      </c>
      <c r="U1145">
        <v>0</v>
      </c>
      <c r="V1145">
        <v>0</v>
      </c>
      <c r="W1145">
        <v>0</v>
      </c>
      <c r="X1145">
        <v>60</v>
      </c>
      <c r="Y1145">
        <v>0</v>
      </c>
      <c r="Z1145" cm="1">
        <f t="array" ref="Z1145">MMULT($G1145:$Y1145,'Nelson Factor_2019'!$B$1:$B$19)/$G1145</f>
        <v>8.6022352941176479</v>
      </c>
      <c r="AA1145" cm="1">
        <f t="array" ref="AA1145">MMULT($G1145:$R1145,'Nelson Factor_2019'!$B$1:$B$12)/$G1145</f>
        <v>8.2292941176470595</v>
      </c>
    </row>
    <row r="1146" spans="1:27" x14ac:dyDescent="0.25">
      <c r="A1146">
        <v>2013</v>
      </c>
      <c r="B1146">
        <v>3</v>
      </c>
      <c r="C1146">
        <v>4</v>
      </c>
      <c r="D1146" t="s">
        <v>287</v>
      </c>
      <c r="E1146" t="s">
        <v>66</v>
      </c>
      <c r="F1146" t="s">
        <v>178</v>
      </c>
      <c r="G1146">
        <v>245000</v>
      </c>
      <c r="H1146">
        <v>130000</v>
      </c>
      <c r="I1146">
        <v>50000</v>
      </c>
      <c r="J1146">
        <v>0</v>
      </c>
      <c r="K1146">
        <v>80000</v>
      </c>
      <c r="L1146">
        <v>14500</v>
      </c>
      <c r="M1146">
        <v>0</v>
      </c>
      <c r="N1146">
        <v>263000</v>
      </c>
      <c r="O1146">
        <v>12000</v>
      </c>
      <c r="P1146">
        <v>0</v>
      </c>
      <c r="Q1146">
        <v>0</v>
      </c>
      <c r="R1146">
        <v>6500</v>
      </c>
      <c r="S1146">
        <v>0</v>
      </c>
      <c r="T1146">
        <v>2500</v>
      </c>
      <c r="U1146">
        <v>0</v>
      </c>
      <c r="V1146">
        <v>60</v>
      </c>
      <c r="W1146">
        <v>3000</v>
      </c>
      <c r="X1146">
        <v>890</v>
      </c>
      <c r="Y1146">
        <v>0</v>
      </c>
      <c r="Z1146" cm="1">
        <f t="array" ref="Z1146">MMULT($G1146:$Y1146,'Nelson Factor_2019'!$B$1:$B$19)/$G1146</f>
        <v>9.7026938775510203</v>
      </c>
      <c r="AA1146" cm="1">
        <f t="array" ref="AA1146">MMULT($G1146:$R1146,'Nelson Factor_2019'!$B$1:$B$12)/$G1146</f>
        <v>8.7285714285714278</v>
      </c>
    </row>
    <row r="1147" spans="1:27" x14ac:dyDescent="0.25">
      <c r="A1147">
        <v>2013</v>
      </c>
      <c r="B1147">
        <v>3</v>
      </c>
      <c r="C1147">
        <v>1</v>
      </c>
      <c r="D1147" t="s">
        <v>287</v>
      </c>
      <c r="E1147" t="s">
        <v>66</v>
      </c>
      <c r="F1147" t="s">
        <v>196</v>
      </c>
      <c r="G1147">
        <v>100000</v>
      </c>
      <c r="H1147">
        <v>35000</v>
      </c>
      <c r="I1147">
        <v>0</v>
      </c>
      <c r="J1147">
        <v>0</v>
      </c>
      <c r="K1147">
        <v>24500</v>
      </c>
      <c r="L1147">
        <v>34000</v>
      </c>
      <c r="M1147">
        <v>0</v>
      </c>
      <c r="N1147">
        <v>78300</v>
      </c>
      <c r="O1147">
        <v>6500</v>
      </c>
      <c r="P1147">
        <v>0</v>
      </c>
      <c r="Q1147">
        <v>18000</v>
      </c>
      <c r="R1147">
        <v>0</v>
      </c>
      <c r="S1147">
        <v>3200</v>
      </c>
      <c r="T1147">
        <v>0</v>
      </c>
      <c r="U1147">
        <v>0</v>
      </c>
      <c r="V1147">
        <v>10</v>
      </c>
      <c r="W1147">
        <v>0</v>
      </c>
      <c r="X1147">
        <v>0</v>
      </c>
      <c r="Y1147">
        <v>0</v>
      </c>
      <c r="Z1147" cm="1">
        <f t="array" ref="Z1147">MMULT($G1147:$Y1147,'Nelson Factor_2019'!$B$1:$B$19)/$G1147</f>
        <v>12.752599999999999</v>
      </c>
      <c r="AA1147" cm="1">
        <f t="array" ref="AA1147">MMULT($G1147:$R1147,'Nelson Factor_2019'!$B$1:$B$12)/$G1147</f>
        <v>10.8325</v>
      </c>
    </row>
    <row r="1148" spans="1:27" x14ac:dyDescent="0.25">
      <c r="A1148">
        <v>2013</v>
      </c>
      <c r="B1148">
        <v>3</v>
      </c>
      <c r="C1148">
        <v>1</v>
      </c>
      <c r="D1148" t="s">
        <v>287</v>
      </c>
      <c r="E1148" t="s">
        <v>197</v>
      </c>
      <c r="F1148" t="s">
        <v>198</v>
      </c>
      <c r="G1148">
        <v>125000</v>
      </c>
      <c r="H1148">
        <v>34700</v>
      </c>
      <c r="I1148">
        <v>0</v>
      </c>
      <c r="J1148">
        <v>0</v>
      </c>
      <c r="K1148">
        <v>28000</v>
      </c>
      <c r="L1148">
        <v>18000</v>
      </c>
      <c r="M1148">
        <v>0</v>
      </c>
      <c r="N1148">
        <v>37800</v>
      </c>
      <c r="O1148">
        <v>10000</v>
      </c>
      <c r="P1148">
        <v>0</v>
      </c>
      <c r="Q1148">
        <v>0</v>
      </c>
      <c r="R1148">
        <v>2500</v>
      </c>
      <c r="S1148">
        <v>0</v>
      </c>
      <c r="T1148">
        <v>0</v>
      </c>
      <c r="U1148">
        <v>0</v>
      </c>
      <c r="V1148">
        <v>0</v>
      </c>
      <c r="W1148">
        <v>0</v>
      </c>
      <c r="X1148">
        <v>20</v>
      </c>
      <c r="Y1148">
        <v>4800</v>
      </c>
      <c r="Z1148" cm="1">
        <f t="array" ref="Z1148">MMULT($G1148:$Y1148,'Nelson Factor_2019'!$B$1:$B$19)/$G1148</f>
        <v>5.1368799999999997</v>
      </c>
      <c r="AA1148" cm="1">
        <f t="array" ref="AA1148">MMULT($G1148:$R1148,'Nelson Factor_2019'!$B$1:$B$12)/$G1148</f>
        <v>5.0408799999999996</v>
      </c>
    </row>
    <row r="1149" spans="1:27" x14ac:dyDescent="0.25">
      <c r="A1149">
        <v>2013</v>
      </c>
      <c r="B1149">
        <v>3</v>
      </c>
      <c r="C1149">
        <v>4</v>
      </c>
      <c r="D1149" t="s">
        <v>287</v>
      </c>
      <c r="E1149" t="s">
        <v>240</v>
      </c>
      <c r="F1149" t="s">
        <v>181</v>
      </c>
      <c r="G1149">
        <v>146000</v>
      </c>
      <c r="H1149">
        <v>75000</v>
      </c>
      <c r="I1149">
        <v>26000</v>
      </c>
      <c r="J1149">
        <v>0</v>
      </c>
      <c r="K1149">
        <v>55000</v>
      </c>
      <c r="L1149">
        <v>29000</v>
      </c>
      <c r="M1149">
        <v>0</v>
      </c>
      <c r="N1149">
        <v>154000</v>
      </c>
      <c r="O1149">
        <v>17000</v>
      </c>
      <c r="P1149">
        <v>0</v>
      </c>
      <c r="Q1149">
        <v>0</v>
      </c>
      <c r="R1149">
        <v>44000</v>
      </c>
      <c r="S1149">
        <v>0</v>
      </c>
      <c r="T1149">
        <v>0</v>
      </c>
      <c r="U1149">
        <v>90</v>
      </c>
      <c r="V1149">
        <v>10</v>
      </c>
      <c r="W1149">
        <v>1250</v>
      </c>
      <c r="X1149">
        <v>400</v>
      </c>
      <c r="Y1149">
        <v>0</v>
      </c>
      <c r="Z1149" cm="1">
        <f t="array" ref="Z1149">MMULT($G1149:$Y1149,'Nelson Factor_2019'!$B$1:$B$19)/$G1149</f>
        <v>11.62054794520548</v>
      </c>
      <c r="AA1149" cm="1">
        <f t="array" ref="AA1149">MMULT($G1149:$R1149,'Nelson Factor_2019'!$B$1:$B$12)/$G1149</f>
        <v>10.962328767123287</v>
      </c>
    </row>
    <row r="1150" spans="1:27" x14ac:dyDescent="0.25">
      <c r="A1150">
        <v>2013</v>
      </c>
      <c r="B1150">
        <v>4</v>
      </c>
      <c r="C1150">
        <v>1</v>
      </c>
      <c r="D1150" t="s">
        <v>289</v>
      </c>
      <c r="E1150" t="s">
        <v>290</v>
      </c>
      <c r="F1150" t="s">
        <v>201</v>
      </c>
      <c r="G1150">
        <v>30000</v>
      </c>
      <c r="H1150">
        <v>5000</v>
      </c>
      <c r="I1150">
        <v>0</v>
      </c>
      <c r="J1150">
        <v>0</v>
      </c>
      <c r="K1150">
        <v>11500</v>
      </c>
      <c r="L1150">
        <v>7300</v>
      </c>
      <c r="M1150">
        <v>0</v>
      </c>
      <c r="N1150">
        <v>18500</v>
      </c>
      <c r="O1150">
        <v>2500</v>
      </c>
      <c r="P1150">
        <v>0</v>
      </c>
      <c r="Q1150">
        <v>0</v>
      </c>
      <c r="R1150">
        <v>4200</v>
      </c>
      <c r="S1150">
        <v>0</v>
      </c>
      <c r="T1150">
        <v>0</v>
      </c>
      <c r="U1150">
        <v>0</v>
      </c>
      <c r="V1150">
        <v>0</v>
      </c>
      <c r="W1150">
        <v>0</v>
      </c>
      <c r="X1150">
        <v>4</v>
      </c>
      <c r="Y1150">
        <v>0</v>
      </c>
      <c r="Z1150" cm="1">
        <f t="array" ref="Z1150">MMULT($G1150:$Y1150,'Nelson Factor_2019'!$B$1:$B$19)/$G1150</f>
        <v>7.5603333333333333</v>
      </c>
      <c r="AA1150" cm="1">
        <f t="array" ref="AA1150">MMULT($G1150:$R1150,'Nelson Factor_2019'!$B$1:$B$12)/$G1150</f>
        <v>7.5283333333333333</v>
      </c>
    </row>
    <row r="1151" spans="1:27" x14ac:dyDescent="0.25">
      <c r="A1151">
        <v>2013</v>
      </c>
      <c r="B1151">
        <v>4</v>
      </c>
      <c r="C1151">
        <v>4</v>
      </c>
      <c r="D1151" t="s">
        <v>289</v>
      </c>
      <c r="E1151" t="s">
        <v>227</v>
      </c>
      <c r="F1151" t="s">
        <v>201</v>
      </c>
      <c r="G1151">
        <v>45000</v>
      </c>
      <c r="H1151">
        <v>25600</v>
      </c>
      <c r="I1151">
        <v>7200</v>
      </c>
      <c r="J1151">
        <v>0</v>
      </c>
      <c r="K1151">
        <v>13000</v>
      </c>
      <c r="L1151">
        <v>7000</v>
      </c>
      <c r="M1151">
        <v>0</v>
      </c>
      <c r="N1151">
        <v>39000</v>
      </c>
      <c r="O1151">
        <v>4500</v>
      </c>
      <c r="P1151">
        <v>0</v>
      </c>
      <c r="Q1151">
        <v>0</v>
      </c>
      <c r="R1151">
        <v>1000</v>
      </c>
      <c r="S1151">
        <v>0</v>
      </c>
      <c r="T1151">
        <v>0</v>
      </c>
      <c r="U1151">
        <v>0</v>
      </c>
      <c r="V1151">
        <v>0</v>
      </c>
      <c r="W1151">
        <v>281</v>
      </c>
      <c r="X1151">
        <v>56</v>
      </c>
      <c r="Y1151">
        <v>0</v>
      </c>
      <c r="Z1151" cm="1">
        <f t="array" ref="Z1151">MMULT($G1151:$Y1151,'Nelson Factor_2019'!$B$1:$B$19)/$G1151</f>
        <v>8.9826666666666668</v>
      </c>
      <c r="AA1151" cm="1">
        <f t="array" ref="AA1151">MMULT($G1151:$R1151,'Nelson Factor_2019'!$B$1:$B$12)/$G1151</f>
        <v>8.6839999999999993</v>
      </c>
    </row>
    <row r="1152" spans="1:27" x14ac:dyDescent="0.25">
      <c r="A1152">
        <v>2013</v>
      </c>
      <c r="B1152">
        <v>4</v>
      </c>
      <c r="C1152">
        <v>1</v>
      </c>
      <c r="D1152" t="s">
        <v>289</v>
      </c>
      <c r="E1152" t="s">
        <v>251</v>
      </c>
      <c r="F1152" t="s">
        <v>203</v>
      </c>
      <c r="G1152">
        <v>29450</v>
      </c>
      <c r="H1152">
        <v>0</v>
      </c>
      <c r="I1152">
        <v>0</v>
      </c>
      <c r="J1152">
        <v>0</v>
      </c>
      <c r="K1152">
        <v>8900</v>
      </c>
      <c r="L1152">
        <v>8000</v>
      </c>
      <c r="M1152">
        <v>0</v>
      </c>
      <c r="N1152">
        <v>25000</v>
      </c>
      <c r="O1152">
        <v>2900</v>
      </c>
      <c r="P1152">
        <v>0</v>
      </c>
      <c r="Q1152">
        <v>0</v>
      </c>
      <c r="R1152">
        <v>3000</v>
      </c>
      <c r="S1152">
        <v>0</v>
      </c>
      <c r="T1152">
        <v>0</v>
      </c>
      <c r="U1152">
        <v>0</v>
      </c>
      <c r="V1152">
        <v>0</v>
      </c>
      <c r="W1152">
        <v>0</v>
      </c>
      <c r="X1152">
        <v>10</v>
      </c>
      <c r="Y1152">
        <v>0</v>
      </c>
      <c r="Z1152" cm="1">
        <f t="array" ref="Z1152">MMULT($G1152:$Y1152,'Nelson Factor_2019'!$B$1:$B$19)/$G1152</f>
        <v>7.6655348047538201</v>
      </c>
      <c r="AA1152" cm="1">
        <f t="array" ref="AA1152">MMULT($G1152:$R1152,'Nelson Factor_2019'!$B$1:$B$12)/$G1152</f>
        <v>7.5840407470288627</v>
      </c>
    </row>
    <row r="1153" spans="1:27" x14ac:dyDescent="0.25">
      <c r="A1153">
        <v>2013</v>
      </c>
      <c r="B1153">
        <v>4</v>
      </c>
      <c r="C1153">
        <v>0</v>
      </c>
      <c r="D1153" t="s">
        <v>289</v>
      </c>
      <c r="E1153" t="s">
        <v>204</v>
      </c>
      <c r="F1153" t="s">
        <v>203</v>
      </c>
      <c r="G1153">
        <v>6250</v>
      </c>
      <c r="H1153">
        <v>6000</v>
      </c>
      <c r="I1153">
        <v>0</v>
      </c>
      <c r="J1153">
        <v>0</v>
      </c>
      <c r="K1153">
        <v>0</v>
      </c>
      <c r="L1153">
        <v>2200</v>
      </c>
      <c r="M1153">
        <v>0</v>
      </c>
      <c r="N1153">
        <v>6200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1200</v>
      </c>
      <c r="Z1153" cm="1">
        <f t="array" ref="Z1153">MMULT($G1153:$Y1153,'Nelson Factor_2019'!$B$1:$B$19)/$G1153</f>
        <v>6.7759999999999998</v>
      </c>
      <c r="AA1153" cm="1">
        <f t="array" ref="AA1153">MMULT($G1153:$R1153,'Nelson Factor_2019'!$B$1:$B$12)/$G1153</f>
        <v>6.4880000000000004</v>
      </c>
    </row>
    <row r="1154" spans="1:27" x14ac:dyDescent="0.25">
      <c r="A1154">
        <v>2013</v>
      </c>
      <c r="B1154">
        <v>4</v>
      </c>
      <c r="C1154">
        <v>1</v>
      </c>
      <c r="D1154" t="s">
        <v>289</v>
      </c>
      <c r="E1154" t="s">
        <v>148</v>
      </c>
      <c r="F1154" t="s">
        <v>201</v>
      </c>
      <c r="G1154">
        <v>60000</v>
      </c>
      <c r="H1154">
        <v>0</v>
      </c>
      <c r="I1154">
        <v>0</v>
      </c>
      <c r="J1154">
        <v>0</v>
      </c>
      <c r="K1154">
        <v>23000</v>
      </c>
      <c r="L1154">
        <v>12000</v>
      </c>
      <c r="M1154">
        <v>0</v>
      </c>
      <c r="N1154">
        <v>23000</v>
      </c>
      <c r="O1154">
        <v>6000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X1154">
        <v>15</v>
      </c>
      <c r="Y1154">
        <v>0</v>
      </c>
      <c r="Z1154" cm="1">
        <f t="array" ref="Z1154">MMULT($G1154:$Y1154,'Nelson Factor_2019'!$B$1:$B$19)/$G1154</f>
        <v>6.3183333333333334</v>
      </c>
      <c r="AA1154" cm="1">
        <f t="array" ref="AA1154">MMULT($G1154:$R1154,'Nelson Factor_2019'!$B$1:$B$12)/$G1154</f>
        <v>6.2583333333333337</v>
      </c>
    </row>
    <row r="1155" spans="1:27" x14ac:dyDescent="0.25">
      <c r="A1155">
        <v>2013</v>
      </c>
      <c r="B1155">
        <v>5</v>
      </c>
      <c r="C1155">
        <v>5</v>
      </c>
      <c r="D1155" t="s">
        <v>291</v>
      </c>
      <c r="E1155" t="s">
        <v>32</v>
      </c>
      <c r="F1155" t="s">
        <v>209</v>
      </c>
      <c r="G1155">
        <v>222300</v>
      </c>
      <c r="H1155">
        <v>100700</v>
      </c>
      <c r="I1155">
        <v>55800</v>
      </c>
      <c r="J1155">
        <v>0</v>
      </c>
      <c r="K1155">
        <v>0</v>
      </c>
      <c r="L1155">
        <v>58500</v>
      </c>
      <c r="M1155">
        <v>58500</v>
      </c>
      <c r="N1155">
        <v>131400</v>
      </c>
      <c r="O1155">
        <v>0</v>
      </c>
      <c r="P1155">
        <v>0</v>
      </c>
      <c r="Q1155">
        <v>0</v>
      </c>
      <c r="R1155">
        <v>21600</v>
      </c>
      <c r="S1155">
        <v>0</v>
      </c>
      <c r="T1155">
        <v>0</v>
      </c>
      <c r="U1155">
        <v>92.5</v>
      </c>
      <c r="V1155">
        <v>42</v>
      </c>
      <c r="W1155">
        <v>3250</v>
      </c>
      <c r="X1155">
        <v>245</v>
      </c>
      <c r="Y1155">
        <v>0</v>
      </c>
      <c r="Z1155" cm="1">
        <f t="array" ref="Z1155">MMULT($G1155:$Y1155,'Nelson Factor_2019'!$B$1:$B$19)/$G1155</f>
        <v>8.9268758434547912</v>
      </c>
      <c r="AA1155" cm="1">
        <f t="array" ref="AA1155">MMULT($G1155:$R1155,'Nelson Factor_2019'!$B$1:$B$12)/$G1155</f>
        <v>8.6617633828160141</v>
      </c>
    </row>
    <row r="1156" spans="1:27" x14ac:dyDescent="0.25">
      <c r="A1156">
        <v>2013</v>
      </c>
      <c r="B1156">
        <v>5</v>
      </c>
      <c r="C1156">
        <v>1</v>
      </c>
      <c r="D1156" t="s">
        <v>291</v>
      </c>
      <c r="E1156" t="s">
        <v>258</v>
      </c>
      <c r="F1156" t="s">
        <v>209</v>
      </c>
      <c r="G1156">
        <v>101000</v>
      </c>
      <c r="H1156">
        <v>48200</v>
      </c>
      <c r="I1156">
        <v>0</v>
      </c>
      <c r="J1156">
        <v>0</v>
      </c>
      <c r="K1156">
        <v>32500</v>
      </c>
      <c r="L1156">
        <v>16600</v>
      </c>
      <c r="M1156">
        <v>0</v>
      </c>
      <c r="N1156">
        <v>66100</v>
      </c>
      <c r="O1156">
        <v>9200</v>
      </c>
      <c r="P1156">
        <v>0</v>
      </c>
      <c r="Q1156">
        <v>0</v>
      </c>
      <c r="R1156">
        <v>4100</v>
      </c>
      <c r="S1156">
        <v>0</v>
      </c>
      <c r="T1156">
        <v>0</v>
      </c>
      <c r="U1156">
        <v>0</v>
      </c>
      <c r="V1156">
        <v>0</v>
      </c>
      <c r="W1156">
        <v>0</v>
      </c>
      <c r="X1156">
        <v>110</v>
      </c>
      <c r="Y1156">
        <v>0</v>
      </c>
      <c r="Z1156" cm="1">
        <f t="array" ref="Z1156">MMULT($G1156:$Y1156,'Nelson Factor_2019'!$B$1:$B$19)/$G1156</f>
        <v>7.3030693069306931</v>
      </c>
      <c r="AA1156" cm="1">
        <f t="array" ref="AA1156">MMULT($G1156:$R1156,'Nelson Factor_2019'!$B$1:$B$12)/$G1156</f>
        <v>7.0416831683168315</v>
      </c>
    </row>
    <row r="1157" spans="1:27" x14ac:dyDescent="0.25">
      <c r="A1157">
        <v>2013</v>
      </c>
      <c r="B1157">
        <v>5</v>
      </c>
      <c r="C1157">
        <v>4</v>
      </c>
      <c r="D1157" t="s">
        <v>291</v>
      </c>
      <c r="E1157" t="s">
        <v>61</v>
      </c>
      <c r="F1157" t="s">
        <v>210</v>
      </c>
      <c r="G1157">
        <v>148600</v>
      </c>
      <c r="H1157">
        <v>65500</v>
      </c>
      <c r="I1157">
        <v>25700</v>
      </c>
      <c r="J1157">
        <v>0</v>
      </c>
      <c r="K1157">
        <v>57900</v>
      </c>
      <c r="L1157">
        <v>33000</v>
      </c>
      <c r="M1157">
        <v>0</v>
      </c>
      <c r="N1157">
        <v>130600</v>
      </c>
      <c r="O1157">
        <v>12050</v>
      </c>
      <c r="P1157">
        <v>4300</v>
      </c>
      <c r="Q1157">
        <v>0</v>
      </c>
      <c r="R1157">
        <v>7000</v>
      </c>
      <c r="S1157">
        <v>0</v>
      </c>
      <c r="T1157">
        <v>0</v>
      </c>
      <c r="U1157">
        <v>7</v>
      </c>
      <c r="V1157">
        <v>0</v>
      </c>
      <c r="W1157">
        <v>1400</v>
      </c>
      <c r="X1157">
        <v>350</v>
      </c>
      <c r="Y1157">
        <v>0</v>
      </c>
      <c r="Z1157" cm="1">
        <f t="array" ref="Z1157">MMULT($G1157:$Y1157,'Nelson Factor_2019'!$B$1:$B$19)/$G1157</f>
        <v>10.322388963660835</v>
      </c>
      <c r="AA1157" cm="1">
        <f t="array" ref="AA1157">MMULT($G1157:$R1157,'Nelson Factor_2019'!$B$1:$B$12)/$G1157</f>
        <v>9.7570659488559901</v>
      </c>
    </row>
    <row r="1158" spans="1:27" x14ac:dyDescent="0.25">
      <c r="A1158">
        <v>2013</v>
      </c>
      <c r="B1158">
        <v>5</v>
      </c>
      <c r="C1158">
        <v>1</v>
      </c>
      <c r="D1158" t="s">
        <v>291</v>
      </c>
      <c r="E1158" t="s">
        <v>148</v>
      </c>
      <c r="F1158" t="s">
        <v>210</v>
      </c>
      <c r="G1158">
        <v>120000</v>
      </c>
      <c r="H1158">
        <v>47200</v>
      </c>
      <c r="I1158">
        <v>0</v>
      </c>
      <c r="J1158">
        <v>0</v>
      </c>
      <c r="K1158">
        <v>44800</v>
      </c>
      <c r="L1158">
        <v>26500</v>
      </c>
      <c r="M1158">
        <v>0</v>
      </c>
      <c r="N1158">
        <v>61600</v>
      </c>
      <c r="O1158">
        <v>11000</v>
      </c>
      <c r="P1158">
        <v>0</v>
      </c>
      <c r="Q1158">
        <v>0</v>
      </c>
      <c r="R1158">
        <v>3400</v>
      </c>
      <c r="S1158">
        <v>0</v>
      </c>
      <c r="T1158">
        <v>0</v>
      </c>
      <c r="U1158">
        <v>0</v>
      </c>
      <c r="V1158">
        <v>0</v>
      </c>
      <c r="W1158">
        <v>0</v>
      </c>
      <c r="X1158">
        <v>48</v>
      </c>
      <c r="Y1158">
        <v>1000</v>
      </c>
      <c r="Z1158" cm="1">
        <f t="array" ref="Z1158">MMULT($G1158:$Y1158,'Nelson Factor_2019'!$B$1:$B$19)/$G1158</f>
        <v>7.2489999999999997</v>
      </c>
      <c r="AA1158" cm="1">
        <f t="array" ref="AA1158">MMULT($G1158:$R1158,'Nelson Factor_2019'!$B$1:$B$12)/$G1158</f>
        <v>7.1405000000000003</v>
      </c>
    </row>
    <row r="1159" spans="1:27" x14ac:dyDescent="0.25">
      <c r="A1159">
        <v>2013</v>
      </c>
      <c r="B1159">
        <v>5</v>
      </c>
      <c r="C1159">
        <v>0</v>
      </c>
      <c r="D1159" t="s">
        <v>291</v>
      </c>
      <c r="E1159" t="s">
        <v>211</v>
      </c>
      <c r="F1159" t="s">
        <v>212</v>
      </c>
      <c r="G1159">
        <v>39000</v>
      </c>
      <c r="H1159">
        <v>17700</v>
      </c>
      <c r="I1159">
        <v>0</v>
      </c>
      <c r="J1159">
        <v>0</v>
      </c>
      <c r="K1159">
        <v>0</v>
      </c>
      <c r="L1159">
        <v>5650</v>
      </c>
      <c r="M1159">
        <v>0</v>
      </c>
      <c r="N1159">
        <v>14800</v>
      </c>
      <c r="O1159">
        <v>0</v>
      </c>
      <c r="P1159">
        <v>0</v>
      </c>
      <c r="Q1159">
        <v>0</v>
      </c>
      <c r="R1159">
        <v>3000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0</v>
      </c>
      <c r="Y1159">
        <v>10000</v>
      </c>
      <c r="Z1159" cm="1">
        <f t="array" ref="Z1159">MMULT($G1159:$Y1159,'Nelson Factor_2019'!$B$1:$B$19)/$G1159</f>
        <v>3.8784615384615386</v>
      </c>
      <c r="AA1159" cm="1">
        <f t="array" ref="AA1159">MMULT($G1159:$R1159,'Nelson Factor_2019'!$B$1:$B$12)/$G1159</f>
        <v>3.493846153846154</v>
      </c>
    </row>
    <row r="1160" spans="1:27" x14ac:dyDescent="0.25">
      <c r="A1160">
        <v>2013</v>
      </c>
      <c r="B1160">
        <v>1</v>
      </c>
      <c r="C1160">
        <v>0</v>
      </c>
      <c r="D1160" t="s">
        <v>292</v>
      </c>
      <c r="E1160" t="s">
        <v>214</v>
      </c>
      <c r="F1160" t="s">
        <v>215</v>
      </c>
      <c r="G1160">
        <v>20000</v>
      </c>
      <c r="H1160">
        <v>8400</v>
      </c>
      <c r="I1160">
        <v>0</v>
      </c>
      <c r="J1160">
        <v>0</v>
      </c>
      <c r="K1160">
        <v>0</v>
      </c>
      <c r="L1160">
        <v>4200</v>
      </c>
      <c r="M1160">
        <v>0</v>
      </c>
      <c r="N1160">
        <v>19000</v>
      </c>
      <c r="O1160">
        <v>0</v>
      </c>
      <c r="P1160">
        <v>0</v>
      </c>
      <c r="Q1160">
        <v>0</v>
      </c>
      <c r="R1160">
        <v>0</v>
      </c>
      <c r="S1160">
        <v>4800</v>
      </c>
      <c r="T1160">
        <v>0</v>
      </c>
      <c r="U1160">
        <v>4.0999999999999996</v>
      </c>
      <c r="V1160">
        <v>0</v>
      </c>
      <c r="W1160">
        <v>0</v>
      </c>
      <c r="X1160">
        <v>1</v>
      </c>
      <c r="Y1160">
        <v>0</v>
      </c>
      <c r="Z1160" cm="1">
        <f t="array" ref="Z1160">MMULT($G1160:$Y1160,'Nelson Factor_2019'!$B$1:$B$19)/$G1160</f>
        <v>19.383205</v>
      </c>
      <c r="AA1160" cm="1">
        <f t="array" ref="AA1160">MMULT($G1160:$R1160,'Nelson Factor_2019'!$B$1:$B$12)/$G1160</f>
        <v>4.9710000000000001</v>
      </c>
    </row>
    <row r="1161" spans="1:27" x14ac:dyDescent="0.25">
      <c r="A1161">
        <v>2013</v>
      </c>
      <c r="B1161">
        <v>2</v>
      </c>
      <c r="C1161">
        <v>1</v>
      </c>
      <c r="D1161" t="s">
        <v>293</v>
      </c>
      <c r="E1161" t="s">
        <v>255</v>
      </c>
      <c r="F1161" t="s">
        <v>217</v>
      </c>
      <c r="G1161">
        <v>33250</v>
      </c>
      <c r="H1161">
        <v>19500</v>
      </c>
      <c r="I1161">
        <v>0</v>
      </c>
      <c r="J1161">
        <v>0</v>
      </c>
      <c r="K1161">
        <v>9900</v>
      </c>
      <c r="L1161">
        <v>7200</v>
      </c>
      <c r="M1161">
        <v>0</v>
      </c>
      <c r="N1161">
        <v>20620</v>
      </c>
      <c r="O1161">
        <v>1350</v>
      </c>
      <c r="P1161">
        <v>0</v>
      </c>
      <c r="Q1161">
        <v>0</v>
      </c>
      <c r="R1161">
        <v>1800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15</v>
      </c>
      <c r="Y1161">
        <v>6750</v>
      </c>
      <c r="Z1161" cm="1">
        <f t="array" ref="Z1161">MMULT($G1161:$Y1161,'Nelson Factor_2019'!$B$1:$B$19)/$G1161</f>
        <v>7.1631578947368419</v>
      </c>
      <c r="AA1161" cm="1">
        <f t="array" ref="AA1161">MMULT($G1161:$R1161,'Nelson Factor_2019'!$B$1:$B$12)/$G1161</f>
        <v>6.7503759398496239</v>
      </c>
    </row>
    <row r="1162" spans="1:27" x14ac:dyDescent="0.25">
      <c r="A1162">
        <v>2013</v>
      </c>
      <c r="B1162">
        <v>4</v>
      </c>
      <c r="C1162">
        <v>4</v>
      </c>
      <c r="D1162" t="s">
        <v>294</v>
      </c>
      <c r="E1162" t="s">
        <v>251</v>
      </c>
      <c r="F1162" t="s">
        <v>220</v>
      </c>
      <c r="G1162">
        <v>52000</v>
      </c>
      <c r="H1162">
        <v>26000</v>
      </c>
      <c r="I1162">
        <v>14000</v>
      </c>
      <c r="J1162">
        <v>0</v>
      </c>
      <c r="K1162">
        <v>12000</v>
      </c>
      <c r="L1162">
        <v>9000</v>
      </c>
      <c r="M1162">
        <v>0</v>
      </c>
      <c r="N1162">
        <v>39000</v>
      </c>
      <c r="O1162">
        <v>4000</v>
      </c>
      <c r="P1162">
        <v>0</v>
      </c>
      <c r="Q1162">
        <v>0</v>
      </c>
      <c r="R1162">
        <v>1200</v>
      </c>
      <c r="S1162">
        <v>0</v>
      </c>
      <c r="T1162">
        <v>0</v>
      </c>
      <c r="U1162">
        <v>5.5</v>
      </c>
      <c r="V1162">
        <v>0</v>
      </c>
      <c r="W1162">
        <v>800</v>
      </c>
      <c r="X1162">
        <v>105</v>
      </c>
      <c r="Y1162">
        <v>0</v>
      </c>
      <c r="Z1162" cm="1">
        <f t="array" ref="Z1162">MMULT($G1162:$Y1162,'Nelson Factor_2019'!$B$1:$B$19)/$G1162</f>
        <v>9.1174134615384617</v>
      </c>
      <c r="AA1162" cm="1">
        <f t="array" ref="AA1162">MMULT($G1162:$R1162,'Nelson Factor_2019'!$B$1:$B$12)/$G1162</f>
        <v>8.6326923076923077</v>
      </c>
    </row>
    <row r="1163" spans="1:27" x14ac:dyDescent="0.25">
      <c r="A1163">
        <v>2013</v>
      </c>
      <c r="B1163">
        <v>4</v>
      </c>
      <c r="C1163">
        <v>1</v>
      </c>
      <c r="D1163" t="s">
        <v>294</v>
      </c>
      <c r="E1163" t="s">
        <v>221</v>
      </c>
      <c r="F1163" t="s">
        <v>222</v>
      </c>
      <c r="G1163">
        <v>22500</v>
      </c>
      <c r="H1163">
        <v>6000</v>
      </c>
      <c r="I1163">
        <v>0</v>
      </c>
      <c r="J1163">
        <v>0</v>
      </c>
      <c r="K1163">
        <v>10000</v>
      </c>
      <c r="L1163">
        <v>5500</v>
      </c>
      <c r="M1163">
        <v>0</v>
      </c>
      <c r="N1163">
        <v>16000</v>
      </c>
      <c r="O1163">
        <v>0</v>
      </c>
      <c r="P1163">
        <v>1000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19.7</v>
      </c>
      <c r="Y1163">
        <v>0</v>
      </c>
      <c r="Z1163" cm="1">
        <f t="array" ref="Z1163">MMULT($G1163:$Y1163,'Nelson Factor_2019'!$B$1:$B$19)/$G1163</f>
        <v>7.6679111111111107</v>
      </c>
      <c r="AA1163" cm="1">
        <f t="array" ref="AA1163">MMULT($G1163:$R1163,'Nelson Factor_2019'!$B$1:$B$12)/$G1163</f>
        <v>7.4577777777777774</v>
      </c>
    </row>
    <row r="1164" spans="1:27" x14ac:dyDescent="0.25">
      <c r="A1164">
        <v>2013</v>
      </c>
      <c r="B1164">
        <v>4</v>
      </c>
      <c r="C1164">
        <v>1</v>
      </c>
      <c r="D1164" t="s">
        <v>294</v>
      </c>
      <c r="E1164" t="s">
        <v>159</v>
      </c>
      <c r="F1164" t="s">
        <v>223</v>
      </c>
      <c r="G1164">
        <v>66000</v>
      </c>
      <c r="H1164">
        <v>6500</v>
      </c>
      <c r="I1164">
        <v>0</v>
      </c>
      <c r="J1164">
        <v>0</v>
      </c>
      <c r="K1164">
        <v>10000</v>
      </c>
      <c r="L1164">
        <v>5700</v>
      </c>
      <c r="M1164">
        <v>0</v>
      </c>
      <c r="N1164">
        <v>15500</v>
      </c>
      <c r="O1164">
        <v>0</v>
      </c>
      <c r="P1164">
        <v>300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19.7</v>
      </c>
      <c r="Y1164">
        <v>1750</v>
      </c>
      <c r="Z1164" cm="1">
        <f t="array" ref="Z1164">MMULT($G1164:$Y1164,'Nelson Factor_2019'!$B$1:$B$19)/$G1164</f>
        <v>3.2129242424242426</v>
      </c>
      <c r="AA1164" cm="1">
        <f t="array" ref="AA1164">MMULT($G1164:$R1164,'Nelson Factor_2019'!$B$1:$B$12)/$G1164</f>
        <v>3.1015151515151516</v>
      </c>
    </row>
    <row r="1165" spans="1:27" x14ac:dyDescent="0.25">
      <c r="A1165">
        <v>2013</v>
      </c>
      <c r="B1165">
        <v>4</v>
      </c>
      <c r="C1165">
        <v>1</v>
      </c>
      <c r="D1165" t="s">
        <v>294</v>
      </c>
      <c r="E1165" t="s">
        <v>224</v>
      </c>
      <c r="F1165" t="s">
        <v>225</v>
      </c>
      <c r="G1165">
        <v>12500</v>
      </c>
      <c r="H1165">
        <v>1500</v>
      </c>
      <c r="I1165">
        <v>0</v>
      </c>
      <c r="J1165">
        <v>0</v>
      </c>
      <c r="K1165">
        <v>5500</v>
      </c>
      <c r="L1165">
        <v>2750</v>
      </c>
      <c r="M1165">
        <v>0</v>
      </c>
      <c r="N1165">
        <v>7500</v>
      </c>
      <c r="O1165">
        <v>1300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0</v>
      </c>
      <c r="X1165">
        <v>4</v>
      </c>
      <c r="Y1165">
        <v>0</v>
      </c>
      <c r="Z1165" cm="1">
        <f t="array" ref="Z1165">MMULT($G1165:$Y1165,'Nelson Factor_2019'!$B$1:$B$19)/$G1165</f>
        <v>7.5128000000000004</v>
      </c>
      <c r="AA1165" cm="1">
        <f t="array" ref="AA1165">MMULT($G1165:$R1165,'Nelson Factor_2019'!$B$1:$B$12)/$G1165</f>
        <v>7.4359999999999999</v>
      </c>
    </row>
    <row r="1166" spans="1:27" x14ac:dyDescent="0.25">
      <c r="A1166">
        <v>2014</v>
      </c>
      <c r="B1166">
        <v>3</v>
      </c>
      <c r="C1166">
        <v>0</v>
      </c>
      <c r="D1166" t="s">
        <v>256</v>
      </c>
      <c r="E1166" t="s">
        <v>238</v>
      </c>
      <c r="F1166" t="s">
        <v>30</v>
      </c>
      <c r="G1166">
        <v>20000</v>
      </c>
      <c r="H1166">
        <v>15000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0</v>
      </c>
      <c r="Y1166">
        <v>0</v>
      </c>
      <c r="Z1166" cm="1">
        <f t="array" ref="Z1166">MMULT($G1166:$Y1166,'Nelson Factor_2019'!$B$1:$B$19)/$G1166</f>
        <v>1.9750000000000001</v>
      </c>
      <c r="AA1166" cm="1">
        <f t="array" ref="AA1166">MMULT($G1166:$R1166,'Nelson Factor_2019'!$B$1:$B$12)/$G1166</f>
        <v>1.9750000000000001</v>
      </c>
    </row>
    <row r="1167" spans="1:27" x14ac:dyDescent="0.25">
      <c r="A1167">
        <v>2014</v>
      </c>
      <c r="B1167">
        <v>3</v>
      </c>
      <c r="C1167">
        <v>5</v>
      </c>
      <c r="D1167" t="s">
        <v>256</v>
      </c>
      <c r="E1167" t="s">
        <v>25</v>
      </c>
      <c r="F1167" t="s">
        <v>26</v>
      </c>
      <c r="G1167">
        <v>72000</v>
      </c>
      <c r="H1167">
        <v>15000</v>
      </c>
      <c r="I1167">
        <v>32000</v>
      </c>
      <c r="J1167">
        <v>0</v>
      </c>
      <c r="K1167">
        <v>0</v>
      </c>
      <c r="L1167">
        <v>23200</v>
      </c>
      <c r="M1167">
        <v>15000</v>
      </c>
      <c r="N1167">
        <v>42000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  <c r="U1167">
        <v>8</v>
      </c>
      <c r="V1167">
        <v>8</v>
      </c>
      <c r="W1167">
        <v>500</v>
      </c>
      <c r="X1167">
        <v>120</v>
      </c>
      <c r="Y1167">
        <v>14000</v>
      </c>
      <c r="Z1167" cm="1">
        <f t="array" ref="Z1167">MMULT($G1167:$Y1167,'Nelson Factor_2019'!$B$1:$B$19)/$G1167</f>
        <v>10.032166666666667</v>
      </c>
      <c r="AA1167" cm="1">
        <f t="array" ref="AA1167">MMULT($G1167:$R1167,'Nelson Factor_2019'!$B$1:$B$12)/$G1167</f>
        <v>9.3402777777777786</v>
      </c>
    </row>
    <row r="1168" spans="1:27" x14ac:dyDescent="0.25">
      <c r="A1168">
        <v>2014</v>
      </c>
      <c r="B1168">
        <v>3</v>
      </c>
      <c r="C1168">
        <v>2</v>
      </c>
      <c r="D1168" t="s">
        <v>256</v>
      </c>
      <c r="E1168" t="s">
        <v>27</v>
      </c>
      <c r="F1168" t="s">
        <v>28</v>
      </c>
      <c r="G1168">
        <v>85000</v>
      </c>
      <c r="H1168">
        <v>28000</v>
      </c>
      <c r="I1168">
        <v>0</v>
      </c>
      <c r="J1168">
        <v>0</v>
      </c>
      <c r="K1168">
        <v>0</v>
      </c>
      <c r="L1168">
        <v>22500</v>
      </c>
      <c r="M1168">
        <v>30000</v>
      </c>
      <c r="N1168">
        <v>43000</v>
      </c>
      <c r="O1168">
        <v>0</v>
      </c>
      <c r="P1168">
        <v>0</v>
      </c>
      <c r="Q1168">
        <v>0</v>
      </c>
      <c r="R1168">
        <v>7500</v>
      </c>
      <c r="S1168">
        <v>0</v>
      </c>
      <c r="T1168">
        <v>0</v>
      </c>
      <c r="U1168">
        <v>0</v>
      </c>
      <c r="V1168">
        <v>6</v>
      </c>
      <c r="W1168">
        <v>0</v>
      </c>
      <c r="X1168">
        <v>20</v>
      </c>
      <c r="Y1168">
        <v>0</v>
      </c>
      <c r="Z1168" cm="1">
        <f t="array" ref="Z1168">MMULT($G1168:$Y1168,'Nelson Factor_2019'!$B$1:$B$19)/$G1168</f>
        <v>7.1612470588235295</v>
      </c>
      <c r="AA1168" cm="1">
        <f t="array" ref="AA1168">MMULT($G1168:$R1168,'Nelson Factor_2019'!$B$1:$B$12)/$G1168</f>
        <v>7.104705882352941</v>
      </c>
    </row>
    <row r="1169" spans="1:27" x14ac:dyDescent="0.25">
      <c r="A1169">
        <v>2014</v>
      </c>
      <c r="B1169">
        <v>5</v>
      </c>
      <c r="C1169">
        <v>4</v>
      </c>
      <c r="D1169" t="s">
        <v>257</v>
      </c>
      <c r="E1169" t="s">
        <v>32</v>
      </c>
      <c r="F1169" t="s">
        <v>34</v>
      </c>
      <c r="G1169">
        <v>15000</v>
      </c>
      <c r="H1169">
        <v>0</v>
      </c>
      <c r="I1169">
        <v>15000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0</v>
      </c>
      <c r="X1169">
        <v>0</v>
      </c>
      <c r="Y1169">
        <v>0</v>
      </c>
      <c r="Z1169" cm="1">
        <f t="array" ref="Z1169">MMULT($G1169:$Y1169,'Nelson Factor_2019'!$B$1:$B$19)/$G1169</f>
        <v>8.5</v>
      </c>
      <c r="AA1169" cm="1">
        <f t="array" ref="AA1169">MMULT($G1169:$R1169,'Nelson Factor_2019'!$B$1:$B$12)/$G1169</f>
        <v>8.5</v>
      </c>
    </row>
    <row r="1170" spans="1:27" x14ac:dyDescent="0.25">
      <c r="A1170">
        <v>2014</v>
      </c>
      <c r="B1170">
        <v>5</v>
      </c>
      <c r="C1170">
        <v>4</v>
      </c>
      <c r="D1170" t="s">
        <v>257</v>
      </c>
      <c r="E1170" t="s">
        <v>51</v>
      </c>
      <c r="F1170" t="s">
        <v>33</v>
      </c>
      <c r="G1170">
        <v>14500</v>
      </c>
      <c r="H1170">
        <v>0</v>
      </c>
      <c r="I1170">
        <v>14500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0</v>
      </c>
      <c r="X1170">
        <v>0</v>
      </c>
      <c r="Y1170">
        <v>0</v>
      </c>
      <c r="Z1170" cm="1">
        <f t="array" ref="Z1170">MMULT($G1170:$Y1170,'Nelson Factor_2019'!$B$1:$B$19)/$G1170</f>
        <v>8.5</v>
      </c>
      <c r="AA1170" cm="1">
        <f t="array" ref="AA1170">MMULT($G1170:$R1170,'Nelson Factor_2019'!$B$1:$B$12)/$G1170</f>
        <v>8.5</v>
      </c>
    </row>
    <row r="1171" spans="1:27" x14ac:dyDescent="0.25">
      <c r="A1171">
        <v>2014</v>
      </c>
      <c r="B1171">
        <v>5</v>
      </c>
      <c r="C1171">
        <v>0</v>
      </c>
      <c r="D1171" t="s">
        <v>257</v>
      </c>
      <c r="E1171" t="s">
        <v>259</v>
      </c>
      <c r="F1171" t="s">
        <v>36</v>
      </c>
      <c r="G1171">
        <v>132050</v>
      </c>
      <c r="H1171">
        <v>5225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1350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0</v>
      </c>
      <c r="X1171">
        <v>0</v>
      </c>
      <c r="Y1171">
        <v>1800</v>
      </c>
      <c r="Z1171" cm="1">
        <f t="array" ref="Z1171">MMULT($G1171:$Y1171,'Nelson Factor_2019'!$B$1:$B$19)/$G1171</f>
        <v>1.2763536539189702</v>
      </c>
      <c r="AA1171" cm="1">
        <f t="array" ref="AA1171">MMULT($G1171:$R1171,'Nelson Factor_2019'!$B$1:$B$12)/$G1171</f>
        <v>1.2559068534645967</v>
      </c>
    </row>
    <row r="1172" spans="1:27" x14ac:dyDescent="0.25">
      <c r="A1172">
        <v>2014</v>
      </c>
      <c r="B1172">
        <v>5</v>
      </c>
      <c r="C1172">
        <v>0</v>
      </c>
      <c r="D1172" t="s">
        <v>257</v>
      </c>
      <c r="E1172" t="s">
        <v>37</v>
      </c>
      <c r="F1172" t="s">
        <v>36</v>
      </c>
      <c r="G1172">
        <v>17500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0</v>
      </c>
      <c r="X1172">
        <v>0</v>
      </c>
      <c r="Y1172">
        <v>0</v>
      </c>
      <c r="Z1172" cm="1">
        <f t="array" ref="Z1172">MMULT($G1172:$Y1172,'Nelson Factor_2019'!$B$1:$B$19)/$G1172</f>
        <v>1</v>
      </c>
      <c r="AA1172" cm="1">
        <f t="array" ref="AA1172">MMULT($G1172:$R1172,'Nelson Factor_2019'!$B$1:$B$12)/$G1172</f>
        <v>1</v>
      </c>
    </row>
    <row r="1173" spans="1:27" x14ac:dyDescent="0.25">
      <c r="A1173">
        <v>2014</v>
      </c>
      <c r="B1173">
        <v>5</v>
      </c>
      <c r="C1173">
        <v>0</v>
      </c>
      <c r="D1173" t="s">
        <v>257</v>
      </c>
      <c r="E1173" t="s">
        <v>37</v>
      </c>
      <c r="F1173" t="s">
        <v>38</v>
      </c>
      <c r="G1173">
        <v>48000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0</v>
      </c>
      <c r="X1173">
        <v>0</v>
      </c>
      <c r="Y1173">
        <v>0</v>
      </c>
      <c r="Z1173" cm="1">
        <f t="array" ref="Z1173">MMULT($G1173:$Y1173,'Nelson Factor_2019'!$B$1:$B$19)/$G1173</f>
        <v>1</v>
      </c>
      <c r="AA1173" cm="1">
        <f t="array" ref="AA1173">MMULT($G1173:$R1173,'Nelson Factor_2019'!$B$1:$B$12)/$G1173</f>
        <v>1</v>
      </c>
    </row>
    <row r="1174" spans="1:27" x14ac:dyDescent="0.25">
      <c r="A1174">
        <v>2014</v>
      </c>
      <c r="B1174">
        <v>5</v>
      </c>
      <c r="C1174">
        <v>2</v>
      </c>
      <c r="D1174" t="s">
        <v>257</v>
      </c>
      <c r="E1174" t="s">
        <v>239</v>
      </c>
      <c r="F1174" t="s">
        <v>40</v>
      </c>
      <c r="G1174">
        <v>72000</v>
      </c>
      <c r="H1174">
        <v>19000</v>
      </c>
      <c r="I1174">
        <v>0</v>
      </c>
      <c r="J1174">
        <v>0</v>
      </c>
      <c r="K1174">
        <v>0</v>
      </c>
      <c r="L1174">
        <v>12000</v>
      </c>
      <c r="M1174">
        <v>12500</v>
      </c>
      <c r="N1174">
        <v>12500</v>
      </c>
      <c r="O1174">
        <v>0</v>
      </c>
      <c r="P1174">
        <v>0</v>
      </c>
      <c r="Q1174">
        <v>0</v>
      </c>
      <c r="R1174">
        <v>4000</v>
      </c>
      <c r="S1174">
        <v>0</v>
      </c>
      <c r="T1174">
        <v>0</v>
      </c>
      <c r="U1174">
        <v>13</v>
      </c>
      <c r="V1174">
        <v>0</v>
      </c>
      <c r="W1174">
        <v>0</v>
      </c>
      <c r="X1174">
        <v>19</v>
      </c>
      <c r="Y1174">
        <v>1000</v>
      </c>
      <c r="Z1174" cm="1">
        <f t="array" ref="Z1174">MMULT($G1174:$Y1174,'Nelson Factor_2019'!$B$1:$B$19)/$G1174</f>
        <v>4.2503194444444441</v>
      </c>
      <c r="AA1174" cm="1">
        <f t="array" ref="AA1174">MMULT($G1174:$R1174,'Nelson Factor_2019'!$B$1:$B$12)/$G1174</f>
        <v>4.165972222222222</v>
      </c>
    </row>
    <row r="1175" spans="1:27" x14ac:dyDescent="0.25">
      <c r="A1175">
        <v>2014</v>
      </c>
      <c r="B1175">
        <v>3</v>
      </c>
      <c r="C1175">
        <v>0</v>
      </c>
      <c r="D1175" t="s">
        <v>260</v>
      </c>
      <c r="E1175" t="s">
        <v>42</v>
      </c>
      <c r="F1175" t="s">
        <v>43</v>
      </c>
      <c r="G1175">
        <v>7000</v>
      </c>
      <c r="H1175">
        <v>3000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4500</v>
      </c>
      <c r="O1175">
        <v>0</v>
      </c>
      <c r="P1175">
        <v>0</v>
      </c>
      <c r="Q1175">
        <v>0</v>
      </c>
      <c r="R1175">
        <v>0</v>
      </c>
      <c r="S1175">
        <v>4500</v>
      </c>
      <c r="T1175">
        <v>0</v>
      </c>
      <c r="U1175">
        <v>2.5</v>
      </c>
      <c r="V1175">
        <v>0</v>
      </c>
      <c r="W1175">
        <v>0</v>
      </c>
      <c r="X1175">
        <v>0</v>
      </c>
      <c r="Y1175">
        <v>1500</v>
      </c>
      <c r="Z1175" cm="1">
        <f t="array" ref="Z1175">MMULT($G1175:$Y1175,'Nelson Factor_2019'!$B$1:$B$19)/$G1175</f>
        <v>42.057499999999997</v>
      </c>
      <c r="AA1175" cm="1">
        <f t="array" ref="AA1175">MMULT($G1175:$R1175,'Nelson Factor_2019'!$B$1:$B$12)/$G1175</f>
        <v>3.1642857142857141</v>
      </c>
    </row>
    <row r="1176" spans="1:27" x14ac:dyDescent="0.25">
      <c r="A1176">
        <v>2014</v>
      </c>
      <c r="B1176">
        <v>3</v>
      </c>
      <c r="C1176">
        <v>4</v>
      </c>
      <c r="D1176" t="s">
        <v>260</v>
      </c>
      <c r="E1176" t="s">
        <v>44</v>
      </c>
      <c r="F1176" t="s">
        <v>45</v>
      </c>
      <c r="G1176">
        <v>140000</v>
      </c>
      <c r="H1176">
        <v>64000</v>
      </c>
      <c r="I1176">
        <v>19000</v>
      </c>
      <c r="J1176">
        <v>0</v>
      </c>
      <c r="K1176">
        <v>42000</v>
      </c>
      <c r="L1176">
        <v>31000</v>
      </c>
      <c r="M1176">
        <v>0</v>
      </c>
      <c r="N1176">
        <v>162000</v>
      </c>
      <c r="O1176">
        <v>13500</v>
      </c>
      <c r="P1176">
        <v>0</v>
      </c>
      <c r="Q1176">
        <v>2200</v>
      </c>
      <c r="R1176">
        <v>14000</v>
      </c>
      <c r="S1176">
        <v>0</v>
      </c>
      <c r="T1176">
        <v>0</v>
      </c>
      <c r="U1176">
        <v>39</v>
      </c>
      <c r="V1176">
        <v>22</v>
      </c>
      <c r="W1176">
        <v>0</v>
      </c>
      <c r="X1176">
        <v>285</v>
      </c>
      <c r="Y1176">
        <v>0</v>
      </c>
      <c r="Z1176" cm="1">
        <f t="array" ref="Z1176">MMULT($G1176:$Y1176,'Nelson Factor_2019'!$B$1:$B$19)/$G1176</f>
        <v>10.479721428571429</v>
      </c>
      <c r="AA1176" cm="1">
        <f t="array" ref="AA1176">MMULT($G1176:$R1176,'Nelson Factor_2019'!$B$1:$B$12)/$G1176</f>
        <v>9.9907142857142865</v>
      </c>
    </row>
    <row r="1177" spans="1:27" x14ac:dyDescent="0.25">
      <c r="A1177">
        <v>2014</v>
      </c>
      <c r="B1177">
        <v>5</v>
      </c>
      <c r="C1177">
        <v>0</v>
      </c>
      <c r="D1177" t="s">
        <v>261</v>
      </c>
      <c r="E1177" t="s">
        <v>176</v>
      </c>
      <c r="F1177" t="s">
        <v>230</v>
      </c>
      <c r="G1177">
        <v>88000</v>
      </c>
      <c r="H1177">
        <v>59800</v>
      </c>
      <c r="I1177">
        <v>0</v>
      </c>
      <c r="J1177">
        <v>0</v>
      </c>
      <c r="K1177">
        <v>0</v>
      </c>
      <c r="L1177">
        <v>11600</v>
      </c>
      <c r="M1177">
        <v>0</v>
      </c>
      <c r="N1177">
        <v>35250</v>
      </c>
      <c r="O1177">
        <v>0</v>
      </c>
      <c r="P1177">
        <v>0</v>
      </c>
      <c r="Q1177">
        <v>0</v>
      </c>
      <c r="R1177">
        <v>3750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40</v>
      </c>
      <c r="Y1177">
        <v>35000</v>
      </c>
      <c r="Z1177" cm="1">
        <f t="array" ref="Z1177">MMULT($G1177:$Y1177,'Nelson Factor_2019'!$B$1:$B$19)/$G1177</f>
        <v>4.3774431818181823</v>
      </c>
      <c r="AA1177" cm="1">
        <f t="array" ref="AA1177">MMULT($G1177:$R1177,'Nelson Factor_2019'!$B$1:$B$12)/$G1177</f>
        <v>3.6717613636363637</v>
      </c>
    </row>
    <row r="1178" spans="1:27" x14ac:dyDescent="0.25">
      <c r="A1178">
        <v>2014</v>
      </c>
      <c r="B1178">
        <v>5</v>
      </c>
      <c r="C1178">
        <v>6</v>
      </c>
      <c r="D1178" t="s">
        <v>261</v>
      </c>
      <c r="E1178" t="s">
        <v>239</v>
      </c>
      <c r="F1178" t="s">
        <v>47</v>
      </c>
      <c r="G1178">
        <v>252700</v>
      </c>
      <c r="H1178">
        <v>133000</v>
      </c>
      <c r="I1178">
        <v>60390</v>
      </c>
      <c r="J1178">
        <v>0</v>
      </c>
      <c r="K1178">
        <v>91800</v>
      </c>
      <c r="L1178">
        <v>47700</v>
      </c>
      <c r="M1178">
        <v>45000</v>
      </c>
      <c r="N1178">
        <v>216900</v>
      </c>
      <c r="O1178">
        <v>15300</v>
      </c>
      <c r="P1178">
        <v>0</v>
      </c>
      <c r="Q1178">
        <v>0</v>
      </c>
      <c r="R1178">
        <v>28192.5</v>
      </c>
      <c r="S1178">
        <v>0</v>
      </c>
      <c r="T1178">
        <v>0</v>
      </c>
      <c r="U1178">
        <v>105</v>
      </c>
      <c r="V1178">
        <v>28</v>
      </c>
      <c r="W1178">
        <v>2108</v>
      </c>
      <c r="X1178">
        <v>449</v>
      </c>
      <c r="Y1178">
        <v>0</v>
      </c>
      <c r="Z1178" cm="1">
        <f t="array" ref="Z1178">MMULT($G1178:$Y1178,'Nelson Factor_2019'!$B$1:$B$19)/$G1178</f>
        <v>11.537576177285318</v>
      </c>
      <c r="AA1178" cm="1">
        <f t="array" ref="AA1178">MMULT($G1178:$R1178,'Nelson Factor_2019'!$B$1:$B$12)/$G1178</f>
        <v>11.110615354174911</v>
      </c>
    </row>
    <row r="1179" spans="1:27" x14ac:dyDescent="0.25">
      <c r="A1179">
        <v>2014</v>
      </c>
      <c r="B1179">
        <v>5</v>
      </c>
      <c r="C1179">
        <v>6</v>
      </c>
      <c r="D1179" t="s">
        <v>261</v>
      </c>
      <c r="E1179" t="s">
        <v>227</v>
      </c>
      <c r="F1179" t="s">
        <v>49</v>
      </c>
      <c r="G1179">
        <v>269000</v>
      </c>
      <c r="H1179">
        <v>161000</v>
      </c>
      <c r="I1179">
        <v>67500</v>
      </c>
      <c r="J1179">
        <v>0</v>
      </c>
      <c r="K1179">
        <v>65000</v>
      </c>
      <c r="L1179">
        <v>44000</v>
      </c>
      <c r="M1179">
        <v>46000</v>
      </c>
      <c r="N1179">
        <v>201000</v>
      </c>
      <c r="O1179">
        <v>30000</v>
      </c>
      <c r="P1179">
        <v>0</v>
      </c>
      <c r="Q1179">
        <v>0</v>
      </c>
      <c r="R1179">
        <v>27000</v>
      </c>
      <c r="S1179">
        <v>0</v>
      </c>
      <c r="T1179">
        <v>0</v>
      </c>
      <c r="U1179">
        <v>69.3</v>
      </c>
      <c r="V1179">
        <v>0</v>
      </c>
      <c r="W1179">
        <v>4064</v>
      </c>
      <c r="X1179">
        <v>775</v>
      </c>
      <c r="Y1179">
        <v>0</v>
      </c>
      <c r="Z1179" cm="1">
        <f t="array" ref="Z1179">MMULT($G1179:$Y1179,'Nelson Factor_2019'!$B$1:$B$19)/$G1179</f>
        <v>11.271818959107806</v>
      </c>
      <c r="AA1179" cm="1">
        <f t="array" ref="AA1179">MMULT($G1179:$R1179,'Nelson Factor_2019'!$B$1:$B$12)/$G1179</f>
        <v>10.580111524163568</v>
      </c>
    </row>
    <row r="1180" spans="1:27" x14ac:dyDescent="0.25">
      <c r="A1180">
        <v>2014</v>
      </c>
      <c r="B1180">
        <v>5</v>
      </c>
      <c r="C1180">
        <v>3</v>
      </c>
      <c r="D1180" t="s">
        <v>261</v>
      </c>
      <c r="E1180" t="s">
        <v>227</v>
      </c>
      <c r="F1180" t="s">
        <v>50</v>
      </c>
      <c r="G1180">
        <v>257000</v>
      </c>
      <c r="H1180">
        <v>110000</v>
      </c>
      <c r="I1180">
        <v>0</v>
      </c>
      <c r="J1180">
        <v>0</v>
      </c>
      <c r="K1180">
        <v>80000</v>
      </c>
      <c r="L1180">
        <v>69000</v>
      </c>
      <c r="M1180">
        <v>151000</v>
      </c>
      <c r="N1180">
        <v>197340</v>
      </c>
      <c r="O1180">
        <v>24000</v>
      </c>
      <c r="P1180">
        <v>3700</v>
      </c>
      <c r="Q1180">
        <v>0</v>
      </c>
      <c r="R1180">
        <v>36600</v>
      </c>
      <c r="S1180">
        <v>16000</v>
      </c>
      <c r="T1180">
        <v>0</v>
      </c>
      <c r="U1180">
        <v>150</v>
      </c>
      <c r="V1180">
        <v>20</v>
      </c>
      <c r="W1180">
        <v>0</v>
      </c>
      <c r="X1180">
        <v>600</v>
      </c>
      <c r="Y1180">
        <v>0</v>
      </c>
      <c r="Z1180" cm="1">
        <f t="array" ref="Z1180">MMULT($G1180:$Y1180,'Nelson Factor_2019'!$B$1:$B$19)/$G1180</f>
        <v>17.188015564202335</v>
      </c>
      <c r="AA1180" cm="1">
        <f t="array" ref="AA1180">MMULT($G1180:$R1180,'Nelson Factor_2019'!$B$1:$B$12)/$G1180</f>
        <v>12.891634241245136</v>
      </c>
    </row>
    <row r="1181" spans="1:27" x14ac:dyDescent="0.25">
      <c r="A1181">
        <v>2014</v>
      </c>
      <c r="B1181">
        <v>5</v>
      </c>
      <c r="C1181">
        <v>6</v>
      </c>
      <c r="D1181" t="s">
        <v>261</v>
      </c>
      <c r="E1181" t="s">
        <v>258</v>
      </c>
      <c r="F1181" t="s">
        <v>52</v>
      </c>
      <c r="G1181">
        <v>138700</v>
      </c>
      <c r="H1181">
        <v>78000</v>
      </c>
      <c r="I1181">
        <v>48150</v>
      </c>
      <c r="J1181">
        <v>0</v>
      </c>
      <c r="K1181">
        <v>45000</v>
      </c>
      <c r="L1181">
        <v>34000</v>
      </c>
      <c r="M1181">
        <v>24750</v>
      </c>
      <c r="N1181">
        <v>140900</v>
      </c>
      <c r="O1181">
        <v>14400</v>
      </c>
      <c r="P1181">
        <v>0</v>
      </c>
      <c r="Q1181">
        <v>0</v>
      </c>
      <c r="R1181">
        <v>20750</v>
      </c>
      <c r="S1181">
        <v>0</v>
      </c>
      <c r="T1181">
        <v>0</v>
      </c>
      <c r="U1181">
        <v>100</v>
      </c>
      <c r="V1181">
        <v>0</v>
      </c>
      <c r="W1181">
        <v>2000</v>
      </c>
      <c r="X1181">
        <v>340</v>
      </c>
      <c r="Y1181">
        <v>0</v>
      </c>
      <c r="Z1181" cm="1">
        <f t="array" ref="Z1181">MMULT($G1181:$Y1181,'Nelson Factor_2019'!$B$1:$B$19)/$G1181</f>
        <v>13.55028839221341</v>
      </c>
      <c r="AA1181" cm="1">
        <f t="array" ref="AA1181">MMULT($G1181:$R1181,'Nelson Factor_2019'!$B$1:$B$12)/$G1181</f>
        <v>12.961247296323</v>
      </c>
    </row>
    <row r="1182" spans="1:27" x14ac:dyDescent="0.25">
      <c r="A1182">
        <v>2014</v>
      </c>
      <c r="B1182">
        <v>5</v>
      </c>
      <c r="C1182">
        <v>5</v>
      </c>
      <c r="D1182" t="s">
        <v>261</v>
      </c>
      <c r="E1182" t="s">
        <v>258</v>
      </c>
      <c r="F1182" t="s">
        <v>262</v>
      </c>
      <c r="G1182">
        <v>120000</v>
      </c>
      <c r="H1182">
        <v>87000</v>
      </c>
      <c r="I1182">
        <v>48000</v>
      </c>
      <c r="J1182">
        <v>0</v>
      </c>
      <c r="K1182">
        <v>0</v>
      </c>
      <c r="L1182">
        <v>31000</v>
      </c>
      <c r="M1182">
        <v>59000</v>
      </c>
      <c r="N1182">
        <v>76000</v>
      </c>
      <c r="O1182">
        <v>0</v>
      </c>
      <c r="P1182">
        <v>0</v>
      </c>
      <c r="Q1182">
        <v>0</v>
      </c>
      <c r="R1182">
        <v>9000</v>
      </c>
      <c r="S1182">
        <v>0</v>
      </c>
      <c r="T1182">
        <v>0</v>
      </c>
      <c r="U1182">
        <v>130</v>
      </c>
      <c r="V1182">
        <v>3</v>
      </c>
      <c r="W1182">
        <v>2500</v>
      </c>
      <c r="X1182">
        <v>530</v>
      </c>
      <c r="Y1182">
        <v>0</v>
      </c>
      <c r="Z1182" cm="1">
        <f t="array" ref="Z1182">MMULT($G1182:$Y1182,'Nelson Factor_2019'!$B$1:$B$19)/$G1182</f>
        <v>13.036941666666667</v>
      </c>
      <c r="AA1182" cm="1">
        <f t="array" ref="AA1182">MMULT($G1182:$R1182,'Nelson Factor_2019'!$B$1:$B$12)/$G1182</f>
        <v>11.975833333333334</v>
      </c>
    </row>
    <row r="1183" spans="1:27" x14ac:dyDescent="0.25">
      <c r="A1183">
        <v>2014</v>
      </c>
      <c r="B1183">
        <v>5</v>
      </c>
      <c r="C1183">
        <v>6</v>
      </c>
      <c r="D1183" t="s">
        <v>261</v>
      </c>
      <c r="E1183" t="s">
        <v>54</v>
      </c>
      <c r="F1183" t="s">
        <v>55</v>
      </c>
      <c r="G1183">
        <v>149500</v>
      </c>
      <c r="H1183">
        <v>98000</v>
      </c>
      <c r="I1183">
        <v>50500</v>
      </c>
      <c r="J1183">
        <v>0</v>
      </c>
      <c r="K1183">
        <v>83500</v>
      </c>
      <c r="L1183">
        <v>17000</v>
      </c>
      <c r="M1183">
        <v>21000</v>
      </c>
      <c r="N1183">
        <v>143500</v>
      </c>
      <c r="O1183">
        <v>24500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142</v>
      </c>
      <c r="V1183">
        <v>14</v>
      </c>
      <c r="W1183">
        <v>3050</v>
      </c>
      <c r="X1183">
        <v>380</v>
      </c>
      <c r="Y1183">
        <v>0</v>
      </c>
      <c r="Z1183" cm="1">
        <f t="array" ref="Z1183">MMULT($G1183:$Y1183,'Nelson Factor_2019'!$B$1:$B$19)/$G1183</f>
        <v>14.078635451505017</v>
      </c>
      <c r="AA1183" cm="1">
        <f t="array" ref="AA1183">MMULT($G1183:$R1183,'Nelson Factor_2019'!$B$1:$B$12)/$G1183</f>
        <v>13.467558528428095</v>
      </c>
    </row>
    <row r="1184" spans="1:27" x14ac:dyDescent="0.25">
      <c r="A1184">
        <v>2014</v>
      </c>
      <c r="B1184">
        <v>5</v>
      </c>
      <c r="C1184">
        <v>0</v>
      </c>
      <c r="D1184" t="s">
        <v>261</v>
      </c>
      <c r="E1184" t="s">
        <v>56</v>
      </c>
      <c r="F1184" t="s">
        <v>57</v>
      </c>
      <c r="G1184">
        <v>25000</v>
      </c>
      <c r="H1184">
        <v>0</v>
      </c>
      <c r="I1184">
        <v>0</v>
      </c>
      <c r="J1184">
        <v>0</v>
      </c>
      <c r="K1184">
        <v>0</v>
      </c>
      <c r="L1184">
        <v>3000</v>
      </c>
      <c r="M1184">
        <v>0</v>
      </c>
      <c r="N1184">
        <v>17800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  <c r="X1184">
        <v>4.5</v>
      </c>
      <c r="Y1184">
        <v>0</v>
      </c>
      <c r="Z1184" cm="1">
        <f t="array" ref="Z1184">MMULT($G1184:$Y1184,'Nelson Factor_2019'!$B$1:$B$19)/$G1184</f>
        <v>3.4232</v>
      </c>
      <c r="AA1184" cm="1">
        <f t="array" ref="AA1184">MMULT($G1184:$R1184,'Nelson Factor_2019'!$B$1:$B$12)/$G1184</f>
        <v>3.38</v>
      </c>
    </row>
    <row r="1185" spans="1:27" x14ac:dyDescent="0.25">
      <c r="A1185">
        <v>2014</v>
      </c>
      <c r="B1185">
        <v>5</v>
      </c>
      <c r="C1185">
        <v>0</v>
      </c>
      <c r="D1185" t="s">
        <v>261</v>
      </c>
      <c r="E1185" t="s">
        <v>60</v>
      </c>
      <c r="F1185" t="s">
        <v>57</v>
      </c>
      <c r="G1185">
        <v>24300</v>
      </c>
      <c r="H1185">
        <v>14000</v>
      </c>
      <c r="I1185">
        <v>0</v>
      </c>
      <c r="J1185">
        <v>10000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4000</v>
      </c>
      <c r="T1185">
        <v>0</v>
      </c>
      <c r="U1185">
        <v>4.2</v>
      </c>
      <c r="V1185">
        <v>0</v>
      </c>
      <c r="W1185">
        <v>0</v>
      </c>
      <c r="X1185">
        <v>6</v>
      </c>
      <c r="Y1185">
        <v>6500</v>
      </c>
      <c r="Z1185" cm="1">
        <f t="array" ref="Z1185">MMULT($G1185:$Y1185,'Nelson Factor_2019'!$B$1:$B$19)/$G1185</f>
        <v>13.217868312757203</v>
      </c>
      <c r="AA1185" cm="1">
        <f t="array" ref="AA1185">MMULT($G1185:$R1185,'Nelson Factor_2019'!$B$1:$B$12)/$G1185</f>
        <v>2.880658436213992</v>
      </c>
    </row>
    <row r="1186" spans="1:27" x14ac:dyDescent="0.25">
      <c r="A1186">
        <v>2014</v>
      </c>
      <c r="B1186">
        <v>5</v>
      </c>
      <c r="C1186">
        <v>6</v>
      </c>
      <c r="D1186" t="s">
        <v>261</v>
      </c>
      <c r="E1186" t="s">
        <v>61</v>
      </c>
      <c r="F1186" t="s">
        <v>62</v>
      </c>
      <c r="G1186">
        <v>145000</v>
      </c>
      <c r="H1186">
        <v>91100</v>
      </c>
      <c r="I1186">
        <v>46500</v>
      </c>
      <c r="J1186">
        <v>0</v>
      </c>
      <c r="K1186">
        <v>68870</v>
      </c>
      <c r="L1186">
        <v>29400</v>
      </c>
      <c r="M1186">
        <v>37900</v>
      </c>
      <c r="N1186">
        <v>117950</v>
      </c>
      <c r="O1186">
        <v>11000</v>
      </c>
      <c r="P1186">
        <v>2470</v>
      </c>
      <c r="Q1186">
        <v>0</v>
      </c>
      <c r="R1186">
        <v>15000</v>
      </c>
      <c r="S1186">
        <v>0</v>
      </c>
      <c r="T1186">
        <v>0</v>
      </c>
      <c r="U1186">
        <v>101</v>
      </c>
      <c r="V1186">
        <v>0</v>
      </c>
      <c r="W1186">
        <v>1150</v>
      </c>
      <c r="X1186">
        <v>360</v>
      </c>
      <c r="Y1186">
        <v>15000</v>
      </c>
      <c r="Z1186" cm="1">
        <f t="array" ref="Z1186">MMULT($G1186:$Y1186,'Nelson Factor_2019'!$B$1:$B$19)/$G1186</f>
        <v>14.201213793103449</v>
      </c>
      <c r="AA1186" cm="1">
        <f t="array" ref="AA1186">MMULT($G1186:$R1186,'Nelson Factor_2019'!$B$1:$B$12)/$G1186</f>
        <v>13.44948275862069</v>
      </c>
    </row>
    <row r="1187" spans="1:27" x14ac:dyDescent="0.25">
      <c r="A1187">
        <v>2014</v>
      </c>
      <c r="B1187">
        <v>5</v>
      </c>
      <c r="C1187">
        <v>6</v>
      </c>
      <c r="D1187" t="s">
        <v>261</v>
      </c>
      <c r="E1187" t="s">
        <v>239</v>
      </c>
      <c r="F1187" t="s">
        <v>63</v>
      </c>
      <c r="G1187">
        <v>100000</v>
      </c>
      <c r="H1187">
        <v>62000</v>
      </c>
      <c r="I1187">
        <v>40000</v>
      </c>
      <c r="J1187">
        <v>0</v>
      </c>
      <c r="K1187">
        <v>36000</v>
      </c>
      <c r="L1187">
        <v>32500</v>
      </c>
      <c r="M1187">
        <v>32000</v>
      </c>
      <c r="N1187">
        <v>101250</v>
      </c>
      <c r="O1187">
        <v>12000</v>
      </c>
      <c r="P1187">
        <v>0</v>
      </c>
      <c r="Q1187">
        <v>0</v>
      </c>
      <c r="R1187">
        <v>8000</v>
      </c>
      <c r="S1187">
        <v>0</v>
      </c>
      <c r="T1187">
        <v>0</v>
      </c>
      <c r="U1187">
        <v>55</v>
      </c>
      <c r="V1187">
        <v>55</v>
      </c>
      <c r="W1187">
        <v>1615</v>
      </c>
      <c r="X1187">
        <v>265</v>
      </c>
      <c r="Y1187">
        <v>0</v>
      </c>
      <c r="Z1187" cm="1">
        <f t="array" ref="Z1187">MMULT($G1187:$Y1187,'Nelson Factor_2019'!$B$1:$B$19)/$G1187</f>
        <v>15.75935</v>
      </c>
      <c r="AA1187" cm="1">
        <f t="array" ref="AA1187">MMULT($G1187:$R1187,'Nelson Factor_2019'!$B$1:$B$12)/$G1187</f>
        <v>15.122249999999999</v>
      </c>
    </row>
    <row r="1188" spans="1:27" x14ac:dyDescent="0.25">
      <c r="A1188">
        <v>2014</v>
      </c>
      <c r="B1188">
        <v>5</v>
      </c>
      <c r="C1188">
        <v>6</v>
      </c>
      <c r="D1188" t="s">
        <v>261</v>
      </c>
      <c r="E1188" t="s">
        <v>239</v>
      </c>
      <c r="F1188" t="s">
        <v>65</v>
      </c>
      <c r="G1188">
        <v>161000</v>
      </c>
      <c r="H1188">
        <v>144000</v>
      </c>
      <c r="I1188">
        <v>42000</v>
      </c>
      <c r="J1188">
        <v>0</v>
      </c>
      <c r="K1188">
        <v>66500</v>
      </c>
      <c r="L1188">
        <v>42000</v>
      </c>
      <c r="M1188">
        <v>32000</v>
      </c>
      <c r="N1188">
        <v>172500</v>
      </c>
      <c r="O1188">
        <v>14000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105</v>
      </c>
      <c r="V1188">
        <v>0</v>
      </c>
      <c r="W1188">
        <v>1500</v>
      </c>
      <c r="X1188">
        <v>140</v>
      </c>
      <c r="Y1188">
        <v>0</v>
      </c>
      <c r="Z1188" cm="1">
        <f t="array" ref="Z1188">MMULT($G1188:$Y1188,'Nelson Factor_2019'!$B$1:$B$19)/$G1188</f>
        <v>13.249409937888199</v>
      </c>
      <c r="AA1188" cm="1">
        <f t="array" ref="AA1188">MMULT($G1188:$R1188,'Nelson Factor_2019'!$B$1:$B$12)/$G1188</f>
        <v>13.040062111801243</v>
      </c>
    </row>
    <row r="1189" spans="1:27" x14ac:dyDescent="0.25">
      <c r="A1189">
        <v>2014</v>
      </c>
      <c r="B1189">
        <v>5</v>
      </c>
      <c r="C1189">
        <v>6</v>
      </c>
      <c r="D1189" t="s">
        <v>261</v>
      </c>
      <c r="E1189" t="s">
        <v>66</v>
      </c>
      <c r="F1189" t="s">
        <v>67</v>
      </c>
      <c r="G1189">
        <v>170000</v>
      </c>
      <c r="H1189">
        <v>78500</v>
      </c>
      <c r="I1189">
        <v>28000</v>
      </c>
      <c r="J1189">
        <v>0</v>
      </c>
      <c r="K1189">
        <v>69000</v>
      </c>
      <c r="L1189">
        <v>36000</v>
      </c>
      <c r="M1189">
        <v>36000</v>
      </c>
      <c r="N1189">
        <v>146000</v>
      </c>
      <c r="O1189">
        <v>17100</v>
      </c>
      <c r="P1189">
        <v>2900</v>
      </c>
      <c r="Q1189">
        <v>0</v>
      </c>
      <c r="R1189">
        <v>0</v>
      </c>
      <c r="S1189">
        <v>0</v>
      </c>
      <c r="T1189">
        <v>0</v>
      </c>
      <c r="U1189">
        <v>131.5</v>
      </c>
      <c r="V1189">
        <v>0</v>
      </c>
      <c r="W1189">
        <v>1080</v>
      </c>
      <c r="X1189">
        <v>275</v>
      </c>
      <c r="Y1189">
        <v>5000</v>
      </c>
      <c r="Z1189" cm="1">
        <f t="array" ref="Z1189">MMULT($G1189:$Y1189,'Nelson Factor_2019'!$B$1:$B$19)/$G1189</f>
        <v>11.780479411764706</v>
      </c>
      <c r="AA1189" cm="1">
        <f t="array" ref="AA1189">MMULT($G1189:$R1189,'Nelson Factor_2019'!$B$1:$B$12)/$G1189</f>
        <v>11.347352941176471</v>
      </c>
    </row>
    <row r="1190" spans="1:27" x14ac:dyDescent="0.25">
      <c r="A1190">
        <v>2014</v>
      </c>
      <c r="B1190">
        <v>5</v>
      </c>
      <c r="C1190">
        <v>4</v>
      </c>
      <c r="D1190" t="s">
        <v>261</v>
      </c>
      <c r="E1190" t="s">
        <v>66</v>
      </c>
      <c r="F1190" t="s">
        <v>63</v>
      </c>
      <c r="G1190">
        <v>135000</v>
      </c>
      <c r="H1190">
        <v>46000</v>
      </c>
      <c r="I1190">
        <v>28000</v>
      </c>
      <c r="J1190">
        <v>0</v>
      </c>
      <c r="K1190">
        <v>54000</v>
      </c>
      <c r="L1190">
        <v>17500</v>
      </c>
      <c r="M1190">
        <v>0</v>
      </c>
      <c r="N1190">
        <v>139500</v>
      </c>
      <c r="O1190">
        <v>14500</v>
      </c>
      <c r="P1190">
        <v>0</v>
      </c>
      <c r="Q1190">
        <v>0</v>
      </c>
      <c r="R1190">
        <v>10200</v>
      </c>
      <c r="S1190">
        <v>0</v>
      </c>
      <c r="T1190">
        <v>0</v>
      </c>
      <c r="U1190">
        <v>50</v>
      </c>
      <c r="V1190">
        <v>0</v>
      </c>
      <c r="W1190">
        <v>1700</v>
      </c>
      <c r="X1190">
        <v>250</v>
      </c>
      <c r="Y1190">
        <v>0</v>
      </c>
      <c r="Z1190" cm="1">
        <f t="array" ref="Z1190">MMULT($G1190:$Y1190,'Nelson Factor_2019'!$B$1:$B$19)/$G1190</f>
        <v>10.375555555555556</v>
      </c>
      <c r="AA1190" cm="1">
        <f t="array" ref="AA1190">MMULT($G1190:$R1190,'Nelson Factor_2019'!$B$1:$B$12)/$G1190</f>
        <v>9.93074074074074</v>
      </c>
    </row>
    <row r="1191" spans="1:27" x14ac:dyDescent="0.25">
      <c r="A1191">
        <v>2014</v>
      </c>
      <c r="B1191">
        <v>4</v>
      </c>
      <c r="C1191">
        <v>1</v>
      </c>
      <c r="D1191" t="s">
        <v>263</v>
      </c>
      <c r="E1191" t="s">
        <v>264</v>
      </c>
      <c r="F1191" t="s">
        <v>70</v>
      </c>
      <c r="G1191">
        <v>98000</v>
      </c>
      <c r="H1191">
        <v>34200</v>
      </c>
      <c r="I1191">
        <v>0</v>
      </c>
      <c r="J1191">
        <v>0</v>
      </c>
      <c r="K1191">
        <v>30225</v>
      </c>
      <c r="L1191">
        <v>21900</v>
      </c>
      <c r="M1191">
        <v>0</v>
      </c>
      <c r="N1191">
        <v>87800</v>
      </c>
      <c r="O1191">
        <v>0</v>
      </c>
      <c r="P1191">
        <v>3540</v>
      </c>
      <c r="Q1191">
        <v>0</v>
      </c>
      <c r="R1191">
        <v>0</v>
      </c>
      <c r="S1191">
        <v>0</v>
      </c>
      <c r="T1191">
        <v>0</v>
      </c>
      <c r="U1191">
        <v>26</v>
      </c>
      <c r="V1191">
        <v>0</v>
      </c>
      <c r="W1191">
        <v>0</v>
      </c>
      <c r="X1191">
        <v>94</v>
      </c>
      <c r="Y1191">
        <v>10500</v>
      </c>
      <c r="Z1191" cm="1">
        <f t="array" ref="Z1191">MMULT($G1191:$Y1191,'Nelson Factor_2019'!$B$1:$B$19)/$G1191</f>
        <v>7.4137346938775508</v>
      </c>
      <c r="AA1191" cm="1">
        <f t="array" ref="AA1191">MMULT($G1191:$R1191,'Nelson Factor_2019'!$B$1:$B$12)/$G1191</f>
        <v>7.0225510204081631</v>
      </c>
    </row>
    <row r="1192" spans="1:27" x14ac:dyDescent="0.25">
      <c r="A1192">
        <v>2014</v>
      </c>
      <c r="B1192">
        <v>1</v>
      </c>
      <c r="C1192">
        <v>3</v>
      </c>
      <c r="D1192" t="s">
        <v>265</v>
      </c>
      <c r="E1192" t="s">
        <v>245</v>
      </c>
      <c r="F1192" t="s">
        <v>74</v>
      </c>
      <c r="G1192">
        <v>190000</v>
      </c>
      <c r="H1192">
        <v>102000</v>
      </c>
      <c r="I1192">
        <v>0</v>
      </c>
      <c r="J1192">
        <v>0</v>
      </c>
      <c r="K1192">
        <v>82000</v>
      </c>
      <c r="L1192">
        <v>43000</v>
      </c>
      <c r="M1192">
        <v>18000</v>
      </c>
      <c r="N1192">
        <v>130000</v>
      </c>
      <c r="O1192">
        <v>11000</v>
      </c>
      <c r="P1192">
        <v>5040</v>
      </c>
      <c r="Q1192">
        <v>1260</v>
      </c>
      <c r="R1192">
        <v>6000</v>
      </c>
      <c r="S1192">
        <v>0</v>
      </c>
      <c r="T1192">
        <v>0</v>
      </c>
      <c r="U1192">
        <v>40</v>
      </c>
      <c r="V1192">
        <v>22</v>
      </c>
      <c r="W1192">
        <v>2200</v>
      </c>
      <c r="X1192">
        <v>532</v>
      </c>
      <c r="Y1192">
        <v>0</v>
      </c>
      <c r="Z1192" cm="1">
        <f t="array" ref="Z1192">MMULT($G1192:$Y1192,'Nelson Factor_2019'!$B$1:$B$19)/$G1192</f>
        <v>9.6312736842105267</v>
      </c>
      <c r="AA1192" cm="1">
        <f t="array" ref="AA1192">MMULT($G1192:$R1192,'Nelson Factor_2019'!$B$1:$B$12)/$G1192</f>
        <v>8.9589473684210521</v>
      </c>
    </row>
    <row r="1193" spans="1:27" x14ac:dyDescent="0.25">
      <c r="A1193">
        <v>2014</v>
      </c>
      <c r="B1193">
        <v>5</v>
      </c>
      <c r="C1193">
        <v>1</v>
      </c>
      <c r="D1193" t="s">
        <v>266</v>
      </c>
      <c r="E1193" t="s">
        <v>295</v>
      </c>
      <c r="F1193" t="s">
        <v>76</v>
      </c>
      <c r="G1193">
        <v>54000</v>
      </c>
      <c r="H1193">
        <v>30000</v>
      </c>
      <c r="I1193">
        <v>0</v>
      </c>
      <c r="J1193">
        <v>0</v>
      </c>
      <c r="K1193">
        <v>21000</v>
      </c>
      <c r="L1193">
        <v>0</v>
      </c>
      <c r="M1193">
        <v>0</v>
      </c>
      <c r="N1193">
        <v>3000</v>
      </c>
      <c r="O1193">
        <v>4000</v>
      </c>
      <c r="P1193">
        <v>1000</v>
      </c>
      <c r="Q1193">
        <v>0</v>
      </c>
      <c r="R1193">
        <v>1200</v>
      </c>
      <c r="S1193">
        <v>0</v>
      </c>
      <c r="T1193">
        <v>0</v>
      </c>
      <c r="U1193">
        <v>2</v>
      </c>
      <c r="V1193">
        <v>0</v>
      </c>
      <c r="W1193">
        <v>0</v>
      </c>
      <c r="X1193">
        <v>0</v>
      </c>
      <c r="Y1193">
        <v>1300</v>
      </c>
      <c r="Z1193" cm="1">
        <f t="array" ref="Z1193">MMULT($G1193:$Y1193,'Nelson Factor_2019'!$B$1:$B$19)/$G1193</f>
        <v>5.2231851851851854</v>
      </c>
      <c r="AA1193" cm="1">
        <f t="array" ref="AA1193">MMULT($G1193:$R1193,'Nelson Factor_2019'!$B$1:$B$12)/$G1193</f>
        <v>5.1870370370370367</v>
      </c>
    </row>
    <row r="1194" spans="1:27" x14ac:dyDescent="0.25">
      <c r="A1194">
        <v>2014</v>
      </c>
      <c r="B1194">
        <v>2</v>
      </c>
      <c r="C1194">
        <v>4</v>
      </c>
      <c r="D1194" t="s">
        <v>267</v>
      </c>
      <c r="E1194" t="s">
        <v>79</v>
      </c>
      <c r="F1194" t="s">
        <v>80</v>
      </c>
      <c r="G1194">
        <v>158650</v>
      </c>
      <c r="H1194">
        <v>71250</v>
      </c>
      <c r="I1194">
        <v>36000</v>
      </c>
      <c r="J1194">
        <v>0</v>
      </c>
      <c r="K1194">
        <v>60300</v>
      </c>
      <c r="L1194">
        <v>28080</v>
      </c>
      <c r="M1194">
        <v>0</v>
      </c>
      <c r="N1194">
        <v>103410</v>
      </c>
      <c r="O1194">
        <v>18900</v>
      </c>
      <c r="P1194">
        <v>0</v>
      </c>
      <c r="Q1194">
        <v>6030</v>
      </c>
      <c r="R1194">
        <v>0</v>
      </c>
      <c r="S1194">
        <v>0</v>
      </c>
      <c r="T1194">
        <v>0</v>
      </c>
      <c r="U1194">
        <v>4.5</v>
      </c>
      <c r="V1194">
        <v>0</v>
      </c>
      <c r="W1194">
        <v>2101.5</v>
      </c>
      <c r="X1194">
        <v>343.8</v>
      </c>
      <c r="Y1194">
        <v>0</v>
      </c>
      <c r="Z1194" cm="1">
        <f t="array" ref="Z1194">MMULT($G1194:$Y1194,'Nelson Factor_2019'!$B$1:$B$19)/$G1194</f>
        <v>10.552262842735582</v>
      </c>
      <c r="AA1194" cm="1">
        <f t="array" ref="AA1194">MMULT($G1194:$R1194,'Nelson Factor_2019'!$B$1:$B$12)/$G1194</f>
        <v>10.032146233848094</v>
      </c>
    </row>
    <row r="1195" spans="1:27" x14ac:dyDescent="0.25">
      <c r="A1195">
        <v>2014</v>
      </c>
      <c r="B1195">
        <v>2</v>
      </c>
      <c r="C1195">
        <v>4</v>
      </c>
      <c r="D1195" t="s">
        <v>267</v>
      </c>
      <c r="E1195" t="s">
        <v>54</v>
      </c>
      <c r="F1195" t="s">
        <v>82</v>
      </c>
      <c r="G1195">
        <v>238000</v>
      </c>
      <c r="H1195">
        <v>121500</v>
      </c>
      <c r="I1195">
        <v>56500</v>
      </c>
      <c r="J1195">
        <v>0</v>
      </c>
      <c r="K1195">
        <v>94500</v>
      </c>
      <c r="L1195">
        <v>50000</v>
      </c>
      <c r="M1195">
        <v>0</v>
      </c>
      <c r="N1195">
        <v>249500</v>
      </c>
      <c r="O1195">
        <v>28000</v>
      </c>
      <c r="P1195">
        <v>0</v>
      </c>
      <c r="Q1195">
        <v>0</v>
      </c>
      <c r="R1195">
        <v>0</v>
      </c>
      <c r="S1195">
        <v>0</v>
      </c>
      <c r="T1195">
        <v>0</v>
      </c>
      <c r="U1195">
        <v>0</v>
      </c>
      <c r="V1195">
        <v>0</v>
      </c>
      <c r="W1195">
        <v>3350</v>
      </c>
      <c r="X1195">
        <v>580</v>
      </c>
      <c r="Y1195">
        <v>14500</v>
      </c>
      <c r="Z1195" cm="1">
        <f t="array" ref="Z1195">MMULT($G1195:$Y1195,'Nelson Factor_2019'!$B$1:$B$19)/$G1195</f>
        <v>11.350420168067227</v>
      </c>
      <c r="AA1195" cm="1">
        <f t="array" ref="AA1195">MMULT($G1195:$R1195,'Nelson Factor_2019'!$B$1:$B$12)/$G1195</f>
        <v>10.674159663865547</v>
      </c>
    </row>
    <row r="1196" spans="1:27" x14ac:dyDescent="0.25">
      <c r="A1196">
        <v>2014</v>
      </c>
      <c r="B1196">
        <v>2</v>
      </c>
      <c r="C1196">
        <v>6</v>
      </c>
      <c r="D1196" t="s">
        <v>267</v>
      </c>
      <c r="E1196" t="s">
        <v>246</v>
      </c>
      <c r="F1196" t="s">
        <v>84</v>
      </c>
      <c r="G1196">
        <v>212000</v>
      </c>
      <c r="H1196">
        <v>67900</v>
      </c>
      <c r="I1196">
        <v>27600</v>
      </c>
      <c r="J1196">
        <v>0</v>
      </c>
      <c r="K1196">
        <v>51800</v>
      </c>
      <c r="L1196">
        <v>76500</v>
      </c>
      <c r="M1196">
        <v>27100</v>
      </c>
      <c r="N1196">
        <v>177700</v>
      </c>
      <c r="O1196">
        <v>11900</v>
      </c>
      <c r="P1196">
        <v>0</v>
      </c>
      <c r="Q1196">
        <v>3330</v>
      </c>
      <c r="R1196">
        <v>15200</v>
      </c>
      <c r="S1196">
        <v>0</v>
      </c>
      <c r="T1196">
        <v>0</v>
      </c>
      <c r="U1196">
        <v>0</v>
      </c>
      <c r="V1196">
        <v>0</v>
      </c>
      <c r="W1196">
        <v>1294.5525668999999</v>
      </c>
      <c r="X1196">
        <v>118</v>
      </c>
      <c r="Y1196">
        <v>0</v>
      </c>
      <c r="Z1196" cm="1">
        <f t="array" ref="Z1196">MMULT($G1196:$Y1196,'Nelson Factor_2019'!$B$1:$B$19)/$G1196</f>
        <v>10.005377358490566</v>
      </c>
      <c r="AA1196" cm="1">
        <f t="array" ref="AA1196">MMULT($G1196:$R1196,'Nelson Factor_2019'!$B$1:$B$12)/$G1196</f>
        <v>9.8717924528301886</v>
      </c>
    </row>
    <row r="1197" spans="1:27" x14ac:dyDescent="0.25">
      <c r="A1197">
        <v>2014</v>
      </c>
      <c r="B1197">
        <v>2</v>
      </c>
      <c r="C1197">
        <v>6</v>
      </c>
      <c r="D1197" t="s">
        <v>267</v>
      </c>
      <c r="E1197" t="s">
        <v>240</v>
      </c>
      <c r="F1197" t="s">
        <v>81</v>
      </c>
      <c r="G1197">
        <v>314000</v>
      </c>
      <c r="H1197">
        <v>187000</v>
      </c>
      <c r="I1197">
        <v>75000</v>
      </c>
      <c r="J1197">
        <v>0</v>
      </c>
      <c r="K1197">
        <v>91000</v>
      </c>
      <c r="L1197">
        <v>72000</v>
      </c>
      <c r="M1197">
        <v>49000</v>
      </c>
      <c r="N1197">
        <v>236000</v>
      </c>
      <c r="O1197">
        <v>20000</v>
      </c>
      <c r="P1197">
        <v>0</v>
      </c>
      <c r="Q1197">
        <v>4100</v>
      </c>
      <c r="R1197">
        <v>0</v>
      </c>
      <c r="S1197">
        <v>0</v>
      </c>
      <c r="T1197">
        <v>0</v>
      </c>
      <c r="U1197">
        <v>171</v>
      </c>
      <c r="V1197">
        <v>0</v>
      </c>
      <c r="W1197">
        <v>5100</v>
      </c>
      <c r="X1197">
        <v>825</v>
      </c>
      <c r="Y1197">
        <v>21000</v>
      </c>
      <c r="Z1197" cm="1">
        <f t="array" ref="Z1197">MMULT($G1197:$Y1197,'Nelson Factor_2019'!$B$1:$B$19)/$G1197</f>
        <v>11.207869426751593</v>
      </c>
      <c r="AA1197" cm="1">
        <f t="array" ref="AA1197">MMULT($G1197:$R1197,'Nelson Factor_2019'!$B$1:$B$12)/$G1197</f>
        <v>10.476433121019108</v>
      </c>
    </row>
    <row r="1198" spans="1:27" x14ac:dyDescent="0.25">
      <c r="A1198">
        <v>2014</v>
      </c>
      <c r="B1198">
        <v>2</v>
      </c>
      <c r="C1198">
        <v>4</v>
      </c>
      <c r="D1198" t="s">
        <v>268</v>
      </c>
      <c r="E1198" t="s">
        <v>32</v>
      </c>
      <c r="F1198" t="s">
        <v>86</v>
      </c>
      <c r="G1198">
        <v>406600</v>
      </c>
      <c r="H1198">
        <v>245575</v>
      </c>
      <c r="I1198">
        <v>91800</v>
      </c>
      <c r="J1198">
        <v>0</v>
      </c>
      <c r="K1198">
        <v>148500</v>
      </c>
      <c r="L1198">
        <v>57600</v>
      </c>
      <c r="M1198">
        <v>0</v>
      </c>
      <c r="N1198">
        <v>399600</v>
      </c>
      <c r="O1198">
        <v>27900</v>
      </c>
      <c r="P1198">
        <v>0</v>
      </c>
      <c r="Q1198">
        <v>0</v>
      </c>
      <c r="R1198">
        <v>23400</v>
      </c>
      <c r="S1198">
        <v>0</v>
      </c>
      <c r="T1198">
        <v>0</v>
      </c>
      <c r="U1198">
        <v>30</v>
      </c>
      <c r="V1198">
        <v>0</v>
      </c>
      <c r="W1198">
        <v>6000</v>
      </c>
      <c r="X1198">
        <v>1684</v>
      </c>
      <c r="Y1198">
        <v>26550</v>
      </c>
      <c r="Z1198" cm="1">
        <f t="array" ref="Z1198">MMULT($G1198:$Y1198,'Nelson Factor_2019'!$B$1:$B$19)/$G1198</f>
        <v>10.785938268568618</v>
      </c>
      <c r="AA1198" cm="1">
        <f t="array" ref="AA1198">MMULT($G1198:$R1198,'Nelson Factor_2019'!$B$1:$B$12)/$G1198</f>
        <v>9.6939190850959172</v>
      </c>
    </row>
    <row r="1199" spans="1:27" x14ac:dyDescent="0.25">
      <c r="A1199">
        <v>2014</v>
      </c>
      <c r="B1199">
        <v>2</v>
      </c>
      <c r="C1199">
        <v>1</v>
      </c>
      <c r="D1199" t="s">
        <v>268</v>
      </c>
      <c r="E1199" t="s">
        <v>87</v>
      </c>
      <c r="F1199" t="s">
        <v>88</v>
      </c>
      <c r="G1199">
        <v>27000</v>
      </c>
      <c r="H1199">
        <v>11000</v>
      </c>
      <c r="I1199">
        <v>0</v>
      </c>
      <c r="J1199">
        <v>0</v>
      </c>
      <c r="K1199">
        <v>7850</v>
      </c>
      <c r="L1199">
        <v>6500</v>
      </c>
      <c r="M1199">
        <v>0</v>
      </c>
      <c r="N1199">
        <v>21000</v>
      </c>
      <c r="O1199">
        <v>2000</v>
      </c>
      <c r="P1199">
        <v>0</v>
      </c>
      <c r="Q1199">
        <v>0</v>
      </c>
      <c r="R1199">
        <v>2200</v>
      </c>
      <c r="S1199">
        <v>0</v>
      </c>
      <c r="T1199">
        <v>0</v>
      </c>
      <c r="U1199">
        <v>0</v>
      </c>
      <c r="V1199">
        <v>0</v>
      </c>
      <c r="W1199">
        <v>0</v>
      </c>
      <c r="X1199">
        <v>8</v>
      </c>
      <c r="Y1199">
        <v>3300</v>
      </c>
      <c r="Z1199" cm="1">
        <f t="array" ref="Z1199">MMULT($G1199:$Y1199,'Nelson Factor_2019'!$B$1:$B$19)/$G1199</f>
        <v>7.6618518518518517</v>
      </c>
      <c r="AA1199" cm="1">
        <f t="array" ref="AA1199">MMULT($G1199:$R1199,'Nelson Factor_2019'!$B$1:$B$12)/$G1199</f>
        <v>7.4074074074074074</v>
      </c>
    </row>
    <row r="1200" spans="1:27" x14ac:dyDescent="0.25">
      <c r="A1200">
        <v>2014</v>
      </c>
      <c r="B1200">
        <v>2</v>
      </c>
      <c r="C1200">
        <v>4</v>
      </c>
      <c r="D1200" t="s">
        <v>269</v>
      </c>
      <c r="E1200" t="s">
        <v>247</v>
      </c>
      <c r="F1200" t="s">
        <v>91</v>
      </c>
      <c r="G1200">
        <v>120000</v>
      </c>
      <c r="H1200">
        <v>46000</v>
      </c>
      <c r="I1200">
        <v>25000</v>
      </c>
      <c r="J1200">
        <v>0</v>
      </c>
      <c r="K1200">
        <v>36000</v>
      </c>
      <c r="L1200">
        <v>26000</v>
      </c>
      <c r="M1200">
        <v>0</v>
      </c>
      <c r="N1200">
        <v>124000</v>
      </c>
      <c r="O1200">
        <v>10000</v>
      </c>
      <c r="P1200">
        <v>0</v>
      </c>
      <c r="Q1200">
        <v>0</v>
      </c>
      <c r="R1200">
        <v>8500</v>
      </c>
      <c r="S1200">
        <v>0</v>
      </c>
      <c r="T1200">
        <v>0</v>
      </c>
      <c r="U1200">
        <v>0</v>
      </c>
      <c r="V1200">
        <v>36</v>
      </c>
      <c r="W1200">
        <v>1150</v>
      </c>
      <c r="X1200">
        <v>146</v>
      </c>
      <c r="Y1200">
        <v>0</v>
      </c>
      <c r="Z1200" cm="1">
        <f t="array" ref="Z1200">MMULT($G1200:$Y1200,'Nelson Factor_2019'!$B$1:$B$19)/$G1200</f>
        <v>9.8656333333333333</v>
      </c>
      <c r="AA1200" cm="1">
        <f t="array" ref="AA1200">MMULT($G1200:$R1200,'Nelson Factor_2019'!$B$1:$B$12)/$G1200</f>
        <v>9.5733333333333341</v>
      </c>
    </row>
    <row r="1201" spans="1:27" x14ac:dyDescent="0.25">
      <c r="A1201">
        <v>2014</v>
      </c>
      <c r="B1201">
        <v>2</v>
      </c>
      <c r="C1201">
        <v>4</v>
      </c>
      <c r="D1201" t="s">
        <v>269</v>
      </c>
      <c r="E1201" t="s">
        <v>251</v>
      </c>
      <c r="F1201" t="s">
        <v>45</v>
      </c>
      <c r="G1201">
        <v>133000</v>
      </c>
      <c r="H1201">
        <v>60800</v>
      </c>
      <c r="I1201">
        <v>17100</v>
      </c>
      <c r="J1201">
        <v>0</v>
      </c>
      <c r="K1201">
        <v>37800</v>
      </c>
      <c r="L1201">
        <v>27900</v>
      </c>
      <c r="M1201">
        <v>0</v>
      </c>
      <c r="N1201">
        <v>148950</v>
      </c>
      <c r="O1201">
        <v>12600</v>
      </c>
      <c r="P1201">
        <v>0</v>
      </c>
      <c r="Q1201">
        <v>1980</v>
      </c>
      <c r="R1201">
        <v>13500</v>
      </c>
      <c r="S1201">
        <v>0</v>
      </c>
      <c r="T1201">
        <v>0</v>
      </c>
      <c r="U1201">
        <v>39</v>
      </c>
      <c r="V1201">
        <v>22</v>
      </c>
      <c r="W1201">
        <v>1100</v>
      </c>
      <c r="X1201">
        <v>285</v>
      </c>
      <c r="Y1201">
        <v>0</v>
      </c>
      <c r="Z1201" cm="1">
        <f t="array" ref="Z1201">MMULT($G1201:$Y1201,'Nelson Factor_2019'!$B$1:$B$19)/$G1201</f>
        <v>10.176887218045113</v>
      </c>
      <c r="AA1201" cm="1">
        <f t="array" ref="AA1201">MMULT($G1201:$R1201,'Nelson Factor_2019'!$B$1:$B$12)/$G1201</f>
        <v>9.6621428571428574</v>
      </c>
    </row>
    <row r="1202" spans="1:27" x14ac:dyDescent="0.25">
      <c r="A1202">
        <v>2014</v>
      </c>
      <c r="B1202">
        <v>2</v>
      </c>
      <c r="C1202">
        <v>6</v>
      </c>
      <c r="D1202" t="s">
        <v>269</v>
      </c>
      <c r="E1202" t="s">
        <v>93</v>
      </c>
      <c r="F1202" t="s">
        <v>94</v>
      </c>
      <c r="G1202">
        <v>82700</v>
      </c>
      <c r="H1202">
        <v>35400</v>
      </c>
      <c r="I1202">
        <v>20800</v>
      </c>
      <c r="J1202">
        <v>0</v>
      </c>
      <c r="K1202">
        <v>22700</v>
      </c>
      <c r="L1202">
        <v>22700</v>
      </c>
      <c r="M1202">
        <v>36400</v>
      </c>
      <c r="N1202">
        <v>76700</v>
      </c>
      <c r="O1202">
        <v>7600</v>
      </c>
      <c r="P1202">
        <v>0</v>
      </c>
      <c r="Q1202">
        <v>0</v>
      </c>
      <c r="R1202">
        <v>13000</v>
      </c>
      <c r="S1202">
        <v>0</v>
      </c>
      <c r="T1202">
        <v>0</v>
      </c>
      <c r="U1202">
        <v>35.9</v>
      </c>
      <c r="V1202">
        <v>78.400000000000006</v>
      </c>
      <c r="W1202">
        <v>819</v>
      </c>
      <c r="X1202">
        <v>123</v>
      </c>
      <c r="Y1202">
        <v>0</v>
      </c>
      <c r="Z1202" cm="1">
        <f t="array" ref="Z1202">MMULT($G1202:$Y1202,'Nelson Factor_2019'!$B$1:$B$19)/$G1202</f>
        <v>14.050837968561062</v>
      </c>
      <c r="AA1202" cm="1">
        <f t="array" ref="AA1202">MMULT($G1202:$R1202,'Nelson Factor_2019'!$B$1:$B$12)/$G1202</f>
        <v>13.692503022974607</v>
      </c>
    </row>
    <row r="1203" spans="1:27" x14ac:dyDescent="0.25">
      <c r="A1203">
        <v>2014</v>
      </c>
      <c r="B1203">
        <v>2</v>
      </c>
      <c r="C1203">
        <v>1</v>
      </c>
      <c r="D1203" t="s">
        <v>270</v>
      </c>
      <c r="E1203" t="s">
        <v>246</v>
      </c>
      <c r="F1203" t="s">
        <v>96</v>
      </c>
      <c r="G1203">
        <v>242000</v>
      </c>
      <c r="H1203">
        <v>115900</v>
      </c>
      <c r="I1203">
        <v>0</v>
      </c>
      <c r="J1203">
        <v>0</v>
      </c>
      <c r="K1203">
        <v>98800</v>
      </c>
      <c r="L1203">
        <v>49900</v>
      </c>
      <c r="M1203">
        <v>0</v>
      </c>
      <c r="N1203">
        <v>258500</v>
      </c>
      <c r="O1203">
        <v>20000</v>
      </c>
      <c r="P1203">
        <v>0</v>
      </c>
      <c r="Q1203">
        <v>10200</v>
      </c>
      <c r="R1203">
        <v>17100</v>
      </c>
      <c r="S1203">
        <v>0</v>
      </c>
      <c r="T1203">
        <v>0</v>
      </c>
      <c r="U1203">
        <v>32.299999999999997</v>
      </c>
      <c r="V1203">
        <v>0</v>
      </c>
      <c r="W1203">
        <v>0</v>
      </c>
      <c r="X1203">
        <v>167</v>
      </c>
      <c r="Y1203">
        <v>33600</v>
      </c>
      <c r="Z1203" cm="1">
        <f t="array" ref="Z1203">MMULT($G1203:$Y1203,'Nelson Factor_2019'!$B$1:$B$19)/$G1203</f>
        <v>10.02905909090909</v>
      </c>
      <c r="AA1203" cm="1">
        <f t="array" ref="AA1203">MMULT($G1203:$R1203,'Nelson Factor_2019'!$B$1:$B$12)/$G1203</f>
        <v>9.6550413223140499</v>
      </c>
    </row>
    <row r="1204" spans="1:27" x14ac:dyDescent="0.25">
      <c r="A1204">
        <v>2014</v>
      </c>
      <c r="B1204">
        <v>2</v>
      </c>
      <c r="C1204">
        <v>0</v>
      </c>
      <c r="D1204" t="s">
        <v>270</v>
      </c>
      <c r="E1204" t="s">
        <v>271</v>
      </c>
      <c r="F1204" t="s">
        <v>98</v>
      </c>
      <c r="G1204">
        <v>5500</v>
      </c>
      <c r="H1204">
        <v>0</v>
      </c>
      <c r="I1204">
        <v>0</v>
      </c>
      <c r="J1204">
        <v>0</v>
      </c>
      <c r="K1204">
        <v>0</v>
      </c>
      <c r="L1204">
        <v>1500</v>
      </c>
      <c r="M1204">
        <v>0</v>
      </c>
      <c r="N1204">
        <v>2000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  <c r="X1204">
        <v>0</v>
      </c>
      <c r="Y1204">
        <v>0</v>
      </c>
      <c r="Z1204" cm="1">
        <f t="array" ref="Z1204">MMULT($G1204:$Y1204,'Nelson Factor_2019'!$B$1:$B$19)/$G1204</f>
        <v>3.2727272727272729</v>
      </c>
      <c r="AA1204" cm="1">
        <f t="array" ref="AA1204">MMULT($G1204:$R1204,'Nelson Factor_2019'!$B$1:$B$12)/$G1204</f>
        <v>3.2727272727272729</v>
      </c>
    </row>
    <row r="1205" spans="1:27" x14ac:dyDescent="0.25">
      <c r="A1205">
        <v>2014</v>
      </c>
      <c r="B1205">
        <v>3</v>
      </c>
      <c r="C1205">
        <v>1</v>
      </c>
      <c r="D1205" t="s">
        <v>272</v>
      </c>
      <c r="E1205" t="s">
        <v>176</v>
      </c>
      <c r="F1205" t="s">
        <v>120</v>
      </c>
      <c r="G1205">
        <v>83000</v>
      </c>
      <c r="H1205">
        <v>36000</v>
      </c>
      <c r="I1205">
        <v>0</v>
      </c>
      <c r="J1205">
        <v>0</v>
      </c>
      <c r="K1205">
        <v>33000</v>
      </c>
      <c r="L1205">
        <v>12000</v>
      </c>
      <c r="M1205">
        <v>0</v>
      </c>
      <c r="N1205">
        <v>18500</v>
      </c>
      <c r="O1205">
        <v>0</v>
      </c>
      <c r="P1205">
        <v>2100</v>
      </c>
      <c r="Q1205">
        <v>0</v>
      </c>
      <c r="R1205">
        <v>4500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  <c r="Y1205">
        <v>0</v>
      </c>
      <c r="Z1205" cm="1">
        <f t="array" ref="Z1205">MMULT($G1205:$Y1205,'Nelson Factor_2019'!$B$1:$B$19)/$G1205</f>
        <v>5.645180722891566</v>
      </c>
      <c r="AA1205" cm="1">
        <f t="array" ref="AA1205">MMULT($G1205:$R1205,'Nelson Factor_2019'!$B$1:$B$12)/$G1205</f>
        <v>5.645180722891566</v>
      </c>
    </row>
    <row r="1206" spans="1:27" x14ac:dyDescent="0.25">
      <c r="A1206">
        <v>2014</v>
      </c>
      <c r="B1206">
        <v>3</v>
      </c>
      <c r="C1206">
        <v>0</v>
      </c>
      <c r="D1206" t="s">
        <v>272</v>
      </c>
      <c r="E1206" t="s">
        <v>100</v>
      </c>
      <c r="F1206" t="s">
        <v>101</v>
      </c>
      <c r="G1206">
        <v>32000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0</v>
      </c>
      <c r="Y1206">
        <v>0</v>
      </c>
      <c r="Z1206" cm="1">
        <f t="array" ref="Z1206">MMULT($G1206:$Y1206,'Nelson Factor_2019'!$B$1:$B$19)/$G1206</f>
        <v>1</v>
      </c>
      <c r="AA1206" cm="1">
        <f t="array" ref="AA1206">MMULT($G1206:$R1206,'Nelson Factor_2019'!$B$1:$B$12)/$G1206</f>
        <v>1</v>
      </c>
    </row>
    <row r="1207" spans="1:27" x14ac:dyDescent="0.25">
      <c r="A1207">
        <v>2014</v>
      </c>
      <c r="B1207">
        <v>3</v>
      </c>
      <c r="C1207">
        <v>0</v>
      </c>
      <c r="D1207" t="s">
        <v>272</v>
      </c>
      <c r="E1207" t="s">
        <v>102</v>
      </c>
      <c r="F1207" t="s">
        <v>103</v>
      </c>
      <c r="G1207">
        <v>9500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5000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0</v>
      </c>
      <c r="U1207">
        <v>2.5</v>
      </c>
      <c r="V1207">
        <v>2.5</v>
      </c>
      <c r="W1207">
        <v>0</v>
      </c>
      <c r="X1207">
        <v>0</v>
      </c>
      <c r="Y1207">
        <v>0</v>
      </c>
      <c r="Z1207" cm="1">
        <f t="array" ref="Z1207">MMULT($G1207:$Y1207,'Nelson Factor_2019'!$B$1:$B$19)/$G1207</f>
        <v>2.3163157894736841</v>
      </c>
      <c r="AA1207" cm="1">
        <f t="array" ref="AA1207">MMULT($G1207:$R1207,'Nelson Factor_2019'!$B$1:$B$12)/$G1207</f>
        <v>2.3157894736842106</v>
      </c>
    </row>
    <row r="1208" spans="1:27" x14ac:dyDescent="0.25">
      <c r="A1208">
        <v>2014</v>
      </c>
      <c r="B1208">
        <v>3</v>
      </c>
      <c r="C1208">
        <v>2</v>
      </c>
      <c r="D1208" t="s">
        <v>272</v>
      </c>
      <c r="E1208" t="s">
        <v>102</v>
      </c>
      <c r="F1208" t="s">
        <v>104</v>
      </c>
      <c r="G1208">
        <v>9500</v>
      </c>
      <c r="H1208">
        <v>8500</v>
      </c>
      <c r="I1208">
        <v>0</v>
      </c>
      <c r="J1208">
        <v>0</v>
      </c>
      <c r="K1208">
        <v>0</v>
      </c>
      <c r="L1208">
        <v>0</v>
      </c>
      <c r="M1208">
        <v>8000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7500</v>
      </c>
      <c r="T1208">
        <v>0</v>
      </c>
      <c r="U1208">
        <v>4.5</v>
      </c>
      <c r="V1208">
        <v>4.5</v>
      </c>
      <c r="W1208">
        <v>0</v>
      </c>
      <c r="X1208">
        <v>3</v>
      </c>
      <c r="Y1208">
        <v>0</v>
      </c>
      <c r="Z1208" cm="1">
        <f t="array" ref="Z1208">MMULT($G1208:$Y1208,'Nelson Factor_2019'!$B$1:$B$19)/$G1208</f>
        <v>56.345157894736843</v>
      </c>
      <c r="AA1208" cm="1">
        <f t="array" ref="AA1208">MMULT($G1208:$R1208,'Nelson Factor_2019'!$B$1:$B$12)/$G1208</f>
        <v>8.9</v>
      </c>
    </row>
    <row r="1209" spans="1:27" x14ac:dyDescent="0.25">
      <c r="A1209">
        <v>2014</v>
      </c>
      <c r="B1209">
        <v>3</v>
      </c>
      <c r="C1209">
        <v>2</v>
      </c>
      <c r="D1209" t="s">
        <v>272</v>
      </c>
      <c r="E1209" t="s">
        <v>102</v>
      </c>
      <c r="F1209" t="s">
        <v>105</v>
      </c>
      <c r="G1209">
        <v>35000</v>
      </c>
      <c r="H1209">
        <v>15000</v>
      </c>
      <c r="I1209">
        <v>0</v>
      </c>
      <c r="J1209">
        <v>0</v>
      </c>
      <c r="K1209">
        <v>0</v>
      </c>
      <c r="L1209">
        <v>10000</v>
      </c>
      <c r="M1209">
        <v>8500</v>
      </c>
      <c r="N1209">
        <v>24000</v>
      </c>
      <c r="O1209">
        <v>0</v>
      </c>
      <c r="P1209">
        <v>0</v>
      </c>
      <c r="Q1209">
        <v>0</v>
      </c>
      <c r="R1209">
        <v>0</v>
      </c>
      <c r="S1209">
        <v>8000</v>
      </c>
      <c r="T1209">
        <v>0</v>
      </c>
      <c r="U1209">
        <v>6.1</v>
      </c>
      <c r="V1209">
        <v>6.1</v>
      </c>
      <c r="W1209">
        <v>0</v>
      </c>
      <c r="X1209">
        <v>15</v>
      </c>
      <c r="Y1209">
        <v>0</v>
      </c>
      <c r="Z1209" cm="1">
        <f t="array" ref="Z1209">MMULT($G1209:$Y1209,'Nelson Factor_2019'!$B$1:$B$19)/$G1209</f>
        <v>20.460348571428572</v>
      </c>
      <c r="AA1209" cm="1">
        <f t="array" ref="AA1209">MMULT($G1209:$R1209,'Nelson Factor_2019'!$B$1:$B$12)/$G1209</f>
        <v>6.6428571428571432</v>
      </c>
    </row>
    <row r="1210" spans="1:27" x14ac:dyDescent="0.25">
      <c r="A1210">
        <v>2014</v>
      </c>
      <c r="B1210">
        <v>3</v>
      </c>
      <c r="C1210">
        <v>4</v>
      </c>
      <c r="D1210" t="s">
        <v>272</v>
      </c>
      <c r="E1210" t="s">
        <v>233</v>
      </c>
      <c r="F1210" t="s">
        <v>110</v>
      </c>
      <c r="G1210">
        <v>189000</v>
      </c>
      <c r="H1210">
        <v>162000</v>
      </c>
      <c r="I1210">
        <v>28500</v>
      </c>
      <c r="J1210">
        <v>0</v>
      </c>
      <c r="K1210">
        <v>72000</v>
      </c>
      <c r="L1210">
        <v>21500</v>
      </c>
      <c r="M1210">
        <v>0</v>
      </c>
      <c r="N1210">
        <v>158000</v>
      </c>
      <c r="O1210">
        <v>15000</v>
      </c>
      <c r="P1210">
        <v>0</v>
      </c>
      <c r="Q1210">
        <v>0</v>
      </c>
      <c r="R1210">
        <v>0</v>
      </c>
      <c r="S1210">
        <v>0</v>
      </c>
      <c r="T1210">
        <v>0</v>
      </c>
      <c r="U1210">
        <v>0</v>
      </c>
      <c r="V1210">
        <v>0</v>
      </c>
      <c r="W1210">
        <v>1540</v>
      </c>
      <c r="X1210">
        <v>870</v>
      </c>
      <c r="Y1210">
        <v>0</v>
      </c>
      <c r="Z1210" cm="1">
        <f t="array" ref="Z1210">MMULT($G1210:$Y1210,'Nelson Factor_2019'!$B$1:$B$19)/$G1210</f>
        <v>10.088095238095239</v>
      </c>
      <c r="AA1210" cm="1">
        <f t="array" ref="AA1210">MMULT($G1210:$R1210,'Nelson Factor_2019'!$B$1:$B$12)/$G1210</f>
        <v>8.9833333333333325</v>
      </c>
    </row>
    <row r="1211" spans="1:27" x14ac:dyDescent="0.25">
      <c r="A1211">
        <v>2014</v>
      </c>
      <c r="B1211">
        <v>3</v>
      </c>
      <c r="C1211">
        <v>0</v>
      </c>
      <c r="D1211" t="s">
        <v>272</v>
      </c>
      <c r="E1211" t="s">
        <v>248</v>
      </c>
      <c r="F1211" t="s">
        <v>101</v>
      </c>
      <c r="G1211">
        <v>0</v>
      </c>
      <c r="H1211">
        <v>36100</v>
      </c>
      <c r="I1211">
        <v>0</v>
      </c>
      <c r="J1211">
        <v>0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8550</v>
      </c>
      <c r="T1211">
        <v>0</v>
      </c>
      <c r="U1211">
        <v>0</v>
      </c>
      <c r="V1211">
        <v>0</v>
      </c>
      <c r="W1211">
        <v>0</v>
      </c>
      <c r="X1211">
        <v>0</v>
      </c>
      <c r="Y1211">
        <v>0</v>
      </c>
      <c r="Z1211" cm="1">
        <f t="array" ref="Z1211">MMULT($G1211:$Y1211,'Nelson Factor_2019'!$B$1:$B$19)/$H1211</f>
        <v>15.510526315789473</v>
      </c>
      <c r="AA1211" cm="1">
        <f t="array" ref="AA1211">MMULT($G1211:$R1211,'Nelson Factor_2019'!$B$1:$B$12)/$H1211</f>
        <v>1.3</v>
      </c>
    </row>
    <row r="1212" spans="1:27" x14ac:dyDescent="0.25">
      <c r="A1212">
        <v>2014</v>
      </c>
      <c r="B1212">
        <v>3</v>
      </c>
      <c r="C1212">
        <v>6</v>
      </c>
      <c r="D1212" t="s">
        <v>272</v>
      </c>
      <c r="E1212" t="s">
        <v>79</v>
      </c>
      <c r="F1212" t="s">
        <v>101</v>
      </c>
      <c r="G1212">
        <v>440000</v>
      </c>
      <c r="H1212">
        <v>79800</v>
      </c>
      <c r="I1212">
        <v>88200</v>
      </c>
      <c r="J1212">
        <v>0</v>
      </c>
      <c r="K1212">
        <v>126000</v>
      </c>
      <c r="L1212">
        <v>94500</v>
      </c>
      <c r="M1212">
        <v>37800</v>
      </c>
      <c r="N1212">
        <v>233100</v>
      </c>
      <c r="O1212">
        <v>20700</v>
      </c>
      <c r="P1212">
        <v>0</v>
      </c>
      <c r="Q1212">
        <v>13500</v>
      </c>
      <c r="R1212">
        <v>28800</v>
      </c>
      <c r="S1212">
        <v>9900</v>
      </c>
      <c r="T1212">
        <v>3150</v>
      </c>
      <c r="U1212">
        <v>47.7</v>
      </c>
      <c r="V1212">
        <v>10.8</v>
      </c>
      <c r="W1212">
        <v>3870</v>
      </c>
      <c r="X1212">
        <v>567</v>
      </c>
      <c r="Y1212">
        <v>0</v>
      </c>
      <c r="Z1212" cm="1">
        <f t="array" ref="Z1212">MMULT($G1212:$Y1212,'Nelson Factor_2019'!$B$1:$B$19)/$G1212</f>
        <v>10.554382954545455</v>
      </c>
      <c r="AA1212" cm="1">
        <f t="array" ref="AA1212">MMULT($G1212:$R1212,'Nelson Factor_2019'!$B$1:$B$12)/$G1212</f>
        <v>8.823386363636363</v>
      </c>
    </row>
    <row r="1213" spans="1:27" x14ac:dyDescent="0.25">
      <c r="A1213">
        <v>2014</v>
      </c>
      <c r="B1213">
        <v>3</v>
      </c>
      <c r="C1213">
        <v>4</v>
      </c>
      <c r="D1213" t="s">
        <v>272</v>
      </c>
      <c r="E1213" t="s">
        <v>258</v>
      </c>
      <c r="F1213" t="s">
        <v>107</v>
      </c>
      <c r="G1213">
        <v>247000</v>
      </c>
      <c r="H1213">
        <v>97900</v>
      </c>
      <c r="I1213">
        <v>23400</v>
      </c>
      <c r="J1213">
        <v>0</v>
      </c>
      <c r="K1213">
        <v>94500</v>
      </c>
      <c r="L1213">
        <v>40200</v>
      </c>
      <c r="M1213">
        <v>0</v>
      </c>
      <c r="N1213">
        <v>199500</v>
      </c>
      <c r="O1213">
        <v>34200</v>
      </c>
      <c r="P1213">
        <v>0</v>
      </c>
      <c r="Q1213">
        <v>38100</v>
      </c>
      <c r="R1213">
        <v>0</v>
      </c>
      <c r="S1213">
        <v>0</v>
      </c>
      <c r="T1213">
        <v>0</v>
      </c>
      <c r="U1213">
        <v>0</v>
      </c>
      <c r="V1213">
        <v>10.4</v>
      </c>
      <c r="W1213">
        <v>1100</v>
      </c>
      <c r="X1213">
        <v>80</v>
      </c>
      <c r="Y1213">
        <v>0</v>
      </c>
      <c r="Z1213" cm="1">
        <f t="array" ref="Z1213">MMULT($G1213:$Y1213,'Nelson Factor_2019'!$B$1:$B$19)/$G1213</f>
        <v>11.901742510121457</v>
      </c>
      <c r="AA1213" cm="1">
        <f t="array" ref="AA1213">MMULT($G1213:$R1213,'Nelson Factor_2019'!$B$1:$B$12)/$G1213</f>
        <v>11.823967611336032</v>
      </c>
    </row>
    <row r="1214" spans="1:27" x14ac:dyDescent="0.25">
      <c r="A1214">
        <v>2014</v>
      </c>
      <c r="B1214">
        <v>3</v>
      </c>
      <c r="C1214">
        <v>6</v>
      </c>
      <c r="D1214" t="s">
        <v>272</v>
      </c>
      <c r="E1214" t="s">
        <v>258</v>
      </c>
      <c r="F1214" t="s">
        <v>108</v>
      </c>
      <c r="G1214">
        <v>239000</v>
      </c>
      <c r="H1214">
        <v>106200</v>
      </c>
      <c r="I1214">
        <v>61000</v>
      </c>
      <c r="J1214">
        <v>0</v>
      </c>
      <c r="K1214">
        <v>46100</v>
      </c>
      <c r="L1214">
        <v>43200</v>
      </c>
      <c r="M1214">
        <v>63000</v>
      </c>
      <c r="N1214">
        <v>229300</v>
      </c>
      <c r="O1214">
        <v>7700</v>
      </c>
      <c r="P1214">
        <v>1900</v>
      </c>
      <c r="Q1214">
        <v>0</v>
      </c>
      <c r="R1214">
        <v>0</v>
      </c>
      <c r="S1214">
        <v>0</v>
      </c>
      <c r="T1214">
        <v>0</v>
      </c>
      <c r="U1214">
        <v>15</v>
      </c>
      <c r="V1214">
        <v>112</v>
      </c>
      <c r="W1214">
        <v>3600</v>
      </c>
      <c r="X1214">
        <v>340</v>
      </c>
      <c r="Y1214">
        <v>0</v>
      </c>
      <c r="Z1214" cm="1">
        <f t="array" ref="Z1214">MMULT($G1214:$Y1214,'Nelson Factor_2019'!$B$1:$B$19)/$G1214</f>
        <v>10.803920502092049</v>
      </c>
      <c r="AA1214" cm="1">
        <f t="array" ref="AA1214">MMULT($G1214:$R1214,'Nelson Factor_2019'!$B$1:$B$12)/$G1214</f>
        <v>10.461966527196653</v>
      </c>
    </row>
    <row r="1215" spans="1:27" x14ac:dyDescent="0.25">
      <c r="A1215">
        <v>2014</v>
      </c>
      <c r="B1215">
        <v>3</v>
      </c>
      <c r="C1215">
        <v>6</v>
      </c>
      <c r="D1215" t="s">
        <v>272</v>
      </c>
      <c r="E1215" t="s">
        <v>54</v>
      </c>
      <c r="F1215" t="s">
        <v>109</v>
      </c>
      <c r="G1215">
        <v>502500</v>
      </c>
      <c r="H1215">
        <v>236500</v>
      </c>
      <c r="I1215">
        <v>117500</v>
      </c>
      <c r="J1215">
        <v>0</v>
      </c>
      <c r="K1215">
        <v>232500</v>
      </c>
      <c r="L1215">
        <v>73500</v>
      </c>
      <c r="M1215">
        <v>24500</v>
      </c>
      <c r="N1215">
        <v>533500</v>
      </c>
      <c r="O1215">
        <v>40000</v>
      </c>
      <c r="P1215">
        <v>9500</v>
      </c>
      <c r="Q1215">
        <v>0</v>
      </c>
      <c r="R1215">
        <v>0</v>
      </c>
      <c r="S1215">
        <v>16000</v>
      </c>
      <c r="T1215">
        <v>0</v>
      </c>
      <c r="U1215">
        <v>0</v>
      </c>
      <c r="V1215">
        <v>12</v>
      </c>
      <c r="W1215">
        <v>5430</v>
      </c>
      <c r="X1215">
        <v>690</v>
      </c>
      <c r="Y1215">
        <v>0</v>
      </c>
      <c r="Z1215" cm="1">
        <f t="array" ref="Z1215">MMULT($G1215:$Y1215,'Nelson Factor_2019'!$B$1:$B$19)/$G1215</f>
        <v>13.142411940298507</v>
      </c>
      <c r="AA1215" cm="1">
        <f t="array" ref="AA1215">MMULT($G1215:$R1215,'Nelson Factor_2019'!$B$1:$B$12)/$G1215</f>
        <v>10.902388059701492</v>
      </c>
    </row>
    <row r="1216" spans="1:27" x14ac:dyDescent="0.25">
      <c r="A1216">
        <v>2014</v>
      </c>
      <c r="B1216">
        <v>3</v>
      </c>
      <c r="C1216">
        <v>6</v>
      </c>
      <c r="D1216" t="s">
        <v>272</v>
      </c>
      <c r="E1216" t="s">
        <v>246</v>
      </c>
      <c r="F1216" t="s">
        <v>111</v>
      </c>
      <c r="G1216">
        <v>522000</v>
      </c>
      <c r="H1216">
        <v>265100</v>
      </c>
      <c r="I1216">
        <v>86000</v>
      </c>
      <c r="J1216">
        <v>0</v>
      </c>
      <c r="K1216">
        <v>131100</v>
      </c>
      <c r="L1216">
        <v>121200</v>
      </c>
      <c r="M1216">
        <v>91200</v>
      </c>
      <c r="N1216">
        <v>458400</v>
      </c>
      <c r="O1216">
        <v>30900</v>
      </c>
      <c r="P1216">
        <v>0</v>
      </c>
      <c r="Q1216">
        <v>0</v>
      </c>
      <c r="R1216">
        <v>46600</v>
      </c>
      <c r="S1216">
        <v>0</v>
      </c>
      <c r="T1216">
        <v>0</v>
      </c>
      <c r="U1216">
        <v>0</v>
      </c>
      <c r="V1216">
        <v>0</v>
      </c>
      <c r="W1216">
        <v>5492.0961737999996</v>
      </c>
      <c r="X1216">
        <v>1087</v>
      </c>
      <c r="Y1216">
        <v>31400</v>
      </c>
      <c r="Z1216" cm="1">
        <f t="array" ref="Z1216">MMULT($G1216:$Y1216,'Nelson Factor_2019'!$B$1:$B$19)/$G1216</f>
        <v>10.606532567049808</v>
      </c>
      <c r="AA1216" cm="1">
        <f t="array" ref="AA1216">MMULT($G1216:$R1216,'Nelson Factor_2019'!$B$1:$B$12)/$G1216</f>
        <v>10.016532567049808</v>
      </c>
    </row>
    <row r="1217" spans="1:27" x14ac:dyDescent="0.25">
      <c r="A1217">
        <v>2014</v>
      </c>
      <c r="B1217">
        <v>3</v>
      </c>
      <c r="C1217">
        <v>3</v>
      </c>
      <c r="D1217" t="s">
        <v>272</v>
      </c>
      <c r="E1217" t="s">
        <v>112</v>
      </c>
      <c r="F1217" t="s">
        <v>113</v>
      </c>
      <c r="G1217">
        <v>227000</v>
      </c>
      <c r="H1217">
        <v>104000</v>
      </c>
      <c r="I1217">
        <v>0</v>
      </c>
      <c r="J1217">
        <v>12520</v>
      </c>
      <c r="K1217">
        <v>86000</v>
      </c>
      <c r="L1217">
        <v>36000</v>
      </c>
      <c r="M1217">
        <v>51780</v>
      </c>
      <c r="N1217">
        <v>216000</v>
      </c>
      <c r="O1217">
        <v>14000</v>
      </c>
      <c r="P1217">
        <v>4000</v>
      </c>
      <c r="Q1217">
        <v>0</v>
      </c>
      <c r="R1217">
        <v>12000</v>
      </c>
      <c r="S1217">
        <v>0</v>
      </c>
      <c r="T1217">
        <v>0</v>
      </c>
      <c r="U1217">
        <v>58</v>
      </c>
      <c r="V1217">
        <v>0</v>
      </c>
      <c r="W1217">
        <v>0</v>
      </c>
      <c r="X1217">
        <v>640</v>
      </c>
      <c r="Y1217">
        <v>0</v>
      </c>
      <c r="Z1217" cm="1">
        <f t="array" ref="Z1217">MMULT($G1217:$Y1217,'Nelson Factor_2019'!$B$1:$B$19)/$G1217</f>
        <v>10.645497797356828</v>
      </c>
      <c r="AA1217" cm="1">
        <f t="array" ref="AA1217">MMULT($G1217:$R1217,'Nelson Factor_2019'!$B$1:$B$12)/$G1217</f>
        <v>9.9685903083700449</v>
      </c>
    </row>
    <row r="1218" spans="1:27" x14ac:dyDescent="0.25">
      <c r="A1218">
        <v>2014</v>
      </c>
      <c r="B1218">
        <v>3</v>
      </c>
      <c r="C1218">
        <v>6</v>
      </c>
      <c r="D1218" t="s">
        <v>272</v>
      </c>
      <c r="E1218" t="s">
        <v>112</v>
      </c>
      <c r="F1218" t="s">
        <v>114</v>
      </c>
      <c r="G1218">
        <v>220000</v>
      </c>
      <c r="H1218">
        <v>78000</v>
      </c>
      <c r="I1218">
        <v>21380</v>
      </c>
      <c r="J1218">
        <v>0</v>
      </c>
      <c r="K1218">
        <v>107000</v>
      </c>
      <c r="L1218">
        <v>20000</v>
      </c>
      <c r="M1218">
        <v>31000</v>
      </c>
      <c r="N1218">
        <v>123500</v>
      </c>
      <c r="O1218">
        <v>14000</v>
      </c>
      <c r="P1218">
        <v>7780</v>
      </c>
      <c r="Q1218">
        <v>0</v>
      </c>
      <c r="R1218">
        <v>0</v>
      </c>
      <c r="S1218">
        <v>0</v>
      </c>
      <c r="T1218">
        <v>8000</v>
      </c>
      <c r="U1218">
        <v>50</v>
      </c>
      <c r="V1218">
        <v>0</v>
      </c>
      <c r="W1218">
        <v>1020</v>
      </c>
      <c r="X1218">
        <v>140</v>
      </c>
      <c r="Y1218">
        <v>0</v>
      </c>
      <c r="Z1218" cm="1">
        <f t="array" ref="Z1218">MMULT($G1218:$Y1218,'Nelson Factor_2019'!$B$1:$B$19)/$G1218</f>
        <v>9.5997727272727271</v>
      </c>
      <c r="AA1218" cm="1">
        <f t="array" ref="AA1218">MMULT($G1218:$R1218,'Nelson Factor_2019'!$B$1:$B$12)/$G1218</f>
        <v>9.0831818181818189</v>
      </c>
    </row>
    <row r="1219" spans="1:27" x14ac:dyDescent="0.25">
      <c r="A1219">
        <v>2014</v>
      </c>
      <c r="B1219">
        <v>3</v>
      </c>
      <c r="C1219">
        <v>1</v>
      </c>
      <c r="D1219" t="s">
        <v>272</v>
      </c>
      <c r="E1219" t="s">
        <v>117</v>
      </c>
      <c r="F1219" t="s">
        <v>118</v>
      </c>
      <c r="G1219">
        <v>60000</v>
      </c>
      <c r="H1219">
        <v>27000</v>
      </c>
      <c r="I1219">
        <v>0</v>
      </c>
      <c r="J1219">
        <v>0</v>
      </c>
      <c r="K1219">
        <v>25000</v>
      </c>
      <c r="L1219">
        <v>11000</v>
      </c>
      <c r="M1219">
        <v>0</v>
      </c>
      <c r="N1219">
        <v>51000</v>
      </c>
      <c r="O1219">
        <v>7500</v>
      </c>
      <c r="P1219">
        <v>0</v>
      </c>
      <c r="Q1219">
        <v>0</v>
      </c>
      <c r="R1219">
        <v>0</v>
      </c>
      <c r="S1219">
        <v>0</v>
      </c>
      <c r="T1219">
        <v>0</v>
      </c>
      <c r="U1219">
        <v>0</v>
      </c>
      <c r="V1219">
        <v>0</v>
      </c>
      <c r="W1219">
        <v>0</v>
      </c>
      <c r="X1219">
        <v>50</v>
      </c>
      <c r="Y1219">
        <v>0</v>
      </c>
      <c r="Z1219" cm="1">
        <f t="array" ref="Z1219">MMULT($G1219:$Y1219,'Nelson Factor_2019'!$B$1:$B$19)/$G1219</f>
        <v>8.5766666666666662</v>
      </c>
      <c r="AA1219" cm="1">
        <f t="array" ref="AA1219">MMULT($G1219:$R1219,'Nelson Factor_2019'!$B$1:$B$12)/$G1219</f>
        <v>8.3766666666666669</v>
      </c>
    </row>
    <row r="1220" spans="1:27" x14ac:dyDescent="0.25">
      <c r="A1220">
        <v>2014</v>
      </c>
      <c r="B1220">
        <v>3</v>
      </c>
      <c r="C1220">
        <v>0</v>
      </c>
      <c r="D1220" t="s">
        <v>272</v>
      </c>
      <c r="E1220" t="s">
        <v>27</v>
      </c>
      <c r="F1220" t="s">
        <v>119</v>
      </c>
      <c r="G1220">
        <v>55000</v>
      </c>
      <c r="H1220">
        <v>28000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  <c r="V1220">
        <v>0</v>
      </c>
      <c r="W1220">
        <v>0</v>
      </c>
      <c r="X1220">
        <v>0</v>
      </c>
      <c r="Y1220">
        <v>0</v>
      </c>
      <c r="Z1220" cm="1">
        <f t="array" ref="Z1220">MMULT($G1220:$Y1220,'Nelson Factor_2019'!$B$1:$B$19)/$G1220</f>
        <v>1.6618181818181819</v>
      </c>
      <c r="AA1220" cm="1">
        <f t="array" ref="AA1220">MMULT($G1220:$R1220,'Nelson Factor_2019'!$B$1:$B$12)/$G1220</f>
        <v>1.6618181818181819</v>
      </c>
    </row>
    <row r="1221" spans="1:27" x14ac:dyDescent="0.25">
      <c r="A1221">
        <v>2014</v>
      </c>
      <c r="B1221">
        <v>3</v>
      </c>
      <c r="C1221">
        <v>1</v>
      </c>
      <c r="D1221" t="s">
        <v>272</v>
      </c>
      <c r="E1221" t="s">
        <v>66</v>
      </c>
      <c r="F1221" t="s">
        <v>116</v>
      </c>
      <c r="G1221">
        <v>135000</v>
      </c>
      <c r="H1221">
        <v>50000</v>
      </c>
      <c r="I1221">
        <v>0</v>
      </c>
      <c r="J1221">
        <v>0</v>
      </c>
      <c r="K1221">
        <v>37000</v>
      </c>
      <c r="L1221">
        <v>0</v>
      </c>
      <c r="M1221">
        <v>0</v>
      </c>
      <c r="N1221">
        <v>123750</v>
      </c>
      <c r="O1221">
        <v>8500</v>
      </c>
      <c r="P1221">
        <v>0</v>
      </c>
      <c r="Q1221">
        <v>0</v>
      </c>
      <c r="R1221">
        <v>0</v>
      </c>
      <c r="S1221">
        <v>0</v>
      </c>
      <c r="T1221">
        <v>0</v>
      </c>
      <c r="U1221">
        <v>0</v>
      </c>
      <c r="V1221">
        <v>0</v>
      </c>
      <c r="W1221">
        <v>0</v>
      </c>
      <c r="X1221">
        <v>1800</v>
      </c>
      <c r="Y1221">
        <v>0</v>
      </c>
      <c r="Z1221" cm="1">
        <f t="array" ref="Z1221">MMULT($G1221:$Y1221,'Nelson Factor_2019'!$B$1:$B$19)/$G1221</f>
        <v>9.2472222222222218</v>
      </c>
      <c r="AA1221" cm="1">
        <f t="array" ref="AA1221">MMULT($G1221:$R1221,'Nelson Factor_2019'!$B$1:$B$12)/$G1221</f>
        <v>6.0472222222222225</v>
      </c>
    </row>
    <row r="1222" spans="1:27" x14ac:dyDescent="0.25">
      <c r="A1222">
        <v>2014</v>
      </c>
      <c r="B1222">
        <v>3</v>
      </c>
      <c r="C1222">
        <v>4</v>
      </c>
      <c r="D1222" t="s">
        <v>272</v>
      </c>
      <c r="E1222" t="s">
        <v>66</v>
      </c>
      <c r="F1222" t="s">
        <v>114</v>
      </c>
      <c r="G1222">
        <v>250000</v>
      </c>
      <c r="H1222">
        <v>200000</v>
      </c>
      <c r="I1222">
        <v>70400</v>
      </c>
      <c r="J1222">
        <v>0</v>
      </c>
      <c r="K1222">
        <v>100000</v>
      </c>
      <c r="L1222">
        <v>25000</v>
      </c>
      <c r="M1222">
        <v>0</v>
      </c>
      <c r="N1222">
        <v>131100</v>
      </c>
      <c r="O1222">
        <v>19000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4500</v>
      </c>
      <c r="X1222">
        <v>450</v>
      </c>
      <c r="Y1222">
        <v>0</v>
      </c>
      <c r="Z1222" cm="1">
        <f t="array" ref="Z1222">MMULT($G1222:$Y1222,'Nelson Factor_2019'!$B$1:$B$19)/$G1222</f>
        <v>9.5549999999999997</v>
      </c>
      <c r="AA1222" cm="1">
        <f t="array" ref="AA1222">MMULT($G1222:$R1222,'Nelson Factor_2019'!$B$1:$B$12)/$G1222</f>
        <v>9.1229999999999993</v>
      </c>
    </row>
    <row r="1223" spans="1:27" x14ac:dyDescent="0.25">
      <c r="A1223">
        <v>2014</v>
      </c>
      <c r="B1223">
        <v>2</v>
      </c>
      <c r="C1223">
        <v>4</v>
      </c>
      <c r="D1223" t="s">
        <v>273</v>
      </c>
      <c r="E1223" t="s">
        <v>246</v>
      </c>
      <c r="F1223" t="s">
        <v>122</v>
      </c>
      <c r="G1223">
        <v>123000</v>
      </c>
      <c r="H1223">
        <v>70300</v>
      </c>
      <c r="I1223">
        <v>28000</v>
      </c>
      <c r="J1223">
        <v>0</v>
      </c>
      <c r="K1223">
        <v>35200</v>
      </c>
      <c r="L1223">
        <v>20400</v>
      </c>
      <c r="M1223">
        <v>0</v>
      </c>
      <c r="N1223">
        <v>113600</v>
      </c>
      <c r="O1223">
        <v>6200</v>
      </c>
      <c r="P1223">
        <v>0</v>
      </c>
      <c r="Q1223">
        <v>0</v>
      </c>
      <c r="R1223">
        <v>0</v>
      </c>
      <c r="S1223">
        <v>0</v>
      </c>
      <c r="T1223">
        <v>0</v>
      </c>
      <c r="U1223">
        <v>0</v>
      </c>
      <c r="V1223">
        <v>0</v>
      </c>
      <c r="W1223">
        <v>1789.8754130999998</v>
      </c>
      <c r="X1223">
        <v>197</v>
      </c>
      <c r="Y1223">
        <v>21900</v>
      </c>
      <c r="Z1223" cm="1">
        <f t="array" ref="Z1223">MMULT($G1223:$Y1223,'Nelson Factor_2019'!$B$1:$B$19)/$G1223</f>
        <v>9.4611382113821136</v>
      </c>
      <c r="AA1223" cm="1">
        <f t="array" ref="AA1223">MMULT($G1223:$R1223,'Nelson Factor_2019'!$B$1:$B$12)/$G1223</f>
        <v>8.8096747967479683</v>
      </c>
    </row>
    <row r="1224" spans="1:27" x14ac:dyDescent="0.25">
      <c r="A1224">
        <v>2014</v>
      </c>
      <c r="B1224">
        <v>2</v>
      </c>
      <c r="C1224">
        <v>6</v>
      </c>
      <c r="D1224" t="s">
        <v>274</v>
      </c>
      <c r="E1224" t="s">
        <v>35</v>
      </c>
      <c r="F1224" t="s">
        <v>124</v>
      </c>
      <c r="G1224">
        <v>304000</v>
      </c>
      <c r="H1224">
        <v>203300</v>
      </c>
      <c r="I1224">
        <v>61920</v>
      </c>
      <c r="J1224">
        <v>0</v>
      </c>
      <c r="K1224">
        <v>77850</v>
      </c>
      <c r="L1224">
        <v>43920</v>
      </c>
      <c r="M1224">
        <v>45000</v>
      </c>
      <c r="N1224">
        <v>309390</v>
      </c>
      <c r="O1224">
        <v>11250</v>
      </c>
      <c r="P1224">
        <v>4140</v>
      </c>
      <c r="Q1224">
        <v>0</v>
      </c>
      <c r="R1224">
        <v>16200</v>
      </c>
      <c r="S1224">
        <v>0</v>
      </c>
      <c r="T1224">
        <v>0</v>
      </c>
      <c r="U1224">
        <v>158.4</v>
      </c>
      <c r="V1224">
        <v>11.25</v>
      </c>
      <c r="W1224">
        <v>3690</v>
      </c>
      <c r="X1224">
        <v>990</v>
      </c>
      <c r="Y1224">
        <v>40500</v>
      </c>
      <c r="Z1224" cm="1">
        <f t="array" ref="Z1224">MMULT($G1224:$Y1224,'Nelson Factor_2019'!$B$1:$B$19)/$G1224</f>
        <v>11.032515296052631</v>
      </c>
      <c r="AA1224" cm="1">
        <f t="array" ref="AA1224">MMULT($G1224:$R1224,'Nelson Factor_2019'!$B$1:$B$12)/$G1224</f>
        <v>10.050542763157894</v>
      </c>
    </row>
    <row r="1225" spans="1:27" x14ac:dyDescent="0.25">
      <c r="A1225">
        <v>2014</v>
      </c>
      <c r="B1225">
        <v>2</v>
      </c>
      <c r="C1225">
        <v>1</v>
      </c>
      <c r="D1225" t="s">
        <v>274</v>
      </c>
      <c r="E1225" t="s">
        <v>252</v>
      </c>
      <c r="F1225" t="s">
        <v>125</v>
      </c>
      <c r="G1225">
        <v>74000</v>
      </c>
      <c r="H1225">
        <v>41300</v>
      </c>
      <c r="I1225">
        <v>0</v>
      </c>
      <c r="J1225">
        <v>0</v>
      </c>
      <c r="K1225">
        <v>27100</v>
      </c>
      <c r="L1225">
        <v>18600</v>
      </c>
      <c r="M1225">
        <v>0</v>
      </c>
      <c r="N1225">
        <v>55500</v>
      </c>
      <c r="O1225">
        <v>5200</v>
      </c>
      <c r="P1225">
        <v>0</v>
      </c>
      <c r="Q1225">
        <v>0</v>
      </c>
      <c r="R1225">
        <v>8600</v>
      </c>
      <c r="S1225">
        <v>0</v>
      </c>
      <c r="T1225">
        <v>0</v>
      </c>
      <c r="U1225">
        <v>8</v>
      </c>
      <c r="V1225">
        <v>0</v>
      </c>
      <c r="W1225">
        <v>0</v>
      </c>
      <c r="X1225">
        <v>111</v>
      </c>
      <c r="Y1225">
        <v>12400</v>
      </c>
      <c r="Z1225" cm="1">
        <f t="array" ref="Z1225">MMULT($G1225:$Y1225,'Nelson Factor_2019'!$B$1:$B$19)/$G1225</f>
        <v>8.7174054054054047</v>
      </c>
      <c r="AA1225" cm="1">
        <f t="array" ref="AA1225">MMULT($G1225:$R1225,'Nelson Factor_2019'!$B$1:$B$12)/$G1225</f>
        <v>8.1059459459459458</v>
      </c>
    </row>
    <row r="1226" spans="1:27" x14ac:dyDescent="0.25">
      <c r="A1226">
        <v>2014</v>
      </c>
      <c r="B1226">
        <v>3</v>
      </c>
      <c r="C1226">
        <v>6</v>
      </c>
      <c r="D1226" t="s">
        <v>275</v>
      </c>
      <c r="E1226" t="s">
        <v>227</v>
      </c>
      <c r="F1226" t="s">
        <v>127</v>
      </c>
      <c r="G1226">
        <v>330000</v>
      </c>
      <c r="H1226">
        <v>240000</v>
      </c>
      <c r="I1226">
        <v>98000</v>
      </c>
      <c r="J1226">
        <v>0</v>
      </c>
      <c r="K1226">
        <v>86000</v>
      </c>
      <c r="L1226">
        <v>85000</v>
      </c>
      <c r="M1226">
        <v>58000</v>
      </c>
      <c r="N1226">
        <v>238500</v>
      </c>
      <c r="O1226">
        <v>14800</v>
      </c>
      <c r="P1226">
        <v>0</v>
      </c>
      <c r="Q1226">
        <v>19000</v>
      </c>
      <c r="R1226">
        <v>0</v>
      </c>
      <c r="S1226">
        <v>0</v>
      </c>
      <c r="T1226">
        <v>0</v>
      </c>
      <c r="U1226">
        <v>205</v>
      </c>
      <c r="V1226">
        <v>0</v>
      </c>
      <c r="W1226">
        <v>6440</v>
      </c>
      <c r="X1226">
        <v>1113</v>
      </c>
      <c r="Y1226">
        <v>0</v>
      </c>
      <c r="Z1226" cm="1">
        <f t="array" ref="Z1226">MMULT($G1226:$Y1226,'Nelson Factor_2019'!$B$1:$B$19)/$G1226</f>
        <v>12.647196969696969</v>
      </c>
      <c r="AA1226" cm="1">
        <f t="array" ref="AA1226">MMULT($G1226:$R1226,'Nelson Factor_2019'!$B$1:$B$12)/$G1226</f>
        <v>11.837121212121213</v>
      </c>
    </row>
    <row r="1227" spans="1:27" x14ac:dyDescent="0.25">
      <c r="A1227">
        <v>2014</v>
      </c>
      <c r="B1227">
        <v>3</v>
      </c>
      <c r="C1227">
        <v>0</v>
      </c>
      <c r="D1227" t="s">
        <v>275</v>
      </c>
      <c r="E1227" t="s">
        <v>128</v>
      </c>
      <c r="F1227" t="s">
        <v>129</v>
      </c>
      <c r="G1227">
        <v>23000</v>
      </c>
      <c r="H1227">
        <v>10200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22000</v>
      </c>
      <c r="O1227">
        <v>0</v>
      </c>
      <c r="P1227">
        <v>0</v>
      </c>
      <c r="Q1227">
        <v>0</v>
      </c>
      <c r="R1227">
        <v>0</v>
      </c>
      <c r="S1227">
        <v>22000</v>
      </c>
      <c r="T1227">
        <v>0</v>
      </c>
      <c r="U1227">
        <v>13</v>
      </c>
      <c r="V1227">
        <v>0</v>
      </c>
      <c r="W1227">
        <v>0</v>
      </c>
      <c r="X1227">
        <v>0</v>
      </c>
      <c r="Y1227">
        <v>9600</v>
      </c>
      <c r="Z1227" cm="1">
        <f t="array" ref="Z1227">MMULT($G1227:$Y1227,'Nelson Factor_2019'!$B$1:$B$19)/$G1227</f>
        <v>61.985782608695651</v>
      </c>
      <c r="AA1227" cm="1">
        <f t="array" ref="AA1227">MMULT($G1227:$R1227,'Nelson Factor_2019'!$B$1:$B$12)/$G1227</f>
        <v>3.9678260869565216</v>
      </c>
    </row>
    <row r="1228" spans="1:27" x14ac:dyDescent="0.25">
      <c r="A1228">
        <v>2014</v>
      </c>
      <c r="B1228">
        <v>4</v>
      </c>
      <c r="C1228">
        <v>1</v>
      </c>
      <c r="D1228" t="s">
        <v>276</v>
      </c>
      <c r="E1228" t="s">
        <v>296</v>
      </c>
      <c r="F1228" t="s">
        <v>135</v>
      </c>
      <c r="G1228">
        <v>9500</v>
      </c>
      <c r="H1228">
        <v>5000</v>
      </c>
      <c r="I1228">
        <v>0</v>
      </c>
      <c r="J1228">
        <v>0</v>
      </c>
      <c r="K1228">
        <v>2800</v>
      </c>
      <c r="L1228">
        <v>1000</v>
      </c>
      <c r="M1228">
        <v>0</v>
      </c>
      <c r="N1228">
        <v>7100</v>
      </c>
      <c r="O1228">
        <v>1000</v>
      </c>
      <c r="P1228">
        <v>400</v>
      </c>
      <c r="Q1228">
        <v>0</v>
      </c>
      <c r="R1228">
        <v>700</v>
      </c>
      <c r="S1228">
        <v>0</v>
      </c>
      <c r="T1228">
        <v>0</v>
      </c>
      <c r="U1228">
        <v>5</v>
      </c>
      <c r="V1228">
        <v>0</v>
      </c>
      <c r="W1228">
        <v>0</v>
      </c>
      <c r="X1228">
        <v>0</v>
      </c>
      <c r="Y1228">
        <v>3800</v>
      </c>
      <c r="Z1228" cm="1">
        <f t="array" ref="Z1228">MMULT($G1228:$Y1228,'Nelson Factor_2019'!$B$1:$B$19)/$G1228</f>
        <v>8.142631578947368</v>
      </c>
      <c r="AA1228" cm="1">
        <f t="array" ref="AA1228">MMULT($G1228:$R1228,'Nelson Factor_2019'!$B$1:$B$12)/$G1228</f>
        <v>7.5421052631578949</v>
      </c>
    </row>
    <row r="1229" spans="1:27" x14ac:dyDescent="0.25">
      <c r="A1229">
        <v>2014</v>
      </c>
      <c r="B1229">
        <v>4</v>
      </c>
      <c r="C1229">
        <v>4</v>
      </c>
      <c r="D1229" t="s">
        <v>276</v>
      </c>
      <c r="E1229" t="s">
        <v>235</v>
      </c>
      <c r="F1229" t="s">
        <v>132</v>
      </c>
      <c r="G1229">
        <v>55000</v>
      </c>
      <c r="H1229">
        <v>31300</v>
      </c>
      <c r="I1229">
        <v>15000</v>
      </c>
      <c r="J1229">
        <v>0</v>
      </c>
      <c r="K1229">
        <v>14000</v>
      </c>
      <c r="L1229">
        <v>12500</v>
      </c>
      <c r="M1229">
        <v>0</v>
      </c>
      <c r="N1229">
        <v>51600</v>
      </c>
      <c r="O1229">
        <v>4300</v>
      </c>
      <c r="P1229">
        <v>0</v>
      </c>
      <c r="Q1229">
        <v>0</v>
      </c>
      <c r="R1229">
        <v>2500</v>
      </c>
      <c r="S1229">
        <v>0</v>
      </c>
      <c r="T1229">
        <v>0</v>
      </c>
      <c r="U1229">
        <v>21</v>
      </c>
      <c r="V1229">
        <v>21</v>
      </c>
      <c r="W1229">
        <v>0</v>
      </c>
      <c r="X1229">
        <v>90</v>
      </c>
      <c r="Y1229">
        <v>19000</v>
      </c>
      <c r="Z1229" cm="1">
        <f t="array" ref="Z1229">MMULT($G1229:$Y1229,'Nelson Factor_2019'!$B$1:$B$19)/$G1229</f>
        <v>10.624218181818183</v>
      </c>
      <c r="AA1229" cm="1">
        <f t="array" ref="AA1229">MMULT($G1229:$R1229,'Nelson Factor_2019'!$B$1:$B$12)/$G1229</f>
        <v>9.7125454545454541</v>
      </c>
    </row>
    <row r="1230" spans="1:27" x14ac:dyDescent="0.25">
      <c r="A1230">
        <v>2014</v>
      </c>
      <c r="B1230">
        <v>4</v>
      </c>
      <c r="C1230">
        <v>6</v>
      </c>
      <c r="D1230" t="s">
        <v>276</v>
      </c>
      <c r="E1230" t="s">
        <v>54</v>
      </c>
      <c r="F1230" t="s">
        <v>133</v>
      </c>
      <c r="G1230">
        <v>59500</v>
      </c>
      <c r="H1230">
        <v>27500</v>
      </c>
      <c r="I1230">
        <v>9500</v>
      </c>
      <c r="J1230">
        <v>0</v>
      </c>
      <c r="K1230">
        <v>19000</v>
      </c>
      <c r="L1230">
        <v>12000</v>
      </c>
      <c r="M1230">
        <v>5500</v>
      </c>
      <c r="N1230">
        <v>54500</v>
      </c>
      <c r="O1230">
        <v>5000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22</v>
      </c>
      <c r="V1230">
        <v>4.5</v>
      </c>
      <c r="W1230">
        <v>490</v>
      </c>
      <c r="X1230">
        <v>0</v>
      </c>
      <c r="Y1230">
        <v>14500</v>
      </c>
      <c r="Z1230" cm="1">
        <f t="array" ref="Z1230">MMULT($G1230:$Y1230,'Nelson Factor_2019'!$B$1:$B$19)/$G1230</f>
        <v>9.9584285714285716</v>
      </c>
      <c r="AA1230" cm="1">
        <f t="array" ref="AA1230">MMULT($G1230:$R1230,'Nelson Factor_2019'!$B$1:$B$12)/$G1230</f>
        <v>9.5924369747899156</v>
      </c>
    </row>
    <row r="1231" spans="1:27" x14ac:dyDescent="0.25">
      <c r="A1231">
        <v>2014</v>
      </c>
      <c r="B1231">
        <v>4</v>
      </c>
      <c r="C1231">
        <v>4</v>
      </c>
      <c r="D1231" t="s">
        <v>276</v>
      </c>
      <c r="E1231" t="s">
        <v>258</v>
      </c>
      <c r="F1231" t="s">
        <v>133</v>
      </c>
      <c r="G1231">
        <v>59000</v>
      </c>
      <c r="H1231">
        <v>35000</v>
      </c>
      <c r="I1231">
        <v>20000</v>
      </c>
      <c r="J1231">
        <v>0</v>
      </c>
      <c r="K1231">
        <v>19400</v>
      </c>
      <c r="L1231">
        <v>12200</v>
      </c>
      <c r="M1231">
        <v>0</v>
      </c>
      <c r="N1231">
        <v>73000</v>
      </c>
      <c r="O1231">
        <v>6500</v>
      </c>
      <c r="P1231">
        <v>0</v>
      </c>
      <c r="Q1231">
        <v>0</v>
      </c>
      <c r="R1231">
        <v>3600</v>
      </c>
      <c r="S1231">
        <v>0</v>
      </c>
      <c r="T1231">
        <v>0</v>
      </c>
      <c r="U1231">
        <v>31</v>
      </c>
      <c r="V1231">
        <v>57.199999999999996</v>
      </c>
      <c r="W1231">
        <v>900</v>
      </c>
      <c r="X1231">
        <v>200</v>
      </c>
      <c r="Y1231">
        <v>0</v>
      </c>
      <c r="Z1231" cm="1">
        <f t="array" ref="Z1231">MMULT($G1231:$Y1231,'Nelson Factor_2019'!$B$1:$B$19)/$G1231</f>
        <v>12.513359322033898</v>
      </c>
      <c r="AA1231" cm="1">
        <f t="array" ref="AA1231">MMULT($G1231:$R1231,'Nelson Factor_2019'!$B$1:$B$12)/$G1231</f>
        <v>11.698305084745762</v>
      </c>
    </row>
    <row r="1232" spans="1:27" x14ac:dyDescent="0.25">
      <c r="A1232">
        <v>2014</v>
      </c>
      <c r="B1232">
        <v>1</v>
      </c>
      <c r="C1232">
        <v>1</v>
      </c>
      <c r="D1232" t="s">
        <v>277</v>
      </c>
      <c r="E1232" t="s">
        <v>258</v>
      </c>
      <c r="F1232" t="s">
        <v>137</v>
      </c>
      <c r="G1232">
        <v>238000</v>
      </c>
      <c r="H1232">
        <v>71250</v>
      </c>
      <c r="I1232">
        <v>0</v>
      </c>
      <c r="J1232">
        <v>0</v>
      </c>
      <c r="K1232">
        <v>130500</v>
      </c>
      <c r="L1232">
        <v>28800</v>
      </c>
      <c r="M1232">
        <v>0</v>
      </c>
      <c r="N1232">
        <v>190500</v>
      </c>
      <c r="O1232">
        <v>16000</v>
      </c>
      <c r="P1232">
        <v>0</v>
      </c>
      <c r="Q1232">
        <v>0</v>
      </c>
      <c r="R1232">
        <v>4000</v>
      </c>
      <c r="S1232">
        <v>0</v>
      </c>
      <c r="T1232">
        <v>0</v>
      </c>
      <c r="U1232">
        <v>19.8</v>
      </c>
      <c r="V1232">
        <v>12.4</v>
      </c>
      <c r="W1232">
        <v>0</v>
      </c>
      <c r="X1232">
        <v>0</v>
      </c>
      <c r="Y1232">
        <v>0</v>
      </c>
      <c r="Z1232" cm="1">
        <f t="array" ref="Z1232">MMULT($G1232:$Y1232,'Nelson Factor_2019'!$B$1:$B$19)/$G1232</f>
        <v>8.0080134453781504</v>
      </c>
      <c r="AA1232" cm="1">
        <f t="array" ref="AA1232">MMULT($G1232:$R1232,'Nelson Factor_2019'!$B$1:$B$12)/$G1232</f>
        <v>8.0078781512605044</v>
      </c>
    </row>
    <row r="1233" spans="1:27" x14ac:dyDescent="0.25">
      <c r="A1233">
        <v>2014</v>
      </c>
      <c r="B1233">
        <v>1</v>
      </c>
      <c r="C1233">
        <v>4</v>
      </c>
      <c r="D1233" t="s">
        <v>277</v>
      </c>
      <c r="E1233" t="s">
        <v>253</v>
      </c>
      <c r="F1233" t="s">
        <v>140</v>
      </c>
      <c r="G1233">
        <v>185000</v>
      </c>
      <c r="H1233">
        <v>90000</v>
      </c>
      <c r="I1233">
        <v>27000</v>
      </c>
      <c r="J1233">
        <v>0</v>
      </c>
      <c r="K1233">
        <v>55000</v>
      </c>
      <c r="L1233">
        <v>30000</v>
      </c>
      <c r="M1233">
        <v>0</v>
      </c>
      <c r="N1233">
        <v>141250</v>
      </c>
      <c r="O1233">
        <v>11200</v>
      </c>
      <c r="P1233">
        <v>0</v>
      </c>
      <c r="Q1233">
        <v>0</v>
      </c>
      <c r="R1233">
        <v>0</v>
      </c>
      <c r="S1233">
        <v>11500</v>
      </c>
      <c r="T1233">
        <v>0</v>
      </c>
      <c r="U1233">
        <v>13.5</v>
      </c>
      <c r="V1233">
        <v>9</v>
      </c>
      <c r="W1233">
        <v>1470</v>
      </c>
      <c r="X1233">
        <v>230</v>
      </c>
      <c r="Y1233">
        <v>16000</v>
      </c>
      <c r="Z1233" cm="1">
        <f t="array" ref="Z1233">MMULT($G1233:$Y1233,'Nelson Factor_2019'!$B$1:$B$19)/$G1233</f>
        <v>11.99377027027027</v>
      </c>
      <c r="AA1233" cm="1">
        <f t="array" ref="AA1233">MMULT($G1233:$R1233,'Nelson Factor_2019'!$B$1:$B$12)/$G1233</f>
        <v>7.8358108108108109</v>
      </c>
    </row>
    <row r="1234" spans="1:27" x14ac:dyDescent="0.25">
      <c r="A1234">
        <v>2014</v>
      </c>
      <c r="B1234">
        <v>3</v>
      </c>
      <c r="C1234">
        <v>1</v>
      </c>
      <c r="D1234" t="s">
        <v>278</v>
      </c>
      <c r="E1234" t="s">
        <v>197</v>
      </c>
      <c r="F1234" t="s">
        <v>144</v>
      </c>
      <c r="G1234">
        <v>40000</v>
      </c>
      <c r="H1234">
        <v>0</v>
      </c>
      <c r="I1234">
        <v>0</v>
      </c>
      <c r="J1234">
        <v>0</v>
      </c>
      <c r="K1234">
        <v>7000</v>
      </c>
      <c r="L1234">
        <v>8000</v>
      </c>
      <c r="M1234">
        <v>0</v>
      </c>
      <c r="N1234">
        <v>11500</v>
      </c>
      <c r="O1234">
        <v>2500</v>
      </c>
      <c r="P1234">
        <v>0</v>
      </c>
      <c r="Q1234">
        <v>0</v>
      </c>
      <c r="R1234">
        <v>5000</v>
      </c>
      <c r="S1234">
        <v>0</v>
      </c>
      <c r="T1234">
        <v>0</v>
      </c>
      <c r="U1234">
        <v>0</v>
      </c>
      <c r="V1234">
        <v>0</v>
      </c>
      <c r="W1234">
        <v>0</v>
      </c>
      <c r="X1234">
        <v>2</v>
      </c>
      <c r="Y1234">
        <v>0</v>
      </c>
      <c r="Z1234" cm="1">
        <f t="array" ref="Z1234">MMULT($G1234:$Y1234,'Nelson Factor_2019'!$B$1:$B$19)/$G1234</f>
        <v>4.7807500000000003</v>
      </c>
      <c r="AA1234" cm="1">
        <f t="array" ref="AA1234">MMULT($G1234:$R1234,'Nelson Factor_2019'!$B$1:$B$12)/$G1234</f>
        <v>4.7687499999999998</v>
      </c>
    </row>
    <row r="1235" spans="1:27" x14ac:dyDescent="0.25">
      <c r="A1235">
        <v>2014</v>
      </c>
      <c r="B1235">
        <v>3</v>
      </c>
      <c r="C1235">
        <v>1</v>
      </c>
      <c r="D1235" t="s">
        <v>278</v>
      </c>
      <c r="E1235" t="s">
        <v>251</v>
      </c>
      <c r="F1235" t="s">
        <v>146</v>
      </c>
      <c r="G1235">
        <v>100000</v>
      </c>
      <c r="H1235">
        <v>25000</v>
      </c>
      <c r="I1235">
        <v>0</v>
      </c>
      <c r="J1235">
        <v>0</v>
      </c>
      <c r="K1235">
        <v>27000</v>
      </c>
      <c r="L1235">
        <v>24000</v>
      </c>
      <c r="M1235">
        <v>0</v>
      </c>
      <c r="N1235">
        <v>97400</v>
      </c>
      <c r="O1235">
        <v>9000</v>
      </c>
      <c r="P1235">
        <v>0</v>
      </c>
      <c r="Q1235">
        <v>0</v>
      </c>
      <c r="R1235">
        <v>11000</v>
      </c>
      <c r="S1235">
        <v>0</v>
      </c>
      <c r="T1235">
        <v>0</v>
      </c>
      <c r="U1235">
        <v>9</v>
      </c>
      <c r="V1235">
        <v>0</v>
      </c>
      <c r="W1235">
        <v>0</v>
      </c>
      <c r="X1235">
        <v>110</v>
      </c>
      <c r="Y1235">
        <v>5000</v>
      </c>
      <c r="Z1235" cm="1">
        <f t="array" ref="Z1235">MMULT($G1235:$Y1235,'Nelson Factor_2019'!$B$1:$B$19)/$G1235</f>
        <v>8.1490899999999993</v>
      </c>
      <c r="AA1235" cm="1">
        <f t="array" ref="AA1235">MMULT($G1235:$R1235,'Nelson Factor_2019'!$B$1:$B$12)/$G1235</f>
        <v>7.81</v>
      </c>
    </row>
    <row r="1236" spans="1:27" x14ac:dyDescent="0.25">
      <c r="A1236">
        <v>2014</v>
      </c>
      <c r="B1236">
        <v>2</v>
      </c>
      <c r="C1236">
        <v>1</v>
      </c>
      <c r="D1236" t="s">
        <v>279</v>
      </c>
      <c r="E1236" t="s">
        <v>148</v>
      </c>
      <c r="F1236" t="s">
        <v>149</v>
      </c>
      <c r="G1236">
        <v>58000</v>
      </c>
      <c r="H1236">
        <v>0</v>
      </c>
      <c r="I1236">
        <v>0</v>
      </c>
      <c r="J1236">
        <v>0</v>
      </c>
      <c r="K1236">
        <v>25700</v>
      </c>
      <c r="L1236">
        <v>11500</v>
      </c>
      <c r="M1236">
        <v>0</v>
      </c>
      <c r="N1236">
        <v>23600</v>
      </c>
      <c r="O1236">
        <v>4200</v>
      </c>
      <c r="P1236">
        <v>1100</v>
      </c>
      <c r="Q1236">
        <v>0</v>
      </c>
      <c r="R1236">
        <v>4800</v>
      </c>
      <c r="S1236">
        <v>0</v>
      </c>
      <c r="T1236">
        <v>0</v>
      </c>
      <c r="U1236">
        <v>0</v>
      </c>
      <c r="V1236">
        <v>0</v>
      </c>
      <c r="W1236">
        <v>0</v>
      </c>
      <c r="X1236">
        <v>15</v>
      </c>
      <c r="Y1236">
        <v>0</v>
      </c>
      <c r="Z1236" cm="1">
        <f t="array" ref="Z1236">MMULT($G1236:$Y1236,'Nelson Factor_2019'!$B$1:$B$19)/$G1236</f>
        <v>6.8913793103448278</v>
      </c>
      <c r="AA1236" cm="1">
        <f t="array" ref="AA1236">MMULT($G1236:$R1236,'Nelson Factor_2019'!$B$1:$B$12)/$G1236</f>
        <v>6.8293103448275865</v>
      </c>
    </row>
    <row r="1237" spans="1:27" x14ac:dyDescent="0.25">
      <c r="A1237">
        <v>2014</v>
      </c>
      <c r="B1237">
        <v>2</v>
      </c>
      <c r="C1237">
        <v>6</v>
      </c>
      <c r="D1237" t="s">
        <v>280</v>
      </c>
      <c r="E1237" t="s">
        <v>297</v>
      </c>
      <c r="F1237" t="s">
        <v>151</v>
      </c>
      <c r="G1237">
        <v>152000</v>
      </c>
      <c r="H1237">
        <v>67925</v>
      </c>
      <c r="I1237">
        <v>31050</v>
      </c>
      <c r="J1237">
        <v>0</v>
      </c>
      <c r="K1237">
        <v>49500</v>
      </c>
      <c r="L1237">
        <v>37800</v>
      </c>
      <c r="M1237">
        <v>27900</v>
      </c>
      <c r="N1237">
        <v>96750</v>
      </c>
      <c r="O1237">
        <v>10350</v>
      </c>
      <c r="P1237">
        <v>0</v>
      </c>
      <c r="Q1237">
        <v>0</v>
      </c>
      <c r="R1237">
        <v>0</v>
      </c>
      <c r="S1237">
        <v>0</v>
      </c>
      <c r="T1237">
        <v>0</v>
      </c>
      <c r="U1237">
        <v>0</v>
      </c>
      <c r="V1237">
        <v>0</v>
      </c>
      <c r="W1237">
        <v>2006</v>
      </c>
      <c r="X1237">
        <v>351</v>
      </c>
      <c r="Y1237">
        <v>9000</v>
      </c>
      <c r="Z1237" cm="1">
        <f t="array" ref="Z1237">MMULT($G1237:$Y1237,'Nelson Factor_2019'!$B$1:$B$19)/$G1237</f>
        <v>10.694029605263157</v>
      </c>
      <c r="AA1237" cm="1">
        <f t="array" ref="AA1237">MMULT($G1237:$R1237,'Nelson Factor_2019'!$B$1:$B$12)/$G1237</f>
        <v>10.051003289473684</v>
      </c>
    </row>
    <row r="1238" spans="1:27" x14ac:dyDescent="0.25">
      <c r="A1238">
        <v>2014</v>
      </c>
      <c r="B1238">
        <v>2</v>
      </c>
      <c r="C1238">
        <v>6</v>
      </c>
      <c r="D1238" t="s">
        <v>280</v>
      </c>
      <c r="E1238" t="s">
        <v>241</v>
      </c>
      <c r="F1238" t="s">
        <v>154</v>
      </c>
      <c r="G1238">
        <v>161500</v>
      </c>
      <c r="H1238">
        <v>49400</v>
      </c>
      <c r="I1238">
        <v>20700</v>
      </c>
      <c r="J1238">
        <v>0</v>
      </c>
      <c r="K1238">
        <v>36000</v>
      </c>
      <c r="L1238">
        <v>49500</v>
      </c>
      <c r="M1238">
        <v>23400</v>
      </c>
      <c r="N1238">
        <v>88200</v>
      </c>
      <c r="O1238">
        <v>0</v>
      </c>
      <c r="P1238">
        <v>0</v>
      </c>
      <c r="Q1238">
        <v>6300</v>
      </c>
      <c r="R1238">
        <v>16200</v>
      </c>
      <c r="S1238">
        <v>0</v>
      </c>
      <c r="T1238">
        <v>0</v>
      </c>
      <c r="U1238">
        <v>0</v>
      </c>
      <c r="V1238">
        <v>10.4</v>
      </c>
      <c r="W1238">
        <v>800</v>
      </c>
      <c r="X1238">
        <v>100</v>
      </c>
      <c r="Y1238">
        <v>0</v>
      </c>
      <c r="Z1238" cm="1">
        <f t="array" ref="Z1238">MMULT($G1238:$Y1238,'Nelson Factor_2019'!$B$1:$B$19)/$G1238</f>
        <v>8.9831603715170267</v>
      </c>
      <c r="AA1238" cm="1">
        <f t="array" ref="AA1238">MMULT($G1238:$R1238,'Nelson Factor_2019'!$B$1:$B$12)/$G1238</f>
        <v>8.8344891640866869</v>
      </c>
    </row>
    <row r="1239" spans="1:27" x14ac:dyDescent="0.25">
      <c r="A1239">
        <v>2014</v>
      </c>
      <c r="B1239">
        <v>2</v>
      </c>
      <c r="C1239">
        <v>1</v>
      </c>
      <c r="D1239" t="s">
        <v>280</v>
      </c>
      <c r="E1239" t="s">
        <v>246</v>
      </c>
      <c r="F1239" t="s">
        <v>152</v>
      </c>
      <c r="G1239">
        <v>80000</v>
      </c>
      <c r="H1239">
        <v>33300</v>
      </c>
      <c r="I1239">
        <v>0</v>
      </c>
      <c r="J1239">
        <v>0</v>
      </c>
      <c r="K1239">
        <v>24700</v>
      </c>
      <c r="L1239">
        <v>20400</v>
      </c>
      <c r="M1239">
        <v>0</v>
      </c>
      <c r="N1239">
        <v>87900</v>
      </c>
      <c r="O1239">
        <v>7100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0</v>
      </c>
      <c r="V1239">
        <v>0</v>
      </c>
      <c r="W1239">
        <v>0</v>
      </c>
      <c r="X1239">
        <v>45</v>
      </c>
      <c r="Y1239">
        <v>14100</v>
      </c>
      <c r="Z1239" cm="1">
        <f t="array" ref="Z1239">MMULT($G1239:$Y1239,'Nelson Factor_2019'!$B$1:$B$19)/$G1239</f>
        <v>8.702375</v>
      </c>
      <c r="AA1239" cm="1">
        <f t="array" ref="AA1239">MMULT($G1239:$R1239,'Nelson Factor_2019'!$B$1:$B$12)/$G1239</f>
        <v>8.3030000000000008</v>
      </c>
    </row>
    <row r="1240" spans="1:27" x14ac:dyDescent="0.25">
      <c r="A1240">
        <v>2014</v>
      </c>
      <c r="B1240">
        <v>2</v>
      </c>
      <c r="C1240">
        <v>3</v>
      </c>
      <c r="D1240" t="s">
        <v>280</v>
      </c>
      <c r="E1240" t="s">
        <v>253</v>
      </c>
      <c r="F1240" t="s">
        <v>151</v>
      </c>
      <c r="G1240">
        <v>170000</v>
      </c>
      <c r="H1240">
        <v>30000</v>
      </c>
      <c r="I1240">
        <v>0</v>
      </c>
      <c r="J1240">
        <v>0</v>
      </c>
      <c r="K1240">
        <v>60000</v>
      </c>
      <c r="L1240">
        <v>45600</v>
      </c>
      <c r="M1240">
        <v>28200</v>
      </c>
      <c r="N1240">
        <v>48000</v>
      </c>
      <c r="O1240">
        <v>9000</v>
      </c>
      <c r="P1240">
        <v>0</v>
      </c>
      <c r="Q1240">
        <v>9000</v>
      </c>
      <c r="R1240">
        <v>0</v>
      </c>
      <c r="S1240">
        <v>0</v>
      </c>
      <c r="T1240">
        <v>0</v>
      </c>
      <c r="U1240">
        <v>52</v>
      </c>
      <c r="V1240">
        <v>0</v>
      </c>
      <c r="W1240">
        <v>0</v>
      </c>
      <c r="X1240">
        <v>0</v>
      </c>
      <c r="Y1240">
        <v>0</v>
      </c>
      <c r="Z1240" cm="1">
        <f t="array" ref="Z1240">MMULT($G1240:$Y1240,'Nelson Factor_2019'!$B$1:$B$19)/$G1240</f>
        <v>8.3097176470588234</v>
      </c>
      <c r="AA1240" cm="1">
        <f t="array" ref="AA1240">MMULT($G1240:$R1240,'Nelson Factor_2019'!$B$1:$B$12)/$G1240</f>
        <v>8.3094117647058816</v>
      </c>
    </row>
    <row r="1241" spans="1:27" x14ac:dyDescent="0.25">
      <c r="A1241">
        <v>2014</v>
      </c>
      <c r="B1241">
        <v>2</v>
      </c>
      <c r="C1241">
        <v>4</v>
      </c>
      <c r="D1241" t="s">
        <v>282</v>
      </c>
      <c r="E1241" t="s">
        <v>258</v>
      </c>
      <c r="F1241" t="s">
        <v>156</v>
      </c>
      <c r="G1241">
        <v>196000</v>
      </c>
      <c r="H1241">
        <v>80000</v>
      </c>
      <c r="I1241">
        <v>23100</v>
      </c>
      <c r="J1241">
        <v>0</v>
      </c>
      <c r="K1241">
        <v>59300</v>
      </c>
      <c r="L1241">
        <v>44000</v>
      </c>
      <c r="M1241">
        <v>0</v>
      </c>
      <c r="N1241">
        <v>187700</v>
      </c>
      <c r="O1241">
        <v>13000</v>
      </c>
      <c r="P1241">
        <v>2400</v>
      </c>
      <c r="Q1241">
        <v>0</v>
      </c>
      <c r="R1241">
        <v>23400</v>
      </c>
      <c r="S1241">
        <v>0</v>
      </c>
      <c r="T1241">
        <v>0</v>
      </c>
      <c r="U1241">
        <v>31.4</v>
      </c>
      <c r="V1241">
        <v>15.4</v>
      </c>
      <c r="W1241">
        <v>1150</v>
      </c>
      <c r="X1241">
        <v>200</v>
      </c>
      <c r="Y1241">
        <v>0</v>
      </c>
      <c r="Z1241" cm="1">
        <f t="array" ref="Z1241">MMULT($G1241:$Y1241,'Nelson Factor_2019'!$B$1:$B$19)/$G1241</f>
        <v>9.1354428571428556</v>
      </c>
      <c r="AA1241" cm="1">
        <f t="array" ref="AA1241">MMULT($G1241:$R1241,'Nelson Factor_2019'!$B$1:$B$12)/$G1241</f>
        <v>8.8903061224489797</v>
      </c>
    </row>
    <row r="1242" spans="1:27" x14ac:dyDescent="0.25">
      <c r="A1242">
        <v>2014</v>
      </c>
      <c r="B1242">
        <v>2</v>
      </c>
      <c r="C1242">
        <v>0</v>
      </c>
      <c r="D1242" t="s">
        <v>282</v>
      </c>
      <c r="E1242" t="s">
        <v>283</v>
      </c>
      <c r="F1242" t="s">
        <v>160</v>
      </c>
      <c r="G1242">
        <v>125000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0</v>
      </c>
      <c r="X1242">
        <v>0</v>
      </c>
      <c r="Y1242">
        <v>0</v>
      </c>
      <c r="Z1242" cm="1">
        <f t="array" ref="Z1242">MMULT($G1242:$Y1242,'Nelson Factor_2019'!$B$1:$B$19)/$G1242</f>
        <v>1</v>
      </c>
      <c r="AA1242" cm="1">
        <f t="array" ref="AA1242">MMULT($G1242:$R1242,'Nelson Factor_2019'!$B$1:$B$12)/$G1242</f>
        <v>1</v>
      </c>
    </row>
    <row r="1243" spans="1:27" x14ac:dyDescent="0.25">
      <c r="A1243">
        <v>2014</v>
      </c>
      <c r="B1243">
        <v>2</v>
      </c>
      <c r="C1243">
        <v>3</v>
      </c>
      <c r="D1243" t="s">
        <v>282</v>
      </c>
      <c r="E1243" t="s">
        <v>66</v>
      </c>
      <c r="F1243" t="s">
        <v>161</v>
      </c>
      <c r="G1243">
        <v>91500</v>
      </c>
      <c r="H1243">
        <v>32000</v>
      </c>
      <c r="I1243">
        <v>0</v>
      </c>
      <c r="J1243">
        <v>0</v>
      </c>
      <c r="K1243">
        <v>30576</v>
      </c>
      <c r="L1243">
        <v>21679</v>
      </c>
      <c r="M1243">
        <v>12000</v>
      </c>
      <c r="N1243">
        <v>86500</v>
      </c>
      <c r="O1243">
        <v>7012</v>
      </c>
      <c r="P1243">
        <v>0</v>
      </c>
      <c r="Q1243">
        <v>0</v>
      </c>
      <c r="R1243">
        <v>7000</v>
      </c>
      <c r="S1243">
        <v>0</v>
      </c>
      <c r="T1243">
        <v>0</v>
      </c>
      <c r="U1243">
        <v>26</v>
      </c>
      <c r="V1243">
        <v>26</v>
      </c>
      <c r="W1243">
        <v>0</v>
      </c>
      <c r="X1243">
        <v>243</v>
      </c>
      <c r="Y1243">
        <v>11000</v>
      </c>
      <c r="Z1243" cm="1">
        <f t="array" ref="Z1243">MMULT($G1243:$Y1243,'Nelson Factor_2019'!$B$1:$B$19)/$G1243</f>
        <v>9.8709617486338797</v>
      </c>
      <c r="AA1243" cm="1">
        <f t="array" ref="AA1243">MMULT($G1243:$R1243,'Nelson Factor_2019'!$B$1:$B$12)/$G1243</f>
        <v>9.0526885245901632</v>
      </c>
    </row>
    <row r="1244" spans="1:27" x14ac:dyDescent="0.25">
      <c r="A1244">
        <v>2014</v>
      </c>
      <c r="B1244">
        <v>2</v>
      </c>
      <c r="C1244">
        <v>3</v>
      </c>
      <c r="D1244" t="s">
        <v>282</v>
      </c>
      <c r="E1244" t="s">
        <v>228</v>
      </c>
      <c r="F1244" t="s">
        <v>158</v>
      </c>
      <c r="G1244">
        <v>70000</v>
      </c>
      <c r="H1244">
        <v>42000</v>
      </c>
      <c r="I1244">
        <v>0</v>
      </c>
      <c r="J1244">
        <v>0</v>
      </c>
      <c r="K1244">
        <v>20500</v>
      </c>
      <c r="L1244">
        <v>18500</v>
      </c>
      <c r="M1244">
        <v>15000</v>
      </c>
      <c r="N1244">
        <v>29900</v>
      </c>
      <c r="O1244">
        <v>4000</v>
      </c>
      <c r="P1244">
        <v>0</v>
      </c>
      <c r="Q1244">
        <v>0</v>
      </c>
      <c r="R1244">
        <v>3500</v>
      </c>
      <c r="S1244">
        <v>0</v>
      </c>
      <c r="T1244">
        <v>0</v>
      </c>
      <c r="U1244">
        <v>9</v>
      </c>
      <c r="V1244">
        <v>0</v>
      </c>
      <c r="W1244">
        <v>0</v>
      </c>
      <c r="X1244">
        <v>0</v>
      </c>
      <c r="Y1244">
        <v>5000</v>
      </c>
      <c r="Z1244" cm="1">
        <f t="array" ref="Z1244">MMULT($G1244:$Y1244,'Nelson Factor_2019'!$B$1:$B$19)/$G1244</f>
        <v>8.4694142857142865</v>
      </c>
      <c r="AA1244" cm="1">
        <f t="array" ref="AA1244">MMULT($G1244:$R1244,'Nelson Factor_2019'!$B$1:$B$12)/$G1244</f>
        <v>8.3621428571428567</v>
      </c>
    </row>
    <row r="1245" spans="1:27" x14ac:dyDescent="0.25">
      <c r="A1245">
        <v>2014</v>
      </c>
      <c r="B1245">
        <v>1</v>
      </c>
      <c r="C1245">
        <v>0</v>
      </c>
      <c r="D1245" t="s">
        <v>284</v>
      </c>
      <c r="E1245" t="s">
        <v>163</v>
      </c>
      <c r="F1245" t="s">
        <v>164</v>
      </c>
      <c r="G1245">
        <v>10000</v>
      </c>
      <c r="H1245">
        <v>0</v>
      </c>
      <c r="I1245">
        <v>0</v>
      </c>
      <c r="J1245">
        <v>0</v>
      </c>
      <c r="K1245">
        <v>0</v>
      </c>
      <c r="L1245">
        <v>1800</v>
      </c>
      <c r="M1245">
        <v>0</v>
      </c>
      <c r="N1245">
        <v>3500</v>
      </c>
      <c r="O1245">
        <v>0</v>
      </c>
      <c r="P1245">
        <v>0</v>
      </c>
      <c r="Q1245">
        <v>0</v>
      </c>
      <c r="R1245">
        <v>600</v>
      </c>
      <c r="S1245">
        <v>2600</v>
      </c>
      <c r="T1245">
        <v>0</v>
      </c>
      <c r="U1245">
        <v>0</v>
      </c>
      <c r="V1245">
        <v>0</v>
      </c>
      <c r="W1245">
        <v>0</v>
      </c>
      <c r="X1245">
        <v>0</v>
      </c>
      <c r="Y1245">
        <v>0</v>
      </c>
      <c r="Z1245" cm="1">
        <f t="array" ref="Z1245">MMULT($G1245:$Y1245,'Nelson Factor_2019'!$B$1:$B$19)/$G1245</f>
        <v>18.555</v>
      </c>
      <c r="AA1245" cm="1">
        <f t="array" ref="AA1245">MMULT($G1245:$R1245,'Nelson Factor_2019'!$B$1:$B$12)/$G1245</f>
        <v>2.9550000000000001</v>
      </c>
    </row>
    <row r="1246" spans="1:27" x14ac:dyDescent="0.25">
      <c r="A1246">
        <v>2014</v>
      </c>
      <c r="B1246">
        <v>1</v>
      </c>
      <c r="C1246">
        <v>3</v>
      </c>
      <c r="D1246" t="s">
        <v>284</v>
      </c>
      <c r="E1246" t="s">
        <v>285</v>
      </c>
      <c r="F1246" t="s">
        <v>165</v>
      </c>
      <c r="G1246">
        <v>185000</v>
      </c>
      <c r="H1246">
        <v>78700</v>
      </c>
      <c r="I1246">
        <v>0</v>
      </c>
      <c r="J1246">
        <v>0</v>
      </c>
      <c r="K1246">
        <v>48400</v>
      </c>
      <c r="L1246">
        <v>48800</v>
      </c>
      <c r="M1246">
        <v>21500</v>
      </c>
      <c r="N1246">
        <v>130200</v>
      </c>
      <c r="O1246">
        <v>11800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0</v>
      </c>
      <c r="V1246">
        <v>0</v>
      </c>
      <c r="W1246">
        <v>0</v>
      </c>
      <c r="X1246">
        <v>160</v>
      </c>
      <c r="Y1246">
        <v>0</v>
      </c>
      <c r="Z1246" cm="1">
        <f t="array" ref="Z1246">MMULT($G1246:$Y1246,'Nelson Factor_2019'!$B$1:$B$19)/$G1246</f>
        <v>7.9762702702702706</v>
      </c>
      <c r="AA1246" cm="1">
        <f t="array" ref="AA1246">MMULT($G1246:$R1246,'Nelson Factor_2019'!$B$1:$B$12)/$G1246</f>
        <v>7.7687027027027025</v>
      </c>
    </row>
    <row r="1247" spans="1:27" x14ac:dyDescent="0.25">
      <c r="A1247">
        <v>2014</v>
      </c>
      <c r="B1247">
        <v>1</v>
      </c>
      <c r="C1247">
        <v>1</v>
      </c>
      <c r="D1247" t="s">
        <v>284</v>
      </c>
      <c r="E1247" t="s">
        <v>138</v>
      </c>
      <c r="F1247" t="s">
        <v>166</v>
      </c>
      <c r="G1247">
        <v>175000</v>
      </c>
      <c r="H1247">
        <v>26400</v>
      </c>
      <c r="I1247">
        <v>0</v>
      </c>
      <c r="J1247">
        <v>0</v>
      </c>
      <c r="K1247">
        <v>93000</v>
      </c>
      <c r="L1247">
        <v>15600</v>
      </c>
      <c r="M1247">
        <v>0</v>
      </c>
      <c r="N1247">
        <v>48000</v>
      </c>
      <c r="O1247">
        <v>10000</v>
      </c>
      <c r="P1247">
        <v>0</v>
      </c>
      <c r="Q1247">
        <v>21600</v>
      </c>
      <c r="R1247">
        <v>0</v>
      </c>
      <c r="S1247">
        <v>0</v>
      </c>
      <c r="T1247">
        <v>2600</v>
      </c>
      <c r="U1247">
        <v>6</v>
      </c>
      <c r="V1247">
        <v>0</v>
      </c>
      <c r="W1247">
        <v>0</v>
      </c>
      <c r="X1247">
        <v>0</v>
      </c>
      <c r="Y1247">
        <v>0</v>
      </c>
      <c r="Z1247" cm="1">
        <f t="array" ref="Z1247">MMULT($G1247:$Y1247,'Nelson Factor_2019'!$B$1:$B$19)/$G1247</f>
        <v>8.70472</v>
      </c>
      <c r="AA1247" cm="1">
        <f t="array" ref="AA1247">MMULT($G1247:$R1247,'Nelson Factor_2019'!$B$1:$B$12)/$G1247</f>
        <v>8.5561142857142851</v>
      </c>
    </row>
    <row r="1248" spans="1:27" x14ac:dyDescent="0.25">
      <c r="A1248">
        <v>2014</v>
      </c>
      <c r="B1248">
        <v>1</v>
      </c>
      <c r="C1248">
        <v>1</v>
      </c>
      <c r="D1248" t="s">
        <v>284</v>
      </c>
      <c r="E1248" t="s">
        <v>138</v>
      </c>
      <c r="F1248" t="s">
        <v>167</v>
      </c>
      <c r="G1248">
        <v>330000</v>
      </c>
      <c r="H1248">
        <v>157400</v>
      </c>
      <c r="I1248">
        <v>0</v>
      </c>
      <c r="J1248">
        <v>0</v>
      </c>
      <c r="K1248">
        <v>113500</v>
      </c>
      <c r="L1248">
        <v>68000</v>
      </c>
      <c r="M1248">
        <v>0</v>
      </c>
      <c r="N1248">
        <v>163600</v>
      </c>
      <c r="O1248">
        <v>16700</v>
      </c>
      <c r="P1248">
        <v>0</v>
      </c>
      <c r="Q1248">
        <v>13700</v>
      </c>
      <c r="R1248">
        <v>7300</v>
      </c>
      <c r="S1248">
        <v>0</v>
      </c>
      <c r="T1248">
        <v>0</v>
      </c>
      <c r="U1248">
        <v>0</v>
      </c>
      <c r="V1248">
        <v>0</v>
      </c>
      <c r="W1248">
        <v>0</v>
      </c>
      <c r="X1248">
        <v>0</v>
      </c>
      <c r="Y1248">
        <v>0</v>
      </c>
      <c r="Z1248" cm="1">
        <f t="array" ref="Z1248">MMULT($G1248:$Y1248,'Nelson Factor_2019'!$B$1:$B$19)/$G1248</f>
        <v>7.3561212121212121</v>
      </c>
      <c r="AA1248" cm="1">
        <f t="array" ref="AA1248">MMULT($G1248:$R1248,'Nelson Factor_2019'!$B$1:$B$12)/$G1248</f>
        <v>7.3561212121212121</v>
      </c>
    </row>
    <row r="1249" spans="1:27" x14ac:dyDescent="0.25">
      <c r="A1249">
        <v>2014</v>
      </c>
      <c r="B1249">
        <v>1</v>
      </c>
      <c r="C1249">
        <v>1</v>
      </c>
      <c r="D1249" t="s">
        <v>284</v>
      </c>
      <c r="E1249" t="s">
        <v>168</v>
      </c>
      <c r="F1249" t="s">
        <v>169</v>
      </c>
      <c r="G1249">
        <v>66700</v>
      </c>
      <c r="H1249">
        <v>27000</v>
      </c>
      <c r="I1249">
        <v>0</v>
      </c>
      <c r="J1249">
        <v>0</v>
      </c>
      <c r="K1249">
        <v>23000</v>
      </c>
      <c r="L1249">
        <v>16000</v>
      </c>
      <c r="M1249">
        <v>0</v>
      </c>
      <c r="N1249">
        <v>40000</v>
      </c>
      <c r="O1249">
        <v>3500</v>
      </c>
      <c r="P1249">
        <v>1000</v>
      </c>
      <c r="Q1249">
        <v>0</v>
      </c>
      <c r="R1249">
        <v>6800</v>
      </c>
      <c r="S1249">
        <v>0</v>
      </c>
      <c r="T1249">
        <v>0</v>
      </c>
      <c r="U1249">
        <v>0</v>
      </c>
      <c r="V1249">
        <v>0</v>
      </c>
      <c r="W1249">
        <v>0</v>
      </c>
      <c r="X1249">
        <v>0</v>
      </c>
      <c r="Y1249">
        <v>12000</v>
      </c>
      <c r="Z1249" cm="1">
        <f t="array" ref="Z1249">MMULT($G1249:$Y1249,'Nelson Factor_2019'!$B$1:$B$19)/$G1249</f>
        <v>7.5442278860569711</v>
      </c>
      <c r="AA1249" cm="1">
        <f t="array" ref="AA1249">MMULT($G1249:$R1249,'Nelson Factor_2019'!$B$1:$B$12)/$G1249</f>
        <v>7.2743628185907045</v>
      </c>
    </row>
    <row r="1250" spans="1:27" x14ac:dyDescent="0.25">
      <c r="A1250">
        <v>2014</v>
      </c>
      <c r="B1250">
        <v>2</v>
      </c>
      <c r="C1250">
        <v>1</v>
      </c>
      <c r="D1250" t="s">
        <v>286</v>
      </c>
      <c r="E1250" t="s">
        <v>66</v>
      </c>
      <c r="F1250" t="s">
        <v>172</v>
      </c>
      <c r="G1250">
        <v>195000</v>
      </c>
      <c r="H1250">
        <v>0</v>
      </c>
      <c r="I1250">
        <v>0</v>
      </c>
      <c r="J1250">
        <v>0</v>
      </c>
      <c r="K1250">
        <v>69000</v>
      </c>
      <c r="L1250">
        <v>36000</v>
      </c>
      <c r="M1250">
        <v>0</v>
      </c>
      <c r="N1250">
        <v>151315</v>
      </c>
      <c r="O1250">
        <v>12000</v>
      </c>
      <c r="P1250">
        <v>0</v>
      </c>
      <c r="Q1250">
        <v>0</v>
      </c>
      <c r="R1250">
        <v>4000</v>
      </c>
      <c r="S1250">
        <v>0</v>
      </c>
      <c r="T1250">
        <v>0</v>
      </c>
      <c r="U1250">
        <v>0</v>
      </c>
      <c r="V1250">
        <v>0</v>
      </c>
      <c r="W1250">
        <v>748</v>
      </c>
      <c r="X1250">
        <v>105.2334252</v>
      </c>
      <c r="Y1250">
        <v>0</v>
      </c>
      <c r="Z1250" cm="1">
        <f t="array" ref="Z1250">MMULT($G1250:$Y1250,'Nelson Factor_2019'!$B$1:$B$19)/$G1250</f>
        <v>6.7925308822974362</v>
      </c>
      <c r="AA1250" cm="1">
        <f t="array" ref="AA1250">MMULT($G1250:$R1250,'Nelson Factor_2019'!$B$1:$B$12)/$G1250</f>
        <v>6.6630128205128205</v>
      </c>
    </row>
    <row r="1251" spans="1:27" x14ac:dyDescent="0.25">
      <c r="A1251">
        <v>2014</v>
      </c>
      <c r="B1251">
        <v>3</v>
      </c>
      <c r="C1251">
        <v>1</v>
      </c>
      <c r="D1251" t="s">
        <v>287</v>
      </c>
      <c r="E1251" t="s">
        <v>176</v>
      </c>
      <c r="F1251" t="s">
        <v>177</v>
      </c>
      <c r="G1251">
        <v>70000</v>
      </c>
      <c r="H1251">
        <v>24000</v>
      </c>
      <c r="I1251">
        <v>0</v>
      </c>
      <c r="J1251">
        <v>0</v>
      </c>
      <c r="K1251">
        <v>24000</v>
      </c>
      <c r="L1251">
        <v>21000</v>
      </c>
      <c r="M1251">
        <v>0</v>
      </c>
      <c r="N1251">
        <v>67950</v>
      </c>
      <c r="O1251">
        <v>5000</v>
      </c>
      <c r="P1251">
        <v>0</v>
      </c>
      <c r="Q1251">
        <v>2000</v>
      </c>
      <c r="R1251">
        <v>0</v>
      </c>
      <c r="S1251">
        <v>0</v>
      </c>
      <c r="T1251">
        <v>0</v>
      </c>
      <c r="U1251">
        <v>0</v>
      </c>
      <c r="V1251">
        <v>0</v>
      </c>
      <c r="W1251">
        <v>0</v>
      </c>
      <c r="X1251">
        <v>135</v>
      </c>
      <c r="Y1251">
        <v>8000</v>
      </c>
      <c r="Z1251" cm="1">
        <f t="array" ref="Z1251">MMULT($G1251:$Y1251,'Nelson Factor_2019'!$B$1:$B$19)/$G1251</f>
        <v>9.3496428571428574</v>
      </c>
      <c r="AA1251" cm="1">
        <f t="array" ref="AA1251">MMULT($G1251:$R1251,'Nelson Factor_2019'!$B$1:$B$12)/$G1251</f>
        <v>8.7153571428571421</v>
      </c>
    </row>
    <row r="1252" spans="1:27" x14ac:dyDescent="0.25">
      <c r="A1252">
        <v>2014</v>
      </c>
      <c r="B1252">
        <v>3</v>
      </c>
      <c r="C1252">
        <v>0</v>
      </c>
      <c r="D1252" t="s">
        <v>287</v>
      </c>
      <c r="E1252" t="s">
        <v>298</v>
      </c>
      <c r="F1252" t="s">
        <v>175</v>
      </c>
      <c r="G1252">
        <v>14500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1200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  <c r="X1252">
        <v>0</v>
      </c>
      <c r="Y1252">
        <v>0</v>
      </c>
      <c r="Z1252" cm="1">
        <f t="array" ref="Z1252">MMULT($G1252:$Y1252,'Nelson Factor_2019'!$B$1:$B$19)/$G1252</f>
        <v>2.6551724137931036</v>
      </c>
      <c r="AA1252" cm="1">
        <f t="array" ref="AA1252">MMULT($G1252:$R1252,'Nelson Factor_2019'!$B$1:$B$12)/$G1252</f>
        <v>2.6551724137931036</v>
      </c>
    </row>
    <row r="1253" spans="1:27" x14ac:dyDescent="0.25">
      <c r="A1253">
        <v>2014</v>
      </c>
      <c r="B1253">
        <v>3</v>
      </c>
      <c r="C1253">
        <v>4</v>
      </c>
      <c r="D1253" t="s">
        <v>287</v>
      </c>
      <c r="E1253" t="s">
        <v>79</v>
      </c>
      <c r="F1253" t="s">
        <v>179</v>
      </c>
      <c r="G1253">
        <v>156750</v>
      </c>
      <c r="H1253">
        <v>73625</v>
      </c>
      <c r="I1253">
        <v>37800</v>
      </c>
      <c r="J1253">
        <v>0</v>
      </c>
      <c r="K1253">
        <v>72450</v>
      </c>
      <c r="L1253">
        <v>45450</v>
      </c>
      <c r="M1253">
        <v>0</v>
      </c>
      <c r="N1253">
        <v>148230</v>
      </c>
      <c r="O1253">
        <v>18090</v>
      </c>
      <c r="P1253">
        <v>0</v>
      </c>
      <c r="Q1253">
        <v>30105</v>
      </c>
      <c r="R1253">
        <v>0</v>
      </c>
      <c r="S1253">
        <v>0</v>
      </c>
      <c r="T1253">
        <v>3600</v>
      </c>
      <c r="U1253">
        <v>0</v>
      </c>
      <c r="V1253">
        <v>0</v>
      </c>
      <c r="W1253">
        <v>2123.1</v>
      </c>
      <c r="X1253">
        <v>281.7</v>
      </c>
      <c r="Y1253">
        <v>0</v>
      </c>
      <c r="Z1253" cm="1">
        <f t="array" ref="Z1253">MMULT($G1253:$Y1253,'Nelson Factor_2019'!$B$1:$B$19)/$G1253</f>
        <v>15.662491228070175</v>
      </c>
      <c r="AA1253" cm="1">
        <f t="array" ref="AA1253">MMULT($G1253:$R1253,'Nelson Factor_2019'!$B$1:$B$12)/$G1253</f>
        <v>15.001515151515152</v>
      </c>
    </row>
    <row r="1254" spans="1:27" x14ac:dyDescent="0.25">
      <c r="A1254">
        <v>2014</v>
      </c>
      <c r="B1254">
        <v>3</v>
      </c>
      <c r="C1254">
        <v>4</v>
      </c>
      <c r="D1254" t="s">
        <v>287</v>
      </c>
      <c r="E1254" t="s">
        <v>258</v>
      </c>
      <c r="F1254" t="s">
        <v>182</v>
      </c>
      <c r="G1254">
        <v>247000</v>
      </c>
      <c r="H1254">
        <v>125500</v>
      </c>
      <c r="I1254">
        <v>70900</v>
      </c>
      <c r="J1254">
        <v>0</v>
      </c>
      <c r="K1254">
        <v>97000</v>
      </c>
      <c r="L1254">
        <v>33800</v>
      </c>
      <c r="M1254">
        <v>0</v>
      </c>
      <c r="N1254">
        <v>275500</v>
      </c>
      <c r="O1254">
        <v>19600</v>
      </c>
      <c r="P1254">
        <v>0</v>
      </c>
      <c r="Q1254">
        <v>17700</v>
      </c>
      <c r="R1254">
        <v>9100</v>
      </c>
      <c r="S1254">
        <v>0</v>
      </c>
      <c r="T1254">
        <v>0</v>
      </c>
      <c r="U1254">
        <v>0</v>
      </c>
      <c r="V1254">
        <v>165</v>
      </c>
      <c r="W1254">
        <v>4000</v>
      </c>
      <c r="X1254">
        <v>590</v>
      </c>
      <c r="Y1254">
        <v>0</v>
      </c>
      <c r="Z1254" cm="1">
        <f t="array" ref="Z1254">MMULT($G1254:$Y1254,'Nelson Factor_2019'!$B$1:$B$19)/$G1254</f>
        <v>12.553502024291499</v>
      </c>
      <c r="AA1254" cm="1">
        <f t="array" ref="AA1254">MMULT($G1254:$R1254,'Nelson Factor_2019'!$B$1:$B$12)/$G1254</f>
        <v>11.979554655870446</v>
      </c>
    </row>
    <row r="1255" spans="1:27" x14ac:dyDescent="0.25">
      <c r="A1255">
        <v>2014</v>
      </c>
      <c r="B1255">
        <v>3</v>
      </c>
      <c r="C1255">
        <v>4</v>
      </c>
      <c r="D1255" t="s">
        <v>287</v>
      </c>
      <c r="E1255" t="s">
        <v>236</v>
      </c>
      <c r="F1255" t="s">
        <v>188</v>
      </c>
      <c r="G1255">
        <v>60000</v>
      </c>
      <c r="H1255">
        <v>15000</v>
      </c>
      <c r="I1255">
        <v>6500</v>
      </c>
      <c r="J1255">
        <v>0</v>
      </c>
      <c r="K1255">
        <v>20200</v>
      </c>
      <c r="L1255">
        <v>17500</v>
      </c>
      <c r="M1255">
        <v>0</v>
      </c>
      <c r="N1255">
        <v>32000</v>
      </c>
      <c r="O1255">
        <v>4750</v>
      </c>
      <c r="P1255">
        <v>0</v>
      </c>
      <c r="Q1255">
        <v>0</v>
      </c>
      <c r="R1255">
        <v>5000</v>
      </c>
      <c r="S1255">
        <v>0</v>
      </c>
      <c r="T1255">
        <v>0</v>
      </c>
      <c r="U1255">
        <v>0</v>
      </c>
      <c r="V1255">
        <v>0</v>
      </c>
      <c r="W1255">
        <v>250</v>
      </c>
      <c r="X1255">
        <v>18</v>
      </c>
      <c r="Y1255">
        <v>0</v>
      </c>
      <c r="Z1255" cm="1">
        <f t="array" ref="Z1255">MMULT($G1255:$Y1255,'Nelson Factor_2019'!$B$1:$B$19)/$G1255</f>
        <v>8.0628333333333337</v>
      </c>
      <c r="AA1255" cm="1">
        <f t="array" ref="AA1255">MMULT($G1255:$R1255,'Nelson Factor_2019'!$B$1:$B$12)/$G1255</f>
        <v>7.9908333333333337</v>
      </c>
    </row>
    <row r="1256" spans="1:27" x14ac:dyDescent="0.25">
      <c r="A1256">
        <v>2014</v>
      </c>
      <c r="B1256">
        <v>3</v>
      </c>
      <c r="C1256">
        <v>6</v>
      </c>
      <c r="D1256" t="s">
        <v>287</v>
      </c>
      <c r="E1256" t="s">
        <v>54</v>
      </c>
      <c r="F1256" t="s">
        <v>185</v>
      </c>
      <c r="G1256">
        <v>560500</v>
      </c>
      <c r="H1256">
        <v>285000</v>
      </c>
      <c r="I1256">
        <v>90000</v>
      </c>
      <c r="J1256">
        <v>0</v>
      </c>
      <c r="K1256">
        <v>204500</v>
      </c>
      <c r="L1256">
        <v>120000</v>
      </c>
      <c r="M1256">
        <v>26500</v>
      </c>
      <c r="N1256">
        <v>761000</v>
      </c>
      <c r="O1256">
        <v>36000</v>
      </c>
      <c r="P1256">
        <v>0</v>
      </c>
      <c r="Q1256">
        <v>0</v>
      </c>
      <c r="R1256">
        <v>0</v>
      </c>
      <c r="S1256">
        <v>21500</v>
      </c>
      <c r="T1256">
        <v>0</v>
      </c>
      <c r="U1256">
        <v>0</v>
      </c>
      <c r="V1256">
        <v>0</v>
      </c>
      <c r="W1256">
        <v>3550</v>
      </c>
      <c r="X1256">
        <v>1550</v>
      </c>
      <c r="Y1256">
        <v>0</v>
      </c>
      <c r="Z1256" cm="1">
        <f t="array" ref="Z1256">MMULT($G1256:$Y1256,'Nelson Factor_2019'!$B$1:$B$19)/$G1256</f>
        <v>13.504906333630688</v>
      </c>
      <c r="AA1256" cm="1">
        <f t="array" ref="AA1256">MMULT($G1256:$R1256,'Nelson Factor_2019'!$B$1:$B$12)/$G1256</f>
        <v>10.539696699375558</v>
      </c>
    </row>
    <row r="1257" spans="1:27" x14ac:dyDescent="0.25">
      <c r="A1257">
        <v>2014</v>
      </c>
      <c r="B1257">
        <v>3</v>
      </c>
      <c r="C1257">
        <v>6</v>
      </c>
      <c r="D1257" t="s">
        <v>287</v>
      </c>
      <c r="E1257" t="s">
        <v>54</v>
      </c>
      <c r="F1257" t="s">
        <v>186</v>
      </c>
      <c r="G1257">
        <v>344500</v>
      </c>
      <c r="H1257">
        <v>143000</v>
      </c>
      <c r="I1257">
        <v>45500</v>
      </c>
      <c r="J1257">
        <v>0</v>
      </c>
      <c r="K1257">
        <v>113000</v>
      </c>
      <c r="L1257">
        <v>138500</v>
      </c>
      <c r="M1257">
        <v>60000</v>
      </c>
      <c r="N1257">
        <v>294000</v>
      </c>
      <c r="O1257">
        <v>14000</v>
      </c>
      <c r="P1257">
        <v>0</v>
      </c>
      <c r="Q1257">
        <v>0</v>
      </c>
      <c r="R1257">
        <v>15500</v>
      </c>
      <c r="S1257">
        <v>10000</v>
      </c>
      <c r="T1257">
        <v>3500</v>
      </c>
      <c r="U1257">
        <v>0</v>
      </c>
      <c r="V1257">
        <v>49.5</v>
      </c>
      <c r="W1257">
        <v>2720</v>
      </c>
      <c r="X1257">
        <v>560</v>
      </c>
      <c r="Y1257">
        <v>0</v>
      </c>
      <c r="Z1257" cm="1">
        <f t="array" ref="Z1257">MMULT($G1257:$Y1257,'Nelson Factor_2019'!$B$1:$B$19)/$G1257</f>
        <v>12.810158200290276</v>
      </c>
      <c r="AA1257" cm="1">
        <f t="array" ref="AA1257">MMULT($G1257:$R1257,'Nelson Factor_2019'!$B$1:$B$12)/$G1257</f>
        <v>10.576632801161104</v>
      </c>
    </row>
    <row r="1258" spans="1:27" x14ac:dyDescent="0.25">
      <c r="A1258">
        <v>2014</v>
      </c>
      <c r="B1258">
        <v>3</v>
      </c>
      <c r="C1258">
        <v>6</v>
      </c>
      <c r="D1258" t="s">
        <v>287</v>
      </c>
      <c r="E1258" t="s">
        <v>35</v>
      </c>
      <c r="F1258" t="s">
        <v>179</v>
      </c>
      <c r="G1258">
        <v>278350</v>
      </c>
      <c r="H1258">
        <v>83125</v>
      </c>
      <c r="I1258">
        <v>11970</v>
      </c>
      <c r="J1258">
        <v>0</v>
      </c>
      <c r="K1258">
        <v>94230</v>
      </c>
      <c r="L1258">
        <v>66600</v>
      </c>
      <c r="M1258">
        <v>11700</v>
      </c>
      <c r="N1258">
        <v>266940</v>
      </c>
      <c r="O1258">
        <v>12870</v>
      </c>
      <c r="P1258">
        <v>0</v>
      </c>
      <c r="Q1258">
        <v>44550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798</v>
      </c>
      <c r="X1258">
        <v>373</v>
      </c>
      <c r="Y1258">
        <v>0</v>
      </c>
      <c r="Z1258" cm="1">
        <f t="array" ref="Z1258">MMULT($G1258:$Y1258,'Nelson Factor_2019'!$B$1:$B$19)/$G1258</f>
        <v>11.657041494521286</v>
      </c>
      <c r="AA1258" cm="1">
        <f t="array" ref="AA1258">MMULT($G1258:$R1258,'Nelson Factor_2019'!$B$1:$B$12)/$G1258</f>
        <v>11.335432010059279</v>
      </c>
    </row>
    <row r="1259" spans="1:27" x14ac:dyDescent="0.25">
      <c r="A1259">
        <v>2014</v>
      </c>
      <c r="B1259">
        <v>3</v>
      </c>
      <c r="C1259">
        <v>4</v>
      </c>
      <c r="D1259" t="s">
        <v>287</v>
      </c>
      <c r="E1259" t="s">
        <v>244</v>
      </c>
      <c r="F1259" t="s">
        <v>190</v>
      </c>
      <c r="G1259">
        <v>268000</v>
      </c>
      <c r="H1259">
        <v>191100</v>
      </c>
      <c r="I1259">
        <v>98500</v>
      </c>
      <c r="J1259">
        <v>0</v>
      </c>
      <c r="K1259">
        <v>97000</v>
      </c>
      <c r="L1259">
        <v>33700</v>
      </c>
      <c r="M1259">
        <v>0</v>
      </c>
      <c r="N1259">
        <v>307900</v>
      </c>
      <c r="O1259">
        <v>11250</v>
      </c>
      <c r="P1259">
        <v>0</v>
      </c>
      <c r="Q1259">
        <v>8350</v>
      </c>
      <c r="R1259">
        <v>0</v>
      </c>
      <c r="S1259">
        <v>4050</v>
      </c>
      <c r="T1259">
        <v>4000</v>
      </c>
      <c r="U1259">
        <v>0</v>
      </c>
      <c r="V1259">
        <v>0</v>
      </c>
      <c r="W1259">
        <v>5000</v>
      </c>
      <c r="X1259">
        <v>1042</v>
      </c>
      <c r="Y1259">
        <v>0</v>
      </c>
      <c r="Z1259" cm="1">
        <f t="array" ref="Z1259">MMULT($G1259:$Y1259,'Nelson Factor_2019'!$B$1:$B$19)/$G1259</f>
        <v>13.388097014925373</v>
      </c>
      <c r="AA1259" cm="1">
        <f t="array" ref="AA1259">MMULT($G1259:$R1259,'Nelson Factor_2019'!$B$1:$B$12)/$G1259</f>
        <v>11.398992537313433</v>
      </c>
    </row>
    <row r="1260" spans="1:27" x14ac:dyDescent="0.25">
      <c r="A1260">
        <v>2014</v>
      </c>
      <c r="B1260">
        <v>3</v>
      </c>
      <c r="C1260">
        <v>6</v>
      </c>
      <c r="D1260" t="s">
        <v>287</v>
      </c>
      <c r="E1260" t="s">
        <v>246</v>
      </c>
      <c r="F1260" t="s">
        <v>299</v>
      </c>
      <c r="G1260">
        <v>451000</v>
      </c>
      <c r="H1260">
        <v>225150</v>
      </c>
      <c r="I1260">
        <v>29800</v>
      </c>
      <c r="J1260">
        <v>0</v>
      </c>
      <c r="K1260">
        <v>163900</v>
      </c>
      <c r="L1260">
        <v>124300</v>
      </c>
      <c r="M1260">
        <v>128600</v>
      </c>
      <c r="N1260">
        <v>387900</v>
      </c>
      <c r="O1260">
        <v>36600</v>
      </c>
      <c r="P1260">
        <v>0</v>
      </c>
      <c r="Q1260">
        <v>33100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2052.9589760999997</v>
      </c>
      <c r="X1260">
        <v>426</v>
      </c>
      <c r="Y1260">
        <v>0</v>
      </c>
      <c r="Z1260" cm="1">
        <f t="array" ref="Z1260">MMULT($G1260:$Y1260,'Nelson Factor_2019'!$B$1:$B$19)/$G1260</f>
        <v>12.640543237250554</v>
      </c>
      <c r="AA1260" cm="1">
        <f t="array" ref="AA1260">MMULT($G1260:$R1260,'Nelson Factor_2019'!$B$1:$B$12)/$G1260</f>
        <v>12.413847006651885</v>
      </c>
    </row>
    <row r="1261" spans="1:27" x14ac:dyDescent="0.25">
      <c r="A1261">
        <v>2014</v>
      </c>
      <c r="B1261">
        <v>3</v>
      </c>
      <c r="C1261">
        <v>1</v>
      </c>
      <c r="D1261" t="s">
        <v>287</v>
      </c>
      <c r="E1261" t="s">
        <v>246</v>
      </c>
      <c r="F1261" t="s">
        <v>178</v>
      </c>
      <c r="G1261">
        <v>84000</v>
      </c>
      <c r="H1261">
        <v>0</v>
      </c>
      <c r="I1261">
        <v>0</v>
      </c>
      <c r="J1261">
        <v>0</v>
      </c>
      <c r="K1261">
        <v>56000</v>
      </c>
      <c r="L1261">
        <v>10500</v>
      </c>
      <c r="M1261">
        <v>0</v>
      </c>
      <c r="N1261">
        <v>0</v>
      </c>
      <c r="O1261">
        <v>13800</v>
      </c>
      <c r="P1261">
        <v>0</v>
      </c>
      <c r="Q1261">
        <v>2900</v>
      </c>
      <c r="R1261">
        <v>0</v>
      </c>
      <c r="S1261">
        <v>0</v>
      </c>
      <c r="T1261">
        <v>0</v>
      </c>
      <c r="U1261">
        <v>0</v>
      </c>
      <c r="V1261">
        <v>0</v>
      </c>
      <c r="W1261">
        <v>0</v>
      </c>
      <c r="X1261">
        <v>35</v>
      </c>
      <c r="Y1261">
        <v>0</v>
      </c>
      <c r="Z1261" cm="1">
        <f t="array" ref="Z1261">MMULT($G1261:$Y1261,'Nelson Factor_2019'!$B$1:$B$19)/$G1261</f>
        <v>8.0583333333333336</v>
      </c>
      <c r="AA1261" cm="1">
        <f t="array" ref="AA1261">MMULT($G1261:$R1261,'Nelson Factor_2019'!$B$1:$B$12)/$G1261</f>
        <v>7.958333333333333</v>
      </c>
    </row>
    <row r="1262" spans="1:27" x14ac:dyDescent="0.25">
      <c r="A1262">
        <v>2014</v>
      </c>
      <c r="B1262">
        <v>3</v>
      </c>
      <c r="C1262">
        <v>6</v>
      </c>
      <c r="D1262" t="s">
        <v>287</v>
      </c>
      <c r="E1262" t="s">
        <v>112</v>
      </c>
      <c r="F1262" t="s">
        <v>191</v>
      </c>
      <c r="G1262">
        <v>600000</v>
      </c>
      <c r="H1262">
        <v>138000</v>
      </c>
      <c r="I1262">
        <v>95000</v>
      </c>
      <c r="J1262">
        <v>0</v>
      </c>
      <c r="K1262">
        <v>88000</v>
      </c>
      <c r="L1262">
        <v>45000</v>
      </c>
      <c r="M1262">
        <v>20000</v>
      </c>
      <c r="N1262">
        <v>263700</v>
      </c>
      <c r="O1262">
        <v>19000</v>
      </c>
      <c r="P1262">
        <v>0</v>
      </c>
      <c r="Q1262">
        <v>0</v>
      </c>
      <c r="R1262">
        <v>0</v>
      </c>
      <c r="S1262">
        <v>39000</v>
      </c>
      <c r="T1262">
        <v>0</v>
      </c>
      <c r="U1262">
        <v>0</v>
      </c>
      <c r="V1262">
        <v>0</v>
      </c>
      <c r="W1262">
        <v>2450</v>
      </c>
      <c r="X1262">
        <v>660</v>
      </c>
      <c r="Y1262">
        <v>0</v>
      </c>
      <c r="Z1262" cm="1">
        <f t="array" ref="Z1262">MMULT($G1262:$Y1262,'Nelson Factor_2019'!$B$1:$B$19)/$G1262</f>
        <v>9.5875833333333329</v>
      </c>
      <c r="AA1262" cm="1">
        <f t="array" ref="AA1262">MMULT($G1262:$R1262,'Nelson Factor_2019'!$B$1:$B$12)/$G1262</f>
        <v>5.4235833333333332</v>
      </c>
    </row>
    <row r="1263" spans="1:27" x14ac:dyDescent="0.25">
      <c r="A1263">
        <v>2014</v>
      </c>
      <c r="B1263">
        <v>3</v>
      </c>
      <c r="C1263">
        <v>4</v>
      </c>
      <c r="D1263" t="s">
        <v>287</v>
      </c>
      <c r="E1263" t="s">
        <v>288</v>
      </c>
      <c r="F1263" t="s">
        <v>184</v>
      </c>
      <c r="G1263">
        <v>117000</v>
      </c>
      <c r="H1263">
        <v>41000</v>
      </c>
      <c r="I1263">
        <v>12000</v>
      </c>
      <c r="J1263">
        <v>0</v>
      </c>
      <c r="K1263">
        <v>50000</v>
      </c>
      <c r="L1263">
        <v>20000</v>
      </c>
      <c r="M1263">
        <v>0</v>
      </c>
      <c r="N1263">
        <v>44000</v>
      </c>
      <c r="O1263">
        <v>11000</v>
      </c>
      <c r="P1263">
        <v>0</v>
      </c>
      <c r="Q1263">
        <v>0</v>
      </c>
      <c r="R1263">
        <v>0</v>
      </c>
      <c r="S1263">
        <v>0</v>
      </c>
      <c r="T1263">
        <v>0</v>
      </c>
      <c r="U1263">
        <v>0</v>
      </c>
      <c r="V1263">
        <v>0</v>
      </c>
      <c r="W1263">
        <v>500</v>
      </c>
      <c r="X1263">
        <v>24</v>
      </c>
      <c r="Y1263">
        <v>0</v>
      </c>
      <c r="Z1263" cm="1">
        <f t="array" ref="Z1263">MMULT($G1263:$Y1263,'Nelson Factor_2019'!$B$1:$B$19)/$G1263</f>
        <v>7.5731623931623933</v>
      </c>
      <c r="AA1263" cm="1">
        <f t="array" ref="AA1263">MMULT($G1263:$R1263,'Nelson Factor_2019'!$B$1:$B$12)/$G1263</f>
        <v>7.5239316239316238</v>
      </c>
    </row>
    <row r="1264" spans="1:27" x14ac:dyDescent="0.25">
      <c r="A1264">
        <v>2014</v>
      </c>
      <c r="B1264">
        <v>3</v>
      </c>
      <c r="C1264">
        <v>6</v>
      </c>
      <c r="D1264" t="s">
        <v>287</v>
      </c>
      <c r="E1264" t="s">
        <v>192</v>
      </c>
      <c r="F1264" t="s">
        <v>193</v>
      </c>
      <c r="G1264">
        <v>327000</v>
      </c>
      <c r="H1264">
        <v>173100</v>
      </c>
      <c r="I1264">
        <v>81600</v>
      </c>
      <c r="J1264">
        <v>0</v>
      </c>
      <c r="K1264">
        <v>66300</v>
      </c>
      <c r="L1264">
        <v>67100</v>
      </c>
      <c r="M1264">
        <v>53400</v>
      </c>
      <c r="N1264">
        <v>238400</v>
      </c>
      <c r="O1264">
        <v>17600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56.6</v>
      </c>
      <c r="V1264">
        <v>35.299999999999997</v>
      </c>
      <c r="W1264">
        <v>6417</v>
      </c>
      <c r="X1264">
        <v>1011</v>
      </c>
      <c r="Y1264">
        <v>0</v>
      </c>
      <c r="Z1264" cm="1">
        <f t="array" ref="Z1264">MMULT($G1264:$Y1264,'Nelson Factor_2019'!$B$1:$B$19)/$G1264</f>
        <v>10.21181009174312</v>
      </c>
      <c r="AA1264" cm="1">
        <f t="array" ref="AA1264">MMULT($G1264:$R1264,'Nelson Factor_2019'!$B$1:$B$12)/$G1264</f>
        <v>9.4695107033639143</v>
      </c>
    </row>
    <row r="1265" spans="1:27" x14ac:dyDescent="0.25">
      <c r="A1265">
        <v>2014</v>
      </c>
      <c r="B1265">
        <v>3</v>
      </c>
      <c r="C1265">
        <v>4</v>
      </c>
      <c r="D1265" t="s">
        <v>287</v>
      </c>
      <c r="E1265" t="s">
        <v>194</v>
      </c>
      <c r="F1265" t="s">
        <v>191</v>
      </c>
      <c r="G1265">
        <v>168767</v>
      </c>
      <c r="H1265">
        <v>106247</v>
      </c>
      <c r="I1265">
        <v>47945</v>
      </c>
      <c r="J1265">
        <v>0</v>
      </c>
      <c r="K1265">
        <v>74772</v>
      </c>
      <c r="L1265">
        <v>37918</v>
      </c>
      <c r="M1265">
        <v>0</v>
      </c>
      <c r="N1265">
        <v>233383</v>
      </c>
      <c r="O1265">
        <v>6049</v>
      </c>
      <c r="P1265">
        <v>0</v>
      </c>
      <c r="Q1265">
        <v>57314</v>
      </c>
      <c r="R1265">
        <v>7522</v>
      </c>
      <c r="S1265">
        <v>0</v>
      </c>
      <c r="T1265">
        <v>0</v>
      </c>
      <c r="U1265">
        <v>0</v>
      </c>
      <c r="V1265">
        <v>0</v>
      </c>
      <c r="W1265">
        <v>0</v>
      </c>
      <c r="X1265">
        <v>683</v>
      </c>
      <c r="Y1265">
        <v>1667</v>
      </c>
      <c r="Z1265" cm="1">
        <f t="array" ref="Z1265">MMULT($G1265:$Y1265,'Nelson Factor_2019'!$B$1:$B$19)/$G1265</f>
        <v>19.458256649700473</v>
      </c>
      <c r="AA1265" cm="1">
        <f t="array" ref="AA1265">MMULT($G1265:$R1265,'Nelson Factor_2019'!$B$1:$B$12)/$G1265</f>
        <v>18.47216043420811</v>
      </c>
    </row>
    <row r="1266" spans="1:27" x14ac:dyDescent="0.25">
      <c r="A1266">
        <v>2014</v>
      </c>
      <c r="B1266">
        <v>3</v>
      </c>
      <c r="C1266">
        <v>6</v>
      </c>
      <c r="D1266" t="s">
        <v>287</v>
      </c>
      <c r="E1266" t="s">
        <v>66</v>
      </c>
      <c r="F1266" t="s">
        <v>179</v>
      </c>
      <c r="G1266">
        <v>205000</v>
      </c>
      <c r="H1266">
        <v>95000</v>
      </c>
      <c r="I1266">
        <v>17500</v>
      </c>
      <c r="J1266">
        <v>0</v>
      </c>
      <c r="K1266">
        <v>92000</v>
      </c>
      <c r="L1266">
        <v>47000</v>
      </c>
      <c r="M1266">
        <v>49000</v>
      </c>
      <c r="N1266">
        <v>296000</v>
      </c>
      <c r="O1266">
        <v>21000</v>
      </c>
      <c r="P1266">
        <v>11200</v>
      </c>
      <c r="Q1266">
        <v>0</v>
      </c>
      <c r="R1266">
        <v>12000</v>
      </c>
      <c r="S1266">
        <v>0</v>
      </c>
      <c r="T1266">
        <v>0</v>
      </c>
      <c r="U1266">
        <v>194</v>
      </c>
      <c r="V1266">
        <v>74</v>
      </c>
      <c r="W1266">
        <v>998</v>
      </c>
      <c r="X1266">
        <v>790</v>
      </c>
      <c r="Y1266">
        <v>38000</v>
      </c>
      <c r="Z1266" cm="1">
        <f t="array" ref="Z1266">MMULT($G1266:$Y1266,'Nelson Factor_2019'!$B$1:$B$19)/$G1266</f>
        <v>14.554234146341463</v>
      </c>
      <c r="AA1266" cm="1">
        <f t="array" ref="AA1266">MMULT($G1266:$R1266,'Nelson Factor_2019'!$B$1:$B$12)/$G1266</f>
        <v>13.35</v>
      </c>
    </row>
    <row r="1267" spans="1:27" x14ac:dyDescent="0.25">
      <c r="A1267">
        <v>2014</v>
      </c>
      <c r="B1267">
        <v>3</v>
      </c>
      <c r="C1267">
        <v>3</v>
      </c>
      <c r="D1267" t="s">
        <v>287</v>
      </c>
      <c r="E1267" t="s">
        <v>66</v>
      </c>
      <c r="F1267" t="s">
        <v>190</v>
      </c>
      <c r="G1267">
        <v>90000</v>
      </c>
      <c r="H1267">
        <v>39000</v>
      </c>
      <c r="I1267">
        <v>0</v>
      </c>
      <c r="J1267">
        <v>0</v>
      </c>
      <c r="K1267">
        <v>67000</v>
      </c>
      <c r="L1267">
        <v>0</v>
      </c>
      <c r="M1267">
        <v>34000</v>
      </c>
      <c r="N1267">
        <v>92500</v>
      </c>
      <c r="O1267">
        <v>11800</v>
      </c>
      <c r="P1267">
        <v>0</v>
      </c>
      <c r="Q1267">
        <v>0</v>
      </c>
      <c r="R1267">
        <v>0</v>
      </c>
      <c r="S1267">
        <v>0</v>
      </c>
      <c r="T1267">
        <v>0</v>
      </c>
      <c r="U1267">
        <v>0</v>
      </c>
      <c r="V1267">
        <v>0</v>
      </c>
      <c r="W1267">
        <v>0</v>
      </c>
      <c r="X1267">
        <v>300</v>
      </c>
      <c r="Y1267">
        <v>0</v>
      </c>
      <c r="Z1267" cm="1">
        <f t="array" ref="Z1267">MMULT($G1267:$Y1267,'Nelson Factor_2019'!$B$1:$B$19)/$G1267</f>
        <v>13.732777777777779</v>
      </c>
      <c r="AA1267" cm="1">
        <f t="array" ref="AA1267">MMULT($G1267:$R1267,'Nelson Factor_2019'!$B$1:$B$12)/$G1267</f>
        <v>12.932777777777778</v>
      </c>
    </row>
    <row r="1268" spans="1:27" x14ac:dyDescent="0.25">
      <c r="A1268">
        <v>2014</v>
      </c>
      <c r="B1268">
        <v>3</v>
      </c>
      <c r="C1268">
        <v>6</v>
      </c>
      <c r="D1268" t="s">
        <v>287</v>
      </c>
      <c r="E1268" t="s">
        <v>66</v>
      </c>
      <c r="F1268" t="s">
        <v>191</v>
      </c>
      <c r="G1268">
        <v>310000</v>
      </c>
      <c r="H1268">
        <v>145000</v>
      </c>
      <c r="I1268">
        <v>100000</v>
      </c>
      <c r="J1268">
        <v>0</v>
      </c>
      <c r="K1268">
        <v>80000</v>
      </c>
      <c r="L1268">
        <v>53000</v>
      </c>
      <c r="M1268">
        <v>45000</v>
      </c>
      <c r="N1268">
        <v>282000</v>
      </c>
      <c r="O1268">
        <v>20000</v>
      </c>
      <c r="P1268">
        <v>0</v>
      </c>
      <c r="Q1268">
        <v>0</v>
      </c>
      <c r="R1268">
        <v>0</v>
      </c>
      <c r="S1268">
        <v>0</v>
      </c>
      <c r="T1268">
        <v>0</v>
      </c>
      <c r="U1268">
        <v>105</v>
      </c>
      <c r="V1268">
        <v>6</v>
      </c>
      <c r="W1268">
        <v>6200</v>
      </c>
      <c r="X1268">
        <v>1050</v>
      </c>
      <c r="Y1268">
        <v>0</v>
      </c>
      <c r="Z1268" cm="1">
        <f t="array" ref="Z1268">MMULT($G1268:$Y1268,'Nelson Factor_2019'!$B$1:$B$19)/$G1268</f>
        <v>11.324551612903226</v>
      </c>
      <c r="AA1268" cm="1">
        <f t="array" ref="AA1268">MMULT($G1268:$R1268,'Nelson Factor_2019'!$B$1:$B$12)/$G1268</f>
        <v>10.511290322580646</v>
      </c>
    </row>
    <row r="1269" spans="1:27" x14ac:dyDescent="0.25">
      <c r="A1269">
        <v>2014</v>
      </c>
      <c r="B1269">
        <v>3</v>
      </c>
      <c r="C1269">
        <v>3</v>
      </c>
      <c r="D1269" t="s">
        <v>287</v>
      </c>
      <c r="E1269" t="s">
        <v>66</v>
      </c>
      <c r="F1269" t="s">
        <v>195</v>
      </c>
      <c r="G1269">
        <v>170000</v>
      </c>
      <c r="H1269">
        <v>53200</v>
      </c>
      <c r="I1269">
        <v>0</v>
      </c>
      <c r="J1269">
        <v>0</v>
      </c>
      <c r="K1269">
        <v>54465</v>
      </c>
      <c r="L1269">
        <v>47400</v>
      </c>
      <c r="M1269">
        <v>29500</v>
      </c>
      <c r="N1269">
        <v>97612</v>
      </c>
      <c r="O1269">
        <v>9500</v>
      </c>
      <c r="P1269">
        <v>0</v>
      </c>
      <c r="Q1269">
        <v>0</v>
      </c>
      <c r="R1269">
        <v>7000</v>
      </c>
      <c r="S1269">
        <v>0</v>
      </c>
      <c r="T1269">
        <v>4900</v>
      </c>
      <c r="U1269">
        <v>0</v>
      </c>
      <c r="V1269">
        <v>0</v>
      </c>
      <c r="W1269">
        <v>0</v>
      </c>
      <c r="X1269">
        <v>60</v>
      </c>
      <c r="Y1269">
        <v>0</v>
      </c>
      <c r="Z1269" cm="1">
        <f t="array" ref="Z1269">MMULT($G1269:$Y1269,'Nelson Factor_2019'!$B$1:$B$19)/$G1269</f>
        <v>8.6022352941176479</v>
      </c>
      <c r="AA1269" cm="1">
        <f t="array" ref="AA1269">MMULT($G1269:$R1269,'Nelson Factor_2019'!$B$1:$B$12)/$G1269</f>
        <v>8.2292941176470595</v>
      </c>
    </row>
    <row r="1270" spans="1:27" x14ac:dyDescent="0.25">
      <c r="A1270">
        <v>2014</v>
      </c>
      <c r="B1270">
        <v>3</v>
      </c>
      <c r="C1270">
        <v>4</v>
      </c>
      <c r="D1270" t="s">
        <v>287</v>
      </c>
      <c r="E1270" t="s">
        <v>66</v>
      </c>
      <c r="F1270" t="s">
        <v>178</v>
      </c>
      <c r="G1270">
        <v>245000</v>
      </c>
      <c r="H1270">
        <v>130000</v>
      </c>
      <c r="I1270">
        <v>50000</v>
      </c>
      <c r="J1270">
        <v>0</v>
      </c>
      <c r="K1270">
        <v>80000</v>
      </c>
      <c r="L1270">
        <v>14500</v>
      </c>
      <c r="M1270">
        <v>0</v>
      </c>
      <c r="N1270">
        <v>263000</v>
      </c>
      <c r="O1270">
        <v>12000</v>
      </c>
      <c r="P1270">
        <v>0</v>
      </c>
      <c r="Q1270">
        <v>0</v>
      </c>
      <c r="R1270">
        <v>6500</v>
      </c>
      <c r="S1270">
        <v>0</v>
      </c>
      <c r="T1270">
        <v>2500</v>
      </c>
      <c r="U1270">
        <v>0</v>
      </c>
      <c r="V1270">
        <v>60</v>
      </c>
      <c r="W1270">
        <v>3000</v>
      </c>
      <c r="X1270">
        <v>890</v>
      </c>
      <c r="Y1270">
        <v>0</v>
      </c>
      <c r="Z1270" cm="1">
        <f t="array" ref="Z1270">MMULT($G1270:$Y1270,'Nelson Factor_2019'!$B$1:$B$19)/$G1270</f>
        <v>9.7026938775510203</v>
      </c>
      <c r="AA1270" cm="1">
        <f t="array" ref="AA1270">MMULT($G1270:$R1270,'Nelson Factor_2019'!$B$1:$B$12)/$G1270</f>
        <v>8.7285714285714278</v>
      </c>
    </row>
    <row r="1271" spans="1:27" x14ac:dyDescent="0.25">
      <c r="A1271">
        <v>2014</v>
      </c>
      <c r="B1271">
        <v>3</v>
      </c>
      <c r="C1271">
        <v>1</v>
      </c>
      <c r="D1271" t="s">
        <v>287</v>
      </c>
      <c r="E1271" t="s">
        <v>66</v>
      </c>
      <c r="F1271" t="s">
        <v>196</v>
      </c>
      <c r="G1271">
        <v>100000</v>
      </c>
      <c r="H1271">
        <v>35000</v>
      </c>
      <c r="I1271">
        <v>0</v>
      </c>
      <c r="J1271">
        <v>0</v>
      </c>
      <c r="K1271">
        <v>24500</v>
      </c>
      <c r="L1271">
        <v>34000</v>
      </c>
      <c r="M1271">
        <v>0</v>
      </c>
      <c r="N1271">
        <v>78300</v>
      </c>
      <c r="O1271">
        <v>6500</v>
      </c>
      <c r="P1271">
        <v>0</v>
      </c>
      <c r="Q1271">
        <v>18000</v>
      </c>
      <c r="R1271">
        <v>0</v>
      </c>
      <c r="S1271">
        <v>3200</v>
      </c>
      <c r="T1271">
        <v>0</v>
      </c>
      <c r="U1271">
        <v>0</v>
      </c>
      <c r="V1271">
        <v>10</v>
      </c>
      <c r="W1271">
        <v>0</v>
      </c>
      <c r="X1271">
        <v>0</v>
      </c>
      <c r="Y1271">
        <v>0</v>
      </c>
      <c r="Z1271" cm="1">
        <f t="array" ref="Z1271">MMULT($G1271:$Y1271,'Nelson Factor_2019'!$B$1:$B$19)/$G1271</f>
        <v>12.752599999999999</v>
      </c>
      <c r="AA1271" cm="1">
        <f t="array" ref="AA1271">MMULT($G1271:$R1271,'Nelson Factor_2019'!$B$1:$B$12)/$G1271</f>
        <v>10.8325</v>
      </c>
    </row>
    <row r="1272" spans="1:27" x14ac:dyDescent="0.25">
      <c r="A1272">
        <v>2014</v>
      </c>
      <c r="B1272">
        <v>3</v>
      </c>
      <c r="C1272">
        <v>1</v>
      </c>
      <c r="D1272" t="s">
        <v>287</v>
      </c>
      <c r="E1272" t="s">
        <v>197</v>
      </c>
      <c r="F1272" t="s">
        <v>198</v>
      </c>
      <c r="G1272">
        <v>125000</v>
      </c>
      <c r="H1272">
        <v>34700</v>
      </c>
      <c r="I1272">
        <v>0</v>
      </c>
      <c r="J1272">
        <v>0</v>
      </c>
      <c r="K1272">
        <v>28000</v>
      </c>
      <c r="L1272">
        <v>18000</v>
      </c>
      <c r="M1272">
        <v>0</v>
      </c>
      <c r="N1272">
        <v>37800</v>
      </c>
      <c r="O1272">
        <v>10000</v>
      </c>
      <c r="P1272">
        <v>0</v>
      </c>
      <c r="Q1272">
        <v>0</v>
      </c>
      <c r="R1272">
        <v>2500</v>
      </c>
      <c r="S1272">
        <v>0</v>
      </c>
      <c r="T1272">
        <v>0</v>
      </c>
      <c r="U1272">
        <v>0</v>
      </c>
      <c r="V1272">
        <v>0</v>
      </c>
      <c r="W1272">
        <v>0</v>
      </c>
      <c r="X1272">
        <v>20</v>
      </c>
      <c r="Y1272">
        <v>4800</v>
      </c>
      <c r="Z1272" cm="1">
        <f t="array" ref="Z1272">MMULT($G1272:$Y1272,'Nelson Factor_2019'!$B$1:$B$19)/$G1272</f>
        <v>5.1368799999999997</v>
      </c>
      <c r="AA1272" cm="1">
        <f t="array" ref="AA1272">MMULT($G1272:$R1272,'Nelson Factor_2019'!$B$1:$B$12)/$G1272</f>
        <v>5.0408799999999996</v>
      </c>
    </row>
    <row r="1273" spans="1:27" x14ac:dyDescent="0.25">
      <c r="A1273">
        <v>2014</v>
      </c>
      <c r="B1273">
        <v>3</v>
      </c>
      <c r="C1273">
        <v>4</v>
      </c>
      <c r="D1273" t="s">
        <v>287</v>
      </c>
      <c r="E1273" t="s">
        <v>240</v>
      </c>
      <c r="F1273" t="s">
        <v>181</v>
      </c>
      <c r="G1273">
        <v>146000</v>
      </c>
      <c r="H1273">
        <v>75000</v>
      </c>
      <c r="I1273">
        <v>26000</v>
      </c>
      <c r="J1273">
        <v>0</v>
      </c>
      <c r="K1273">
        <v>55000</v>
      </c>
      <c r="L1273">
        <v>29000</v>
      </c>
      <c r="M1273">
        <v>0</v>
      </c>
      <c r="N1273">
        <v>154000</v>
      </c>
      <c r="O1273">
        <v>17000</v>
      </c>
      <c r="P1273">
        <v>0</v>
      </c>
      <c r="Q1273">
        <v>0</v>
      </c>
      <c r="R1273">
        <v>44000</v>
      </c>
      <c r="S1273">
        <v>0</v>
      </c>
      <c r="T1273">
        <v>0</v>
      </c>
      <c r="U1273">
        <v>90</v>
      </c>
      <c r="V1273">
        <v>10</v>
      </c>
      <c r="W1273">
        <v>1250</v>
      </c>
      <c r="X1273">
        <v>400</v>
      </c>
      <c r="Y1273">
        <v>0</v>
      </c>
      <c r="Z1273" cm="1">
        <f t="array" ref="Z1273">MMULT($G1273:$Y1273,'Nelson Factor_2019'!$B$1:$B$19)/$G1273</f>
        <v>11.62054794520548</v>
      </c>
      <c r="AA1273" cm="1">
        <f t="array" ref="AA1273">MMULT($G1273:$R1273,'Nelson Factor_2019'!$B$1:$B$12)/$G1273</f>
        <v>10.962328767123287</v>
      </c>
    </row>
    <row r="1274" spans="1:27" x14ac:dyDescent="0.25">
      <c r="A1274">
        <v>2014</v>
      </c>
      <c r="B1274">
        <v>4</v>
      </c>
      <c r="C1274">
        <v>1</v>
      </c>
      <c r="D1274" t="s">
        <v>289</v>
      </c>
      <c r="E1274" t="s">
        <v>290</v>
      </c>
      <c r="F1274" t="s">
        <v>201</v>
      </c>
      <c r="G1274">
        <v>30000</v>
      </c>
      <c r="H1274">
        <v>5000</v>
      </c>
      <c r="I1274">
        <v>0</v>
      </c>
      <c r="J1274">
        <v>0</v>
      </c>
      <c r="K1274">
        <v>11500</v>
      </c>
      <c r="L1274">
        <v>7300</v>
      </c>
      <c r="M1274">
        <v>0</v>
      </c>
      <c r="N1274">
        <v>18500</v>
      </c>
      <c r="O1274">
        <v>2500</v>
      </c>
      <c r="P1274">
        <v>0</v>
      </c>
      <c r="Q1274">
        <v>0</v>
      </c>
      <c r="R1274">
        <v>4200</v>
      </c>
      <c r="S1274">
        <v>0</v>
      </c>
      <c r="T1274">
        <v>0</v>
      </c>
      <c r="U1274">
        <v>0</v>
      </c>
      <c r="V1274">
        <v>0</v>
      </c>
      <c r="W1274">
        <v>0</v>
      </c>
      <c r="X1274">
        <v>4</v>
      </c>
      <c r="Y1274">
        <v>0</v>
      </c>
      <c r="Z1274" cm="1">
        <f t="array" ref="Z1274">MMULT($G1274:$Y1274,'Nelson Factor_2019'!$B$1:$B$19)/$G1274</f>
        <v>7.5603333333333333</v>
      </c>
      <c r="AA1274" cm="1">
        <f t="array" ref="AA1274">MMULT($G1274:$R1274,'Nelson Factor_2019'!$B$1:$B$12)/$G1274</f>
        <v>7.5283333333333333</v>
      </c>
    </row>
    <row r="1275" spans="1:27" x14ac:dyDescent="0.25">
      <c r="A1275">
        <v>2014</v>
      </c>
      <c r="B1275">
        <v>4</v>
      </c>
      <c r="C1275">
        <v>4</v>
      </c>
      <c r="D1275" t="s">
        <v>289</v>
      </c>
      <c r="E1275" t="s">
        <v>227</v>
      </c>
      <c r="F1275" t="s">
        <v>201</v>
      </c>
      <c r="G1275">
        <v>45000</v>
      </c>
      <c r="H1275">
        <v>25600</v>
      </c>
      <c r="I1275">
        <v>7200</v>
      </c>
      <c r="J1275">
        <v>0</v>
      </c>
      <c r="K1275">
        <v>13000</v>
      </c>
      <c r="L1275">
        <v>7000</v>
      </c>
      <c r="M1275">
        <v>0</v>
      </c>
      <c r="N1275">
        <v>39000</v>
      </c>
      <c r="O1275">
        <v>4500</v>
      </c>
      <c r="P1275">
        <v>0</v>
      </c>
      <c r="Q1275">
        <v>0</v>
      </c>
      <c r="R1275">
        <v>1000</v>
      </c>
      <c r="S1275">
        <v>0</v>
      </c>
      <c r="T1275">
        <v>0</v>
      </c>
      <c r="U1275">
        <v>0</v>
      </c>
      <c r="V1275">
        <v>0</v>
      </c>
      <c r="W1275">
        <v>281</v>
      </c>
      <c r="X1275">
        <v>56</v>
      </c>
      <c r="Y1275">
        <v>0</v>
      </c>
      <c r="Z1275" cm="1">
        <f t="array" ref="Z1275">MMULT($G1275:$Y1275,'Nelson Factor_2019'!$B$1:$B$19)/$G1275</f>
        <v>8.9826666666666668</v>
      </c>
      <c r="AA1275" cm="1">
        <f t="array" ref="AA1275">MMULT($G1275:$R1275,'Nelson Factor_2019'!$B$1:$B$12)/$G1275</f>
        <v>8.6839999999999993</v>
      </c>
    </row>
    <row r="1276" spans="1:27" x14ac:dyDescent="0.25">
      <c r="A1276">
        <v>2014</v>
      </c>
      <c r="B1276">
        <v>4</v>
      </c>
      <c r="C1276">
        <v>1</v>
      </c>
      <c r="D1276" t="s">
        <v>289</v>
      </c>
      <c r="E1276" t="s">
        <v>251</v>
      </c>
      <c r="F1276" t="s">
        <v>203</v>
      </c>
      <c r="G1276">
        <v>29450</v>
      </c>
      <c r="H1276">
        <v>0</v>
      </c>
      <c r="I1276">
        <v>0</v>
      </c>
      <c r="J1276">
        <v>0</v>
      </c>
      <c r="K1276">
        <v>8900</v>
      </c>
      <c r="L1276">
        <v>8000</v>
      </c>
      <c r="M1276">
        <v>0</v>
      </c>
      <c r="N1276">
        <v>25000</v>
      </c>
      <c r="O1276">
        <v>2900</v>
      </c>
      <c r="P1276">
        <v>0</v>
      </c>
      <c r="Q1276">
        <v>0</v>
      </c>
      <c r="R1276">
        <v>3000</v>
      </c>
      <c r="S1276">
        <v>0</v>
      </c>
      <c r="T1276">
        <v>0</v>
      </c>
      <c r="U1276">
        <v>0</v>
      </c>
      <c r="V1276">
        <v>0</v>
      </c>
      <c r="W1276">
        <v>0</v>
      </c>
      <c r="X1276">
        <v>10</v>
      </c>
      <c r="Y1276">
        <v>0</v>
      </c>
      <c r="Z1276" cm="1">
        <f t="array" ref="Z1276">MMULT($G1276:$Y1276,'Nelson Factor_2019'!$B$1:$B$19)/$G1276</f>
        <v>7.6655348047538201</v>
      </c>
      <c r="AA1276" cm="1">
        <f t="array" ref="AA1276">MMULT($G1276:$R1276,'Nelson Factor_2019'!$B$1:$B$12)/$G1276</f>
        <v>7.5840407470288627</v>
      </c>
    </row>
    <row r="1277" spans="1:27" x14ac:dyDescent="0.25">
      <c r="A1277">
        <v>2014</v>
      </c>
      <c r="B1277">
        <v>4</v>
      </c>
      <c r="C1277">
        <v>0</v>
      </c>
      <c r="D1277" t="s">
        <v>289</v>
      </c>
      <c r="E1277" t="s">
        <v>204</v>
      </c>
      <c r="F1277" t="s">
        <v>203</v>
      </c>
      <c r="G1277">
        <v>6250</v>
      </c>
      <c r="H1277">
        <v>6000</v>
      </c>
      <c r="I1277">
        <v>0</v>
      </c>
      <c r="J1277">
        <v>0</v>
      </c>
      <c r="K1277">
        <v>0</v>
      </c>
      <c r="L1277">
        <v>2200</v>
      </c>
      <c r="M1277">
        <v>0</v>
      </c>
      <c r="N1277">
        <v>6200</v>
      </c>
      <c r="O1277">
        <v>0</v>
      </c>
      <c r="P1277">
        <v>0</v>
      </c>
      <c r="Q1277">
        <v>0</v>
      </c>
      <c r="R1277">
        <v>0</v>
      </c>
      <c r="S1277">
        <v>0</v>
      </c>
      <c r="T1277">
        <v>0</v>
      </c>
      <c r="U1277">
        <v>0</v>
      </c>
      <c r="V1277">
        <v>0</v>
      </c>
      <c r="W1277">
        <v>0</v>
      </c>
      <c r="X1277">
        <v>0</v>
      </c>
      <c r="Y1277">
        <v>1200</v>
      </c>
      <c r="Z1277" cm="1">
        <f t="array" ref="Z1277">MMULT($G1277:$Y1277,'Nelson Factor_2019'!$B$1:$B$19)/$G1277</f>
        <v>6.7759999999999998</v>
      </c>
      <c r="AA1277" cm="1">
        <f t="array" ref="AA1277">MMULT($G1277:$R1277,'Nelson Factor_2019'!$B$1:$B$12)/$G1277</f>
        <v>6.4880000000000004</v>
      </c>
    </row>
    <row r="1278" spans="1:27" x14ac:dyDescent="0.25">
      <c r="A1278">
        <v>2014</v>
      </c>
      <c r="B1278">
        <v>4</v>
      </c>
      <c r="C1278">
        <v>1</v>
      </c>
      <c r="D1278" t="s">
        <v>289</v>
      </c>
      <c r="E1278" t="s">
        <v>148</v>
      </c>
      <c r="F1278" t="s">
        <v>201</v>
      </c>
      <c r="G1278">
        <v>60000</v>
      </c>
      <c r="H1278">
        <v>0</v>
      </c>
      <c r="I1278">
        <v>0</v>
      </c>
      <c r="J1278">
        <v>0</v>
      </c>
      <c r="K1278">
        <v>23000</v>
      </c>
      <c r="L1278">
        <v>12000</v>
      </c>
      <c r="M1278">
        <v>0</v>
      </c>
      <c r="N1278">
        <v>23000</v>
      </c>
      <c r="O1278">
        <v>6000</v>
      </c>
      <c r="P1278">
        <v>0</v>
      </c>
      <c r="Q1278">
        <v>0</v>
      </c>
      <c r="R1278">
        <v>0</v>
      </c>
      <c r="S1278">
        <v>0</v>
      </c>
      <c r="T1278">
        <v>0</v>
      </c>
      <c r="U1278">
        <v>0</v>
      </c>
      <c r="V1278">
        <v>0</v>
      </c>
      <c r="W1278">
        <v>0</v>
      </c>
      <c r="X1278">
        <v>15</v>
      </c>
      <c r="Y1278">
        <v>0</v>
      </c>
      <c r="Z1278" cm="1">
        <f t="array" ref="Z1278">MMULT($G1278:$Y1278,'Nelson Factor_2019'!$B$1:$B$19)/$G1278</f>
        <v>6.3183333333333334</v>
      </c>
      <c r="AA1278" cm="1">
        <f t="array" ref="AA1278">MMULT($G1278:$R1278,'Nelson Factor_2019'!$B$1:$B$12)/$G1278</f>
        <v>6.2583333333333337</v>
      </c>
    </row>
    <row r="1279" spans="1:27" x14ac:dyDescent="0.25">
      <c r="A1279">
        <v>2014</v>
      </c>
      <c r="B1279">
        <v>5</v>
      </c>
      <c r="C1279">
        <v>5</v>
      </c>
      <c r="D1279" t="s">
        <v>291</v>
      </c>
      <c r="E1279" t="s">
        <v>32</v>
      </c>
      <c r="F1279" t="s">
        <v>209</v>
      </c>
      <c r="G1279">
        <v>222300</v>
      </c>
      <c r="H1279">
        <v>106400</v>
      </c>
      <c r="I1279">
        <v>50085</v>
      </c>
      <c r="J1279">
        <v>0</v>
      </c>
      <c r="K1279">
        <v>0</v>
      </c>
      <c r="L1279">
        <v>58500</v>
      </c>
      <c r="M1279">
        <v>58500</v>
      </c>
      <c r="N1279">
        <v>148500</v>
      </c>
      <c r="O1279">
        <v>0</v>
      </c>
      <c r="P1279">
        <v>0</v>
      </c>
      <c r="Q1279">
        <v>0</v>
      </c>
      <c r="R1279">
        <v>21600</v>
      </c>
      <c r="S1279">
        <v>0</v>
      </c>
      <c r="T1279">
        <v>0</v>
      </c>
      <c r="U1279">
        <v>92.5</v>
      </c>
      <c r="V1279">
        <v>86</v>
      </c>
      <c r="W1279">
        <v>3250</v>
      </c>
      <c r="X1279">
        <v>245</v>
      </c>
      <c r="Y1279">
        <v>0</v>
      </c>
      <c r="Z1279" cm="1">
        <f t="array" ref="Z1279">MMULT($G1279:$Y1279,'Nelson Factor_2019'!$B$1:$B$19)/$G1279</f>
        <v>8.9599010346378769</v>
      </c>
      <c r="AA1279" cm="1">
        <f t="array" ref="AA1279">MMULT($G1279:$R1279,'Nelson Factor_2019'!$B$1:$B$12)/$G1279</f>
        <v>8.6945906432748536</v>
      </c>
    </row>
    <row r="1280" spans="1:27" x14ac:dyDescent="0.25">
      <c r="A1280">
        <v>2014</v>
      </c>
      <c r="B1280">
        <v>5</v>
      </c>
      <c r="C1280">
        <v>1</v>
      </c>
      <c r="D1280" t="s">
        <v>291</v>
      </c>
      <c r="E1280" t="s">
        <v>258</v>
      </c>
      <c r="F1280" t="s">
        <v>209</v>
      </c>
      <c r="G1280">
        <v>101000</v>
      </c>
      <c r="H1280">
        <v>48200</v>
      </c>
      <c r="I1280">
        <v>0</v>
      </c>
      <c r="J1280">
        <v>0</v>
      </c>
      <c r="K1280">
        <v>32500</v>
      </c>
      <c r="L1280">
        <v>16600</v>
      </c>
      <c r="M1280">
        <v>0</v>
      </c>
      <c r="N1280">
        <v>66100</v>
      </c>
      <c r="O1280">
        <v>9200</v>
      </c>
      <c r="P1280">
        <v>0</v>
      </c>
      <c r="Q1280">
        <v>0</v>
      </c>
      <c r="R1280">
        <v>4100</v>
      </c>
      <c r="S1280">
        <v>0</v>
      </c>
      <c r="T1280">
        <v>0</v>
      </c>
      <c r="U1280">
        <v>0</v>
      </c>
      <c r="V1280">
        <v>0</v>
      </c>
      <c r="W1280">
        <v>0</v>
      </c>
      <c r="X1280">
        <v>110</v>
      </c>
      <c r="Y1280">
        <v>0</v>
      </c>
      <c r="Z1280" cm="1">
        <f t="array" ref="Z1280">MMULT($G1280:$Y1280,'Nelson Factor_2019'!$B$1:$B$19)/$G1280</f>
        <v>7.3030693069306931</v>
      </c>
      <c r="AA1280" cm="1">
        <f t="array" ref="AA1280">MMULT($G1280:$R1280,'Nelson Factor_2019'!$B$1:$B$12)/$G1280</f>
        <v>7.0416831683168315</v>
      </c>
    </row>
    <row r="1281" spans="1:27" x14ac:dyDescent="0.25">
      <c r="A1281">
        <v>2014</v>
      </c>
      <c r="B1281">
        <v>5</v>
      </c>
      <c r="C1281">
        <v>4</v>
      </c>
      <c r="D1281" t="s">
        <v>291</v>
      </c>
      <c r="E1281" t="s">
        <v>61</v>
      </c>
      <c r="F1281" t="s">
        <v>210</v>
      </c>
      <c r="G1281">
        <v>148600</v>
      </c>
      <c r="H1281">
        <v>65500</v>
      </c>
      <c r="I1281">
        <v>25700</v>
      </c>
      <c r="J1281">
        <v>0</v>
      </c>
      <c r="K1281">
        <v>57900</v>
      </c>
      <c r="L1281">
        <v>33000</v>
      </c>
      <c r="M1281">
        <v>0</v>
      </c>
      <c r="N1281">
        <v>130600</v>
      </c>
      <c r="O1281">
        <v>12050</v>
      </c>
      <c r="P1281">
        <v>4300</v>
      </c>
      <c r="Q1281">
        <v>0</v>
      </c>
      <c r="R1281">
        <v>7000</v>
      </c>
      <c r="S1281">
        <v>0</v>
      </c>
      <c r="T1281">
        <v>0</v>
      </c>
      <c r="U1281">
        <v>7</v>
      </c>
      <c r="V1281">
        <v>0</v>
      </c>
      <c r="W1281">
        <v>1400</v>
      </c>
      <c r="X1281">
        <v>350</v>
      </c>
      <c r="Y1281">
        <v>0</v>
      </c>
      <c r="Z1281" cm="1">
        <f t="array" ref="Z1281">MMULT($G1281:$Y1281,'Nelson Factor_2019'!$B$1:$B$19)/$G1281</f>
        <v>10.322388963660835</v>
      </c>
      <c r="AA1281" cm="1">
        <f t="array" ref="AA1281">MMULT($G1281:$R1281,'Nelson Factor_2019'!$B$1:$B$12)/$G1281</f>
        <v>9.7570659488559901</v>
      </c>
    </row>
    <row r="1282" spans="1:27" x14ac:dyDescent="0.25">
      <c r="A1282">
        <v>2014</v>
      </c>
      <c r="B1282">
        <v>5</v>
      </c>
      <c r="C1282">
        <v>1</v>
      </c>
      <c r="D1282" t="s">
        <v>291</v>
      </c>
      <c r="E1282" t="s">
        <v>148</v>
      </c>
      <c r="F1282" t="s">
        <v>210</v>
      </c>
      <c r="G1282">
        <v>120000</v>
      </c>
      <c r="H1282">
        <v>47200</v>
      </c>
      <c r="I1282">
        <v>0</v>
      </c>
      <c r="J1282">
        <v>0</v>
      </c>
      <c r="K1282">
        <v>44800</v>
      </c>
      <c r="L1282">
        <v>26500</v>
      </c>
      <c r="M1282">
        <v>0</v>
      </c>
      <c r="N1282">
        <v>61600</v>
      </c>
      <c r="O1282">
        <v>11000</v>
      </c>
      <c r="P1282">
        <v>0</v>
      </c>
      <c r="Q1282">
        <v>0</v>
      </c>
      <c r="R1282">
        <v>3400</v>
      </c>
      <c r="S1282">
        <v>0</v>
      </c>
      <c r="T1282">
        <v>0</v>
      </c>
      <c r="U1282">
        <v>0</v>
      </c>
      <c r="V1282">
        <v>0</v>
      </c>
      <c r="W1282">
        <v>0</v>
      </c>
      <c r="X1282">
        <v>48</v>
      </c>
      <c r="Y1282">
        <v>1000</v>
      </c>
      <c r="Z1282" cm="1">
        <f t="array" ref="Z1282">MMULT($G1282:$Y1282,'Nelson Factor_2019'!$B$1:$B$19)/$G1282</f>
        <v>7.2489999999999997</v>
      </c>
      <c r="AA1282" cm="1">
        <f t="array" ref="AA1282">MMULT($G1282:$R1282,'Nelson Factor_2019'!$B$1:$B$12)/$G1282</f>
        <v>7.1405000000000003</v>
      </c>
    </row>
    <row r="1283" spans="1:27" x14ac:dyDescent="0.25">
      <c r="A1283">
        <v>2014</v>
      </c>
      <c r="B1283">
        <v>5</v>
      </c>
      <c r="C1283">
        <v>0</v>
      </c>
      <c r="D1283" t="s">
        <v>291</v>
      </c>
      <c r="E1283" t="s">
        <v>211</v>
      </c>
      <c r="F1283" t="s">
        <v>212</v>
      </c>
      <c r="G1283">
        <v>39000</v>
      </c>
      <c r="H1283">
        <v>17700</v>
      </c>
      <c r="I1283">
        <v>0</v>
      </c>
      <c r="J1283">
        <v>0</v>
      </c>
      <c r="K1283">
        <v>0</v>
      </c>
      <c r="L1283">
        <v>5650</v>
      </c>
      <c r="M1283">
        <v>0</v>
      </c>
      <c r="N1283">
        <v>14800</v>
      </c>
      <c r="O1283">
        <v>0</v>
      </c>
      <c r="P1283">
        <v>0</v>
      </c>
      <c r="Q1283">
        <v>0</v>
      </c>
      <c r="R1283">
        <v>3000</v>
      </c>
      <c r="S1283">
        <v>0</v>
      </c>
      <c r="T1283">
        <v>0</v>
      </c>
      <c r="U1283">
        <v>0</v>
      </c>
      <c r="V1283">
        <v>0</v>
      </c>
      <c r="W1283">
        <v>0</v>
      </c>
      <c r="X1283">
        <v>0</v>
      </c>
      <c r="Y1283">
        <v>10000</v>
      </c>
      <c r="Z1283" cm="1">
        <f t="array" ref="Z1283">MMULT($G1283:$Y1283,'Nelson Factor_2019'!$B$1:$B$19)/$G1283</f>
        <v>3.8784615384615386</v>
      </c>
      <c r="AA1283" cm="1">
        <f t="array" ref="AA1283">MMULT($G1283:$R1283,'Nelson Factor_2019'!$B$1:$B$12)/$G1283</f>
        <v>3.493846153846154</v>
      </c>
    </row>
    <row r="1284" spans="1:27" x14ac:dyDescent="0.25">
      <c r="A1284">
        <v>2014</v>
      </c>
      <c r="B1284">
        <v>1</v>
      </c>
      <c r="C1284">
        <v>0</v>
      </c>
      <c r="D1284" t="s">
        <v>292</v>
      </c>
      <c r="E1284" t="s">
        <v>214</v>
      </c>
      <c r="F1284" t="s">
        <v>215</v>
      </c>
      <c r="G1284">
        <v>23000</v>
      </c>
      <c r="H1284">
        <v>9700</v>
      </c>
      <c r="I1284">
        <v>0</v>
      </c>
      <c r="J1284">
        <v>0</v>
      </c>
      <c r="K1284">
        <v>0</v>
      </c>
      <c r="L1284">
        <v>4200</v>
      </c>
      <c r="M1284">
        <v>0</v>
      </c>
      <c r="N1284">
        <v>21600</v>
      </c>
      <c r="O1284">
        <v>0</v>
      </c>
      <c r="P1284">
        <v>0</v>
      </c>
      <c r="Q1284">
        <v>0</v>
      </c>
      <c r="R1284">
        <v>1900</v>
      </c>
      <c r="S1284">
        <v>5000</v>
      </c>
      <c r="T1284">
        <v>0</v>
      </c>
      <c r="U1284">
        <v>4.0999999999999996</v>
      </c>
      <c r="V1284">
        <v>0</v>
      </c>
      <c r="W1284">
        <v>0</v>
      </c>
      <c r="X1284">
        <v>1</v>
      </c>
      <c r="Y1284">
        <v>0</v>
      </c>
      <c r="Z1284" cm="1">
        <f t="array" ref="Z1284">MMULT($G1284:$Y1284,'Nelson Factor_2019'!$B$1:$B$19)/$G1284</f>
        <v>18.111047826086956</v>
      </c>
      <c r="AA1284" cm="1">
        <f t="array" ref="AA1284">MMULT($G1284:$R1284,'Nelson Factor_2019'!$B$1:$B$12)/$G1284</f>
        <v>5.0569565217391306</v>
      </c>
    </row>
    <row r="1285" spans="1:27" x14ac:dyDescent="0.25">
      <c r="A1285">
        <v>2014</v>
      </c>
      <c r="B1285">
        <v>2</v>
      </c>
      <c r="C1285">
        <v>1</v>
      </c>
      <c r="D1285" t="s">
        <v>293</v>
      </c>
      <c r="E1285" t="s">
        <v>255</v>
      </c>
      <c r="F1285" t="s">
        <v>217</v>
      </c>
      <c r="G1285">
        <v>33250</v>
      </c>
      <c r="H1285">
        <v>19500</v>
      </c>
      <c r="I1285">
        <v>0</v>
      </c>
      <c r="J1285">
        <v>0</v>
      </c>
      <c r="K1285">
        <v>9900</v>
      </c>
      <c r="L1285">
        <v>7200</v>
      </c>
      <c r="M1285">
        <v>0</v>
      </c>
      <c r="N1285">
        <v>20620</v>
      </c>
      <c r="O1285">
        <v>1350</v>
      </c>
      <c r="P1285">
        <v>0</v>
      </c>
      <c r="Q1285">
        <v>0</v>
      </c>
      <c r="R1285">
        <v>1800</v>
      </c>
      <c r="S1285">
        <v>0</v>
      </c>
      <c r="T1285">
        <v>0</v>
      </c>
      <c r="U1285">
        <v>0</v>
      </c>
      <c r="V1285">
        <v>0</v>
      </c>
      <c r="W1285">
        <v>0</v>
      </c>
      <c r="X1285">
        <v>15</v>
      </c>
      <c r="Y1285">
        <v>6750</v>
      </c>
      <c r="Z1285" cm="1">
        <f t="array" ref="Z1285">MMULT($G1285:$Y1285,'Nelson Factor_2019'!$B$1:$B$19)/$G1285</f>
        <v>7.1631578947368419</v>
      </c>
      <c r="AA1285" cm="1">
        <f t="array" ref="AA1285">MMULT($G1285:$R1285,'Nelson Factor_2019'!$B$1:$B$12)/$G1285</f>
        <v>6.7503759398496239</v>
      </c>
    </row>
    <row r="1286" spans="1:27" x14ac:dyDescent="0.25">
      <c r="A1286">
        <v>2014</v>
      </c>
      <c r="B1286">
        <v>4</v>
      </c>
      <c r="C1286">
        <v>4</v>
      </c>
      <c r="D1286" t="s">
        <v>294</v>
      </c>
      <c r="E1286" t="s">
        <v>251</v>
      </c>
      <c r="F1286" t="s">
        <v>220</v>
      </c>
      <c r="G1286">
        <v>52000</v>
      </c>
      <c r="H1286">
        <v>26000</v>
      </c>
      <c r="I1286">
        <v>14000</v>
      </c>
      <c r="J1286">
        <v>0</v>
      </c>
      <c r="K1286">
        <v>12000</v>
      </c>
      <c r="L1286">
        <v>9000</v>
      </c>
      <c r="M1286">
        <v>0</v>
      </c>
      <c r="N1286">
        <v>39000</v>
      </c>
      <c r="O1286">
        <v>4000</v>
      </c>
      <c r="P1286">
        <v>0</v>
      </c>
      <c r="Q1286">
        <v>0</v>
      </c>
      <c r="R1286">
        <v>1200</v>
      </c>
      <c r="S1286">
        <v>0</v>
      </c>
      <c r="T1286">
        <v>0</v>
      </c>
      <c r="U1286">
        <v>5.5</v>
      </c>
      <c r="V1286">
        <v>0</v>
      </c>
      <c r="W1286">
        <v>800</v>
      </c>
      <c r="X1286">
        <v>105</v>
      </c>
      <c r="Y1286">
        <v>0</v>
      </c>
      <c r="Z1286" cm="1">
        <f t="array" ref="Z1286">MMULT($G1286:$Y1286,'Nelson Factor_2019'!$B$1:$B$19)/$G1286</f>
        <v>9.1174134615384617</v>
      </c>
      <c r="AA1286" cm="1">
        <f t="array" ref="AA1286">MMULT($G1286:$R1286,'Nelson Factor_2019'!$B$1:$B$12)/$G1286</f>
        <v>8.6326923076923077</v>
      </c>
    </row>
    <row r="1287" spans="1:27" x14ac:dyDescent="0.25">
      <c r="A1287">
        <v>2014</v>
      </c>
      <c r="B1287">
        <v>4</v>
      </c>
      <c r="C1287">
        <v>1</v>
      </c>
      <c r="D1287" t="s">
        <v>294</v>
      </c>
      <c r="E1287" t="s">
        <v>221</v>
      </c>
      <c r="F1287" t="s">
        <v>222</v>
      </c>
      <c r="G1287">
        <v>22500</v>
      </c>
      <c r="H1287">
        <v>6000</v>
      </c>
      <c r="I1287">
        <v>0</v>
      </c>
      <c r="J1287">
        <v>0</v>
      </c>
      <c r="K1287">
        <v>10000</v>
      </c>
      <c r="L1287">
        <v>5500</v>
      </c>
      <c r="M1287">
        <v>0</v>
      </c>
      <c r="N1287">
        <v>16000</v>
      </c>
      <c r="O1287">
        <v>0</v>
      </c>
      <c r="P1287">
        <v>1000</v>
      </c>
      <c r="Q1287">
        <v>0</v>
      </c>
      <c r="R1287">
        <v>0</v>
      </c>
      <c r="S1287">
        <v>0</v>
      </c>
      <c r="T1287">
        <v>0</v>
      </c>
      <c r="U1287">
        <v>0</v>
      </c>
      <c r="V1287">
        <v>0</v>
      </c>
      <c r="W1287">
        <v>0</v>
      </c>
      <c r="X1287">
        <v>19.7</v>
      </c>
      <c r="Y1287">
        <v>0</v>
      </c>
      <c r="Z1287" cm="1">
        <f t="array" ref="Z1287">MMULT($G1287:$Y1287,'Nelson Factor_2019'!$B$1:$B$19)/$G1287</f>
        <v>7.6679111111111107</v>
      </c>
      <c r="AA1287" cm="1">
        <f t="array" ref="AA1287">MMULT($G1287:$R1287,'Nelson Factor_2019'!$B$1:$B$12)/$G1287</f>
        <v>7.4577777777777774</v>
      </c>
    </row>
    <row r="1288" spans="1:27" x14ac:dyDescent="0.25">
      <c r="A1288">
        <v>2014</v>
      </c>
      <c r="B1288">
        <v>4</v>
      </c>
      <c r="C1288">
        <v>1</v>
      </c>
      <c r="D1288" t="s">
        <v>294</v>
      </c>
      <c r="E1288" t="s">
        <v>159</v>
      </c>
      <c r="F1288" t="s">
        <v>223</v>
      </c>
      <c r="G1288">
        <v>66000</v>
      </c>
      <c r="H1288">
        <v>6500</v>
      </c>
      <c r="I1288">
        <v>0</v>
      </c>
      <c r="J1288">
        <v>0</v>
      </c>
      <c r="K1288">
        <v>10000</v>
      </c>
      <c r="L1288">
        <v>5700</v>
      </c>
      <c r="M1288">
        <v>0</v>
      </c>
      <c r="N1288">
        <v>15500</v>
      </c>
      <c r="O1288">
        <v>0</v>
      </c>
      <c r="P1288">
        <v>300</v>
      </c>
      <c r="Q1288">
        <v>0</v>
      </c>
      <c r="R1288">
        <v>0</v>
      </c>
      <c r="S1288">
        <v>0</v>
      </c>
      <c r="T1288">
        <v>0</v>
      </c>
      <c r="U1288">
        <v>0</v>
      </c>
      <c r="V1288">
        <v>0</v>
      </c>
      <c r="W1288">
        <v>0</v>
      </c>
      <c r="X1288">
        <v>19.7</v>
      </c>
      <c r="Y1288">
        <v>1750</v>
      </c>
      <c r="Z1288" cm="1">
        <f t="array" ref="Z1288">MMULT($G1288:$Y1288,'Nelson Factor_2019'!$B$1:$B$19)/$G1288</f>
        <v>3.2129242424242426</v>
      </c>
      <c r="AA1288" cm="1">
        <f t="array" ref="AA1288">MMULT($G1288:$R1288,'Nelson Factor_2019'!$B$1:$B$12)/$G1288</f>
        <v>3.1015151515151516</v>
      </c>
    </row>
    <row r="1289" spans="1:27" x14ac:dyDescent="0.25">
      <c r="A1289">
        <v>2014</v>
      </c>
      <c r="B1289">
        <v>4</v>
      </c>
      <c r="C1289">
        <v>1</v>
      </c>
      <c r="D1289" t="s">
        <v>294</v>
      </c>
      <c r="E1289" t="s">
        <v>224</v>
      </c>
      <c r="F1289" t="s">
        <v>225</v>
      </c>
      <c r="G1289">
        <v>12500</v>
      </c>
      <c r="H1289">
        <v>1500</v>
      </c>
      <c r="I1289">
        <v>0</v>
      </c>
      <c r="J1289">
        <v>0</v>
      </c>
      <c r="K1289">
        <v>5500</v>
      </c>
      <c r="L1289">
        <v>2750</v>
      </c>
      <c r="M1289">
        <v>0</v>
      </c>
      <c r="N1289">
        <v>7500</v>
      </c>
      <c r="O1289">
        <v>1300</v>
      </c>
      <c r="P1289">
        <v>0</v>
      </c>
      <c r="Q1289">
        <v>0</v>
      </c>
      <c r="R1289">
        <v>0</v>
      </c>
      <c r="S1289">
        <v>0</v>
      </c>
      <c r="T1289">
        <v>0</v>
      </c>
      <c r="U1289">
        <v>0</v>
      </c>
      <c r="V1289">
        <v>0</v>
      </c>
      <c r="W1289">
        <v>0</v>
      </c>
      <c r="X1289">
        <v>4</v>
      </c>
      <c r="Y1289">
        <v>0</v>
      </c>
      <c r="Z1289" cm="1">
        <f t="array" ref="Z1289">MMULT($G1289:$Y1289,'Nelson Factor_2019'!$B$1:$B$19)/$G1289</f>
        <v>7.5128000000000004</v>
      </c>
      <c r="AA1289" cm="1">
        <f t="array" ref="AA1289">MMULT($G1289:$R1289,'Nelson Factor_2019'!$B$1:$B$12)/$G1289</f>
        <v>7.4359999999999999</v>
      </c>
    </row>
    <row r="1290" spans="1:27" x14ac:dyDescent="0.25">
      <c r="A1290">
        <v>2015</v>
      </c>
      <c r="B1290">
        <v>3</v>
      </c>
      <c r="C1290">
        <v>5</v>
      </c>
      <c r="D1290" t="s">
        <v>256</v>
      </c>
      <c r="E1290" t="s">
        <v>25</v>
      </c>
      <c r="F1290" t="s">
        <v>26</v>
      </c>
      <c r="G1290">
        <v>72000</v>
      </c>
      <c r="H1290">
        <v>15000</v>
      </c>
      <c r="I1290">
        <v>32000</v>
      </c>
      <c r="J1290">
        <v>0</v>
      </c>
      <c r="K1290">
        <v>0</v>
      </c>
      <c r="L1290">
        <v>23200</v>
      </c>
      <c r="M1290">
        <v>15000</v>
      </c>
      <c r="N1290">
        <v>42000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0</v>
      </c>
      <c r="U1290">
        <v>8</v>
      </c>
      <c r="V1290">
        <v>8</v>
      </c>
      <c r="W1290">
        <v>500</v>
      </c>
      <c r="X1290">
        <v>120</v>
      </c>
      <c r="Y1290">
        <v>14000</v>
      </c>
      <c r="Z1290" cm="1">
        <f t="array" ref="Z1290">MMULT($G1290:$Y1290,'Nelson Factor_2019'!$B$1:$B$19)/$G1290</f>
        <v>10.032166666666667</v>
      </c>
      <c r="AA1290" cm="1">
        <f t="array" ref="AA1290">MMULT($G1290:$R1290,'Nelson Factor_2019'!$B$1:$B$12)/$G1290</f>
        <v>9.3402777777777786</v>
      </c>
    </row>
    <row r="1291" spans="1:27" x14ac:dyDescent="0.25">
      <c r="A1291">
        <v>2015</v>
      </c>
      <c r="B1291">
        <v>3</v>
      </c>
      <c r="C1291">
        <v>2</v>
      </c>
      <c r="D1291" t="s">
        <v>256</v>
      </c>
      <c r="E1291" t="s">
        <v>27</v>
      </c>
      <c r="F1291" t="s">
        <v>28</v>
      </c>
      <c r="G1291">
        <v>79000</v>
      </c>
      <c r="H1291">
        <v>28000</v>
      </c>
      <c r="I1291">
        <v>0</v>
      </c>
      <c r="J1291">
        <v>0</v>
      </c>
      <c r="K1291">
        <v>0</v>
      </c>
      <c r="L1291">
        <v>22500</v>
      </c>
      <c r="M1291">
        <v>30000</v>
      </c>
      <c r="N1291">
        <v>43000</v>
      </c>
      <c r="O1291">
        <v>0</v>
      </c>
      <c r="P1291">
        <v>0</v>
      </c>
      <c r="Q1291">
        <v>0</v>
      </c>
      <c r="R1291">
        <v>7500</v>
      </c>
      <c r="S1291">
        <v>0</v>
      </c>
      <c r="T1291">
        <v>0</v>
      </c>
      <c r="U1291">
        <v>0</v>
      </c>
      <c r="V1291">
        <v>6</v>
      </c>
      <c r="W1291">
        <v>0</v>
      </c>
      <c r="X1291">
        <v>20</v>
      </c>
      <c r="Y1291">
        <v>0</v>
      </c>
      <c r="Z1291" cm="1">
        <f t="array" ref="Z1291">MMULT($G1291:$Y1291,'Nelson Factor_2019'!$B$1:$B$19)/$G1291</f>
        <v>7.6291898734177215</v>
      </c>
      <c r="AA1291" cm="1">
        <f t="array" ref="AA1291">MMULT($G1291:$R1291,'Nelson Factor_2019'!$B$1:$B$12)/$G1291</f>
        <v>7.5683544303797472</v>
      </c>
    </row>
    <row r="1292" spans="1:27" x14ac:dyDescent="0.25">
      <c r="A1292">
        <v>2015</v>
      </c>
      <c r="B1292">
        <v>5</v>
      </c>
      <c r="C1292">
        <v>4</v>
      </c>
      <c r="D1292" t="s">
        <v>257</v>
      </c>
      <c r="E1292" t="s">
        <v>32</v>
      </c>
      <c r="F1292" t="s">
        <v>34</v>
      </c>
      <c r="G1292">
        <v>15000</v>
      </c>
      <c r="H1292">
        <v>0</v>
      </c>
      <c r="I1292">
        <v>15000</v>
      </c>
      <c r="J1292">
        <v>0</v>
      </c>
      <c r="K1292">
        <v>0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0</v>
      </c>
      <c r="U1292">
        <v>0</v>
      </c>
      <c r="V1292">
        <v>0</v>
      </c>
      <c r="W1292">
        <v>0</v>
      </c>
      <c r="X1292">
        <v>0</v>
      </c>
      <c r="Y1292">
        <v>0</v>
      </c>
      <c r="Z1292" cm="1">
        <f t="array" ref="Z1292">MMULT($G1292:$Y1292,'Nelson Factor_2019'!$B$1:$B$19)/$G1292</f>
        <v>8.5</v>
      </c>
      <c r="AA1292" cm="1">
        <f t="array" ref="AA1292">MMULT($G1292:$R1292,'Nelson Factor_2019'!$B$1:$B$12)/$G1292</f>
        <v>8.5</v>
      </c>
    </row>
    <row r="1293" spans="1:27" x14ac:dyDescent="0.25">
      <c r="A1293">
        <v>2015</v>
      </c>
      <c r="B1293">
        <v>5</v>
      </c>
      <c r="C1293">
        <v>4</v>
      </c>
      <c r="D1293" t="s">
        <v>257</v>
      </c>
      <c r="E1293" t="s">
        <v>51</v>
      </c>
      <c r="F1293" t="s">
        <v>33</v>
      </c>
      <c r="G1293">
        <v>14500</v>
      </c>
      <c r="H1293">
        <v>0</v>
      </c>
      <c r="I1293">
        <v>14500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</v>
      </c>
      <c r="U1293">
        <v>0</v>
      </c>
      <c r="V1293">
        <v>0</v>
      </c>
      <c r="W1293">
        <v>0</v>
      </c>
      <c r="X1293">
        <v>0</v>
      </c>
      <c r="Y1293">
        <v>0</v>
      </c>
      <c r="Z1293" cm="1">
        <f t="array" ref="Z1293">MMULT($G1293:$Y1293,'Nelson Factor_2019'!$B$1:$B$19)/$G1293</f>
        <v>8.5</v>
      </c>
      <c r="AA1293" cm="1">
        <f t="array" ref="AA1293">MMULT($G1293:$R1293,'Nelson Factor_2019'!$B$1:$B$12)/$G1293</f>
        <v>8.5</v>
      </c>
    </row>
    <row r="1294" spans="1:27" x14ac:dyDescent="0.25">
      <c r="A1294">
        <v>2015</v>
      </c>
      <c r="B1294">
        <v>5</v>
      </c>
      <c r="C1294">
        <v>0</v>
      </c>
      <c r="D1294" t="s">
        <v>257</v>
      </c>
      <c r="E1294" t="s">
        <v>37</v>
      </c>
      <c r="F1294" t="s">
        <v>36</v>
      </c>
      <c r="G1294">
        <v>22000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  <c r="U1294">
        <v>0</v>
      </c>
      <c r="V1294">
        <v>0</v>
      </c>
      <c r="W1294">
        <v>0</v>
      </c>
      <c r="X1294">
        <v>0</v>
      </c>
      <c r="Y1294">
        <v>0</v>
      </c>
      <c r="Z1294" cm="1">
        <f t="array" ref="Z1294">MMULT($G1294:$Y1294,'Nelson Factor_2019'!$B$1:$B$19)/$G1294</f>
        <v>1</v>
      </c>
      <c r="AA1294" cm="1">
        <f t="array" ref="AA1294">MMULT($G1294:$R1294,'Nelson Factor_2019'!$B$1:$B$12)/$G1294</f>
        <v>1</v>
      </c>
    </row>
    <row r="1295" spans="1:27" x14ac:dyDescent="0.25">
      <c r="A1295">
        <v>2015</v>
      </c>
      <c r="B1295">
        <v>5</v>
      </c>
      <c r="C1295">
        <v>0</v>
      </c>
      <c r="D1295" t="s">
        <v>257</v>
      </c>
      <c r="E1295" t="s">
        <v>37</v>
      </c>
      <c r="F1295" t="s">
        <v>38</v>
      </c>
      <c r="G1295">
        <v>60000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  <c r="U1295">
        <v>0</v>
      </c>
      <c r="V1295">
        <v>0</v>
      </c>
      <c r="W1295">
        <v>0</v>
      </c>
      <c r="X1295">
        <v>0</v>
      </c>
      <c r="Y1295">
        <v>0</v>
      </c>
      <c r="Z1295" cm="1">
        <f t="array" ref="Z1295">MMULT($G1295:$Y1295,'Nelson Factor_2019'!$B$1:$B$19)/$G1295</f>
        <v>1</v>
      </c>
      <c r="AA1295" cm="1">
        <f t="array" ref="AA1295">MMULT($G1295:$R1295,'Nelson Factor_2019'!$B$1:$B$12)/$G1295</f>
        <v>1</v>
      </c>
    </row>
    <row r="1296" spans="1:27" x14ac:dyDescent="0.25">
      <c r="A1296">
        <v>2015</v>
      </c>
      <c r="B1296">
        <v>5</v>
      </c>
      <c r="C1296">
        <v>2</v>
      </c>
      <c r="D1296" t="s">
        <v>257</v>
      </c>
      <c r="E1296" t="s">
        <v>239</v>
      </c>
      <c r="F1296" t="s">
        <v>40</v>
      </c>
      <c r="G1296">
        <v>72000</v>
      </c>
      <c r="H1296">
        <v>19000</v>
      </c>
      <c r="I1296">
        <v>0</v>
      </c>
      <c r="J1296">
        <v>0</v>
      </c>
      <c r="K1296">
        <v>0</v>
      </c>
      <c r="L1296">
        <v>12000</v>
      </c>
      <c r="M1296">
        <v>12500</v>
      </c>
      <c r="N1296">
        <v>12500</v>
      </c>
      <c r="O1296">
        <v>0</v>
      </c>
      <c r="P1296">
        <v>0</v>
      </c>
      <c r="Q1296">
        <v>0</v>
      </c>
      <c r="R1296">
        <v>4000</v>
      </c>
      <c r="S1296">
        <v>0</v>
      </c>
      <c r="T1296">
        <v>0</v>
      </c>
      <c r="U1296">
        <v>13</v>
      </c>
      <c r="V1296">
        <v>0</v>
      </c>
      <c r="W1296">
        <v>0</v>
      </c>
      <c r="X1296">
        <v>19</v>
      </c>
      <c r="Y1296">
        <v>1000</v>
      </c>
      <c r="Z1296" cm="1">
        <f t="array" ref="Z1296">MMULT($G1296:$Y1296,'Nelson Factor_2019'!$B$1:$B$19)/$G1296</f>
        <v>4.2503194444444441</v>
      </c>
      <c r="AA1296" cm="1">
        <f t="array" ref="AA1296">MMULT($G1296:$R1296,'Nelson Factor_2019'!$B$1:$B$12)/$G1296</f>
        <v>4.165972222222222</v>
      </c>
    </row>
    <row r="1297" spans="1:27" x14ac:dyDescent="0.25">
      <c r="A1297">
        <v>2015</v>
      </c>
      <c r="B1297">
        <v>3</v>
      </c>
      <c r="C1297">
        <v>0</v>
      </c>
      <c r="D1297" t="s">
        <v>260</v>
      </c>
      <c r="E1297" t="s">
        <v>42</v>
      </c>
      <c r="F1297" t="s">
        <v>43</v>
      </c>
      <c r="G1297">
        <v>7000</v>
      </c>
      <c r="H1297">
        <v>3000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4500</v>
      </c>
      <c r="O1297">
        <v>0</v>
      </c>
      <c r="P1297">
        <v>0</v>
      </c>
      <c r="Q1297">
        <v>0</v>
      </c>
      <c r="R1297">
        <v>0</v>
      </c>
      <c r="S1297">
        <v>4500</v>
      </c>
      <c r="T1297">
        <v>0</v>
      </c>
      <c r="U1297">
        <v>2.5</v>
      </c>
      <c r="V1297">
        <v>0</v>
      </c>
      <c r="W1297">
        <v>0</v>
      </c>
      <c r="X1297">
        <v>0</v>
      </c>
      <c r="Y1297">
        <v>1500</v>
      </c>
      <c r="Z1297" cm="1">
        <f t="array" ref="Z1297">MMULT($G1297:$Y1297,'Nelson Factor_2019'!$B$1:$B$19)/$G1297</f>
        <v>42.057499999999997</v>
      </c>
      <c r="AA1297" cm="1">
        <f t="array" ref="AA1297">MMULT($G1297:$R1297,'Nelson Factor_2019'!$B$1:$B$12)/$G1297</f>
        <v>3.1642857142857141</v>
      </c>
    </row>
    <row r="1298" spans="1:27" x14ac:dyDescent="0.25">
      <c r="A1298">
        <v>2015</v>
      </c>
      <c r="B1298">
        <v>3</v>
      </c>
      <c r="C1298">
        <v>4</v>
      </c>
      <c r="D1298" t="s">
        <v>260</v>
      </c>
      <c r="E1298" t="s">
        <v>300</v>
      </c>
      <c r="F1298" t="s">
        <v>45</v>
      </c>
      <c r="G1298">
        <v>80000</v>
      </c>
      <c r="H1298">
        <v>64000</v>
      </c>
      <c r="I1298">
        <v>19000</v>
      </c>
      <c r="J1298">
        <v>0</v>
      </c>
      <c r="K1298">
        <v>42000</v>
      </c>
      <c r="L1298">
        <v>31000</v>
      </c>
      <c r="M1298">
        <v>0</v>
      </c>
      <c r="N1298">
        <v>162000</v>
      </c>
      <c r="O1298">
        <v>13500</v>
      </c>
      <c r="P1298">
        <v>0</v>
      </c>
      <c r="Q1298">
        <v>2200</v>
      </c>
      <c r="R1298">
        <v>14000</v>
      </c>
      <c r="S1298">
        <v>0</v>
      </c>
      <c r="T1298">
        <v>0</v>
      </c>
      <c r="U1298">
        <v>39</v>
      </c>
      <c r="V1298">
        <v>22</v>
      </c>
      <c r="W1298">
        <v>0</v>
      </c>
      <c r="X1298">
        <v>285</v>
      </c>
      <c r="Y1298">
        <v>0</v>
      </c>
      <c r="Z1298" cm="1">
        <f t="array" ref="Z1298">MMULT($G1298:$Y1298,'Nelson Factor_2019'!$B$1:$B$19)/$G1298</f>
        <v>17.589512500000001</v>
      </c>
      <c r="AA1298" cm="1">
        <f t="array" ref="AA1298">MMULT($G1298:$R1298,'Nelson Factor_2019'!$B$1:$B$12)/$G1298</f>
        <v>16.733750000000001</v>
      </c>
    </row>
    <row r="1299" spans="1:27" x14ac:dyDescent="0.25">
      <c r="A1299">
        <v>2015</v>
      </c>
      <c r="B1299">
        <v>5</v>
      </c>
      <c r="C1299">
        <v>0</v>
      </c>
      <c r="D1299" t="s">
        <v>261</v>
      </c>
      <c r="E1299" t="s">
        <v>176</v>
      </c>
      <c r="F1299" t="s">
        <v>230</v>
      </c>
      <c r="G1299">
        <v>70000</v>
      </c>
      <c r="H1299">
        <v>59800</v>
      </c>
      <c r="I1299">
        <v>0</v>
      </c>
      <c r="J1299">
        <v>0</v>
      </c>
      <c r="K1299">
        <v>0</v>
      </c>
      <c r="L1299">
        <v>11600</v>
      </c>
      <c r="M1299">
        <v>0</v>
      </c>
      <c r="N1299">
        <v>35250</v>
      </c>
      <c r="O1299">
        <v>0</v>
      </c>
      <c r="P1299">
        <v>0</v>
      </c>
      <c r="Q1299">
        <v>0</v>
      </c>
      <c r="R1299">
        <v>3750</v>
      </c>
      <c r="S1299">
        <v>0</v>
      </c>
      <c r="T1299">
        <v>0</v>
      </c>
      <c r="U1299">
        <v>0</v>
      </c>
      <c r="V1299">
        <v>0</v>
      </c>
      <c r="W1299">
        <v>0</v>
      </c>
      <c r="X1299">
        <v>40</v>
      </c>
      <c r="Y1299">
        <v>35000</v>
      </c>
      <c r="Z1299" cm="1">
        <f t="array" ref="Z1299">MMULT($G1299:$Y1299,'Nelson Factor_2019'!$B$1:$B$19)/$G1299</f>
        <v>5.2459285714285713</v>
      </c>
      <c r="AA1299" cm="1">
        <f t="array" ref="AA1299">MMULT($G1299:$R1299,'Nelson Factor_2019'!$B$1:$B$12)/$G1299</f>
        <v>4.3587857142857143</v>
      </c>
    </row>
    <row r="1300" spans="1:27" x14ac:dyDescent="0.25">
      <c r="A1300">
        <v>2015</v>
      </c>
      <c r="B1300">
        <v>5</v>
      </c>
      <c r="C1300">
        <v>6</v>
      </c>
      <c r="D1300" t="s">
        <v>261</v>
      </c>
      <c r="E1300" t="s">
        <v>227</v>
      </c>
      <c r="F1300" t="s">
        <v>49</v>
      </c>
      <c r="G1300">
        <v>269000</v>
      </c>
      <c r="H1300">
        <v>161000</v>
      </c>
      <c r="I1300">
        <v>67500</v>
      </c>
      <c r="J1300">
        <v>0</v>
      </c>
      <c r="K1300">
        <v>65000</v>
      </c>
      <c r="L1300">
        <v>44000</v>
      </c>
      <c r="M1300">
        <v>46000</v>
      </c>
      <c r="N1300">
        <v>201000</v>
      </c>
      <c r="O1300">
        <v>30000</v>
      </c>
      <c r="P1300">
        <v>0</v>
      </c>
      <c r="Q1300">
        <v>0</v>
      </c>
      <c r="R1300">
        <v>27000</v>
      </c>
      <c r="S1300">
        <v>0</v>
      </c>
      <c r="T1300">
        <v>0</v>
      </c>
      <c r="U1300">
        <v>69.3</v>
      </c>
      <c r="V1300">
        <v>0</v>
      </c>
      <c r="W1300">
        <v>4064</v>
      </c>
      <c r="X1300">
        <v>775</v>
      </c>
      <c r="Y1300">
        <v>0</v>
      </c>
      <c r="Z1300" cm="1">
        <f t="array" ref="Z1300">MMULT($G1300:$Y1300,'Nelson Factor_2019'!$B$1:$B$19)/$G1300</f>
        <v>11.271818959107806</v>
      </c>
      <c r="AA1300" cm="1">
        <f t="array" ref="AA1300">MMULT($G1300:$R1300,'Nelson Factor_2019'!$B$1:$B$12)/$G1300</f>
        <v>10.580111524163568</v>
      </c>
    </row>
    <row r="1301" spans="1:27" x14ac:dyDescent="0.25">
      <c r="A1301">
        <v>2015</v>
      </c>
      <c r="B1301">
        <v>5</v>
      </c>
      <c r="C1301">
        <v>3</v>
      </c>
      <c r="D1301" t="s">
        <v>261</v>
      </c>
      <c r="E1301" t="s">
        <v>227</v>
      </c>
      <c r="F1301" t="s">
        <v>50</v>
      </c>
      <c r="G1301">
        <v>257000</v>
      </c>
      <c r="H1301">
        <v>110000</v>
      </c>
      <c r="I1301">
        <v>0</v>
      </c>
      <c r="J1301">
        <v>0</v>
      </c>
      <c r="K1301">
        <v>80000</v>
      </c>
      <c r="L1301">
        <v>69000</v>
      </c>
      <c r="M1301">
        <v>151000</v>
      </c>
      <c r="N1301">
        <v>197340</v>
      </c>
      <c r="O1301">
        <v>24000</v>
      </c>
      <c r="P1301">
        <v>3700</v>
      </c>
      <c r="Q1301">
        <v>0</v>
      </c>
      <c r="R1301">
        <v>36600</v>
      </c>
      <c r="S1301">
        <v>16000</v>
      </c>
      <c r="T1301">
        <v>0</v>
      </c>
      <c r="U1301">
        <v>150</v>
      </c>
      <c r="V1301">
        <v>20</v>
      </c>
      <c r="W1301">
        <v>0</v>
      </c>
      <c r="X1301">
        <v>600</v>
      </c>
      <c r="Y1301">
        <v>0</v>
      </c>
      <c r="Z1301" cm="1">
        <f t="array" ref="Z1301">MMULT($G1301:$Y1301,'Nelson Factor_2019'!$B$1:$B$19)/$G1301</f>
        <v>17.188015564202335</v>
      </c>
      <c r="AA1301" cm="1">
        <f t="array" ref="AA1301">MMULT($G1301:$R1301,'Nelson Factor_2019'!$B$1:$B$12)/$G1301</f>
        <v>12.891634241245136</v>
      </c>
    </row>
    <row r="1302" spans="1:27" x14ac:dyDescent="0.25">
      <c r="A1302">
        <v>2015</v>
      </c>
      <c r="B1302">
        <v>5</v>
      </c>
      <c r="C1302">
        <v>6</v>
      </c>
      <c r="D1302" t="s">
        <v>261</v>
      </c>
      <c r="E1302" t="s">
        <v>258</v>
      </c>
      <c r="F1302" t="s">
        <v>52</v>
      </c>
      <c r="G1302">
        <v>138700</v>
      </c>
      <c r="H1302">
        <v>78000</v>
      </c>
      <c r="I1302">
        <v>48150</v>
      </c>
      <c r="J1302">
        <v>0</v>
      </c>
      <c r="K1302">
        <v>45000</v>
      </c>
      <c r="L1302">
        <v>34000</v>
      </c>
      <c r="M1302">
        <v>24750</v>
      </c>
      <c r="N1302">
        <v>140900</v>
      </c>
      <c r="O1302">
        <v>14400</v>
      </c>
      <c r="P1302">
        <v>0</v>
      </c>
      <c r="Q1302">
        <v>0</v>
      </c>
      <c r="R1302">
        <v>21050</v>
      </c>
      <c r="S1302">
        <v>0</v>
      </c>
      <c r="T1302">
        <v>0</v>
      </c>
      <c r="U1302">
        <v>100</v>
      </c>
      <c r="V1302">
        <v>0</v>
      </c>
      <c r="W1302">
        <v>2000</v>
      </c>
      <c r="X1302">
        <v>340</v>
      </c>
      <c r="Y1302">
        <v>0</v>
      </c>
      <c r="Z1302" cm="1">
        <f t="array" ref="Z1302">MMULT($G1302:$Y1302,'Nelson Factor_2019'!$B$1:$B$19)/$G1302</f>
        <v>13.55677721701514</v>
      </c>
      <c r="AA1302" cm="1">
        <f t="array" ref="AA1302">MMULT($G1302:$R1302,'Nelson Factor_2019'!$B$1:$B$12)/$G1302</f>
        <v>12.96773612112473</v>
      </c>
    </row>
    <row r="1303" spans="1:27" x14ac:dyDescent="0.25">
      <c r="A1303">
        <v>2015</v>
      </c>
      <c r="B1303">
        <v>5</v>
      </c>
      <c r="C1303">
        <v>5</v>
      </c>
      <c r="D1303" t="s">
        <v>261</v>
      </c>
      <c r="E1303" t="s">
        <v>258</v>
      </c>
      <c r="F1303" t="s">
        <v>262</v>
      </c>
      <c r="G1303">
        <v>120000</v>
      </c>
      <c r="H1303">
        <v>87000</v>
      </c>
      <c r="I1303">
        <v>48000</v>
      </c>
      <c r="J1303">
        <v>0</v>
      </c>
      <c r="K1303">
        <v>0</v>
      </c>
      <c r="L1303">
        <v>31000</v>
      </c>
      <c r="M1303">
        <v>59000</v>
      </c>
      <c r="N1303">
        <v>76000</v>
      </c>
      <c r="O1303">
        <v>0</v>
      </c>
      <c r="P1303">
        <v>0</v>
      </c>
      <c r="Q1303">
        <v>0</v>
      </c>
      <c r="R1303">
        <v>9000</v>
      </c>
      <c r="S1303">
        <v>0</v>
      </c>
      <c r="T1303">
        <v>0</v>
      </c>
      <c r="U1303">
        <v>130</v>
      </c>
      <c r="V1303">
        <v>3</v>
      </c>
      <c r="W1303">
        <v>2500</v>
      </c>
      <c r="X1303">
        <v>530</v>
      </c>
      <c r="Y1303">
        <v>0</v>
      </c>
      <c r="Z1303" cm="1">
        <f t="array" ref="Z1303">MMULT($G1303:$Y1303,'Nelson Factor_2019'!$B$1:$B$19)/$G1303</f>
        <v>13.036941666666667</v>
      </c>
      <c r="AA1303" cm="1">
        <f t="array" ref="AA1303">MMULT($G1303:$R1303,'Nelson Factor_2019'!$B$1:$B$12)/$G1303</f>
        <v>11.975833333333334</v>
      </c>
    </row>
    <row r="1304" spans="1:27" x14ac:dyDescent="0.25">
      <c r="A1304">
        <v>2015</v>
      </c>
      <c r="B1304">
        <v>5</v>
      </c>
      <c r="C1304">
        <v>6</v>
      </c>
      <c r="D1304" t="s">
        <v>261</v>
      </c>
      <c r="E1304" t="s">
        <v>54</v>
      </c>
      <c r="F1304" t="s">
        <v>55</v>
      </c>
      <c r="G1304">
        <v>149500</v>
      </c>
      <c r="H1304">
        <v>98000</v>
      </c>
      <c r="I1304">
        <v>50500</v>
      </c>
      <c r="J1304">
        <v>0</v>
      </c>
      <c r="K1304">
        <v>83500</v>
      </c>
      <c r="L1304">
        <v>17000</v>
      </c>
      <c r="M1304">
        <v>21500</v>
      </c>
      <c r="N1304">
        <v>143500</v>
      </c>
      <c r="O1304">
        <v>24500</v>
      </c>
      <c r="P1304">
        <v>0</v>
      </c>
      <c r="Q1304">
        <v>0</v>
      </c>
      <c r="R1304">
        <v>0</v>
      </c>
      <c r="S1304">
        <v>0</v>
      </c>
      <c r="T1304">
        <v>0</v>
      </c>
      <c r="U1304">
        <v>142</v>
      </c>
      <c r="V1304">
        <v>9</v>
      </c>
      <c r="W1304">
        <v>3050</v>
      </c>
      <c r="X1304">
        <v>380</v>
      </c>
      <c r="Y1304">
        <v>0</v>
      </c>
      <c r="Z1304" cm="1">
        <f t="array" ref="Z1304">MMULT($G1304:$Y1304,'Nelson Factor_2019'!$B$1:$B$19)/$G1304</f>
        <v>14.105357859531773</v>
      </c>
      <c r="AA1304" cm="1">
        <f t="array" ref="AA1304">MMULT($G1304:$R1304,'Nelson Factor_2019'!$B$1:$B$12)/$G1304</f>
        <v>13.494314381270904</v>
      </c>
    </row>
    <row r="1305" spans="1:27" x14ac:dyDescent="0.25">
      <c r="A1305">
        <v>2015</v>
      </c>
      <c r="B1305">
        <v>5</v>
      </c>
      <c r="C1305">
        <v>0</v>
      </c>
      <c r="D1305" t="s">
        <v>261</v>
      </c>
      <c r="E1305" t="s">
        <v>56</v>
      </c>
      <c r="F1305" t="s">
        <v>57</v>
      </c>
      <c r="G1305">
        <v>25000</v>
      </c>
      <c r="H1305">
        <v>0</v>
      </c>
      <c r="I1305">
        <v>0</v>
      </c>
      <c r="J1305">
        <v>0</v>
      </c>
      <c r="K1305">
        <v>0</v>
      </c>
      <c r="L1305">
        <v>3000</v>
      </c>
      <c r="M1305">
        <v>0</v>
      </c>
      <c r="N1305">
        <v>13000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  <c r="U1305">
        <v>0</v>
      </c>
      <c r="V1305">
        <v>0</v>
      </c>
      <c r="W1305">
        <v>0</v>
      </c>
      <c r="X1305">
        <v>4.5</v>
      </c>
      <c r="Y1305">
        <v>0</v>
      </c>
      <c r="Z1305" cm="1">
        <f t="array" ref="Z1305">MMULT($G1305:$Y1305,'Nelson Factor_2019'!$B$1:$B$19)/$G1305</f>
        <v>2.9432</v>
      </c>
      <c r="AA1305" cm="1">
        <f t="array" ref="AA1305">MMULT($G1305:$R1305,'Nelson Factor_2019'!$B$1:$B$12)/$G1305</f>
        <v>2.9</v>
      </c>
    </row>
    <row r="1306" spans="1:27" x14ac:dyDescent="0.25">
      <c r="A1306">
        <v>2015</v>
      </c>
      <c r="B1306">
        <v>5</v>
      </c>
      <c r="C1306">
        <v>0</v>
      </c>
      <c r="D1306" t="s">
        <v>261</v>
      </c>
      <c r="E1306" t="s">
        <v>60</v>
      </c>
      <c r="F1306" t="s">
        <v>57</v>
      </c>
      <c r="G1306">
        <v>24300</v>
      </c>
      <c r="H1306">
        <v>14300</v>
      </c>
      <c r="I1306">
        <v>0</v>
      </c>
      <c r="J1306">
        <v>10000</v>
      </c>
      <c r="K1306">
        <v>0</v>
      </c>
      <c r="L1306">
        <v>0</v>
      </c>
      <c r="M1306">
        <v>0</v>
      </c>
      <c r="N1306">
        <v>5300</v>
      </c>
      <c r="O1306">
        <v>0</v>
      </c>
      <c r="P1306">
        <v>0</v>
      </c>
      <c r="Q1306">
        <v>0</v>
      </c>
      <c r="R1306">
        <v>0</v>
      </c>
      <c r="S1306">
        <v>4000</v>
      </c>
      <c r="T1306">
        <v>0</v>
      </c>
      <c r="U1306">
        <v>4.2</v>
      </c>
      <c r="V1306">
        <v>0</v>
      </c>
      <c r="W1306">
        <v>0</v>
      </c>
      <c r="X1306">
        <v>6</v>
      </c>
      <c r="Y1306">
        <v>6500</v>
      </c>
      <c r="Z1306" cm="1">
        <f t="array" ref="Z1306">MMULT($G1306:$Y1306,'Nelson Factor_2019'!$B$1:$B$19)/$G1306</f>
        <v>13.779185185185186</v>
      </c>
      <c r="AA1306" cm="1">
        <f t="array" ref="AA1306">MMULT($G1306:$R1306,'Nelson Factor_2019'!$B$1:$B$12)/$G1306</f>
        <v>3.4419753086419753</v>
      </c>
    </row>
    <row r="1307" spans="1:27" x14ac:dyDescent="0.25">
      <c r="A1307">
        <v>2015</v>
      </c>
      <c r="B1307">
        <v>5</v>
      </c>
      <c r="C1307">
        <v>6</v>
      </c>
      <c r="D1307" t="s">
        <v>261</v>
      </c>
      <c r="E1307" t="s">
        <v>61</v>
      </c>
      <c r="F1307" t="s">
        <v>62</v>
      </c>
      <c r="G1307">
        <v>145000</v>
      </c>
      <c r="H1307">
        <v>91100</v>
      </c>
      <c r="I1307">
        <v>46500</v>
      </c>
      <c r="J1307">
        <v>0</v>
      </c>
      <c r="K1307">
        <v>68870</v>
      </c>
      <c r="L1307">
        <v>29400</v>
      </c>
      <c r="M1307">
        <v>37000</v>
      </c>
      <c r="N1307">
        <v>117950</v>
      </c>
      <c r="O1307">
        <v>11000</v>
      </c>
      <c r="P1307">
        <v>2470</v>
      </c>
      <c r="Q1307">
        <v>0</v>
      </c>
      <c r="R1307">
        <v>15000</v>
      </c>
      <c r="S1307">
        <v>0</v>
      </c>
      <c r="T1307">
        <v>0</v>
      </c>
      <c r="U1307">
        <v>101</v>
      </c>
      <c r="V1307">
        <v>0</v>
      </c>
      <c r="W1307">
        <v>1150</v>
      </c>
      <c r="X1307">
        <v>360</v>
      </c>
      <c r="Y1307">
        <v>15000</v>
      </c>
      <c r="Z1307" cm="1">
        <f t="array" ref="Z1307">MMULT($G1307:$Y1307,'Nelson Factor_2019'!$B$1:$B$19)/$G1307</f>
        <v>14.151558620689656</v>
      </c>
      <c r="AA1307" cm="1">
        <f t="array" ref="AA1307">MMULT($G1307:$R1307,'Nelson Factor_2019'!$B$1:$B$12)/$G1307</f>
        <v>13.399827586206897</v>
      </c>
    </row>
    <row r="1308" spans="1:27" x14ac:dyDescent="0.25">
      <c r="A1308">
        <v>2015</v>
      </c>
      <c r="B1308">
        <v>5</v>
      </c>
      <c r="C1308">
        <v>6</v>
      </c>
      <c r="D1308" t="s">
        <v>261</v>
      </c>
      <c r="E1308" t="s">
        <v>239</v>
      </c>
      <c r="F1308" t="s">
        <v>301</v>
      </c>
      <c r="G1308">
        <v>363000</v>
      </c>
      <c r="H1308">
        <v>62000</v>
      </c>
      <c r="I1308">
        <v>40000</v>
      </c>
      <c r="J1308">
        <v>0</v>
      </c>
      <c r="K1308">
        <v>36000</v>
      </c>
      <c r="L1308">
        <v>32500</v>
      </c>
      <c r="M1308">
        <v>32000</v>
      </c>
      <c r="N1308">
        <v>101250</v>
      </c>
      <c r="O1308">
        <v>12000</v>
      </c>
      <c r="P1308">
        <v>0</v>
      </c>
      <c r="Q1308">
        <v>0</v>
      </c>
      <c r="R1308">
        <v>8000</v>
      </c>
      <c r="S1308">
        <v>0</v>
      </c>
      <c r="T1308">
        <v>0</v>
      </c>
      <c r="U1308">
        <v>55</v>
      </c>
      <c r="V1308">
        <v>55</v>
      </c>
      <c r="W1308">
        <v>1615</v>
      </c>
      <c r="X1308">
        <v>265</v>
      </c>
      <c r="Y1308">
        <v>0</v>
      </c>
      <c r="Z1308" cm="1">
        <f t="array" ref="Z1308">MMULT($G1308:$Y1308,'Nelson Factor_2019'!$B$1:$B$19)/$G1308</f>
        <v>5.0659366391184575</v>
      </c>
      <c r="AA1308" cm="1">
        <f t="array" ref="AA1308">MMULT($G1308:$R1308,'Nelson Factor_2019'!$B$1:$B$12)/$G1308</f>
        <v>4.8904269972451795</v>
      </c>
    </row>
    <row r="1309" spans="1:27" x14ac:dyDescent="0.25">
      <c r="A1309">
        <v>2015</v>
      </c>
      <c r="B1309">
        <v>5</v>
      </c>
      <c r="C1309">
        <v>6</v>
      </c>
      <c r="D1309" t="s">
        <v>261</v>
      </c>
      <c r="E1309" t="s">
        <v>239</v>
      </c>
      <c r="F1309" t="s">
        <v>65</v>
      </c>
      <c r="G1309">
        <v>166000</v>
      </c>
      <c r="H1309">
        <v>144000</v>
      </c>
      <c r="I1309">
        <v>42000</v>
      </c>
      <c r="J1309">
        <v>0</v>
      </c>
      <c r="K1309">
        <v>66500</v>
      </c>
      <c r="L1309">
        <v>42000</v>
      </c>
      <c r="M1309">
        <v>32000</v>
      </c>
      <c r="N1309">
        <v>172500</v>
      </c>
      <c r="O1309">
        <v>14000</v>
      </c>
      <c r="P1309">
        <v>0</v>
      </c>
      <c r="Q1309">
        <v>0</v>
      </c>
      <c r="R1309">
        <v>0</v>
      </c>
      <c r="S1309">
        <v>0</v>
      </c>
      <c r="T1309">
        <v>0</v>
      </c>
      <c r="U1309">
        <v>105</v>
      </c>
      <c r="V1309">
        <v>0</v>
      </c>
      <c r="W1309">
        <v>1500</v>
      </c>
      <c r="X1309">
        <v>140</v>
      </c>
      <c r="Y1309">
        <v>0</v>
      </c>
      <c r="Z1309" cm="1">
        <f t="array" ref="Z1309">MMULT($G1309:$Y1309,'Nelson Factor_2019'!$B$1:$B$19)/$G1309</f>
        <v>12.880451807228916</v>
      </c>
      <c r="AA1309" cm="1">
        <f t="array" ref="AA1309">MMULT($G1309:$R1309,'Nelson Factor_2019'!$B$1:$B$12)/$G1309</f>
        <v>12.677409638554217</v>
      </c>
    </row>
    <row r="1310" spans="1:27" x14ac:dyDescent="0.25">
      <c r="A1310">
        <v>2015</v>
      </c>
      <c r="B1310">
        <v>5</v>
      </c>
      <c r="C1310">
        <v>6</v>
      </c>
      <c r="D1310" t="s">
        <v>261</v>
      </c>
      <c r="E1310" t="s">
        <v>66</v>
      </c>
      <c r="F1310" t="s">
        <v>67</v>
      </c>
      <c r="G1310">
        <v>170000</v>
      </c>
      <c r="H1310">
        <v>78500</v>
      </c>
      <c r="I1310">
        <v>28000</v>
      </c>
      <c r="J1310">
        <v>0</v>
      </c>
      <c r="K1310">
        <v>69000</v>
      </c>
      <c r="L1310">
        <v>36000</v>
      </c>
      <c r="M1310">
        <v>36000</v>
      </c>
      <c r="N1310">
        <v>146000</v>
      </c>
      <c r="O1310">
        <v>17100</v>
      </c>
      <c r="P1310">
        <v>2900</v>
      </c>
      <c r="Q1310">
        <v>0</v>
      </c>
      <c r="R1310">
        <v>0</v>
      </c>
      <c r="S1310">
        <v>0</v>
      </c>
      <c r="T1310">
        <v>0</v>
      </c>
      <c r="U1310">
        <v>131.5</v>
      </c>
      <c r="V1310">
        <v>0</v>
      </c>
      <c r="W1310">
        <v>1080</v>
      </c>
      <c r="X1310">
        <v>275</v>
      </c>
      <c r="Y1310">
        <v>5000</v>
      </c>
      <c r="Z1310" cm="1">
        <f t="array" ref="Z1310">MMULT($G1310:$Y1310,'Nelson Factor_2019'!$B$1:$B$19)/$G1310</f>
        <v>11.780479411764706</v>
      </c>
      <c r="AA1310" cm="1">
        <f t="array" ref="AA1310">MMULT($G1310:$R1310,'Nelson Factor_2019'!$B$1:$B$12)/$G1310</f>
        <v>11.347352941176471</v>
      </c>
    </row>
    <row r="1311" spans="1:27" x14ac:dyDescent="0.25">
      <c r="A1311">
        <v>2015</v>
      </c>
      <c r="B1311">
        <v>5</v>
      </c>
      <c r="C1311">
        <v>4</v>
      </c>
      <c r="D1311" t="s">
        <v>261</v>
      </c>
      <c r="E1311" t="s">
        <v>66</v>
      </c>
      <c r="F1311" t="s">
        <v>63</v>
      </c>
      <c r="G1311">
        <v>135000</v>
      </c>
      <c r="H1311">
        <v>46000</v>
      </c>
      <c r="I1311">
        <v>28000</v>
      </c>
      <c r="J1311">
        <v>0</v>
      </c>
      <c r="K1311">
        <v>54000</v>
      </c>
      <c r="L1311">
        <v>17500</v>
      </c>
      <c r="M1311">
        <v>0</v>
      </c>
      <c r="N1311">
        <v>139500</v>
      </c>
      <c r="O1311">
        <v>14500</v>
      </c>
      <c r="P1311">
        <v>0</v>
      </c>
      <c r="Q1311">
        <v>0</v>
      </c>
      <c r="R1311">
        <v>10200</v>
      </c>
      <c r="S1311">
        <v>0</v>
      </c>
      <c r="T1311">
        <v>0</v>
      </c>
      <c r="U1311">
        <v>50</v>
      </c>
      <c r="V1311">
        <v>0</v>
      </c>
      <c r="W1311">
        <v>1700</v>
      </c>
      <c r="X1311">
        <v>250</v>
      </c>
      <c r="Y1311">
        <v>0</v>
      </c>
      <c r="Z1311" cm="1">
        <f t="array" ref="Z1311">MMULT($G1311:$Y1311,'Nelson Factor_2019'!$B$1:$B$19)/$G1311</f>
        <v>10.375555555555556</v>
      </c>
      <c r="AA1311" cm="1">
        <f t="array" ref="AA1311">MMULT($G1311:$R1311,'Nelson Factor_2019'!$B$1:$B$12)/$G1311</f>
        <v>9.93074074074074</v>
      </c>
    </row>
    <row r="1312" spans="1:27" x14ac:dyDescent="0.25">
      <c r="A1312">
        <v>2015</v>
      </c>
      <c r="B1312">
        <v>4</v>
      </c>
      <c r="C1312">
        <v>1</v>
      </c>
      <c r="D1312" t="s">
        <v>263</v>
      </c>
      <c r="E1312" t="s">
        <v>264</v>
      </c>
      <c r="F1312" t="s">
        <v>70</v>
      </c>
      <c r="G1312">
        <v>98000</v>
      </c>
      <c r="H1312">
        <v>34200</v>
      </c>
      <c r="I1312">
        <v>0</v>
      </c>
      <c r="J1312">
        <v>0</v>
      </c>
      <c r="K1312">
        <v>30225</v>
      </c>
      <c r="L1312">
        <v>21900</v>
      </c>
      <c r="M1312">
        <v>0</v>
      </c>
      <c r="N1312">
        <v>87800</v>
      </c>
      <c r="O1312">
        <v>0</v>
      </c>
      <c r="P1312">
        <v>3540</v>
      </c>
      <c r="Q1312">
        <v>0</v>
      </c>
      <c r="R1312">
        <v>0</v>
      </c>
      <c r="S1312">
        <v>0</v>
      </c>
      <c r="T1312">
        <v>0</v>
      </c>
      <c r="U1312">
        <v>26</v>
      </c>
      <c r="V1312">
        <v>0</v>
      </c>
      <c r="W1312">
        <v>0</v>
      </c>
      <c r="X1312">
        <v>94</v>
      </c>
      <c r="Y1312">
        <v>10500</v>
      </c>
      <c r="Z1312" cm="1">
        <f t="array" ref="Z1312">MMULT($G1312:$Y1312,'Nelson Factor_2019'!$B$1:$B$19)/$G1312</f>
        <v>7.4137346938775508</v>
      </c>
      <c r="AA1312" cm="1">
        <f t="array" ref="AA1312">MMULT($G1312:$R1312,'Nelson Factor_2019'!$B$1:$B$12)/$G1312</f>
        <v>7.0225510204081631</v>
      </c>
    </row>
    <row r="1313" spans="1:27" x14ac:dyDescent="0.25">
      <c r="A1313">
        <v>2015</v>
      </c>
      <c r="B1313">
        <v>1</v>
      </c>
      <c r="C1313">
        <v>3</v>
      </c>
      <c r="D1313" t="s">
        <v>265</v>
      </c>
      <c r="E1313" t="s">
        <v>245</v>
      </c>
      <c r="F1313" t="s">
        <v>74</v>
      </c>
      <c r="G1313">
        <v>190000</v>
      </c>
      <c r="H1313">
        <v>102000</v>
      </c>
      <c r="I1313">
        <v>0</v>
      </c>
      <c r="J1313">
        <v>0</v>
      </c>
      <c r="K1313">
        <v>82000</v>
      </c>
      <c r="L1313">
        <v>43000</v>
      </c>
      <c r="M1313">
        <v>18000</v>
      </c>
      <c r="N1313">
        <v>130000</v>
      </c>
      <c r="O1313">
        <v>11000</v>
      </c>
      <c r="P1313">
        <v>5040</v>
      </c>
      <c r="Q1313">
        <v>1260</v>
      </c>
      <c r="R1313">
        <v>6000</v>
      </c>
      <c r="S1313">
        <v>0</v>
      </c>
      <c r="T1313">
        <v>0</v>
      </c>
      <c r="U1313">
        <v>40</v>
      </c>
      <c r="V1313">
        <v>22</v>
      </c>
      <c r="W1313">
        <v>2200</v>
      </c>
      <c r="X1313">
        <v>532</v>
      </c>
      <c r="Y1313">
        <v>0</v>
      </c>
      <c r="Z1313" cm="1">
        <f t="array" ref="Z1313">MMULT($G1313:$Y1313,'Nelson Factor_2019'!$B$1:$B$19)/$G1313</f>
        <v>9.6312736842105267</v>
      </c>
      <c r="AA1313" cm="1">
        <f t="array" ref="AA1313">MMULT($G1313:$R1313,'Nelson Factor_2019'!$B$1:$B$12)/$G1313</f>
        <v>8.9589473684210521</v>
      </c>
    </row>
    <row r="1314" spans="1:27" x14ac:dyDescent="0.25">
      <c r="A1314">
        <v>2015</v>
      </c>
      <c r="B1314">
        <v>5</v>
      </c>
      <c r="C1314">
        <v>1</v>
      </c>
      <c r="D1314" t="s">
        <v>266</v>
      </c>
      <c r="E1314" t="s">
        <v>227</v>
      </c>
      <c r="F1314" t="s">
        <v>76</v>
      </c>
      <c r="G1314">
        <v>54000</v>
      </c>
      <c r="H1314">
        <v>30000</v>
      </c>
      <c r="I1314">
        <v>0</v>
      </c>
      <c r="J1314">
        <v>0</v>
      </c>
      <c r="K1314">
        <v>21000</v>
      </c>
      <c r="L1314">
        <v>0</v>
      </c>
      <c r="M1314">
        <v>0</v>
      </c>
      <c r="N1314">
        <v>3000</v>
      </c>
      <c r="O1314">
        <v>4000</v>
      </c>
      <c r="P1314">
        <v>1000</v>
      </c>
      <c r="Q1314">
        <v>0</v>
      </c>
      <c r="R1314">
        <v>1200</v>
      </c>
      <c r="S1314">
        <v>0</v>
      </c>
      <c r="T1314">
        <v>0</v>
      </c>
      <c r="U1314">
        <v>2</v>
      </c>
      <c r="V1314">
        <v>0</v>
      </c>
      <c r="W1314">
        <v>0</v>
      </c>
      <c r="X1314">
        <v>0</v>
      </c>
      <c r="Y1314">
        <v>1300</v>
      </c>
      <c r="Z1314" cm="1">
        <f t="array" ref="Z1314">MMULT($G1314:$Y1314,'Nelson Factor_2019'!$B$1:$B$19)/$G1314</f>
        <v>5.2231851851851854</v>
      </c>
      <c r="AA1314" cm="1">
        <f t="array" ref="AA1314">MMULT($G1314:$R1314,'Nelson Factor_2019'!$B$1:$B$12)/$G1314</f>
        <v>5.1870370370370367</v>
      </c>
    </row>
    <row r="1315" spans="1:27" x14ac:dyDescent="0.25">
      <c r="A1315">
        <v>2015</v>
      </c>
      <c r="B1315">
        <v>5</v>
      </c>
      <c r="C1315">
        <v>2</v>
      </c>
      <c r="D1315" t="s">
        <v>266</v>
      </c>
      <c r="E1315" t="s">
        <v>295</v>
      </c>
      <c r="F1315" t="s">
        <v>76</v>
      </c>
      <c r="G1315">
        <v>94000</v>
      </c>
      <c r="H1315">
        <v>36000</v>
      </c>
      <c r="I1315">
        <v>0</v>
      </c>
      <c r="J1315">
        <v>11000</v>
      </c>
      <c r="K1315">
        <v>0</v>
      </c>
      <c r="L1315">
        <v>13000</v>
      </c>
      <c r="M1315">
        <v>18000</v>
      </c>
      <c r="N1315">
        <v>13000</v>
      </c>
      <c r="O1315">
        <v>0</v>
      </c>
      <c r="P1315">
        <v>0</v>
      </c>
      <c r="Q1315">
        <v>0</v>
      </c>
      <c r="R1315">
        <v>0</v>
      </c>
      <c r="S1315">
        <v>0</v>
      </c>
      <c r="T1315">
        <v>0</v>
      </c>
      <c r="U1315">
        <v>18</v>
      </c>
      <c r="V1315">
        <v>0</v>
      </c>
      <c r="W1315">
        <v>0</v>
      </c>
      <c r="X1315">
        <v>34</v>
      </c>
      <c r="Y1315">
        <v>1000</v>
      </c>
      <c r="Z1315" cm="1">
        <f t="array" ref="Z1315">MMULT($G1315:$Y1315,'Nelson Factor_2019'!$B$1:$B$19)/$G1315</f>
        <v>4.4917872340425529</v>
      </c>
      <c r="AA1315" cm="1">
        <f t="array" ref="AA1315">MMULT($G1315:$R1315,'Nelson Factor_2019'!$B$1:$B$12)/$G1315</f>
        <v>4.3888297872340427</v>
      </c>
    </row>
    <row r="1316" spans="1:27" x14ac:dyDescent="0.25">
      <c r="A1316">
        <v>2015</v>
      </c>
      <c r="B1316">
        <v>2</v>
      </c>
      <c r="C1316">
        <v>4</v>
      </c>
      <c r="D1316" t="s">
        <v>267</v>
      </c>
      <c r="E1316" t="s">
        <v>79</v>
      </c>
      <c r="F1316" t="s">
        <v>80</v>
      </c>
      <c r="G1316">
        <v>167000</v>
      </c>
      <c r="H1316">
        <v>71250</v>
      </c>
      <c r="I1316">
        <v>36000</v>
      </c>
      <c r="J1316">
        <v>0</v>
      </c>
      <c r="K1316">
        <v>60300</v>
      </c>
      <c r="L1316">
        <v>28080</v>
      </c>
      <c r="M1316">
        <v>0</v>
      </c>
      <c r="N1316">
        <v>103410</v>
      </c>
      <c r="O1316">
        <v>18900</v>
      </c>
      <c r="P1316">
        <v>0</v>
      </c>
      <c r="Q1316">
        <v>6030</v>
      </c>
      <c r="R1316">
        <v>0</v>
      </c>
      <c r="S1316">
        <v>0</v>
      </c>
      <c r="T1316">
        <v>0</v>
      </c>
      <c r="U1316">
        <v>4.5</v>
      </c>
      <c r="V1316">
        <v>0</v>
      </c>
      <c r="W1316">
        <v>2102</v>
      </c>
      <c r="X1316">
        <v>344</v>
      </c>
      <c r="Y1316">
        <v>0</v>
      </c>
      <c r="Z1316" cm="1">
        <f t="array" ref="Z1316">MMULT($G1316:$Y1316,'Nelson Factor_2019'!$B$1:$B$19)/$G1316</f>
        <v>10.074937125748503</v>
      </c>
      <c r="AA1316" cm="1">
        <f t="array" ref="AA1316">MMULT($G1316:$R1316,'Nelson Factor_2019'!$B$1:$B$12)/$G1316</f>
        <v>9.5805389221556894</v>
      </c>
    </row>
    <row r="1317" spans="1:27" x14ac:dyDescent="0.25">
      <c r="A1317">
        <v>2015</v>
      </c>
      <c r="B1317">
        <v>2</v>
      </c>
      <c r="C1317">
        <v>4</v>
      </c>
      <c r="D1317" t="s">
        <v>267</v>
      </c>
      <c r="E1317" t="s">
        <v>54</v>
      </c>
      <c r="F1317" t="s">
        <v>82</v>
      </c>
      <c r="G1317">
        <v>238000</v>
      </c>
      <c r="H1317">
        <v>121500</v>
      </c>
      <c r="I1317">
        <v>56500</v>
      </c>
      <c r="J1317">
        <v>0</v>
      </c>
      <c r="K1317">
        <v>94500</v>
      </c>
      <c r="L1317">
        <v>50000</v>
      </c>
      <c r="M1317">
        <v>0</v>
      </c>
      <c r="N1317">
        <v>252000</v>
      </c>
      <c r="O1317">
        <v>28000</v>
      </c>
      <c r="P1317">
        <v>0</v>
      </c>
      <c r="Q1317">
        <v>0</v>
      </c>
      <c r="R1317">
        <v>0</v>
      </c>
      <c r="S1317">
        <v>0</v>
      </c>
      <c r="T1317">
        <v>0</v>
      </c>
      <c r="U1317">
        <v>0</v>
      </c>
      <c r="V1317">
        <v>0</v>
      </c>
      <c r="W1317">
        <v>3350</v>
      </c>
      <c r="X1317">
        <v>580</v>
      </c>
      <c r="Y1317">
        <v>14500</v>
      </c>
      <c r="Z1317" cm="1">
        <f t="array" ref="Z1317">MMULT($G1317:$Y1317,'Nelson Factor_2019'!$B$1:$B$19)/$G1317</f>
        <v>11.376680672268908</v>
      </c>
      <c r="AA1317" cm="1">
        <f t="array" ref="AA1317">MMULT($G1317:$R1317,'Nelson Factor_2019'!$B$1:$B$12)/$G1317</f>
        <v>10.700420168067227</v>
      </c>
    </row>
    <row r="1318" spans="1:27" x14ac:dyDescent="0.25">
      <c r="A1318">
        <v>2015</v>
      </c>
      <c r="B1318">
        <v>2</v>
      </c>
      <c r="C1318">
        <v>6</v>
      </c>
      <c r="D1318" t="s">
        <v>267</v>
      </c>
      <c r="E1318" t="s">
        <v>246</v>
      </c>
      <c r="F1318" t="s">
        <v>84</v>
      </c>
      <c r="G1318">
        <v>212000</v>
      </c>
      <c r="H1318">
        <v>67900</v>
      </c>
      <c r="I1318">
        <v>27600</v>
      </c>
      <c r="J1318">
        <v>0</v>
      </c>
      <c r="K1318">
        <v>51800</v>
      </c>
      <c r="L1318">
        <v>76500</v>
      </c>
      <c r="M1318">
        <v>29000</v>
      </c>
      <c r="N1318">
        <v>177700</v>
      </c>
      <c r="O1318">
        <v>11900</v>
      </c>
      <c r="P1318">
        <v>0</v>
      </c>
      <c r="Q1318">
        <v>3100</v>
      </c>
      <c r="R1318">
        <v>15200</v>
      </c>
      <c r="S1318">
        <v>0</v>
      </c>
      <c r="T1318">
        <v>0</v>
      </c>
      <c r="U1318">
        <v>0</v>
      </c>
      <c r="V1318">
        <v>0</v>
      </c>
      <c r="W1318">
        <v>1294</v>
      </c>
      <c r="X1318">
        <v>175</v>
      </c>
      <c r="Y1318">
        <v>0</v>
      </c>
      <c r="Z1318" cm="1">
        <f t="array" ref="Z1318">MMULT($G1318:$Y1318,'Nelson Factor_2019'!$B$1:$B$19)/$G1318</f>
        <v>10.119905660377359</v>
      </c>
      <c r="AA1318" cm="1">
        <f t="array" ref="AA1318">MMULT($G1318:$R1318,'Nelson Factor_2019'!$B$1:$B$12)/$G1318</f>
        <v>9.9217924528301893</v>
      </c>
    </row>
    <row r="1319" spans="1:27" x14ac:dyDescent="0.25">
      <c r="A1319">
        <v>2015</v>
      </c>
      <c r="B1319">
        <v>2</v>
      </c>
      <c r="C1319">
        <v>6</v>
      </c>
      <c r="D1319" t="s">
        <v>267</v>
      </c>
      <c r="E1319" t="s">
        <v>240</v>
      </c>
      <c r="F1319" t="s">
        <v>81</v>
      </c>
      <c r="G1319">
        <v>314000</v>
      </c>
      <c r="H1319">
        <v>187000</v>
      </c>
      <c r="I1319">
        <v>75000</v>
      </c>
      <c r="J1319">
        <v>0</v>
      </c>
      <c r="K1319">
        <v>91000</v>
      </c>
      <c r="L1319">
        <v>72000</v>
      </c>
      <c r="M1319">
        <v>49000</v>
      </c>
      <c r="N1319">
        <v>240000</v>
      </c>
      <c r="O1319">
        <v>20000</v>
      </c>
      <c r="P1319">
        <v>0</v>
      </c>
      <c r="Q1319">
        <v>4100</v>
      </c>
      <c r="R1319">
        <v>0</v>
      </c>
      <c r="S1319">
        <v>0</v>
      </c>
      <c r="T1319">
        <v>0</v>
      </c>
      <c r="U1319">
        <v>171</v>
      </c>
      <c r="V1319">
        <v>0</v>
      </c>
      <c r="W1319">
        <v>5100</v>
      </c>
      <c r="X1319">
        <v>825</v>
      </c>
      <c r="Y1319">
        <v>21000</v>
      </c>
      <c r="Z1319" cm="1">
        <f t="array" ref="Z1319">MMULT($G1319:$Y1319,'Nelson Factor_2019'!$B$1:$B$19)/$G1319</f>
        <v>11.239716560509555</v>
      </c>
      <c r="AA1319" cm="1">
        <f t="array" ref="AA1319">MMULT($G1319:$R1319,'Nelson Factor_2019'!$B$1:$B$12)/$G1319</f>
        <v>10.50828025477707</v>
      </c>
    </row>
    <row r="1320" spans="1:27" x14ac:dyDescent="0.25">
      <c r="A1320">
        <v>2015</v>
      </c>
      <c r="B1320">
        <v>2</v>
      </c>
      <c r="C1320">
        <v>4</v>
      </c>
      <c r="D1320" t="s">
        <v>268</v>
      </c>
      <c r="E1320" t="s">
        <v>32</v>
      </c>
      <c r="F1320" t="s">
        <v>86</v>
      </c>
      <c r="G1320">
        <v>406600</v>
      </c>
      <c r="H1320">
        <v>245575</v>
      </c>
      <c r="I1320">
        <v>91800</v>
      </c>
      <c r="J1320">
        <v>0</v>
      </c>
      <c r="K1320">
        <v>148500</v>
      </c>
      <c r="L1320">
        <v>57600</v>
      </c>
      <c r="M1320">
        <v>0</v>
      </c>
      <c r="N1320">
        <v>409500</v>
      </c>
      <c r="O1320">
        <v>27900</v>
      </c>
      <c r="P1320">
        <v>0</v>
      </c>
      <c r="Q1320">
        <v>0</v>
      </c>
      <c r="R1320">
        <v>23400</v>
      </c>
      <c r="S1320">
        <v>0</v>
      </c>
      <c r="T1320">
        <v>0</v>
      </c>
      <c r="U1320">
        <v>30</v>
      </c>
      <c r="V1320">
        <v>0</v>
      </c>
      <c r="W1320">
        <v>6000</v>
      </c>
      <c r="X1320">
        <v>1684</v>
      </c>
      <c r="Y1320">
        <v>26550</v>
      </c>
      <c r="Z1320" cm="1">
        <f t="array" ref="Z1320">MMULT($G1320:$Y1320,'Nelson Factor_2019'!$B$1:$B$19)/$G1320</f>
        <v>10.846808903098868</v>
      </c>
      <c r="AA1320" cm="1">
        <f t="array" ref="AA1320">MMULT($G1320:$R1320,'Nelson Factor_2019'!$B$1:$B$12)/$G1320</f>
        <v>9.754789719626169</v>
      </c>
    </row>
    <row r="1321" spans="1:27" x14ac:dyDescent="0.25">
      <c r="A1321">
        <v>2015</v>
      </c>
      <c r="B1321">
        <v>2</v>
      </c>
      <c r="C1321">
        <v>1</v>
      </c>
      <c r="D1321" t="s">
        <v>268</v>
      </c>
      <c r="E1321" t="s">
        <v>87</v>
      </c>
      <c r="F1321" t="s">
        <v>88</v>
      </c>
      <c r="G1321">
        <v>27000</v>
      </c>
      <c r="H1321">
        <v>11000</v>
      </c>
      <c r="I1321">
        <v>0</v>
      </c>
      <c r="J1321">
        <v>0</v>
      </c>
      <c r="K1321">
        <v>7850</v>
      </c>
      <c r="L1321">
        <v>6500</v>
      </c>
      <c r="M1321">
        <v>0</v>
      </c>
      <c r="N1321">
        <v>21000</v>
      </c>
      <c r="O1321">
        <v>2000</v>
      </c>
      <c r="P1321">
        <v>0</v>
      </c>
      <c r="Q1321">
        <v>0</v>
      </c>
      <c r="R1321">
        <v>2200</v>
      </c>
      <c r="S1321">
        <v>0</v>
      </c>
      <c r="T1321">
        <v>0</v>
      </c>
      <c r="U1321">
        <v>0</v>
      </c>
      <c r="V1321">
        <v>0</v>
      </c>
      <c r="W1321">
        <v>0</v>
      </c>
      <c r="X1321">
        <v>8</v>
      </c>
      <c r="Y1321">
        <v>3300</v>
      </c>
      <c r="Z1321" cm="1">
        <f t="array" ref="Z1321">MMULT($G1321:$Y1321,'Nelson Factor_2019'!$B$1:$B$19)/$G1321</f>
        <v>7.6618518518518517</v>
      </c>
      <c r="AA1321" cm="1">
        <f t="array" ref="AA1321">MMULT($G1321:$R1321,'Nelson Factor_2019'!$B$1:$B$12)/$G1321</f>
        <v>7.4074074074074074</v>
      </c>
    </row>
    <row r="1322" spans="1:27" x14ac:dyDescent="0.25">
      <c r="A1322">
        <v>2015</v>
      </c>
      <c r="B1322">
        <v>2</v>
      </c>
      <c r="C1322">
        <v>4</v>
      </c>
      <c r="D1322" t="s">
        <v>269</v>
      </c>
      <c r="E1322" t="s">
        <v>247</v>
      </c>
      <c r="F1322" t="s">
        <v>91</v>
      </c>
      <c r="G1322">
        <v>115000</v>
      </c>
      <c r="H1322">
        <v>46000</v>
      </c>
      <c r="I1322">
        <v>25000</v>
      </c>
      <c r="J1322">
        <v>0</v>
      </c>
      <c r="K1322">
        <v>36000</v>
      </c>
      <c r="L1322">
        <v>26000</v>
      </c>
      <c r="M1322">
        <v>0</v>
      </c>
      <c r="N1322">
        <v>124000</v>
      </c>
      <c r="O1322">
        <v>10000</v>
      </c>
      <c r="P1322">
        <v>0</v>
      </c>
      <c r="Q1322">
        <v>0</v>
      </c>
      <c r="R1322">
        <v>8500</v>
      </c>
      <c r="S1322">
        <v>0</v>
      </c>
      <c r="T1322">
        <v>0</v>
      </c>
      <c r="U1322">
        <v>0</v>
      </c>
      <c r="V1322">
        <v>36</v>
      </c>
      <c r="W1322">
        <v>1150</v>
      </c>
      <c r="X1322">
        <v>146</v>
      </c>
      <c r="Y1322">
        <v>0</v>
      </c>
      <c r="Z1322" cm="1">
        <f t="array" ref="Z1322">MMULT($G1322:$Y1322,'Nelson Factor_2019'!$B$1:$B$19)/$G1322</f>
        <v>10.251095652173912</v>
      </c>
      <c r="AA1322" cm="1">
        <f t="array" ref="AA1322">MMULT($G1322:$R1322,'Nelson Factor_2019'!$B$1:$B$12)/$G1322</f>
        <v>9.9460869565217394</v>
      </c>
    </row>
    <row r="1323" spans="1:27" x14ac:dyDescent="0.25">
      <c r="A1323">
        <v>2015</v>
      </c>
      <c r="B1323">
        <v>2</v>
      </c>
      <c r="C1323">
        <v>4</v>
      </c>
      <c r="D1323" t="s">
        <v>269</v>
      </c>
      <c r="E1323" t="s">
        <v>251</v>
      </c>
      <c r="F1323" t="s">
        <v>45</v>
      </c>
      <c r="G1323">
        <v>133000</v>
      </c>
      <c r="H1323">
        <v>60800</v>
      </c>
      <c r="I1323">
        <v>17100</v>
      </c>
      <c r="J1323">
        <v>0</v>
      </c>
      <c r="K1323">
        <v>37800</v>
      </c>
      <c r="L1323">
        <v>27900</v>
      </c>
      <c r="M1323">
        <v>0</v>
      </c>
      <c r="N1323">
        <v>148950</v>
      </c>
      <c r="O1323">
        <v>12600</v>
      </c>
      <c r="P1323">
        <v>0</v>
      </c>
      <c r="Q1323">
        <v>1980</v>
      </c>
      <c r="R1323">
        <v>13500</v>
      </c>
      <c r="S1323">
        <v>0</v>
      </c>
      <c r="T1323">
        <v>0</v>
      </c>
      <c r="U1323">
        <v>39</v>
      </c>
      <c r="V1323">
        <v>22</v>
      </c>
      <c r="W1323">
        <v>1100</v>
      </c>
      <c r="X1323">
        <v>285</v>
      </c>
      <c r="Y1323">
        <v>0</v>
      </c>
      <c r="Z1323" cm="1">
        <f t="array" ref="Z1323">MMULT($G1323:$Y1323,'Nelson Factor_2019'!$B$1:$B$19)/$G1323</f>
        <v>10.176887218045113</v>
      </c>
      <c r="AA1323" cm="1">
        <f t="array" ref="AA1323">MMULT($G1323:$R1323,'Nelson Factor_2019'!$B$1:$B$12)/$G1323</f>
        <v>9.6621428571428574</v>
      </c>
    </row>
    <row r="1324" spans="1:27" x14ac:dyDescent="0.25">
      <c r="A1324">
        <v>2015</v>
      </c>
      <c r="B1324">
        <v>2</v>
      </c>
      <c r="C1324">
        <v>6</v>
      </c>
      <c r="D1324" t="s">
        <v>269</v>
      </c>
      <c r="E1324" t="s">
        <v>93</v>
      </c>
      <c r="F1324" t="s">
        <v>94</v>
      </c>
      <c r="G1324">
        <v>85000</v>
      </c>
      <c r="H1324">
        <v>35400</v>
      </c>
      <c r="I1324">
        <v>20800</v>
      </c>
      <c r="J1324">
        <v>0</v>
      </c>
      <c r="K1324">
        <v>22700</v>
      </c>
      <c r="L1324">
        <v>22700</v>
      </c>
      <c r="M1324">
        <v>36400</v>
      </c>
      <c r="N1324">
        <v>76700</v>
      </c>
      <c r="O1324">
        <v>7600</v>
      </c>
      <c r="P1324">
        <v>0</v>
      </c>
      <c r="Q1324">
        <v>0</v>
      </c>
      <c r="R1324">
        <v>13000</v>
      </c>
      <c r="S1324">
        <v>0</v>
      </c>
      <c r="T1324">
        <v>0</v>
      </c>
      <c r="U1324">
        <v>35.9</v>
      </c>
      <c r="V1324">
        <v>78.400000000000006</v>
      </c>
      <c r="W1324">
        <v>819</v>
      </c>
      <c r="X1324">
        <v>123</v>
      </c>
      <c r="Y1324">
        <v>0</v>
      </c>
      <c r="Z1324" cm="1">
        <f t="array" ref="Z1324">MMULT($G1324:$Y1324,'Nelson Factor_2019'!$B$1:$B$19)/$G1324</f>
        <v>13.697697647058821</v>
      </c>
      <c r="AA1324" cm="1">
        <f t="array" ref="AA1324">MMULT($G1324:$R1324,'Nelson Factor_2019'!$B$1:$B$12)/$G1324</f>
        <v>13.349058823529411</v>
      </c>
    </row>
    <row r="1325" spans="1:27" x14ac:dyDescent="0.25">
      <c r="A1325">
        <v>2015</v>
      </c>
      <c r="B1325">
        <v>2</v>
      </c>
      <c r="C1325">
        <v>1</v>
      </c>
      <c r="D1325" t="s">
        <v>270</v>
      </c>
      <c r="E1325" t="s">
        <v>246</v>
      </c>
      <c r="F1325" t="s">
        <v>96</v>
      </c>
      <c r="G1325">
        <v>242000</v>
      </c>
      <c r="H1325">
        <v>115900</v>
      </c>
      <c r="I1325">
        <v>0</v>
      </c>
      <c r="J1325">
        <v>0</v>
      </c>
      <c r="K1325">
        <v>98800</v>
      </c>
      <c r="L1325">
        <v>49900</v>
      </c>
      <c r="M1325">
        <v>0</v>
      </c>
      <c r="N1325">
        <v>258500</v>
      </c>
      <c r="O1325">
        <v>20000</v>
      </c>
      <c r="P1325">
        <v>0</v>
      </c>
      <c r="Q1325">
        <v>10200</v>
      </c>
      <c r="R1325">
        <v>17100</v>
      </c>
      <c r="S1325">
        <v>0</v>
      </c>
      <c r="T1325">
        <v>0</v>
      </c>
      <c r="U1325">
        <v>32.299999999999997</v>
      </c>
      <c r="V1325">
        <v>0</v>
      </c>
      <c r="W1325">
        <v>0</v>
      </c>
      <c r="X1325">
        <v>386</v>
      </c>
      <c r="Y1325">
        <v>33600</v>
      </c>
      <c r="Z1325" cm="1">
        <f t="array" ref="Z1325">MMULT($G1325:$Y1325,'Nelson Factor_2019'!$B$1:$B$19)/$G1325</f>
        <v>10.246249173553718</v>
      </c>
      <c r="AA1325" cm="1">
        <f t="array" ref="AA1325">MMULT($G1325:$R1325,'Nelson Factor_2019'!$B$1:$B$12)/$G1325</f>
        <v>9.6550413223140499</v>
      </c>
    </row>
    <row r="1326" spans="1:27" x14ac:dyDescent="0.25">
      <c r="A1326">
        <v>2015</v>
      </c>
      <c r="B1326">
        <v>2</v>
      </c>
      <c r="C1326">
        <v>0</v>
      </c>
      <c r="D1326" t="s">
        <v>270</v>
      </c>
      <c r="E1326" t="s">
        <v>271</v>
      </c>
      <c r="F1326" t="s">
        <v>98</v>
      </c>
      <c r="G1326">
        <v>5500</v>
      </c>
      <c r="H1326">
        <v>0</v>
      </c>
      <c r="I1326">
        <v>0</v>
      </c>
      <c r="J1326">
        <v>0</v>
      </c>
      <c r="K1326">
        <v>0</v>
      </c>
      <c r="L1326">
        <v>1500</v>
      </c>
      <c r="M1326">
        <v>0</v>
      </c>
      <c r="N1326">
        <v>2000</v>
      </c>
      <c r="O1326">
        <v>0</v>
      </c>
      <c r="P1326">
        <v>0</v>
      </c>
      <c r="Q1326">
        <v>0</v>
      </c>
      <c r="R1326">
        <v>0</v>
      </c>
      <c r="S1326">
        <v>0</v>
      </c>
      <c r="T1326">
        <v>0</v>
      </c>
      <c r="U1326">
        <v>0</v>
      </c>
      <c r="V1326">
        <v>0</v>
      </c>
      <c r="W1326">
        <v>0</v>
      </c>
      <c r="X1326">
        <v>0</v>
      </c>
      <c r="Y1326">
        <v>0</v>
      </c>
      <c r="Z1326" cm="1">
        <f t="array" ref="Z1326">MMULT($G1326:$Y1326,'Nelson Factor_2019'!$B$1:$B$19)/$G1326</f>
        <v>3.2727272727272729</v>
      </c>
      <c r="AA1326" cm="1">
        <f t="array" ref="AA1326">MMULT($G1326:$R1326,'Nelson Factor_2019'!$B$1:$B$12)/$G1326</f>
        <v>3.2727272727272729</v>
      </c>
    </row>
    <row r="1327" spans="1:27" x14ac:dyDescent="0.25">
      <c r="A1327">
        <v>2015</v>
      </c>
      <c r="B1327">
        <v>3</v>
      </c>
      <c r="C1327">
        <v>1</v>
      </c>
      <c r="D1327" t="s">
        <v>272</v>
      </c>
      <c r="E1327" t="s">
        <v>176</v>
      </c>
      <c r="F1327" t="s">
        <v>120</v>
      </c>
      <c r="G1327">
        <v>74000</v>
      </c>
      <c r="H1327">
        <v>36000</v>
      </c>
      <c r="I1327">
        <v>0</v>
      </c>
      <c r="J1327">
        <v>0</v>
      </c>
      <c r="K1327">
        <v>33000</v>
      </c>
      <c r="L1327">
        <v>12000</v>
      </c>
      <c r="M1327">
        <v>0</v>
      </c>
      <c r="N1327">
        <v>18500</v>
      </c>
      <c r="O1327">
        <v>0</v>
      </c>
      <c r="P1327">
        <v>2100</v>
      </c>
      <c r="Q1327">
        <v>0</v>
      </c>
      <c r="R1327">
        <v>4500</v>
      </c>
      <c r="S1327">
        <v>0</v>
      </c>
      <c r="T1327">
        <v>0</v>
      </c>
      <c r="U1327">
        <v>0</v>
      </c>
      <c r="V1327">
        <v>0</v>
      </c>
      <c r="W1327">
        <v>0</v>
      </c>
      <c r="X1327">
        <v>0</v>
      </c>
      <c r="Y1327">
        <v>0</v>
      </c>
      <c r="Z1327" cm="1">
        <f t="array" ref="Z1327">MMULT($G1327:$Y1327,'Nelson Factor_2019'!$B$1:$B$19)/$G1327</f>
        <v>6.2101351351351353</v>
      </c>
      <c r="AA1327" cm="1">
        <f t="array" ref="AA1327">MMULT($G1327:$R1327,'Nelson Factor_2019'!$B$1:$B$12)/$G1327</f>
        <v>6.2101351351351353</v>
      </c>
    </row>
    <row r="1328" spans="1:27" x14ac:dyDescent="0.25">
      <c r="A1328">
        <v>2015</v>
      </c>
      <c r="B1328">
        <v>3</v>
      </c>
      <c r="C1328">
        <v>0</v>
      </c>
      <c r="D1328" t="s">
        <v>272</v>
      </c>
      <c r="E1328" t="s">
        <v>100</v>
      </c>
      <c r="F1328" t="s">
        <v>101</v>
      </c>
      <c r="G1328">
        <v>75000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0</v>
      </c>
      <c r="S1328">
        <v>0</v>
      </c>
      <c r="T1328">
        <v>0</v>
      </c>
      <c r="U1328">
        <v>0</v>
      </c>
      <c r="V1328">
        <v>0</v>
      </c>
      <c r="W1328">
        <v>0</v>
      </c>
      <c r="X1328">
        <v>0</v>
      </c>
      <c r="Y1328">
        <v>0</v>
      </c>
      <c r="Z1328" cm="1">
        <f t="array" ref="Z1328">MMULT($G1328:$Y1328,'Nelson Factor_2019'!$B$1:$B$19)/$G1328</f>
        <v>1</v>
      </c>
      <c r="AA1328" cm="1">
        <f t="array" ref="AA1328">MMULT($G1328:$R1328,'Nelson Factor_2019'!$B$1:$B$12)/$G1328</f>
        <v>1</v>
      </c>
    </row>
    <row r="1329" spans="1:27" x14ac:dyDescent="0.25">
      <c r="A1329">
        <v>2015</v>
      </c>
      <c r="B1329">
        <v>3</v>
      </c>
      <c r="C1329">
        <v>0</v>
      </c>
      <c r="D1329" t="s">
        <v>272</v>
      </c>
      <c r="E1329" t="s">
        <v>102</v>
      </c>
      <c r="F1329" t="s">
        <v>103</v>
      </c>
      <c r="G1329">
        <v>13500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0</v>
      </c>
      <c r="N1329">
        <v>5000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0</v>
      </c>
      <c r="U1329">
        <v>2.5</v>
      </c>
      <c r="V1329">
        <v>2.5</v>
      </c>
      <c r="W1329">
        <v>0</v>
      </c>
      <c r="X1329">
        <v>0</v>
      </c>
      <c r="Y1329">
        <v>0</v>
      </c>
      <c r="Z1329" cm="1">
        <f t="array" ref="Z1329">MMULT($G1329:$Y1329,'Nelson Factor_2019'!$B$1:$B$19)/$G1329</f>
        <v>1.9262962962962964</v>
      </c>
      <c r="AA1329" cm="1">
        <f t="array" ref="AA1329">MMULT($G1329:$R1329,'Nelson Factor_2019'!$B$1:$B$12)/$G1329</f>
        <v>1.9259259259259258</v>
      </c>
    </row>
    <row r="1330" spans="1:27" x14ac:dyDescent="0.25">
      <c r="A1330">
        <v>2015</v>
      </c>
      <c r="B1330">
        <v>3</v>
      </c>
      <c r="C1330">
        <v>2</v>
      </c>
      <c r="D1330" t="s">
        <v>272</v>
      </c>
      <c r="E1330" t="s">
        <v>102</v>
      </c>
      <c r="F1330" t="s">
        <v>104</v>
      </c>
      <c r="G1330">
        <v>10000</v>
      </c>
      <c r="H1330">
        <v>8500</v>
      </c>
      <c r="I1330">
        <v>0</v>
      </c>
      <c r="J1330">
        <v>0</v>
      </c>
      <c r="K1330">
        <v>0</v>
      </c>
      <c r="L1330">
        <v>0</v>
      </c>
      <c r="M1330">
        <v>8000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7500</v>
      </c>
      <c r="T1330">
        <v>0</v>
      </c>
      <c r="U1330">
        <v>4.5</v>
      </c>
      <c r="V1330">
        <v>4.5</v>
      </c>
      <c r="W1330">
        <v>0</v>
      </c>
      <c r="X1330">
        <v>3</v>
      </c>
      <c r="Y1330">
        <v>0</v>
      </c>
      <c r="Z1330" cm="1">
        <f t="array" ref="Z1330">MMULT($G1330:$Y1330,'Nelson Factor_2019'!$B$1:$B$19)/$G1330</f>
        <v>53.5779</v>
      </c>
      <c r="AA1330" cm="1">
        <f t="array" ref="AA1330">MMULT($G1330:$R1330,'Nelson Factor_2019'!$B$1:$B$12)/$G1330</f>
        <v>8.5050000000000008</v>
      </c>
    </row>
    <row r="1331" spans="1:27" x14ac:dyDescent="0.25">
      <c r="A1331">
        <v>2015</v>
      </c>
      <c r="B1331">
        <v>3</v>
      </c>
      <c r="C1331">
        <v>2</v>
      </c>
      <c r="D1331" t="s">
        <v>272</v>
      </c>
      <c r="E1331" t="s">
        <v>102</v>
      </c>
      <c r="F1331" t="s">
        <v>105</v>
      </c>
      <c r="G1331">
        <v>60000</v>
      </c>
      <c r="H1331">
        <v>15000</v>
      </c>
      <c r="I1331">
        <v>0</v>
      </c>
      <c r="J1331">
        <v>0</v>
      </c>
      <c r="K1331">
        <v>0</v>
      </c>
      <c r="L1331">
        <v>10000</v>
      </c>
      <c r="M1331">
        <v>8500</v>
      </c>
      <c r="N1331">
        <v>24000</v>
      </c>
      <c r="O1331">
        <v>0</v>
      </c>
      <c r="P1331">
        <v>0</v>
      </c>
      <c r="Q1331">
        <v>0</v>
      </c>
      <c r="R1331">
        <v>0</v>
      </c>
      <c r="S1331">
        <v>8000</v>
      </c>
      <c r="T1331">
        <v>0</v>
      </c>
      <c r="U1331">
        <v>6.1</v>
      </c>
      <c r="V1331">
        <v>6.1</v>
      </c>
      <c r="W1331">
        <v>0</v>
      </c>
      <c r="X1331">
        <v>15</v>
      </c>
      <c r="Y1331">
        <v>0</v>
      </c>
      <c r="Z1331" cm="1">
        <f t="array" ref="Z1331">MMULT($G1331:$Y1331,'Nelson Factor_2019'!$B$1:$B$19)/$G1331</f>
        <v>12.35187</v>
      </c>
      <c r="AA1331" cm="1">
        <f t="array" ref="AA1331">MMULT($G1331:$R1331,'Nelson Factor_2019'!$B$1:$B$12)/$G1331</f>
        <v>4.291666666666667</v>
      </c>
    </row>
    <row r="1332" spans="1:27" x14ac:dyDescent="0.25">
      <c r="A1332">
        <v>2015</v>
      </c>
      <c r="B1332">
        <v>3</v>
      </c>
      <c r="C1332">
        <v>4</v>
      </c>
      <c r="D1332" t="s">
        <v>272</v>
      </c>
      <c r="E1332" t="s">
        <v>233</v>
      </c>
      <c r="F1332" t="s">
        <v>110</v>
      </c>
      <c r="G1332">
        <v>189000</v>
      </c>
      <c r="H1332">
        <v>162000</v>
      </c>
      <c r="I1332">
        <v>28500</v>
      </c>
      <c r="J1332">
        <v>0</v>
      </c>
      <c r="K1332">
        <v>72000</v>
      </c>
      <c r="L1332">
        <v>21500</v>
      </c>
      <c r="M1332">
        <v>0</v>
      </c>
      <c r="N1332">
        <v>158000</v>
      </c>
      <c r="O1332">
        <v>15000</v>
      </c>
      <c r="P1332">
        <v>0</v>
      </c>
      <c r="Q1332">
        <v>0</v>
      </c>
      <c r="R1332">
        <v>0</v>
      </c>
      <c r="S1332">
        <v>0</v>
      </c>
      <c r="T1332">
        <v>0</v>
      </c>
      <c r="U1332">
        <v>0</v>
      </c>
      <c r="V1332">
        <v>0</v>
      </c>
      <c r="W1332">
        <v>1540</v>
      </c>
      <c r="X1332">
        <v>870</v>
      </c>
      <c r="Y1332">
        <v>0</v>
      </c>
      <c r="Z1332" cm="1">
        <f t="array" ref="Z1332">MMULT($G1332:$Y1332,'Nelson Factor_2019'!$B$1:$B$19)/$G1332</f>
        <v>10.088095238095239</v>
      </c>
      <c r="AA1332" cm="1">
        <f t="array" ref="AA1332">MMULT($G1332:$R1332,'Nelson Factor_2019'!$B$1:$B$12)/$G1332</f>
        <v>8.9833333333333325</v>
      </c>
    </row>
    <row r="1333" spans="1:27" x14ac:dyDescent="0.25">
      <c r="A1333">
        <v>2015</v>
      </c>
      <c r="B1333">
        <v>3</v>
      </c>
      <c r="C1333">
        <v>0</v>
      </c>
      <c r="D1333" t="s">
        <v>272</v>
      </c>
      <c r="E1333" t="s">
        <v>248</v>
      </c>
      <c r="F1333" t="s">
        <v>101</v>
      </c>
      <c r="G1333">
        <v>0</v>
      </c>
      <c r="H1333">
        <v>36100</v>
      </c>
      <c r="I1333">
        <v>0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8550</v>
      </c>
      <c r="T1333">
        <v>0</v>
      </c>
      <c r="U1333">
        <v>0</v>
      </c>
      <c r="V1333">
        <v>0</v>
      </c>
      <c r="W1333">
        <v>0</v>
      </c>
      <c r="X1333">
        <v>0</v>
      </c>
      <c r="Y1333">
        <v>0</v>
      </c>
      <c r="Z1333" cm="1">
        <f t="array" ref="Z1333">MMULT($G1333:$Y1333,'Nelson Factor_2019'!$B$1:$B$19)/$H1333</f>
        <v>15.510526315789473</v>
      </c>
      <c r="AA1333" cm="1">
        <f t="array" ref="AA1333">MMULT($G1333:$R1333,'Nelson Factor_2019'!$B$1:$B$12)/$H1333</f>
        <v>1.3</v>
      </c>
    </row>
    <row r="1334" spans="1:27" x14ac:dyDescent="0.25">
      <c r="A1334">
        <v>2015</v>
      </c>
      <c r="B1334">
        <v>3</v>
      </c>
      <c r="C1334">
        <v>6</v>
      </c>
      <c r="D1334" t="s">
        <v>272</v>
      </c>
      <c r="E1334" t="s">
        <v>79</v>
      </c>
      <c r="F1334" t="s">
        <v>101</v>
      </c>
      <c r="G1334">
        <v>440000</v>
      </c>
      <c r="H1334">
        <v>79800</v>
      </c>
      <c r="I1334">
        <v>88200</v>
      </c>
      <c r="J1334">
        <v>0</v>
      </c>
      <c r="K1334">
        <v>126000</v>
      </c>
      <c r="L1334">
        <v>94500</v>
      </c>
      <c r="M1334">
        <v>37800</v>
      </c>
      <c r="N1334">
        <v>233100</v>
      </c>
      <c r="O1334">
        <v>20700</v>
      </c>
      <c r="P1334">
        <v>0</v>
      </c>
      <c r="Q1334">
        <v>13500</v>
      </c>
      <c r="R1334">
        <v>28800</v>
      </c>
      <c r="S1334">
        <v>9900</v>
      </c>
      <c r="T1334">
        <v>3150</v>
      </c>
      <c r="U1334">
        <v>47.7</v>
      </c>
      <c r="V1334">
        <v>10.8</v>
      </c>
      <c r="W1334">
        <v>3870</v>
      </c>
      <c r="X1334">
        <v>567</v>
      </c>
      <c r="Y1334">
        <v>0</v>
      </c>
      <c r="Z1334" cm="1">
        <f t="array" ref="Z1334">MMULT($G1334:$Y1334,'Nelson Factor_2019'!$B$1:$B$19)/$G1334</f>
        <v>10.554382954545455</v>
      </c>
      <c r="AA1334" cm="1">
        <f t="array" ref="AA1334">MMULT($G1334:$R1334,'Nelson Factor_2019'!$B$1:$B$12)/$G1334</f>
        <v>8.823386363636363</v>
      </c>
    </row>
    <row r="1335" spans="1:27" x14ac:dyDescent="0.25">
      <c r="A1335">
        <v>2015</v>
      </c>
      <c r="B1335">
        <v>3</v>
      </c>
      <c r="C1335">
        <v>4</v>
      </c>
      <c r="D1335" t="s">
        <v>272</v>
      </c>
      <c r="E1335" t="s">
        <v>258</v>
      </c>
      <c r="F1335" t="s">
        <v>107</v>
      </c>
      <c r="G1335">
        <v>247000</v>
      </c>
      <c r="H1335">
        <v>97900</v>
      </c>
      <c r="I1335">
        <v>23400</v>
      </c>
      <c r="J1335">
        <v>0</v>
      </c>
      <c r="K1335">
        <v>94500</v>
      </c>
      <c r="L1335">
        <v>43100</v>
      </c>
      <c r="M1335">
        <v>0</v>
      </c>
      <c r="N1335">
        <v>203600</v>
      </c>
      <c r="O1335">
        <v>34200</v>
      </c>
      <c r="P1335">
        <v>0</v>
      </c>
      <c r="Q1335">
        <v>38100</v>
      </c>
      <c r="R1335">
        <v>0</v>
      </c>
      <c r="S1335">
        <v>0</v>
      </c>
      <c r="T1335">
        <v>0</v>
      </c>
      <c r="U1335">
        <v>0</v>
      </c>
      <c r="V1335">
        <v>10.4</v>
      </c>
      <c r="W1335">
        <v>1100</v>
      </c>
      <c r="X1335">
        <v>80</v>
      </c>
      <c r="Y1335">
        <v>0</v>
      </c>
      <c r="Z1335" cm="1">
        <f t="array" ref="Z1335">MMULT($G1335:$Y1335,'Nelson Factor_2019'!$B$1:$B$19)/$G1335</f>
        <v>12.001944939271254</v>
      </c>
      <c r="AA1335" cm="1">
        <f t="array" ref="AA1335">MMULT($G1335:$R1335,'Nelson Factor_2019'!$B$1:$B$12)/$G1335</f>
        <v>11.92417004048583</v>
      </c>
    </row>
    <row r="1336" spans="1:27" x14ac:dyDescent="0.25">
      <c r="A1336">
        <v>2015</v>
      </c>
      <c r="B1336">
        <v>3</v>
      </c>
      <c r="C1336">
        <v>6</v>
      </c>
      <c r="D1336" t="s">
        <v>272</v>
      </c>
      <c r="E1336" t="s">
        <v>258</v>
      </c>
      <c r="F1336" t="s">
        <v>108</v>
      </c>
      <c r="G1336">
        <v>244000</v>
      </c>
      <c r="H1336">
        <v>106200</v>
      </c>
      <c r="I1336">
        <v>61000</v>
      </c>
      <c r="J1336">
        <v>0</v>
      </c>
      <c r="K1336">
        <v>46100</v>
      </c>
      <c r="L1336">
        <v>43200</v>
      </c>
      <c r="M1336">
        <v>63000</v>
      </c>
      <c r="N1336">
        <v>229300</v>
      </c>
      <c r="O1336">
        <v>7700</v>
      </c>
      <c r="P1336">
        <v>1900</v>
      </c>
      <c r="Q1336">
        <v>0</v>
      </c>
      <c r="R1336">
        <v>0</v>
      </c>
      <c r="S1336">
        <v>0</v>
      </c>
      <c r="T1336">
        <v>0</v>
      </c>
      <c r="U1336">
        <v>15</v>
      </c>
      <c r="V1336">
        <v>112</v>
      </c>
      <c r="W1336">
        <v>3600</v>
      </c>
      <c r="X1336">
        <v>337</v>
      </c>
      <c r="Y1336">
        <v>0</v>
      </c>
      <c r="Z1336" cm="1">
        <f t="array" ref="Z1336">MMULT($G1336:$Y1336,'Nelson Factor_2019'!$B$1:$B$19)/$G1336</f>
        <v>10.600069672131147</v>
      </c>
      <c r="AA1336" cm="1">
        <f t="array" ref="AA1336">MMULT($G1336:$R1336,'Nelson Factor_2019'!$B$1:$B$12)/$G1336</f>
        <v>10.268073770491803</v>
      </c>
    </row>
    <row r="1337" spans="1:27" x14ac:dyDescent="0.25">
      <c r="A1337">
        <v>2015</v>
      </c>
      <c r="B1337">
        <v>3</v>
      </c>
      <c r="C1337">
        <v>6</v>
      </c>
      <c r="D1337" t="s">
        <v>272</v>
      </c>
      <c r="E1337" t="s">
        <v>54</v>
      </c>
      <c r="F1337" t="s">
        <v>109</v>
      </c>
      <c r="G1337">
        <v>502500</v>
      </c>
      <c r="H1337">
        <v>236500</v>
      </c>
      <c r="I1337">
        <v>117500</v>
      </c>
      <c r="J1337">
        <v>0</v>
      </c>
      <c r="K1337">
        <v>232500</v>
      </c>
      <c r="L1337">
        <v>73500</v>
      </c>
      <c r="M1337">
        <v>24500</v>
      </c>
      <c r="N1337">
        <v>533500</v>
      </c>
      <c r="O1337">
        <v>40000</v>
      </c>
      <c r="P1337">
        <v>9500</v>
      </c>
      <c r="Q1337">
        <v>0</v>
      </c>
      <c r="R1337">
        <v>0</v>
      </c>
      <c r="S1337">
        <v>16000</v>
      </c>
      <c r="T1337">
        <v>0</v>
      </c>
      <c r="U1337">
        <v>0</v>
      </c>
      <c r="V1337">
        <v>12.5</v>
      </c>
      <c r="W1337">
        <v>5430</v>
      </c>
      <c r="X1337">
        <v>690</v>
      </c>
      <c r="Y1337">
        <v>0</v>
      </c>
      <c r="Z1337" cm="1">
        <f t="array" ref="Z1337">MMULT($G1337:$Y1337,'Nelson Factor_2019'!$B$1:$B$19)/$G1337</f>
        <v>13.142412935323383</v>
      </c>
      <c r="AA1337" cm="1">
        <f t="array" ref="AA1337">MMULT($G1337:$R1337,'Nelson Factor_2019'!$B$1:$B$12)/$G1337</f>
        <v>10.902388059701492</v>
      </c>
    </row>
    <row r="1338" spans="1:27" x14ac:dyDescent="0.25">
      <c r="A1338">
        <v>2015</v>
      </c>
      <c r="B1338">
        <v>3</v>
      </c>
      <c r="C1338">
        <v>6</v>
      </c>
      <c r="D1338" t="s">
        <v>272</v>
      </c>
      <c r="E1338" t="s">
        <v>246</v>
      </c>
      <c r="F1338" t="s">
        <v>111</v>
      </c>
      <c r="G1338">
        <v>522000</v>
      </c>
      <c r="H1338">
        <v>276500</v>
      </c>
      <c r="I1338">
        <v>88800</v>
      </c>
      <c r="J1338">
        <v>0</v>
      </c>
      <c r="K1338">
        <v>131100</v>
      </c>
      <c r="L1338">
        <v>121600</v>
      </c>
      <c r="M1338">
        <v>111200</v>
      </c>
      <c r="N1338">
        <v>524000</v>
      </c>
      <c r="O1338">
        <v>31400</v>
      </c>
      <c r="P1338">
        <v>0</v>
      </c>
      <c r="Q1338">
        <v>0</v>
      </c>
      <c r="R1338">
        <v>47100</v>
      </c>
      <c r="S1338">
        <v>0</v>
      </c>
      <c r="T1338">
        <v>0</v>
      </c>
      <c r="U1338">
        <v>114</v>
      </c>
      <c r="V1338">
        <v>0</v>
      </c>
      <c r="W1338">
        <v>5672</v>
      </c>
      <c r="X1338">
        <v>1274</v>
      </c>
      <c r="Y1338">
        <v>31400</v>
      </c>
      <c r="Z1338" cm="1">
        <f t="array" ref="Z1338">MMULT($G1338:$Y1338,'Nelson Factor_2019'!$B$1:$B$19)/$G1338</f>
        <v>11.398321839080459</v>
      </c>
      <c r="AA1338" cm="1">
        <f t="array" ref="AA1338">MMULT($G1338:$R1338,'Nelson Factor_2019'!$B$1:$B$12)/$G1338</f>
        <v>10.722126436781609</v>
      </c>
    </row>
    <row r="1339" spans="1:27" x14ac:dyDescent="0.25">
      <c r="A1339">
        <v>2015</v>
      </c>
      <c r="B1339">
        <v>3</v>
      </c>
      <c r="C1339">
        <v>3</v>
      </c>
      <c r="D1339" t="s">
        <v>272</v>
      </c>
      <c r="E1339" t="s">
        <v>112</v>
      </c>
      <c r="F1339" t="s">
        <v>113</v>
      </c>
      <c r="G1339">
        <v>230000</v>
      </c>
      <c r="H1339">
        <v>104000</v>
      </c>
      <c r="I1339">
        <v>0</v>
      </c>
      <c r="J1339">
        <v>12520</v>
      </c>
      <c r="K1339">
        <v>82000</v>
      </c>
      <c r="L1339">
        <v>36000</v>
      </c>
      <c r="M1339">
        <v>45000</v>
      </c>
      <c r="N1339">
        <v>216000</v>
      </c>
      <c r="O1339">
        <v>14000</v>
      </c>
      <c r="P1339">
        <v>4000</v>
      </c>
      <c r="Q1339">
        <v>0</v>
      </c>
      <c r="R1339">
        <v>12000</v>
      </c>
      <c r="S1339">
        <v>0</v>
      </c>
      <c r="T1339">
        <v>0</v>
      </c>
      <c r="U1339">
        <v>58</v>
      </c>
      <c r="V1339">
        <v>0</v>
      </c>
      <c r="W1339">
        <v>0</v>
      </c>
      <c r="X1339">
        <v>640</v>
      </c>
      <c r="Y1339">
        <v>0</v>
      </c>
      <c r="Z1339" cm="1">
        <f t="array" ref="Z1339">MMULT($G1339:$Y1339,'Nelson Factor_2019'!$B$1:$B$19)/$G1339</f>
        <v>10.179513043478261</v>
      </c>
      <c r="AA1339" cm="1">
        <f t="array" ref="AA1339">MMULT($G1339:$R1339,'Nelson Factor_2019'!$B$1:$B$12)/$G1339</f>
        <v>9.5114347826086956</v>
      </c>
    </row>
    <row r="1340" spans="1:27" x14ac:dyDescent="0.25">
      <c r="A1340">
        <v>2015</v>
      </c>
      <c r="B1340">
        <v>3</v>
      </c>
      <c r="C1340">
        <v>6</v>
      </c>
      <c r="D1340" t="s">
        <v>272</v>
      </c>
      <c r="E1340" t="s">
        <v>112</v>
      </c>
      <c r="F1340" t="s">
        <v>114</v>
      </c>
      <c r="G1340">
        <v>235000</v>
      </c>
      <c r="H1340">
        <v>78000</v>
      </c>
      <c r="I1340">
        <v>25000</v>
      </c>
      <c r="J1340">
        <v>0</v>
      </c>
      <c r="K1340">
        <v>107000</v>
      </c>
      <c r="L1340">
        <v>20000</v>
      </c>
      <c r="M1340">
        <v>39000</v>
      </c>
      <c r="N1340">
        <v>123500</v>
      </c>
      <c r="O1340">
        <v>14000</v>
      </c>
      <c r="P1340">
        <v>7780</v>
      </c>
      <c r="Q1340">
        <v>0</v>
      </c>
      <c r="R1340">
        <v>0</v>
      </c>
      <c r="S1340">
        <v>0</v>
      </c>
      <c r="T1340">
        <v>8000</v>
      </c>
      <c r="U1340">
        <v>50</v>
      </c>
      <c r="V1340">
        <v>0</v>
      </c>
      <c r="W1340">
        <v>1020</v>
      </c>
      <c r="X1340">
        <v>140</v>
      </c>
      <c r="Y1340">
        <v>0</v>
      </c>
      <c r="Z1340" cm="1">
        <f t="array" ref="Z1340">MMULT($G1340:$Y1340,'Nelson Factor_2019'!$B$1:$B$19)/$G1340</f>
        <v>9.4387234042553185</v>
      </c>
      <c r="AA1340" cm="1">
        <f t="array" ref="AA1340">MMULT($G1340:$R1340,'Nelson Factor_2019'!$B$1:$B$12)/$G1340</f>
        <v>8.9551063829787232</v>
      </c>
    </row>
    <row r="1341" spans="1:27" x14ac:dyDescent="0.25">
      <c r="A1341">
        <v>2015</v>
      </c>
      <c r="B1341">
        <v>3</v>
      </c>
      <c r="C1341">
        <v>1</v>
      </c>
      <c r="D1341" t="s">
        <v>272</v>
      </c>
      <c r="E1341" t="s">
        <v>117</v>
      </c>
      <c r="F1341" t="s">
        <v>118</v>
      </c>
      <c r="G1341">
        <v>82000</v>
      </c>
      <c r="H1341">
        <v>27000</v>
      </c>
      <c r="I1341">
        <v>0</v>
      </c>
      <c r="J1341">
        <v>0</v>
      </c>
      <c r="K1341">
        <v>25000</v>
      </c>
      <c r="L1341">
        <v>11000</v>
      </c>
      <c r="M1341">
        <v>0</v>
      </c>
      <c r="N1341">
        <v>56000</v>
      </c>
      <c r="O1341">
        <v>7500</v>
      </c>
      <c r="P1341">
        <v>0</v>
      </c>
      <c r="Q1341">
        <v>0</v>
      </c>
      <c r="R1341">
        <v>0</v>
      </c>
      <c r="S1341">
        <v>0</v>
      </c>
      <c r="T1341">
        <v>0</v>
      </c>
      <c r="U1341">
        <v>0</v>
      </c>
      <c r="V1341">
        <v>0</v>
      </c>
      <c r="W1341">
        <v>0</v>
      </c>
      <c r="X1341">
        <v>50</v>
      </c>
      <c r="Y1341">
        <v>0</v>
      </c>
      <c r="Z1341" cm="1">
        <f t="array" ref="Z1341">MMULT($G1341:$Y1341,'Nelson Factor_2019'!$B$1:$B$19)/$G1341</f>
        <v>6.6963414634146341</v>
      </c>
      <c r="AA1341" cm="1">
        <f t="array" ref="AA1341">MMULT($G1341:$R1341,'Nelson Factor_2019'!$B$1:$B$12)/$G1341</f>
        <v>6.55</v>
      </c>
    </row>
    <row r="1342" spans="1:27" x14ac:dyDescent="0.25">
      <c r="A1342">
        <v>2015</v>
      </c>
      <c r="B1342">
        <v>3</v>
      </c>
      <c r="C1342">
        <v>0</v>
      </c>
      <c r="D1342" t="s">
        <v>272</v>
      </c>
      <c r="E1342" t="s">
        <v>27</v>
      </c>
      <c r="F1342" t="s">
        <v>119</v>
      </c>
      <c r="G1342">
        <v>55000</v>
      </c>
      <c r="H1342">
        <v>28000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  <c r="U1342">
        <v>0</v>
      </c>
      <c r="V1342">
        <v>0</v>
      </c>
      <c r="W1342">
        <v>0</v>
      </c>
      <c r="X1342">
        <v>0</v>
      </c>
      <c r="Y1342">
        <v>0</v>
      </c>
      <c r="Z1342" cm="1">
        <f t="array" ref="Z1342">MMULT($G1342:$Y1342,'Nelson Factor_2019'!$B$1:$B$19)/$G1342</f>
        <v>1.6618181818181819</v>
      </c>
      <c r="AA1342" cm="1">
        <f t="array" ref="AA1342">MMULT($G1342:$R1342,'Nelson Factor_2019'!$B$1:$B$12)/$G1342</f>
        <v>1.6618181818181819</v>
      </c>
    </row>
    <row r="1343" spans="1:27" x14ac:dyDescent="0.25">
      <c r="A1343">
        <v>2015</v>
      </c>
      <c r="B1343">
        <v>3</v>
      </c>
      <c r="C1343">
        <v>1</v>
      </c>
      <c r="D1343" t="s">
        <v>272</v>
      </c>
      <c r="E1343" t="s">
        <v>66</v>
      </c>
      <c r="F1343" t="s">
        <v>116</v>
      </c>
      <c r="G1343">
        <v>135000</v>
      </c>
      <c r="H1343">
        <v>50000</v>
      </c>
      <c r="I1343">
        <v>0</v>
      </c>
      <c r="J1343">
        <v>0</v>
      </c>
      <c r="K1343">
        <v>37000</v>
      </c>
      <c r="L1343">
        <v>0</v>
      </c>
      <c r="M1343">
        <v>0</v>
      </c>
      <c r="N1343">
        <v>123750</v>
      </c>
      <c r="O1343">
        <v>8500</v>
      </c>
      <c r="P1343">
        <v>0</v>
      </c>
      <c r="Q1343">
        <v>0</v>
      </c>
      <c r="R1343">
        <v>0</v>
      </c>
      <c r="S1343">
        <v>0</v>
      </c>
      <c r="T1343">
        <v>0</v>
      </c>
      <c r="U1343">
        <v>0</v>
      </c>
      <c r="V1343">
        <v>0</v>
      </c>
      <c r="W1343">
        <v>0</v>
      </c>
      <c r="X1343">
        <v>1800</v>
      </c>
      <c r="Y1343">
        <v>0</v>
      </c>
      <c r="Z1343" cm="1">
        <f t="array" ref="Z1343">MMULT($G1343:$Y1343,'Nelson Factor_2019'!$B$1:$B$19)/$G1343</f>
        <v>9.2472222222222218</v>
      </c>
      <c r="AA1343" cm="1">
        <f t="array" ref="AA1343">MMULT($G1343:$R1343,'Nelson Factor_2019'!$B$1:$B$12)/$G1343</f>
        <v>6.0472222222222225</v>
      </c>
    </row>
    <row r="1344" spans="1:27" x14ac:dyDescent="0.25">
      <c r="A1344">
        <v>2015</v>
      </c>
      <c r="B1344">
        <v>3</v>
      </c>
      <c r="C1344">
        <v>6</v>
      </c>
      <c r="D1344" t="s">
        <v>272</v>
      </c>
      <c r="E1344" t="s">
        <v>66</v>
      </c>
      <c r="F1344" t="s">
        <v>114</v>
      </c>
      <c r="G1344">
        <v>280000</v>
      </c>
      <c r="H1344">
        <v>200000</v>
      </c>
      <c r="I1344">
        <v>70400</v>
      </c>
      <c r="J1344">
        <v>0</v>
      </c>
      <c r="K1344">
        <v>100000</v>
      </c>
      <c r="L1344">
        <v>25000</v>
      </c>
      <c r="M1344">
        <v>60000</v>
      </c>
      <c r="N1344">
        <v>131100</v>
      </c>
      <c r="O1344">
        <v>19000</v>
      </c>
      <c r="P1344">
        <v>0</v>
      </c>
      <c r="Q1344">
        <v>0</v>
      </c>
      <c r="R1344">
        <v>0</v>
      </c>
      <c r="S1344">
        <v>0</v>
      </c>
      <c r="T1344">
        <v>0</v>
      </c>
      <c r="U1344">
        <v>0</v>
      </c>
      <c r="V1344">
        <v>0</v>
      </c>
      <c r="W1344">
        <v>4500</v>
      </c>
      <c r="X1344">
        <v>450</v>
      </c>
      <c r="Y1344">
        <v>0</v>
      </c>
      <c r="Z1344" cm="1">
        <f t="array" ref="Z1344">MMULT($G1344:$Y1344,'Nelson Factor_2019'!$B$1:$B$19)/$G1344</f>
        <v>10.352678571428571</v>
      </c>
      <c r="AA1344" cm="1">
        <f t="array" ref="AA1344">MMULT($G1344:$R1344,'Nelson Factor_2019'!$B$1:$B$12)/$G1344</f>
        <v>9.9669642857142851</v>
      </c>
    </row>
    <row r="1345" spans="1:27" x14ac:dyDescent="0.25">
      <c r="A1345">
        <v>2015</v>
      </c>
      <c r="B1345">
        <v>2</v>
      </c>
      <c r="C1345">
        <v>4</v>
      </c>
      <c r="D1345" t="s">
        <v>273</v>
      </c>
      <c r="E1345" t="s">
        <v>246</v>
      </c>
      <c r="F1345" t="s">
        <v>122</v>
      </c>
      <c r="G1345">
        <v>130000</v>
      </c>
      <c r="H1345">
        <v>70300</v>
      </c>
      <c r="I1345">
        <v>28500</v>
      </c>
      <c r="J1345">
        <v>0</v>
      </c>
      <c r="K1345">
        <v>38000</v>
      </c>
      <c r="L1345">
        <v>20400</v>
      </c>
      <c r="M1345">
        <v>0</v>
      </c>
      <c r="N1345">
        <v>123100</v>
      </c>
      <c r="O1345">
        <v>6700</v>
      </c>
      <c r="P1345">
        <v>0</v>
      </c>
      <c r="Q1345">
        <v>0</v>
      </c>
      <c r="R1345">
        <v>0</v>
      </c>
      <c r="S1345">
        <v>0</v>
      </c>
      <c r="T1345">
        <v>0</v>
      </c>
      <c r="U1345">
        <v>59</v>
      </c>
      <c r="V1345">
        <v>0</v>
      </c>
      <c r="W1345">
        <v>1819</v>
      </c>
      <c r="X1345">
        <v>397</v>
      </c>
      <c r="Y1345">
        <v>21900</v>
      </c>
      <c r="Z1345" cm="1">
        <f t="array" ref="Z1345">MMULT($G1345:$Y1345,'Nelson Factor_2019'!$B$1:$B$19)/$G1345</f>
        <v>9.7544538461538455</v>
      </c>
      <c r="AA1345" cm="1">
        <f t="array" ref="AA1345">MMULT($G1345:$R1345,'Nelson Factor_2019'!$B$1:$B$12)/$G1345</f>
        <v>8.7683846153846154</v>
      </c>
    </row>
    <row r="1346" spans="1:27" x14ac:dyDescent="0.25">
      <c r="A1346">
        <v>2015</v>
      </c>
      <c r="B1346">
        <v>2</v>
      </c>
      <c r="C1346">
        <v>6</v>
      </c>
      <c r="D1346" t="s">
        <v>274</v>
      </c>
      <c r="E1346" t="s">
        <v>35</v>
      </c>
      <c r="F1346" t="s">
        <v>124</v>
      </c>
      <c r="G1346">
        <v>304000</v>
      </c>
      <c r="H1346">
        <v>203300</v>
      </c>
      <c r="I1346">
        <v>61920</v>
      </c>
      <c r="J1346">
        <v>0</v>
      </c>
      <c r="K1346">
        <v>77850</v>
      </c>
      <c r="L1346">
        <v>43920</v>
      </c>
      <c r="M1346">
        <v>45000</v>
      </c>
      <c r="N1346">
        <v>309390</v>
      </c>
      <c r="O1346">
        <v>11250</v>
      </c>
      <c r="P1346">
        <v>4140</v>
      </c>
      <c r="Q1346">
        <v>0</v>
      </c>
      <c r="R1346">
        <v>16200</v>
      </c>
      <c r="S1346">
        <v>0</v>
      </c>
      <c r="T1346">
        <v>0</v>
      </c>
      <c r="U1346">
        <v>158.4</v>
      </c>
      <c r="V1346">
        <v>11.3</v>
      </c>
      <c r="W1346">
        <v>3690</v>
      </c>
      <c r="X1346">
        <v>1100</v>
      </c>
      <c r="Y1346">
        <v>40500</v>
      </c>
      <c r="Z1346" cm="1">
        <f t="array" ref="Z1346">MMULT($G1346:$Y1346,'Nelson Factor_2019'!$B$1:$B$19)/$G1346</f>
        <v>11.119357565789473</v>
      </c>
      <c r="AA1346" cm="1">
        <f t="array" ref="AA1346">MMULT($G1346:$R1346,'Nelson Factor_2019'!$B$1:$B$12)/$G1346</f>
        <v>10.050542763157894</v>
      </c>
    </row>
    <row r="1347" spans="1:27" x14ac:dyDescent="0.25">
      <c r="A1347">
        <v>2015</v>
      </c>
      <c r="B1347">
        <v>2</v>
      </c>
      <c r="C1347">
        <v>1</v>
      </c>
      <c r="D1347" t="s">
        <v>274</v>
      </c>
      <c r="E1347" t="s">
        <v>197</v>
      </c>
      <c r="F1347" t="s">
        <v>125</v>
      </c>
      <c r="G1347">
        <v>89500</v>
      </c>
      <c r="H1347">
        <v>41300</v>
      </c>
      <c r="I1347">
        <v>0</v>
      </c>
      <c r="J1347">
        <v>0</v>
      </c>
      <c r="K1347">
        <v>27100</v>
      </c>
      <c r="L1347">
        <v>18600</v>
      </c>
      <c r="M1347">
        <v>0</v>
      </c>
      <c r="N1347">
        <v>55500</v>
      </c>
      <c r="O1347">
        <v>5200</v>
      </c>
      <c r="P1347">
        <v>0</v>
      </c>
      <c r="Q1347">
        <v>0</v>
      </c>
      <c r="R1347">
        <v>8600</v>
      </c>
      <c r="S1347">
        <v>0</v>
      </c>
      <c r="T1347">
        <v>0</v>
      </c>
      <c r="U1347">
        <v>8</v>
      </c>
      <c r="V1347">
        <v>0</v>
      </c>
      <c r="W1347">
        <v>0</v>
      </c>
      <c r="X1347">
        <v>111</v>
      </c>
      <c r="Y1347">
        <v>12400</v>
      </c>
      <c r="Z1347" cm="1">
        <f t="array" ref="Z1347">MMULT($G1347:$Y1347,'Nelson Factor_2019'!$B$1:$B$19)/$G1347</f>
        <v>7.3808715083798884</v>
      </c>
      <c r="AA1347" cm="1">
        <f t="array" ref="AA1347">MMULT($G1347:$R1347,'Nelson Factor_2019'!$B$1:$B$12)/$G1347</f>
        <v>6.8753072625698328</v>
      </c>
    </row>
    <row r="1348" spans="1:27" x14ac:dyDescent="0.25">
      <c r="A1348">
        <v>2015</v>
      </c>
      <c r="B1348">
        <v>3</v>
      </c>
      <c r="C1348">
        <v>6</v>
      </c>
      <c r="D1348" t="s">
        <v>275</v>
      </c>
      <c r="E1348" t="s">
        <v>227</v>
      </c>
      <c r="F1348" t="s">
        <v>127</v>
      </c>
      <c r="G1348">
        <v>330000</v>
      </c>
      <c r="H1348">
        <v>240000</v>
      </c>
      <c r="I1348">
        <v>98000</v>
      </c>
      <c r="J1348">
        <v>0</v>
      </c>
      <c r="K1348">
        <v>86000</v>
      </c>
      <c r="L1348">
        <v>85000</v>
      </c>
      <c r="M1348">
        <v>39300</v>
      </c>
      <c r="N1348">
        <v>246000</v>
      </c>
      <c r="O1348">
        <v>14800</v>
      </c>
      <c r="P1348">
        <v>0</v>
      </c>
      <c r="Q1348">
        <v>19000</v>
      </c>
      <c r="R1348">
        <v>0</v>
      </c>
      <c r="S1348">
        <v>23500</v>
      </c>
      <c r="T1348">
        <v>0</v>
      </c>
      <c r="U1348">
        <v>205</v>
      </c>
      <c r="V1348">
        <v>0</v>
      </c>
      <c r="W1348">
        <v>6440</v>
      </c>
      <c r="X1348">
        <v>1113</v>
      </c>
      <c r="Y1348">
        <v>0</v>
      </c>
      <c r="Z1348" cm="1">
        <f t="array" ref="Z1348">MMULT($G1348:$Y1348,'Nelson Factor_2019'!$B$1:$B$19)/$G1348</f>
        <v>16.523409090909091</v>
      </c>
      <c r="AA1348" cm="1">
        <f t="array" ref="AA1348">MMULT($G1348:$R1348,'Nelson Factor_2019'!$B$1:$B$12)/$G1348</f>
        <v>11.440606060606061</v>
      </c>
    </row>
    <row r="1349" spans="1:27" x14ac:dyDescent="0.25">
      <c r="A1349">
        <v>2015</v>
      </c>
      <c r="B1349">
        <v>3</v>
      </c>
      <c r="C1349">
        <v>0</v>
      </c>
      <c r="D1349" t="s">
        <v>275</v>
      </c>
      <c r="E1349" t="s">
        <v>128</v>
      </c>
      <c r="F1349" t="s">
        <v>129</v>
      </c>
      <c r="G1349">
        <v>23000</v>
      </c>
      <c r="H1349">
        <v>10200</v>
      </c>
      <c r="I1349">
        <v>0</v>
      </c>
      <c r="J1349">
        <v>0</v>
      </c>
      <c r="K1349">
        <v>0</v>
      </c>
      <c r="L1349">
        <v>0</v>
      </c>
      <c r="M1349">
        <v>0</v>
      </c>
      <c r="N1349">
        <v>22000</v>
      </c>
      <c r="O1349">
        <v>0</v>
      </c>
      <c r="P1349">
        <v>0</v>
      </c>
      <c r="Q1349">
        <v>0</v>
      </c>
      <c r="R1349">
        <v>0</v>
      </c>
      <c r="S1349">
        <v>22000</v>
      </c>
      <c r="T1349">
        <v>0</v>
      </c>
      <c r="U1349">
        <v>13</v>
      </c>
      <c r="V1349">
        <v>0</v>
      </c>
      <c r="W1349">
        <v>0</v>
      </c>
      <c r="X1349">
        <v>0</v>
      </c>
      <c r="Y1349">
        <v>9600</v>
      </c>
      <c r="Z1349" cm="1">
        <f t="array" ref="Z1349">MMULT($G1349:$Y1349,'Nelson Factor_2019'!$B$1:$B$19)/$G1349</f>
        <v>61.985782608695651</v>
      </c>
      <c r="AA1349" cm="1">
        <f t="array" ref="AA1349">MMULT($G1349:$R1349,'Nelson Factor_2019'!$B$1:$B$12)/$G1349</f>
        <v>3.9678260869565216</v>
      </c>
    </row>
    <row r="1350" spans="1:27" x14ac:dyDescent="0.25">
      <c r="A1350">
        <v>2015</v>
      </c>
      <c r="B1350">
        <v>4</v>
      </c>
      <c r="C1350">
        <v>1</v>
      </c>
      <c r="D1350" t="s">
        <v>276</v>
      </c>
      <c r="E1350" t="s">
        <v>296</v>
      </c>
      <c r="F1350" t="s">
        <v>135</v>
      </c>
      <c r="G1350">
        <v>10000</v>
      </c>
      <c r="H1350">
        <v>5000</v>
      </c>
      <c r="I1350">
        <v>0</v>
      </c>
      <c r="J1350">
        <v>0</v>
      </c>
      <c r="K1350">
        <v>2800</v>
      </c>
      <c r="L1350">
        <v>1000</v>
      </c>
      <c r="M1350">
        <v>0</v>
      </c>
      <c r="N1350">
        <v>7100</v>
      </c>
      <c r="O1350">
        <v>1000</v>
      </c>
      <c r="P1350">
        <v>400</v>
      </c>
      <c r="Q1350">
        <v>0</v>
      </c>
      <c r="R1350">
        <v>700</v>
      </c>
      <c r="S1350">
        <v>0</v>
      </c>
      <c r="T1350">
        <v>0</v>
      </c>
      <c r="U1350">
        <v>5</v>
      </c>
      <c r="V1350">
        <v>0</v>
      </c>
      <c r="W1350">
        <v>0</v>
      </c>
      <c r="X1350">
        <v>0</v>
      </c>
      <c r="Y1350">
        <v>3800</v>
      </c>
      <c r="Z1350" cm="1">
        <f t="array" ref="Z1350">MMULT($G1350:$Y1350,'Nelson Factor_2019'!$B$1:$B$19)/$G1350</f>
        <v>7.7854999999999999</v>
      </c>
      <c r="AA1350" cm="1">
        <f t="array" ref="AA1350">MMULT($G1350:$R1350,'Nelson Factor_2019'!$B$1:$B$12)/$G1350</f>
        <v>7.2149999999999999</v>
      </c>
    </row>
    <row r="1351" spans="1:27" x14ac:dyDescent="0.25">
      <c r="A1351">
        <v>2015</v>
      </c>
      <c r="B1351">
        <v>4</v>
      </c>
      <c r="C1351">
        <v>4</v>
      </c>
      <c r="D1351" t="s">
        <v>276</v>
      </c>
      <c r="E1351" t="s">
        <v>235</v>
      </c>
      <c r="F1351" t="s">
        <v>132</v>
      </c>
      <c r="G1351">
        <v>55000</v>
      </c>
      <c r="H1351">
        <v>31300</v>
      </c>
      <c r="I1351">
        <v>15000</v>
      </c>
      <c r="J1351">
        <v>0</v>
      </c>
      <c r="K1351">
        <v>14000</v>
      </c>
      <c r="L1351">
        <v>12500</v>
      </c>
      <c r="M1351">
        <v>0</v>
      </c>
      <c r="N1351">
        <v>51600</v>
      </c>
      <c r="O1351">
        <v>4300</v>
      </c>
      <c r="P1351">
        <v>0</v>
      </c>
      <c r="Q1351">
        <v>0</v>
      </c>
      <c r="R1351">
        <v>2500</v>
      </c>
      <c r="S1351">
        <v>0</v>
      </c>
      <c r="T1351">
        <v>0</v>
      </c>
      <c r="U1351">
        <v>21</v>
      </c>
      <c r="V1351">
        <v>21</v>
      </c>
      <c r="W1351">
        <v>0</v>
      </c>
      <c r="X1351">
        <v>90</v>
      </c>
      <c r="Y1351">
        <v>19000</v>
      </c>
      <c r="Z1351" cm="1">
        <f t="array" ref="Z1351">MMULT($G1351:$Y1351,'Nelson Factor_2019'!$B$1:$B$19)/$G1351</f>
        <v>10.624218181818183</v>
      </c>
      <c r="AA1351" cm="1">
        <f t="array" ref="AA1351">MMULT($G1351:$R1351,'Nelson Factor_2019'!$B$1:$B$12)/$G1351</f>
        <v>9.7125454545454541</v>
      </c>
    </row>
    <row r="1352" spans="1:27" x14ac:dyDescent="0.25">
      <c r="A1352">
        <v>2015</v>
      </c>
      <c r="B1352">
        <v>4</v>
      </c>
      <c r="C1352">
        <v>6</v>
      </c>
      <c r="D1352" t="s">
        <v>276</v>
      </c>
      <c r="E1352" t="s">
        <v>54</v>
      </c>
      <c r="F1352" t="s">
        <v>133</v>
      </c>
      <c r="G1352">
        <v>60500</v>
      </c>
      <c r="H1352">
        <v>27500</v>
      </c>
      <c r="I1352">
        <v>9500</v>
      </c>
      <c r="J1352">
        <v>0</v>
      </c>
      <c r="K1352">
        <v>21000</v>
      </c>
      <c r="L1352">
        <v>12000</v>
      </c>
      <c r="M1352">
        <v>5500</v>
      </c>
      <c r="N1352">
        <v>56000</v>
      </c>
      <c r="O1352">
        <v>5000</v>
      </c>
      <c r="P1352">
        <v>0</v>
      </c>
      <c r="Q1352">
        <v>0</v>
      </c>
      <c r="R1352">
        <v>0</v>
      </c>
      <c r="S1352">
        <v>0</v>
      </c>
      <c r="T1352">
        <v>0</v>
      </c>
      <c r="U1352">
        <v>22</v>
      </c>
      <c r="V1352">
        <v>4.5</v>
      </c>
      <c r="W1352">
        <v>490</v>
      </c>
      <c r="X1352">
        <v>0</v>
      </c>
      <c r="Y1352">
        <v>14500</v>
      </c>
      <c r="Z1352" cm="1">
        <f t="array" ref="Z1352">MMULT($G1352:$Y1352,'Nelson Factor_2019'!$B$1:$B$19)/$G1352</f>
        <v>10.070685950413223</v>
      </c>
      <c r="AA1352" cm="1">
        <f t="array" ref="AA1352">MMULT($G1352:$R1352,'Nelson Factor_2019'!$B$1:$B$12)/$G1352</f>
        <v>9.7107438016528924</v>
      </c>
    </row>
    <row r="1353" spans="1:27" x14ac:dyDescent="0.25">
      <c r="A1353">
        <v>2015</v>
      </c>
      <c r="B1353">
        <v>4</v>
      </c>
      <c r="C1353">
        <v>4</v>
      </c>
      <c r="D1353" t="s">
        <v>276</v>
      </c>
      <c r="E1353" t="s">
        <v>258</v>
      </c>
      <c r="F1353" t="s">
        <v>133</v>
      </c>
      <c r="G1353">
        <v>59000</v>
      </c>
      <c r="H1353">
        <v>35000</v>
      </c>
      <c r="I1353">
        <v>20000</v>
      </c>
      <c r="J1353">
        <v>0</v>
      </c>
      <c r="K1353">
        <v>19400</v>
      </c>
      <c r="L1353">
        <v>12200</v>
      </c>
      <c r="M1353">
        <v>0</v>
      </c>
      <c r="N1353">
        <v>73000</v>
      </c>
      <c r="O1353">
        <v>6500</v>
      </c>
      <c r="P1353">
        <v>0</v>
      </c>
      <c r="Q1353">
        <v>0</v>
      </c>
      <c r="R1353">
        <v>3600</v>
      </c>
      <c r="S1353">
        <v>0</v>
      </c>
      <c r="T1353">
        <v>0</v>
      </c>
      <c r="U1353">
        <v>31</v>
      </c>
      <c r="V1353">
        <v>57.199999999999996</v>
      </c>
      <c r="W1353">
        <v>900</v>
      </c>
      <c r="X1353">
        <v>200</v>
      </c>
      <c r="Y1353">
        <v>0</v>
      </c>
      <c r="Z1353" cm="1">
        <f t="array" ref="Z1353">MMULT($G1353:$Y1353,'Nelson Factor_2019'!$B$1:$B$19)/$G1353</f>
        <v>12.513359322033898</v>
      </c>
      <c r="AA1353" cm="1">
        <f t="array" ref="AA1353">MMULT($G1353:$R1353,'Nelson Factor_2019'!$B$1:$B$12)/$G1353</f>
        <v>11.698305084745762</v>
      </c>
    </row>
    <row r="1354" spans="1:27" x14ac:dyDescent="0.25">
      <c r="A1354">
        <v>2015</v>
      </c>
      <c r="B1354">
        <v>1</v>
      </c>
      <c r="C1354">
        <v>1</v>
      </c>
      <c r="D1354" t="s">
        <v>277</v>
      </c>
      <c r="E1354" t="s">
        <v>258</v>
      </c>
      <c r="F1354" t="s">
        <v>137</v>
      </c>
      <c r="G1354">
        <v>238000</v>
      </c>
      <c r="H1354">
        <v>71250</v>
      </c>
      <c r="I1354">
        <v>0</v>
      </c>
      <c r="J1354">
        <v>0</v>
      </c>
      <c r="K1354">
        <v>130500</v>
      </c>
      <c r="L1354">
        <v>28800</v>
      </c>
      <c r="M1354">
        <v>0</v>
      </c>
      <c r="N1354">
        <v>190500</v>
      </c>
      <c r="O1354">
        <v>16000</v>
      </c>
      <c r="P1354">
        <v>0</v>
      </c>
      <c r="Q1354">
        <v>0</v>
      </c>
      <c r="R1354">
        <v>4000</v>
      </c>
      <c r="S1354">
        <v>0</v>
      </c>
      <c r="T1354">
        <v>0</v>
      </c>
      <c r="U1354">
        <v>19.8</v>
      </c>
      <c r="V1354">
        <v>12.4</v>
      </c>
      <c r="W1354">
        <v>0</v>
      </c>
      <c r="X1354">
        <v>0</v>
      </c>
      <c r="Y1354">
        <v>0</v>
      </c>
      <c r="Z1354" cm="1">
        <f t="array" ref="Z1354">MMULT($G1354:$Y1354,'Nelson Factor_2019'!$B$1:$B$19)/$G1354</f>
        <v>8.0080134453781504</v>
      </c>
      <c r="AA1354" cm="1">
        <f t="array" ref="AA1354">MMULT($G1354:$R1354,'Nelson Factor_2019'!$B$1:$B$12)/$G1354</f>
        <v>8.0078781512605044</v>
      </c>
    </row>
    <row r="1355" spans="1:27" x14ac:dyDescent="0.25">
      <c r="A1355">
        <v>2015</v>
      </c>
      <c r="B1355">
        <v>1</v>
      </c>
      <c r="C1355">
        <v>4</v>
      </c>
      <c r="D1355" t="s">
        <v>277</v>
      </c>
      <c r="E1355" t="s">
        <v>253</v>
      </c>
      <c r="F1355" t="s">
        <v>140</v>
      </c>
      <c r="G1355">
        <v>180000</v>
      </c>
      <c r="H1355">
        <v>90000</v>
      </c>
      <c r="I1355">
        <v>27000</v>
      </c>
      <c r="J1355">
        <v>0</v>
      </c>
      <c r="K1355">
        <v>55000</v>
      </c>
      <c r="L1355">
        <v>30000</v>
      </c>
      <c r="M1355">
        <v>0</v>
      </c>
      <c r="N1355">
        <v>141250</v>
      </c>
      <c r="O1355">
        <v>11200</v>
      </c>
      <c r="P1355">
        <v>0</v>
      </c>
      <c r="Q1355">
        <v>0</v>
      </c>
      <c r="R1355">
        <v>0</v>
      </c>
      <c r="S1355">
        <v>11500</v>
      </c>
      <c r="T1355">
        <v>0</v>
      </c>
      <c r="U1355">
        <v>13.5</v>
      </c>
      <c r="V1355">
        <v>9</v>
      </c>
      <c r="W1355">
        <v>1470</v>
      </c>
      <c r="X1355">
        <v>230</v>
      </c>
      <c r="Y1355">
        <v>16000</v>
      </c>
      <c r="Z1355" cm="1">
        <f t="array" ref="Z1355">MMULT($G1355:$Y1355,'Nelson Factor_2019'!$B$1:$B$19)/$G1355</f>
        <v>12.299152777777778</v>
      </c>
      <c r="AA1355" cm="1">
        <f t="array" ref="AA1355">MMULT($G1355:$R1355,'Nelson Factor_2019'!$B$1:$B$12)/$G1355</f>
        <v>8.0256944444444436</v>
      </c>
    </row>
    <row r="1356" spans="1:27" x14ac:dyDescent="0.25">
      <c r="A1356">
        <v>2015</v>
      </c>
      <c r="B1356">
        <v>3</v>
      </c>
      <c r="C1356">
        <v>1</v>
      </c>
      <c r="D1356" t="s">
        <v>278</v>
      </c>
      <c r="E1356" t="s">
        <v>197</v>
      </c>
      <c r="F1356" t="s">
        <v>144</v>
      </c>
      <c r="G1356">
        <v>25000</v>
      </c>
      <c r="H1356">
        <v>0</v>
      </c>
      <c r="I1356">
        <v>0</v>
      </c>
      <c r="J1356">
        <v>0</v>
      </c>
      <c r="K1356">
        <v>7000</v>
      </c>
      <c r="L1356">
        <v>8000</v>
      </c>
      <c r="M1356">
        <v>0</v>
      </c>
      <c r="N1356">
        <v>11500</v>
      </c>
      <c r="O1356">
        <v>2500</v>
      </c>
      <c r="P1356">
        <v>0</v>
      </c>
      <c r="Q1356">
        <v>0</v>
      </c>
      <c r="R1356">
        <v>5000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2</v>
      </c>
      <c r="Y1356">
        <v>0</v>
      </c>
      <c r="Z1356" cm="1">
        <f t="array" ref="Z1356">MMULT($G1356:$Y1356,'Nelson Factor_2019'!$B$1:$B$19)/$G1356</f>
        <v>7.0491999999999999</v>
      </c>
      <c r="AA1356" cm="1">
        <f t="array" ref="AA1356">MMULT($G1356:$R1356,'Nelson Factor_2019'!$B$1:$B$12)/$G1356</f>
        <v>7.03</v>
      </c>
    </row>
    <row r="1357" spans="1:27" x14ac:dyDescent="0.25">
      <c r="A1357">
        <v>2015</v>
      </c>
      <c r="B1357">
        <v>3</v>
      </c>
      <c r="C1357">
        <v>1</v>
      </c>
      <c r="D1357" t="s">
        <v>278</v>
      </c>
      <c r="E1357" t="s">
        <v>251</v>
      </c>
      <c r="F1357" t="s">
        <v>146</v>
      </c>
      <c r="G1357">
        <v>100000</v>
      </c>
      <c r="H1357">
        <v>25000</v>
      </c>
      <c r="I1357">
        <v>0</v>
      </c>
      <c r="J1357">
        <v>0</v>
      </c>
      <c r="K1357">
        <v>27000</v>
      </c>
      <c r="L1357">
        <v>24000</v>
      </c>
      <c r="M1357">
        <v>0</v>
      </c>
      <c r="N1357">
        <v>97400</v>
      </c>
      <c r="O1357">
        <v>9000</v>
      </c>
      <c r="P1357">
        <v>0</v>
      </c>
      <c r="Q1357">
        <v>0</v>
      </c>
      <c r="R1357">
        <v>11000</v>
      </c>
      <c r="S1357">
        <v>0</v>
      </c>
      <c r="T1357">
        <v>0</v>
      </c>
      <c r="U1357">
        <v>9</v>
      </c>
      <c r="V1357">
        <v>0</v>
      </c>
      <c r="W1357">
        <v>0</v>
      </c>
      <c r="X1357">
        <v>110</v>
      </c>
      <c r="Y1357">
        <v>5000</v>
      </c>
      <c r="Z1357" cm="1">
        <f t="array" ref="Z1357">MMULT($G1357:$Y1357,'Nelson Factor_2019'!$B$1:$B$19)/$G1357</f>
        <v>8.1490899999999993</v>
      </c>
      <c r="AA1357" cm="1">
        <f t="array" ref="AA1357">MMULT($G1357:$R1357,'Nelson Factor_2019'!$B$1:$B$12)/$G1357</f>
        <v>7.81</v>
      </c>
    </row>
    <row r="1358" spans="1:27" x14ac:dyDescent="0.25">
      <c r="A1358">
        <v>2015</v>
      </c>
      <c r="B1358">
        <v>2</v>
      </c>
      <c r="C1358">
        <v>0</v>
      </c>
      <c r="D1358" t="s">
        <v>279</v>
      </c>
      <c r="E1358" t="s">
        <v>302</v>
      </c>
      <c r="F1358" t="s">
        <v>303</v>
      </c>
      <c r="G1358">
        <v>20000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  <c r="U1358">
        <v>0</v>
      </c>
      <c r="V1358">
        <v>0</v>
      </c>
      <c r="W1358">
        <v>0</v>
      </c>
      <c r="X1358">
        <v>0</v>
      </c>
      <c r="Y1358">
        <v>0</v>
      </c>
      <c r="Z1358" cm="1">
        <f t="array" ref="Z1358">MMULT($G1358:$Y1358,'Nelson Factor_2019'!$B$1:$B$19)/$G1358</f>
        <v>1</v>
      </c>
      <c r="AA1358" cm="1">
        <f t="array" ref="AA1358">MMULT($G1358:$R1358,'Nelson Factor_2019'!$B$1:$B$12)/$G1358</f>
        <v>1</v>
      </c>
    </row>
    <row r="1359" spans="1:27" x14ac:dyDescent="0.25">
      <c r="A1359">
        <v>2015</v>
      </c>
      <c r="B1359">
        <v>2</v>
      </c>
      <c r="C1359">
        <v>1</v>
      </c>
      <c r="D1359" t="s">
        <v>279</v>
      </c>
      <c r="E1359" t="s">
        <v>148</v>
      </c>
      <c r="F1359" t="s">
        <v>149</v>
      </c>
      <c r="G1359">
        <v>71000</v>
      </c>
      <c r="H1359">
        <v>0</v>
      </c>
      <c r="I1359">
        <v>0</v>
      </c>
      <c r="J1359">
        <v>0</v>
      </c>
      <c r="K1359">
        <v>25700</v>
      </c>
      <c r="L1359">
        <v>11500</v>
      </c>
      <c r="M1359">
        <v>0</v>
      </c>
      <c r="N1359">
        <v>23600</v>
      </c>
      <c r="O1359">
        <v>4200</v>
      </c>
      <c r="P1359">
        <v>1100</v>
      </c>
      <c r="Q1359">
        <v>0</v>
      </c>
      <c r="R1359">
        <v>4800</v>
      </c>
      <c r="S1359">
        <v>0</v>
      </c>
      <c r="T1359">
        <v>0</v>
      </c>
      <c r="U1359">
        <v>0</v>
      </c>
      <c r="V1359">
        <v>0</v>
      </c>
      <c r="W1359">
        <v>0</v>
      </c>
      <c r="X1359">
        <v>15</v>
      </c>
      <c r="Y1359">
        <v>0</v>
      </c>
      <c r="Z1359" cm="1">
        <f t="array" ref="Z1359">MMULT($G1359:$Y1359,'Nelson Factor_2019'!$B$1:$B$19)/$G1359</f>
        <v>5.8126760563380282</v>
      </c>
      <c r="AA1359" cm="1">
        <f t="array" ref="AA1359">MMULT($G1359:$R1359,'Nelson Factor_2019'!$B$1:$B$12)/$G1359</f>
        <v>5.7619718309859156</v>
      </c>
    </row>
    <row r="1360" spans="1:27" x14ac:dyDescent="0.25">
      <c r="A1360">
        <v>2015</v>
      </c>
      <c r="B1360">
        <v>2</v>
      </c>
      <c r="C1360">
        <v>6</v>
      </c>
      <c r="D1360" t="s">
        <v>280</v>
      </c>
      <c r="E1360" t="s">
        <v>304</v>
      </c>
      <c r="F1360" t="s">
        <v>151</v>
      </c>
      <c r="G1360">
        <v>152000</v>
      </c>
      <c r="H1360">
        <v>67925</v>
      </c>
      <c r="I1360">
        <v>31500</v>
      </c>
      <c r="J1360">
        <v>0</v>
      </c>
      <c r="K1360">
        <v>49500</v>
      </c>
      <c r="L1360">
        <v>37800</v>
      </c>
      <c r="M1360">
        <v>27900</v>
      </c>
      <c r="N1360">
        <v>97650</v>
      </c>
      <c r="O1360">
        <v>10350</v>
      </c>
      <c r="P1360">
        <v>0</v>
      </c>
      <c r="Q1360">
        <v>0</v>
      </c>
      <c r="R1360">
        <v>0</v>
      </c>
      <c r="S1360">
        <v>0</v>
      </c>
      <c r="T1360">
        <v>0</v>
      </c>
      <c r="U1360">
        <v>0</v>
      </c>
      <c r="V1360">
        <v>0</v>
      </c>
      <c r="W1360">
        <v>2006</v>
      </c>
      <c r="X1360">
        <v>351</v>
      </c>
      <c r="Y1360">
        <v>9000</v>
      </c>
      <c r="Z1360" cm="1">
        <f t="array" ref="Z1360">MMULT($G1360:$Y1360,'Nelson Factor_2019'!$B$1:$B$19)/$G1360</f>
        <v>10.731036184210526</v>
      </c>
      <c r="AA1360" cm="1">
        <f t="array" ref="AA1360">MMULT($G1360:$R1360,'Nelson Factor_2019'!$B$1:$B$12)/$G1360</f>
        <v>10.088009868421052</v>
      </c>
    </row>
    <row r="1361" spans="1:27" x14ac:dyDescent="0.25">
      <c r="A1361">
        <v>2015</v>
      </c>
      <c r="B1361">
        <v>2</v>
      </c>
      <c r="C1361">
        <v>6</v>
      </c>
      <c r="D1361" t="s">
        <v>280</v>
      </c>
      <c r="E1361" t="s">
        <v>241</v>
      </c>
      <c r="F1361" t="s">
        <v>154</v>
      </c>
      <c r="G1361">
        <v>160000</v>
      </c>
      <c r="H1361">
        <v>49400</v>
      </c>
      <c r="I1361">
        <v>20700</v>
      </c>
      <c r="J1361">
        <v>0</v>
      </c>
      <c r="K1361">
        <v>36000</v>
      </c>
      <c r="L1361">
        <v>49500</v>
      </c>
      <c r="M1361">
        <v>23400</v>
      </c>
      <c r="N1361">
        <v>88200</v>
      </c>
      <c r="O1361">
        <v>0</v>
      </c>
      <c r="P1361">
        <v>0</v>
      </c>
      <c r="Q1361">
        <v>6300</v>
      </c>
      <c r="R1361">
        <v>16200</v>
      </c>
      <c r="S1361">
        <v>0</v>
      </c>
      <c r="T1361">
        <v>0</v>
      </c>
      <c r="U1361">
        <v>0</v>
      </c>
      <c r="V1361">
        <v>10.4</v>
      </c>
      <c r="W1361">
        <v>800</v>
      </c>
      <c r="X1361">
        <v>100</v>
      </c>
      <c r="Y1361">
        <v>0</v>
      </c>
      <c r="Z1361" cm="1">
        <f t="array" ref="Z1361">MMULT($G1361:$Y1361,'Nelson Factor_2019'!$B$1:$B$19)/$G1361</f>
        <v>9.0580024999999988</v>
      </c>
      <c r="AA1361" cm="1">
        <f t="array" ref="AA1361">MMULT($G1361:$R1361,'Nelson Factor_2019'!$B$1:$B$12)/$G1361</f>
        <v>8.9079374999999992</v>
      </c>
    </row>
    <row r="1362" spans="1:27" x14ac:dyDescent="0.25">
      <c r="A1362">
        <v>2015</v>
      </c>
      <c r="B1362">
        <v>2</v>
      </c>
      <c r="C1362">
        <v>1</v>
      </c>
      <c r="D1362" t="s">
        <v>280</v>
      </c>
      <c r="E1362" t="s">
        <v>246</v>
      </c>
      <c r="F1362" t="s">
        <v>152</v>
      </c>
      <c r="G1362">
        <v>90000</v>
      </c>
      <c r="H1362">
        <v>33300</v>
      </c>
      <c r="I1362">
        <v>0</v>
      </c>
      <c r="J1362">
        <v>0</v>
      </c>
      <c r="K1362">
        <v>24700</v>
      </c>
      <c r="L1362">
        <v>20400</v>
      </c>
      <c r="M1362">
        <v>0</v>
      </c>
      <c r="N1362">
        <v>88400</v>
      </c>
      <c r="O1362">
        <v>7100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  <c r="V1362">
        <v>0</v>
      </c>
      <c r="W1362">
        <v>0</v>
      </c>
      <c r="X1362">
        <v>89</v>
      </c>
      <c r="Y1362">
        <v>14100</v>
      </c>
      <c r="Z1362" cm="1">
        <f t="array" ref="Z1362">MMULT($G1362:$Y1362,'Nelson Factor_2019'!$B$1:$B$19)/$G1362</f>
        <v>7.9777777777777779</v>
      </c>
      <c r="AA1362" cm="1">
        <f t="array" ref="AA1362">MMULT($G1362:$R1362,'Nelson Factor_2019'!$B$1:$B$12)/$G1362</f>
        <v>7.5054444444444446</v>
      </c>
    </row>
    <row r="1363" spans="1:27" x14ac:dyDescent="0.25">
      <c r="A1363">
        <v>2015</v>
      </c>
      <c r="B1363">
        <v>2</v>
      </c>
      <c r="C1363">
        <v>3</v>
      </c>
      <c r="D1363" t="s">
        <v>280</v>
      </c>
      <c r="E1363" t="s">
        <v>253</v>
      </c>
      <c r="F1363" t="s">
        <v>151</v>
      </c>
      <c r="G1363">
        <v>170000</v>
      </c>
      <c r="H1363">
        <v>30000</v>
      </c>
      <c r="I1363">
        <v>0</v>
      </c>
      <c r="J1363">
        <v>0</v>
      </c>
      <c r="K1363">
        <v>60000</v>
      </c>
      <c r="L1363">
        <v>45600</v>
      </c>
      <c r="M1363">
        <v>28200</v>
      </c>
      <c r="N1363">
        <v>48000</v>
      </c>
      <c r="O1363">
        <v>9000</v>
      </c>
      <c r="P1363">
        <v>0</v>
      </c>
      <c r="Q1363">
        <v>9000</v>
      </c>
      <c r="R1363">
        <v>0</v>
      </c>
      <c r="S1363">
        <v>0</v>
      </c>
      <c r="T1363">
        <v>0</v>
      </c>
      <c r="U1363">
        <v>52</v>
      </c>
      <c r="V1363">
        <v>0</v>
      </c>
      <c r="W1363">
        <v>0</v>
      </c>
      <c r="X1363">
        <v>0</v>
      </c>
      <c r="Y1363">
        <v>0</v>
      </c>
      <c r="Z1363" cm="1">
        <f t="array" ref="Z1363">MMULT($G1363:$Y1363,'Nelson Factor_2019'!$B$1:$B$19)/$G1363</f>
        <v>8.3097176470588234</v>
      </c>
      <c r="AA1363" cm="1">
        <f t="array" ref="AA1363">MMULT($G1363:$R1363,'Nelson Factor_2019'!$B$1:$B$12)/$G1363</f>
        <v>8.3094117647058816</v>
      </c>
    </row>
    <row r="1364" spans="1:27" x14ac:dyDescent="0.25">
      <c r="A1364">
        <v>2015</v>
      </c>
      <c r="B1364">
        <v>2</v>
      </c>
      <c r="C1364">
        <v>4</v>
      </c>
      <c r="D1364" t="s">
        <v>282</v>
      </c>
      <c r="E1364" t="s">
        <v>258</v>
      </c>
      <c r="F1364" t="s">
        <v>156</v>
      </c>
      <c r="G1364">
        <v>203000</v>
      </c>
      <c r="H1364">
        <v>80000</v>
      </c>
      <c r="I1364">
        <v>23100</v>
      </c>
      <c r="J1364">
        <v>0</v>
      </c>
      <c r="K1364">
        <v>59300</v>
      </c>
      <c r="L1364">
        <v>44000</v>
      </c>
      <c r="M1364">
        <v>0</v>
      </c>
      <c r="N1364">
        <v>188550</v>
      </c>
      <c r="O1364">
        <v>13000</v>
      </c>
      <c r="P1364">
        <v>2400</v>
      </c>
      <c r="Q1364">
        <v>0</v>
      </c>
      <c r="R1364">
        <v>23400</v>
      </c>
      <c r="S1364">
        <v>0</v>
      </c>
      <c r="T1364">
        <v>0</v>
      </c>
      <c r="U1364">
        <v>31.4</v>
      </c>
      <c r="V1364">
        <v>15.4</v>
      </c>
      <c r="W1364">
        <v>1150</v>
      </c>
      <c r="X1364">
        <v>200</v>
      </c>
      <c r="Y1364">
        <v>0</v>
      </c>
      <c r="Z1364" cm="1">
        <f t="array" ref="Z1364">MMULT($G1364:$Y1364,'Nelson Factor_2019'!$B$1:$B$19)/$G1364</f>
        <v>8.8653783251231513</v>
      </c>
      <c r="AA1364" cm="1">
        <f t="array" ref="AA1364">MMULT($G1364:$R1364,'Nelson Factor_2019'!$B$1:$B$12)/$G1364</f>
        <v>8.6286945812807883</v>
      </c>
    </row>
    <row r="1365" spans="1:27" x14ac:dyDescent="0.25">
      <c r="A1365">
        <v>2015</v>
      </c>
      <c r="B1365">
        <v>2</v>
      </c>
      <c r="C1365">
        <v>0</v>
      </c>
      <c r="D1365" t="s">
        <v>282</v>
      </c>
      <c r="E1365" t="s">
        <v>283</v>
      </c>
      <c r="F1365" t="s">
        <v>160</v>
      </c>
      <c r="G1365">
        <v>125000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0</v>
      </c>
      <c r="V1365">
        <v>0</v>
      </c>
      <c r="W1365">
        <v>0</v>
      </c>
      <c r="X1365">
        <v>0</v>
      </c>
      <c r="Y1365">
        <v>0</v>
      </c>
      <c r="Z1365" cm="1">
        <f t="array" ref="Z1365">MMULT($G1365:$Y1365,'Nelson Factor_2019'!$B$1:$B$19)/$G1365</f>
        <v>1</v>
      </c>
      <c r="AA1365" cm="1">
        <f t="array" ref="AA1365">MMULT($G1365:$R1365,'Nelson Factor_2019'!$B$1:$B$12)/$G1365</f>
        <v>1</v>
      </c>
    </row>
    <row r="1366" spans="1:27" x14ac:dyDescent="0.25">
      <c r="A1366">
        <v>2015</v>
      </c>
      <c r="B1366">
        <v>2</v>
      </c>
      <c r="C1366">
        <v>3</v>
      </c>
      <c r="D1366" t="s">
        <v>282</v>
      </c>
      <c r="E1366" t="s">
        <v>66</v>
      </c>
      <c r="F1366" t="s">
        <v>161</v>
      </c>
      <c r="G1366">
        <v>90000</v>
      </c>
      <c r="H1366">
        <v>32000</v>
      </c>
      <c r="I1366">
        <v>0</v>
      </c>
      <c r="J1366">
        <v>0</v>
      </c>
      <c r="K1366">
        <v>30576</v>
      </c>
      <c r="L1366">
        <v>21679</v>
      </c>
      <c r="M1366">
        <v>12000</v>
      </c>
      <c r="N1366">
        <v>86500</v>
      </c>
      <c r="O1366">
        <v>7012</v>
      </c>
      <c r="P1366">
        <v>0</v>
      </c>
      <c r="Q1366">
        <v>0</v>
      </c>
      <c r="R1366">
        <v>7000</v>
      </c>
      <c r="S1366">
        <v>0</v>
      </c>
      <c r="T1366">
        <v>0</v>
      </c>
      <c r="U1366">
        <v>26</v>
      </c>
      <c r="V1366">
        <v>26</v>
      </c>
      <c r="W1366">
        <v>0</v>
      </c>
      <c r="X1366">
        <v>243</v>
      </c>
      <c r="Y1366">
        <v>11000</v>
      </c>
      <c r="Z1366" cm="1">
        <f t="array" ref="Z1366">MMULT($G1366:$Y1366,'Nelson Factor_2019'!$B$1:$B$19)/$G1366</f>
        <v>10.018811111111111</v>
      </c>
      <c r="AA1366" cm="1">
        <f t="array" ref="AA1366">MMULT($G1366:$R1366,'Nelson Factor_2019'!$B$1:$B$12)/$G1366</f>
        <v>9.1868999999999996</v>
      </c>
    </row>
    <row r="1367" spans="1:27" x14ac:dyDescent="0.25">
      <c r="A1367">
        <v>2015</v>
      </c>
      <c r="B1367">
        <v>2</v>
      </c>
      <c r="C1367">
        <v>3</v>
      </c>
      <c r="D1367" t="s">
        <v>282</v>
      </c>
      <c r="E1367" t="s">
        <v>228</v>
      </c>
      <c r="F1367" t="s">
        <v>158</v>
      </c>
      <c r="G1367">
        <v>70000</v>
      </c>
      <c r="H1367">
        <v>42000</v>
      </c>
      <c r="I1367">
        <v>0</v>
      </c>
      <c r="J1367">
        <v>0</v>
      </c>
      <c r="K1367">
        <v>20500</v>
      </c>
      <c r="L1367">
        <v>18500</v>
      </c>
      <c r="M1367">
        <v>15000</v>
      </c>
      <c r="N1367">
        <v>29900</v>
      </c>
      <c r="O1367">
        <v>4000</v>
      </c>
      <c r="P1367">
        <v>0</v>
      </c>
      <c r="Q1367">
        <v>0</v>
      </c>
      <c r="R1367">
        <v>3500</v>
      </c>
      <c r="S1367">
        <v>0</v>
      </c>
      <c r="T1367">
        <v>0</v>
      </c>
      <c r="U1367">
        <v>9</v>
      </c>
      <c r="V1367">
        <v>0</v>
      </c>
      <c r="W1367">
        <v>0</v>
      </c>
      <c r="X1367">
        <v>0</v>
      </c>
      <c r="Y1367">
        <v>5000</v>
      </c>
      <c r="Z1367" cm="1">
        <f t="array" ref="Z1367">MMULT($G1367:$Y1367,'Nelson Factor_2019'!$B$1:$B$19)/$G1367</f>
        <v>8.4694142857142865</v>
      </c>
      <c r="AA1367" cm="1">
        <f t="array" ref="AA1367">MMULT($G1367:$R1367,'Nelson Factor_2019'!$B$1:$B$12)/$G1367</f>
        <v>8.3621428571428567</v>
      </c>
    </row>
    <row r="1368" spans="1:27" x14ac:dyDescent="0.25">
      <c r="A1368">
        <v>2015</v>
      </c>
      <c r="B1368">
        <v>1</v>
      </c>
      <c r="C1368">
        <v>0</v>
      </c>
      <c r="D1368" t="s">
        <v>284</v>
      </c>
      <c r="E1368" t="s">
        <v>163</v>
      </c>
      <c r="F1368" t="s">
        <v>164</v>
      </c>
      <c r="G1368">
        <v>11000</v>
      </c>
      <c r="H1368">
        <v>0</v>
      </c>
      <c r="I1368">
        <v>0</v>
      </c>
      <c r="J1368">
        <v>0</v>
      </c>
      <c r="K1368">
        <v>0</v>
      </c>
      <c r="L1368">
        <v>1800</v>
      </c>
      <c r="M1368">
        <v>0</v>
      </c>
      <c r="N1368">
        <v>3500</v>
      </c>
      <c r="O1368">
        <v>0</v>
      </c>
      <c r="P1368">
        <v>0</v>
      </c>
      <c r="Q1368">
        <v>0</v>
      </c>
      <c r="R1368">
        <v>600</v>
      </c>
      <c r="S1368">
        <v>2600</v>
      </c>
      <c r="T1368">
        <v>0</v>
      </c>
      <c r="U1368">
        <v>0</v>
      </c>
      <c r="V1368">
        <v>0</v>
      </c>
      <c r="W1368">
        <v>0</v>
      </c>
      <c r="X1368">
        <v>0</v>
      </c>
      <c r="Y1368">
        <v>0</v>
      </c>
      <c r="Z1368" cm="1">
        <f t="array" ref="Z1368">MMULT($G1368:$Y1368,'Nelson Factor_2019'!$B$1:$B$19)/$G1368</f>
        <v>16.959090909090911</v>
      </c>
      <c r="AA1368" cm="1">
        <f t="array" ref="AA1368">MMULT($G1368:$R1368,'Nelson Factor_2019'!$B$1:$B$12)/$G1368</f>
        <v>2.7772727272727273</v>
      </c>
    </row>
    <row r="1369" spans="1:27" x14ac:dyDescent="0.25">
      <c r="A1369">
        <v>2015</v>
      </c>
      <c r="B1369">
        <v>1</v>
      </c>
      <c r="C1369">
        <v>3</v>
      </c>
      <c r="D1369" t="s">
        <v>284</v>
      </c>
      <c r="E1369" t="s">
        <v>285</v>
      </c>
      <c r="F1369" t="s">
        <v>165</v>
      </c>
      <c r="G1369">
        <v>185000</v>
      </c>
      <c r="H1369">
        <v>78700</v>
      </c>
      <c r="I1369">
        <v>0</v>
      </c>
      <c r="J1369">
        <v>0</v>
      </c>
      <c r="K1369">
        <v>48400</v>
      </c>
      <c r="L1369">
        <v>48800</v>
      </c>
      <c r="M1369">
        <v>21500</v>
      </c>
      <c r="N1369">
        <v>130200</v>
      </c>
      <c r="O1369">
        <v>11800</v>
      </c>
      <c r="P1369">
        <v>0</v>
      </c>
      <c r="Q1369">
        <v>0</v>
      </c>
      <c r="R1369">
        <v>0</v>
      </c>
      <c r="S1369">
        <v>0</v>
      </c>
      <c r="T1369">
        <v>0</v>
      </c>
      <c r="U1369">
        <v>0</v>
      </c>
      <c r="V1369">
        <v>0</v>
      </c>
      <c r="W1369">
        <v>0</v>
      </c>
      <c r="X1369">
        <v>160</v>
      </c>
      <c r="Y1369">
        <v>0</v>
      </c>
      <c r="Z1369" cm="1">
        <f t="array" ref="Z1369">MMULT($G1369:$Y1369,'Nelson Factor_2019'!$B$1:$B$19)/$G1369</f>
        <v>7.9762702702702706</v>
      </c>
      <c r="AA1369" cm="1">
        <f t="array" ref="AA1369">MMULT($G1369:$R1369,'Nelson Factor_2019'!$B$1:$B$12)/$G1369</f>
        <v>7.7687027027027025</v>
      </c>
    </row>
    <row r="1370" spans="1:27" x14ac:dyDescent="0.25">
      <c r="A1370">
        <v>2015</v>
      </c>
      <c r="B1370">
        <v>1</v>
      </c>
      <c r="C1370">
        <v>1</v>
      </c>
      <c r="D1370" t="s">
        <v>284</v>
      </c>
      <c r="E1370" t="s">
        <v>305</v>
      </c>
      <c r="F1370" t="s">
        <v>167</v>
      </c>
      <c r="G1370">
        <v>330000</v>
      </c>
      <c r="H1370">
        <v>157400</v>
      </c>
      <c r="I1370">
        <v>0</v>
      </c>
      <c r="J1370">
        <v>0</v>
      </c>
      <c r="K1370">
        <v>113500</v>
      </c>
      <c r="L1370">
        <v>68000</v>
      </c>
      <c r="M1370">
        <v>0</v>
      </c>
      <c r="N1370">
        <v>163600</v>
      </c>
      <c r="O1370">
        <v>16700</v>
      </c>
      <c r="P1370">
        <v>0</v>
      </c>
      <c r="Q1370">
        <v>13700</v>
      </c>
      <c r="R1370">
        <v>7300</v>
      </c>
      <c r="S1370">
        <v>0</v>
      </c>
      <c r="T1370">
        <v>0</v>
      </c>
      <c r="U1370">
        <v>0</v>
      </c>
      <c r="V1370">
        <v>0</v>
      </c>
      <c r="W1370">
        <v>0</v>
      </c>
      <c r="X1370">
        <v>0</v>
      </c>
      <c r="Y1370">
        <v>0</v>
      </c>
      <c r="Z1370" cm="1">
        <f t="array" ref="Z1370">MMULT($G1370:$Y1370,'Nelson Factor_2019'!$B$1:$B$19)/$G1370</f>
        <v>7.3561212121212121</v>
      </c>
      <c r="AA1370" cm="1">
        <f t="array" ref="AA1370">MMULT($G1370:$R1370,'Nelson Factor_2019'!$B$1:$B$12)/$G1370</f>
        <v>7.3561212121212121</v>
      </c>
    </row>
    <row r="1371" spans="1:27" x14ac:dyDescent="0.25">
      <c r="A1371">
        <v>2015</v>
      </c>
      <c r="B1371">
        <v>1</v>
      </c>
      <c r="C1371">
        <v>1</v>
      </c>
      <c r="D1371" t="s">
        <v>284</v>
      </c>
      <c r="E1371" t="s">
        <v>168</v>
      </c>
      <c r="F1371" t="s">
        <v>169</v>
      </c>
      <c r="G1371">
        <v>70000</v>
      </c>
      <c r="H1371">
        <v>27000</v>
      </c>
      <c r="I1371">
        <v>0</v>
      </c>
      <c r="J1371">
        <v>0</v>
      </c>
      <c r="K1371">
        <v>23000</v>
      </c>
      <c r="L1371">
        <v>16000</v>
      </c>
      <c r="M1371">
        <v>0</v>
      </c>
      <c r="N1371">
        <v>40000</v>
      </c>
      <c r="O1371">
        <v>3500</v>
      </c>
      <c r="P1371">
        <v>1000</v>
      </c>
      <c r="Q1371">
        <v>0</v>
      </c>
      <c r="R1371">
        <v>6800</v>
      </c>
      <c r="S1371">
        <v>0</v>
      </c>
      <c r="T1371">
        <v>0</v>
      </c>
      <c r="U1371">
        <v>0</v>
      </c>
      <c r="V1371">
        <v>0</v>
      </c>
      <c r="W1371">
        <v>0</v>
      </c>
      <c r="X1371">
        <v>0</v>
      </c>
      <c r="Y1371">
        <v>12000</v>
      </c>
      <c r="Z1371" cm="1">
        <f t="array" ref="Z1371">MMULT($G1371:$Y1371,'Nelson Factor_2019'!$B$1:$B$19)/$G1371</f>
        <v>7.2357142857142858</v>
      </c>
      <c r="AA1371" cm="1">
        <f t="array" ref="AA1371">MMULT($G1371:$R1371,'Nelson Factor_2019'!$B$1:$B$12)/$G1371</f>
        <v>6.9785714285714286</v>
      </c>
    </row>
    <row r="1372" spans="1:27" x14ac:dyDescent="0.25">
      <c r="A1372">
        <v>2015</v>
      </c>
      <c r="B1372">
        <v>2</v>
      </c>
      <c r="C1372">
        <v>1</v>
      </c>
      <c r="D1372" t="s">
        <v>286</v>
      </c>
      <c r="E1372" t="s">
        <v>66</v>
      </c>
      <c r="F1372" t="s">
        <v>172</v>
      </c>
      <c r="G1372">
        <v>195000</v>
      </c>
      <c r="H1372">
        <v>0</v>
      </c>
      <c r="I1372">
        <v>0</v>
      </c>
      <c r="J1372">
        <v>0</v>
      </c>
      <c r="K1372">
        <v>69000</v>
      </c>
      <c r="L1372">
        <v>36000</v>
      </c>
      <c r="M1372">
        <v>0</v>
      </c>
      <c r="N1372">
        <v>151315</v>
      </c>
      <c r="O1372">
        <v>12000</v>
      </c>
      <c r="P1372">
        <v>0</v>
      </c>
      <c r="Q1372">
        <v>0</v>
      </c>
      <c r="R1372">
        <v>4000</v>
      </c>
      <c r="S1372">
        <v>0</v>
      </c>
      <c r="T1372">
        <v>0</v>
      </c>
      <c r="U1372">
        <v>0</v>
      </c>
      <c r="V1372">
        <v>0</v>
      </c>
      <c r="W1372">
        <v>748</v>
      </c>
      <c r="X1372">
        <v>105</v>
      </c>
      <c r="Y1372">
        <v>0</v>
      </c>
      <c r="Z1372" cm="1">
        <f t="array" ref="Z1372">MMULT($G1372:$Y1372,'Nelson Factor_2019'!$B$1:$B$19)/$G1372</f>
        <v>6.79224358974359</v>
      </c>
      <c r="AA1372" cm="1">
        <f t="array" ref="AA1372">MMULT($G1372:$R1372,'Nelson Factor_2019'!$B$1:$B$12)/$G1372</f>
        <v>6.6630128205128205</v>
      </c>
    </row>
    <row r="1373" spans="1:27" x14ac:dyDescent="0.25">
      <c r="A1373">
        <v>2015</v>
      </c>
      <c r="B1373">
        <v>3</v>
      </c>
      <c r="C1373">
        <v>1</v>
      </c>
      <c r="D1373" t="s">
        <v>287</v>
      </c>
      <c r="E1373" t="s">
        <v>176</v>
      </c>
      <c r="F1373" t="s">
        <v>177</v>
      </c>
      <c r="G1373">
        <v>73000</v>
      </c>
      <c r="H1373">
        <v>24000</v>
      </c>
      <c r="I1373">
        <v>0</v>
      </c>
      <c r="J1373">
        <v>0</v>
      </c>
      <c r="K1373">
        <v>24000</v>
      </c>
      <c r="L1373">
        <v>21000</v>
      </c>
      <c r="M1373">
        <v>0</v>
      </c>
      <c r="N1373">
        <v>67950</v>
      </c>
      <c r="O1373">
        <v>5000</v>
      </c>
      <c r="P1373">
        <v>0</v>
      </c>
      <c r="Q1373">
        <v>2000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0</v>
      </c>
      <c r="X1373">
        <v>135</v>
      </c>
      <c r="Y1373">
        <v>8000</v>
      </c>
      <c r="Z1373" cm="1">
        <f t="array" ref="Z1373">MMULT($G1373:$Y1373,'Nelson Factor_2019'!$B$1:$B$19)/$G1373</f>
        <v>9.006506849315068</v>
      </c>
      <c r="AA1373" cm="1">
        <f t="array" ref="AA1373">MMULT($G1373:$R1373,'Nelson Factor_2019'!$B$1:$B$12)/$G1373</f>
        <v>8.3982876712328771</v>
      </c>
    </row>
    <row r="1374" spans="1:27" x14ac:dyDescent="0.25">
      <c r="A1374">
        <v>2015</v>
      </c>
      <c r="B1374">
        <v>3</v>
      </c>
      <c r="C1374">
        <v>0</v>
      </c>
      <c r="D1374" t="s">
        <v>287</v>
      </c>
      <c r="E1374" t="s">
        <v>298</v>
      </c>
      <c r="F1374" t="s">
        <v>175</v>
      </c>
      <c r="G1374">
        <v>14500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1200</v>
      </c>
      <c r="R1374">
        <v>0</v>
      </c>
      <c r="S1374">
        <v>0</v>
      </c>
      <c r="T1374">
        <v>0</v>
      </c>
      <c r="U1374">
        <v>0</v>
      </c>
      <c r="V1374">
        <v>0</v>
      </c>
      <c r="W1374">
        <v>0</v>
      </c>
      <c r="X1374">
        <v>0</v>
      </c>
      <c r="Y1374">
        <v>0</v>
      </c>
      <c r="Z1374" cm="1">
        <f t="array" ref="Z1374">MMULT($G1374:$Y1374,'Nelson Factor_2019'!$B$1:$B$19)/$G1374</f>
        <v>2.6551724137931036</v>
      </c>
      <c r="AA1374" cm="1">
        <f t="array" ref="AA1374">MMULT($G1374:$R1374,'Nelson Factor_2019'!$B$1:$B$12)/$G1374</f>
        <v>2.6551724137931036</v>
      </c>
    </row>
    <row r="1375" spans="1:27" x14ac:dyDescent="0.25">
      <c r="A1375">
        <v>2015</v>
      </c>
      <c r="B1375">
        <v>3</v>
      </c>
      <c r="C1375">
        <v>4</v>
      </c>
      <c r="D1375" t="s">
        <v>287</v>
      </c>
      <c r="E1375" t="s">
        <v>79</v>
      </c>
      <c r="F1375" t="s">
        <v>179</v>
      </c>
      <c r="G1375">
        <v>156750</v>
      </c>
      <c r="H1375">
        <v>73625</v>
      </c>
      <c r="I1375">
        <v>37800</v>
      </c>
      <c r="J1375">
        <v>0</v>
      </c>
      <c r="K1375">
        <v>72450</v>
      </c>
      <c r="L1375">
        <v>45450</v>
      </c>
      <c r="M1375">
        <v>0</v>
      </c>
      <c r="N1375">
        <v>148230</v>
      </c>
      <c r="O1375">
        <v>18090</v>
      </c>
      <c r="P1375">
        <v>0</v>
      </c>
      <c r="Q1375">
        <v>30105</v>
      </c>
      <c r="R1375">
        <v>0</v>
      </c>
      <c r="S1375">
        <v>0</v>
      </c>
      <c r="T1375">
        <v>3600</v>
      </c>
      <c r="U1375">
        <v>0</v>
      </c>
      <c r="V1375">
        <v>0</v>
      </c>
      <c r="W1375">
        <v>2123</v>
      </c>
      <c r="X1375">
        <v>282</v>
      </c>
      <c r="Y1375">
        <v>0</v>
      </c>
      <c r="Z1375" cm="1">
        <f t="array" ref="Z1375">MMULT($G1375:$Y1375,'Nelson Factor_2019'!$B$1:$B$19)/$G1375</f>
        <v>15.662950558213716</v>
      </c>
      <c r="AA1375" cm="1">
        <f t="array" ref="AA1375">MMULT($G1375:$R1375,'Nelson Factor_2019'!$B$1:$B$12)/$G1375</f>
        <v>15.001515151515152</v>
      </c>
    </row>
    <row r="1376" spans="1:27" x14ac:dyDescent="0.25">
      <c r="A1376">
        <v>2015</v>
      </c>
      <c r="B1376">
        <v>3</v>
      </c>
      <c r="C1376">
        <v>4</v>
      </c>
      <c r="D1376" t="s">
        <v>287</v>
      </c>
      <c r="E1376" t="s">
        <v>258</v>
      </c>
      <c r="F1376" t="s">
        <v>182</v>
      </c>
      <c r="G1376">
        <v>247000</v>
      </c>
      <c r="H1376">
        <v>125500</v>
      </c>
      <c r="I1376">
        <v>70900</v>
      </c>
      <c r="J1376">
        <v>0</v>
      </c>
      <c r="K1376">
        <v>97000</v>
      </c>
      <c r="L1376">
        <v>33800</v>
      </c>
      <c r="M1376">
        <v>0</v>
      </c>
      <c r="N1376">
        <v>275500</v>
      </c>
      <c r="O1376">
        <v>19600</v>
      </c>
      <c r="P1376">
        <v>0</v>
      </c>
      <c r="Q1376">
        <v>17700</v>
      </c>
      <c r="R1376">
        <v>9100</v>
      </c>
      <c r="S1376">
        <v>0</v>
      </c>
      <c r="T1376">
        <v>0</v>
      </c>
      <c r="U1376">
        <v>0</v>
      </c>
      <c r="V1376">
        <v>140</v>
      </c>
      <c r="W1376">
        <v>4000</v>
      </c>
      <c r="X1376">
        <v>593</v>
      </c>
      <c r="Y1376">
        <v>0</v>
      </c>
      <c r="Z1376" cm="1">
        <f t="array" ref="Z1376">MMULT($G1376:$Y1376,'Nelson Factor_2019'!$B$1:$B$19)/$G1376</f>
        <v>12.556315789473684</v>
      </c>
      <c r="AA1376" cm="1">
        <f t="array" ref="AA1376">MMULT($G1376:$R1376,'Nelson Factor_2019'!$B$1:$B$12)/$G1376</f>
        <v>11.979554655870446</v>
      </c>
    </row>
    <row r="1377" spans="1:27" x14ac:dyDescent="0.25">
      <c r="A1377">
        <v>2015</v>
      </c>
      <c r="B1377">
        <v>3</v>
      </c>
      <c r="C1377">
        <v>4</v>
      </c>
      <c r="D1377" t="s">
        <v>287</v>
      </c>
      <c r="E1377" t="s">
        <v>300</v>
      </c>
      <c r="F1377" t="s">
        <v>188</v>
      </c>
      <c r="G1377">
        <v>60000</v>
      </c>
      <c r="H1377">
        <v>15000</v>
      </c>
      <c r="I1377">
        <v>6500</v>
      </c>
      <c r="J1377">
        <v>0</v>
      </c>
      <c r="K1377">
        <v>20200</v>
      </c>
      <c r="L1377">
        <v>17500</v>
      </c>
      <c r="M1377">
        <v>0</v>
      </c>
      <c r="N1377">
        <v>32000</v>
      </c>
      <c r="O1377">
        <v>4750</v>
      </c>
      <c r="P1377">
        <v>0</v>
      </c>
      <c r="Q1377">
        <v>0</v>
      </c>
      <c r="R1377">
        <v>5000</v>
      </c>
      <c r="S1377">
        <v>0</v>
      </c>
      <c r="T1377">
        <v>0</v>
      </c>
      <c r="U1377">
        <v>0</v>
      </c>
      <c r="V1377">
        <v>0</v>
      </c>
      <c r="W1377">
        <v>250</v>
      </c>
      <c r="X1377">
        <v>18</v>
      </c>
      <c r="Y1377">
        <v>0</v>
      </c>
      <c r="Z1377" cm="1">
        <f t="array" ref="Z1377">MMULT($G1377:$Y1377,'Nelson Factor_2019'!$B$1:$B$19)/$G1377</f>
        <v>8.0628333333333337</v>
      </c>
      <c r="AA1377" cm="1">
        <f t="array" ref="AA1377">MMULT($G1377:$R1377,'Nelson Factor_2019'!$B$1:$B$12)/$G1377</f>
        <v>7.9908333333333337</v>
      </c>
    </row>
    <row r="1378" spans="1:27" x14ac:dyDescent="0.25">
      <c r="A1378">
        <v>2015</v>
      </c>
      <c r="B1378">
        <v>3</v>
      </c>
      <c r="C1378">
        <v>6</v>
      </c>
      <c r="D1378" t="s">
        <v>287</v>
      </c>
      <c r="E1378" t="s">
        <v>54</v>
      </c>
      <c r="F1378" t="s">
        <v>185</v>
      </c>
      <c r="G1378">
        <v>560500</v>
      </c>
      <c r="H1378">
        <v>285000</v>
      </c>
      <c r="I1378">
        <v>51500</v>
      </c>
      <c r="J1378">
        <v>0</v>
      </c>
      <c r="K1378">
        <v>204500</v>
      </c>
      <c r="L1378">
        <v>120000</v>
      </c>
      <c r="M1378">
        <v>26500</v>
      </c>
      <c r="N1378">
        <v>705500</v>
      </c>
      <c r="O1378">
        <v>36000</v>
      </c>
      <c r="P1378">
        <v>0</v>
      </c>
      <c r="Q1378">
        <v>0</v>
      </c>
      <c r="R1378">
        <v>0</v>
      </c>
      <c r="S1378">
        <v>27500</v>
      </c>
      <c r="T1378">
        <v>0</v>
      </c>
      <c r="U1378">
        <v>0</v>
      </c>
      <c r="V1378">
        <v>0</v>
      </c>
      <c r="W1378">
        <v>3550</v>
      </c>
      <c r="X1378">
        <v>1550</v>
      </c>
      <c r="Y1378">
        <v>0</v>
      </c>
      <c r="Z1378" cm="1">
        <f t="array" ref="Z1378">MMULT($G1378:$Y1378,'Nelson Factor_2019'!$B$1:$B$19)/$G1378</f>
        <v>13.384478144513826</v>
      </c>
      <c r="AA1378" cm="1">
        <f t="array" ref="AA1378">MMULT($G1378:$R1378,'Nelson Factor_2019'!$B$1:$B$12)/$G1378</f>
        <v>9.7769848349687773</v>
      </c>
    </row>
    <row r="1379" spans="1:27" x14ac:dyDescent="0.25">
      <c r="A1379">
        <v>2015</v>
      </c>
      <c r="B1379">
        <v>3</v>
      </c>
      <c r="C1379">
        <v>6</v>
      </c>
      <c r="D1379" t="s">
        <v>287</v>
      </c>
      <c r="E1379" t="s">
        <v>54</v>
      </c>
      <c r="F1379" t="s">
        <v>186</v>
      </c>
      <c r="G1379">
        <v>344500</v>
      </c>
      <c r="H1379">
        <v>143000</v>
      </c>
      <c r="I1379">
        <v>45500</v>
      </c>
      <c r="J1379">
        <v>0</v>
      </c>
      <c r="K1379">
        <v>113000</v>
      </c>
      <c r="L1379">
        <v>138500</v>
      </c>
      <c r="M1379">
        <v>60000</v>
      </c>
      <c r="N1379">
        <v>294000</v>
      </c>
      <c r="O1379">
        <v>14000</v>
      </c>
      <c r="P1379">
        <v>0</v>
      </c>
      <c r="Q1379">
        <v>0</v>
      </c>
      <c r="R1379">
        <v>15500</v>
      </c>
      <c r="S1379">
        <v>10000</v>
      </c>
      <c r="T1379">
        <v>3500</v>
      </c>
      <c r="U1379">
        <v>0</v>
      </c>
      <c r="V1379">
        <v>49.5</v>
      </c>
      <c r="W1379">
        <v>2720</v>
      </c>
      <c r="X1379">
        <v>560</v>
      </c>
      <c r="Y1379">
        <v>0</v>
      </c>
      <c r="Z1379" cm="1">
        <f t="array" ref="Z1379">MMULT($G1379:$Y1379,'Nelson Factor_2019'!$B$1:$B$19)/$G1379</f>
        <v>12.810158200290276</v>
      </c>
      <c r="AA1379" cm="1">
        <f t="array" ref="AA1379">MMULT($G1379:$R1379,'Nelson Factor_2019'!$B$1:$B$12)/$G1379</f>
        <v>10.576632801161104</v>
      </c>
    </row>
    <row r="1380" spans="1:27" x14ac:dyDescent="0.25">
      <c r="A1380">
        <v>2015</v>
      </c>
      <c r="B1380">
        <v>3</v>
      </c>
      <c r="C1380">
        <v>6</v>
      </c>
      <c r="D1380" t="s">
        <v>287</v>
      </c>
      <c r="E1380" t="s">
        <v>35</v>
      </c>
      <c r="F1380" t="s">
        <v>179</v>
      </c>
      <c r="G1380">
        <v>278350</v>
      </c>
      <c r="H1380">
        <v>83125</v>
      </c>
      <c r="I1380">
        <v>11970</v>
      </c>
      <c r="J1380">
        <v>0</v>
      </c>
      <c r="K1380">
        <v>94230</v>
      </c>
      <c r="L1380">
        <v>50400</v>
      </c>
      <c r="M1380">
        <v>11700</v>
      </c>
      <c r="N1380">
        <v>266940</v>
      </c>
      <c r="O1380">
        <v>12870</v>
      </c>
      <c r="P1380">
        <v>0</v>
      </c>
      <c r="Q1380">
        <v>44550</v>
      </c>
      <c r="R1380">
        <v>0</v>
      </c>
      <c r="S1380">
        <v>0</v>
      </c>
      <c r="T1380">
        <v>0</v>
      </c>
      <c r="U1380">
        <v>0</v>
      </c>
      <c r="V1380">
        <v>0</v>
      </c>
      <c r="W1380">
        <v>798</v>
      </c>
      <c r="X1380">
        <v>343</v>
      </c>
      <c r="Y1380">
        <v>0</v>
      </c>
      <c r="Z1380" cm="1">
        <f t="array" ref="Z1380">MMULT($G1380:$Y1380,'Nelson Factor_2019'!$B$1:$B$19)/$G1380</f>
        <v>11.340174241063409</v>
      </c>
      <c r="AA1380" cm="1">
        <f t="array" ref="AA1380">MMULT($G1380:$R1380,'Nelson Factor_2019'!$B$1:$B$12)/$G1380</f>
        <v>11.044431471169391</v>
      </c>
    </row>
    <row r="1381" spans="1:27" x14ac:dyDescent="0.25">
      <c r="A1381">
        <v>2015</v>
      </c>
      <c r="B1381">
        <v>3</v>
      </c>
      <c r="C1381">
        <v>4</v>
      </c>
      <c r="D1381" t="s">
        <v>287</v>
      </c>
      <c r="E1381" t="s">
        <v>244</v>
      </c>
      <c r="F1381" t="s">
        <v>190</v>
      </c>
      <c r="G1381">
        <v>268000</v>
      </c>
      <c r="H1381">
        <v>191100</v>
      </c>
      <c r="I1381">
        <v>98500</v>
      </c>
      <c r="J1381">
        <v>0</v>
      </c>
      <c r="K1381">
        <v>97000</v>
      </c>
      <c r="L1381">
        <v>33700</v>
      </c>
      <c r="M1381">
        <v>0</v>
      </c>
      <c r="N1381">
        <v>307900</v>
      </c>
      <c r="O1381">
        <v>11250</v>
      </c>
      <c r="P1381">
        <v>0</v>
      </c>
      <c r="Q1381">
        <v>8350</v>
      </c>
      <c r="R1381">
        <v>0</v>
      </c>
      <c r="S1381">
        <v>4050</v>
      </c>
      <c r="T1381">
        <v>4000</v>
      </c>
      <c r="U1381">
        <v>0</v>
      </c>
      <c r="V1381">
        <v>0</v>
      </c>
      <c r="W1381">
        <v>5000</v>
      </c>
      <c r="X1381">
        <v>1042</v>
      </c>
      <c r="Y1381">
        <v>0</v>
      </c>
      <c r="Z1381" cm="1">
        <f t="array" ref="Z1381">MMULT($G1381:$Y1381,'Nelson Factor_2019'!$B$1:$B$19)/$G1381</f>
        <v>13.388097014925373</v>
      </c>
      <c r="AA1381" cm="1">
        <f t="array" ref="AA1381">MMULT($G1381:$R1381,'Nelson Factor_2019'!$B$1:$B$12)/$G1381</f>
        <v>11.398992537313433</v>
      </c>
    </row>
    <row r="1382" spans="1:27" x14ac:dyDescent="0.25">
      <c r="A1382">
        <v>2015</v>
      </c>
      <c r="B1382">
        <v>3</v>
      </c>
      <c r="C1382">
        <v>6</v>
      </c>
      <c r="D1382" t="s">
        <v>287</v>
      </c>
      <c r="E1382" t="s">
        <v>246</v>
      </c>
      <c r="F1382" t="s">
        <v>299</v>
      </c>
      <c r="G1382">
        <v>451000</v>
      </c>
      <c r="H1382">
        <v>225200</v>
      </c>
      <c r="I1382">
        <v>29800</v>
      </c>
      <c r="J1382">
        <v>0</v>
      </c>
      <c r="K1382">
        <v>165300</v>
      </c>
      <c r="L1382">
        <v>124300</v>
      </c>
      <c r="M1382">
        <v>136900</v>
      </c>
      <c r="N1382">
        <v>381200</v>
      </c>
      <c r="O1382">
        <v>38000</v>
      </c>
      <c r="P1382">
        <v>0</v>
      </c>
      <c r="Q1382">
        <v>33800</v>
      </c>
      <c r="R1382">
        <v>0</v>
      </c>
      <c r="S1382">
        <v>0</v>
      </c>
      <c r="T1382">
        <v>0</v>
      </c>
      <c r="U1382">
        <v>22.8</v>
      </c>
      <c r="V1382">
        <v>7.1</v>
      </c>
      <c r="W1382">
        <v>2052</v>
      </c>
      <c r="X1382">
        <v>1338</v>
      </c>
      <c r="Y1382">
        <v>0</v>
      </c>
      <c r="Z1382" cm="1">
        <f t="array" ref="Z1382">MMULT($G1382:$Y1382,'Nelson Factor_2019'!$B$1:$B$19)/$G1382</f>
        <v>13.316873392461195</v>
      </c>
      <c r="AA1382" cm="1">
        <f t="array" ref="AA1382">MMULT($G1382:$R1382,'Nelson Factor_2019'!$B$1:$B$12)/$G1382</f>
        <v>12.60478935698448</v>
      </c>
    </row>
    <row r="1383" spans="1:27" x14ac:dyDescent="0.25">
      <c r="A1383">
        <v>2015</v>
      </c>
      <c r="B1383">
        <v>3</v>
      </c>
      <c r="C1383">
        <v>1</v>
      </c>
      <c r="D1383" t="s">
        <v>287</v>
      </c>
      <c r="E1383" t="s">
        <v>246</v>
      </c>
      <c r="F1383" t="s">
        <v>178</v>
      </c>
      <c r="G1383">
        <v>84000</v>
      </c>
      <c r="H1383">
        <v>0</v>
      </c>
      <c r="I1383">
        <v>0</v>
      </c>
      <c r="J1383">
        <v>0</v>
      </c>
      <c r="K1383">
        <v>55600</v>
      </c>
      <c r="L1383">
        <v>10500</v>
      </c>
      <c r="M1383">
        <v>0</v>
      </c>
      <c r="N1383">
        <v>0</v>
      </c>
      <c r="O1383">
        <v>13800</v>
      </c>
      <c r="P1383">
        <v>0</v>
      </c>
      <c r="Q1383">
        <v>2800</v>
      </c>
      <c r="R1383">
        <v>0</v>
      </c>
      <c r="S1383">
        <v>0</v>
      </c>
      <c r="T1383">
        <v>0</v>
      </c>
      <c r="U1383">
        <v>0</v>
      </c>
      <c r="V1383">
        <v>0</v>
      </c>
      <c r="W1383">
        <v>0</v>
      </c>
      <c r="X1383">
        <v>35</v>
      </c>
      <c r="Y1383">
        <v>0</v>
      </c>
      <c r="Z1383" cm="1">
        <f t="array" ref="Z1383">MMULT($G1383:$Y1383,'Nelson Factor_2019'!$B$1:$B$19)/$G1383</f>
        <v>8.0059523809523814</v>
      </c>
      <c r="AA1383" cm="1">
        <f t="array" ref="AA1383">MMULT($G1383:$R1383,'Nelson Factor_2019'!$B$1:$B$12)/$G1383</f>
        <v>7.9059523809523808</v>
      </c>
    </row>
    <row r="1384" spans="1:27" x14ac:dyDescent="0.25">
      <c r="A1384">
        <v>2015</v>
      </c>
      <c r="B1384">
        <v>3</v>
      </c>
      <c r="C1384">
        <v>6</v>
      </c>
      <c r="D1384" t="s">
        <v>287</v>
      </c>
      <c r="E1384" t="s">
        <v>112</v>
      </c>
      <c r="F1384" t="s">
        <v>191</v>
      </c>
      <c r="G1384">
        <v>600000</v>
      </c>
      <c r="H1384">
        <v>138000</v>
      </c>
      <c r="I1384">
        <v>138000</v>
      </c>
      <c r="J1384">
        <v>0</v>
      </c>
      <c r="K1384">
        <v>81000</v>
      </c>
      <c r="L1384">
        <v>45000</v>
      </c>
      <c r="M1384">
        <v>20000</v>
      </c>
      <c r="N1384">
        <v>263700</v>
      </c>
      <c r="O1384">
        <v>19000</v>
      </c>
      <c r="P1384">
        <v>0</v>
      </c>
      <c r="Q1384">
        <v>0</v>
      </c>
      <c r="R1384">
        <v>0</v>
      </c>
      <c r="S1384">
        <v>39000</v>
      </c>
      <c r="T1384">
        <v>0</v>
      </c>
      <c r="U1384">
        <v>0</v>
      </c>
      <c r="V1384">
        <v>0</v>
      </c>
      <c r="W1384">
        <v>2450</v>
      </c>
      <c r="X1384">
        <v>660</v>
      </c>
      <c r="Y1384">
        <v>0</v>
      </c>
      <c r="Z1384" cm="1">
        <f t="array" ref="Z1384">MMULT($G1384:$Y1384,'Nelson Factor_2019'!$B$1:$B$19)/$G1384</f>
        <v>10.055083333333334</v>
      </c>
      <c r="AA1384" cm="1">
        <f t="array" ref="AA1384">MMULT($G1384:$R1384,'Nelson Factor_2019'!$B$1:$B$12)/$G1384</f>
        <v>5.8910833333333334</v>
      </c>
    </row>
    <row r="1385" spans="1:27" x14ac:dyDescent="0.25">
      <c r="A1385">
        <v>2015</v>
      </c>
      <c r="B1385">
        <v>3</v>
      </c>
      <c r="C1385">
        <v>4</v>
      </c>
      <c r="D1385" t="s">
        <v>287</v>
      </c>
      <c r="E1385" t="s">
        <v>288</v>
      </c>
      <c r="F1385" t="s">
        <v>184</v>
      </c>
      <c r="G1385">
        <v>117000</v>
      </c>
      <c r="H1385">
        <v>41000</v>
      </c>
      <c r="I1385">
        <v>12000</v>
      </c>
      <c r="J1385">
        <v>0</v>
      </c>
      <c r="K1385">
        <v>50000</v>
      </c>
      <c r="L1385">
        <v>20000</v>
      </c>
      <c r="M1385">
        <v>0</v>
      </c>
      <c r="N1385">
        <v>44000</v>
      </c>
      <c r="O1385">
        <v>11000</v>
      </c>
      <c r="P1385">
        <v>0</v>
      </c>
      <c r="Q1385">
        <v>0</v>
      </c>
      <c r="R1385">
        <v>0</v>
      </c>
      <c r="S1385">
        <v>0</v>
      </c>
      <c r="T1385">
        <v>0</v>
      </c>
      <c r="U1385">
        <v>0</v>
      </c>
      <c r="V1385">
        <v>0</v>
      </c>
      <c r="W1385">
        <v>500</v>
      </c>
      <c r="X1385">
        <v>24</v>
      </c>
      <c r="Y1385">
        <v>0</v>
      </c>
      <c r="Z1385" cm="1">
        <f t="array" ref="Z1385">MMULT($G1385:$Y1385,'Nelson Factor_2019'!$B$1:$B$19)/$G1385</f>
        <v>7.5731623931623933</v>
      </c>
      <c r="AA1385" cm="1">
        <f t="array" ref="AA1385">MMULT($G1385:$R1385,'Nelson Factor_2019'!$B$1:$B$12)/$G1385</f>
        <v>7.5239316239316238</v>
      </c>
    </row>
    <row r="1386" spans="1:27" x14ac:dyDescent="0.25">
      <c r="A1386">
        <v>2015</v>
      </c>
      <c r="B1386">
        <v>3</v>
      </c>
      <c r="C1386">
        <v>6</v>
      </c>
      <c r="D1386" t="s">
        <v>287</v>
      </c>
      <c r="E1386" t="s">
        <v>192</v>
      </c>
      <c r="F1386" t="s">
        <v>193</v>
      </c>
      <c r="G1386">
        <v>340000</v>
      </c>
      <c r="H1386">
        <v>173100</v>
      </c>
      <c r="I1386">
        <v>85000</v>
      </c>
      <c r="J1386">
        <v>0</v>
      </c>
      <c r="K1386">
        <v>67000</v>
      </c>
      <c r="L1386">
        <v>67100</v>
      </c>
      <c r="M1386">
        <v>67000</v>
      </c>
      <c r="N1386">
        <v>238400</v>
      </c>
      <c r="O1386">
        <v>17600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56.6</v>
      </c>
      <c r="V1386">
        <v>35.299999999999997</v>
      </c>
      <c r="W1386">
        <v>6417</v>
      </c>
      <c r="X1386">
        <v>1011</v>
      </c>
      <c r="Y1386">
        <v>0</v>
      </c>
      <c r="Z1386" cm="1">
        <f t="array" ref="Z1386">MMULT($G1386:$Y1386,'Nelson Factor_2019'!$B$1:$B$19)/$G1386</f>
        <v>10.266946764705882</v>
      </c>
      <c r="AA1386" cm="1">
        <f t="array" ref="AA1386">MMULT($G1386:$R1386,'Nelson Factor_2019'!$B$1:$B$12)/$G1386</f>
        <v>9.5530294117647063</v>
      </c>
    </row>
    <row r="1387" spans="1:27" x14ac:dyDescent="0.25">
      <c r="A1387">
        <v>2015</v>
      </c>
      <c r="B1387">
        <v>3</v>
      </c>
      <c r="C1387">
        <v>4</v>
      </c>
      <c r="D1387" t="s">
        <v>287</v>
      </c>
      <c r="E1387" t="s">
        <v>194</v>
      </c>
      <c r="F1387" t="s">
        <v>191</v>
      </c>
      <c r="G1387">
        <v>169000</v>
      </c>
      <c r="H1387">
        <v>106247</v>
      </c>
      <c r="I1387">
        <v>47945</v>
      </c>
      <c r="J1387">
        <v>0</v>
      </c>
      <c r="K1387">
        <v>75000</v>
      </c>
      <c r="L1387">
        <v>38000</v>
      </c>
      <c r="M1387">
        <v>0</v>
      </c>
      <c r="N1387">
        <v>380310</v>
      </c>
      <c r="O1387">
        <v>6000</v>
      </c>
      <c r="P1387">
        <v>0</v>
      </c>
      <c r="Q1387">
        <v>57314</v>
      </c>
      <c r="R1387">
        <v>8000</v>
      </c>
      <c r="S1387">
        <v>0</v>
      </c>
      <c r="T1387">
        <v>0</v>
      </c>
      <c r="U1387">
        <v>0</v>
      </c>
      <c r="V1387">
        <v>0</v>
      </c>
      <c r="W1387">
        <v>0</v>
      </c>
      <c r="X1387">
        <v>683</v>
      </c>
      <c r="Y1387">
        <v>1667</v>
      </c>
      <c r="Z1387" cm="1">
        <f t="array" ref="Z1387">MMULT($G1387:$Y1387,'Nelson Factor_2019'!$B$1:$B$19)/$G1387</f>
        <v>21.622391124260357</v>
      </c>
      <c r="AA1387" cm="1">
        <f t="array" ref="AA1387">MMULT($G1387:$R1387,'Nelson Factor_2019'!$B$1:$B$12)/$G1387</f>
        <v>20.637654437869823</v>
      </c>
    </row>
    <row r="1388" spans="1:27" x14ac:dyDescent="0.25">
      <c r="A1388">
        <v>2015</v>
      </c>
      <c r="B1388">
        <v>3</v>
      </c>
      <c r="C1388">
        <v>6</v>
      </c>
      <c r="D1388" t="s">
        <v>287</v>
      </c>
      <c r="E1388" t="s">
        <v>66</v>
      </c>
      <c r="F1388" t="s">
        <v>179</v>
      </c>
      <c r="G1388">
        <v>205000</v>
      </c>
      <c r="H1388">
        <v>95000</v>
      </c>
      <c r="I1388">
        <v>17500</v>
      </c>
      <c r="J1388">
        <v>0</v>
      </c>
      <c r="K1388">
        <v>92000</v>
      </c>
      <c r="L1388">
        <v>47000</v>
      </c>
      <c r="M1388">
        <v>49000</v>
      </c>
      <c r="N1388">
        <v>296000</v>
      </c>
      <c r="O1388">
        <v>21000</v>
      </c>
      <c r="P1388">
        <v>11200</v>
      </c>
      <c r="Q1388">
        <v>0</v>
      </c>
      <c r="R1388">
        <v>12000</v>
      </c>
      <c r="S1388">
        <v>0</v>
      </c>
      <c r="T1388">
        <v>0</v>
      </c>
      <c r="U1388">
        <v>194</v>
      </c>
      <c r="V1388">
        <v>74</v>
      </c>
      <c r="W1388">
        <v>998</v>
      </c>
      <c r="X1388">
        <v>790</v>
      </c>
      <c r="Y1388">
        <v>38000</v>
      </c>
      <c r="Z1388" cm="1">
        <f t="array" ref="Z1388">MMULT($G1388:$Y1388,'Nelson Factor_2019'!$B$1:$B$19)/$G1388</f>
        <v>14.554234146341463</v>
      </c>
      <c r="AA1388" cm="1">
        <f t="array" ref="AA1388">MMULT($G1388:$R1388,'Nelson Factor_2019'!$B$1:$B$12)/$G1388</f>
        <v>13.35</v>
      </c>
    </row>
    <row r="1389" spans="1:27" x14ac:dyDescent="0.25">
      <c r="A1389">
        <v>2015</v>
      </c>
      <c r="B1389">
        <v>3</v>
      </c>
      <c r="C1389">
        <v>3</v>
      </c>
      <c r="D1389" t="s">
        <v>287</v>
      </c>
      <c r="E1389" t="s">
        <v>66</v>
      </c>
      <c r="F1389" t="s">
        <v>190</v>
      </c>
      <c r="G1389">
        <v>97000</v>
      </c>
      <c r="H1389">
        <v>39000</v>
      </c>
      <c r="I1389">
        <v>0</v>
      </c>
      <c r="J1389">
        <v>0</v>
      </c>
      <c r="K1389">
        <v>70000</v>
      </c>
      <c r="L1389">
        <v>0</v>
      </c>
      <c r="M1389">
        <v>34000</v>
      </c>
      <c r="N1389">
        <v>94500</v>
      </c>
      <c r="O1389">
        <v>12000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300</v>
      </c>
      <c r="Y1389">
        <v>0</v>
      </c>
      <c r="Z1389" cm="1">
        <f t="array" ref="Z1389">MMULT($G1389:$Y1389,'Nelson Factor_2019'!$B$1:$B$19)/$G1389</f>
        <v>13.071649484536083</v>
      </c>
      <c r="AA1389" cm="1">
        <f t="array" ref="AA1389">MMULT($G1389:$R1389,'Nelson Factor_2019'!$B$1:$B$12)/$G1389</f>
        <v>12.329381443298969</v>
      </c>
    </row>
    <row r="1390" spans="1:27" x14ac:dyDescent="0.25">
      <c r="A1390">
        <v>2015</v>
      </c>
      <c r="B1390">
        <v>3</v>
      </c>
      <c r="C1390">
        <v>6</v>
      </c>
      <c r="D1390" t="s">
        <v>287</v>
      </c>
      <c r="E1390" t="s">
        <v>66</v>
      </c>
      <c r="F1390" t="s">
        <v>191</v>
      </c>
      <c r="G1390">
        <v>350000</v>
      </c>
      <c r="H1390">
        <v>145000</v>
      </c>
      <c r="I1390">
        <v>100000</v>
      </c>
      <c r="J1390">
        <v>0</v>
      </c>
      <c r="K1390">
        <v>80000</v>
      </c>
      <c r="L1390">
        <v>53000</v>
      </c>
      <c r="M1390">
        <v>105000</v>
      </c>
      <c r="N1390">
        <v>282000</v>
      </c>
      <c r="O1390">
        <v>20000</v>
      </c>
      <c r="P1390">
        <v>0</v>
      </c>
      <c r="Q1390">
        <v>0</v>
      </c>
      <c r="R1390">
        <v>0</v>
      </c>
      <c r="S1390">
        <v>0</v>
      </c>
      <c r="T1390">
        <v>0</v>
      </c>
      <c r="U1390">
        <v>105</v>
      </c>
      <c r="V1390">
        <v>6</v>
      </c>
      <c r="W1390">
        <v>6200</v>
      </c>
      <c r="X1390">
        <v>1050</v>
      </c>
      <c r="Y1390">
        <v>0</v>
      </c>
      <c r="Z1390" cm="1">
        <f t="array" ref="Z1390">MMULT($G1390:$Y1390,'Nelson Factor_2019'!$B$1:$B$19)/$G1390</f>
        <v>11.516031428571429</v>
      </c>
      <c r="AA1390" cm="1">
        <f t="array" ref="AA1390">MMULT($G1390:$R1390,'Nelson Factor_2019'!$B$1:$B$12)/$G1390</f>
        <v>10.795714285714286</v>
      </c>
    </row>
    <row r="1391" spans="1:27" x14ac:dyDescent="0.25">
      <c r="A1391">
        <v>2015</v>
      </c>
      <c r="B1391">
        <v>3</v>
      </c>
      <c r="C1391">
        <v>3</v>
      </c>
      <c r="D1391" t="s">
        <v>287</v>
      </c>
      <c r="E1391" t="s">
        <v>66</v>
      </c>
      <c r="F1391" t="s">
        <v>195</v>
      </c>
      <c r="G1391">
        <v>170000</v>
      </c>
      <c r="H1391">
        <v>53200</v>
      </c>
      <c r="I1391">
        <v>0</v>
      </c>
      <c r="J1391">
        <v>0</v>
      </c>
      <c r="K1391">
        <v>54465</v>
      </c>
      <c r="L1391">
        <v>47400</v>
      </c>
      <c r="M1391">
        <v>29500</v>
      </c>
      <c r="N1391">
        <v>97612</v>
      </c>
      <c r="O1391">
        <v>9500</v>
      </c>
      <c r="P1391">
        <v>0</v>
      </c>
      <c r="Q1391">
        <v>0</v>
      </c>
      <c r="R1391">
        <v>7000</v>
      </c>
      <c r="S1391">
        <v>0</v>
      </c>
      <c r="T1391">
        <v>4900</v>
      </c>
      <c r="U1391">
        <v>0</v>
      </c>
      <c r="V1391">
        <v>0</v>
      </c>
      <c r="W1391">
        <v>0</v>
      </c>
      <c r="X1391">
        <v>60</v>
      </c>
      <c r="Y1391">
        <v>0</v>
      </c>
      <c r="Z1391" cm="1">
        <f t="array" ref="Z1391">MMULT($G1391:$Y1391,'Nelson Factor_2019'!$B$1:$B$19)/$G1391</f>
        <v>8.6022352941176479</v>
      </c>
      <c r="AA1391" cm="1">
        <f t="array" ref="AA1391">MMULT($G1391:$R1391,'Nelson Factor_2019'!$B$1:$B$12)/$G1391</f>
        <v>8.2292941176470595</v>
      </c>
    </row>
    <row r="1392" spans="1:27" x14ac:dyDescent="0.25">
      <c r="A1392">
        <v>2015</v>
      </c>
      <c r="B1392">
        <v>3</v>
      </c>
      <c r="C1392">
        <v>4</v>
      </c>
      <c r="D1392" t="s">
        <v>287</v>
      </c>
      <c r="E1392" t="s">
        <v>66</v>
      </c>
      <c r="F1392" t="s">
        <v>178</v>
      </c>
      <c r="G1392">
        <v>250000</v>
      </c>
      <c r="H1392">
        <v>130000</v>
      </c>
      <c r="I1392">
        <v>50000</v>
      </c>
      <c r="J1392">
        <v>0</v>
      </c>
      <c r="K1392">
        <v>80000</v>
      </c>
      <c r="L1392">
        <v>14500</v>
      </c>
      <c r="M1392">
        <v>0</v>
      </c>
      <c r="N1392">
        <v>263000</v>
      </c>
      <c r="O1392">
        <v>12000</v>
      </c>
      <c r="P1392">
        <v>0</v>
      </c>
      <c r="Q1392">
        <v>0</v>
      </c>
      <c r="R1392">
        <v>6500</v>
      </c>
      <c r="S1392">
        <v>0</v>
      </c>
      <c r="T1392">
        <v>2500</v>
      </c>
      <c r="U1392">
        <v>60</v>
      </c>
      <c r="V1392">
        <v>0</v>
      </c>
      <c r="W1392">
        <v>3000</v>
      </c>
      <c r="X1392">
        <v>890</v>
      </c>
      <c r="Y1392">
        <v>0</v>
      </c>
      <c r="Z1392" cm="1">
        <f t="array" ref="Z1392">MMULT($G1392:$Y1392,'Nelson Factor_2019'!$B$1:$B$19)/$G1392</f>
        <v>9.5286399999999993</v>
      </c>
      <c r="AA1392" cm="1">
        <f t="array" ref="AA1392">MMULT($G1392:$R1392,'Nelson Factor_2019'!$B$1:$B$12)/$G1392</f>
        <v>8.5739999999999998</v>
      </c>
    </row>
    <row r="1393" spans="1:27" x14ac:dyDescent="0.25">
      <c r="A1393">
        <v>2015</v>
      </c>
      <c r="B1393">
        <v>3</v>
      </c>
      <c r="C1393">
        <v>1</v>
      </c>
      <c r="D1393" t="s">
        <v>287</v>
      </c>
      <c r="E1393" t="s">
        <v>66</v>
      </c>
      <c r="F1393" t="s">
        <v>196</v>
      </c>
      <c r="G1393">
        <v>100000</v>
      </c>
      <c r="H1393">
        <v>35000</v>
      </c>
      <c r="I1393">
        <v>0</v>
      </c>
      <c r="J1393">
        <v>0</v>
      </c>
      <c r="K1393">
        <v>24500</v>
      </c>
      <c r="L1393">
        <v>34000</v>
      </c>
      <c r="M1393">
        <v>0</v>
      </c>
      <c r="N1393">
        <v>78300</v>
      </c>
      <c r="O1393">
        <v>6500</v>
      </c>
      <c r="P1393">
        <v>0</v>
      </c>
      <c r="Q1393">
        <v>18000</v>
      </c>
      <c r="R1393">
        <v>0</v>
      </c>
      <c r="S1393">
        <v>3200</v>
      </c>
      <c r="T1393">
        <v>0</v>
      </c>
      <c r="U1393">
        <v>10</v>
      </c>
      <c r="V1393">
        <v>0</v>
      </c>
      <c r="W1393">
        <v>0</v>
      </c>
      <c r="X1393">
        <v>0</v>
      </c>
      <c r="Y1393">
        <v>0</v>
      </c>
      <c r="Z1393" cm="1">
        <f t="array" ref="Z1393">MMULT($G1393:$Y1393,'Nelson Factor_2019'!$B$1:$B$19)/$G1393</f>
        <v>12.752599999999999</v>
      </c>
      <c r="AA1393" cm="1">
        <f t="array" ref="AA1393">MMULT($G1393:$R1393,'Nelson Factor_2019'!$B$1:$B$12)/$G1393</f>
        <v>10.8325</v>
      </c>
    </row>
    <row r="1394" spans="1:27" x14ac:dyDescent="0.25">
      <c r="A1394">
        <v>2015</v>
      </c>
      <c r="B1394">
        <v>3</v>
      </c>
      <c r="C1394">
        <v>1</v>
      </c>
      <c r="D1394" t="s">
        <v>287</v>
      </c>
      <c r="E1394" t="s">
        <v>197</v>
      </c>
      <c r="F1394" t="s">
        <v>198</v>
      </c>
      <c r="G1394">
        <v>128000</v>
      </c>
      <c r="H1394">
        <v>34700</v>
      </c>
      <c r="I1394">
        <v>0</v>
      </c>
      <c r="J1394">
        <v>0</v>
      </c>
      <c r="K1394">
        <v>28000</v>
      </c>
      <c r="L1394">
        <v>18000</v>
      </c>
      <c r="M1394">
        <v>0</v>
      </c>
      <c r="N1394">
        <v>37800</v>
      </c>
      <c r="O1394">
        <v>10000</v>
      </c>
      <c r="P1394">
        <v>0</v>
      </c>
      <c r="Q1394">
        <v>0</v>
      </c>
      <c r="R1394">
        <v>2500</v>
      </c>
      <c r="S1394">
        <v>0</v>
      </c>
      <c r="T1394">
        <v>0</v>
      </c>
      <c r="U1394">
        <v>0</v>
      </c>
      <c r="V1394">
        <v>0</v>
      </c>
      <c r="W1394">
        <v>0</v>
      </c>
      <c r="X1394">
        <v>20</v>
      </c>
      <c r="Y1394">
        <v>4800</v>
      </c>
      <c r="Z1394" cm="1">
        <f t="array" ref="Z1394">MMULT($G1394:$Y1394,'Nelson Factor_2019'!$B$1:$B$19)/$G1394</f>
        <v>5.0399218750000001</v>
      </c>
      <c r="AA1394" cm="1">
        <f t="array" ref="AA1394">MMULT($G1394:$R1394,'Nelson Factor_2019'!$B$1:$B$12)/$G1394</f>
        <v>4.9461718750000001</v>
      </c>
    </row>
    <row r="1395" spans="1:27" x14ac:dyDescent="0.25">
      <c r="A1395">
        <v>2015</v>
      </c>
      <c r="B1395">
        <v>3</v>
      </c>
      <c r="C1395">
        <v>4</v>
      </c>
      <c r="D1395" t="s">
        <v>287</v>
      </c>
      <c r="E1395" t="s">
        <v>240</v>
      </c>
      <c r="F1395" t="s">
        <v>181</v>
      </c>
      <c r="G1395">
        <v>143000</v>
      </c>
      <c r="H1395">
        <v>76000</v>
      </c>
      <c r="I1395">
        <v>27000</v>
      </c>
      <c r="J1395">
        <v>0</v>
      </c>
      <c r="K1395">
        <v>50000</v>
      </c>
      <c r="L1395">
        <v>28000</v>
      </c>
      <c r="M1395">
        <v>0</v>
      </c>
      <c r="N1395">
        <v>171000</v>
      </c>
      <c r="O1395">
        <v>17000</v>
      </c>
      <c r="P1395">
        <v>0</v>
      </c>
      <c r="Q1395">
        <v>0</v>
      </c>
      <c r="R1395">
        <v>43000</v>
      </c>
      <c r="S1395">
        <v>0</v>
      </c>
      <c r="T1395">
        <v>0</v>
      </c>
      <c r="U1395">
        <v>83</v>
      </c>
      <c r="V1395">
        <v>13</v>
      </c>
      <c r="W1395">
        <v>1250</v>
      </c>
      <c r="X1395">
        <v>340</v>
      </c>
      <c r="Y1395">
        <v>0</v>
      </c>
      <c r="Z1395" cm="1">
        <f t="array" ref="Z1395">MMULT($G1395:$Y1395,'Nelson Factor_2019'!$B$1:$B$19)/$G1395</f>
        <v>11.835636363636363</v>
      </c>
      <c r="AA1395" cm="1">
        <f t="array" ref="AA1395">MMULT($G1395:$R1395,'Nelson Factor_2019'!$B$1:$B$12)/$G1395</f>
        <v>11.264335664335665</v>
      </c>
    </row>
    <row r="1396" spans="1:27" x14ac:dyDescent="0.25">
      <c r="A1396">
        <v>2015</v>
      </c>
      <c r="B1396">
        <v>4</v>
      </c>
      <c r="C1396">
        <v>1</v>
      </c>
      <c r="D1396" t="s">
        <v>289</v>
      </c>
      <c r="E1396" t="s">
        <v>290</v>
      </c>
      <c r="F1396" t="s">
        <v>201</v>
      </c>
      <c r="G1396">
        <v>35000</v>
      </c>
      <c r="H1396">
        <v>5000</v>
      </c>
      <c r="I1396">
        <v>0</v>
      </c>
      <c r="J1396">
        <v>0</v>
      </c>
      <c r="K1396">
        <v>11500</v>
      </c>
      <c r="L1396">
        <v>7300</v>
      </c>
      <c r="M1396">
        <v>0</v>
      </c>
      <c r="N1396">
        <v>18500</v>
      </c>
      <c r="O1396">
        <v>2500</v>
      </c>
      <c r="P1396">
        <v>0</v>
      </c>
      <c r="Q1396">
        <v>0</v>
      </c>
      <c r="R1396">
        <v>4200</v>
      </c>
      <c r="S1396">
        <v>0</v>
      </c>
      <c r="T1396">
        <v>0</v>
      </c>
      <c r="U1396">
        <v>0</v>
      </c>
      <c r="V1396">
        <v>0</v>
      </c>
      <c r="W1396">
        <v>0</v>
      </c>
      <c r="X1396">
        <v>4</v>
      </c>
      <c r="Y1396">
        <v>0</v>
      </c>
      <c r="Z1396" cm="1">
        <f t="array" ref="Z1396">MMULT($G1396:$Y1396,'Nelson Factor_2019'!$B$1:$B$19)/$G1396</f>
        <v>6.6231428571428568</v>
      </c>
      <c r="AA1396" cm="1">
        <f t="array" ref="AA1396">MMULT($G1396:$R1396,'Nelson Factor_2019'!$B$1:$B$12)/$G1396</f>
        <v>6.5957142857142861</v>
      </c>
    </row>
    <row r="1397" spans="1:27" x14ac:dyDescent="0.25">
      <c r="A1397">
        <v>2015</v>
      </c>
      <c r="B1397">
        <v>4</v>
      </c>
      <c r="C1397">
        <v>4</v>
      </c>
      <c r="D1397" t="s">
        <v>289</v>
      </c>
      <c r="E1397" t="s">
        <v>227</v>
      </c>
      <c r="F1397" t="s">
        <v>201</v>
      </c>
      <c r="G1397">
        <v>50000</v>
      </c>
      <c r="H1397">
        <v>25600</v>
      </c>
      <c r="I1397">
        <v>8100</v>
      </c>
      <c r="J1397">
        <v>0</v>
      </c>
      <c r="K1397">
        <v>17800</v>
      </c>
      <c r="L1397">
        <v>9400</v>
      </c>
      <c r="M1397">
        <v>0</v>
      </c>
      <c r="N1397">
        <v>39000</v>
      </c>
      <c r="O1397">
        <v>4500</v>
      </c>
      <c r="P1397">
        <v>0</v>
      </c>
      <c r="Q1397">
        <v>0</v>
      </c>
      <c r="R1397">
        <v>1000</v>
      </c>
      <c r="S1397">
        <v>0</v>
      </c>
      <c r="T1397">
        <v>0</v>
      </c>
      <c r="U1397">
        <v>0</v>
      </c>
      <c r="V1397">
        <v>0</v>
      </c>
      <c r="W1397">
        <v>281</v>
      </c>
      <c r="X1397">
        <v>56</v>
      </c>
      <c r="Y1397">
        <v>0</v>
      </c>
      <c r="Z1397" cm="1">
        <f t="array" ref="Z1397">MMULT($G1397:$Y1397,'Nelson Factor_2019'!$B$1:$B$19)/$G1397</f>
        <v>9.1354000000000006</v>
      </c>
      <c r="AA1397" cm="1">
        <f t="array" ref="AA1397">MMULT($G1397:$R1397,'Nelson Factor_2019'!$B$1:$B$12)/$G1397</f>
        <v>8.8666</v>
      </c>
    </row>
    <row r="1398" spans="1:27" x14ac:dyDescent="0.25">
      <c r="A1398">
        <v>2015</v>
      </c>
      <c r="B1398">
        <v>4</v>
      </c>
      <c r="C1398">
        <v>1</v>
      </c>
      <c r="D1398" t="s">
        <v>289</v>
      </c>
      <c r="E1398" t="s">
        <v>251</v>
      </c>
      <c r="F1398" t="s">
        <v>203</v>
      </c>
      <c r="G1398">
        <v>31000</v>
      </c>
      <c r="H1398">
        <v>0</v>
      </c>
      <c r="I1398">
        <v>0</v>
      </c>
      <c r="J1398">
        <v>0</v>
      </c>
      <c r="K1398">
        <v>8900</v>
      </c>
      <c r="L1398">
        <v>8000</v>
      </c>
      <c r="M1398">
        <v>0</v>
      </c>
      <c r="N1398">
        <v>25000</v>
      </c>
      <c r="O1398">
        <v>2900</v>
      </c>
      <c r="P1398">
        <v>0</v>
      </c>
      <c r="Q1398">
        <v>0</v>
      </c>
      <c r="R1398">
        <v>3000</v>
      </c>
      <c r="S1398">
        <v>0</v>
      </c>
      <c r="T1398">
        <v>0</v>
      </c>
      <c r="U1398">
        <v>0</v>
      </c>
      <c r="V1398">
        <v>0</v>
      </c>
      <c r="W1398">
        <v>0</v>
      </c>
      <c r="X1398">
        <v>10</v>
      </c>
      <c r="Y1398">
        <v>0</v>
      </c>
      <c r="Z1398" cm="1">
        <f t="array" ref="Z1398">MMULT($G1398:$Y1398,'Nelson Factor_2019'!$B$1:$B$19)/$G1398</f>
        <v>7.3322580645161288</v>
      </c>
      <c r="AA1398" cm="1">
        <f t="array" ref="AA1398">MMULT($G1398:$R1398,'Nelson Factor_2019'!$B$1:$B$12)/$G1398</f>
        <v>7.2548387096774194</v>
      </c>
    </row>
    <row r="1399" spans="1:27" x14ac:dyDescent="0.25">
      <c r="A1399">
        <v>2015</v>
      </c>
      <c r="B1399">
        <v>4</v>
      </c>
      <c r="C1399">
        <v>0</v>
      </c>
      <c r="D1399" t="s">
        <v>289</v>
      </c>
      <c r="E1399" t="s">
        <v>204</v>
      </c>
      <c r="F1399" t="s">
        <v>203</v>
      </c>
      <c r="G1399">
        <v>6250</v>
      </c>
      <c r="H1399">
        <v>6000</v>
      </c>
      <c r="I1399">
        <v>0</v>
      </c>
      <c r="J1399">
        <v>0</v>
      </c>
      <c r="K1399">
        <v>0</v>
      </c>
      <c r="L1399">
        <v>2200</v>
      </c>
      <c r="M1399">
        <v>0</v>
      </c>
      <c r="N1399">
        <v>6200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  <c r="V1399">
        <v>0</v>
      </c>
      <c r="W1399">
        <v>0</v>
      </c>
      <c r="X1399">
        <v>0</v>
      </c>
      <c r="Y1399">
        <v>1200</v>
      </c>
      <c r="Z1399" cm="1">
        <f t="array" ref="Z1399">MMULT($G1399:$Y1399,'Nelson Factor_2019'!$B$1:$B$19)/$G1399</f>
        <v>6.7759999999999998</v>
      </c>
      <c r="AA1399" cm="1">
        <f t="array" ref="AA1399">MMULT($G1399:$R1399,'Nelson Factor_2019'!$B$1:$B$12)/$G1399</f>
        <v>6.4880000000000004</v>
      </c>
    </row>
    <row r="1400" spans="1:27" x14ac:dyDescent="0.25">
      <c r="A1400">
        <v>2015</v>
      </c>
      <c r="B1400">
        <v>4</v>
      </c>
      <c r="C1400">
        <v>1</v>
      </c>
      <c r="D1400" t="s">
        <v>289</v>
      </c>
      <c r="E1400" t="s">
        <v>148</v>
      </c>
      <c r="F1400" t="s">
        <v>201</v>
      </c>
      <c r="G1400">
        <v>58000</v>
      </c>
      <c r="H1400">
        <v>0</v>
      </c>
      <c r="I1400">
        <v>0</v>
      </c>
      <c r="J1400">
        <v>0</v>
      </c>
      <c r="K1400">
        <v>23000</v>
      </c>
      <c r="L1400">
        <v>12000</v>
      </c>
      <c r="M1400">
        <v>0</v>
      </c>
      <c r="N1400">
        <v>23000</v>
      </c>
      <c r="O1400">
        <v>6000</v>
      </c>
      <c r="P1400">
        <v>0</v>
      </c>
      <c r="Q1400">
        <v>0</v>
      </c>
      <c r="R1400">
        <v>0</v>
      </c>
      <c r="S1400">
        <v>0</v>
      </c>
      <c r="T1400">
        <v>0</v>
      </c>
      <c r="U1400">
        <v>0</v>
      </c>
      <c r="V1400">
        <v>0</v>
      </c>
      <c r="W1400">
        <v>0</v>
      </c>
      <c r="X1400">
        <v>15</v>
      </c>
      <c r="Y1400">
        <v>0</v>
      </c>
      <c r="Z1400" cm="1">
        <f t="array" ref="Z1400">MMULT($G1400:$Y1400,'Nelson Factor_2019'!$B$1:$B$19)/$G1400</f>
        <v>6.5017241379310349</v>
      </c>
      <c r="AA1400" cm="1">
        <f t="array" ref="AA1400">MMULT($G1400:$R1400,'Nelson Factor_2019'!$B$1:$B$12)/$G1400</f>
        <v>6.4396551724137927</v>
      </c>
    </row>
    <row r="1401" spans="1:27" x14ac:dyDescent="0.25">
      <c r="A1401">
        <v>2015</v>
      </c>
      <c r="B1401">
        <v>5</v>
      </c>
      <c r="C1401">
        <v>5</v>
      </c>
      <c r="D1401" t="s">
        <v>291</v>
      </c>
      <c r="E1401" t="s">
        <v>32</v>
      </c>
      <c r="F1401" t="s">
        <v>209</v>
      </c>
      <c r="G1401">
        <v>222300</v>
      </c>
      <c r="H1401">
        <v>106400</v>
      </c>
      <c r="I1401">
        <v>51750</v>
      </c>
      <c r="J1401">
        <v>0</v>
      </c>
      <c r="K1401">
        <v>0</v>
      </c>
      <c r="L1401">
        <v>58500</v>
      </c>
      <c r="M1401">
        <v>58500</v>
      </c>
      <c r="N1401">
        <v>154260</v>
      </c>
      <c r="O1401">
        <v>0</v>
      </c>
      <c r="P1401">
        <v>0</v>
      </c>
      <c r="Q1401">
        <v>0</v>
      </c>
      <c r="R1401">
        <v>21600</v>
      </c>
      <c r="S1401">
        <v>0</v>
      </c>
      <c r="T1401">
        <v>0</v>
      </c>
      <c r="U1401">
        <v>92.5</v>
      </c>
      <c r="V1401">
        <v>86</v>
      </c>
      <c r="W1401">
        <v>3250</v>
      </c>
      <c r="X1401">
        <v>245</v>
      </c>
      <c r="Y1401">
        <v>0</v>
      </c>
      <c r="Z1401" cm="1">
        <f t="array" ref="Z1401">MMULT($G1401:$Y1401,'Nelson Factor_2019'!$B$1:$B$19)/$G1401</f>
        <v>9.0808524516419258</v>
      </c>
      <c r="AA1401" cm="1">
        <f t="array" ref="AA1401">MMULT($G1401:$R1401,'Nelson Factor_2019'!$B$1:$B$12)/$G1401</f>
        <v>8.8155420602789025</v>
      </c>
    </row>
    <row r="1402" spans="1:27" x14ac:dyDescent="0.25">
      <c r="A1402">
        <v>2015</v>
      </c>
      <c r="B1402">
        <v>5</v>
      </c>
      <c r="C1402">
        <v>1</v>
      </c>
      <c r="D1402" t="s">
        <v>291</v>
      </c>
      <c r="E1402" t="s">
        <v>258</v>
      </c>
      <c r="F1402" t="s">
        <v>209</v>
      </c>
      <c r="G1402">
        <v>101000</v>
      </c>
      <c r="H1402">
        <v>48200</v>
      </c>
      <c r="I1402">
        <v>0</v>
      </c>
      <c r="J1402">
        <v>0</v>
      </c>
      <c r="K1402">
        <v>32500</v>
      </c>
      <c r="L1402">
        <v>16600</v>
      </c>
      <c r="M1402">
        <v>0</v>
      </c>
      <c r="N1402">
        <v>66100</v>
      </c>
      <c r="O1402">
        <v>9200</v>
      </c>
      <c r="P1402">
        <v>0</v>
      </c>
      <c r="Q1402">
        <v>0</v>
      </c>
      <c r="R1402">
        <v>4100</v>
      </c>
      <c r="S1402">
        <v>0</v>
      </c>
      <c r="T1402">
        <v>0</v>
      </c>
      <c r="U1402">
        <v>0</v>
      </c>
      <c r="V1402">
        <v>0</v>
      </c>
      <c r="W1402">
        <v>0</v>
      </c>
      <c r="X1402">
        <v>110</v>
      </c>
      <c r="Y1402">
        <v>0</v>
      </c>
      <c r="Z1402" cm="1">
        <f t="array" ref="Z1402">MMULT($G1402:$Y1402,'Nelson Factor_2019'!$B$1:$B$19)/$G1402</f>
        <v>7.3030693069306931</v>
      </c>
      <c r="AA1402" cm="1">
        <f t="array" ref="AA1402">MMULT($G1402:$R1402,'Nelson Factor_2019'!$B$1:$B$12)/$G1402</f>
        <v>7.0416831683168315</v>
      </c>
    </row>
    <row r="1403" spans="1:27" x14ac:dyDescent="0.25">
      <c r="A1403">
        <v>2015</v>
      </c>
      <c r="B1403">
        <v>5</v>
      </c>
      <c r="C1403">
        <v>4</v>
      </c>
      <c r="D1403" t="s">
        <v>291</v>
      </c>
      <c r="E1403" t="s">
        <v>61</v>
      </c>
      <c r="F1403" t="s">
        <v>210</v>
      </c>
      <c r="G1403">
        <v>145000</v>
      </c>
      <c r="H1403">
        <v>65500</v>
      </c>
      <c r="I1403">
        <v>23000</v>
      </c>
      <c r="J1403">
        <v>0</v>
      </c>
      <c r="K1403">
        <v>52000</v>
      </c>
      <c r="L1403">
        <v>33000</v>
      </c>
      <c r="M1403">
        <v>0</v>
      </c>
      <c r="N1403">
        <v>130600</v>
      </c>
      <c r="O1403">
        <v>12050</v>
      </c>
      <c r="P1403">
        <v>4300</v>
      </c>
      <c r="Q1403">
        <v>0</v>
      </c>
      <c r="R1403">
        <v>7000</v>
      </c>
      <c r="S1403">
        <v>0</v>
      </c>
      <c r="T1403">
        <v>0</v>
      </c>
      <c r="U1403">
        <v>7</v>
      </c>
      <c r="V1403">
        <v>0</v>
      </c>
      <c r="W1403">
        <v>1400</v>
      </c>
      <c r="X1403">
        <v>350</v>
      </c>
      <c r="Y1403">
        <v>0</v>
      </c>
      <c r="Z1403" cm="1">
        <f t="array" ref="Z1403">MMULT($G1403:$Y1403,'Nelson Factor_2019'!$B$1:$B$19)/$G1403</f>
        <v>10.170048275862069</v>
      </c>
      <c r="AA1403" cm="1">
        <f t="array" ref="AA1403">MMULT($G1403:$R1403,'Nelson Factor_2019'!$B$1:$B$12)/$G1403</f>
        <v>9.5906896551724135</v>
      </c>
    </row>
    <row r="1404" spans="1:27" x14ac:dyDescent="0.25">
      <c r="A1404">
        <v>2015</v>
      </c>
      <c r="B1404">
        <v>5</v>
      </c>
      <c r="C1404">
        <v>1</v>
      </c>
      <c r="D1404" t="s">
        <v>291</v>
      </c>
      <c r="E1404" t="s">
        <v>148</v>
      </c>
      <c r="F1404" t="s">
        <v>210</v>
      </c>
      <c r="G1404">
        <v>120000</v>
      </c>
      <c r="H1404">
        <v>47200</v>
      </c>
      <c r="I1404">
        <v>0</v>
      </c>
      <c r="J1404">
        <v>0</v>
      </c>
      <c r="K1404">
        <v>44800</v>
      </c>
      <c r="L1404">
        <v>26500</v>
      </c>
      <c r="M1404">
        <v>0</v>
      </c>
      <c r="N1404">
        <v>61600</v>
      </c>
      <c r="O1404">
        <v>11000</v>
      </c>
      <c r="P1404">
        <v>0</v>
      </c>
      <c r="Q1404">
        <v>0</v>
      </c>
      <c r="R1404">
        <v>3400</v>
      </c>
      <c r="S1404">
        <v>0</v>
      </c>
      <c r="T1404">
        <v>0</v>
      </c>
      <c r="U1404">
        <v>0</v>
      </c>
      <c r="V1404">
        <v>0</v>
      </c>
      <c r="W1404">
        <v>0</v>
      </c>
      <c r="X1404">
        <v>48</v>
      </c>
      <c r="Y1404">
        <v>1000</v>
      </c>
      <c r="Z1404" cm="1">
        <f t="array" ref="Z1404">MMULT($G1404:$Y1404,'Nelson Factor_2019'!$B$1:$B$19)/$G1404</f>
        <v>7.2489999999999997</v>
      </c>
      <c r="AA1404" cm="1">
        <f t="array" ref="AA1404">MMULT($G1404:$R1404,'Nelson Factor_2019'!$B$1:$B$12)/$G1404</f>
        <v>7.1405000000000003</v>
      </c>
    </row>
    <row r="1405" spans="1:27" x14ac:dyDescent="0.25">
      <c r="A1405">
        <v>2015</v>
      </c>
      <c r="B1405">
        <v>5</v>
      </c>
      <c r="C1405">
        <v>0</v>
      </c>
      <c r="D1405" t="s">
        <v>291</v>
      </c>
      <c r="E1405" t="s">
        <v>306</v>
      </c>
      <c r="F1405" t="s">
        <v>212</v>
      </c>
      <c r="G1405">
        <v>42000</v>
      </c>
      <c r="H1405">
        <v>17700</v>
      </c>
      <c r="I1405">
        <v>0</v>
      </c>
      <c r="J1405">
        <v>0</v>
      </c>
      <c r="K1405">
        <v>0</v>
      </c>
      <c r="L1405">
        <v>5650</v>
      </c>
      <c r="M1405">
        <v>0</v>
      </c>
      <c r="N1405">
        <v>14800</v>
      </c>
      <c r="O1405">
        <v>0</v>
      </c>
      <c r="P1405">
        <v>0</v>
      </c>
      <c r="Q1405">
        <v>0</v>
      </c>
      <c r="R1405">
        <v>3000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10000</v>
      </c>
      <c r="Z1405" cm="1">
        <f t="array" ref="Z1405">MMULT($G1405:$Y1405,'Nelson Factor_2019'!$B$1:$B$19)/$G1405</f>
        <v>3.672857142857143</v>
      </c>
      <c r="AA1405" cm="1">
        <f t="array" ref="AA1405">MMULT($G1405:$R1405,'Nelson Factor_2019'!$B$1:$B$12)/$G1405</f>
        <v>3.3157142857142858</v>
      </c>
    </row>
    <row r="1406" spans="1:27" x14ac:dyDescent="0.25">
      <c r="A1406">
        <v>2015</v>
      </c>
      <c r="B1406">
        <v>1</v>
      </c>
      <c r="C1406">
        <v>0</v>
      </c>
      <c r="D1406" t="s">
        <v>292</v>
      </c>
      <c r="E1406" t="s">
        <v>307</v>
      </c>
      <c r="F1406" t="s">
        <v>215</v>
      </c>
      <c r="G1406">
        <v>23000</v>
      </c>
      <c r="H1406">
        <v>9700</v>
      </c>
      <c r="I1406">
        <v>0</v>
      </c>
      <c r="J1406">
        <v>0</v>
      </c>
      <c r="K1406">
        <v>0</v>
      </c>
      <c r="L1406">
        <v>4200</v>
      </c>
      <c r="M1406">
        <v>0</v>
      </c>
      <c r="N1406">
        <v>22600</v>
      </c>
      <c r="O1406">
        <v>0</v>
      </c>
      <c r="P1406">
        <v>0</v>
      </c>
      <c r="Q1406">
        <v>0</v>
      </c>
      <c r="R1406">
        <v>1900</v>
      </c>
      <c r="S1406">
        <v>5000</v>
      </c>
      <c r="T1406">
        <v>0</v>
      </c>
      <c r="U1406">
        <v>4.0999999999999996</v>
      </c>
      <c r="V1406">
        <v>0</v>
      </c>
      <c r="W1406">
        <v>0</v>
      </c>
      <c r="X1406">
        <v>1</v>
      </c>
      <c r="Y1406">
        <v>0</v>
      </c>
      <c r="Z1406" cm="1">
        <f t="array" ref="Z1406">MMULT($G1406:$Y1406,'Nelson Factor_2019'!$B$1:$B$19)/$G1406</f>
        <v>18.21974347826087</v>
      </c>
      <c r="AA1406" cm="1">
        <f t="array" ref="AA1406">MMULT($G1406:$R1406,'Nelson Factor_2019'!$B$1:$B$12)/$G1406</f>
        <v>5.1656521739130437</v>
      </c>
    </row>
    <row r="1407" spans="1:27" x14ac:dyDescent="0.25">
      <c r="A1407">
        <v>2015</v>
      </c>
      <c r="B1407">
        <v>2</v>
      </c>
      <c r="C1407">
        <v>1</v>
      </c>
      <c r="D1407" t="s">
        <v>293</v>
      </c>
      <c r="E1407" t="s">
        <v>255</v>
      </c>
      <c r="F1407" t="s">
        <v>217</v>
      </c>
      <c r="G1407">
        <v>45000</v>
      </c>
      <c r="H1407">
        <v>19500</v>
      </c>
      <c r="I1407">
        <v>0</v>
      </c>
      <c r="J1407">
        <v>0</v>
      </c>
      <c r="K1407">
        <v>9900</v>
      </c>
      <c r="L1407">
        <v>7200</v>
      </c>
      <c r="M1407">
        <v>0</v>
      </c>
      <c r="N1407">
        <v>20620</v>
      </c>
      <c r="O1407">
        <v>1350</v>
      </c>
      <c r="P1407">
        <v>0</v>
      </c>
      <c r="Q1407">
        <v>0</v>
      </c>
      <c r="R1407">
        <v>1800</v>
      </c>
      <c r="S1407">
        <v>0</v>
      </c>
      <c r="T1407">
        <v>0</v>
      </c>
      <c r="U1407">
        <v>0</v>
      </c>
      <c r="V1407">
        <v>0</v>
      </c>
      <c r="W1407">
        <v>0</v>
      </c>
      <c r="X1407">
        <v>15</v>
      </c>
      <c r="Y1407">
        <v>6750</v>
      </c>
      <c r="Z1407" cm="1">
        <f t="array" ref="Z1407">MMULT($G1407:$Y1407,'Nelson Factor_2019'!$B$1:$B$19)/$G1407</f>
        <v>5.5538888888888893</v>
      </c>
      <c r="AA1407" cm="1">
        <f t="array" ref="AA1407">MMULT($G1407:$R1407,'Nelson Factor_2019'!$B$1:$B$12)/$G1407</f>
        <v>5.2488888888888887</v>
      </c>
    </row>
    <row r="1408" spans="1:27" x14ac:dyDescent="0.25">
      <c r="A1408">
        <v>2015</v>
      </c>
      <c r="B1408">
        <v>4</v>
      </c>
      <c r="C1408">
        <v>4</v>
      </c>
      <c r="D1408" t="s">
        <v>294</v>
      </c>
      <c r="E1408" t="s">
        <v>251</v>
      </c>
      <c r="F1408" t="s">
        <v>220</v>
      </c>
      <c r="G1408">
        <v>52000</v>
      </c>
      <c r="H1408">
        <v>26000</v>
      </c>
      <c r="I1408">
        <v>14000</v>
      </c>
      <c r="J1408">
        <v>0</v>
      </c>
      <c r="K1408">
        <v>12000</v>
      </c>
      <c r="L1408">
        <v>9000</v>
      </c>
      <c r="M1408">
        <v>0</v>
      </c>
      <c r="N1408">
        <v>39000</v>
      </c>
      <c r="O1408">
        <v>4000</v>
      </c>
      <c r="P1408">
        <v>0</v>
      </c>
      <c r="Q1408">
        <v>0</v>
      </c>
      <c r="R1408">
        <v>1200</v>
      </c>
      <c r="S1408">
        <v>0</v>
      </c>
      <c r="T1408">
        <v>0</v>
      </c>
      <c r="U1408">
        <v>5.5</v>
      </c>
      <c r="V1408">
        <v>0</v>
      </c>
      <c r="W1408">
        <v>800</v>
      </c>
      <c r="X1408">
        <v>105</v>
      </c>
      <c r="Y1408">
        <v>0</v>
      </c>
      <c r="Z1408" cm="1">
        <f t="array" ref="Z1408">MMULT($G1408:$Y1408,'Nelson Factor_2019'!$B$1:$B$19)/$G1408</f>
        <v>9.1174134615384617</v>
      </c>
      <c r="AA1408" cm="1">
        <f t="array" ref="AA1408">MMULT($G1408:$R1408,'Nelson Factor_2019'!$B$1:$B$12)/$G1408</f>
        <v>8.6326923076923077</v>
      </c>
    </row>
    <row r="1409" spans="1:27" x14ac:dyDescent="0.25">
      <c r="A1409">
        <v>2015</v>
      </c>
      <c r="B1409">
        <v>4</v>
      </c>
      <c r="C1409">
        <v>1</v>
      </c>
      <c r="D1409" t="s">
        <v>294</v>
      </c>
      <c r="E1409" t="s">
        <v>221</v>
      </c>
      <c r="F1409" t="s">
        <v>222</v>
      </c>
      <c r="G1409">
        <v>20000</v>
      </c>
      <c r="H1409">
        <v>6000</v>
      </c>
      <c r="I1409">
        <v>0</v>
      </c>
      <c r="J1409">
        <v>0</v>
      </c>
      <c r="K1409">
        <v>10000</v>
      </c>
      <c r="L1409">
        <v>5500</v>
      </c>
      <c r="M1409">
        <v>0</v>
      </c>
      <c r="N1409">
        <v>16000</v>
      </c>
      <c r="O1409">
        <v>0</v>
      </c>
      <c r="P1409">
        <v>1000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0</v>
      </c>
      <c r="W1409">
        <v>0</v>
      </c>
      <c r="X1409">
        <v>19.7</v>
      </c>
      <c r="Y1409">
        <v>0</v>
      </c>
      <c r="Z1409" cm="1">
        <f t="array" ref="Z1409">MMULT($G1409:$Y1409,'Nelson Factor_2019'!$B$1:$B$19)/$G1409</f>
        <v>8.5014000000000003</v>
      </c>
      <c r="AA1409" cm="1">
        <f t="array" ref="AA1409">MMULT($G1409:$R1409,'Nelson Factor_2019'!$B$1:$B$12)/$G1409</f>
        <v>8.2650000000000006</v>
      </c>
    </row>
    <row r="1410" spans="1:27" x14ac:dyDescent="0.25">
      <c r="A1410">
        <v>2015</v>
      </c>
      <c r="B1410">
        <v>4</v>
      </c>
      <c r="C1410">
        <v>1</v>
      </c>
      <c r="D1410" t="s">
        <v>294</v>
      </c>
      <c r="E1410" t="s">
        <v>159</v>
      </c>
      <c r="F1410" t="s">
        <v>223</v>
      </c>
      <c r="G1410">
        <v>80000</v>
      </c>
      <c r="H1410">
        <v>6500</v>
      </c>
      <c r="I1410">
        <v>0</v>
      </c>
      <c r="J1410">
        <v>0</v>
      </c>
      <c r="K1410">
        <v>10000</v>
      </c>
      <c r="L1410">
        <v>5700</v>
      </c>
      <c r="M1410">
        <v>0</v>
      </c>
      <c r="N1410">
        <v>15500</v>
      </c>
      <c r="O1410">
        <v>0</v>
      </c>
      <c r="P1410">
        <v>300</v>
      </c>
      <c r="Q1410">
        <v>0</v>
      </c>
      <c r="R1410">
        <v>0</v>
      </c>
      <c r="S1410">
        <v>0</v>
      </c>
      <c r="T1410">
        <v>0</v>
      </c>
      <c r="U1410">
        <v>0</v>
      </c>
      <c r="V1410">
        <v>0</v>
      </c>
      <c r="W1410">
        <v>0</v>
      </c>
      <c r="X1410">
        <v>19.7</v>
      </c>
      <c r="Y1410">
        <v>1750</v>
      </c>
      <c r="Z1410" cm="1">
        <f t="array" ref="Z1410">MMULT($G1410:$Y1410,'Nelson Factor_2019'!$B$1:$B$19)/$G1410</f>
        <v>2.8256625</v>
      </c>
      <c r="AA1410" cm="1">
        <f t="array" ref="AA1410">MMULT($G1410:$R1410,'Nelson Factor_2019'!$B$1:$B$12)/$G1410</f>
        <v>2.7337500000000001</v>
      </c>
    </row>
    <row r="1411" spans="1:27" x14ac:dyDescent="0.25">
      <c r="A1411">
        <v>2015</v>
      </c>
      <c r="B1411">
        <v>4</v>
      </c>
      <c r="C1411">
        <v>1</v>
      </c>
      <c r="D1411" t="s">
        <v>294</v>
      </c>
      <c r="E1411" t="s">
        <v>224</v>
      </c>
      <c r="F1411" t="s">
        <v>225</v>
      </c>
      <c r="G1411">
        <v>12500</v>
      </c>
      <c r="H1411">
        <v>1500</v>
      </c>
      <c r="I1411">
        <v>0</v>
      </c>
      <c r="J1411">
        <v>0</v>
      </c>
      <c r="K1411">
        <v>5500</v>
      </c>
      <c r="L1411">
        <v>2750</v>
      </c>
      <c r="M1411">
        <v>0</v>
      </c>
      <c r="N1411">
        <v>7500</v>
      </c>
      <c r="O1411">
        <v>1300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  <c r="V1411">
        <v>0</v>
      </c>
      <c r="W1411">
        <v>0</v>
      </c>
      <c r="X1411">
        <v>4</v>
      </c>
      <c r="Y1411">
        <v>0</v>
      </c>
      <c r="Z1411" cm="1">
        <f t="array" ref="Z1411">MMULT($G1411:$Y1411,'Nelson Factor_2019'!$B$1:$B$19)/$G1411</f>
        <v>7.5128000000000004</v>
      </c>
      <c r="AA1411" cm="1">
        <f t="array" ref="AA1411">MMULT($G1411:$R1411,'Nelson Factor_2019'!$B$1:$B$12)/$G1411</f>
        <v>7.4359999999999999</v>
      </c>
    </row>
    <row r="1412" spans="1:27" x14ac:dyDescent="0.25">
      <c r="A1412">
        <v>2016</v>
      </c>
      <c r="B1412">
        <v>3</v>
      </c>
      <c r="C1412">
        <v>5</v>
      </c>
      <c r="D1412" t="s">
        <v>256</v>
      </c>
      <c r="E1412" t="s">
        <v>308</v>
      </c>
      <c r="F1412" t="s">
        <v>26</v>
      </c>
      <c r="G1412">
        <v>38000</v>
      </c>
      <c r="H1412">
        <v>17100</v>
      </c>
      <c r="I1412">
        <v>28800</v>
      </c>
      <c r="J1412">
        <v>0</v>
      </c>
      <c r="K1412">
        <v>0</v>
      </c>
      <c r="L1412">
        <v>13770</v>
      </c>
      <c r="M1412">
        <v>16650</v>
      </c>
      <c r="N1412">
        <v>41400</v>
      </c>
      <c r="O1412">
        <v>0</v>
      </c>
      <c r="P1412">
        <v>0</v>
      </c>
      <c r="Q1412">
        <v>0</v>
      </c>
      <c r="R1412">
        <v>3150</v>
      </c>
      <c r="S1412">
        <v>0</v>
      </c>
      <c r="T1412">
        <v>0</v>
      </c>
      <c r="U1412">
        <v>33</v>
      </c>
      <c r="V1412">
        <v>0</v>
      </c>
      <c r="W1412">
        <v>968</v>
      </c>
      <c r="X1412">
        <v>177</v>
      </c>
      <c r="Y1412">
        <v>13500</v>
      </c>
      <c r="Z1412" cm="1">
        <f t="array" ref="Z1412">MMULT($G1412:$Y1412,'Nelson Factor_2019'!$B$1:$B$19)/$G1412</f>
        <v>17.210342105263159</v>
      </c>
      <c r="AA1412" cm="1">
        <f t="array" ref="AA1412">MMULT($G1412:$R1412,'Nelson Factor_2019'!$B$1:$B$12)/$G1412</f>
        <v>15.558684210526316</v>
      </c>
    </row>
    <row r="1413" spans="1:27" x14ac:dyDescent="0.25">
      <c r="A1413">
        <v>2016</v>
      </c>
      <c r="B1413">
        <v>3</v>
      </c>
      <c r="C1413">
        <v>0</v>
      </c>
      <c r="D1413" t="s">
        <v>256</v>
      </c>
      <c r="E1413" t="s">
        <v>309</v>
      </c>
      <c r="F1413" t="s">
        <v>28</v>
      </c>
      <c r="G1413">
        <v>85500</v>
      </c>
      <c r="H1413">
        <v>25650</v>
      </c>
      <c r="I1413">
        <v>0</v>
      </c>
      <c r="J1413">
        <v>0</v>
      </c>
      <c r="K1413">
        <v>0</v>
      </c>
      <c r="L1413">
        <v>18900</v>
      </c>
      <c r="M1413">
        <v>0</v>
      </c>
      <c r="N1413">
        <v>55800</v>
      </c>
      <c r="O1413">
        <v>0</v>
      </c>
      <c r="P1413">
        <v>0</v>
      </c>
      <c r="Q1413">
        <v>0</v>
      </c>
      <c r="R1413">
        <v>640</v>
      </c>
      <c r="S1413">
        <v>0</v>
      </c>
      <c r="T1413">
        <v>0</v>
      </c>
      <c r="U1413">
        <v>0</v>
      </c>
      <c r="V1413">
        <v>0</v>
      </c>
      <c r="W1413">
        <v>0</v>
      </c>
      <c r="X1413">
        <v>45</v>
      </c>
      <c r="Y1413">
        <v>0</v>
      </c>
      <c r="Z1413" cm="1">
        <f t="array" ref="Z1413">MMULT($G1413:$Y1413,'Nelson Factor_2019'!$B$1:$B$19)/$G1413</f>
        <v>4.2756140350877194</v>
      </c>
      <c r="AA1413" cm="1">
        <f t="array" ref="AA1413">MMULT($G1413:$R1413,'Nelson Factor_2019'!$B$1:$B$12)/$G1413</f>
        <v>4.1492982456140348</v>
      </c>
    </row>
    <row r="1414" spans="1:27" x14ac:dyDescent="0.25">
      <c r="A1414">
        <v>2016</v>
      </c>
      <c r="B1414">
        <v>5</v>
      </c>
      <c r="C1414">
        <v>0</v>
      </c>
      <c r="D1414" t="s">
        <v>257</v>
      </c>
      <c r="E1414" t="s">
        <v>310</v>
      </c>
      <c r="F1414" t="s">
        <v>34</v>
      </c>
      <c r="G1414">
        <v>12350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  <c r="V1414">
        <v>0</v>
      </c>
      <c r="W1414">
        <v>0</v>
      </c>
      <c r="X1414">
        <v>0</v>
      </c>
      <c r="Y1414">
        <v>0</v>
      </c>
      <c r="Z1414" cm="1">
        <f t="array" ref="Z1414">MMULT($G1414:$Y1414,'Nelson Factor_2019'!$B$1:$B$19)/$G1414</f>
        <v>1</v>
      </c>
      <c r="AA1414" cm="1">
        <f t="array" ref="AA1414">MMULT($G1414:$R1414,'Nelson Factor_2019'!$B$1:$B$12)/$G1414</f>
        <v>1</v>
      </c>
    </row>
    <row r="1415" spans="1:27" x14ac:dyDescent="0.25">
      <c r="A1415">
        <v>2016</v>
      </c>
      <c r="B1415">
        <v>5</v>
      </c>
      <c r="C1415">
        <v>0</v>
      </c>
      <c r="D1415" t="s">
        <v>257</v>
      </c>
      <c r="E1415" t="s">
        <v>311</v>
      </c>
      <c r="F1415" t="s">
        <v>33</v>
      </c>
      <c r="G1415">
        <v>15200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V1415">
        <v>0</v>
      </c>
      <c r="W1415">
        <v>0</v>
      </c>
      <c r="X1415">
        <v>0</v>
      </c>
      <c r="Y1415">
        <v>0</v>
      </c>
      <c r="Z1415" cm="1">
        <f t="array" ref="Z1415">MMULT($G1415:$Y1415,'Nelson Factor_2019'!$B$1:$B$19)/$G1415</f>
        <v>1</v>
      </c>
      <c r="AA1415" cm="1">
        <f t="array" ref="AA1415">MMULT($G1415:$R1415,'Nelson Factor_2019'!$B$1:$B$12)/$G1415</f>
        <v>1</v>
      </c>
    </row>
    <row r="1416" spans="1:27" x14ac:dyDescent="0.25">
      <c r="A1416">
        <v>2016</v>
      </c>
      <c r="B1416">
        <v>5</v>
      </c>
      <c r="C1416">
        <v>0</v>
      </c>
      <c r="D1416" t="s">
        <v>257</v>
      </c>
      <c r="E1416" t="s">
        <v>37</v>
      </c>
      <c r="F1416" t="s">
        <v>36</v>
      </c>
      <c r="G1416">
        <v>21375</v>
      </c>
      <c r="H1416">
        <v>0</v>
      </c>
      <c r="I1416">
        <v>0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  <c r="U1416">
        <v>0</v>
      </c>
      <c r="V1416">
        <v>0</v>
      </c>
      <c r="W1416">
        <v>0</v>
      </c>
      <c r="X1416">
        <v>0</v>
      </c>
      <c r="Y1416">
        <v>0</v>
      </c>
      <c r="Z1416" cm="1">
        <f t="array" ref="Z1416">MMULT($G1416:$Y1416,'Nelson Factor_2019'!$B$1:$B$19)/$G1416</f>
        <v>1</v>
      </c>
      <c r="AA1416" cm="1">
        <f t="array" ref="AA1416">MMULT($G1416:$R1416,'Nelson Factor_2019'!$B$1:$B$12)/$G1416</f>
        <v>1</v>
      </c>
    </row>
    <row r="1417" spans="1:27" x14ac:dyDescent="0.25">
      <c r="A1417">
        <v>2016</v>
      </c>
      <c r="B1417">
        <v>5</v>
      </c>
      <c r="C1417">
        <v>0</v>
      </c>
      <c r="D1417" t="s">
        <v>257</v>
      </c>
      <c r="E1417" t="s">
        <v>37</v>
      </c>
      <c r="F1417" t="s">
        <v>38</v>
      </c>
      <c r="G1417">
        <v>57000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  <c r="V1417">
        <v>0</v>
      </c>
      <c r="W1417">
        <v>0</v>
      </c>
      <c r="X1417">
        <v>0</v>
      </c>
      <c r="Y1417">
        <v>0</v>
      </c>
      <c r="Z1417" cm="1">
        <f t="array" ref="Z1417">MMULT($G1417:$Y1417,'Nelson Factor_2019'!$B$1:$B$19)/$G1417</f>
        <v>1</v>
      </c>
      <c r="AA1417" cm="1">
        <f t="array" ref="AA1417">MMULT($G1417:$R1417,'Nelson Factor_2019'!$B$1:$B$12)/$G1417</f>
        <v>1</v>
      </c>
    </row>
    <row r="1418" spans="1:27" x14ac:dyDescent="0.25">
      <c r="A1418">
        <v>2016</v>
      </c>
      <c r="B1418">
        <v>5</v>
      </c>
      <c r="C1418">
        <v>2</v>
      </c>
      <c r="D1418" t="s">
        <v>257</v>
      </c>
      <c r="E1418" t="s">
        <v>312</v>
      </c>
      <c r="F1418" t="s">
        <v>40</v>
      </c>
      <c r="G1418">
        <v>68400</v>
      </c>
      <c r="H1418">
        <v>24700</v>
      </c>
      <c r="I1418">
        <v>0</v>
      </c>
      <c r="J1418">
        <v>0</v>
      </c>
      <c r="K1418">
        <v>0</v>
      </c>
      <c r="L1418">
        <v>12780</v>
      </c>
      <c r="M1418">
        <v>11250</v>
      </c>
      <c r="N1418">
        <v>22050</v>
      </c>
      <c r="O1418">
        <v>0</v>
      </c>
      <c r="P1418">
        <v>0</v>
      </c>
      <c r="Q1418">
        <v>0</v>
      </c>
      <c r="R1418">
        <v>4500</v>
      </c>
      <c r="S1418">
        <v>0</v>
      </c>
      <c r="T1418">
        <v>0</v>
      </c>
      <c r="U1418">
        <v>13</v>
      </c>
      <c r="V1418">
        <v>0</v>
      </c>
      <c r="W1418">
        <v>0</v>
      </c>
      <c r="X1418">
        <v>24</v>
      </c>
      <c r="Y1418">
        <v>9200</v>
      </c>
      <c r="Z1418" cm="1">
        <f t="array" ref="Z1418">MMULT($G1418:$Y1418,'Nelson Factor_2019'!$B$1:$B$19)/$G1418</f>
        <v>5.0088888888888885</v>
      </c>
      <c r="AA1418" cm="1">
        <f t="array" ref="AA1418">MMULT($G1418:$R1418,'Nelson Factor_2019'!$B$1:$B$12)/$G1418</f>
        <v>4.7227339181286547</v>
      </c>
    </row>
    <row r="1419" spans="1:27" x14ac:dyDescent="0.25">
      <c r="A1419">
        <v>2016</v>
      </c>
      <c r="B1419">
        <v>3</v>
      </c>
      <c r="C1419">
        <v>0</v>
      </c>
      <c r="D1419" t="s">
        <v>260</v>
      </c>
      <c r="E1419" t="s">
        <v>313</v>
      </c>
      <c r="F1419" t="s">
        <v>43</v>
      </c>
      <c r="G1419">
        <v>7315</v>
      </c>
      <c r="H1419">
        <v>3658</v>
      </c>
      <c r="I1419">
        <v>0</v>
      </c>
      <c r="J1419">
        <v>0</v>
      </c>
      <c r="K1419">
        <v>0</v>
      </c>
      <c r="L1419">
        <v>0</v>
      </c>
      <c r="M1419">
        <v>0</v>
      </c>
      <c r="N1419">
        <v>4950</v>
      </c>
      <c r="O1419">
        <v>0</v>
      </c>
      <c r="P1419">
        <v>0</v>
      </c>
      <c r="Q1419">
        <v>0</v>
      </c>
      <c r="R1419">
        <v>0</v>
      </c>
      <c r="S1419">
        <v>4950</v>
      </c>
      <c r="T1419">
        <v>0</v>
      </c>
      <c r="U1419">
        <v>3</v>
      </c>
      <c r="V1419">
        <v>0</v>
      </c>
      <c r="W1419">
        <v>0</v>
      </c>
      <c r="X1419">
        <v>0</v>
      </c>
      <c r="Y1419">
        <v>900</v>
      </c>
      <c r="Z1419" cm="1">
        <f t="array" ref="Z1419">MMULT($G1419:$Y1419,'Nelson Factor_2019'!$B$1:$B$19)/$G1419</f>
        <v>44.12828434723172</v>
      </c>
      <c r="AA1419" cm="1">
        <f t="array" ref="AA1419">MMULT($G1419:$R1419,'Nelson Factor_2019'!$B$1:$B$12)/$G1419</f>
        <v>3.3418181818181818</v>
      </c>
    </row>
    <row r="1420" spans="1:27" x14ac:dyDescent="0.25">
      <c r="A1420">
        <v>2016</v>
      </c>
      <c r="B1420">
        <v>3</v>
      </c>
      <c r="C1420">
        <v>1</v>
      </c>
      <c r="D1420" t="s">
        <v>260</v>
      </c>
      <c r="E1420" t="s">
        <v>44</v>
      </c>
      <c r="F1420" t="s">
        <v>45</v>
      </c>
      <c r="G1420">
        <v>80750</v>
      </c>
      <c r="H1420">
        <v>42750</v>
      </c>
      <c r="I1420">
        <v>0</v>
      </c>
      <c r="J1420">
        <v>0</v>
      </c>
      <c r="K1420">
        <v>18900</v>
      </c>
      <c r="L1420">
        <v>13680</v>
      </c>
      <c r="M1420">
        <v>0</v>
      </c>
      <c r="N1420">
        <v>83250</v>
      </c>
      <c r="O1420">
        <v>4500</v>
      </c>
      <c r="P1420">
        <v>0</v>
      </c>
      <c r="Q1420">
        <v>0</v>
      </c>
      <c r="R1420">
        <v>6750</v>
      </c>
      <c r="S1420">
        <v>0</v>
      </c>
      <c r="T1420">
        <v>0</v>
      </c>
      <c r="U1420">
        <v>10</v>
      </c>
      <c r="V1420">
        <v>0</v>
      </c>
      <c r="W1420">
        <v>0</v>
      </c>
      <c r="X1420">
        <v>142</v>
      </c>
      <c r="Y1420">
        <v>18450</v>
      </c>
      <c r="Z1420" cm="1">
        <f t="array" ref="Z1420">MMULT($G1420:$Y1420,'Nelson Factor_2019'!$B$1:$B$19)/$G1420</f>
        <v>8.0899690402476772</v>
      </c>
      <c r="AA1420" cm="1">
        <f t="array" ref="AA1420">MMULT($G1420:$R1420,'Nelson Factor_2019'!$B$1:$B$12)/$G1420</f>
        <v>7.3250773993808052</v>
      </c>
    </row>
    <row r="1421" spans="1:27" x14ac:dyDescent="0.25">
      <c r="A1421">
        <v>2016</v>
      </c>
      <c r="B1421">
        <v>5</v>
      </c>
      <c r="C1421">
        <v>2</v>
      </c>
      <c r="D1421" t="s">
        <v>261</v>
      </c>
      <c r="E1421" t="s">
        <v>314</v>
      </c>
      <c r="F1421" t="s">
        <v>315</v>
      </c>
      <c r="G1421">
        <v>85500</v>
      </c>
      <c r="H1421">
        <v>28500</v>
      </c>
      <c r="I1421">
        <v>0</v>
      </c>
      <c r="J1421">
        <v>0</v>
      </c>
      <c r="K1421">
        <v>0</v>
      </c>
      <c r="L1421">
        <v>18000</v>
      </c>
      <c r="M1421">
        <v>13500</v>
      </c>
      <c r="N1421">
        <v>58950</v>
      </c>
      <c r="O1421">
        <v>0</v>
      </c>
      <c r="P1421">
        <v>0</v>
      </c>
      <c r="Q1421">
        <v>0</v>
      </c>
      <c r="R1421">
        <v>900</v>
      </c>
      <c r="S1421">
        <v>0</v>
      </c>
      <c r="T1421">
        <v>0</v>
      </c>
      <c r="U1421">
        <v>23</v>
      </c>
      <c r="V1421">
        <v>0</v>
      </c>
      <c r="W1421">
        <v>0</v>
      </c>
      <c r="X1421">
        <v>100</v>
      </c>
      <c r="Y1421">
        <v>14850</v>
      </c>
      <c r="Z1421" cm="1">
        <f t="array" ref="Z1421">MMULT($G1421:$Y1421,'Nelson Factor_2019'!$B$1:$B$19)/$G1421</f>
        <v>6.0458830409356725</v>
      </c>
      <c r="AA1421" cm="1">
        <f t="array" ref="AA1421">MMULT($G1421:$R1421,'Nelson Factor_2019'!$B$1:$B$12)/$G1421</f>
        <v>5.5043859649122808</v>
      </c>
    </row>
    <row r="1422" spans="1:27" x14ac:dyDescent="0.25">
      <c r="A1422">
        <v>2016</v>
      </c>
      <c r="B1422">
        <v>5</v>
      </c>
      <c r="C1422">
        <v>6</v>
      </c>
      <c r="D1422" t="s">
        <v>261</v>
      </c>
      <c r="E1422" t="s">
        <v>316</v>
      </c>
      <c r="F1422" t="s">
        <v>49</v>
      </c>
      <c r="G1422">
        <v>275975</v>
      </c>
      <c r="H1422">
        <v>160645</v>
      </c>
      <c r="I1422">
        <v>65700</v>
      </c>
      <c r="J1422">
        <v>0</v>
      </c>
      <c r="K1422">
        <v>66420</v>
      </c>
      <c r="L1422">
        <v>44100</v>
      </c>
      <c r="M1422">
        <v>47880</v>
      </c>
      <c r="N1422">
        <v>205650</v>
      </c>
      <c r="O1422">
        <v>28980</v>
      </c>
      <c r="P1422">
        <v>0</v>
      </c>
      <c r="Q1422">
        <v>0</v>
      </c>
      <c r="R1422">
        <v>29520</v>
      </c>
      <c r="S1422">
        <v>0</v>
      </c>
      <c r="T1422">
        <v>0</v>
      </c>
      <c r="U1422">
        <v>77</v>
      </c>
      <c r="V1422">
        <v>0</v>
      </c>
      <c r="W1422">
        <v>3468</v>
      </c>
      <c r="X1422">
        <v>811</v>
      </c>
      <c r="Y1422">
        <v>0</v>
      </c>
      <c r="Z1422" cm="1">
        <f t="array" ref="Z1422">MMULT($G1422:$Y1422,'Nelson Factor_2019'!$B$1:$B$19)/$G1422</f>
        <v>11.112693178729957</v>
      </c>
      <c r="AA1422" cm="1">
        <f t="array" ref="AA1422">MMULT($G1422:$R1422,'Nelson Factor_2019'!$B$1:$B$12)/$G1422</f>
        <v>10.407132892472145</v>
      </c>
    </row>
    <row r="1423" spans="1:27" x14ac:dyDescent="0.25">
      <c r="A1423">
        <v>2016</v>
      </c>
      <c r="B1423">
        <v>5</v>
      </c>
      <c r="C1423">
        <v>3</v>
      </c>
      <c r="D1423" t="s">
        <v>261</v>
      </c>
      <c r="E1423" t="s">
        <v>316</v>
      </c>
      <c r="F1423" t="s">
        <v>50</v>
      </c>
      <c r="G1423">
        <v>244340</v>
      </c>
      <c r="H1423">
        <v>117283</v>
      </c>
      <c r="I1423">
        <v>0</v>
      </c>
      <c r="J1423">
        <v>0</v>
      </c>
      <c r="K1423">
        <v>81000</v>
      </c>
      <c r="L1423">
        <v>64170</v>
      </c>
      <c r="M1423">
        <v>93060</v>
      </c>
      <c r="N1423">
        <v>343980</v>
      </c>
      <c r="O1423">
        <v>21083</v>
      </c>
      <c r="P1423">
        <v>0</v>
      </c>
      <c r="Q1423">
        <v>0</v>
      </c>
      <c r="R1423">
        <v>47880</v>
      </c>
      <c r="S1423">
        <v>30600</v>
      </c>
      <c r="T1423">
        <v>0</v>
      </c>
      <c r="U1423">
        <v>181</v>
      </c>
      <c r="V1423">
        <v>0</v>
      </c>
      <c r="W1423">
        <v>0</v>
      </c>
      <c r="X1423">
        <v>716</v>
      </c>
      <c r="Y1423">
        <v>0</v>
      </c>
      <c r="Z1423" cm="1">
        <f t="array" ref="Z1423">MMULT($G1423:$Y1423,'Nelson Factor_2019'!$B$1:$B$19)/$G1423</f>
        <v>21.161409920602441</v>
      </c>
      <c r="AA1423" cm="1">
        <f t="array" ref="AA1423">MMULT($G1423:$R1423,'Nelson Factor_2019'!$B$1:$B$12)/$G1423</f>
        <v>12.943267168699354</v>
      </c>
    </row>
    <row r="1424" spans="1:27" x14ac:dyDescent="0.25">
      <c r="A1424">
        <v>2016</v>
      </c>
      <c r="B1424">
        <v>5</v>
      </c>
      <c r="C1424">
        <v>6</v>
      </c>
      <c r="D1424" t="s">
        <v>261</v>
      </c>
      <c r="E1424" t="s">
        <v>317</v>
      </c>
      <c r="F1424" t="s">
        <v>52</v>
      </c>
      <c r="G1424">
        <v>138700</v>
      </c>
      <c r="H1424">
        <v>78000</v>
      </c>
      <c r="I1424">
        <v>48150</v>
      </c>
      <c r="J1424">
        <v>0</v>
      </c>
      <c r="K1424">
        <v>45000</v>
      </c>
      <c r="L1424">
        <v>34000</v>
      </c>
      <c r="M1424">
        <v>24750</v>
      </c>
      <c r="N1424">
        <v>140900</v>
      </c>
      <c r="O1424">
        <v>14400</v>
      </c>
      <c r="P1424">
        <v>0</v>
      </c>
      <c r="Q1424">
        <v>0</v>
      </c>
      <c r="R1424">
        <v>21050</v>
      </c>
      <c r="S1424">
        <v>0</v>
      </c>
      <c r="T1424">
        <v>0</v>
      </c>
      <c r="U1424">
        <v>100</v>
      </c>
      <c r="V1424">
        <v>0</v>
      </c>
      <c r="W1424">
        <v>2000</v>
      </c>
      <c r="X1424">
        <v>340</v>
      </c>
      <c r="Y1424">
        <v>0</v>
      </c>
      <c r="Z1424" cm="1">
        <f t="array" ref="Z1424">MMULT($G1424:$Y1424,'Nelson Factor_2019'!$B$1:$B$19)/$G1424</f>
        <v>13.55677721701514</v>
      </c>
      <c r="AA1424" cm="1">
        <f t="array" ref="AA1424">MMULT($G1424:$R1424,'Nelson Factor_2019'!$B$1:$B$12)/$G1424</f>
        <v>12.96773612112473</v>
      </c>
    </row>
    <row r="1425" spans="1:27" x14ac:dyDescent="0.25">
      <c r="A1425">
        <v>2016</v>
      </c>
      <c r="B1425">
        <v>5</v>
      </c>
      <c r="C1425">
        <v>5</v>
      </c>
      <c r="D1425" t="s">
        <v>261</v>
      </c>
      <c r="E1425" t="s">
        <v>317</v>
      </c>
      <c r="F1425" t="s">
        <v>318</v>
      </c>
      <c r="G1425">
        <v>120000</v>
      </c>
      <c r="H1425">
        <v>87000</v>
      </c>
      <c r="I1425">
        <v>48000</v>
      </c>
      <c r="J1425">
        <v>0</v>
      </c>
      <c r="K1425">
        <v>0</v>
      </c>
      <c r="L1425">
        <v>31000</v>
      </c>
      <c r="M1425">
        <v>61000</v>
      </c>
      <c r="N1425">
        <v>76000</v>
      </c>
      <c r="O1425">
        <v>0</v>
      </c>
      <c r="P1425">
        <v>0</v>
      </c>
      <c r="Q1425">
        <v>0</v>
      </c>
      <c r="R1425">
        <v>4320</v>
      </c>
      <c r="S1425">
        <v>0</v>
      </c>
      <c r="T1425">
        <v>0</v>
      </c>
      <c r="U1425">
        <v>133.5</v>
      </c>
      <c r="V1425">
        <v>0</v>
      </c>
      <c r="W1425">
        <v>2500</v>
      </c>
      <c r="X1425">
        <v>530</v>
      </c>
      <c r="Y1425">
        <v>0</v>
      </c>
      <c r="Z1425" cm="1">
        <f t="array" ref="Z1425">MMULT($G1425:$Y1425,'Nelson Factor_2019'!$B$1:$B$19)/$G1425</f>
        <v>13.053279166666666</v>
      </c>
      <c r="AA1425" cm="1">
        <f t="array" ref="AA1425">MMULT($G1425:$R1425,'Nelson Factor_2019'!$B$1:$B$12)/$G1425</f>
        <v>11.992166666666666</v>
      </c>
    </row>
    <row r="1426" spans="1:27" x14ac:dyDescent="0.25">
      <c r="A1426">
        <v>2016</v>
      </c>
      <c r="B1426">
        <v>5</v>
      </c>
      <c r="C1426">
        <v>6</v>
      </c>
      <c r="D1426" t="s">
        <v>261</v>
      </c>
      <c r="E1426" t="s">
        <v>319</v>
      </c>
      <c r="F1426" t="s">
        <v>55</v>
      </c>
      <c r="G1426">
        <v>148010</v>
      </c>
      <c r="H1426">
        <v>97185</v>
      </c>
      <c r="I1426">
        <v>47700</v>
      </c>
      <c r="J1426">
        <v>0</v>
      </c>
      <c r="K1426">
        <v>90180</v>
      </c>
      <c r="L1426">
        <v>16200</v>
      </c>
      <c r="M1426">
        <v>20700</v>
      </c>
      <c r="N1426">
        <v>134280</v>
      </c>
      <c r="O1426">
        <v>21780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146</v>
      </c>
      <c r="V1426">
        <v>0</v>
      </c>
      <c r="W1426">
        <v>2271</v>
      </c>
      <c r="X1426">
        <v>363</v>
      </c>
      <c r="Y1426">
        <v>0</v>
      </c>
      <c r="Z1426" cm="1">
        <f t="array" ref="Z1426">MMULT($G1426:$Y1426,'Nelson Factor_2019'!$B$1:$B$19)/$G1426</f>
        <v>13.92167083305182</v>
      </c>
      <c r="AA1426" cm="1">
        <f t="array" ref="AA1426">MMULT($G1426:$R1426,'Nelson Factor_2019'!$B$1:$B$12)/$G1426</f>
        <v>13.332075535436795</v>
      </c>
    </row>
    <row r="1427" spans="1:27" x14ac:dyDescent="0.25">
      <c r="A1427">
        <v>2016</v>
      </c>
      <c r="B1427">
        <v>5</v>
      </c>
      <c r="C1427">
        <v>0</v>
      </c>
      <c r="D1427" t="s">
        <v>261</v>
      </c>
      <c r="E1427" t="s">
        <v>320</v>
      </c>
      <c r="F1427" t="s">
        <v>57</v>
      </c>
      <c r="G1427">
        <v>25650</v>
      </c>
      <c r="H1427">
        <v>0</v>
      </c>
      <c r="I1427">
        <v>0</v>
      </c>
      <c r="J1427">
        <v>0</v>
      </c>
      <c r="K1427">
        <v>0</v>
      </c>
      <c r="L1427">
        <v>5220</v>
      </c>
      <c r="M1427">
        <v>0</v>
      </c>
      <c r="N1427">
        <v>12600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0</v>
      </c>
      <c r="X1427">
        <v>10</v>
      </c>
      <c r="Y1427">
        <v>0</v>
      </c>
      <c r="Z1427" cm="1">
        <f t="array" ref="Z1427">MMULT($G1427:$Y1427,'Nelson Factor_2019'!$B$1:$B$19)/$G1427</f>
        <v>3.3391812865497075</v>
      </c>
      <c r="AA1427" cm="1">
        <f t="array" ref="AA1427">MMULT($G1427:$R1427,'Nelson Factor_2019'!$B$1:$B$12)/$G1427</f>
        <v>3.2456140350877192</v>
      </c>
    </row>
    <row r="1428" spans="1:27" x14ac:dyDescent="0.25">
      <c r="A1428">
        <v>2016</v>
      </c>
      <c r="B1428">
        <v>5</v>
      </c>
      <c r="C1428">
        <v>0</v>
      </c>
      <c r="D1428" t="s">
        <v>261</v>
      </c>
      <c r="E1428" t="s">
        <v>321</v>
      </c>
      <c r="F1428" t="s">
        <v>57</v>
      </c>
      <c r="G1428">
        <v>23750</v>
      </c>
      <c r="H1428">
        <v>13585</v>
      </c>
      <c r="I1428">
        <v>0</v>
      </c>
      <c r="J1428">
        <v>4500</v>
      </c>
      <c r="K1428">
        <v>0</v>
      </c>
      <c r="L1428">
        <v>0</v>
      </c>
      <c r="M1428">
        <v>0</v>
      </c>
      <c r="N1428">
        <v>4860</v>
      </c>
      <c r="O1428">
        <v>0</v>
      </c>
      <c r="P1428">
        <v>0</v>
      </c>
      <c r="Q1428">
        <v>1350</v>
      </c>
      <c r="R1428">
        <v>0</v>
      </c>
      <c r="S1428">
        <v>5220</v>
      </c>
      <c r="T1428">
        <v>0</v>
      </c>
      <c r="U1428">
        <v>4</v>
      </c>
      <c r="V1428">
        <v>0</v>
      </c>
      <c r="W1428">
        <v>0</v>
      </c>
      <c r="X1428">
        <v>5</v>
      </c>
      <c r="Y1428">
        <v>7200</v>
      </c>
      <c r="Z1428" cm="1">
        <f t="array" ref="Z1428">MMULT($G1428:$Y1428,'Nelson Factor_2019'!$B$1:$B$19)/$G1428</f>
        <v>17.605873684210525</v>
      </c>
      <c r="AA1428" cm="1">
        <f t="array" ref="AA1428">MMULT($G1428:$R1428,'Nelson Factor_2019'!$B$1:$B$12)/$G1428</f>
        <v>3.9130736842105263</v>
      </c>
    </row>
    <row r="1429" spans="1:27" x14ac:dyDescent="0.25">
      <c r="A1429">
        <v>2016</v>
      </c>
      <c r="B1429">
        <v>5</v>
      </c>
      <c r="C1429">
        <v>6</v>
      </c>
      <c r="D1429" t="s">
        <v>261</v>
      </c>
      <c r="E1429" t="s">
        <v>322</v>
      </c>
      <c r="F1429" t="s">
        <v>62</v>
      </c>
      <c r="G1429">
        <v>150100</v>
      </c>
      <c r="H1429">
        <v>96900</v>
      </c>
      <c r="I1429">
        <v>42800</v>
      </c>
      <c r="J1429">
        <v>0</v>
      </c>
      <c r="K1429">
        <v>64800</v>
      </c>
      <c r="L1429">
        <v>27900</v>
      </c>
      <c r="M1429">
        <v>38070</v>
      </c>
      <c r="N1429">
        <v>240300</v>
      </c>
      <c r="O1429">
        <v>11250</v>
      </c>
      <c r="P1429">
        <v>0</v>
      </c>
      <c r="Q1429">
        <v>0</v>
      </c>
      <c r="R1429">
        <v>13500</v>
      </c>
      <c r="S1429">
        <v>0</v>
      </c>
      <c r="T1429">
        <v>0</v>
      </c>
      <c r="U1429">
        <v>189</v>
      </c>
      <c r="V1429">
        <v>0</v>
      </c>
      <c r="W1429">
        <v>1224</v>
      </c>
      <c r="X1429">
        <v>375</v>
      </c>
      <c r="Y1429">
        <v>0</v>
      </c>
      <c r="Z1429" cm="1">
        <f t="array" ref="Z1429">MMULT($G1429:$Y1429,'Nelson Factor_2019'!$B$1:$B$19)/$G1429</f>
        <v>15.14902731512325</v>
      </c>
      <c r="AA1429" cm="1">
        <f t="array" ref="AA1429">MMULT($G1429:$R1429,'Nelson Factor_2019'!$B$1:$B$12)/$G1429</f>
        <v>14.548167888074618</v>
      </c>
    </row>
    <row r="1430" spans="1:27" x14ac:dyDescent="0.25">
      <c r="A1430">
        <v>2016</v>
      </c>
      <c r="B1430">
        <v>5</v>
      </c>
      <c r="C1430">
        <v>6</v>
      </c>
      <c r="D1430" t="s">
        <v>261</v>
      </c>
      <c r="E1430" t="s">
        <v>323</v>
      </c>
      <c r="F1430" t="s">
        <v>52</v>
      </c>
      <c r="G1430">
        <v>363850</v>
      </c>
      <c r="H1430">
        <v>194750</v>
      </c>
      <c r="I1430">
        <v>98190</v>
      </c>
      <c r="J1430">
        <v>0</v>
      </c>
      <c r="K1430">
        <v>123750</v>
      </c>
      <c r="L1430">
        <v>77400</v>
      </c>
      <c r="M1430">
        <v>79200</v>
      </c>
      <c r="N1430">
        <v>296100</v>
      </c>
      <c r="O1430">
        <v>26550</v>
      </c>
      <c r="P1430">
        <v>0</v>
      </c>
      <c r="Q1430">
        <v>0</v>
      </c>
      <c r="R1430">
        <v>30870</v>
      </c>
      <c r="S1430">
        <v>0</v>
      </c>
      <c r="T1430">
        <v>0</v>
      </c>
      <c r="U1430">
        <v>120</v>
      </c>
      <c r="V1430">
        <v>0</v>
      </c>
      <c r="W1430">
        <v>3903</v>
      </c>
      <c r="X1430">
        <v>686</v>
      </c>
      <c r="Y1430">
        <v>0</v>
      </c>
      <c r="Z1430" cm="1">
        <f t="array" ref="Z1430">MMULT($G1430:$Y1430,'Nelson Factor_2019'!$B$1:$B$19)/$G1430</f>
        <v>12.037020750309193</v>
      </c>
      <c r="AA1430" cm="1">
        <f t="array" ref="AA1430">MMULT($G1430:$R1430,'Nelson Factor_2019'!$B$1:$B$12)/$G1430</f>
        <v>11.584196784389171</v>
      </c>
    </row>
    <row r="1431" spans="1:27" x14ac:dyDescent="0.25">
      <c r="A1431">
        <v>2016</v>
      </c>
      <c r="B1431">
        <v>5</v>
      </c>
      <c r="C1431">
        <v>6</v>
      </c>
      <c r="D1431" t="s">
        <v>261</v>
      </c>
      <c r="E1431" t="s">
        <v>323</v>
      </c>
      <c r="F1431" t="s">
        <v>324</v>
      </c>
      <c r="G1431">
        <v>161500</v>
      </c>
      <c r="H1431">
        <v>149055</v>
      </c>
      <c r="I1431">
        <v>47700</v>
      </c>
      <c r="J1431">
        <v>0</v>
      </c>
      <c r="K1431">
        <v>65700</v>
      </c>
      <c r="L1431">
        <v>23400</v>
      </c>
      <c r="M1431">
        <v>33300</v>
      </c>
      <c r="N1431">
        <v>178200</v>
      </c>
      <c r="O1431">
        <v>13860</v>
      </c>
      <c r="P1431">
        <v>0</v>
      </c>
      <c r="Q1431">
        <v>0</v>
      </c>
      <c r="R1431">
        <v>0</v>
      </c>
      <c r="S1431">
        <v>0</v>
      </c>
      <c r="T1431">
        <v>0</v>
      </c>
      <c r="U1431">
        <v>82</v>
      </c>
      <c r="V1431">
        <v>0</v>
      </c>
      <c r="W1431">
        <v>2040</v>
      </c>
      <c r="X1431">
        <v>181</v>
      </c>
      <c r="Y1431">
        <v>0</v>
      </c>
      <c r="Z1431" cm="1">
        <f t="array" ref="Z1431">MMULT($G1431:$Y1431,'Nelson Factor_2019'!$B$1:$B$19)/$G1431</f>
        <v>13.116058823529412</v>
      </c>
      <c r="AA1431" cm="1">
        <f t="array" ref="AA1431">MMULT($G1431:$R1431,'Nelson Factor_2019'!$B$1:$B$12)/$G1431</f>
        <v>12.846572755417956</v>
      </c>
    </row>
    <row r="1432" spans="1:27" x14ac:dyDescent="0.25">
      <c r="A1432">
        <v>2016</v>
      </c>
      <c r="B1432">
        <v>5</v>
      </c>
      <c r="C1432">
        <v>6</v>
      </c>
      <c r="D1432" t="s">
        <v>261</v>
      </c>
      <c r="E1432" t="s">
        <v>325</v>
      </c>
      <c r="F1432" t="s">
        <v>67</v>
      </c>
      <c r="G1432">
        <v>141500</v>
      </c>
      <c r="H1432">
        <v>81225</v>
      </c>
      <c r="I1432">
        <v>26550</v>
      </c>
      <c r="J1432">
        <v>0</v>
      </c>
      <c r="K1432">
        <v>67770</v>
      </c>
      <c r="L1432">
        <v>33480</v>
      </c>
      <c r="M1432">
        <v>30600</v>
      </c>
      <c r="N1432">
        <v>152370</v>
      </c>
      <c r="O1432">
        <v>15390</v>
      </c>
      <c r="P1432">
        <v>0</v>
      </c>
      <c r="Q1432">
        <v>0</v>
      </c>
      <c r="R1432">
        <v>3780</v>
      </c>
      <c r="S1432">
        <v>0</v>
      </c>
      <c r="T1432">
        <v>0</v>
      </c>
      <c r="U1432">
        <v>135</v>
      </c>
      <c r="V1432">
        <v>0</v>
      </c>
      <c r="W1432">
        <v>925</v>
      </c>
      <c r="X1432">
        <v>275</v>
      </c>
      <c r="Y1432">
        <v>8100</v>
      </c>
      <c r="Z1432" cm="1">
        <f t="array" ref="Z1432">MMULT($G1432:$Y1432,'Nelson Factor_2019'!$B$1:$B$19)/$G1432</f>
        <v>13.353268551236749</v>
      </c>
      <c r="AA1432" cm="1">
        <f t="array" ref="AA1432">MMULT($G1432:$R1432,'Nelson Factor_2019'!$B$1:$B$12)/$G1432</f>
        <v>12.800017667844523</v>
      </c>
    </row>
    <row r="1433" spans="1:27" x14ac:dyDescent="0.25">
      <c r="A1433">
        <v>2016</v>
      </c>
      <c r="B1433">
        <v>5</v>
      </c>
      <c r="C1433">
        <v>4</v>
      </c>
      <c r="D1433" t="s">
        <v>261</v>
      </c>
      <c r="E1433" t="s">
        <v>325</v>
      </c>
      <c r="F1433" t="s">
        <v>63</v>
      </c>
      <c r="G1433">
        <v>82650</v>
      </c>
      <c r="H1433">
        <v>43700</v>
      </c>
      <c r="I1433">
        <v>25920</v>
      </c>
      <c r="J1433">
        <v>0</v>
      </c>
      <c r="K1433">
        <v>50670</v>
      </c>
      <c r="L1433">
        <v>16200</v>
      </c>
      <c r="M1433">
        <v>0</v>
      </c>
      <c r="N1433">
        <v>129600</v>
      </c>
      <c r="O1433">
        <v>19800</v>
      </c>
      <c r="P1433">
        <v>0</v>
      </c>
      <c r="Q1433">
        <v>0</v>
      </c>
      <c r="R1433">
        <v>0</v>
      </c>
      <c r="S1433">
        <v>0</v>
      </c>
      <c r="T1433">
        <v>0</v>
      </c>
      <c r="U1433">
        <v>50</v>
      </c>
      <c r="V1433">
        <v>0</v>
      </c>
      <c r="W1433">
        <v>1360</v>
      </c>
      <c r="X1433">
        <v>254</v>
      </c>
      <c r="Y1433">
        <v>0</v>
      </c>
      <c r="Z1433" cm="1">
        <f t="array" ref="Z1433">MMULT($G1433:$Y1433,'Nelson Factor_2019'!$B$1:$B$19)/$G1433</f>
        <v>15.751845130066545</v>
      </c>
      <c r="AA1433" cm="1">
        <f t="array" ref="AA1433">MMULT($G1433:$R1433,'Nelson Factor_2019'!$B$1:$B$12)/$G1433</f>
        <v>15.013672111312765</v>
      </c>
    </row>
    <row r="1434" spans="1:27" x14ac:dyDescent="0.25">
      <c r="A1434">
        <v>2016</v>
      </c>
      <c r="B1434">
        <v>4</v>
      </c>
      <c r="C1434">
        <v>1</v>
      </c>
      <c r="D1434" t="s">
        <v>263</v>
      </c>
      <c r="E1434" t="s">
        <v>326</v>
      </c>
      <c r="F1434" t="s">
        <v>70</v>
      </c>
      <c r="G1434">
        <v>98000</v>
      </c>
      <c r="H1434">
        <v>34200</v>
      </c>
      <c r="I1434">
        <v>0</v>
      </c>
      <c r="J1434">
        <v>0</v>
      </c>
      <c r="K1434">
        <v>27450</v>
      </c>
      <c r="L1434">
        <v>21900</v>
      </c>
      <c r="M1434">
        <v>0</v>
      </c>
      <c r="N1434">
        <v>87800</v>
      </c>
      <c r="O1434">
        <v>0</v>
      </c>
      <c r="P1434">
        <v>0</v>
      </c>
      <c r="Q1434">
        <v>0</v>
      </c>
      <c r="R1434">
        <v>887</v>
      </c>
      <c r="S1434">
        <v>0</v>
      </c>
      <c r="T1434">
        <v>0</v>
      </c>
      <c r="U1434">
        <v>22</v>
      </c>
      <c r="V1434">
        <v>0</v>
      </c>
      <c r="W1434">
        <v>0</v>
      </c>
      <c r="X1434">
        <v>94</v>
      </c>
      <c r="Y1434">
        <v>0</v>
      </c>
      <c r="Z1434" cm="1">
        <f t="array" ref="Z1434">MMULT($G1434:$Y1434,'Nelson Factor_2019'!$B$1:$B$19)/$G1434</f>
        <v>6.7490102040816327</v>
      </c>
      <c r="AA1434" cm="1">
        <f t="array" ref="AA1434">MMULT($G1434:$R1434,'Nelson Factor_2019'!$B$1:$B$12)/$G1434</f>
        <v>6.5185816326530608</v>
      </c>
    </row>
    <row r="1435" spans="1:27" x14ac:dyDescent="0.25">
      <c r="A1435">
        <v>2016</v>
      </c>
      <c r="B1435">
        <v>1</v>
      </c>
      <c r="C1435">
        <v>6</v>
      </c>
      <c r="D1435" t="s">
        <v>265</v>
      </c>
      <c r="E1435" t="s">
        <v>327</v>
      </c>
      <c r="F1435" t="s">
        <v>74</v>
      </c>
      <c r="G1435">
        <v>180690</v>
      </c>
      <c r="H1435">
        <v>99370</v>
      </c>
      <c r="I1435">
        <v>49050</v>
      </c>
      <c r="J1435">
        <v>0</v>
      </c>
      <c r="K1435">
        <v>77400</v>
      </c>
      <c r="L1435">
        <v>39420</v>
      </c>
      <c r="M1435">
        <v>20070</v>
      </c>
      <c r="N1435">
        <v>135450</v>
      </c>
      <c r="O1435">
        <v>10556</v>
      </c>
      <c r="P1435">
        <v>0</v>
      </c>
      <c r="Q1435">
        <v>4672</v>
      </c>
      <c r="R1435">
        <v>5400</v>
      </c>
      <c r="S1435">
        <v>0</v>
      </c>
      <c r="T1435">
        <v>0</v>
      </c>
      <c r="U1435">
        <v>40</v>
      </c>
      <c r="V1435">
        <v>0</v>
      </c>
      <c r="W1435">
        <v>1852</v>
      </c>
      <c r="X1435">
        <v>541</v>
      </c>
      <c r="Y1435">
        <v>0</v>
      </c>
      <c r="Z1435" cm="1">
        <f t="array" ref="Z1435">MMULT($G1435:$Y1435,'Nelson Factor_2019'!$B$1:$B$19)/$G1435</f>
        <v>12.08429354142454</v>
      </c>
      <c r="AA1435" cm="1">
        <f t="array" ref="AA1435">MMULT($G1435:$R1435,'Nelson Factor_2019'!$B$1:$B$12)/$G1435</f>
        <v>11.365493386463003</v>
      </c>
    </row>
    <row r="1436" spans="1:27" x14ac:dyDescent="0.25">
      <c r="A1436">
        <v>2016</v>
      </c>
      <c r="B1436">
        <v>5</v>
      </c>
      <c r="C1436">
        <v>1</v>
      </c>
      <c r="D1436" t="s">
        <v>266</v>
      </c>
      <c r="E1436" t="s">
        <v>316</v>
      </c>
      <c r="F1436" t="s">
        <v>328</v>
      </c>
      <c r="G1436">
        <v>54150</v>
      </c>
      <c r="H1436">
        <v>29450</v>
      </c>
      <c r="I1436">
        <v>0</v>
      </c>
      <c r="J1436">
        <v>0</v>
      </c>
      <c r="K1436">
        <v>19800</v>
      </c>
      <c r="L1436">
        <v>0</v>
      </c>
      <c r="M1436">
        <v>0</v>
      </c>
      <c r="N1436">
        <v>3150</v>
      </c>
      <c r="O1436">
        <v>4500</v>
      </c>
      <c r="P1436">
        <v>0</v>
      </c>
      <c r="Q1436">
        <v>0</v>
      </c>
      <c r="R1436">
        <v>2880</v>
      </c>
      <c r="S1436">
        <v>0</v>
      </c>
      <c r="T1436">
        <v>0</v>
      </c>
      <c r="U1436">
        <v>3</v>
      </c>
      <c r="V1436">
        <v>0</v>
      </c>
      <c r="W1436">
        <v>0</v>
      </c>
      <c r="X1436">
        <v>0</v>
      </c>
      <c r="Y1436">
        <v>0</v>
      </c>
      <c r="Z1436" cm="1">
        <f t="array" ref="Z1436">MMULT($G1436:$Y1436,'Nelson Factor_2019'!$B$1:$B$19)/$G1436</f>
        <v>5.036989843028624</v>
      </c>
      <c r="AA1436" cm="1">
        <f t="array" ref="AA1436">MMULT($G1436:$R1436,'Nelson Factor_2019'!$B$1:$B$12)/$G1436</f>
        <v>5.036934441366574</v>
      </c>
    </row>
    <row r="1437" spans="1:27" x14ac:dyDescent="0.25">
      <c r="A1437">
        <v>2016</v>
      </c>
      <c r="B1437">
        <v>5</v>
      </c>
      <c r="C1437">
        <v>2</v>
      </c>
      <c r="D1437" t="s">
        <v>266</v>
      </c>
      <c r="E1437" t="s">
        <v>329</v>
      </c>
      <c r="F1437" t="s">
        <v>330</v>
      </c>
      <c r="G1437">
        <v>90250</v>
      </c>
      <c r="H1437">
        <v>38000</v>
      </c>
      <c r="I1437">
        <v>0</v>
      </c>
      <c r="J1437">
        <v>9900</v>
      </c>
      <c r="K1437">
        <v>0</v>
      </c>
      <c r="L1437">
        <v>11700</v>
      </c>
      <c r="M1437">
        <v>11700</v>
      </c>
      <c r="N1437">
        <v>11700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0</v>
      </c>
      <c r="U1437">
        <v>18</v>
      </c>
      <c r="V1437">
        <v>0</v>
      </c>
      <c r="W1437">
        <v>0</v>
      </c>
      <c r="X1437">
        <v>34</v>
      </c>
      <c r="Y1437">
        <v>0</v>
      </c>
      <c r="Z1437" cm="1">
        <f t="array" ref="Z1437">MMULT($G1437:$Y1437,'Nelson Factor_2019'!$B$1:$B$19)/$G1437</f>
        <v>3.9490637119113572</v>
      </c>
      <c r="AA1437" cm="1">
        <f t="array" ref="AA1437">MMULT($G1437:$R1437,'Nelson Factor_2019'!$B$1:$B$12)/$G1437</f>
        <v>3.858448753462604</v>
      </c>
    </row>
    <row r="1438" spans="1:27" x14ac:dyDescent="0.25">
      <c r="A1438">
        <v>2016</v>
      </c>
      <c r="B1438">
        <v>2</v>
      </c>
      <c r="C1438">
        <v>6</v>
      </c>
      <c r="D1438" t="s">
        <v>267</v>
      </c>
      <c r="E1438" t="s">
        <v>331</v>
      </c>
      <c r="F1438" t="s">
        <v>80</v>
      </c>
      <c r="G1438">
        <v>175940</v>
      </c>
      <c r="H1438">
        <v>73340</v>
      </c>
      <c r="I1438">
        <v>36360</v>
      </c>
      <c r="J1438">
        <v>0</v>
      </c>
      <c r="K1438">
        <v>62100</v>
      </c>
      <c r="L1438">
        <v>31050</v>
      </c>
      <c r="M1438">
        <v>31050</v>
      </c>
      <c r="N1438">
        <v>201780</v>
      </c>
      <c r="O1438">
        <v>18900</v>
      </c>
      <c r="P1438">
        <v>0</v>
      </c>
      <c r="Q1438">
        <v>8460</v>
      </c>
      <c r="R1438">
        <v>0</v>
      </c>
      <c r="S1438">
        <v>0</v>
      </c>
      <c r="T1438">
        <v>0</v>
      </c>
      <c r="U1438">
        <v>12</v>
      </c>
      <c r="V1438">
        <v>0</v>
      </c>
      <c r="W1438">
        <v>1632</v>
      </c>
      <c r="X1438">
        <v>442</v>
      </c>
      <c r="Y1438">
        <v>0</v>
      </c>
      <c r="Z1438" cm="1">
        <f t="array" ref="Z1438">MMULT($G1438:$Y1438,'Nelson Factor_2019'!$B$1:$B$19)/$G1438</f>
        <v>13.00996930771854</v>
      </c>
      <c r="AA1438" cm="1">
        <f t="array" ref="AA1438">MMULT($G1438:$R1438,'Nelson Factor_2019'!$B$1:$B$12)/$G1438</f>
        <v>12.406968284642492</v>
      </c>
    </row>
    <row r="1439" spans="1:27" x14ac:dyDescent="0.25">
      <c r="A1439">
        <v>2016</v>
      </c>
      <c r="B1439">
        <v>2</v>
      </c>
      <c r="C1439">
        <v>4</v>
      </c>
      <c r="D1439" t="s">
        <v>267</v>
      </c>
      <c r="E1439" t="s">
        <v>319</v>
      </c>
      <c r="F1439" t="s">
        <v>82</v>
      </c>
      <c r="G1439">
        <v>247000</v>
      </c>
      <c r="H1439">
        <v>120365</v>
      </c>
      <c r="I1439">
        <v>53460</v>
      </c>
      <c r="J1439">
        <v>0</v>
      </c>
      <c r="K1439">
        <v>89370</v>
      </c>
      <c r="L1439">
        <v>47340</v>
      </c>
      <c r="M1439">
        <v>0</v>
      </c>
      <c r="N1439">
        <v>229140</v>
      </c>
      <c r="O1439">
        <v>26190</v>
      </c>
      <c r="P1439">
        <v>0</v>
      </c>
      <c r="Q1439">
        <v>0</v>
      </c>
      <c r="R1439">
        <v>0</v>
      </c>
      <c r="S1439">
        <v>0</v>
      </c>
      <c r="T1439">
        <v>0</v>
      </c>
      <c r="U1439">
        <v>0</v>
      </c>
      <c r="V1439">
        <v>0</v>
      </c>
      <c r="W1439">
        <v>2529</v>
      </c>
      <c r="X1439">
        <v>620</v>
      </c>
      <c r="Y1439">
        <v>13590</v>
      </c>
      <c r="Z1439" cm="1">
        <f t="array" ref="Z1439">MMULT($G1439:$Y1439,'Nelson Factor_2019'!$B$1:$B$19)/$G1439</f>
        <v>10.450524291497976</v>
      </c>
      <c r="AA1439" cm="1">
        <f t="array" ref="AA1439">MMULT($G1439:$R1439,'Nelson Factor_2019'!$B$1:$B$12)/$G1439</f>
        <v>9.7655647773279348</v>
      </c>
    </row>
    <row r="1440" spans="1:27" x14ac:dyDescent="0.25">
      <c r="A1440">
        <v>2016</v>
      </c>
      <c r="B1440">
        <v>2</v>
      </c>
      <c r="C1440">
        <v>6</v>
      </c>
      <c r="D1440" t="s">
        <v>267</v>
      </c>
      <c r="E1440" t="s">
        <v>246</v>
      </c>
      <c r="F1440" t="s">
        <v>84</v>
      </c>
      <c r="G1440">
        <v>212000</v>
      </c>
      <c r="H1440">
        <v>67900</v>
      </c>
      <c r="I1440">
        <v>28500</v>
      </c>
      <c r="J1440">
        <v>0</v>
      </c>
      <c r="K1440">
        <v>51800</v>
      </c>
      <c r="L1440">
        <v>76500</v>
      </c>
      <c r="M1440">
        <v>36100</v>
      </c>
      <c r="N1440">
        <v>179500</v>
      </c>
      <c r="O1440">
        <v>12400</v>
      </c>
      <c r="P1440">
        <v>0</v>
      </c>
      <c r="Q1440">
        <v>3100</v>
      </c>
      <c r="R1440">
        <v>15200</v>
      </c>
      <c r="S1440">
        <v>0</v>
      </c>
      <c r="T1440">
        <v>0</v>
      </c>
      <c r="U1440">
        <v>0</v>
      </c>
      <c r="V1440">
        <v>0</v>
      </c>
      <c r="W1440">
        <v>1294</v>
      </c>
      <c r="X1440">
        <v>175</v>
      </c>
      <c r="Y1440">
        <v>0</v>
      </c>
      <c r="Z1440" cm="1">
        <f t="array" ref="Z1440">MMULT($G1440:$Y1440,'Nelson Factor_2019'!$B$1:$B$19)/$G1440</f>
        <v>10.464481132075472</v>
      </c>
      <c r="AA1440" cm="1">
        <f t="array" ref="AA1440">MMULT($G1440:$R1440,'Nelson Factor_2019'!$B$1:$B$12)/$G1440</f>
        <v>10.266367924528302</v>
      </c>
    </row>
    <row r="1441" spans="1:27" x14ac:dyDescent="0.25">
      <c r="A1441">
        <v>2016</v>
      </c>
      <c r="B1441">
        <v>2</v>
      </c>
      <c r="C1441">
        <v>6</v>
      </c>
      <c r="D1441" t="s">
        <v>267</v>
      </c>
      <c r="E1441" t="s">
        <v>240</v>
      </c>
      <c r="F1441" t="s">
        <v>332</v>
      </c>
      <c r="G1441">
        <v>314000</v>
      </c>
      <c r="H1441">
        <v>187000</v>
      </c>
      <c r="I1441">
        <v>75000</v>
      </c>
      <c r="J1441">
        <v>0</v>
      </c>
      <c r="K1441">
        <v>91000</v>
      </c>
      <c r="L1441">
        <v>72000</v>
      </c>
      <c r="M1441">
        <v>49000</v>
      </c>
      <c r="N1441">
        <v>240000</v>
      </c>
      <c r="O1441">
        <v>20000</v>
      </c>
      <c r="P1441">
        <v>0</v>
      </c>
      <c r="Q1441">
        <v>4100</v>
      </c>
      <c r="R1441">
        <v>0</v>
      </c>
      <c r="S1441">
        <v>0</v>
      </c>
      <c r="T1441">
        <v>0</v>
      </c>
      <c r="U1441">
        <v>171</v>
      </c>
      <c r="V1441">
        <v>0</v>
      </c>
      <c r="W1441">
        <v>5100</v>
      </c>
      <c r="X1441">
        <v>825</v>
      </c>
      <c r="Y1441">
        <v>21000</v>
      </c>
      <c r="Z1441" cm="1">
        <f t="array" ref="Z1441">MMULT($G1441:$Y1441,'Nelson Factor_2019'!$B$1:$B$19)/$G1441</f>
        <v>11.239716560509555</v>
      </c>
      <c r="AA1441" cm="1">
        <f t="array" ref="AA1441">MMULT($G1441:$R1441,'Nelson Factor_2019'!$B$1:$B$12)/$G1441</f>
        <v>10.50828025477707</v>
      </c>
    </row>
    <row r="1442" spans="1:27" x14ac:dyDescent="0.25">
      <c r="A1442">
        <v>2016</v>
      </c>
      <c r="B1442">
        <v>2</v>
      </c>
      <c r="C1442">
        <v>4</v>
      </c>
      <c r="D1442" t="s">
        <v>268</v>
      </c>
      <c r="E1442" t="s">
        <v>333</v>
      </c>
      <c r="F1442" t="s">
        <v>86</v>
      </c>
      <c r="G1442">
        <v>406600</v>
      </c>
      <c r="H1442">
        <v>245575</v>
      </c>
      <c r="I1442">
        <v>91800</v>
      </c>
      <c r="J1442">
        <v>0</v>
      </c>
      <c r="K1442">
        <v>148500</v>
      </c>
      <c r="L1442">
        <v>57600</v>
      </c>
      <c r="M1442">
        <v>0</v>
      </c>
      <c r="N1442">
        <v>409500</v>
      </c>
      <c r="O1442">
        <v>27900</v>
      </c>
      <c r="P1442">
        <v>0</v>
      </c>
      <c r="Q1442">
        <v>0</v>
      </c>
      <c r="R1442">
        <v>23400</v>
      </c>
      <c r="S1442">
        <v>0</v>
      </c>
      <c r="T1442">
        <v>0</v>
      </c>
      <c r="U1442">
        <v>30</v>
      </c>
      <c r="V1442">
        <v>0</v>
      </c>
      <c r="W1442">
        <v>6000</v>
      </c>
      <c r="X1442">
        <v>1684</v>
      </c>
      <c r="Y1442">
        <v>26550</v>
      </c>
      <c r="Z1442" cm="1">
        <f t="array" ref="Z1442">MMULT($G1442:$Y1442,'Nelson Factor_2019'!$B$1:$B$19)/$G1442</f>
        <v>10.846808903098868</v>
      </c>
      <c r="AA1442" cm="1">
        <f t="array" ref="AA1442">MMULT($G1442:$R1442,'Nelson Factor_2019'!$B$1:$B$12)/$G1442</f>
        <v>9.754789719626169</v>
      </c>
    </row>
    <row r="1443" spans="1:27" x14ac:dyDescent="0.25">
      <c r="A1443">
        <v>2016</v>
      </c>
      <c r="B1443">
        <v>2</v>
      </c>
      <c r="C1443">
        <v>1</v>
      </c>
      <c r="D1443" t="s">
        <v>268</v>
      </c>
      <c r="E1443" t="s">
        <v>87</v>
      </c>
      <c r="F1443" t="s">
        <v>88</v>
      </c>
      <c r="G1443">
        <v>27360</v>
      </c>
      <c r="H1443">
        <v>13300</v>
      </c>
      <c r="I1443">
        <v>0</v>
      </c>
      <c r="J1443">
        <v>0</v>
      </c>
      <c r="K1443">
        <v>7560</v>
      </c>
      <c r="L1443">
        <v>5850</v>
      </c>
      <c r="M1443">
        <v>0</v>
      </c>
      <c r="N1443">
        <v>27900</v>
      </c>
      <c r="O1443">
        <v>1980</v>
      </c>
      <c r="P1443">
        <v>0</v>
      </c>
      <c r="Q1443">
        <v>0</v>
      </c>
      <c r="R1443">
        <v>2880</v>
      </c>
      <c r="S1443">
        <v>0</v>
      </c>
      <c r="T1443">
        <v>0</v>
      </c>
      <c r="U1443">
        <v>0</v>
      </c>
      <c r="V1443">
        <v>0</v>
      </c>
      <c r="W1443">
        <v>0</v>
      </c>
      <c r="X1443">
        <v>8</v>
      </c>
      <c r="Y1443">
        <v>330</v>
      </c>
      <c r="Z1443" cm="1">
        <f t="array" ref="Z1443">MMULT($G1443:$Y1443,'Nelson Factor_2019'!$B$1:$B$19)/$G1443</f>
        <v>8.0360014619883042</v>
      </c>
      <c r="AA1443" cm="1">
        <f t="array" ref="AA1443">MMULT($G1443:$R1443,'Nelson Factor_2019'!$B$1:$B$12)/$G1443</f>
        <v>7.9477339181286553</v>
      </c>
    </row>
    <row r="1444" spans="1:27" x14ac:dyDescent="0.25">
      <c r="A1444">
        <v>2016</v>
      </c>
      <c r="B1444">
        <v>2</v>
      </c>
      <c r="C1444">
        <v>4</v>
      </c>
      <c r="D1444" t="s">
        <v>269</v>
      </c>
      <c r="E1444" t="s">
        <v>334</v>
      </c>
      <c r="F1444" t="s">
        <v>91</v>
      </c>
      <c r="G1444">
        <v>118750</v>
      </c>
      <c r="H1444">
        <v>43700</v>
      </c>
      <c r="I1444">
        <v>22500</v>
      </c>
      <c r="J1444">
        <v>0</v>
      </c>
      <c r="K1444">
        <v>32400</v>
      </c>
      <c r="L1444">
        <v>23400</v>
      </c>
      <c r="M1444">
        <v>0</v>
      </c>
      <c r="N1444">
        <v>111600</v>
      </c>
      <c r="O1444">
        <v>9000</v>
      </c>
      <c r="P1444">
        <v>0</v>
      </c>
      <c r="Q1444">
        <v>0</v>
      </c>
      <c r="R1444">
        <v>0</v>
      </c>
      <c r="S1444">
        <v>0</v>
      </c>
      <c r="T1444">
        <v>0</v>
      </c>
      <c r="U1444">
        <v>0</v>
      </c>
      <c r="V1444">
        <v>0</v>
      </c>
      <c r="W1444">
        <v>1183</v>
      </c>
      <c r="X1444">
        <v>208</v>
      </c>
      <c r="Y1444">
        <v>0</v>
      </c>
      <c r="Z1444" cm="1">
        <f t="array" ref="Z1444">MMULT($G1444:$Y1444,'Nelson Factor_2019'!$B$1:$B$19)/$G1444</f>
        <v>9.0495157894736842</v>
      </c>
      <c r="AA1444" cm="1">
        <f t="array" ref="AA1444">MMULT($G1444:$R1444,'Nelson Factor_2019'!$B$1:$B$12)/$G1444</f>
        <v>8.6291368421052628</v>
      </c>
    </row>
    <row r="1445" spans="1:27" x14ac:dyDescent="0.25">
      <c r="A1445">
        <v>2016</v>
      </c>
      <c r="B1445">
        <v>2</v>
      </c>
      <c r="C1445">
        <v>4</v>
      </c>
      <c r="D1445" t="s">
        <v>269</v>
      </c>
      <c r="E1445" t="s">
        <v>335</v>
      </c>
      <c r="F1445" t="s">
        <v>45</v>
      </c>
      <c r="G1445">
        <v>133000</v>
      </c>
      <c r="H1445">
        <v>60800</v>
      </c>
      <c r="I1445">
        <v>17100</v>
      </c>
      <c r="J1445">
        <v>0</v>
      </c>
      <c r="K1445">
        <v>37800</v>
      </c>
      <c r="L1445">
        <v>27900</v>
      </c>
      <c r="M1445">
        <v>0</v>
      </c>
      <c r="N1445">
        <v>128250</v>
      </c>
      <c r="O1445">
        <v>12600</v>
      </c>
      <c r="P1445">
        <v>0</v>
      </c>
      <c r="Q1445">
        <v>1980</v>
      </c>
      <c r="R1445">
        <v>14850</v>
      </c>
      <c r="S1445">
        <v>0</v>
      </c>
      <c r="T1445">
        <v>0</v>
      </c>
      <c r="U1445">
        <v>77</v>
      </c>
      <c r="V1445">
        <v>0</v>
      </c>
      <c r="W1445">
        <v>1100</v>
      </c>
      <c r="X1445">
        <v>285</v>
      </c>
      <c r="Y1445">
        <v>3600</v>
      </c>
      <c r="Z1445" cm="1">
        <f t="array" ref="Z1445">MMULT($G1445:$Y1445,'Nelson Factor_2019'!$B$1:$B$19)/$G1445</f>
        <v>9.8589624060150385</v>
      </c>
      <c r="AA1445" cm="1">
        <f t="array" ref="AA1445">MMULT($G1445:$R1445,'Nelson Factor_2019'!$B$1:$B$12)/$G1445</f>
        <v>9.303496240601504</v>
      </c>
    </row>
    <row r="1446" spans="1:27" x14ac:dyDescent="0.25">
      <c r="A1446">
        <v>2016</v>
      </c>
      <c r="B1446">
        <v>2</v>
      </c>
      <c r="C1446">
        <v>6</v>
      </c>
      <c r="D1446" t="s">
        <v>269</v>
      </c>
      <c r="E1446" t="s">
        <v>336</v>
      </c>
      <c r="F1446" t="s">
        <v>94</v>
      </c>
      <c r="G1446">
        <v>84550</v>
      </c>
      <c r="H1446">
        <v>36100</v>
      </c>
      <c r="I1446">
        <v>22500</v>
      </c>
      <c r="J1446">
        <v>0</v>
      </c>
      <c r="K1446">
        <v>22050</v>
      </c>
      <c r="L1446">
        <v>21600</v>
      </c>
      <c r="M1446">
        <v>34650</v>
      </c>
      <c r="N1446">
        <v>73080</v>
      </c>
      <c r="O1446">
        <v>8550</v>
      </c>
      <c r="P1446">
        <v>0</v>
      </c>
      <c r="Q1446">
        <v>0</v>
      </c>
      <c r="R1446">
        <v>14220</v>
      </c>
      <c r="S1446">
        <v>0</v>
      </c>
      <c r="T1446">
        <v>0</v>
      </c>
      <c r="U1446">
        <v>34</v>
      </c>
      <c r="V1446">
        <v>0</v>
      </c>
      <c r="W1446">
        <v>593</v>
      </c>
      <c r="X1446">
        <v>152</v>
      </c>
      <c r="Y1446">
        <v>0</v>
      </c>
      <c r="Z1446" cm="1">
        <f t="array" ref="Z1446">MMULT($G1446:$Y1446,'Nelson Factor_2019'!$B$1:$B$19)/$G1446</f>
        <v>13.780059136605558</v>
      </c>
      <c r="AA1446" cm="1">
        <f t="array" ref="AA1446">MMULT($G1446:$R1446,'Nelson Factor_2019'!$B$1:$B$12)/$G1446</f>
        <v>13.348196333530455</v>
      </c>
    </row>
    <row r="1447" spans="1:27" x14ac:dyDescent="0.25">
      <c r="A1447">
        <v>2016</v>
      </c>
      <c r="B1447">
        <v>2</v>
      </c>
      <c r="C1447">
        <v>1</v>
      </c>
      <c r="D1447" t="s">
        <v>270</v>
      </c>
      <c r="E1447" t="s">
        <v>246</v>
      </c>
      <c r="F1447" t="s">
        <v>337</v>
      </c>
      <c r="G1447">
        <v>273000</v>
      </c>
      <c r="H1447">
        <v>115900</v>
      </c>
      <c r="I1447">
        <v>0</v>
      </c>
      <c r="J1447">
        <v>0</v>
      </c>
      <c r="K1447">
        <v>98800</v>
      </c>
      <c r="L1447">
        <v>47250</v>
      </c>
      <c r="M1447">
        <v>0</v>
      </c>
      <c r="N1447">
        <v>258500</v>
      </c>
      <c r="O1447">
        <v>20000</v>
      </c>
      <c r="P1447">
        <v>0</v>
      </c>
      <c r="Q1447">
        <v>10200</v>
      </c>
      <c r="R1447">
        <v>17100</v>
      </c>
      <c r="S1447">
        <v>0</v>
      </c>
      <c r="T1447">
        <v>0</v>
      </c>
      <c r="U1447">
        <v>32.299999999999997</v>
      </c>
      <c r="V1447">
        <v>0</v>
      </c>
      <c r="W1447">
        <v>0</v>
      </c>
      <c r="X1447">
        <v>386</v>
      </c>
      <c r="Y1447">
        <v>33600</v>
      </c>
      <c r="Z1447" cm="1">
        <f t="array" ref="Z1447">MMULT($G1447:$Y1447,'Nelson Factor_2019'!$B$1:$B$19)/$G1447</f>
        <v>9.1477739926739918</v>
      </c>
      <c r="AA1447" cm="1">
        <f t="array" ref="AA1447">MMULT($G1447:$R1447,'Nelson Factor_2019'!$B$1:$B$12)/$G1447</f>
        <v>8.6236996336996334</v>
      </c>
    </row>
    <row r="1448" spans="1:27" x14ac:dyDescent="0.25">
      <c r="A1448">
        <v>2016</v>
      </c>
      <c r="B1448">
        <v>2</v>
      </c>
      <c r="C1448">
        <v>0</v>
      </c>
      <c r="D1448" t="s">
        <v>270</v>
      </c>
      <c r="E1448" t="s">
        <v>338</v>
      </c>
      <c r="F1448" t="s">
        <v>98</v>
      </c>
      <c r="G1448">
        <v>5985</v>
      </c>
      <c r="H1448">
        <v>0</v>
      </c>
      <c r="I1448">
        <v>0</v>
      </c>
      <c r="J1448">
        <v>0</v>
      </c>
      <c r="K1448">
        <v>0</v>
      </c>
      <c r="L1448">
        <v>1170</v>
      </c>
      <c r="M1448">
        <v>0</v>
      </c>
      <c r="N1448">
        <v>1935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  <c r="U1448">
        <v>0</v>
      </c>
      <c r="V1448">
        <v>0</v>
      </c>
      <c r="W1448">
        <v>0</v>
      </c>
      <c r="X1448">
        <v>0</v>
      </c>
      <c r="Y1448">
        <v>0</v>
      </c>
      <c r="Z1448" cm="1">
        <f t="array" ref="Z1448">MMULT($G1448:$Y1448,'Nelson Factor_2019'!$B$1:$B$19)/$G1448</f>
        <v>2.7857142857142856</v>
      </c>
      <c r="AA1448" cm="1">
        <f t="array" ref="AA1448">MMULT($G1448:$R1448,'Nelson Factor_2019'!$B$1:$B$12)/$G1448</f>
        <v>2.7857142857142856</v>
      </c>
    </row>
    <row r="1449" spans="1:27" x14ac:dyDescent="0.25">
      <c r="A1449">
        <v>2016</v>
      </c>
      <c r="B1449">
        <v>3</v>
      </c>
      <c r="C1449">
        <v>1</v>
      </c>
      <c r="D1449" t="s">
        <v>272</v>
      </c>
      <c r="E1449" t="s">
        <v>339</v>
      </c>
      <c r="F1449" t="s">
        <v>120</v>
      </c>
      <c r="G1449">
        <v>78850</v>
      </c>
      <c r="H1449">
        <v>34390</v>
      </c>
      <c r="I1449">
        <v>0</v>
      </c>
      <c r="J1449">
        <v>0</v>
      </c>
      <c r="K1449">
        <v>30600</v>
      </c>
      <c r="L1449">
        <v>12000</v>
      </c>
      <c r="M1449">
        <v>0</v>
      </c>
      <c r="N1449">
        <v>28800</v>
      </c>
      <c r="O1449">
        <v>0</v>
      </c>
      <c r="P1449">
        <v>0</v>
      </c>
      <c r="Q1449">
        <v>0</v>
      </c>
      <c r="R1449">
        <v>5598</v>
      </c>
      <c r="S1449">
        <v>0</v>
      </c>
      <c r="T1449">
        <v>0</v>
      </c>
      <c r="U1449">
        <v>0</v>
      </c>
      <c r="V1449">
        <v>0</v>
      </c>
      <c r="W1449">
        <v>0</v>
      </c>
      <c r="X1449">
        <v>0</v>
      </c>
      <c r="Y1449">
        <v>0</v>
      </c>
      <c r="Z1449" cm="1">
        <f t="array" ref="Z1449">MMULT($G1449:$Y1449,'Nelson Factor_2019'!$B$1:$B$19)/$G1449</f>
        <v>5.7825110970196576</v>
      </c>
      <c r="AA1449" cm="1">
        <f t="array" ref="AA1449">MMULT($G1449:$R1449,'Nelson Factor_2019'!$B$1:$B$12)/$G1449</f>
        <v>5.7825110970196576</v>
      </c>
    </row>
    <row r="1450" spans="1:27" x14ac:dyDescent="0.25">
      <c r="A1450">
        <v>2016</v>
      </c>
      <c r="B1450">
        <v>3</v>
      </c>
      <c r="C1450">
        <v>0</v>
      </c>
      <c r="D1450" t="s">
        <v>272</v>
      </c>
      <c r="E1450" t="s">
        <v>340</v>
      </c>
      <c r="F1450" t="s">
        <v>101</v>
      </c>
      <c r="G1450">
        <v>80750</v>
      </c>
      <c r="H1450">
        <v>28500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0</v>
      </c>
      <c r="R1450">
        <v>3150</v>
      </c>
      <c r="S1450">
        <v>0</v>
      </c>
      <c r="T1450">
        <v>0</v>
      </c>
      <c r="U1450">
        <v>0</v>
      </c>
      <c r="V1450">
        <v>0</v>
      </c>
      <c r="W1450">
        <v>0</v>
      </c>
      <c r="X1450">
        <v>0</v>
      </c>
      <c r="Y1450">
        <v>0</v>
      </c>
      <c r="Z1450" cm="1">
        <f t="array" ref="Z1450">MMULT($G1450:$Y1450,'Nelson Factor_2019'!$B$1:$B$19)/$G1450</f>
        <v>1.5758513931888545</v>
      </c>
      <c r="AA1450" cm="1">
        <f t="array" ref="AA1450">MMULT($G1450:$R1450,'Nelson Factor_2019'!$B$1:$B$12)/$G1450</f>
        <v>1.5758513931888545</v>
      </c>
    </row>
    <row r="1451" spans="1:27" x14ac:dyDescent="0.25">
      <c r="A1451">
        <v>2016</v>
      </c>
      <c r="B1451">
        <v>3</v>
      </c>
      <c r="C1451">
        <v>0</v>
      </c>
      <c r="D1451" t="s">
        <v>272</v>
      </c>
      <c r="E1451" t="s">
        <v>341</v>
      </c>
      <c r="F1451" t="s">
        <v>103</v>
      </c>
      <c r="G1451">
        <v>13300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5580</v>
      </c>
      <c r="O1451">
        <v>0</v>
      </c>
      <c r="P1451">
        <v>0</v>
      </c>
      <c r="Q1451">
        <v>0</v>
      </c>
      <c r="R1451">
        <v>450</v>
      </c>
      <c r="S1451">
        <v>0</v>
      </c>
      <c r="T1451">
        <v>0</v>
      </c>
      <c r="U1451">
        <v>2</v>
      </c>
      <c r="V1451">
        <v>0</v>
      </c>
      <c r="W1451">
        <v>0</v>
      </c>
      <c r="X1451">
        <v>0</v>
      </c>
      <c r="Y1451">
        <v>0</v>
      </c>
      <c r="Z1451" cm="1">
        <f t="array" ref="Z1451">MMULT($G1451:$Y1451,'Nelson Factor_2019'!$B$1:$B$19)/$G1451</f>
        <v>2.1505263157894738</v>
      </c>
      <c r="AA1451" cm="1">
        <f t="array" ref="AA1451">MMULT($G1451:$R1451,'Nelson Factor_2019'!$B$1:$B$12)/$G1451</f>
        <v>2.1503759398496243</v>
      </c>
    </row>
    <row r="1452" spans="1:27" x14ac:dyDescent="0.25">
      <c r="A1452">
        <v>2016</v>
      </c>
      <c r="B1452">
        <v>3</v>
      </c>
      <c r="C1452">
        <v>2</v>
      </c>
      <c r="D1452" t="s">
        <v>272</v>
      </c>
      <c r="E1452" t="s">
        <v>341</v>
      </c>
      <c r="F1452" t="s">
        <v>104</v>
      </c>
      <c r="G1452">
        <v>8222</v>
      </c>
      <c r="H1452">
        <v>6650</v>
      </c>
      <c r="I1452">
        <v>0</v>
      </c>
      <c r="J1452">
        <v>0</v>
      </c>
      <c r="K1452">
        <v>0</v>
      </c>
      <c r="L1452">
        <v>0</v>
      </c>
      <c r="M1452">
        <v>8000</v>
      </c>
      <c r="N1452">
        <v>0</v>
      </c>
      <c r="O1452">
        <v>0</v>
      </c>
      <c r="P1452">
        <v>0</v>
      </c>
      <c r="Q1452">
        <v>0</v>
      </c>
      <c r="R1452">
        <v>0</v>
      </c>
      <c r="S1452">
        <v>6300</v>
      </c>
      <c r="T1452">
        <v>0</v>
      </c>
      <c r="U1452">
        <v>4</v>
      </c>
      <c r="V1452">
        <v>0</v>
      </c>
      <c r="W1452">
        <v>0</v>
      </c>
      <c r="X1452">
        <v>3</v>
      </c>
      <c r="Y1452">
        <v>1800</v>
      </c>
      <c r="Z1452" cm="1">
        <f t="array" ref="Z1452">MMULT($G1452:$Y1452,'Nelson Factor_2019'!$B$1:$B$19)/$G1452</f>
        <v>56.226100705424471</v>
      </c>
      <c r="AA1452" cm="1">
        <f t="array" ref="AA1452">MMULT($G1452:$R1452,'Nelson Factor_2019'!$B$1:$B$12)/$G1452</f>
        <v>9.8354414984188754</v>
      </c>
    </row>
    <row r="1453" spans="1:27" x14ac:dyDescent="0.25">
      <c r="A1453">
        <v>2016</v>
      </c>
      <c r="B1453">
        <v>3</v>
      </c>
      <c r="C1453">
        <v>2</v>
      </c>
      <c r="D1453" t="s">
        <v>272</v>
      </c>
      <c r="E1453" t="s">
        <v>341</v>
      </c>
      <c r="F1453" t="s">
        <v>105</v>
      </c>
      <c r="G1453">
        <v>57000</v>
      </c>
      <c r="H1453">
        <v>26600</v>
      </c>
      <c r="I1453">
        <v>0</v>
      </c>
      <c r="J1453">
        <v>0</v>
      </c>
      <c r="K1453">
        <v>0</v>
      </c>
      <c r="L1453">
        <v>10800</v>
      </c>
      <c r="M1453">
        <v>8500</v>
      </c>
      <c r="N1453">
        <v>47070</v>
      </c>
      <c r="O1453">
        <v>0</v>
      </c>
      <c r="P1453">
        <v>0</v>
      </c>
      <c r="Q1453">
        <v>0</v>
      </c>
      <c r="R1453">
        <v>0</v>
      </c>
      <c r="S1453">
        <v>11250</v>
      </c>
      <c r="T1453">
        <v>0</v>
      </c>
      <c r="U1453">
        <v>12</v>
      </c>
      <c r="V1453">
        <v>0</v>
      </c>
      <c r="W1453">
        <v>0</v>
      </c>
      <c r="X1453">
        <v>36</v>
      </c>
      <c r="Y1453">
        <v>5850</v>
      </c>
      <c r="Z1453" cm="1">
        <f t="array" ref="Z1453">MMULT($G1453:$Y1453,'Nelson Factor_2019'!$B$1:$B$19)/$G1453</f>
        <v>17.959333333333333</v>
      </c>
      <c r="AA1453" cm="1">
        <f t="array" ref="AA1453">MMULT($G1453:$R1453,'Nelson Factor_2019'!$B$1:$B$12)/$G1453</f>
        <v>5.8114912280701754</v>
      </c>
    </row>
    <row r="1454" spans="1:27" x14ac:dyDescent="0.25">
      <c r="A1454">
        <v>2016</v>
      </c>
      <c r="B1454">
        <v>3</v>
      </c>
      <c r="C1454">
        <v>2</v>
      </c>
      <c r="D1454" t="s">
        <v>272</v>
      </c>
      <c r="E1454" t="s">
        <v>342</v>
      </c>
      <c r="F1454" t="s">
        <v>343</v>
      </c>
      <c r="G1454">
        <v>93000</v>
      </c>
      <c r="H1454">
        <v>0</v>
      </c>
      <c r="I1454">
        <v>0</v>
      </c>
      <c r="J1454">
        <v>0</v>
      </c>
      <c r="K1454">
        <v>0</v>
      </c>
      <c r="L1454">
        <v>6000</v>
      </c>
      <c r="M1454">
        <v>28000</v>
      </c>
      <c r="N1454">
        <v>38000</v>
      </c>
      <c r="O1454">
        <v>0</v>
      </c>
      <c r="P1454">
        <v>0</v>
      </c>
      <c r="Q1454">
        <v>0</v>
      </c>
      <c r="R1454">
        <v>0</v>
      </c>
      <c r="S1454">
        <v>0</v>
      </c>
      <c r="T1454">
        <v>0</v>
      </c>
      <c r="U1454">
        <v>0</v>
      </c>
      <c r="V1454">
        <v>0</v>
      </c>
      <c r="W1454">
        <v>0</v>
      </c>
      <c r="X1454">
        <v>0</v>
      </c>
      <c r="Y1454">
        <v>0</v>
      </c>
      <c r="Z1454" cm="1">
        <f t="array" ref="Z1454">MMULT($G1454:$Y1454,'Nelson Factor_2019'!$B$1:$B$19)/$G1454</f>
        <v>4.752688172043011</v>
      </c>
      <c r="AA1454" cm="1">
        <f t="array" ref="AA1454">MMULT($G1454:$R1454,'Nelson Factor_2019'!$B$1:$B$12)/$G1454</f>
        <v>4.752688172043011</v>
      </c>
    </row>
    <row r="1455" spans="1:27" x14ac:dyDescent="0.25">
      <c r="A1455">
        <v>2016</v>
      </c>
      <c r="B1455">
        <v>3</v>
      </c>
      <c r="C1455">
        <v>4</v>
      </c>
      <c r="D1455" t="s">
        <v>272</v>
      </c>
      <c r="E1455" t="s">
        <v>233</v>
      </c>
      <c r="F1455" t="s">
        <v>110</v>
      </c>
      <c r="G1455">
        <v>185250</v>
      </c>
      <c r="H1455">
        <v>110865</v>
      </c>
      <c r="I1455">
        <v>27000</v>
      </c>
      <c r="J1455">
        <v>0</v>
      </c>
      <c r="K1455">
        <v>68040</v>
      </c>
      <c r="L1455">
        <v>20700</v>
      </c>
      <c r="M1455">
        <v>0</v>
      </c>
      <c r="N1455">
        <v>144720</v>
      </c>
      <c r="O1455">
        <v>15120</v>
      </c>
      <c r="P1455">
        <v>0</v>
      </c>
      <c r="Q1455">
        <v>5220</v>
      </c>
      <c r="R1455">
        <v>7380</v>
      </c>
      <c r="S1455">
        <v>0</v>
      </c>
      <c r="T1455">
        <v>0</v>
      </c>
      <c r="U1455">
        <v>0</v>
      </c>
      <c r="V1455">
        <v>0</v>
      </c>
      <c r="W1455">
        <v>1224</v>
      </c>
      <c r="X1455">
        <v>848</v>
      </c>
      <c r="Y1455">
        <v>0</v>
      </c>
      <c r="Z1455" cm="1">
        <f t="array" ref="Z1455">MMULT($G1455:$Y1455,'Nelson Factor_2019'!$B$1:$B$19)/$G1455</f>
        <v>10.184477732793523</v>
      </c>
      <c r="AA1455" cm="1">
        <f t="array" ref="AA1455">MMULT($G1455:$R1455,'Nelson Factor_2019'!$B$1:$B$12)/$G1455</f>
        <v>9.0858542510121456</v>
      </c>
    </row>
    <row r="1456" spans="1:27" x14ac:dyDescent="0.25">
      <c r="A1456">
        <v>2016</v>
      </c>
      <c r="B1456">
        <v>3</v>
      </c>
      <c r="C1456">
        <v>6</v>
      </c>
      <c r="D1456" t="s">
        <v>272</v>
      </c>
      <c r="E1456" t="s">
        <v>344</v>
      </c>
      <c r="F1456" t="s">
        <v>101</v>
      </c>
      <c r="G1456">
        <v>418000</v>
      </c>
      <c r="H1456">
        <v>218500</v>
      </c>
      <c r="I1456">
        <v>99000</v>
      </c>
      <c r="J1456">
        <v>0</v>
      </c>
      <c r="K1456">
        <v>135900</v>
      </c>
      <c r="L1456">
        <v>99000</v>
      </c>
      <c r="M1456">
        <v>42570</v>
      </c>
      <c r="N1456">
        <v>360180</v>
      </c>
      <c r="O1456">
        <v>21600</v>
      </c>
      <c r="P1456">
        <v>0</v>
      </c>
      <c r="Q1456">
        <v>15480</v>
      </c>
      <c r="R1456">
        <v>25200</v>
      </c>
      <c r="S1456">
        <v>0</v>
      </c>
      <c r="T1456">
        <v>0</v>
      </c>
      <c r="U1456">
        <v>0</v>
      </c>
      <c r="V1456">
        <v>0</v>
      </c>
      <c r="W1456">
        <v>4080</v>
      </c>
      <c r="X1456">
        <v>650</v>
      </c>
      <c r="Y1456">
        <v>0</v>
      </c>
      <c r="Z1456" cm="1">
        <f t="array" ref="Z1456">MMULT($G1456:$Y1456,'Nelson Factor_2019'!$B$1:$B$19)/$G1456</f>
        <v>11.371196172248803</v>
      </c>
      <c r="AA1456" cm="1">
        <f t="array" ref="AA1456">MMULT($G1456:$R1456,'Nelson Factor_2019'!$B$1:$B$12)/$G1456</f>
        <v>10.997990430622009</v>
      </c>
    </row>
    <row r="1457" spans="1:27" x14ac:dyDescent="0.25">
      <c r="A1457">
        <v>2016</v>
      </c>
      <c r="B1457">
        <v>3</v>
      </c>
      <c r="C1457">
        <v>4</v>
      </c>
      <c r="D1457" t="s">
        <v>272</v>
      </c>
      <c r="E1457" t="s">
        <v>317</v>
      </c>
      <c r="F1457" t="s">
        <v>107</v>
      </c>
      <c r="G1457">
        <v>247000</v>
      </c>
      <c r="H1457">
        <v>97900</v>
      </c>
      <c r="I1457">
        <v>23400</v>
      </c>
      <c r="J1457">
        <v>0</v>
      </c>
      <c r="K1457">
        <v>96300</v>
      </c>
      <c r="L1457">
        <v>43600</v>
      </c>
      <c r="M1457">
        <v>0</v>
      </c>
      <c r="N1457">
        <v>203700</v>
      </c>
      <c r="O1457">
        <v>34200</v>
      </c>
      <c r="P1457">
        <v>0</v>
      </c>
      <c r="Q1457">
        <v>38100</v>
      </c>
      <c r="R1457">
        <v>0</v>
      </c>
      <c r="S1457">
        <v>0</v>
      </c>
      <c r="T1457">
        <v>0</v>
      </c>
      <c r="U1457">
        <v>10.4</v>
      </c>
      <c r="V1457">
        <v>0</v>
      </c>
      <c r="W1457">
        <v>1100</v>
      </c>
      <c r="X1457">
        <v>80</v>
      </c>
      <c r="Y1457">
        <v>0</v>
      </c>
      <c r="Z1457" cm="1">
        <f t="array" ref="Z1457">MMULT($G1457:$Y1457,'Nelson Factor_2019'!$B$1:$B$19)/$G1457</f>
        <v>12.056803238866397</v>
      </c>
      <c r="AA1457" cm="1">
        <f t="array" ref="AA1457">MMULT($G1457:$R1457,'Nelson Factor_2019'!$B$1:$B$12)/$G1457</f>
        <v>11.979028340080971</v>
      </c>
    </row>
    <row r="1458" spans="1:27" x14ac:dyDescent="0.25">
      <c r="A1458">
        <v>2016</v>
      </c>
      <c r="B1458">
        <v>3</v>
      </c>
      <c r="C1458">
        <v>6</v>
      </c>
      <c r="D1458" t="s">
        <v>272</v>
      </c>
      <c r="E1458" t="s">
        <v>317</v>
      </c>
      <c r="F1458" t="s">
        <v>108</v>
      </c>
      <c r="G1458">
        <v>249000</v>
      </c>
      <c r="H1458">
        <v>110600</v>
      </c>
      <c r="I1458">
        <v>61000</v>
      </c>
      <c r="J1458">
        <v>0</v>
      </c>
      <c r="K1458">
        <v>46100</v>
      </c>
      <c r="L1458">
        <v>43200</v>
      </c>
      <c r="M1458">
        <v>63000</v>
      </c>
      <c r="N1458">
        <v>232900</v>
      </c>
      <c r="O1458">
        <v>7700</v>
      </c>
      <c r="P1458">
        <v>0</v>
      </c>
      <c r="Q1458">
        <v>0</v>
      </c>
      <c r="R1458">
        <v>0</v>
      </c>
      <c r="S1458">
        <v>14850</v>
      </c>
      <c r="T1458">
        <v>0</v>
      </c>
      <c r="U1458">
        <v>127</v>
      </c>
      <c r="V1458">
        <v>0</v>
      </c>
      <c r="W1458">
        <v>3600</v>
      </c>
      <c r="X1458">
        <v>337</v>
      </c>
      <c r="Y1458">
        <v>0</v>
      </c>
      <c r="Z1458" cm="1">
        <f t="array" ref="Z1458">MMULT($G1458:$Y1458,'Nelson Factor_2019'!$B$1:$B$19)/$G1458</f>
        <v>13.968421686746987</v>
      </c>
      <c r="AA1458" cm="1">
        <f t="array" ref="AA1458">MMULT($G1458:$R1458,'Nelson Factor_2019'!$B$1:$B$12)/$G1458</f>
        <v>10.064779116465864</v>
      </c>
    </row>
    <row r="1459" spans="1:27" x14ac:dyDescent="0.25">
      <c r="A1459">
        <v>2016</v>
      </c>
      <c r="B1459">
        <v>3</v>
      </c>
      <c r="C1459">
        <v>6</v>
      </c>
      <c r="D1459" t="s">
        <v>272</v>
      </c>
      <c r="E1459" t="s">
        <v>319</v>
      </c>
      <c r="F1459" t="s">
        <v>109</v>
      </c>
      <c r="G1459">
        <v>497040</v>
      </c>
      <c r="H1459">
        <v>233795</v>
      </c>
      <c r="I1459">
        <v>111150</v>
      </c>
      <c r="J1459">
        <v>0</v>
      </c>
      <c r="K1459">
        <v>220050</v>
      </c>
      <c r="L1459">
        <v>68400</v>
      </c>
      <c r="M1459">
        <v>24300</v>
      </c>
      <c r="N1459">
        <v>283320</v>
      </c>
      <c r="O1459">
        <v>36900</v>
      </c>
      <c r="P1459">
        <v>0</v>
      </c>
      <c r="Q1459">
        <v>0</v>
      </c>
      <c r="R1459">
        <v>0</v>
      </c>
      <c r="S1459">
        <v>0</v>
      </c>
      <c r="T1459">
        <v>0</v>
      </c>
      <c r="U1459">
        <v>0</v>
      </c>
      <c r="V1459">
        <v>0</v>
      </c>
      <c r="W1459">
        <v>4287</v>
      </c>
      <c r="X1459">
        <v>726</v>
      </c>
      <c r="Y1459">
        <v>0</v>
      </c>
      <c r="Z1459" cm="1">
        <f t="array" ref="Z1459">MMULT($G1459:$Y1459,'Nelson Factor_2019'!$B$1:$B$19)/$G1459</f>
        <v>9.5421666264284557</v>
      </c>
      <c r="AA1459" cm="1">
        <f t="array" ref="AA1459">MMULT($G1459:$R1459,'Nelson Factor_2019'!$B$1:$B$12)/$G1459</f>
        <v>9.1916113391276362</v>
      </c>
    </row>
    <row r="1460" spans="1:27" x14ac:dyDescent="0.25">
      <c r="A1460">
        <v>2016</v>
      </c>
      <c r="B1460">
        <v>3</v>
      </c>
      <c r="C1460">
        <v>6</v>
      </c>
      <c r="D1460" t="s">
        <v>272</v>
      </c>
      <c r="E1460" t="s">
        <v>246</v>
      </c>
      <c r="F1460" t="s">
        <v>111</v>
      </c>
      <c r="G1460">
        <v>539000</v>
      </c>
      <c r="H1460">
        <v>282200</v>
      </c>
      <c r="I1460">
        <v>88800</v>
      </c>
      <c r="J1460">
        <v>0</v>
      </c>
      <c r="K1460">
        <v>131100</v>
      </c>
      <c r="L1460">
        <v>121600</v>
      </c>
      <c r="M1460">
        <v>111200</v>
      </c>
      <c r="N1460">
        <v>538700</v>
      </c>
      <c r="O1460">
        <v>31400</v>
      </c>
      <c r="P1460">
        <v>0</v>
      </c>
      <c r="Q1460">
        <v>0</v>
      </c>
      <c r="R1460">
        <v>47100</v>
      </c>
      <c r="S1460">
        <v>0</v>
      </c>
      <c r="T1460">
        <v>0</v>
      </c>
      <c r="U1460">
        <v>144</v>
      </c>
      <c r="V1460">
        <v>0</v>
      </c>
      <c r="W1460">
        <v>5672</v>
      </c>
      <c r="X1460">
        <v>1274</v>
      </c>
      <c r="Y1460">
        <v>31400</v>
      </c>
      <c r="Z1460" cm="1">
        <f t="array" ref="Z1460">MMULT($G1460:$Y1460,'Nelson Factor_2019'!$B$1:$B$19)/$G1460</f>
        <v>11.152345083487941</v>
      </c>
      <c r="AA1460" cm="1">
        <f t="array" ref="AA1460">MMULT($G1460:$R1460,'Nelson Factor_2019'!$B$1:$B$12)/$G1460</f>
        <v>10.497421150278294</v>
      </c>
    </row>
    <row r="1461" spans="1:27" x14ac:dyDescent="0.25">
      <c r="A1461">
        <v>2016</v>
      </c>
      <c r="B1461">
        <v>3</v>
      </c>
      <c r="C1461">
        <v>3</v>
      </c>
      <c r="D1461" t="s">
        <v>272</v>
      </c>
      <c r="E1461" t="s">
        <v>345</v>
      </c>
      <c r="F1461" t="s">
        <v>113</v>
      </c>
      <c r="G1461">
        <v>242250</v>
      </c>
      <c r="H1461">
        <v>113430</v>
      </c>
      <c r="I1461">
        <v>0</v>
      </c>
      <c r="J1461">
        <v>0</v>
      </c>
      <c r="K1461">
        <v>82800</v>
      </c>
      <c r="L1461">
        <v>36000</v>
      </c>
      <c r="M1461">
        <v>46800</v>
      </c>
      <c r="N1461">
        <v>223020</v>
      </c>
      <c r="O1461">
        <v>14850</v>
      </c>
      <c r="P1461">
        <v>0</v>
      </c>
      <c r="Q1461">
        <v>0</v>
      </c>
      <c r="R1461">
        <v>11250</v>
      </c>
      <c r="S1461">
        <v>0</v>
      </c>
      <c r="T1461">
        <v>0</v>
      </c>
      <c r="U1461">
        <v>0</v>
      </c>
      <c r="V1461">
        <v>0</v>
      </c>
      <c r="W1461">
        <v>0</v>
      </c>
      <c r="X1461">
        <v>660</v>
      </c>
      <c r="Y1461">
        <v>0</v>
      </c>
      <c r="Z1461" cm="1">
        <f t="array" ref="Z1461">MMULT($G1461:$Y1461,'Nelson Factor_2019'!$B$1:$B$19)/$G1461</f>
        <v>9.655764705882353</v>
      </c>
      <c r="AA1461" cm="1">
        <f t="array" ref="AA1461">MMULT($G1461:$R1461,'Nelson Factor_2019'!$B$1:$B$12)/$G1461</f>
        <v>9.0018947368421056</v>
      </c>
    </row>
    <row r="1462" spans="1:27" x14ac:dyDescent="0.25">
      <c r="A1462">
        <v>2016</v>
      </c>
      <c r="B1462">
        <v>3</v>
      </c>
      <c r="C1462">
        <v>6</v>
      </c>
      <c r="D1462" t="s">
        <v>272</v>
      </c>
      <c r="E1462" t="s">
        <v>345</v>
      </c>
      <c r="F1462" t="s">
        <v>114</v>
      </c>
      <c r="G1462">
        <v>235000</v>
      </c>
      <c r="H1462">
        <v>78000</v>
      </c>
      <c r="I1462">
        <v>25000</v>
      </c>
      <c r="J1462">
        <v>0</v>
      </c>
      <c r="K1462">
        <v>107000</v>
      </c>
      <c r="L1462">
        <v>20000</v>
      </c>
      <c r="M1462">
        <v>39000</v>
      </c>
      <c r="N1462">
        <v>123500</v>
      </c>
      <c r="O1462">
        <v>14000</v>
      </c>
      <c r="P1462">
        <v>0</v>
      </c>
      <c r="Q1462">
        <v>0</v>
      </c>
      <c r="R1462">
        <v>0</v>
      </c>
      <c r="S1462">
        <v>0</v>
      </c>
      <c r="T1462">
        <v>0</v>
      </c>
      <c r="U1462">
        <v>0</v>
      </c>
      <c r="V1462">
        <v>0</v>
      </c>
      <c r="W1462">
        <v>1020</v>
      </c>
      <c r="X1462">
        <v>140</v>
      </c>
      <c r="Y1462">
        <v>0</v>
      </c>
      <c r="Z1462" cm="1">
        <f t="array" ref="Z1462">MMULT($G1462:$Y1462,'Nelson Factor_2019'!$B$1:$B$19)/$G1462</f>
        <v>8.7670212765957451</v>
      </c>
      <c r="AA1462" cm="1">
        <f t="array" ref="AA1462">MMULT($G1462:$R1462,'Nelson Factor_2019'!$B$1:$B$12)/$G1462</f>
        <v>8.6240425531914902</v>
      </c>
    </row>
    <row r="1463" spans="1:27" x14ac:dyDescent="0.25">
      <c r="A1463">
        <v>2016</v>
      </c>
      <c r="B1463">
        <v>3</v>
      </c>
      <c r="C1463">
        <v>1</v>
      </c>
      <c r="D1463" t="s">
        <v>272</v>
      </c>
      <c r="E1463" t="s">
        <v>117</v>
      </c>
      <c r="F1463" t="s">
        <v>118</v>
      </c>
      <c r="G1463">
        <v>77900</v>
      </c>
      <c r="H1463">
        <v>25650</v>
      </c>
      <c r="I1463">
        <v>0</v>
      </c>
      <c r="J1463">
        <v>0</v>
      </c>
      <c r="K1463">
        <v>22950</v>
      </c>
      <c r="L1463">
        <v>9900</v>
      </c>
      <c r="M1463">
        <v>0</v>
      </c>
      <c r="N1463">
        <v>50400</v>
      </c>
      <c r="O1463">
        <v>6750</v>
      </c>
      <c r="P1463">
        <v>0</v>
      </c>
      <c r="Q1463">
        <v>0</v>
      </c>
      <c r="R1463">
        <v>0</v>
      </c>
      <c r="S1463">
        <v>0</v>
      </c>
      <c r="T1463">
        <v>0</v>
      </c>
      <c r="U1463">
        <v>0</v>
      </c>
      <c r="V1463">
        <v>0</v>
      </c>
      <c r="W1463">
        <v>0</v>
      </c>
      <c r="X1463">
        <v>50</v>
      </c>
      <c r="Y1463">
        <v>0</v>
      </c>
      <c r="Z1463" cm="1">
        <f t="array" ref="Z1463">MMULT($G1463:$Y1463,'Nelson Factor_2019'!$B$1:$B$19)/$G1463</f>
        <v>6.4691270860077026</v>
      </c>
      <c r="AA1463" cm="1">
        <f t="array" ref="AA1463">MMULT($G1463:$R1463,'Nelson Factor_2019'!$B$1:$B$12)/$G1463</f>
        <v>6.3150834403080873</v>
      </c>
    </row>
    <row r="1464" spans="1:27" x14ac:dyDescent="0.25">
      <c r="A1464">
        <v>2016</v>
      </c>
      <c r="B1464">
        <v>3</v>
      </c>
      <c r="C1464">
        <v>0</v>
      </c>
      <c r="D1464" t="s">
        <v>272</v>
      </c>
      <c r="E1464" t="s">
        <v>322</v>
      </c>
      <c r="F1464" t="s">
        <v>346</v>
      </c>
      <c r="G1464">
        <v>43700</v>
      </c>
      <c r="H1464">
        <v>23750</v>
      </c>
      <c r="I1464">
        <v>0</v>
      </c>
      <c r="J1464">
        <v>0</v>
      </c>
      <c r="K1464">
        <v>0</v>
      </c>
      <c r="L1464">
        <v>0</v>
      </c>
      <c r="M1464">
        <v>0</v>
      </c>
      <c r="N1464">
        <v>0</v>
      </c>
      <c r="O1464">
        <v>0</v>
      </c>
      <c r="P1464">
        <v>0</v>
      </c>
      <c r="Q1464">
        <v>0</v>
      </c>
      <c r="R1464">
        <v>0</v>
      </c>
      <c r="S1464">
        <v>0</v>
      </c>
      <c r="T1464">
        <v>0</v>
      </c>
      <c r="U1464">
        <v>0</v>
      </c>
      <c r="V1464">
        <v>0</v>
      </c>
      <c r="W1464">
        <v>0</v>
      </c>
      <c r="X1464">
        <v>0</v>
      </c>
      <c r="Y1464">
        <v>11700</v>
      </c>
      <c r="Z1464" cm="1">
        <f t="array" ref="Z1464">MMULT($G1464:$Y1464,'Nelson Factor_2019'!$B$1:$B$19)/$G1464</f>
        <v>2.1081235697940501</v>
      </c>
      <c r="AA1464" cm="1">
        <f t="array" ref="AA1464">MMULT($G1464:$R1464,'Nelson Factor_2019'!$B$1:$B$12)/$G1464</f>
        <v>1.7065217391304348</v>
      </c>
    </row>
    <row r="1465" spans="1:27" x14ac:dyDescent="0.25">
      <c r="A1465">
        <v>2016</v>
      </c>
      <c r="B1465">
        <v>3</v>
      </c>
      <c r="C1465">
        <v>3</v>
      </c>
      <c r="D1465" t="s">
        <v>272</v>
      </c>
      <c r="E1465" t="s">
        <v>66</v>
      </c>
      <c r="F1465" t="s">
        <v>116</v>
      </c>
      <c r="G1465">
        <v>121600</v>
      </c>
      <c r="H1465">
        <v>57000</v>
      </c>
      <c r="I1465">
        <v>0</v>
      </c>
      <c r="J1465">
        <v>0</v>
      </c>
      <c r="K1465">
        <v>28800</v>
      </c>
      <c r="L1465">
        <v>0</v>
      </c>
      <c r="M1465">
        <v>42300</v>
      </c>
      <c r="N1465">
        <v>91260</v>
      </c>
      <c r="O1465">
        <v>0</v>
      </c>
      <c r="P1465">
        <v>0</v>
      </c>
      <c r="Q1465">
        <v>0</v>
      </c>
      <c r="R1465">
        <v>0</v>
      </c>
      <c r="S1465">
        <v>0</v>
      </c>
      <c r="T1465">
        <v>0</v>
      </c>
      <c r="U1465">
        <v>0</v>
      </c>
      <c r="V1465">
        <v>0</v>
      </c>
      <c r="W1465">
        <v>0</v>
      </c>
      <c r="X1465">
        <v>163</v>
      </c>
      <c r="Y1465">
        <v>0</v>
      </c>
      <c r="Z1465" cm="1">
        <f t="array" ref="Z1465">MMULT($G1465:$Y1465,'Nelson Factor_2019'!$B$1:$B$19)/$G1465</f>
        <v>8.0112664473684205</v>
      </c>
      <c r="AA1465" cm="1">
        <f t="array" ref="AA1465">MMULT($G1465:$R1465,'Nelson Factor_2019'!$B$1:$B$12)/$G1465</f>
        <v>7.6895559210526319</v>
      </c>
    </row>
    <row r="1466" spans="1:27" x14ac:dyDescent="0.25">
      <c r="A1466">
        <v>2016</v>
      </c>
      <c r="B1466">
        <v>3</v>
      </c>
      <c r="C1466">
        <v>6</v>
      </c>
      <c r="D1466" t="s">
        <v>272</v>
      </c>
      <c r="E1466" t="s">
        <v>347</v>
      </c>
      <c r="F1466" t="s">
        <v>114</v>
      </c>
      <c r="G1466">
        <v>209000</v>
      </c>
      <c r="H1466">
        <v>152000</v>
      </c>
      <c r="I1466">
        <v>75600</v>
      </c>
      <c r="J1466">
        <v>0</v>
      </c>
      <c r="K1466">
        <v>90000</v>
      </c>
      <c r="L1466">
        <v>24750</v>
      </c>
      <c r="M1466">
        <v>92700</v>
      </c>
      <c r="N1466">
        <v>210600</v>
      </c>
      <c r="O1466">
        <v>18900</v>
      </c>
      <c r="P1466">
        <v>0</v>
      </c>
      <c r="Q1466">
        <v>2700</v>
      </c>
      <c r="R1466">
        <v>0</v>
      </c>
      <c r="S1466">
        <v>0</v>
      </c>
      <c r="T1466">
        <v>0</v>
      </c>
      <c r="U1466">
        <v>100</v>
      </c>
      <c r="V1466">
        <v>0</v>
      </c>
      <c r="W1466">
        <v>3536</v>
      </c>
      <c r="X1466">
        <v>798</v>
      </c>
      <c r="Y1466">
        <v>0</v>
      </c>
      <c r="Z1466" cm="1">
        <f t="array" ref="Z1466">MMULT($G1466:$Y1466,'Nelson Factor_2019'!$B$1:$B$19)/$G1466</f>
        <v>15.981196172248804</v>
      </c>
      <c r="AA1466" cm="1">
        <f t="array" ref="AA1466">MMULT($G1466:$R1466,'Nelson Factor_2019'!$B$1:$B$12)/$G1466</f>
        <v>15.064354066985645</v>
      </c>
    </row>
    <row r="1467" spans="1:27" x14ac:dyDescent="0.25">
      <c r="A1467">
        <v>2016</v>
      </c>
      <c r="B1467">
        <v>2</v>
      </c>
      <c r="C1467">
        <v>4</v>
      </c>
      <c r="D1467" t="s">
        <v>273</v>
      </c>
      <c r="E1467" t="s">
        <v>348</v>
      </c>
      <c r="F1467" t="s">
        <v>122</v>
      </c>
      <c r="G1467">
        <v>132000</v>
      </c>
      <c r="H1467">
        <v>73600</v>
      </c>
      <c r="I1467">
        <v>28500</v>
      </c>
      <c r="J1467">
        <v>0</v>
      </c>
      <c r="K1467">
        <v>38000</v>
      </c>
      <c r="L1467">
        <v>20400</v>
      </c>
      <c r="M1467">
        <v>0</v>
      </c>
      <c r="N1467">
        <v>123500</v>
      </c>
      <c r="O1467">
        <v>6700</v>
      </c>
      <c r="P1467">
        <v>0</v>
      </c>
      <c r="Q1467">
        <v>0</v>
      </c>
      <c r="R1467">
        <v>0</v>
      </c>
      <c r="S1467">
        <v>0</v>
      </c>
      <c r="T1467">
        <v>0</v>
      </c>
      <c r="U1467">
        <v>58.9</v>
      </c>
      <c r="V1467">
        <v>0</v>
      </c>
      <c r="W1467">
        <v>1819</v>
      </c>
      <c r="X1467">
        <v>397</v>
      </c>
      <c r="Y1467">
        <v>21900</v>
      </c>
      <c r="Z1467" cm="1">
        <f t="array" ref="Z1467">MMULT($G1467:$Y1467,'Nelson Factor_2019'!$B$1:$B$19)/$G1467</f>
        <v>9.661885606060606</v>
      </c>
      <c r="AA1467" cm="1">
        <f t="array" ref="AA1467">MMULT($G1467:$R1467,'Nelson Factor_2019'!$B$1:$B$12)/$G1467</f>
        <v>8.6907575757575763</v>
      </c>
    </row>
    <row r="1468" spans="1:27" x14ac:dyDescent="0.25">
      <c r="A1468">
        <v>2016</v>
      </c>
      <c r="B1468">
        <v>2</v>
      </c>
      <c r="C1468">
        <v>6</v>
      </c>
      <c r="D1468" t="s">
        <v>274</v>
      </c>
      <c r="E1468" t="s">
        <v>349</v>
      </c>
      <c r="F1468" t="s">
        <v>350</v>
      </c>
      <c r="G1468">
        <v>322050</v>
      </c>
      <c r="H1468">
        <v>222300</v>
      </c>
      <c r="I1468">
        <v>60300</v>
      </c>
      <c r="J1468">
        <v>0</v>
      </c>
      <c r="K1468">
        <v>78300</v>
      </c>
      <c r="L1468">
        <v>45720</v>
      </c>
      <c r="M1468">
        <v>45000</v>
      </c>
      <c r="N1468">
        <v>292500</v>
      </c>
      <c r="O1468">
        <v>11250</v>
      </c>
      <c r="P1468">
        <v>0</v>
      </c>
      <c r="Q1468">
        <v>0</v>
      </c>
      <c r="R1468">
        <v>16200</v>
      </c>
      <c r="S1468">
        <v>0</v>
      </c>
      <c r="T1468">
        <v>0</v>
      </c>
      <c r="U1468">
        <v>176</v>
      </c>
      <c r="V1468">
        <v>0</v>
      </c>
      <c r="W1468">
        <v>3114</v>
      </c>
      <c r="X1468">
        <v>1036</v>
      </c>
      <c r="Y1468">
        <v>40500</v>
      </c>
      <c r="Z1468" cm="1">
        <f t="array" ref="Z1468">MMULT($G1468:$Y1468,'Nelson Factor_2019'!$B$1:$B$19)/$G1468</f>
        <v>10.320155255395125</v>
      </c>
      <c r="AA1468" cm="1">
        <f t="array" ref="AA1468">MMULT($G1468:$R1468,'Nelson Factor_2019'!$B$1:$B$12)/$G1468</f>
        <v>9.3589194224499295</v>
      </c>
    </row>
    <row r="1469" spans="1:27" x14ac:dyDescent="0.25">
      <c r="A1469">
        <v>2016</v>
      </c>
      <c r="B1469">
        <v>2</v>
      </c>
      <c r="C1469">
        <v>1</v>
      </c>
      <c r="D1469" t="s">
        <v>274</v>
      </c>
      <c r="E1469" t="s">
        <v>351</v>
      </c>
      <c r="F1469" t="s">
        <v>125</v>
      </c>
      <c r="G1469">
        <v>92910</v>
      </c>
      <c r="H1469">
        <v>41325</v>
      </c>
      <c r="I1469">
        <v>0</v>
      </c>
      <c r="J1469">
        <v>0</v>
      </c>
      <c r="K1469">
        <v>27900</v>
      </c>
      <c r="L1469">
        <v>22050</v>
      </c>
      <c r="M1469">
        <v>0</v>
      </c>
      <c r="N1469">
        <v>85140</v>
      </c>
      <c r="O1469">
        <v>4950</v>
      </c>
      <c r="P1469">
        <v>0</v>
      </c>
      <c r="Q1469">
        <v>0</v>
      </c>
      <c r="R1469">
        <v>9450</v>
      </c>
      <c r="S1469">
        <v>0</v>
      </c>
      <c r="T1469">
        <v>0</v>
      </c>
      <c r="U1469">
        <v>10</v>
      </c>
      <c r="V1469">
        <v>0</v>
      </c>
      <c r="W1469">
        <v>0</v>
      </c>
      <c r="X1469">
        <v>111</v>
      </c>
      <c r="Y1469">
        <v>11700</v>
      </c>
      <c r="Z1469" cm="1">
        <f t="array" ref="Z1469">MMULT($G1469:$Y1469,'Nelson Factor_2019'!$B$1:$B$19)/$G1469</f>
        <v>8.1711602626197397</v>
      </c>
      <c r="AA1469" cm="1">
        <f t="array" ref="AA1469">MMULT($G1469:$R1469,'Nelson Factor_2019'!$B$1:$B$12)/$G1469</f>
        <v>7.6954310623183728</v>
      </c>
    </row>
    <row r="1470" spans="1:27" x14ac:dyDescent="0.25">
      <c r="A1470">
        <v>2016</v>
      </c>
      <c r="B1470">
        <v>3</v>
      </c>
      <c r="C1470">
        <v>6</v>
      </c>
      <c r="D1470" t="s">
        <v>275</v>
      </c>
      <c r="E1470" t="s">
        <v>316</v>
      </c>
      <c r="F1470" t="s">
        <v>127</v>
      </c>
      <c r="G1470">
        <v>342000</v>
      </c>
      <c r="H1470">
        <v>298300</v>
      </c>
      <c r="I1470">
        <v>94500</v>
      </c>
      <c r="J1470">
        <v>0</v>
      </c>
      <c r="K1470">
        <v>79200</v>
      </c>
      <c r="L1470">
        <v>86040</v>
      </c>
      <c r="M1470">
        <v>105750</v>
      </c>
      <c r="N1470">
        <v>217170</v>
      </c>
      <c r="O1470">
        <v>16740</v>
      </c>
      <c r="P1470">
        <v>0</v>
      </c>
      <c r="Q1470">
        <v>18900</v>
      </c>
      <c r="R1470">
        <v>0</v>
      </c>
      <c r="S1470">
        <v>22500</v>
      </c>
      <c r="T1470">
        <v>0</v>
      </c>
      <c r="U1470">
        <v>230</v>
      </c>
      <c r="V1470">
        <v>0</v>
      </c>
      <c r="W1470">
        <v>4828</v>
      </c>
      <c r="X1470">
        <v>1229</v>
      </c>
      <c r="Y1470">
        <v>18000</v>
      </c>
      <c r="Z1470" cm="1">
        <f t="array" ref="Z1470">MMULT($G1470:$Y1470,'Nelson Factor_2019'!$B$1:$B$19)/$G1470</f>
        <v>17.398991228070177</v>
      </c>
      <c r="AA1470" cm="1">
        <f t="array" ref="AA1470">MMULT($G1470:$R1470,'Nelson Factor_2019'!$B$1:$B$12)/$G1470</f>
        <v>12.509546783625732</v>
      </c>
    </row>
    <row r="1471" spans="1:27" x14ac:dyDescent="0.25">
      <c r="A1471">
        <v>2016</v>
      </c>
      <c r="B1471">
        <v>3</v>
      </c>
      <c r="C1471">
        <v>0</v>
      </c>
      <c r="D1471" t="s">
        <v>275</v>
      </c>
      <c r="E1471" t="s">
        <v>352</v>
      </c>
      <c r="F1471" t="s">
        <v>129</v>
      </c>
      <c r="G1471">
        <v>26500</v>
      </c>
      <c r="H1471">
        <v>10200</v>
      </c>
      <c r="I1471">
        <v>0</v>
      </c>
      <c r="J1471">
        <v>0</v>
      </c>
      <c r="K1471">
        <v>0</v>
      </c>
      <c r="L1471">
        <v>0</v>
      </c>
      <c r="M1471">
        <v>0</v>
      </c>
      <c r="N1471">
        <v>22000</v>
      </c>
      <c r="O1471">
        <v>900</v>
      </c>
      <c r="P1471">
        <v>0</v>
      </c>
      <c r="Q1471">
        <v>0</v>
      </c>
      <c r="R1471">
        <v>0</v>
      </c>
      <c r="S1471">
        <v>22000</v>
      </c>
      <c r="T1471">
        <v>0</v>
      </c>
      <c r="U1471">
        <v>13</v>
      </c>
      <c r="V1471">
        <v>0</v>
      </c>
      <c r="W1471">
        <v>0</v>
      </c>
      <c r="X1471">
        <v>0</v>
      </c>
      <c r="Y1471">
        <v>9600</v>
      </c>
      <c r="Z1471" cm="1">
        <f t="array" ref="Z1471">MMULT($G1471:$Y1471,'Nelson Factor_2019'!$B$1:$B$19)/$G1471</f>
        <v>54.27067924528302</v>
      </c>
      <c r="AA1471" cm="1">
        <f t="array" ref="AA1471">MMULT($G1471:$R1471,'Nelson Factor_2019'!$B$1:$B$12)/$G1471</f>
        <v>3.9154716981132074</v>
      </c>
    </row>
    <row r="1472" spans="1:27" x14ac:dyDescent="0.25">
      <c r="A1472">
        <v>2016</v>
      </c>
      <c r="B1472">
        <v>4</v>
      </c>
      <c r="C1472">
        <v>3</v>
      </c>
      <c r="D1472" t="s">
        <v>276</v>
      </c>
      <c r="E1472" t="s">
        <v>353</v>
      </c>
      <c r="F1472" t="s">
        <v>135</v>
      </c>
      <c r="G1472">
        <v>28500</v>
      </c>
      <c r="H1472">
        <v>14250</v>
      </c>
      <c r="I1472">
        <v>0</v>
      </c>
      <c r="J1472">
        <v>0</v>
      </c>
      <c r="K1472">
        <v>2700</v>
      </c>
      <c r="L1472">
        <v>900</v>
      </c>
      <c r="M1472">
        <v>13500</v>
      </c>
      <c r="N1472">
        <v>11250</v>
      </c>
      <c r="O1472">
        <v>3600</v>
      </c>
      <c r="P1472">
        <v>0</v>
      </c>
      <c r="Q1472">
        <v>0</v>
      </c>
      <c r="R1472">
        <v>1350</v>
      </c>
      <c r="S1472">
        <v>0</v>
      </c>
      <c r="T1472">
        <v>0</v>
      </c>
      <c r="U1472">
        <v>7</v>
      </c>
      <c r="V1472">
        <v>0</v>
      </c>
      <c r="W1472">
        <v>0</v>
      </c>
      <c r="X1472">
        <v>0</v>
      </c>
      <c r="Y1472">
        <v>7200</v>
      </c>
      <c r="Z1472" cm="1">
        <f t="array" ref="Z1472">MMULT($G1472:$Y1472,'Nelson Factor_2019'!$B$1:$B$19)/$G1472</f>
        <v>8.9370877192982459</v>
      </c>
      <c r="AA1472" cm="1">
        <f t="array" ref="AA1472">MMULT($G1472:$R1472,'Nelson Factor_2019'!$B$1:$B$12)/$G1472</f>
        <v>8.5578947368421048</v>
      </c>
    </row>
    <row r="1473" spans="1:27" x14ac:dyDescent="0.25">
      <c r="A1473">
        <v>2016</v>
      </c>
      <c r="B1473">
        <v>4</v>
      </c>
      <c r="C1473">
        <v>4</v>
      </c>
      <c r="D1473" t="s">
        <v>276</v>
      </c>
      <c r="E1473" t="s">
        <v>354</v>
      </c>
      <c r="F1473" t="s">
        <v>132</v>
      </c>
      <c r="G1473">
        <v>58045</v>
      </c>
      <c r="H1473">
        <v>27550</v>
      </c>
      <c r="I1473">
        <v>13500</v>
      </c>
      <c r="J1473">
        <v>0</v>
      </c>
      <c r="K1473">
        <v>14850</v>
      </c>
      <c r="L1473">
        <v>11250</v>
      </c>
      <c r="M1473">
        <v>0</v>
      </c>
      <c r="N1473">
        <v>55800</v>
      </c>
      <c r="O1473">
        <v>4590</v>
      </c>
      <c r="P1473">
        <v>0</v>
      </c>
      <c r="Q1473">
        <v>0</v>
      </c>
      <c r="R1473">
        <v>1125</v>
      </c>
      <c r="S1473">
        <v>0</v>
      </c>
      <c r="T1473">
        <v>0</v>
      </c>
      <c r="U1473">
        <v>33</v>
      </c>
      <c r="V1473">
        <v>0</v>
      </c>
      <c r="W1473">
        <v>558</v>
      </c>
      <c r="X1473">
        <v>220</v>
      </c>
      <c r="Y1473">
        <v>17820</v>
      </c>
      <c r="Z1473" cm="1">
        <f t="array" ref="Z1473">MMULT($G1473:$Y1473,'Nelson Factor_2019'!$B$1:$B$19)/$G1473</f>
        <v>10.488379705400982</v>
      </c>
      <c r="AA1473" cm="1">
        <f t="array" ref="AA1473">MMULT($G1473:$R1473,'Nelson Factor_2019'!$B$1:$B$12)/$G1473</f>
        <v>9.1176673270738213</v>
      </c>
    </row>
    <row r="1474" spans="1:27" x14ac:dyDescent="0.25">
      <c r="A1474">
        <v>2016</v>
      </c>
      <c r="B1474">
        <v>4</v>
      </c>
      <c r="C1474">
        <v>6</v>
      </c>
      <c r="D1474" t="s">
        <v>276</v>
      </c>
      <c r="E1474" t="s">
        <v>319</v>
      </c>
      <c r="F1474" t="s">
        <v>133</v>
      </c>
      <c r="G1474">
        <v>59755</v>
      </c>
      <c r="H1474">
        <v>27455</v>
      </c>
      <c r="I1474">
        <v>9360</v>
      </c>
      <c r="J1474">
        <v>0</v>
      </c>
      <c r="K1474">
        <v>18000</v>
      </c>
      <c r="L1474">
        <v>11250</v>
      </c>
      <c r="M1474">
        <v>5580</v>
      </c>
      <c r="N1474">
        <v>54270</v>
      </c>
      <c r="O1474">
        <v>6500</v>
      </c>
      <c r="P1474">
        <v>0</v>
      </c>
      <c r="Q1474">
        <v>0</v>
      </c>
      <c r="R1474">
        <v>0</v>
      </c>
      <c r="S1474">
        <v>0</v>
      </c>
      <c r="T1474">
        <v>0</v>
      </c>
      <c r="U1474">
        <v>23</v>
      </c>
      <c r="V1474">
        <v>0</v>
      </c>
      <c r="W1474">
        <v>544</v>
      </c>
      <c r="X1474">
        <v>0</v>
      </c>
      <c r="Y1474">
        <v>13050</v>
      </c>
      <c r="Z1474" cm="1">
        <f t="array" ref="Z1474">MMULT($G1474:$Y1474,'Nelson Factor_2019'!$B$1:$B$19)/$G1474</f>
        <v>9.9541377290603297</v>
      </c>
      <c r="AA1474" cm="1">
        <f t="array" ref="AA1474">MMULT($G1474:$R1474,'Nelson Factor_2019'!$B$1:$B$12)/$G1474</f>
        <v>9.626165174462388</v>
      </c>
    </row>
    <row r="1475" spans="1:27" x14ac:dyDescent="0.25">
      <c r="A1475">
        <v>2016</v>
      </c>
      <c r="B1475">
        <v>4</v>
      </c>
      <c r="C1475">
        <v>4</v>
      </c>
      <c r="D1475" t="s">
        <v>276</v>
      </c>
      <c r="E1475" t="s">
        <v>317</v>
      </c>
      <c r="F1475" t="s">
        <v>133</v>
      </c>
      <c r="G1475">
        <v>60000</v>
      </c>
      <c r="H1475">
        <v>35000</v>
      </c>
      <c r="I1475">
        <v>20000</v>
      </c>
      <c r="J1475">
        <v>0</v>
      </c>
      <c r="K1475">
        <v>20290</v>
      </c>
      <c r="L1475">
        <v>12200</v>
      </c>
      <c r="M1475">
        <v>0</v>
      </c>
      <c r="N1475">
        <v>72774</v>
      </c>
      <c r="O1475">
        <v>15590</v>
      </c>
      <c r="P1475">
        <v>0</v>
      </c>
      <c r="Q1475">
        <v>0</v>
      </c>
      <c r="R1475">
        <v>3600</v>
      </c>
      <c r="S1475">
        <v>0</v>
      </c>
      <c r="T1475">
        <v>0</v>
      </c>
      <c r="U1475">
        <v>88.2</v>
      </c>
      <c r="V1475">
        <v>0</v>
      </c>
      <c r="W1475">
        <v>900</v>
      </c>
      <c r="X1475">
        <v>200</v>
      </c>
      <c r="Y1475">
        <v>0</v>
      </c>
      <c r="Z1475" cm="1">
        <f t="array" ref="Z1475">MMULT($G1475:$Y1475,'Nelson Factor_2019'!$B$1:$B$19)/$G1475</f>
        <v>13.916053333333332</v>
      </c>
      <c r="AA1475" cm="1">
        <f t="array" ref="AA1475">MMULT($G1475:$R1475,'Nelson Factor_2019'!$B$1:$B$12)/$G1475</f>
        <v>13.114583333333334</v>
      </c>
    </row>
    <row r="1476" spans="1:27" x14ac:dyDescent="0.25">
      <c r="A1476">
        <v>2016</v>
      </c>
      <c r="B1476">
        <v>1</v>
      </c>
      <c r="C1476">
        <v>1</v>
      </c>
      <c r="D1476" t="s">
        <v>277</v>
      </c>
      <c r="E1476" t="s">
        <v>317</v>
      </c>
      <c r="F1476" t="s">
        <v>137</v>
      </c>
      <c r="G1476">
        <v>238000</v>
      </c>
      <c r="H1476">
        <v>71250</v>
      </c>
      <c r="I1476">
        <v>0</v>
      </c>
      <c r="J1476">
        <v>0</v>
      </c>
      <c r="K1476">
        <v>130500</v>
      </c>
      <c r="L1476">
        <v>28800</v>
      </c>
      <c r="M1476">
        <v>0</v>
      </c>
      <c r="N1476">
        <v>190500</v>
      </c>
      <c r="O1476">
        <v>16000</v>
      </c>
      <c r="P1476">
        <v>0</v>
      </c>
      <c r="Q1476">
        <v>0</v>
      </c>
      <c r="R1476">
        <v>4000</v>
      </c>
      <c r="S1476">
        <v>0</v>
      </c>
      <c r="T1476">
        <v>0</v>
      </c>
      <c r="U1476">
        <v>32.200000000000003</v>
      </c>
      <c r="V1476">
        <v>0</v>
      </c>
      <c r="W1476">
        <v>0</v>
      </c>
      <c r="X1476">
        <v>0</v>
      </c>
      <c r="Y1476">
        <v>0</v>
      </c>
      <c r="Z1476" cm="1">
        <f t="array" ref="Z1476">MMULT($G1476:$Y1476,'Nelson Factor_2019'!$B$1:$B$19)/$G1476</f>
        <v>8.0080134453781504</v>
      </c>
      <c r="AA1476" cm="1">
        <f t="array" ref="AA1476">MMULT($G1476:$R1476,'Nelson Factor_2019'!$B$1:$B$12)/$G1476</f>
        <v>8.0078781512605044</v>
      </c>
    </row>
    <row r="1477" spans="1:27" x14ac:dyDescent="0.25">
      <c r="A1477">
        <v>2016</v>
      </c>
      <c r="B1477">
        <v>1</v>
      </c>
      <c r="C1477">
        <v>4</v>
      </c>
      <c r="D1477" t="s">
        <v>277</v>
      </c>
      <c r="E1477" t="s">
        <v>355</v>
      </c>
      <c r="F1477" t="s">
        <v>140</v>
      </c>
      <c r="G1477">
        <v>157700</v>
      </c>
      <c r="H1477">
        <v>85500</v>
      </c>
      <c r="I1477">
        <v>24300</v>
      </c>
      <c r="J1477">
        <v>0</v>
      </c>
      <c r="K1477">
        <v>49500</v>
      </c>
      <c r="L1477">
        <v>28800</v>
      </c>
      <c r="M1477">
        <v>0</v>
      </c>
      <c r="N1477">
        <v>129690</v>
      </c>
      <c r="O1477">
        <v>10080</v>
      </c>
      <c r="P1477">
        <v>0</v>
      </c>
      <c r="Q1477">
        <v>0</v>
      </c>
      <c r="R1477">
        <v>0</v>
      </c>
      <c r="S1477">
        <v>10800</v>
      </c>
      <c r="T1477">
        <v>0</v>
      </c>
      <c r="U1477">
        <v>9</v>
      </c>
      <c r="V1477">
        <v>0</v>
      </c>
      <c r="W1477">
        <v>1020</v>
      </c>
      <c r="X1477">
        <v>254</v>
      </c>
      <c r="Y1477">
        <v>14400</v>
      </c>
      <c r="Z1477" cm="1">
        <f t="array" ref="Z1477">MMULT($G1477:$Y1477,'Nelson Factor_2019'!$B$1:$B$19)/$G1477</f>
        <v>12.984743183259353</v>
      </c>
      <c r="AA1477" cm="1">
        <f t="array" ref="AA1477">MMULT($G1477:$R1477,'Nelson Factor_2019'!$B$1:$B$12)/$G1477</f>
        <v>8.352092580849714</v>
      </c>
    </row>
    <row r="1478" spans="1:27" x14ac:dyDescent="0.25">
      <c r="A1478">
        <v>2016</v>
      </c>
      <c r="B1478">
        <v>3</v>
      </c>
      <c r="C1478">
        <v>1</v>
      </c>
      <c r="D1478" t="s">
        <v>278</v>
      </c>
      <c r="E1478" t="s">
        <v>356</v>
      </c>
      <c r="F1478" t="s">
        <v>144</v>
      </c>
      <c r="G1478">
        <v>24700</v>
      </c>
      <c r="H1478">
        <v>0</v>
      </c>
      <c r="I1478">
        <v>0</v>
      </c>
      <c r="J1478">
        <v>0</v>
      </c>
      <c r="K1478">
        <v>10350</v>
      </c>
      <c r="L1478">
        <v>6570</v>
      </c>
      <c r="M1478">
        <v>0</v>
      </c>
      <c r="N1478">
        <v>10890</v>
      </c>
      <c r="O1478">
        <v>1620</v>
      </c>
      <c r="P1478">
        <v>0</v>
      </c>
      <c r="Q1478">
        <v>0</v>
      </c>
      <c r="R1478">
        <v>0</v>
      </c>
      <c r="S1478">
        <v>0</v>
      </c>
      <c r="T1478">
        <v>0</v>
      </c>
      <c r="U1478">
        <v>0</v>
      </c>
      <c r="V1478">
        <v>0</v>
      </c>
      <c r="W1478">
        <v>0</v>
      </c>
      <c r="X1478">
        <v>2</v>
      </c>
      <c r="Y1478">
        <v>0</v>
      </c>
      <c r="Z1478" cm="1">
        <f t="array" ref="Z1478">MMULT($G1478:$Y1478,'Nelson Factor_2019'!$B$1:$B$19)/$G1478</f>
        <v>6.6216599190283398</v>
      </c>
      <c r="AA1478" cm="1">
        <f t="array" ref="AA1478">MMULT($G1478:$R1478,'Nelson Factor_2019'!$B$1:$B$12)/$G1478</f>
        <v>6.6022267206477734</v>
      </c>
    </row>
    <row r="1479" spans="1:27" x14ac:dyDescent="0.25">
      <c r="A1479">
        <v>2016</v>
      </c>
      <c r="B1479">
        <v>3</v>
      </c>
      <c r="C1479">
        <v>1</v>
      </c>
      <c r="D1479" t="s">
        <v>278</v>
      </c>
      <c r="E1479" t="s">
        <v>357</v>
      </c>
      <c r="F1479" t="s">
        <v>146</v>
      </c>
      <c r="G1479">
        <v>109250</v>
      </c>
      <c r="H1479">
        <v>28120</v>
      </c>
      <c r="I1479">
        <v>0</v>
      </c>
      <c r="J1479">
        <v>0</v>
      </c>
      <c r="K1479">
        <v>24300</v>
      </c>
      <c r="L1479">
        <v>21600</v>
      </c>
      <c r="M1479">
        <v>0</v>
      </c>
      <c r="N1479">
        <v>126000</v>
      </c>
      <c r="O1479">
        <v>8190</v>
      </c>
      <c r="P1479">
        <v>0</v>
      </c>
      <c r="Q1479">
        <v>0</v>
      </c>
      <c r="R1479">
        <v>0</v>
      </c>
      <c r="S1479">
        <v>0</v>
      </c>
      <c r="T1479">
        <v>0</v>
      </c>
      <c r="U1479">
        <v>38</v>
      </c>
      <c r="V1479">
        <v>0</v>
      </c>
      <c r="W1479">
        <v>0</v>
      </c>
      <c r="X1479">
        <v>181</v>
      </c>
      <c r="Y1479">
        <v>6300</v>
      </c>
      <c r="Z1479" cm="1">
        <f t="array" ref="Z1479">MMULT($G1479:$Y1479,'Nelson Factor_2019'!$B$1:$B$19)/$G1479</f>
        <v>7.7751395881006866</v>
      </c>
      <c r="AA1479" cm="1">
        <f t="array" ref="AA1479">MMULT($G1479:$R1479,'Nelson Factor_2019'!$B$1:$B$12)/$G1479</f>
        <v>7.2906727688787187</v>
      </c>
    </row>
    <row r="1480" spans="1:27" x14ac:dyDescent="0.25">
      <c r="A1480">
        <v>2016</v>
      </c>
      <c r="B1480">
        <v>2</v>
      </c>
      <c r="C1480">
        <v>0</v>
      </c>
      <c r="D1480" t="s">
        <v>279</v>
      </c>
      <c r="E1480" t="s">
        <v>358</v>
      </c>
      <c r="F1480" t="s">
        <v>303</v>
      </c>
      <c r="G1480">
        <v>19000</v>
      </c>
      <c r="H1480">
        <v>0</v>
      </c>
      <c r="I1480">
        <v>0</v>
      </c>
      <c r="J1480">
        <v>0</v>
      </c>
      <c r="K1480">
        <v>0</v>
      </c>
      <c r="L1480">
        <v>0</v>
      </c>
      <c r="M1480">
        <v>0</v>
      </c>
      <c r="N1480">
        <v>7200</v>
      </c>
      <c r="O1480">
        <v>0</v>
      </c>
      <c r="P1480">
        <v>0</v>
      </c>
      <c r="Q1480">
        <v>0</v>
      </c>
      <c r="R1480">
        <v>0</v>
      </c>
      <c r="S1480">
        <v>0</v>
      </c>
      <c r="T1480">
        <v>0</v>
      </c>
      <c r="U1480">
        <v>2</v>
      </c>
      <c r="V1480">
        <v>0</v>
      </c>
      <c r="W1480">
        <v>0</v>
      </c>
      <c r="X1480">
        <v>2</v>
      </c>
      <c r="Y1480">
        <v>0</v>
      </c>
      <c r="Z1480" cm="1">
        <f t="array" ref="Z1480">MMULT($G1480:$Y1480,'Nelson Factor_2019'!$B$1:$B$19)/$G1480</f>
        <v>1.9727368421052631</v>
      </c>
      <c r="AA1480" cm="1">
        <f t="array" ref="AA1480">MMULT($G1480:$R1480,'Nelson Factor_2019'!$B$1:$B$12)/$G1480</f>
        <v>1.9473684210526316</v>
      </c>
    </row>
    <row r="1481" spans="1:27" x14ac:dyDescent="0.25">
      <c r="A1481">
        <v>2016</v>
      </c>
      <c r="B1481">
        <v>2</v>
      </c>
      <c r="C1481">
        <v>1</v>
      </c>
      <c r="D1481" t="s">
        <v>279</v>
      </c>
      <c r="E1481" t="s">
        <v>148</v>
      </c>
      <c r="F1481" t="s">
        <v>149</v>
      </c>
      <c r="G1481">
        <v>70870</v>
      </c>
      <c r="H1481">
        <v>0</v>
      </c>
      <c r="I1481">
        <v>0</v>
      </c>
      <c r="J1481">
        <v>0</v>
      </c>
      <c r="K1481">
        <v>27540</v>
      </c>
      <c r="L1481">
        <v>11250</v>
      </c>
      <c r="M1481">
        <v>0</v>
      </c>
      <c r="N1481">
        <v>38970</v>
      </c>
      <c r="O1481">
        <v>3960</v>
      </c>
      <c r="P1481">
        <v>0</v>
      </c>
      <c r="Q1481">
        <v>0</v>
      </c>
      <c r="R1481">
        <v>0</v>
      </c>
      <c r="S1481">
        <v>0</v>
      </c>
      <c r="T1481">
        <v>0</v>
      </c>
      <c r="U1481">
        <v>0</v>
      </c>
      <c r="V1481">
        <v>0</v>
      </c>
      <c r="W1481">
        <v>0</v>
      </c>
      <c r="X1481">
        <v>15</v>
      </c>
      <c r="Y1481">
        <v>0</v>
      </c>
      <c r="Z1481" cm="1">
        <f t="array" ref="Z1481">MMULT($G1481:$Y1481,'Nelson Factor_2019'!$B$1:$B$19)/$G1481</f>
        <v>6.1095668124735427</v>
      </c>
      <c r="AA1481" cm="1">
        <f t="array" ref="AA1481">MMULT($G1481:$R1481,'Nelson Factor_2019'!$B$1:$B$12)/$G1481</f>
        <v>6.0587695781007476</v>
      </c>
    </row>
    <row r="1482" spans="1:27" x14ac:dyDescent="0.25">
      <c r="A1482">
        <v>2016</v>
      </c>
      <c r="B1482">
        <v>2</v>
      </c>
      <c r="C1482">
        <v>6</v>
      </c>
      <c r="D1482" t="s">
        <v>280</v>
      </c>
      <c r="E1482" t="s">
        <v>359</v>
      </c>
      <c r="F1482" t="s">
        <v>151</v>
      </c>
      <c r="G1482">
        <v>152000</v>
      </c>
      <c r="H1482">
        <v>67925</v>
      </c>
      <c r="I1482">
        <v>31500</v>
      </c>
      <c r="J1482">
        <v>0</v>
      </c>
      <c r="K1482">
        <v>49500</v>
      </c>
      <c r="L1482">
        <v>37800</v>
      </c>
      <c r="M1482">
        <v>27900</v>
      </c>
      <c r="N1482">
        <v>101700</v>
      </c>
      <c r="O1482">
        <v>10350</v>
      </c>
      <c r="P1482">
        <v>0</v>
      </c>
      <c r="Q1482">
        <v>0</v>
      </c>
      <c r="R1482">
        <v>0</v>
      </c>
      <c r="S1482">
        <v>0</v>
      </c>
      <c r="T1482">
        <v>0</v>
      </c>
      <c r="U1482">
        <v>0</v>
      </c>
      <c r="V1482">
        <v>0</v>
      </c>
      <c r="W1482">
        <v>2006</v>
      </c>
      <c r="X1482">
        <v>351</v>
      </c>
      <c r="Y1482">
        <v>8100</v>
      </c>
      <c r="Z1482" cm="1">
        <f t="array" ref="Z1482">MMULT($G1482:$Y1482,'Nelson Factor_2019'!$B$1:$B$19)/$G1482</f>
        <v>10.78876644736842</v>
      </c>
      <c r="AA1482" cm="1">
        <f t="array" ref="AA1482">MMULT($G1482:$R1482,'Nelson Factor_2019'!$B$1:$B$12)/$G1482</f>
        <v>10.154621710526316</v>
      </c>
    </row>
    <row r="1483" spans="1:27" x14ac:dyDescent="0.25">
      <c r="A1483">
        <v>2016</v>
      </c>
      <c r="B1483">
        <v>2</v>
      </c>
      <c r="C1483">
        <v>6</v>
      </c>
      <c r="D1483" t="s">
        <v>280</v>
      </c>
      <c r="E1483" t="s">
        <v>360</v>
      </c>
      <c r="F1483" t="s">
        <v>154</v>
      </c>
      <c r="G1483">
        <v>161500</v>
      </c>
      <c r="H1483">
        <v>49400</v>
      </c>
      <c r="I1483">
        <v>20700</v>
      </c>
      <c r="J1483">
        <v>0</v>
      </c>
      <c r="K1483">
        <v>40770</v>
      </c>
      <c r="L1483">
        <v>49500</v>
      </c>
      <c r="M1483">
        <v>23400</v>
      </c>
      <c r="N1483">
        <v>142200</v>
      </c>
      <c r="O1483">
        <v>0</v>
      </c>
      <c r="P1483">
        <v>0</v>
      </c>
      <c r="Q1483">
        <v>8280</v>
      </c>
      <c r="R1483">
        <v>20880</v>
      </c>
      <c r="S1483">
        <v>0</v>
      </c>
      <c r="T1483">
        <v>0</v>
      </c>
      <c r="U1483">
        <v>0</v>
      </c>
      <c r="V1483">
        <v>0</v>
      </c>
      <c r="W1483">
        <v>571</v>
      </c>
      <c r="X1483">
        <v>100</v>
      </c>
      <c r="Y1483">
        <v>0</v>
      </c>
      <c r="Z1483" cm="1">
        <f t="array" ref="Z1483">MMULT($G1483:$Y1483,'Nelson Factor_2019'!$B$1:$B$19)/$G1483</f>
        <v>10.328359133126934</v>
      </c>
      <c r="AA1483" cm="1">
        <f t="array" ref="AA1483">MMULT($G1483:$R1483,'Nelson Factor_2019'!$B$1:$B$12)/$G1483</f>
        <v>10.179752321981423</v>
      </c>
    </row>
    <row r="1484" spans="1:27" x14ac:dyDescent="0.25">
      <c r="A1484">
        <v>2016</v>
      </c>
      <c r="B1484">
        <v>2</v>
      </c>
      <c r="C1484">
        <v>1</v>
      </c>
      <c r="D1484" t="s">
        <v>280</v>
      </c>
      <c r="E1484" t="s">
        <v>246</v>
      </c>
      <c r="F1484" t="s">
        <v>152</v>
      </c>
      <c r="G1484">
        <v>93000</v>
      </c>
      <c r="H1484">
        <v>33300</v>
      </c>
      <c r="I1484">
        <v>0</v>
      </c>
      <c r="J1484">
        <v>0</v>
      </c>
      <c r="K1484">
        <v>24700</v>
      </c>
      <c r="L1484">
        <v>20400</v>
      </c>
      <c r="M1484">
        <v>0</v>
      </c>
      <c r="N1484">
        <v>89800</v>
      </c>
      <c r="O1484">
        <v>7100</v>
      </c>
      <c r="P1484">
        <v>0</v>
      </c>
      <c r="Q1484">
        <v>0</v>
      </c>
      <c r="R1484">
        <v>0</v>
      </c>
      <c r="S1484">
        <v>0</v>
      </c>
      <c r="T1484">
        <v>0</v>
      </c>
      <c r="U1484">
        <v>0</v>
      </c>
      <c r="V1484">
        <v>0</v>
      </c>
      <c r="W1484">
        <v>0</v>
      </c>
      <c r="X1484">
        <v>89</v>
      </c>
      <c r="Y1484">
        <v>14100</v>
      </c>
      <c r="Z1484" cm="1">
        <f t="array" ref="Z1484">MMULT($G1484:$Y1484,'Nelson Factor_2019'!$B$1:$B$19)/$G1484</f>
        <v>7.790322580645161</v>
      </c>
      <c r="AA1484" cm="1">
        <f t="array" ref="AA1484">MMULT($G1484:$R1484,'Nelson Factor_2019'!$B$1:$B$12)/$G1484</f>
        <v>7.3332258064516127</v>
      </c>
    </row>
    <row r="1485" spans="1:27" x14ac:dyDescent="0.25">
      <c r="A1485">
        <v>2016</v>
      </c>
      <c r="B1485">
        <v>2</v>
      </c>
      <c r="C1485">
        <v>3</v>
      </c>
      <c r="D1485" t="s">
        <v>280</v>
      </c>
      <c r="E1485" t="s">
        <v>361</v>
      </c>
      <c r="F1485" t="s">
        <v>151</v>
      </c>
      <c r="G1485">
        <v>166250</v>
      </c>
      <c r="H1485">
        <v>0</v>
      </c>
      <c r="I1485">
        <v>0</v>
      </c>
      <c r="J1485">
        <v>0</v>
      </c>
      <c r="K1485">
        <v>71100</v>
      </c>
      <c r="L1485">
        <v>43200</v>
      </c>
      <c r="M1485">
        <v>46800</v>
      </c>
      <c r="N1485">
        <v>122850</v>
      </c>
      <c r="O1485">
        <v>8955</v>
      </c>
      <c r="P1485">
        <v>0</v>
      </c>
      <c r="Q1485">
        <v>9720</v>
      </c>
      <c r="R1485">
        <v>7200</v>
      </c>
      <c r="S1485">
        <v>0</v>
      </c>
      <c r="T1485">
        <v>0</v>
      </c>
      <c r="U1485">
        <v>0</v>
      </c>
      <c r="V1485">
        <v>0</v>
      </c>
      <c r="W1485">
        <v>0</v>
      </c>
      <c r="X1485">
        <v>105</v>
      </c>
      <c r="Y1485">
        <v>0</v>
      </c>
      <c r="Z1485" cm="1">
        <f t="array" ref="Z1485">MMULT($G1485:$Y1485,'Nelson Factor_2019'!$B$1:$B$19)/$G1485</f>
        <v>10.954135338345864</v>
      </c>
      <c r="AA1485" cm="1">
        <f t="array" ref="AA1485">MMULT($G1485:$R1485,'Nelson Factor_2019'!$B$1:$B$12)/$G1485</f>
        <v>10.802556390977443</v>
      </c>
    </row>
    <row r="1486" spans="1:27" x14ac:dyDescent="0.25">
      <c r="A1486">
        <v>2016</v>
      </c>
      <c r="B1486">
        <v>2</v>
      </c>
      <c r="C1486">
        <v>4</v>
      </c>
      <c r="D1486" t="s">
        <v>282</v>
      </c>
      <c r="E1486" t="s">
        <v>362</v>
      </c>
      <c r="F1486" t="s">
        <v>156</v>
      </c>
      <c r="G1486">
        <v>203000</v>
      </c>
      <c r="H1486">
        <v>80000</v>
      </c>
      <c r="I1486">
        <v>59300</v>
      </c>
      <c r="J1486">
        <v>0</v>
      </c>
      <c r="K1486">
        <v>59300</v>
      </c>
      <c r="L1486">
        <v>44000</v>
      </c>
      <c r="M1486">
        <v>0</v>
      </c>
      <c r="N1486">
        <v>188550</v>
      </c>
      <c r="O1486">
        <v>13000</v>
      </c>
      <c r="P1486">
        <v>0</v>
      </c>
      <c r="Q1486">
        <v>0</v>
      </c>
      <c r="R1486">
        <v>23400</v>
      </c>
      <c r="S1486">
        <v>0</v>
      </c>
      <c r="T1486">
        <v>0</v>
      </c>
      <c r="U1486">
        <v>46.8</v>
      </c>
      <c r="V1486">
        <v>0</v>
      </c>
      <c r="W1486">
        <v>1150</v>
      </c>
      <c r="X1486">
        <v>200</v>
      </c>
      <c r="Y1486">
        <v>0</v>
      </c>
      <c r="Z1486" cm="1">
        <f t="array" ref="Z1486">MMULT($G1486:$Y1486,'Nelson Factor_2019'!$B$1:$B$19)/$G1486</f>
        <v>10.084590147783251</v>
      </c>
      <c r="AA1486" cm="1">
        <f t="array" ref="AA1486">MMULT($G1486:$R1486,'Nelson Factor_2019'!$B$1:$B$12)/$G1486</f>
        <v>9.8479064039408861</v>
      </c>
    </row>
    <row r="1487" spans="1:27" x14ac:dyDescent="0.25">
      <c r="A1487">
        <v>2016</v>
      </c>
      <c r="B1487">
        <v>2</v>
      </c>
      <c r="C1487">
        <v>4</v>
      </c>
      <c r="D1487" t="s">
        <v>282</v>
      </c>
      <c r="E1487" t="s">
        <v>363</v>
      </c>
      <c r="F1487" t="s">
        <v>160</v>
      </c>
      <c r="G1487">
        <v>157225</v>
      </c>
      <c r="H1487">
        <v>56050</v>
      </c>
      <c r="I1487">
        <v>23760</v>
      </c>
      <c r="J1487">
        <v>0</v>
      </c>
      <c r="K1487">
        <v>23760</v>
      </c>
      <c r="L1487">
        <v>19800</v>
      </c>
      <c r="M1487">
        <v>0</v>
      </c>
      <c r="N1487">
        <v>131040</v>
      </c>
      <c r="O1487">
        <v>4950</v>
      </c>
      <c r="P1487">
        <v>0</v>
      </c>
      <c r="Q1487">
        <v>0</v>
      </c>
      <c r="R1487">
        <v>12510</v>
      </c>
      <c r="S1487">
        <v>8190</v>
      </c>
      <c r="T1487">
        <v>0</v>
      </c>
      <c r="U1487">
        <v>0</v>
      </c>
      <c r="V1487">
        <v>0</v>
      </c>
      <c r="W1487">
        <v>374</v>
      </c>
      <c r="X1487">
        <v>68</v>
      </c>
      <c r="Y1487">
        <v>19530</v>
      </c>
      <c r="Z1487" cm="1">
        <f t="array" ref="Z1487">MMULT($G1487:$Y1487,'Nelson Factor_2019'!$B$1:$B$19)/$G1487</f>
        <v>10.186007314358404</v>
      </c>
      <c r="AA1487" cm="1">
        <f t="array" ref="AA1487">MMULT($G1487:$R1487,'Nelson Factor_2019'!$B$1:$B$12)/$G1487</f>
        <v>6.7704245508029892</v>
      </c>
    </row>
    <row r="1488" spans="1:27" x14ac:dyDescent="0.25">
      <c r="A1488">
        <v>2016</v>
      </c>
      <c r="B1488">
        <v>2</v>
      </c>
      <c r="C1488">
        <v>6</v>
      </c>
      <c r="D1488" t="s">
        <v>282</v>
      </c>
      <c r="E1488" t="s">
        <v>364</v>
      </c>
      <c r="F1488" t="s">
        <v>161</v>
      </c>
      <c r="G1488">
        <v>83600</v>
      </c>
      <c r="H1488">
        <v>30400</v>
      </c>
      <c r="I1488">
        <v>27000</v>
      </c>
      <c r="J1488">
        <v>0</v>
      </c>
      <c r="K1488">
        <v>27000</v>
      </c>
      <c r="L1488">
        <v>18450</v>
      </c>
      <c r="M1488">
        <v>12600</v>
      </c>
      <c r="N1488">
        <v>84105</v>
      </c>
      <c r="O1488">
        <v>6311</v>
      </c>
      <c r="P1488">
        <v>0</v>
      </c>
      <c r="Q1488">
        <v>0</v>
      </c>
      <c r="R1488">
        <v>0</v>
      </c>
      <c r="S1488">
        <v>0</v>
      </c>
      <c r="T1488">
        <v>0</v>
      </c>
      <c r="U1488">
        <v>27</v>
      </c>
      <c r="V1488">
        <v>0</v>
      </c>
      <c r="W1488">
        <v>0</v>
      </c>
      <c r="X1488">
        <v>226</v>
      </c>
      <c r="Y1488">
        <v>13243</v>
      </c>
      <c r="Z1488" cm="1">
        <f t="array" ref="Z1488">MMULT($G1488:$Y1488,'Nelson Factor_2019'!$B$1:$B$19)/$G1488</f>
        <v>12.298732057416268</v>
      </c>
      <c r="AA1488" cm="1">
        <f t="array" ref="AA1488">MMULT($G1488:$R1488,'Nelson Factor_2019'!$B$1:$B$12)/$G1488</f>
        <v>11.411991626794258</v>
      </c>
    </row>
    <row r="1489" spans="1:27" x14ac:dyDescent="0.25">
      <c r="A1489">
        <v>2016</v>
      </c>
      <c r="B1489">
        <v>2</v>
      </c>
      <c r="C1489">
        <v>6</v>
      </c>
      <c r="D1489" t="s">
        <v>282</v>
      </c>
      <c r="E1489" t="s">
        <v>228</v>
      </c>
      <c r="F1489" t="s">
        <v>158</v>
      </c>
      <c r="G1489">
        <v>71250</v>
      </c>
      <c r="H1489">
        <v>38285</v>
      </c>
      <c r="I1489">
        <v>19980</v>
      </c>
      <c r="J1489">
        <v>0</v>
      </c>
      <c r="K1489">
        <v>19980</v>
      </c>
      <c r="L1489">
        <v>16200</v>
      </c>
      <c r="M1489">
        <v>16380</v>
      </c>
      <c r="N1489">
        <v>60750</v>
      </c>
      <c r="O1489">
        <v>4950</v>
      </c>
      <c r="P1489">
        <v>0</v>
      </c>
      <c r="Q1489">
        <v>18900</v>
      </c>
      <c r="R1489">
        <v>0</v>
      </c>
      <c r="S1489">
        <v>0</v>
      </c>
      <c r="T1489">
        <v>0</v>
      </c>
      <c r="U1489">
        <v>10</v>
      </c>
      <c r="V1489">
        <v>0</v>
      </c>
      <c r="W1489">
        <v>0</v>
      </c>
      <c r="X1489">
        <v>50</v>
      </c>
      <c r="Y1489">
        <v>6300</v>
      </c>
      <c r="Z1489" cm="1">
        <f t="array" ref="Z1489">MMULT($G1489:$Y1489,'Nelson Factor_2019'!$B$1:$B$19)/$G1489</f>
        <v>16.89298947368421</v>
      </c>
      <c r="AA1489" cm="1">
        <f t="array" ref="AA1489">MMULT($G1489:$R1489,'Nelson Factor_2019'!$B$1:$B$12)/$G1489</f>
        <v>16.59179649122807</v>
      </c>
    </row>
    <row r="1490" spans="1:27" x14ac:dyDescent="0.25">
      <c r="A1490">
        <v>2016</v>
      </c>
      <c r="B1490">
        <v>1</v>
      </c>
      <c r="C1490">
        <v>0</v>
      </c>
      <c r="D1490" t="s">
        <v>284</v>
      </c>
      <c r="E1490" t="s">
        <v>365</v>
      </c>
      <c r="F1490" t="s">
        <v>164</v>
      </c>
      <c r="G1490">
        <v>11210</v>
      </c>
      <c r="H1490">
        <v>0</v>
      </c>
      <c r="I1490">
        <v>0</v>
      </c>
      <c r="J1490">
        <v>0</v>
      </c>
      <c r="K1490">
        <v>0</v>
      </c>
      <c r="L1490">
        <v>1980</v>
      </c>
      <c r="M1490">
        <v>0</v>
      </c>
      <c r="N1490">
        <v>3240</v>
      </c>
      <c r="O1490">
        <v>0</v>
      </c>
      <c r="P1490">
        <v>0</v>
      </c>
      <c r="Q1490">
        <v>0</v>
      </c>
      <c r="R1490">
        <v>0</v>
      </c>
      <c r="S1490">
        <v>2651</v>
      </c>
      <c r="T1490">
        <v>0</v>
      </c>
      <c r="U1490">
        <v>0</v>
      </c>
      <c r="V1490">
        <v>0</v>
      </c>
      <c r="W1490">
        <v>0</v>
      </c>
      <c r="X1490">
        <v>0</v>
      </c>
      <c r="Y1490">
        <v>59</v>
      </c>
      <c r="Z1490" cm="1">
        <f t="array" ref="Z1490">MMULT($G1490:$Y1490,'Nelson Factor_2019'!$B$1:$B$19)/$G1490</f>
        <v>16.802720785013381</v>
      </c>
      <c r="AA1490" cm="1">
        <f t="array" ref="AA1490">MMULT($G1490:$R1490,'Nelson Factor_2019'!$B$1:$B$12)/$G1490</f>
        <v>2.6057091882247994</v>
      </c>
    </row>
    <row r="1491" spans="1:27" x14ac:dyDescent="0.25">
      <c r="A1491">
        <v>2016</v>
      </c>
      <c r="B1491">
        <v>1</v>
      </c>
      <c r="C1491">
        <v>3</v>
      </c>
      <c r="D1491" t="s">
        <v>284</v>
      </c>
      <c r="E1491" t="s">
        <v>366</v>
      </c>
      <c r="F1491" t="s">
        <v>165</v>
      </c>
      <c r="G1491">
        <v>180500</v>
      </c>
      <c r="H1491">
        <v>69350</v>
      </c>
      <c r="I1491">
        <v>0</v>
      </c>
      <c r="J1491">
        <v>0</v>
      </c>
      <c r="K1491">
        <v>47700</v>
      </c>
      <c r="L1491">
        <v>45000</v>
      </c>
      <c r="M1491">
        <v>20700</v>
      </c>
      <c r="N1491">
        <v>138330</v>
      </c>
      <c r="O1491">
        <v>10800</v>
      </c>
      <c r="P1491">
        <v>0</v>
      </c>
      <c r="Q1491">
        <v>0</v>
      </c>
      <c r="R1491">
        <v>0</v>
      </c>
      <c r="S1491">
        <v>0</v>
      </c>
      <c r="T1491">
        <v>0</v>
      </c>
      <c r="U1491">
        <v>0</v>
      </c>
      <c r="V1491">
        <v>0</v>
      </c>
      <c r="W1491">
        <v>0</v>
      </c>
      <c r="X1491">
        <v>82</v>
      </c>
      <c r="Y1491">
        <v>0</v>
      </c>
      <c r="Z1491" cm="1">
        <f t="array" ref="Z1491">MMULT($G1491:$Y1491,'Nelson Factor_2019'!$B$1:$B$19)/$G1491</f>
        <v>7.8723545706371194</v>
      </c>
      <c r="AA1491" cm="1">
        <f t="array" ref="AA1491">MMULT($G1491:$R1491,'Nelson Factor_2019'!$B$1:$B$12)/$G1491</f>
        <v>7.7633240997229915</v>
      </c>
    </row>
    <row r="1492" spans="1:27" x14ac:dyDescent="0.25">
      <c r="A1492">
        <v>2016</v>
      </c>
      <c r="B1492">
        <v>1</v>
      </c>
      <c r="C1492">
        <v>1</v>
      </c>
      <c r="D1492" t="s">
        <v>284</v>
      </c>
      <c r="E1492" t="s">
        <v>305</v>
      </c>
      <c r="F1492" t="s">
        <v>167</v>
      </c>
      <c r="G1492">
        <v>337250</v>
      </c>
      <c r="H1492">
        <v>155040</v>
      </c>
      <c r="I1492">
        <v>0</v>
      </c>
      <c r="J1492">
        <v>0</v>
      </c>
      <c r="K1492">
        <v>124650</v>
      </c>
      <c r="L1492">
        <v>77400</v>
      </c>
      <c r="M1492">
        <v>0</v>
      </c>
      <c r="N1492">
        <v>284400</v>
      </c>
      <c r="O1492">
        <v>23400</v>
      </c>
      <c r="P1492">
        <v>0</v>
      </c>
      <c r="Q1492">
        <v>4428</v>
      </c>
      <c r="R1492">
        <v>7200</v>
      </c>
      <c r="S1492">
        <v>0</v>
      </c>
      <c r="T1492">
        <v>0</v>
      </c>
      <c r="U1492">
        <v>0</v>
      </c>
      <c r="V1492">
        <v>0</v>
      </c>
      <c r="W1492">
        <v>0</v>
      </c>
      <c r="X1492">
        <v>113</v>
      </c>
      <c r="Y1492">
        <v>0</v>
      </c>
      <c r="Z1492" cm="1">
        <f t="array" ref="Z1492">MMULT($G1492:$Y1492,'Nelson Factor_2019'!$B$1:$B$19)/$G1492</f>
        <v>8.1719258710155671</v>
      </c>
      <c r="AA1492" cm="1">
        <f t="array" ref="AA1492">MMULT($G1492:$R1492,'Nelson Factor_2019'!$B$1:$B$12)/$G1492</f>
        <v>8.091510748702742</v>
      </c>
    </row>
    <row r="1493" spans="1:27" x14ac:dyDescent="0.25">
      <c r="A1493">
        <v>2016</v>
      </c>
      <c r="B1493">
        <v>1</v>
      </c>
      <c r="C1493">
        <v>1</v>
      </c>
      <c r="D1493" t="s">
        <v>284</v>
      </c>
      <c r="E1493" t="s">
        <v>168</v>
      </c>
      <c r="F1493" t="s">
        <v>169</v>
      </c>
      <c r="G1493">
        <v>66500</v>
      </c>
      <c r="H1493">
        <v>38000</v>
      </c>
      <c r="I1493">
        <v>0</v>
      </c>
      <c r="J1493">
        <v>0</v>
      </c>
      <c r="K1493">
        <v>23400</v>
      </c>
      <c r="L1493">
        <v>12600</v>
      </c>
      <c r="M1493">
        <v>0</v>
      </c>
      <c r="N1493">
        <v>45900</v>
      </c>
      <c r="O1493">
        <v>4050</v>
      </c>
      <c r="P1493">
        <v>0</v>
      </c>
      <c r="Q1493">
        <v>0</v>
      </c>
      <c r="R1493">
        <v>7650</v>
      </c>
      <c r="S1493">
        <v>0</v>
      </c>
      <c r="T1493">
        <v>0</v>
      </c>
      <c r="U1493">
        <v>0</v>
      </c>
      <c r="V1493">
        <v>0</v>
      </c>
      <c r="W1493">
        <v>0</v>
      </c>
      <c r="X1493">
        <v>61</v>
      </c>
      <c r="Y1493">
        <v>19800</v>
      </c>
      <c r="Z1493" cm="1">
        <f t="array" ref="Z1493">MMULT($G1493:$Y1493,'Nelson Factor_2019'!$B$1:$B$19)/$G1493</f>
        <v>8.1479699248120294</v>
      </c>
      <c r="AA1493" cm="1">
        <f t="array" ref="AA1493">MMULT($G1493:$R1493,'Nelson Factor_2019'!$B$1:$B$12)/$G1493</f>
        <v>7.481203007518797</v>
      </c>
    </row>
    <row r="1494" spans="1:27" x14ac:dyDescent="0.25">
      <c r="A1494">
        <v>2016</v>
      </c>
      <c r="B1494">
        <v>2</v>
      </c>
      <c r="C1494">
        <v>3</v>
      </c>
      <c r="D1494" t="s">
        <v>286</v>
      </c>
      <c r="E1494" t="s">
        <v>367</v>
      </c>
      <c r="F1494" t="s">
        <v>172</v>
      </c>
      <c r="G1494">
        <v>175750</v>
      </c>
      <c r="H1494">
        <v>0</v>
      </c>
      <c r="I1494">
        <v>0</v>
      </c>
      <c r="J1494">
        <v>0</v>
      </c>
      <c r="K1494">
        <v>63000</v>
      </c>
      <c r="L1494">
        <v>32400</v>
      </c>
      <c r="M1494">
        <v>23850</v>
      </c>
      <c r="N1494">
        <v>116100</v>
      </c>
      <c r="O1494">
        <v>10800</v>
      </c>
      <c r="P1494">
        <v>0</v>
      </c>
      <c r="Q1494">
        <v>26100</v>
      </c>
      <c r="R1494">
        <v>0</v>
      </c>
      <c r="S1494">
        <v>0</v>
      </c>
      <c r="T1494">
        <v>0</v>
      </c>
      <c r="U1494">
        <v>30</v>
      </c>
      <c r="V1494">
        <v>0</v>
      </c>
      <c r="W1494">
        <v>0</v>
      </c>
      <c r="X1494">
        <v>105</v>
      </c>
      <c r="Y1494">
        <v>0</v>
      </c>
      <c r="Z1494" cm="1">
        <f t="array" ref="Z1494">MMULT($G1494:$Y1494,'Nelson Factor_2019'!$B$1:$B$19)/$G1494</f>
        <v>10.537866287339972</v>
      </c>
      <c r="AA1494" cm="1">
        <f t="array" ref="AA1494">MMULT($G1494:$R1494,'Nelson Factor_2019'!$B$1:$B$12)/$G1494</f>
        <v>10.394310099573257</v>
      </c>
    </row>
    <row r="1495" spans="1:27" x14ac:dyDescent="0.25">
      <c r="A1495">
        <v>2016</v>
      </c>
      <c r="B1495">
        <v>3</v>
      </c>
      <c r="C1495">
        <v>1</v>
      </c>
      <c r="D1495" t="s">
        <v>287</v>
      </c>
      <c r="E1495" t="s">
        <v>368</v>
      </c>
      <c r="F1495" t="s">
        <v>177</v>
      </c>
      <c r="G1495">
        <v>69350</v>
      </c>
      <c r="H1495">
        <v>22800</v>
      </c>
      <c r="I1495">
        <v>0</v>
      </c>
      <c r="J1495">
        <v>0</v>
      </c>
      <c r="K1495">
        <v>22500</v>
      </c>
      <c r="L1495">
        <v>18900</v>
      </c>
      <c r="M1495">
        <v>0</v>
      </c>
      <c r="N1495">
        <v>54000</v>
      </c>
      <c r="O1495">
        <v>4500</v>
      </c>
      <c r="P1495">
        <v>0</v>
      </c>
      <c r="Q1495">
        <v>900</v>
      </c>
      <c r="R1495">
        <v>0</v>
      </c>
      <c r="S1495">
        <v>0</v>
      </c>
      <c r="T1495">
        <v>0</v>
      </c>
      <c r="U1495">
        <v>0</v>
      </c>
      <c r="V1495">
        <v>0</v>
      </c>
      <c r="W1495">
        <v>0</v>
      </c>
      <c r="X1495">
        <v>136</v>
      </c>
      <c r="Y1495">
        <v>6840</v>
      </c>
      <c r="Z1495" cm="1">
        <f t="array" ref="Z1495">MMULT($G1495:$Y1495,'Nelson Factor_2019'!$B$1:$B$19)/$G1495</f>
        <v>8.2103821196827678</v>
      </c>
      <c r="AA1495" cm="1">
        <f t="array" ref="AA1495">MMULT($G1495:$R1495,'Nelson Factor_2019'!$B$1:$B$12)/$G1495</f>
        <v>7.5917808219178085</v>
      </c>
    </row>
    <row r="1496" spans="1:27" x14ac:dyDescent="0.25">
      <c r="A1496">
        <v>2016</v>
      </c>
      <c r="B1496">
        <v>3</v>
      </c>
      <c r="C1496">
        <v>0</v>
      </c>
      <c r="D1496" t="s">
        <v>287</v>
      </c>
      <c r="E1496" t="s">
        <v>102</v>
      </c>
      <c r="F1496" t="s">
        <v>175</v>
      </c>
      <c r="G1496">
        <v>17575</v>
      </c>
      <c r="H1496">
        <v>0</v>
      </c>
      <c r="I1496">
        <v>0</v>
      </c>
      <c r="J1496">
        <v>0</v>
      </c>
      <c r="K1496">
        <v>0</v>
      </c>
      <c r="L1496">
        <v>5400</v>
      </c>
      <c r="M1496">
        <v>0</v>
      </c>
      <c r="N1496">
        <v>10980</v>
      </c>
      <c r="O1496">
        <v>0</v>
      </c>
      <c r="P1496">
        <v>0</v>
      </c>
      <c r="Q1496">
        <v>0</v>
      </c>
      <c r="R1496">
        <v>0</v>
      </c>
      <c r="S1496">
        <v>0</v>
      </c>
      <c r="T1496">
        <v>0</v>
      </c>
      <c r="U1496">
        <v>0</v>
      </c>
      <c r="V1496">
        <v>0</v>
      </c>
      <c r="W1496">
        <v>0</v>
      </c>
      <c r="X1496">
        <v>0</v>
      </c>
      <c r="Y1496">
        <v>0</v>
      </c>
      <c r="Z1496" cm="1">
        <f t="array" ref="Z1496">MMULT($G1496:$Y1496,'Nelson Factor_2019'!$B$1:$B$19)/$G1496</f>
        <v>4.0981507823613086</v>
      </c>
      <c r="AA1496" cm="1">
        <f t="array" ref="AA1496">MMULT($G1496:$R1496,'Nelson Factor_2019'!$B$1:$B$12)/$G1496</f>
        <v>4.0981507823613086</v>
      </c>
    </row>
    <row r="1497" spans="1:27" x14ac:dyDescent="0.25">
      <c r="A1497">
        <v>2016</v>
      </c>
      <c r="B1497">
        <v>3</v>
      </c>
      <c r="C1497">
        <v>4</v>
      </c>
      <c r="D1497" t="s">
        <v>287</v>
      </c>
      <c r="E1497" t="s">
        <v>369</v>
      </c>
      <c r="F1497" t="s">
        <v>179</v>
      </c>
      <c r="G1497">
        <v>155325</v>
      </c>
      <c r="H1497">
        <v>81035</v>
      </c>
      <c r="I1497">
        <v>40410</v>
      </c>
      <c r="J1497">
        <v>0</v>
      </c>
      <c r="K1497">
        <v>75420</v>
      </c>
      <c r="L1497">
        <v>46350</v>
      </c>
      <c r="M1497">
        <v>0</v>
      </c>
      <c r="N1497">
        <v>228420</v>
      </c>
      <c r="O1497">
        <v>21600</v>
      </c>
      <c r="P1497">
        <v>0</v>
      </c>
      <c r="Q1497">
        <v>14580</v>
      </c>
      <c r="R1497">
        <v>0</v>
      </c>
      <c r="S1497">
        <v>0</v>
      </c>
      <c r="T1497">
        <v>0</v>
      </c>
      <c r="U1497">
        <v>0</v>
      </c>
      <c r="V1497">
        <v>0</v>
      </c>
      <c r="W1497">
        <v>2334</v>
      </c>
      <c r="X1497">
        <v>334</v>
      </c>
      <c r="Y1497">
        <v>0</v>
      </c>
      <c r="Z1497" cm="1">
        <f t="array" ref="Z1497">MMULT($G1497:$Y1497,'Nelson Factor_2019'!$B$1:$B$19)/$G1497</f>
        <v>15.495416063093513</v>
      </c>
      <c r="AA1497" cm="1">
        <f t="array" ref="AA1497">MMULT($G1497:$R1497,'Nelson Factor_2019'!$B$1:$B$12)/$G1497</f>
        <v>14.979336874295832</v>
      </c>
    </row>
    <row r="1498" spans="1:27" x14ac:dyDescent="0.25">
      <c r="A1498">
        <v>2016</v>
      </c>
      <c r="B1498">
        <v>3</v>
      </c>
      <c r="C1498">
        <v>4</v>
      </c>
      <c r="D1498" t="s">
        <v>287</v>
      </c>
      <c r="E1498" t="s">
        <v>362</v>
      </c>
      <c r="F1498" t="s">
        <v>182</v>
      </c>
      <c r="G1498">
        <v>247000</v>
      </c>
      <c r="H1498">
        <v>125500</v>
      </c>
      <c r="I1498">
        <v>70900</v>
      </c>
      <c r="J1498">
        <v>0</v>
      </c>
      <c r="K1498">
        <v>107800</v>
      </c>
      <c r="L1498">
        <v>33800</v>
      </c>
      <c r="M1498">
        <v>0</v>
      </c>
      <c r="N1498">
        <v>276030</v>
      </c>
      <c r="O1498">
        <v>19600</v>
      </c>
      <c r="P1498">
        <v>0</v>
      </c>
      <c r="Q1498">
        <v>17700</v>
      </c>
      <c r="R1498">
        <v>9100</v>
      </c>
      <c r="S1498">
        <v>0</v>
      </c>
      <c r="T1498">
        <v>0</v>
      </c>
      <c r="U1498">
        <v>140</v>
      </c>
      <c r="V1498">
        <v>0</v>
      </c>
      <c r="W1498">
        <v>4000</v>
      </c>
      <c r="X1498">
        <v>593</v>
      </c>
      <c r="Y1498">
        <v>0</v>
      </c>
      <c r="Z1498" cm="1">
        <f t="array" ref="Z1498">MMULT($G1498:$Y1498,'Nelson Factor_2019'!$B$1:$B$19)/$G1498</f>
        <v>12.824028340080972</v>
      </c>
      <c r="AA1498" cm="1">
        <f t="array" ref="AA1498">MMULT($G1498:$R1498,'Nelson Factor_2019'!$B$1:$B$12)/$G1498</f>
        <v>12.247267206477733</v>
      </c>
    </row>
    <row r="1499" spans="1:27" x14ac:dyDescent="0.25">
      <c r="A1499">
        <v>2016</v>
      </c>
      <c r="B1499">
        <v>3</v>
      </c>
      <c r="C1499">
        <v>4</v>
      </c>
      <c r="D1499" t="s">
        <v>287</v>
      </c>
      <c r="E1499" t="s">
        <v>236</v>
      </c>
      <c r="F1499" t="s">
        <v>188</v>
      </c>
      <c r="G1499">
        <v>71250</v>
      </c>
      <c r="H1499">
        <v>23750</v>
      </c>
      <c r="I1499">
        <v>5850</v>
      </c>
      <c r="J1499">
        <v>0</v>
      </c>
      <c r="K1499">
        <v>18225</v>
      </c>
      <c r="L1499">
        <v>15750</v>
      </c>
      <c r="M1499">
        <v>0</v>
      </c>
      <c r="N1499">
        <v>62100</v>
      </c>
      <c r="O1499">
        <v>4230</v>
      </c>
      <c r="P1499">
        <v>0</v>
      </c>
      <c r="Q1499">
        <v>0</v>
      </c>
      <c r="R1499">
        <v>0</v>
      </c>
      <c r="S1499">
        <v>0</v>
      </c>
      <c r="T1499">
        <v>0</v>
      </c>
      <c r="U1499">
        <v>0</v>
      </c>
      <c r="V1499">
        <v>0</v>
      </c>
      <c r="W1499">
        <v>204</v>
      </c>
      <c r="X1499">
        <v>35</v>
      </c>
      <c r="Y1499">
        <v>0</v>
      </c>
      <c r="Z1499" cm="1">
        <f t="array" ref="Z1499">MMULT($G1499:$Y1499,'Nelson Factor_2019'!$B$1:$B$19)/$G1499</f>
        <v>7.5796491228070177</v>
      </c>
      <c r="AA1499" cm="1">
        <f t="array" ref="AA1499">MMULT($G1499:$R1499,'Nelson Factor_2019'!$B$1:$B$12)/$G1499</f>
        <v>7.4617543859649125</v>
      </c>
    </row>
    <row r="1500" spans="1:27" x14ac:dyDescent="0.25">
      <c r="A1500">
        <v>2016</v>
      </c>
      <c r="B1500">
        <v>3</v>
      </c>
      <c r="C1500">
        <v>6</v>
      </c>
      <c r="D1500" t="s">
        <v>287</v>
      </c>
      <c r="E1500" t="s">
        <v>54</v>
      </c>
      <c r="F1500" t="s">
        <v>185</v>
      </c>
      <c r="G1500">
        <v>570000</v>
      </c>
      <c r="H1500">
        <v>282150</v>
      </c>
      <c r="I1500">
        <v>86400</v>
      </c>
      <c r="J1500">
        <v>0</v>
      </c>
      <c r="K1500">
        <v>200700</v>
      </c>
      <c r="L1500">
        <v>111150</v>
      </c>
      <c r="M1500">
        <v>26550</v>
      </c>
      <c r="N1500">
        <v>708750</v>
      </c>
      <c r="O1500">
        <v>33300</v>
      </c>
      <c r="P1500">
        <v>0</v>
      </c>
      <c r="Q1500">
        <v>0</v>
      </c>
      <c r="R1500">
        <v>0</v>
      </c>
      <c r="S1500">
        <v>25200</v>
      </c>
      <c r="T1500">
        <v>0</v>
      </c>
      <c r="U1500">
        <v>0</v>
      </c>
      <c r="V1500">
        <v>0</v>
      </c>
      <c r="W1500">
        <v>3094</v>
      </c>
      <c r="X1500">
        <v>1658</v>
      </c>
      <c r="Y1500">
        <v>0</v>
      </c>
      <c r="Z1500" cm="1">
        <f t="array" ref="Z1500">MMULT($G1500:$Y1500,'Nelson Factor_2019'!$B$1:$B$19)/$G1500</f>
        <v>13.284105263157894</v>
      </c>
      <c r="AA1500" cm="1">
        <f t="array" ref="AA1500">MMULT($G1500:$R1500,'Nelson Factor_2019'!$B$1:$B$12)/$G1500</f>
        <v>9.9333684210526307</v>
      </c>
    </row>
    <row r="1501" spans="1:27" x14ac:dyDescent="0.25">
      <c r="A1501">
        <v>2016</v>
      </c>
      <c r="B1501">
        <v>3</v>
      </c>
      <c r="C1501">
        <v>6</v>
      </c>
      <c r="D1501" t="s">
        <v>287</v>
      </c>
      <c r="E1501" t="s">
        <v>54</v>
      </c>
      <c r="F1501" t="s">
        <v>186</v>
      </c>
      <c r="G1501">
        <v>341240</v>
      </c>
      <c r="H1501">
        <v>141360</v>
      </c>
      <c r="I1501">
        <v>43200</v>
      </c>
      <c r="J1501">
        <v>0</v>
      </c>
      <c r="K1501">
        <v>105930</v>
      </c>
      <c r="L1501">
        <v>129600</v>
      </c>
      <c r="M1501">
        <v>58950</v>
      </c>
      <c r="N1501">
        <v>271260</v>
      </c>
      <c r="O1501">
        <v>13410</v>
      </c>
      <c r="P1501">
        <v>0</v>
      </c>
      <c r="Q1501">
        <v>0</v>
      </c>
      <c r="R1501">
        <v>33300</v>
      </c>
      <c r="S1501">
        <v>9000</v>
      </c>
      <c r="T1501">
        <v>0</v>
      </c>
      <c r="U1501">
        <v>50</v>
      </c>
      <c r="V1501">
        <v>0</v>
      </c>
      <c r="W1501">
        <v>2334</v>
      </c>
      <c r="X1501">
        <v>535</v>
      </c>
      <c r="Y1501">
        <v>0</v>
      </c>
      <c r="Z1501" cm="1">
        <f t="array" ref="Z1501">MMULT($G1501:$Y1501,'Nelson Factor_2019'!$B$1:$B$19)/$G1501</f>
        <v>12.26347438752784</v>
      </c>
      <c r="AA1501" cm="1">
        <f t="array" ref="AA1501">MMULT($G1501:$R1501,'Nelson Factor_2019'!$B$1:$B$12)/$G1501</f>
        <v>10.304589145469464</v>
      </c>
    </row>
    <row r="1502" spans="1:27" x14ac:dyDescent="0.25">
      <c r="A1502">
        <v>2016</v>
      </c>
      <c r="B1502">
        <v>3</v>
      </c>
      <c r="C1502">
        <v>6</v>
      </c>
      <c r="D1502" t="s">
        <v>287</v>
      </c>
      <c r="E1502" t="s">
        <v>370</v>
      </c>
      <c r="F1502" t="s">
        <v>179</v>
      </c>
      <c r="G1502">
        <v>288800</v>
      </c>
      <c r="H1502">
        <v>83125</v>
      </c>
      <c r="I1502">
        <v>13950</v>
      </c>
      <c r="J1502">
        <v>0</v>
      </c>
      <c r="K1502">
        <v>99000</v>
      </c>
      <c r="L1502">
        <v>0</v>
      </c>
      <c r="M1502">
        <v>13500</v>
      </c>
      <c r="N1502">
        <v>307620</v>
      </c>
      <c r="O1502">
        <v>13950</v>
      </c>
      <c r="P1502">
        <v>0</v>
      </c>
      <c r="Q1502">
        <v>0</v>
      </c>
      <c r="R1502">
        <v>7560</v>
      </c>
      <c r="S1502">
        <v>0</v>
      </c>
      <c r="T1502">
        <v>0</v>
      </c>
      <c r="U1502">
        <v>0</v>
      </c>
      <c r="V1502">
        <v>0</v>
      </c>
      <c r="W1502">
        <v>4000</v>
      </c>
      <c r="X1502">
        <v>437</v>
      </c>
      <c r="Y1502">
        <v>0</v>
      </c>
      <c r="Z1502" cm="1">
        <f t="array" ref="Z1502">MMULT($G1502:$Y1502,'Nelson Factor_2019'!$B$1:$B$19)/$G1502</f>
        <v>7.7548389889196674</v>
      </c>
      <c r="AA1502" cm="1">
        <f t="array" ref="AA1502">MMULT($G1502:$R1502,'Nelson Factor_2019'!$B$1:$B$12)/$G1502</f>
        <v>7.3916810941828253</v>
      </c>
    </row>
    <row r="1503" spans="1:27" x14ac:dyDescent="0.25">
      <c r="A1503">
        <v>2016</v>
      </c>
      <c r="B1503">
        <v>3</v>
      </c>
      <c r="C1503">
        <v>4</v>
      </c>
      <c r="D1503" t="s">
        <v>287</v>
      </c>
      <c r="E1503" t="s">
        <v>371</v>
      </c>
      <c r="F1503" t="s">
        <v>190</v>
      </c>
      <c r="G1503">
        <v>287185</v>
      </c>
      <c r="H1503">
        <v>191900</v>
      </c>
      <c r="I1503">
        <v>89550</v>
      </c>
      <c r="J1503">
        <v>0</v>
      </c>
      <c r="K1503">
        <v>99000</v>
      </c>
      <c r="L1503">
        <v>0</v>
      </c>
      <c r="M1503">
        <v>0</v>
      </c>
      <c r="N1503">
        <v>351720</v>
      </c>
      <c r="O1503">
        <v>10125</v>
      </c>
      <c r="P1503">
        <v>0</v>
      </c>
      <c r="Q1503">
        <v>16380</v>
      </c>
      <c r="R1503">
        <v>0</v>
      </c>
      <c r="S1503">
        <v>3506</v>
      </c>
      <c r="T1503">
        <v>0</v>
      </c>
      <c r="U1503">
        <v>0</v>
      </c>
      <c r="V1503">
        <v>0</v>
      </c>
      <c r="W1503">
        <v>204</v>
      </c>
      <c r="X1503">
        <v>1019</v>
      </c>
      <c r="Y1503">
        <v>0</v>
      </c>
      <c r="Z1503" cm="1">
        <f t="array" ref="Z1503">MMULT($G1503:$Y1503,'Nelson Factor_2019'!$B$1:$B$19)/$G1503</f>
        <v>12.41481971551439</v>
      </c>
      <c r="AA1503" cm="1">
        <f t="array" ref="AA1503">MMULT($G1503:$R1503,'Nelson Factor_2019'!$B$1:$B$12)/$G1503</f>
        <v>10.83075369535317</v>
      </c>
    </row>
    <row r="1504" spans="1:27" x14ac:dyDescent="0.25">
      <c r="A1504">
        <v>2016</v>
      </c>
      <c r="B1504">
        <v>3</v>
      </c>
      <c r="C1504">
        <v>6</v>
      </c>
      <c r="D1504" t="s">
        <v>287</v>
      </c>
      <c r="E1504" t="s">
        <v>246</v>
      </c>
      <c r="F1504" t="s">
        <v>299</v>
      </c>
      <c r="G1504">
        <v>459000</v>
      </c>
      <c r="H1504">
        <v>225200</v>
      </c>
      <c r="I1504">
        <v>29800</v>
      </c>
      <c r="J1504">
        <v>0</v>
      </c>
      <c r="K1504">
        <v>190500</v>
      </c>
      <c r="L1504">
        <v>124300</v>
      </c>
      <c r="M1504">
        <v>136900</v>
      </c>
      <c r="N1504">
        <v>323900</v>
      </c>
      <c r="O1504">
        <v>38000</v>
      </c>
      <c r="P1504">
        <v>0</v>
      </c>
      <c r="Q1504">
        <v>33800</v>
      </c>
      <c r="R1504">
        <v>0</v>
      </c>
      <c r="S1504">
        <v>0</v>
      </c>
      <c r="T1504">
        <v>0</v>
      </c>
      <c r="U1504">
        <v>29.9</v>
      </c>
      <c r="V1504">
        <v>0</v>
      </c>
      <c r="W1504">
        <v>3094</v>
      </c>
      <c r="X1504">
        <v>1338</v>
      </c>
      <c r="Y1504">
        <v>0</v>
      </c>
      <c r="Z1504" cm="1">
        <f t="array" ref="Z1504">MMULT($G1504:$Y1504,'Nelson Factor_2019'!$B$1:$B$19)/$G1504</f>
        <v>13.119520479302833</v>
      </c>
      <c r="AA1504" cm="1">
        <f t="array" ref="AA1504">MMULT($G1504:$R1504,'Nelson Factor_2019'!$B$1:$B$12)/$G1504</f>
        <v>12.419847494553377</v>
      </c>
    </row>
    <row r="1505" spans="1:27" x14ac:dyDescent="0.25">
      <c r="A1505">
        <v>2016</v>
      </c>
      <c r="B1505">
        <v>3</v>
      </c>
      <c r="C1505">
        <v>1</v>
      </c>
      <c r="D1505" t="s">
        <v>287</v>
      </c>
      <c r="E1505" t="s">
        <v>246</v>
      </c>
      <c r="F1505" t="s">
        <v>178</v>
      </c>
      <c r="G1505">
        <v>86000</v>
      </c>
      <c r="H1505">
        <v>0</v>
      </c>
      <c r="I1505">
        <v>0</v>
      </c>
      <c r="J1505">
        <v>0</v>
      </c>
      <c r="K1505">
        <v>55600</v>
      </c>
      <c r="L1505">
        <v>10500</v>
      </c>
      <c r="M1505">
        <v>0</v>
      </c>
      <c r="N1505">
        <v>0</v>
      </c>
      <c r="O1505">
        <v>13800</v>
      </c>
      <c r="P1505">
        <v>0</v>
      </c>
      <c r="Q1505">
        <v>2800</v>
      </c>
      <c r="R1505">
        <v>0</v>
      </c>
      <c r="S1505">
        <v>0</v>
      </c>
      <c r="T1505">
        <v>0</v>
      </c>
      <c r="U1505">
        <v>0</v>
      </c>
      <c r="V1505">
        <v>0</v>
      </c>
      <c r="W1505">
        <v>0</v>
      </c>
      <c r="X1505">
        <v>35</v>
      </c>
      <c r="Y1505">
        <v>0</v>
      </c>
      <c r="Z1505" cm="1">
        <f t="array" ref="Z1505">MMULT($G1505:$Y1505,'Nelson Factor_2019'!$B$1:$B$19)/$G1505</f>
        <v>7.8430232558139537</v>
      </c>
      <c r="AA1505" cm="1">
        <f t="array" ref="AA1505">MMULT($G1505:$R1505,'Nelson Factor_2019'!$B$1:$B$12)/$G1505</f>
        <v>7.7453488372093027</v>
      </c>
    </row>
    <row r="1506" spans="1:27" x14ac:dyDescent="0.25">
      <c r="A1506">
        <v>2016</v>
      </c>
      <c r="B1506">
        <v>3</v>
      </c>
      <c r="C1506">
        <v>6</v>
      </c>
      <c r="D1506" t="s">
        <v>287</v>
      </c>
      <c r="E1506" t="s">
        <v>112</v>
      </c>
      <c r="F1506" t="s">
        <v>191</v>
      </c>
      <c r="G1506">
        <v>603000</v>
      </c>
      <c r="H1506">
        <v>309000</v>
      </c>
      <c r="I1506">
        <v>150000</v>
      </c>
      <c r="J1506">
        <v>0</v>
      </c>
      <c r="K1506">
        <v>88000</v>
      </c>
      <c r="L1506">
        <v>121825</v>
      </c>
      <c r="M1506">
        <v>97080</v>
      </c>
      <c r="N1506">
        <v>460500</v>
      </c>
      <c r="O1506">
        <v>19000</v>
      </c>
      <c r="P1506">
        <v>0</v>
      </c>
      <c r="Q1506">
        <v>0</v>
      </c>
      <c r="R1506">
        <v>41925</v>
      </c>
      <c r="S1506">
        <v>34125</v>
      </c>
      <c r="T1506">
        <v>0</v>
      </c>
      <c r="U1506">
        <v>40</v>
      </c>
      <c r="V1506">
        <v>0</v>
      </c>
      <c r="W1506">
        <v>8040</v>
      </c>
      <c r="X1506">
        <v>1509</v>
      </c>
      <c r="Y1506">
        <v>0</v>
      </c>
      <c r="Z1506" cm="1">
        <f t="array" ref="Z1506">MMULT($G1506:$Y1506,'Nelson Factor_2019'!$B$1:$B$19)/$G1506</f>
        <v>13.134643449419569</v>
      </c>
      <c r="AA1506" cm="1">
        <f t="array" ref="AA1506">MMULT($G1506:$R1506,'Nelson Factor_2019'!$B$1:$B$12)/$G1506</f>
        <v>9.1384577114427863</v>
      </c>
    </row>
    <row r="1507" spans="1:27" x14ac:dyDescent="0.25">
      <c r="A1507">
        <v>2016</v>
      </c>
      <c r="B1507">
        <v>3</v>
      </c>
      <c r="C1507">
        <v>1</v>
      </c>
      <c r="D1507" t="s">
        <v>287</v>
      </c>
      <c r="E1507" t="s">
        <v>372</v>
      </c>
      <c r="F1507" t="s">
        <v>184</v>
      </c>
      <c r="G1507">
        <v>101175</v>
      </c>
      <c r="H1507">
        <v>36100</v>
      </c>
      <c r="I1507">
        <v>0</v>
      </c>
      <c r="J1507">
        <v>0</v>
      </c>
      <c r="K1507">
        <v>50400</v>
      </c>
      <c r="L1507">
        <v>20700</v>
      </c>
      <c r="M1507">
        <v>0</v>
      </c>
      <c r="N1507">
        <v>70200</v>
      </c>
      <c r="O1507">
        <v>9000</v>
      </c>
      <c r="P1507">
        <v>0</v>
      </c>
      <c r="Q1507">
        <v>0</v>
      </c>
      <c r="R1507">
        <v>0</v>
      </c>
      <c r="S1507">
        <v>0</v>
      </c>
      <c r="T1507">
        <v>0</v>
      </c>
      <c r="U1507">
        <v>0</v>
      </c>
      <c r="V1507">
        <v>0</v>
      </c>
      <c r="W1507">
        <v>0</v>
      </c>
      <c r="X1507">
        <v>25</v>
      </c>
      <c r="Y1507">
        <v>0</v>
      </c>
      <c r="Z1507" cm="1">
        <f t="array" ref="Z1507">MMULT($G1507:$Y1507,'Nelson Factor_2019'!$B$1:$B$19)/$G1507</f>
        <v>8.1591796392389426</v>
      </c>
      <c r="AA1507" cm="1">
        <f t="array" ref="AA1507">MMULT($G1507:$R1507,'Nelson Factor_2019'!$B$1:$B$12)/$G1507</f>
        <v>8.0998764516926123</v>
      </c>
    </row>
    <row r="1508" spans="1:27" x14ac:dyDescent="0.25">
      <c r="A1508">
        <v>2016</v>
      </c>
      <c r="B1508">
        <v>3</v>
      </c>
      <c r="C1508">
        <v>6</v>
      </c>
      <c r="D1508" t="s">
        <v>287</v>
      </c>
      <c r="E1508" t="s">
        <v>373</v>
      </c>
      <c r="F1508" t="s">
        <v>193</v>
      </c>
      <c r="G1508">
        <v>323000</v>
      </c>
      <c r="H1508">
        <v>171000</v>
      </c>
      <c r="I1508">
        <v>80100</v>
      </c>
      <c r="J1508">
        <v>0</v>
      </c>
      <c r="K1508">
        <v>67500</v>
      </c>
      <c r="L1508">
        <v>62550</v>
      </c>
      <c r="M1508">
        <v>54000</v>
      </c>
      <c r="N1508">
        <v>338400</v>
      </c>
      <c r="O1508">
        <v>16650</v>
      </c>
      <c r="P1508">
        <v>0</v>
      </c>
      <c r="Q1508">
        <v>0</v>
      </c>
      <c r="R1508">
        <v>0</v>
      </c>
      <c r="S1508">
        <v>0</v>
      </c>
      <c r="T1508">
        <v>0</v>
      </c>
      <c r="U1508">
        <v>85</v>
      </c>
      <c r="V1508">
        <v>0</v>
      </c>
      <c r="W1508">
        <v>5263</v>
      </c>
      <c r="X1508">
        <v>984</v>
      </c>
      <c r="Y1508">
        <v>0</v>
      </c>
      <c r="Z1508" cm="1">
        <f t="array" ref="Z1508">MMULT($G1508:$Y1508,'Nelson Factor_2019'!$B$1:$B$19)/$G1508</f>
        <v>10.973823529411765</v>
      </c>
      <c r="AA1508" cm="1">
        <f t="array" ref="AA1508">MMULT($G1508:$R1508,'Nelson Factor_2019'!$B$1:$B$12)/$G1508</f>
        <v>10.242414860681114</v>
      </c>
    </row>
    <row r="1509" spans="1:27" x14ac:dyDescent="0.25">
      <c r="A1509">
        <v>2016</v>
      </c>
      <c r="B1509">
        <v>3</v>
      </c>
      <c r="C1509">
        <v>4</v>
      </c>
      <c r="D1509" t="s">
        <v>287</v>
      </c>
      <c r="E1509" t="s">
        <v>374</v>
      </c>
      <c r="F1509" t="s">
        <v>191</v>
      </c>
      <c r="G1509">
        <v>232750</v>
      </c>
      <c r="H1509">
        <v>100035</v>
      </c>
      <c r="I1509">
        <v>54000</v>
      </c>
      <c r="J1509">
        <v>0</v>
      </c>
      <c r="K1509">
        <v>72000</v>
      </c>
      <c r="L1509">
        <v>36000</v>
      </c>
      <c r="M1509">
        <v>0</v>
      </c>
      <c r="N1509">
        <v>238050</v>
      </c>
      <c r="O1509">
        <v>6030</v>
      </c>
      <c r="P1509">
        <v>0</v>
      </c>
      <c r="Q1509">
        <v>12240</v>
      </c>
      <c r="R1509">
        <v>7020</v>
      </c>
      <c r="S1509">
        <v>0</v>
      </c>
      <c r="T1509">
        <v>0</v>
      </c>
      <c r="U1509">
        <v>0</v>
      </c>
      <c r="V1509">
        <v>0</v>
      </c>
      <c r="W1509">
        <v>2489</v>
      </c>
      <c r="X1509">
        <v>731</v>
      </c>
      <c r="Y1509">
        <v>0</v>
      </c>
      <c r="Z1509" cm="1">
        <f t="array" ref="Z1509">MMULT($G1509:$Y1509,'Nelson Factor_2019'!$B$1:$B$19)/$G1509</f>
        <v>10.64025993555317</v>
      </c>
      <c r="AA1509" cm="1">
        <f t="array" ref="AA1509">MMULT($G1509:$R1509,'Nelson Factor_2019'!$B$1:$B$12)/$G1509</f>
        <v>9.8864897959183669</v>
      </c>
    </row>
    <row r="1510" spans="1:27" x14ac:dyDescent="0.25">
      <c r="A1510">
        <v>2016</v>
      </c>
      <c r="B1510">
        <v>3</v>
      </c>
      <c r="C1510">
        <v>6</v>
      </c>
      <c r="D1510" t="s">
        <v>287</v>
      </c>
      <c r="E1510" t="s">
        <v>375</v>
      </c>
      <c r="F1510" t="s">
        <v>179</v>
      </c>
      <c r="G1510">
        <v>199500</v>
      </c>
      <c r="H1510">
        <v>92150</v>
      </c>
      <c r="I1510">
        <v>15300</v>
      </c>
      <c r="J1510">
        <v>0</v>
      </c>
      <c r="K1510">
        <v>83700</v>
      </c>
      <c r="L1510">
        <v>44100</v>
      </c>
      <c r="M1510">
        <v>44550</v>
      </c>
      <c r="N1510">
        <v>262800</v>
      </c>
      <c r="O1510">
        <v>19170</v>
      </c>
      <c r="P1510">
        <v>0</v>
      </c>
      <c r="Q1510">
        <v>13950</v>
      </c>
      <c r="R1510">
        <v>26100</v>
      </c>
      <c r="S1510">
        <v>0</v>
      </c>
      <c r="T1510">
        <v>0</v>
      </c>
      <c r="U1510">
        <v>275</v>
      </c>
      <c r="V1510">
        <v>0</v>
      </c>
      <c r="W1510">
        <v>853</v>
      </c>
      <c r="X1510">
        <v>1168</v>
      </c>
      <c r="Y1510">
        <v>34200</v>
      </c>
      <c r="Z1510" cm="1">
        <f t="array" ref="Z1510">MMULT($G1510:$Y1510,'Nelson Factor_2019'!$B$1:$B$19)/$G1510</f>
        <v>15.293433583959899</v>
      </c>
      <c r="AA1510" cm="1">
        <f t="array" ref="AA1510">MMULT($G1510:$R1510,'Nelson Factor_2019'!$B$1:$B$12)/$G1510</f>
        <v>13.629799498746868</v>
      </c>
    </row>
    <row r="1511" spans="1:27" x14ac:dyDescent="0.25">
      <c r="A1511">
        <v>2016</v>
      </c>
      <c r="B1511">
        <v>3</v>
      </c>
      <c r="C1511">
        <v>3</v>
      </c>
      <c r="D1511" t="s">
        <v>287</v>
      </c>
      <c r="E1511" t="s">
        <v>375</v>
      </c>
      <c r="F1511" t="s">
        <v>190</v>
      </c>
      <c r="G1511">
        <v>100000</v>
      </c>
      <c r="H1511">
        <v>39000</v>
      </c>
      <c r="I1511">
        <v>0</v>
      </c>
      <c r="J1511">
        <v>0</v>
      </c>
      <c r="K1511">
        <v>71500</v>
      </c>
      <c r="L1511">
        <v>0</v>
      </c>
      <c r="M1511">
        <v>34000</v>
      </c>
      <c r="N1511">
        <v>94500</v>
      </c>
      <c r="O1511">
        <v>12000</v>
      </c>
      <c r="P1511">
        <v>0</v>
      </c>
      <c r="Q1511">
        <v>0</v>
      </c>
      <c r="R1511">
        <v>0</v>
      </c>
      <c r="S1511">
        <v>0</v>
      </c>
      <c r="T1511">
        <v>0</v>
      </c>
      <c r="U1511">
        <v>0</v>
      </c>
      <c r="V1511">
        <v>0</v>
      </c>
      <c r="W1511">
        <v>0</v>
      </c>
      <c r="X1511">
        <v>300</v>
      </c>
      <c r="Y1511">
        <v>0</v>
      </c>
      <c r="Z1511" cm="1">
        <f t="array" ref="Z1511">MMULT($G1511:$Y1511,'Nelson Factor_2019'!$B$1:$B$19)/$G1511</f>
        <v>12.7995</v>
      </c>
      <c r="AA1511" cm="1">
        <f t="array" ref="AA1511">MMULT($G1511:$R1511,'Nelson Factor_2019'!$B$1:$B$12)/$G1511</f>
        <v>12.079499999999999</v>
      </c>
    </row>
    <row r="1512" spans="1:27" x14ac:dyDescent="0.25">
      <c r="A1512">
        <v>2016</v>
      </c>
      <c r="B1512">
        <v>3</v>
      </c>
      <c r="C1512">
        <v>6</v>
      </c>
      <c r="D1512" t="s">
        <v>287</v>
      </c>
      <c r="E1512" t="s">
        <v>367</v>
      </c>
      <c r="F1512" t="s">
        <v>191</v>
      </c>
      <c r="G1512">
        <v>394250</v>
      </c>
      <c r="H1512">
        <v>208050</v>
      </c>
      <c r="I1512">
        <v>89730</v>
      </c>
      <c r="J1512">
        <v>0</v>
      </c>
      <c r="K1512">
        <v>67500</v>
      </c>
      <c r="L1512">
        <v>49500</v>
      </c>
      <c r="M1512">
        <v>108000</v>
      </c>
      <c r="N1512">
        <v>298440</v>
      </c>
      <c r="O1512">
        <v>17550</v>
      </c>
      <c r="P1512">
        <v>0</v>
      </c>
      <c r="Q1512">
        <v>0</v>
      </c>
      <c r="R1512">
        <v>0</v>
      </c>
      <c r="S1512">
        <v>0</v>
      </c>
      <c r="T1512">
        <v>0</v>
      </c>
      <c r="U1512">
        <v>0</v>
      </c>
      <c r="V1512">
        <v>0</v>
      </c>
      <c r="W1512">
        <v>4521</v>
      </c>
      <c r="X1512">
        <v>1352</v>
      </c>
      <c r="Y1512">
        <v>0</v>
      </c>
      <c r="Z1512" cm="1">
        <f t="array" ref="Z1512">MMULT($G1512:$Y1512,'Nelson Factor_2019'!$B$1:$B$19)/$G1512</f>
        <v>10.400177552314521</v>
      </c>
      <c r="AA1512" cm="1">
        <f t="array" ref="AA1512">MMULT($G1512:$R1512,'Nelson Factor_2019'!$B$1:$B$12)/$G1512</f>
        <v>9.5771464806594793</v>
      </c>
    </row>
    <row r="1513" spans="1:27" x14ac:dyDescent="0.25">
      <c r="A1513">
        <v>2016</v>
      </c>
      <c r="B1513">
        <v>3</v>
      </c>
      <c r="C1513">
        <v>3</v>
      </c>
      <c r="D1513" t="s">
        <v>287</v>
      </c>
      <c r="E1513" t="s">
        <v>66</v>
      </c>
      <c r="F1513" t="s">
        <v>195</v>
      </c>
      <c r="G1513">
        <v>163400</v>
      </c>
      <c r="H1513">
        <v>47500</v>
      </c>
      <c r="I1513">
        <v>0</v>
      </c>
      <c r="J1513">
        <v>0</v>
      </c>
      <c r="K1513">
        <v>50000</v>
      </c>
      <c r="L1513">
        <v>42300</v>
      </c>
      <c r="M1513">
        <v>24300</v>
      </c>
      <c r="N1513">
        <v>117090</v>
      </c>
      <c r="O1513">
        <v>8820</v>
      </c>
      <c r="P1513">
        <v>0</v>
      </c>
      <c r="Q1513">
        <v>0</v>
      </c>
      <c r="R1513">
        <v>2700</v>
      </c>
      <c r="S1513">
        <v>0</v>
      </c>
      <c r="T1513">
        <v>0</v>
      </c>
      <c r="U1513">
        <v>30</v>
      </c>
      <c r="V1513">
        <v>0</v>
      </c>
      <c r="W1513">
        <v>0</v>
      </c>
      <c r="X1513">
        <v>68</v>
      </c>
      <c r="Y1513">
        <v>10800</v>
      </c>
      <c r="Z1513" cm="1">
        <f t="array" ref="Z1513">MMULT($G1513:$Y1513,'Nelson Factor_2019'!$B$1:$B$19)/$G1513</f>
        <v>8.2779987760097917</v>
      </c>
      <c r="AA1513" cm="1">
        <f t="array" ref="AA1513">MMULT($G1513:$R1513,'Nelson Factor_2019'!$B$1:$B$12)/$G1513</f>
        <v>8.0787943696450437</v>
      </c>
    </row>
    <row r="1514" spans="1:27" x14ac:dyDescent="0.25">
      <c r="A1514">
        <v>2016</v>
      </c>
      <c r="B1514">
        <v>3</v>
      </c>
      <c r="C1514">
        <v>4</v>
      </c>
      <c r="D1514" t="s">
        <v>287</v>
      </c>
      <c r="E1514" t="s">
        <v>375</v>
      </c>
      <c r="F1514" t="s">
        <v>178</v>
      </c>
      <c r="G1514">
        <v>219450</v>
      </c>
      <c r="H1514">
        <v>126825</v>
      </c>
      <c r="I1514">
        <v>48150</v>
      </c>
      <c r="J1514">
        <v>0</v>
      </c>
      <c r="K1514">
        <v>77400</v>
      </c>
      <c r="L1514">
        <v>16290</v>
      </c>
      <c r="M1514">
        <v>0</v>
      </c>
      <c r="N1514">
        <v>257400</v>
      </c>
      <c r="O1514">
        <v>13230</v>
      </c>
      <c r="P1514">
        <v>0</v>
      </c>
      <c r="Q1514">
        <v>0</v>
      </c>
      <c r="R1514">
        <v>5850</v>
      </c>
      <c r="S1514">
        <v>0</v>
      </c>
      <c r="T1514">
        <v>0</v>
      </c>
      <c r="U1514">
        <v>0</v>
      </c>
      <c r="V1514">
        <v>0</v>
      </c>
      <c r="W1514">
        <v>2584</v>
      </c>
      <c r="X1514">
        <v>617</v>
      </c>
      <c r="Y1514">
        <v>0</v>
      </c>
      <c r="Z1514" cm="1">
        <f t="array" ref="Z1514">MMULT($G1514:$Y1514,'Nelson Factor_2019'!$B$1:$B$19)/$G1514</f>
        <v>10.174196855775802</v>
      </c>
      <c r="AA1514" cm="1">
        <f t="array" ref="AA1514">MMULT($G1514:$R1514,'Nelson Factor_2019'!$B$1:$B$12)/$G1514</f>
        <v>9.4994190020505815</v>
      </c>
    </row>
    <row r="1515" spans="1:27" x14ac:dyDescent="0.25">
      <c r="A1515">
        <v>2016</v>
      </c>
      <c r="B1515">
        <v>3</v>
      </c>
      <c r="C1515">
        <v>3</v>
      </c>
      <c r="D1515" t="s">
        <v>287</v>
      </c>
      <c r="E1515" t="s">
        <v>66</v>
      </c>
      <c r="F1515" t="s">
        <v>196</v>
      </c>
      <c r="G1515">
        <v>86450</v>
      </c>
      <c r="H1515">
        <v>31825</v>
      </c>
      <c r="I1515">
        <v>0</v>
      </c>
      <c r="J1515">
        <v>0</v>
      </c>
      <c r="K1515">
        <v>21150</v>
      </c>
      <c r="L1515">
        <v>30150</v>
      </c>
      <c r="M1515">
        <v>25200</v>
      </c>
      <c r="N1515">
        <v>71100</v>
      </c>
      <c r="O1515">
        <v>5850</v>
      </c>
      <c r="P1515">
        <v>0</v>
      </c>
      <c r="Q1515">
        <v>9720</v>
      </c>
      <c r="R1515">
        <v>2700</v>
      </c>
      <c r="S1515">
        <v>1710</v>
      </c>
      <c r="T1515">
        <v>0</v>
      </c>
      <c r="U1515">
        <v>0</v>
      </c>
      <c r="V1515">
        <v>0</v>
      </c>
      <c r="W1515">
        <v>0</v>
      </c>
      <c r="X1515">
        <v>122</v>
      </c>
      <c r="Y1515">
        <v>0</v>
      </c>
      <c r="Z1515" cm="1">
        <f t="array" ref="Z1515">MMULT($G1515:$Y1515,'Nelson Factor_2019'!$B$1:$B$19)/$G1515</f>
        <v>13.622932330827068</v>
      </c>
      <c r="AA1515" cm="1">
        <f t="array" ref="AA1515">MMULT($G1515:$R1515,'Nelson Factor_2019'!$B$1:$B$12)/$G1515</f>
        <v>12.097426257952574</v>
      </c>
    </row>
    <row r="1516" spans="1:27" x14ac:dyDescent="0.25">
      <c r="A1516">
        <v>2016</v>
      </c>
      <c r="B1516">
        <v>3</v>
      </c>
      <c r="C1516">
        <v>1</v>
      </c>
      <c r="D1516" t="s">
        <v>287</v>
      </c>
      <c r="E1516" t="s">
        <v>376</v>
      </c>
      <c r="F1516" t="s">
        <v>198</v>
      </c>
      <c r="G1516">
        <v>124450</v>
      </c>
      <c r="H1516">
        <v>45600</v>
      </c>
      <c r="I1516">
        <v>0</v>
      </c>
      <c r="J1516">
        <v>0</v>
      </c>
      <c r="K1516">
        <v>29250</v>
      </c>
      <c r="L1516">
        <v>25200</v>
      </c>
      <c r="M1516">
        <v>0</v>
      </c>
      <c r="N1516">
        <v>77760</v>
      </c>
      <c r="O1516">
        <v>10800</v>
      </c>
      <c r="P1516">
        <v>0</v>
      </c>
      <c r="Q1516">
        <v>0</v>
      </c>
      <c r="R1516">
        <v>4500</v>
      </c>
      <c r="S1516">
        <v>0</v>
      </c>
      <c r="T1516">
        <v>0</v>
      </c>
      <c r="U1516">
        <v>10</v>
      </c>
      <c r="V1516">
        <v>0</v>
      </c>
      <c r="W1516">
        <v>0</v>
      </c>
      <c r="X1516">
        <v>0</v>
      </c>
      <c r="Y1516">
        <v>6300</v>
      </c>
      <c r="Z1516" cm="1">
        <f t="array" ref="Z1516">MMULT($G1516:$Y1516,'Nelson Factor_2019'!$B$1:$B$19)/$G1516</f>
        <v>6.5133788670148656</v>
      </c>
      <c r="AA1516" cm="1">
        <f t="array" ref="AA1516">MMULT($G1516:$R1516,'Nelson Factor_2019'!$B$1:$B$12)/$G1516</f>
        <v>6.4373644033748496</v>
      </c>
    </row>
    <row r="1517" spans="1:27" x14ac:dyDescent="0.25">
      <c r="A1517">
        <v>2016</v>
      </c>
      <c r="B1517">
        <v>3</v>
      </c>
      <c r="C1517">
        <v>4</v>
      </c>
      <c r="D1517" t="s">
        <v>287</v>
      </c>
      <c r="E1517" t="s">
        <v>377</v>
      </c>
      <c r="F1517" t="s">
        <v>181</v>
      </c>
      <c r="G1517">
        <v>143000</v>
      </c>
      <c r="H1517">
        <v>76000</v>
      </c>
      <c r="I1517">
        <v>27000</v>
      </c>
      <c r="J1517">
        <v>0</v>
      </c>
      <c r="K1517">
        <v>50000</v>
      </c>
      <c r="L1517">
        <v>28000</v>
      </c>
      <c r="M1517">
        <v>0</v>
      </c>
      <c r="N1517">
        <v>171000</v>
      </c>
      <c r="O1517">
        <v>17000</v>
      </c>
      <c r="P1517">
        <v>0</v>
      </c>
      <c r="Q1517">
        <v>0</v>
      </c>
      <c r="R1517">
        <v>43000</v>
      </c>
      <c r="S1517">
        <v>0</v>
      </c>
      <c r="T1517">
        <v>0</v>
      </c>
      <c r="U1517">
        <v>96</v>
      </c>
      <c r="V1517">
        <v>0</v>
      </c>
      <c r="W1517">
        <v>1250</v>
      </c>
      <c r="X1517">
        <v>340</v>
      </c>
      <c r="Y1517">
        <v>0</v>
      </c>
      <c r="Z1517" cm="1">
        <f t="array" ref="Z1517">MMULT($G1517:$Y1517,'Nelson Factor_2019'!$B$1:$B$19)/$G1517</f>
        <v>11.835636363636363</v>
      </c>
      <c r="AA1517" cm="1">
        <f t="array" ref="AA1517">MMULT($G1517:$R1517,'Nelson Factor_2019'!$B$1:$B$12)/$G1517</f>
        <v>11.264335664335665</v>
      </c>
    </row>
    <row r="1518" spans="1:27" x14ac:dyDescent="0.25">
      <c r="A1518">
        <v>2016</v>
      </c>
      <c r="B1518">
        <v>4</v>
      </c>
      <c r="C1518">
        <v>1</v>
      </c>
      <c r="D1518" t="s">
        <v>289</v>
      </c>
      <c r="E1518" t="s">
        <v>290</v>
      </c>
      <c r="F1518" t="s">
        <v>378</v>
      </c>
      <c r="G1518">
        <v>30400</v>
      </c>
      <c r="H1518">
        <v>0</v>
      </c>
      <c r="I1518">
        <v>0</v>
      </c>
      <c r="J1518">
        <v>0</v>
      </c>
      <c r="K1518">
        <v>10350</v>
      </c>
      <c r="L1518">
        <v>6570</v>
      </c>
      <c r="M1518">
        <v>0</v>
      </c>
      <c r="N1518">
        <v>16560</v>
      </c>
      <c r="O1518">
        <v>2610</v>
      </c>
      <c r="P1518">
        <v>0</v>
      </c>
      <c r="Q1518">
        <v>0</v>
      </c>
      <c r="R1518">
        <v>3960</v>
      </c>
      <c r="S1518">
        <v>0</v>
      </c>
      <c r="T1518">
        <v>0</v>
      </c>
      <c r="U1518">
        <v>0</v>
      </c>
      <c r="V1518">
        <v>0</v>
      </c>
      <c r="W1518">
        <v>0</v>
      </c>
      <c r="X1518">
        <v>4</v>
      </c>
      <c r="Y1518">
        <v>0</v>
      </c>
      <c r="Z1518" cm="1">
        <f t="array" ref="Z1518">MMULT($G1518:$Y1518,'Nelson Factor_2019'!$B$1:$B$19)/$G1518</f>
        <v>6.7661184210526315</v>
      </c>
      <c r="AA1518" cm="1">
        <f t="array" ref="AA1518">MMULT($G1518:$R1518,'Nelson Factor_2019'!$B$1:$B$12)/$G1518</f>
        <v>6.7345394736842108</v>
      </c>
    </row>
    <row r="1519" spans="1:27" x14ac:dyDescent="0.25">
      <c r="A1519">
        <v>2016</v>
      </c>
      <c r="B1519">
        <v>4</v>
      </c>
      <c r="C1519">
        <v>4</v>
      </c>
      <c r="D1519" t="s">
        <v>289</v>
      </c>
      <c r="E1519" t="s">
        <v>379</v>
      </c>
      <c r="F1519" t="s">
        <v>201</v>
      </c>
      <c r="G1519">
        <v>49400</v>
      </c>
      <c r="H1519">
        <v>26125</v>
      </c>
      <c r="I1519">
        <v>7650</v>
      </c>
      <c r="J1519">
        <v>0</v>
      </c>
      <c r="K1519">
        <v>12600</v>
      </c>
      <c r="L1519">
        <v>7200</v>
      </c>
      <c r="M1519">
        <v>0</v>
      </c>
      <c r="N1519">
        <v>42120</v>
      </c>
      <c r="O1519">
        <v>5040</v>
      </c>
      <c r="P1519">
        <v>0</v>
      </c>
      <c r="Q1519">
        <v>0</v>
      </c>
      <c r="R1519">
        <v>1170</v>
      </c>
      <c r="S1519">
        <v>0</v>
      </c>
      <c r="T1519">
        <v>0</v>
      </c>
      <c r="U1519">
        <v>0</v>
      </c>
      <c r="V1519">
        <v>0</v>
      </c>
      <c r="W1519">
        <v>340</v>
      </c>
      <c r="X1519">
        <v>57</v>
      </c>
      <c r="Y1519">
        <v>0</v>
      </c>
      <c r="Z1519" cm="1">
        <f t="array" ref="Z1519">MMULT($G1519:$Y1519,'Nelson Factor_2019'!$B$1:$B$19)/$G1519</f>
        <v>8.6078441295546551</v>
      </c>
      <c r="AA1519" cm="1">
        <f t="array" ref="AA1519">MMULT($G1519:$R1519,'Nelson Factor_2019'!$B$1:$B$12)/$G1519</f>
        <v>8.3309210526315791</v>
      </c>
    </row>
    <row r="1520" spans="1:27" x14ac:dyDescent="0.25">
      <c r="A1520">
        <v>2016</v>
      </c>
      <c r="B1520">
        <v>4</v>
      </c>
      <c r="C1520">
        <v>3</v>
      </c>
      <c r="D1520" t="s">
        <v>289</v>
      </c>
      <c r="E1520" t="s">
        <v>363</v>
      </c>
      <c r="F1520" t="s">
        <v>203</v>
      </c>
      <c r="G1520">
        <v>25080</v>
      </c>
      <c r="H1520">
        <v>0</v>
      </c>
      <c r="I1520">
        <v>0</v>
      </c>
      <c r="J1520">
        <v>0</v>
      </c>
      <c r="K1520">
        <v>8424</v>
      </c>
      <c r="L1520">
        <v>7560</v>
      </c>
      <c r="M1520">
        <v>8100</v>
      </c>
      <c r="N1520">
        <v>23580</v>
      </c>
      <c r="O1520">
        <v>2970</v>
      </c>
      <c r="P1520">
        <v>0</v>
      </c>
      <c r="Q1520">
        <v>0</v>
      </c>
      <c r="R1520">
        <v>2700</v>
      </c>
      <c r="S1520">
        <v>0</v>
      </c>
      <c r="T1520">
        <v>0</v>
      </c>
      <c r="U1520">
        <v>0</v>
      </c>
      <c r="V1520">
        <v>0</v>
      </c>
      <c r="W1520">
        <v>0</v>
      </c>
      <c r="X1520">
        <v>9</v>
      </c>
      <c r="Y1520">
        <v>1620</v>
      </c>
      <c r="Z1520" cm="1">
        <f t="array" ref="Z1520">MMULT($G1520:$Y1520,'Nelson Factor_2019'!$B$1:$B$19)/$G1520</f>
        <v>11.14688995215311</v>
      </c>
      <c r="AA1520" cm="1">
        <f t="array" ref="AA1520">MMULT($G1520:$R1520,'Nelson Factor_2019'!$B$1:$B$12)/$G1520</f>
        <v>10.963875598086124</v>
      </c>
    </row>
    <row r="1521" spans="1:27" x14ac:dyDescent="0.25">
      <c r="A1521">
        <v>2016</v>
      </c>
      <c r="B1521">
        <v>4</v>
      </c>
      <c r="C1521">
        <v>0</v>
      </c>
      <c r="D1521" t="s">
        <v>289</v>
      </c>
      <c r="E1521" t="s">
        <v>380</v>
      </c>
      <c r="F1521" t="s">
        <v>203</v>
      </c>
      <c r="G1521">
        <v>14915</v>
      </c>
      <c r="H1521">
        <v>6650</v>
      </c>
      <c r="I1521">
        <v>0</v>
      </c>
      <c r="J1521">
        <v>0</v>
      </c>
      <c r="K1521">
        <v>0</v>
      </c>
      <c r="L1521">
        <v>0</v>
      </c>
      <c r="M1521">
        <v>0</v>
      </c>
      <c r="N1521">
        <v>3600</v>
      </c>
      <c r="O1521">
        <v>0</v>
      </c>
      <c r="P1521">
        <v>0</v>
      </c>
      <c r="Q1521">
        <v>0</v>
      </c>
      <c r="R1521">
        <v>0</v>
      </c>
      <c r="S1521">
        <v>0</v>
      </c>
      <c r="T1521">
        <v>0</v>
      </c>
      <c r="U1521">
        <v>0</v>
      </c>
      <c r="V1521">
        <v>0</v>
      </c>
      <c r="W1521">
        <v>0</v>
      </c>
      <c r="X1521">
        <v>0</v>
      </c>
      <c r="Y1521">
        <v>0</v>
      </c>
      <c r="Z1521" cm="1">
        <f t="array" ref="Z1521">MMULT($G1521:$Y1521,'Nelson Factor_2019'!$B$1:$B$19)/$G1521</f>
        <v>2.1830372108615488</v>
      </c>
      <c r="AA1521" cm="1">
        <f t="array" ref="AA1521">MMULT($G1521:$R1521,'Nelson Factor_2019'!$B$1:$B$12)/$G1521</f>
        <v>2.1830372108615488</v>
      </c>
    </row>
    <row r="1522" spans="1:27" x14ac:dyDescent="0.25">
      <c r="A1522">
        <v>2016</v>
      </c>
      <c r="B1522">
        <v>4</v>
      </c>
      <c r="C1522">
        <v>1</v>
      </c>
      <c r="D1522" t="s">
        <v>289</v>
      </c>
      <c r="E1522" t="s">
        <v>381</v>
      </c>
      <c r="F1522" t="s">
        <v>201</v>
      </c>
      <c r="G1522">
        <v>57000</v>
      </c>
      <c r="H1522">
        <v>0</v>
      </c>
      <c r="I1522">
        <v>0</v>
      </c>
      <c r="J1522">
        <v>0</v>
      </c>
      <c r="K1522">
        <v>24300</v>
      </c>
      <c r="L1522">
        <v>10260</v>
      </c>
      <c r="M1522">
        <v>0</v>
      </c>
      <c r="N1522">
        <v>35460</v>
      </c>
      <c r="O1522">
        <v>5940</v>
      </c>
      <c r="P1522">
        <v>0</v>
      </c>
      <c r="Q1522">
        <v>0</v>
      </c>
      <c r="R1522">
        <v>0</v>
      </c>
      <c r="S1522">
        <v>0</v>
      </c>
      <c r="T1522">
        <v>0</v>
      </c>
      <c r="U1522">
        <v>0</v>
      </c>
      <c r="V1522">
        <v>0</v>
      </c>
      <c r="W1522">
        <v>0</v>
      </c>
      <c r="X1522">
        <v>16</v>
      </c>
      <c r="Y1522">
        <v>0</v>
      </c>
      <c r="Z1522" cm="1">
        <f t="array" ref="Z1522">MMULT($G1522:$Y1522,'Nelson Factor_2019'!$B$1:$B$19)/$G1522</f>
        <v>7.1226315789473684</v>
      </c>
      <c r="AA1522" cm="1">
        <f t="array" ref="AA1522">MMULT($G1522:$R1522,'Nelson Factor_2019'!$B$1:$B$12)/$G1522</f>
        <v>7.0552631578947365</v>
      </c>
    </row>
    <row r="1523" spans="1:27" x14ac:dyDescent="0.25">
      <c r="A1523">
        <v>2016</v>
      </c>
      <c r="B1523">
        <v>5</v>
      </c>
      <c r="C1523">
        <v>5</v>
      </c>
      <c r="D1523" t="s">
        <v>291</v>
      </c>
      <c r="E1523" t="s">
        <v>382</v>
      </c>
      <c r="F1523" t="s">
        <v>383</v>
      </c>
      <c r="G1523">
        <v>224200</v>
      </c>
      <c r="H1523">
        <v>106400</v>
      </c>
      <c r="I1523">
        <v>51750</v>
      </c>
      <c r="J1523">
        <v>0</v>
      </c>
      <c r="K1523">
        <v>0</v>
      </c>
      <c r="L1523">
        <v>58500</v>
      </c>
      <c r="M1523">
        <v>58500</v>
      </c>
      <c r="N1523">
        <v>155160</v>
      </c>
      <c r="O1523">
        <v>0</v>
      </c>
      <c r="P1523">
        <v>0</v>
      </c>
      <c r="Q1523">
        <v>0</v>
      </c>
      <c r="R1523">
        <v>21600</v>
      </c>
      <c r="S1523">
        <v>0</v>
      </c>
      <c r="T1523">
        <v>0</v>
      </c>
      <c r="U1523">
        <v>178.5</v>
      </c>
      <c r="V1523">
        <v>0</v>
      </c>
      <c r="W1523">
        <v>3250</v>
      </c>
      <c r="X1523">
        <v>249</v>
      </c>
      <c r="Y1523">
        <v>0</v>
      </c>
      <c r="Z1523" cm="1">
        <f t="array" ref="Z1523">MMULT($G1523:$Y1523,'Nelson Factor_2019'!$B$1:$B$19)/$G1523</f>
        <v>9.0266882247992868</v>
      </c>
      <c r="AA1523" cm="1">
        <f t="array" ref="AA1523">MMULT($G1523:$R1523,'Nelson Factor_2019'!$B$1:$B$12)/$G1523</f>
        <v>8.7593443354148075</v>
      </c>
    </row>
    <row r="1524" spans="1:27" x14ac:dyDescent="0.25">
      <c r="A1524">
        <v>2016</v>
      </c>
      <c r="B1524">
        <v>5</v>
      </c>
      <c r="C1524">
        <v>1</v>
      </c>
      <c r="D1524" t="s">
        <v>291</v>
      </c>
      <c r="E1524" t="s">
        <v>362</v>
      </c>
      <c r="F1524" t="s">
        <v>209</v>
      </c>
      <c r="G1524">
        <v>101000</v>
      </c>
      <c r="H1524">
        <v>48200</v>
      </c>
      <c r="I1524">
        <v>0</v>
      </c>
      <c r="J1524">
        <v>0</v>
      </c>
      <c r="K1524">
        <v>32500</v>
      </c>
      <c r="L1524">
        <v>16600</v>
      </c>
      <c r="M1524">
        <v>0</v>
      </c>
      <c r="N1524">
        <v>66100</v>
      </c>
      <c r="O1524">
        <v>9200</v>
      </c>
      <c r="P1524">
        <v>0</v>
      </c>
      <c r="Q1524">
        <v>0</v>
      </c>
      <c r="R1524">
        <v>4100</v>
      </c>
      <c r="S1524">
        <v>0</v>
      </c>
      <c r="T1524">
        <v>0</v>
      </c>
      <c r="U1524">
        <v>0</v>
      </c>
      <c r="V1524">
        <v>0</v>
      </c>
      <c r="W1524">
        <v>0</v>
      </c>
      <c r="X1524">
        <v>110</v>
      </c>
      <c r="Y1524">
        <v>0</v>
      </c>
      <c r="Z1524" cm="1">
        <f t="array" ref="Z1524">MMULT($G1524:$Y1524,'Nelson Factor_2019'!$B$1:$B$19)/$G1524</f>
        <v>7.3030693069306931</v>
      </c>
      <c r="AA1524" cm="1">
        <f t="array" ref="AA1524">MMULT($G1524:$R1524,'Nelson Factor_2019'!$B$1:$B$12)/$G1524</f>
        <v>7.0416831683168315</v>
      </c>
    </row>
    <row r="1525" spans="1:27" x14ac:dyDescent="0.25">
      <c r="A1525">
        <v>2016</v>
      </c>
      <c r="B1525">
        <v>5</v>
      </c>
      <c r="C1525">
        <v>4</v>
      </c>
      <c r="D1525" t="s">
        <v>291</v>
      </c>
      <c r="E1525" t="s">
        <v>61</v>
      </c>
      <c r="F1525" t="s">
        <v>210</v>
      </c>
      <c r="G1525">
        <v>141550</v>
      </c>
      <c r="H1525">
        <v>62510</v>
      </c>
      <c r="I1525">
        <v>22770</v>
      </c>
      <c r="J1525">
        <v>0</v>
      </c>
      <c r="K1525">
        <v>52110</v>
      </c>
      <c r="L1525">
        <v>19530</v>
      </c>
      <c r="M1525">
        <v>0</v>
      </c>
      <c r="N1525">
        <v>116010</v>
      </c>
      <c r="O1525">
        <v>10890</v>
      </c>
      <c r="P1525">
        <v>0</v>
      </c>
      <c r="Q1525">
        <v>0</v>
      </c>
      <c r="R1525">
        <v>0</v>
      </c>
      <c r="S1525">
        <v>0</v>
      </c>
      <c r="T1525">
        <v>0</v>
      </c>
      <c r="U1525">
        <v>0</v>
      </c>
      <c r="V1525">
        <v>0</v>
      </c>
      <c r="W1525">
        <v>1142</v>
      </c>
      <c r="X1525">
        <v>318</v>
      </c>
      <c r="Y1525">
        <v>0</v>
      </c>
      <c r="Z1525" cm="1">
        <f t="array" ref="Z1525">MMULT($G1525:$Y1525,'Nelson Factor_2019'!$B$1:$B$19)/$G1525</f>
        <v>9.0366866831508297</v>
      </c>
      <c r="AA1525" cm="1">
        <f t="array" ref="AA1525">MMULT($G1525:$R1525,'Nelson Factor_2019'!$B$1:$B$12)/$G1525</f>
        <v>8.4975132462027556</v>
      </c>
    </row>
    <row r="1526" spans="1:27" x14ac:dyDescent="0.25">
      <c r="A1526">
        <v>2016</v>
      </c>
      <c r="B1526">
        <v>5</v>
      </c>
      <c r="C1526">
        <v>1</v>
      </c>
      <c r="D1526" t="s">
        <v>291</v>
      </c>
      <c r="E1526" t="s">
        <v>381</v>
      </c>
      <c r="F1526" t="s">
        <v>210</v>
      </c>
      <c r="G1526">
        <v>118750</v>
      </c>
      <c r="H1526">
        <v>44650</v>
      </c>
      <c r="I1526">
        <v>0</v>
      </c>
      <c r="J1526">
        <v>0</v>
      </c>
      <c r="K1526">
        <v>49500</v>
      </c>
      <c r="L1526">
        <v>23400</v>
      </c>
      <c r="M1526">
        <v>0</v>
      </c>
      <c r="N1526">
        <v>88200</v>
      </c>
      <c r="O1526">
        <v>12420</v>
      </c>
      <c r="P1526">
        <v>0</v>
      </c>
      <c r="Q1526">
        <v>0</v>
      </c>
      <c r="R1526">
        <v>3240</v>
      </c>
      <c r="S1526">
        <v>0</v>
      </c>
      <c r="T1526">
        <v>0</v>
      </c>
      <c r="U1526">
        <v>0</v>
      </c>
      <c r="V1526">
        <v>0</v>
      </c>
      <c r="W1526">
        <v>0</v>
      </c>
      <c r="X1526">
        <v>49</v>
      </c>
      <c r="Y1526">
        <v>4950</v>
      </c>
      <c r="Z1526" cm="1">
        <f t="array" ref="Z1526">MMULT($G1526:$Y1526,'Nelson Factor_2019'!$B$1:$B$19)/$G1526</f>
        <v>8.1212631578947363</v>
      </c>
      <c r="AA1526" cm="1">
        <f t="array" ref="AA1526">MMULT($G1526:$R1526,'Nelson Factor_2019'!$B$1:$B$12)/$G1526</f>
        <v>7.9597052631578951</v>
      </c>
    </row>
    <row r="1527" spans="1:27" x14ac:dyDescent="0.25">
      <c r="A1527">
        <v>2016</v>
      </c>
      <c r="B1527">
        <v>5</v>
      </c>
      <c r="C1527">
        <v>0</v>
      </c>
      <c r="D1527" t="s">
        <v>291</v>
      </c>
      <c r="E1527" t="s">
        <v>211</v>
      </c>
      <c r="F1527" t="s">
        <v>212</v>
      </c>
      <c r="G1527">
        <v>39900</v>
      </c>
      <c r="H1527">
        <v>18240</v>
      </c>
      <c r="I1527">
        <v>0</v>
      </c>
      <c r="J1527">
        <v>0</v>
      </c>
      <c r="K1527">
        <v>0</v>
      </c>
      <c r="L1527">
        <v>6120</v>
      </c>
      <c r="M1527">
        <v>0</v>
      </c>
      <c r="N1527">
        <v>16740</v>
      </c>
      <c r="O1527">
        <v>0</v>
      </c>
      <c r="P1527">
        <v>0</v>
      </c>
      <c r="Q1527">
        <v>0</v>
      </c>
      <c r="R1527">
        <v>4050</v>
      </c>
      <c r="S1527">
        <v>0</v>
      </c>
      <c r="T1527">
        <v>0</v>
      </c>
      <c r="U1527">
        <v>0</v>
      </c>
      <c r="V1527">
        <v>0</v>
      </c>
      <c r="W1527">
        <v>0</v>
      </c>
      <c r="X1527">
        <v>10</v>
      </c>
      <c r="Y1527">
        <v>7200</v>
      </c>
      <c r="Z1527" cm="1">
        <f t="array" ref="Z1527">MMULT($G1527:$Y1527,'Nelson Factor_2019'!$B$1:$B$19)/$G1527</f>
        <v>4.0454135338345862</v>
      </c>
      <c r="AA1527" cm="1">
        <f t="array" ref="AA1527">MMULT($G1527:$R1527,'Nelson Factor_2019'!$B$1:$B$12)/$G1527</f>
        <v>3.7145864661654135</v>
      </c>
    </row>
    <row r="1528" spans="1:27" x14ac:dyDescent="0.25">
      <c r="A1528">
        <v>2016</v>
      </c>
      <c r="B1528">
        <v>1</v>
      </c>
      <c r="C1528">
        <v>0</v>
      </c>
      <c r="D1528" t="s">
        <v>292</v>
      </c>
      <c r="E1528" t="s">
        <v>214</v>
      </c>
      <c r="F1528" t="s">
        <v>215</v>
      </c>
      <c r="G1528">
        <v>23000</v>
      </c>
      <c r="H1528">
        <v>9700</v>
      </c>
      <c r="I1528">
        <v>0</v>
      </c>
      <c r="J1528">
        <v>0</v>
      </c>
      <c r="K1528">
        <v>0</v>
      </c>
      <c r="L1528">
        <v>4200</v>
      </c>
      <c r="M1528">
        <v>0</v>
      </c>
      <c r="N1528">
        <v>33100</v>
      </c>
      <c r="O1528">
        <v>0</v>
      </c>
      <c r="P1528">
        <v>0</v>
      </c>
      <c r="Q1528">
        <v>0</v>
      </c>
      <c r="R1528">
        <v>1900</v>
      </c>
      <c r="S1528">
        <v>5000</v>
      </c>
      <c r="T1528">
        <v>0</v>
      </c>
      <c r="U1528">
        <v>4.0999999999999996</v>
      </c>
      <c r="V1528">
        <v>0</v>
      </c>
      <c r="W1528">
        <v>0</v>
      </c>
      <c r="X1528">
        <v>1</v>
      </c>
      <c r="Y1528">
        <v>0</v>
      </c>
      <c r="Z1528" cm="1">
        <f t="array" ref="Z1528">MMULT($G1528:$Y1528,'Nelson Factor_2019'!$B$1:$B$19)/$G1528</f>
        <v>19.361047826086956</v>
      </c>
      <c r="AA1528" cm="1">
        <f t="array" ref="AA1528">MMULT($G1528:$R1528,'Nelson Factor_2019'!$B$1:$B$12)/$G1528</f>
        <v>6.3069565217391306</v>
      </c>
    </row>
    <row r="1529" spans="1:27" x14ac:dyDescent="0.25">
      <c r="A1529">
        <v>2016</v>
      </c>
      <c r="B1529">
        <v>2</v>
      </c>
      <c r="C1529">
        <v>1</v>
      </c>
      <c r="D1529" t="s">
        <v>293</v>
      </c>
      <c r="E1529" t="s">
        <v>341</v>
      </c>
      <c r="F1529" t="s">
        <v>217</v>
      </c>
      <c r="G1529">
        <v>47500</v>
      </c>
      <c r="H1529">
        <v>19475</v>
      </c>
      <c r="I1529">
        <v>0</v>
      </c>
      <c r="J1529">
        <v>0</v>
      </c>
      <c r="K1529">
        <v>9900</v>
      </c>
      <c r="L1529">
        <v>7200</v>
      </c>
      <c r="M1529">
        <v>0</v>
      </c>
      <c r="N1529">
        <v>29430</v>
      </c>
      <c r="O1529">
        <v>1440</v>
      </c>
      <c r="P1529">
        <v>0</v>
      </c>
      <c r="Q1529">
        <v>5400</v>
      </c>
      <c r="R1529">
        <v>0</v>
      </c>
      <c r="S1529">
        <v>0</v>
      </c>
      <c r="T1529">
        <v>0</v>
      </c>
      <c r="U1529">
        <v>0</v>
      </c>
      <c r="V1529">
        <v>0</v>
      </c>
      <c r="W1529">
        <v>0</v>
      </c>
      <c r="X1529">
        <v>31</v>
      </c>
      <c r="Y1529">
        <v>7110</v>
      </c>
      <c r="Z1529" cm="1">
        <f t="array" ref="Z1529">MMULT($G1529:$Y1529,'Nelson Factor_2019'!$B$1:$B$19)/$G1529</f>
        <v>8.0483684210526309</v>
      </c>
      <c r="AA1529" cm="1">
        <f t="array" ref="AA1529">MMULT($G1529:$R1529,'Nelson Factor_2019'!$B$1:$B$12)/$G1529</f>
        <v>7.667210526315789</v>
      </c>
    </row>
    <row r="1530" spans="1:27" x14ac:dyDescent="0.25">
      <c r="A1530">
        <v>2016</v>
      </c>
      <c r="B1530">
        <v>4</v>
      </c>
      <c r="C1530">
        <v>4</v>
      </c>
      <c r="D1530" t="s">
        <v>294</v>
      </c>
      <c r="E1530" t="s">
        <v>219</v>
      </c>
      <c r="F1530" t="s">
        <v>220</v>
      </c>
      <c r="G1530">
        <v>49400</v>
      </c>
      <c r="H1530">
        <v>26600</v>
      </c>
      <c r="I1530">
        <v>12330</v>
      </c>
      <c r="J1530">
        <v>0</v>
      </c>
      <c r="K1530">
        <v>11250</v>
      </c>
      <c r="L1530">
        <v>8280</v>
      </c>
      <c r="M1530">
        <v>0</v>
      </c>
      <c r="N1530">
        <v>34200</v>
      </c>
      <c r="O1530">
        <v>3780</v>
      </c>
      <c r="P1530">
        <v>0</v>
      </c>
      <c r="Q1530">
        <v>0</v>
      </c>
      <c r="R1530">
        <v>0</v>
      </c>
      <c r="S1530">
        <v>0</v>
      </c>
      <c r="T1530">
        <v>0</v>
      </c>
      <c r="U1530">
        <v>6</v>
      </c>
      <c r="V1530">
        <v>0</v>
      </c>
      <c r="W1530">
        <v>639</v>
      </c>
      <c r="X1530">
        <v>105</v>
      </c>
      <c r="Y1530">
        <v>14400</v>
      </c>
      <c r="Z1530" cm="1">
        <f t="array" ref="Z1530">MMULT($G1530:$Y1530,'Nelson Factor_2019'!$B$1:$B$19)/$G1530</f>
        <v>9.2198582995951419</v>
      </c>
      <c r="AA1530" cm="1">
        <f t="array" ref="AA1530">MMULT($G1530:$R1530,'Nelson Factor_2019'!$B$1:$B$12)/$G1530</f>
        <v>8.2723684210526311</v>
      </c>
    </row>
    <row r="1531" spans="1:27" x14ac:dyDescent="0.25">
      <c r="A1531">
        <v>2016</v>
      </c>
      <c r="B1531">
        <v>4</v>
      </c>
      <c r="C1531">
        <v>1</v>
      </c>
      <c r="D1531" t="s">
        <v>294</v>
      </c>
      <c r="E1531" t="s">
        <v>384</v>
      </c>
      <c r="F1531" t="s">
        <v>385</v>
      </c>
      <c r="G1531">
        <v>24225</v>
      </c>
      <c r="H1531">
        <v>0</v>
      </c>
      <c r="I1531">
        <v>0</v>
      </c>
      <c r="J1531">
        <v>0</v>
      </c>
      <c r="K1531">
        <v>9900</v>
      </c>
      <c r="L1531">
        <v>4500</v>
      </c>
      <c r="M1531">
        <v>0</v>
      </c>
      <c r="N1531">
        <v>22050</v>
      </c>
      <c r="O1531">
        <v>0</v>
      </c>
      <c r="P1531">
        <v>0</v>
      </c>
      <c r="Q1531">
        <v>0</v>
      </c>
      <c r="R1531">
        <v>0</v>
      </c>
      <c r="S1531">
        <v>0</v>
      </c>
      <c r="T1531">
        <v>0</v>
      </c>
      <c r="U1531">
        <v>0</v>
      </c>
      <c r="V1531">
        <v>0</v>
      </c>
      <c r="W1531">
        <v>0</v>
      </c>
      <c r="X1531">
        <v>9</v>
      </c>
      <c r="Y1531">
        <v>0</v>
      </c>
      <c r="Z1531" cm="1">
        <f t="array" ref="Z1531">MMULT($G1531:$Y1531,'Nelson Factor_2019'!$B$1:$B$19)/$G1531</f>
        <v>6.7455108359133131</v>
      </c>
      <c r="AA1531" cm="1">
        <f t="array" ref="AA1531">MMULT($G1531:$R1531,'Nelson Factor_2019'!$B$1:$B$12)/$G1531</f>
        <v>6.6563467492260058</v>
      </c>
    </row>
    <row r="1532" spans="1:27" x14ac:dyDescent="0.25">
      <c r="A1532">
        <v>2016</v>
      </c>
      <c r="B1532">
        <v>4</v>
      </c>
      <c r="C1532">
        <v>6</v>
      </c>
      <c r="D1532" t="s">
        <v>294</v>
      </c>
      <c r="E1532" t="s">
        <v>386</v>
      </c>
      <c r="F1532" t="s">
        <v>223</v>
      </c>
      <c r="G1532">
        <v>85500</v>
      </c>
      <c r="H1532">
        <v>38950</v>
      </c>
      <c r="I1532">
        <v>18000</v>
      </c>
      <c r="J1532">
        <v>0</v>
      </c>
      <c r="K1532">
        <v>19800</v>
      </c>
      <c r="L1532">
        <v>13050</v>
      </c>
      <c r="M1532">
        <v>14040</v>
      </c>
      <c r="N1532">
        <v>64800</v>
      </c>
      <c r="O1532">
        <v>4050</v>
      </c>
      <c r="P1532">
        <v>0</v>
      </c>
      <c r="Q1532">
        <v>0</v>
      </c>
      <c r="R1532">
        <v>0</v>
      </c>
      <c r="S1532">
        <v>0</v>
      </c>
      <c r="T1532">
        <v>0</v>
      </c>
      <c r="U1532">
        <v>52</v>
      </c>
      <c r="V1532">
        <v>0</v>
      </c>
      <c r="W1532">
        <v>952</v>
      </c>
      <c r="X1532">
        <v>188</v>
      </c>
      <c r="Y1532">
        <v>7200</v>
      </c>
      <c r="Z1532" cm="1">
        <f t="array" ref="Z1532">MMULT($G1532:$Y1532,'Nelson Factor_2019'!$B$1:$B$19)/$G1532</f>
        <v>9.660549707602339</v>
      </c>
      <c r="AA1532" cm="1">
        <f t="array" ref="AA1532">MMULT($G1532:$R1532,'Nelson Factor_2019'!$B$1:$B$12)/$G1532</f>
        <v>9.0059064327485387</v>
      </c>
    </row>
    <row r="1533" spans="1:27" x14ac:dyDescent="0.25">
      <c r="A1533">
        <v>2016</v>
      </c>
      <c r="B1533">
        <v>4</v>
      </c>
      <c r="C1533">
        <v>1</v>
      </c>
      <c r="D1533" t="s">
        <v>294</v>
      </c>
      <c r="E1533" t="s">
        <v>224</v>
      </c>
      <c r="F1533" t="s">
        <v>225</v>
      </c>
      <c r="G1533">
        <v>17100</v>
      </c>
      <c r="H1533">
        <v>0</v>
      </c>
      <c r="I1533">
        <v>0</v>
      </c>
      <c r="J1533">
        <v>0</v>
      </c>
      <c r="K1533">
        <v>7020</v>
      </c>
      <c r="L1533">
        <v>3825</v>
      </c>
      <c r="M1533">
        <v>0</v>
      </c>
      <c r="N1533">
        <v>9828</v>
      </c>
      <c r="O1533">
        <v>1170</v>
      </c>
      <c r="P1533">
        <v>0</v>
      </c>
      <c r="Q1533">
        <v>0</v>
      </c>
      <c r="R1533">
        <v>0</v>
      </c>
      <c r="S1533">
        <v>0</v>
      </c>
      <c r="T1533">
        <v>0</v>
      </c>
      <c r="U1533">
        <v>0</v>
      </c>
      <c r="V1533">
        <v>0</v>
      </c>
      <c r="W1533">
        <v>0</v>
      </c>
      <c r="X1533">
        <v>0</v>
      </c>
      <c r="Y1533">
        <v>0</v>
      </c>
      <c r="Z1533" cm="1">
        <f t="array" ref="Z1533">MMULT($G1533:$Y1533,'Nelson Factor_2019'!$B$1:$B$19)/$G1533</f>
        <v>6.7026315789473685</v>
      </c>
      <c r="AA1533" cm="1">
        <f t="array" ref="AA1533">MMULT($G1533:$R1533,'Nelson Factor_2019'!$B$1:$B$12)/$G1533</f>
        <v>6.7026315789473685</v>
      </c>
    </row>
    <row r="1534" spans="1:27" x14ac:dyDescent="0.25">
      <c r="A1534">
        <v>2017</v>
      </c>
      <c r="B1534">
        <v>3</v>
      </c>
      <c r="C1534">
        <v>5</v>
      </c>
      <c r="D1534" t="s">
        <v>256</v>
      </c>
      <c r="E1534" t="s">
        <v>387</v>
      </c>
      <c r="F1534" t="s">
        <v>26</v>
      </c>
      <c r="G1534">
        <v>38000</v>
      </c>
      <c r="H1534">
        <v>17100</v>
      </c>
      <c r="I1534">
        <v>28800</v>
      </c>
      <c r="J1534">
        <v>0</v>
      </c>
      <c r="K1534">
        <v>0</v>
      </c>
      <c r="L1534">
        <v>13770</v>
      </c>
      <c r="M1534">
        <v>16650</v>
      </c>
      <c r="N1534">
        <v>34740</v>
      </c>
      <c r="O1534">
        <v>0</v>
      </c>
      <c r="P1534">
        <v>0</v>
      </c>
      <c r="Q1534">
        <v>0</v>
      </c>
      <c r="R1534">
        <v>3780</v>
      </c>
      <c r="S1534">
        <v>0</v>
      </c>
      <c r="T1534">
        <v>0</v>
      </c>
      <c r="U1534">
        <v>40</v>
      </c>
      <c r="V1534">
        <v>0</v>
      </c>
      <c r="W1534">
        <v>968</v>
      </c>
      <c r="X1534">
        <v>177</v>
      </c>
      <c r="Y1534">
        <v>13500</v>
      </c>
      <c r="Z1534" cm="1">
        <f t="array" ref="Z1534">MMULT($G1534:$Y1534,'Nelson Factor_2019'!$B$1:$B$19)/$G1534</f>
        <v>16.822105263157894</v>
      </c>
      <c r="AA1534" cm="1">
        <f t="array" ref="AA1534">MMULT($G1534:$R1534,'Nelson Factor_2019'!$B$1:$B$12)/$G1534</f>
        <v>15.170263157894738</v>
      </c>
    </row>
    <row r="1535" spans="1:27" x14ac:dyDescent="0.25">
      <c r="A1535">
        <v>2017</v>
      </c>
      <c r="B1535">
        <v>3</v>
      </c>
      <c r="C1535">
        <v>0</v>
      </c>
      <c r="D1535" t="s">
        <v>256</v>
      </c>
      <c r="E1535" t="s">
        <v>388</v>
      </c>
      <c r="F1535" t="s">
        <v>28</v>
      </c>
      <c r="G1535">
        <v>90725</v>
      </c>
      <c r="H1535">
        <v>27550</v>
      </c>
      <c r="I1535">
        <v>0</v>
      </c>
      <c r="J1535">
        <v>0</v>
      </c>
      <c r="K1535">
        <v>0</v>
      </c>
      <c r="L1535">
        <v>19800</v>
      </c>
      <c r="M1535">
        <v>0</v>
      </c>
      <c r="N1535">
        <v>65700</v>
      </c>
      <c r="O1535">
        <v>0</v>
      </c>
      <c r="P1535">
        <v>0</v>
      </c>
      <c r="Q1535">
        <v>0</v>
      </c>
      <c r="R1535">
        <v>1035</v>
      </c>
      <c r="S1535">
        <v>0</v>
      </c>
      <c r="T1535">
        <v>0</v>
      </c>
      <c r="U1535">
        <v>0</v>
      </c>
      <c r="V1535">
        <v>0</v>
      </c>
      <c r="W1535">
        <v>0</v>
      </c>
      <c r="X1535">
        <v>30</v>
      </c>
      <c r="Y1535">
        <v>0</v>
      </c>
      <c r="Z1535" cm="1">
        <f t="array" ref="Z1535">MMULT($G1535:$Y1535,'Nelson Factor_2019'!$B$1:$B$19)/$G1535</f>
        <v>4.409975199779554</v>
      </c>
      <c r="AA1535" cm="1">
        <f t="array" ref="AA1535">MMULT($G1535:$R1535,'Nelson Factor_2019'!$B$1:$B$12)/$G1535</f>
        <v>4.3306144943510612</v>
      </c>
    </row>
    <row r="1536" spans="1:27" x14ac:dyDescent="0.25">
      <c r="A1536">
        <v>2017</v>
      </c>
      <c r="B1536">
        <v>5</v>
      </c>
      <c r="C1536">
        <v>0</v>
      </c>
      <c r="D1536" t="s">
        <v>257</v>
      </c>
      <c r="E1536" t="s">
        <v>389</v>
      </c>
      <c r="F1536" t="s">
        <v>36</v>
      </c>
      <c r="G1536">
        <v>21375</v>
      </c>
      <c r="H1536">
        <v>0</v>
      </c>
      <c r="I1536">
        <v>0</v>
      </c>
      <c r="J1536">
        <v>0</v>
      </c>
      <c r="K1536">
        <v>0</v>
      </c>
      <c r="L1536">
        <v>0</v>
      </c>
      <c r="M1536">
        <v>0</v>
      </c>
      <c r="N1536">
        <v>0</v>
      </c>
      <c r="O1536">
        <v>0</v>
      </c>
      <c r="P1536">
        <v>0</v>
      </c>
      <c r="Q1536">
        <v>0</v>
      </c>
      <c r="R1536">
        <v>0</v>
      </c>
      <c r="S1536">
        <v>0</v>
      </c>
      <c r="T1536">
        <v>0</v>
      </c>
      <c r="U1536">
        <v>0</v>
      </c>
      <c r="V1536">
        <v>0</v>
      </c>
      <c r="W1536">
        <v>0</v>
      </c>
      <c r="X1536">
        <v>0</v>
      </c>
      <c r="Y1536">
        <v>0</v>
      </c>
      <c r="Z1536" cm="1">
        <f t="array" ref="Z1536">MMULT($G1536:$Y1536,'Nelson Factor_2019'!$B$1:$B$19)/$G1536</f>
        <v>1</v>
      </c>
      <c r="AA1536" cm="1">
        <f t="array" ref="AA1536">MMULT($G1536:$R1536,'Nelson Factor_2019'!$B$1:$B$12)/$G1536</f>
        <v>1</v>
      </c>
    </row>
    <row r="1537" spans="1:27" x14ac:dyDescent="0.25">
      <c r="A1537">
        <v>2017</v>
      </c>
      <c r="B1537">
        <v>5</v>
      </c>
      <c r="C1537">
        <v>0</v>
      </c>
      <c r="D1537" t="s">
        <v>257</v>
      </c>
      <c r="E1537" t="s">
        <v>389</v>
      </c>
      <c r="F1537" t="s">
        <v>38</v>
      </c>
      <c r="G1537">
        <v>57000</v>
      </c>
      <c r="H1537">
        <v>0</v>
      </c>
      <c r="I1537">
        <v>0</v>
      </c>
      <c r="J1537">
        <v>0</v>
      </c>
      <c r="K1537">
        <v>0</v>
      </c>
      <c r="L1537">
        <v>0</v>
      </c>
      <c r="M1537">
        <v>0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0</v>
      </c>
      <c r="T1537">
        <v>0</v>
      </c>
      <c r="U1537">
        <v>0</v>
      </c>
      <c r="V1537">
        <v>0</v>
      </c>
      <c r="W1537">
        <v>0</v>
      </c>
      <c r="X1537">
        <v>0</v>
      </c>
      <c r="Y1537">
        <v>0</v>
      </c>
      <c r="Z1537" cm="1">
        <f t="array" ref="Z1537">MMULT($G1537:$Y1537,'Nelson Factor_2019'!$B$1:$B$19)/$G1537</f>
        <v>1</v>
      </c>
      <c r="AA1537" cm="1">
        <f t="array" ref="AA1537">MMULT($G1537:$R1537,'Nelson Factor_2019'!$B$1:$B$12)/$G1537</f>
        <v>1</v>
      </c>
    </row>
    <row r="1538" spans="1:27" x14ac:dyDescent="0.25">
      <c r="A1538">
        <v>2017</v>
      </c>
      <c r="B1538">
        <v>5</v>
      </c>
      <c r="C1538">
        <v>0</v>
      </c>
      <c r="D1538" t="s">
        <v>257</v>
      </c>
      <c r="E1538" t="s">
        <v>32</v>
      </c>
      <c r="F1538" t="s">
        <v>34</v>
      </c>
      <c r="G1538">
        <v>12350</v>
      </c>
      <c r="H1538">
        <v>0</v>
      </c>
      <c r="I1538">
        <v>0</v>
      </c>
      <c r="J1538">
        <v>0</v>
      </c>
      <c r="K1538">
        <v>0</v>
      </c>
      <c r="L1538">
        <v>0</v>
      </c>
      <c r="M1538">
        <v>0</v>
      </c>
      <c r="N1538">
        <v>0</v>
      </c>
      <c r="O1538">
        <v>0</v>
      </c>
      <c r="P1538">
        <v>0</v>
      </c>
      <c r="Q1538">
        <v>0</v>
      </c>
      <c r="R1538">
        <v>0</v>
      </c>
      <c r="S1538">
        <v>0</v>
      </c>
      <c r="T1538">
        <v>0</v>
      </c>
      <c r="U1538">
        <v>0</v>
      </c>
      <c r="V1538">
        <v>0</v>
      </c>
      <c r="W1538">
        <v>0</v>
      </c>
      <c r="X1538">
        <v>0</v>
      </c>
      <c r="Y1538">
        <v>0</v>
      </c>
      <c r="Z1538" cm="1">
        <f t="array" ref="Z1538">MMULT($G1538:$Y1538,'Nelson Factor_2019'!$B$1:$B$19)/$G1538</f>
        <v>1</v>
      </c>
      <c r="AA1538" cm="1">
        <f t="array" ref="AA1538">MMULT($G1538:$R1538,'Nelson Factor_2019'!$B$1:$B$12)/$G1538</f>
        <v>1</v>
      </c>
    </row>
    <row r="1539" spans="1:27" x14ac:dyDescent="0.25">
      <c r="A1539">
        <v>2017</v>
      </c>
      <c r="B1539">
        <v>5</v>
      </c>
      <c r="C1539">
        <v>0</v>
      </c>
      <c r="D1539" t="s">
        <v>257</v>
      </c>
      <c r="E1539" t="s">
        <v>390</v>
      </c>
      <c r="F1539" t="s">
        <v>33</v>
      </c>
      <c r="G1539">
        <v>15200</v>
      </c>
      <c r="H1539">
        <v>0</v>
      </c>
      <c r="I1539">
        <v>0</v>
      </c>
      <c r="J1539">
        <v>0</v>
      </c>
      <c r="K1539">
        <v>0</v>
      </c>
      <c r="L1539">
        <v>0</v>
      </c>
      <c r="M1539">
        <v>0</v>
      </c>
      <c r="N1539">
        <v>0</v>
      </c>
      <c r="O1539">
        <v>0</v>
      </c>
      <c r="P1539">
        <v>0</v>
      </c>
      <c r="Q1539">
        <v>0</v>
      </c>
      <c r="R1539">
        <v>0</v>
      </c>
      <c r="S1539">
        <v>0</v>
      </c>
      <c r="T1539">
        <v>0</v>
      </c>
      <c r="U1539">
        <v>0</v>
      </c>
      <c r="V1539">
        <v>0</v>
      </c>
      <c r="W1539">
        <v>0</v>
      </c>
      <c r="X1539">
        <v>0</v>
      </c>
      <c r="Y1539">
        <v>0</v>
      </c>
      <c r="Z1539" cm="1">
        <f t="array" ref="Z1539">MMULT($G1539:$Y1539,'Nelson Factor_2019'!$B$1:$B$19)/$G1539</f>
        <v>1</v>
      </c>
      <c r="AA1539" cm="1">
        <f t="array" ref="AA1539">MMULT($G1539:$R1539,'Nelson Factor_2019'!$B$1:$B$12)/$G1539</f>
        <v>1</v>
      </c>
    </row>
    <row r="1540" spans="1:27" x14ac:dyDescent="0.25">
      <c r="A1540">
        <v>2017</v>
      </c>
      <c r="B1540">
        <v>5</v>
      </c>
      <c r="C1540">
        <v>2</v>
      </c>
      <c r="D1540" t="s">
        <v>257</v>
      </c>
      <c r="E1540" t="s">
        <v>239</v>
      </c>
      <c r="F1540" t="s">
        <v>40</v>
      </c>
      <c r="G1540">
        <v>68400</v>
      </c>
      <c r="H1540">
        <v>24700</v>
      </c>
      <c r="I1540">
        <v>0</v>
      </c>
      <c r="J1540">
        <v>0</v>
      </c>
      <c r="K1540">
        <v>0</v>
      </c>
      <c r="L1540">
        <v>12780</v>
      </c>
      <c r="M1540">
        <v>11250</v>
      </c>
      <c r="N1540">
        <v>22050</v>
      </c>
      <c r="O1540">
        <v>0</v>
      </c>
      <c r="P1540">
        <v>0</v>
      </c>
      <c r="Q1540">
        <v>0</v>
      </c>
      <c r="R1540">
        <v>4500</v>
      </c>
      <c r="S1540">
        <v>0</v>
      </c>
      <c r="T1540">
        <v>0</v>
      </c>
      <c r="U1540">
        <v>13</v>
      </c>
      <c r="V1540">
        <v>0</v>
      </c>
      <c r="W1540">
        <v>0</v>
      </c>
      <c r="X1540">
        <v>24</v>
      </c>
      <c r="Y1540">
        <v>9000</v>
      </c>
      <c r="Z1540" cm="1">
        <f t="array" ref="Z1540">MMULT($G1540:$Y1540,'Nelson Factor_2019'!$B$1:$B$19)/$G1540</f>
        <v>5.0045029239766086</v>
      </c>
      <c r="AA1540" cm="1">
        <f t="array" ref="AA1540">MMULT($G1540:$R1540,'Nelson Factor_2019'!$B$1:$B$12)/$G1540</f>
        <v>4.7227339181286547</v>
      </c>
    </row>
    <row r="1541" spans="1:27" x14ac:dyDescent="0.25">
      <c r="A1541">
        <v>2017</v>
      </c>
      <c r="B1541">
        <v>3</v>
      </c>
      <c r="C1541">
        <v>1</v>
      </c>
      <c r="D1541" t="s">
        <v>260</v>
      </c>
      <c r="E1541" t="s">
        <v>391</v>
      </c>
      <c r="F1541" t="s">
        <v>45</v>
      </c>
      <c r="G1541">
        <v>80750</v>
      </c>
      <c r="H1541">
        <v>42750</v>
      </c>
      <c r="I1541">
        <v>0</v>
      </c>
      <c r="J1541">
        <v>0</v>
      </c>
      <c r="K1541">
        <v>18900</v>
      </c>
      <c r="L1541">
        <v>13770</v>
      </c>
      <c r="M1541">
        <v>0</v>
      </c>
      <c r="N1541">
        <v>83475</v>
      </c>
      <c r="O1541">
        <v>4500</v>
      </c>
      <c r="P1541">
        <v>0</v>
      </c>
      <c r="Q1541">
        <v>0</v>
      </c>
      <c r="R1541">
        <v>6750</v>
      </c>
      <c r="S1541">
        <v>0</v>
      </c>
      <c r="T1541">
        <v>0</v>
      </c>
      <c r="U1541">
        <v>10</v>
      </c>
      <c r="V1541">
        <v>0</v>
      </c>
      <c r="W1541">
        <v>0</v>
      </c>
      <c r="X1541">
        <v>142</v>
      </c>
      <c r="Y1541">
        <v>18450</v>
      </c>
      <c r="Z1541" cm="1">
        <f t="array" ref="Z1541">MMULT($G1541:$Y1541,'Nelson Factor_2019'!$B$1:$B$19)/$G1541</f>
        <v>8.1025077399380798</v>
      </c>
      <c r="AA1541" cm="1">
        <f t="array" ref="AA1541">MMULT($G1541:$R1541,'Nelson Factor_2019'!$B$1:$B$12)/$G1541</f>
        <v>7.3376160990712078</v>
      </c>
    </row>
    <row r="1542" spans="1:27" x14ac:dyDescent="0.25">
      <c r="A1542">
        <v>2017</v>
      </c>
      <c r="B1542">
        <v>3</v>
      </c>
      <c r="C1542">
        <v>0</v>
      </c>
      <c r="D1542" t="s">
        <v>260</v>
      </c>
      <c r="E1542" t="s">
        <v>392</v>
      </c>
      <c r="F1542" t="s">
        <v>43</v>
      </c>
      <c r="G1542">
        <v>7315</v>
      </c>
      <c r="H1542">
        <v>3658</v>
      </c>
      <c r="I1542">
        <v>0</v>
      </c>
      <c r="J1542">
        <v>0</v>
      </c>
      <c r="K1542">
        <v>0</v>
      </c>
      <c r="L1542">
        <v>0</v>
      </c>
      <c r="M1542">
        <v>0</v>
      </c>
      <c r="N1542">
        <v>4950</v>
      </c>
      <c r="O1542">
        <v>0</v>
      </c>
      <c r="P1542">
        <v>0</v>
      </c>
      <c r="Q1542">
        <v>0</v>
      </c>
      <c r="R1542">
        <v>0</v>
      </c>
      <c r="S1542">
        <v>4950</v>
      </c>
      <c r="T1542">
        <v>0</v>
      </c>
      <c r="U1542">
        <v>3</v>
      </c>
      <c r="V1542">
        <v>0</v>
      </c>
      <c r="W1542">
        <v>0</v>
      </c>
      <c r="X1542">
        <v>0</v>
      </c>
      <c r="Y1542">
        <v>900</v>
      </c>
      <c r="Z1542" cm="1">
        <f t="array" ref="Z1542">MMULT($G1542:$Y1542,'Nelson Factor_2019'!$B$1:$B$19)/$G1542</f>
        <v>44.12828434723172</v>
      </c>
      <c r="AA1542" cm="1">
        <f t="array" ref="AA1542">MMULT($G1542:$R1542,'Nelson Factor_2019'!$B$1:$B$12)/$G1542</f>
        <v>3.3418181818181818</v>
      </c>
    </row>
    <row r="1543" spans="1:27" x14ac:dyDescent="0.25">
      <c r="A1543">
        <v>2017</v>
      </c>
      <c r="B1543">
        <v>5</v>
      </c>
      <c r="C1543">
        <v>2</v>
      </c>
      <c r="D1543" t="s">
        <v>261</v>
      </c>
      <c r="E1543" t="s">
        <v>393</v>
      </c>
      <c r="F1543" t="s">
        <v>315</v>
      </c>
      <c r="G1543">
        <v>85500</v>
      </c>
      <c r="H1543">
        <v>28500</v>
      </c>
      <c r="I1543">
        <v>0</v>
      </c>
      <c r="J1543">
        <v>0</v>
      </c>
      <c r="K1543">
        <v>0</v>
      </c>
      <c r="L1543">
        <v>18000</v>
      </c>
      <c r="M1543">
        <v>13500</v>
      </c>
      <c r="N1543">
        <v>58950</v>
      </c>
      <c r="O1543">
        <v>0</v>
      </c>
      <c r="P1543">
        <v>0</v>
      </c>
      <c r="Q1543">
        <v>0</v>
      </c>
      <c r="R1543">
        <v>900</v>
      </c>
      <c r="S1543">
        <v>0</v>
      </c>
      <c r="T1543">
        <v>0</v>
      </c>
      <c r="U1543">
        <v>23</v>
      </c>
      <c r="V1543">
        <v>0</v>
      </c>
      <c r="W1543">
        <v>0</v>
      </c>
      <c r="X1543">
        <v>100</v>
      </c>
      <c r="Y1543">
        <v>14850</v>
      </c>
      <c r="Z1543" cm="1">
        <f t="array" ref="Z1543">MMULT($G1543:$Y1543,'Nelson Factor_2019'!$B$1:$B$19)/$G1543</f>
        <v>6.0458830409356725</v>
      </c>
      <c r="AA1543" cm="1">
        <f t="array" ref="AA1543">MMULT($G1543:$R1543,'Nelson Factor_2019'!$B$1:$B$12)/$G1543</f>
        <v>5.5043859649122808</v>
      </c>
    </row>
    <row r="1544" spans="1:27" x14ac:dyDescent="0.25">
      <c r="A1544">
        <v>2017</v>
      </c>
      <c r="B1544">
        <v>5</v>
      </c>
      <c r="C1544">
        <v>6</v>
      </c>
      <c r="D1544" t="s">
        <v>261</v>
      </c>
      <c r="E1544" t="s">
        <v>227</v>
      </c>
      <c r="F1544" t="s">
        <v>49</v>
      </c>
      <c r="G1544">
        <v>290500</v>
      </c>
      <c r="H1544">
        <v>169100</v>
      </c>
      <c r="I1544">
        <v>74700</v>
      </c>
      <c r="J1544">
        <v>0</v>
      </c>
      <c r="K1544">
        <v>73800</v>
      </c>
      <c r="L1544">
        <v>49000</v>
      </c>
      <c r="M1544">
        <v>53200</v>
      </c>
      <c r="N1544">
        <v>228500</v>
      </c>
      <c r="O1544">
        <v>32200</v>
      </c>
      <c r="P1544">
        <v>0</v>
      </c>
      <c r="Q1544">
        <v>0</v>
      </c>
      <c r="R1544">
        <v>30000</v>
      </c>
      <c r="S1544">
        <v>0</v>
      </c>
      <c r="T1544">
        <v>0</v>
      </c>
      <c r="U1544">
        <v>151.9</v>
      </c>
      <c r="V1544">
        <v>0</v>
      </c>
      <c r="W1544">
        <v>5478.6361988997951</v>
      </c>
      <c r="X1544">
        <v>425.09823874755381</v>
      </c>
      <c r="Y1544">
        <v>0</v>
      </c>
      <c r="Z1544" cm="1">
        <f t="array" ref="Z1544">MMULT($G1544:$Y1544,'Nelson Factor_2019'!$B$1:$B$19)/$G1544</f>
        <v>11.254407839240663</v>
      </c>
      <c r="AA1544" cm="1">
        <f t="array" ref="AA1544">MMULT($G1544:$R1544,'Nelson Factor_2019'!$B$1:$B$12)/$G1544</f>
        <v>10.902685025817556</v>
      </c>
    </row>
    <row r="1545" spans="1:27" x14ac:dyDescent="0.25">
      <c r="A1545">
        <v>2017</v>
      </c>
      <c r="B1545">
        <v>5</v>
      </c>
      <c r="C1545">
        <v>3</v>
      </c>
      <c r="D1545" t="s">
        <v>261</v>
      </c>
      <c r="E1545" t="s">
        <v>227</v>
      </c>
      <c r="F1545" t="s">
        <v>50</v>
      </c>
      <c r="G1545">
        <v>257000</v>
      </c>
      <c r="H1545">
        <v>110000</v>
      </c>
      <c r="I1545">
        <v>0</v>
      </c>
      <c r="J1545">
        <v>0</v>
      </c>
      <c r="K1545">
        <v>80000</v>
      </c>
      <c r="L1545">
        <v>59000</v>
      </c>
      <c r="M1545">
        <v>158500</v>
      </c>
      <c r="N1545">
        <v>202000</v>
      </c>
      <c r="O1545">
        <v>30000</v>
      </c>
      <c r="P1545">
        <v>0</v>
      </c>
      <c r="Q1545">
        <v>0</v>
      </c>
      <c r="R1545">
        <v>38600</v>
      </c>
      <c r="S1545">
        <v>34000</v>
      </c>
      <c r="T1545">
        <v>0</v>
      </c>
      <c r="U1545">
        <v>181.1</v>
      </c>
      <c r="V1545">
        <v>0</v>
      </c>
      <c r="W1545">
        <v>0</v>
      </c>
      <c r="X1545">
        <v>593</v>
      </c>
      <c r="Y1545">
        <v>56000</v>
      </c>
      <c r="Z1545" cm="1">
        <f t="array" ref="Z1545">MMULT($G1545:$Y1545,'Nelson Factor_2019'!$B$1:$B$19)/$G1545</f>
        <v>21.907786381322957</v>
      </c>
      <c r="AA1545" cm="1">
        <f t="array" ref="AA1545">MMULT($G1545:$R1545,'Nelson Factor_2019'!$B$1:$B$12)/$G1545</f>
        <v>13.088715953307393</v>
      </c>
    </row>
    <row r="1546" spans="1:27" x14ac:dyDescent="0.25">
      <c r="A1546">
        <v>2017</v>
      </c>
      <c r="B1546">
        <v>5</v>
      </c>
      <c r="C1546">
        <v>0</v>
      </c>
      <c r="D1546" t="s">
        <v>261</v>
      </c>
      <c r="E1546" t="s">
        <v>320</v>
      </c>
      <c r="F1546" t="s">
        <v>57</v>
      </c>
      <c r="G1546">
        <v>25650</v>
      </c>
      <c r="H1546">
        <v>0</v>
      </c>
      <c r="I1546">
        <v>0</v>
      </c>
      <c r="J1546">
        <v>0</v>
      </c>
      <c r="K1546">
        <v>0</v>
      </c>
      <c r="L1546">
        <v>5220</v>
      </c>
      <c r="M1546">
        <v>0</v>
      </c>
      <c r="N1546">
        <v>12600</v>
      </c>
      <c r="O1546">
        <v>0</v>
      </c>
      <c r="P1546">
        <v>0</v>
      </c>
      <c r="Q1546">
        <v>0</v>
      </c>
      <c r="R1546">
        <v>0</v>
      </c>
      <c r="S1546">
        <v>0</v>
      </c>
      <c r="T1546">
        <v>0</v>
      </c>
      <c r="U1546">
        <v>0</v>
      </c>
      <c r="V1546">
        <v>0</v>
      </c>
      <c r="W1546">
        <v>0</v>
      </c>
      <c r="X1546">
        <v>10</v>
      </c>
      <c r="Y1546">
        <v>0</v>
      </c>
      <c r="Z1546" cm="1">
        <f t="array" ref="Z1546">MMULT($G1546:$Y1546,'Nelson Factor_2019'!$B$1:$B$19)/$G1546</f>
        <v>3.3391812865497075</v>
      </c>
      <c r="AA1546" cm="1">
        <f t="array" ref="AA1546">MMULT($G1546:$R1546,'Nelson Factor_2019'!$B$1:$B$12)/$G1546</f>
        <v>3.2456140350877192</v>
      </c>
    </row>
    <row r="1547" spans="1:27" x14ac:dyDescent="0.25">
      <c r="A1547">
        <v>2017</v>
      </c>
      <c r="B1547">
        <v>5</v>
      </c>
      <c r="C1547">
        <v>6</v>
      </c>
      <c r="D1547" t="s">
        <v>261</v>
      </c>
      <c r="E1547" t="s">
        <v>245</v>
      </c>
      <c r="F1547" t="s">
        <v>55</v>
      </c>
      <c r="G1547">
        <v>149910</v>
      </c>
      <c r="H1547">
        <v>97185</v>
      </c>
      <c r="I1547">
        <v>47700</v>
      </c>
      <c r="J1547">
        <v>0</v>
      </c>
      <c r="K1547">
        <v>90180</v>
      </c>
      <c r="L1547">
        <v>16200</v>
      </c>
      <c r="M1547">
        <v>20700</v>
      </c>
      <c r="N1547">
        <v>134280</v>
      </c>
      <c r="O1547">
        <v>21780</v>
      </c>
      <c r="P1547">
        <v>0</v>
      </c>
      <c r="Q1547">
        <v>0</v>
      </c>
      <c r="R1547">
        <v>0</v>
      </c>
      <c r="S1547">
        <v>0</v>
      </c>
      <c r="T1547">
        <v>0</v>
      </c>
      <c r="U1547">
        <v>146</v>
      </c>
      <c r="V1547">
        <v>0</v>
      </c>
      <c r="W1547">
        <v>2271</v>
      </c>
      <c r="X1547">
        <v>363</v>
      </c>
      <c r="Y1547">
        <v>0</v>
      </c>
      <c r="Z1547" cm="1">
        <f t="array" ref="Z1547">MMULT($G1547:$Y1547,'Nelson Factor_2019'!$B$1:$B$19)/$G1547</f>
        <v>13.757898072176639</v>
      </c>
      <c r="AA1547" cm="1">
        <f t="array" ref="AA1547">MMULT($G1547:$R1547,'Nelson Factor_2019'!$B$1:$B$12)/$G1547</f>
        <v>13.175775465279168</v>
      </c>
    </row>
    <row r="1548" spans="1:27" x14ac:dyDescent="0.25">
      <c r="A1548">
        <v>2017</v>
      </c>
      <c r="B1548">
        <v>5</v>
      </c>
      <c r="C1548">
        <v>6</v>
      </c>
      <c r="D1548" t="s">
        <v>261</v>
      </c>
      <c r="E1548" t="s">
        <v>317</v>
      </c>
      <c r="F1548" t="s">
        <v>52</v>
      </c>
      <c r="G1548">
        <v>138700</v>
      </c>
      <c r="H1548">
        <v>78000</v>
      </c>
      <c r="I1548">
        <v>48150</v>
      </c>
      <c r="J1548">
        <v>0</v>
      </c>
      <c r="K1548">
        <v>45000</v>
      </c>
      <c r="L1548">
        <v>34000</v>
      </c>
      <c r="M1548">
        <v>24750</v>
      </c>
      <c r="N1548">
        <v>140900</v>
      </c>
      <c r="O1548">
        <v>14400</v>
      </c>
      <c r="P1548">
        <v>0</v>
      </c>
      <c r="Q1548">
        <v>0</v>
      </c>
      <c r="R1548">
        <v>21050</v>
      </c>
      <c r="S1548">
        <v>0</v>
      </c>
      <c r="T1548">
        <v>0</v>
      </c>
      <c r="U1548">
        <v>100</v>
      </c>
      <c r="V1548">
        <v>0</v>
      </c>
      <c r="W1548">
        <v>2000</v>
      </c>
      <c r="X1548">
        <v>340</v>
      </c>
      <c r="Y1548">
        <v>0</v>
      </c>
      <c r="Z1548" cm="1">
        <f t="array" ref="Z1548">MMULT($G1548:$Y1548,'Nelson Factor_2019'!$B$1:$B$19)/$G1548</f>
        <v>13.55677721701514</v>
      </c>
      <c r="AA1548" cm="1">
        <f t="array" ref="AA1548">MMULT($G1548:$R1548,'Nelson Factor_2019'!$B$1:$B$12)/$G1548</f>
        <v>12.96773612112473</v>
      </c>
    </row>
    <row r="1549" spans="1:27" x14ac:dyDescent="0.25">
      <c r="A1549">
        <v>2017</v>
      </c>
      <c r="B1549">
        <v>5</v>
      </c>
      <c r="C1549">
        <v>5</v>
      </c>
      <c r="D1549" t="s">
        <v>261</v>
      </c>
      <c r="E1549" t="s">
        <v>317</v>
      </c>
      <c r="F1549" t="s">
        <v>318</v>
      </c>
      <c r="G1549">
        <v>120000</v>
      </c>
      <c r="H1549">
        <v>87000</v>
      </c>
      <c r="I1549">
        <v>48000</v>
      </c>
      <c r="J1549">
        <v>0</v>
      </c>
      <c r="K1549">
        <v>0</v>
      </c>
      <c r="L1549">
        <v>31000</v>
      </c>
      <c r="M1549">
        <v>62000</v>
      </c>
      <c r="N1549">
        <v>76000</v>
      </c>
      <c r="O1549">
        <v>0</v>
      </c>
      <c r="P1549">
        <v>0</v>
      </c>
      <c r="Q1549">
        <v>0</v>
      </c>
      <c r="R1549">
        <v>9000</v>
      </c>
      <c r="S1549">
        <v>0</v>
      </c>
      <c r="T1549">
        <v>0</v>
      </c>
      <c r="U1549">
        <v>133.5</v>
      </c>
      <c r="V1549">
        <v>0</v>
      </c>
      <c r="W1549">
        <v>2500</v>
      </c>
      <c r="X1549">
        <v>530</v>
      </c>
      <c r="Y1549">
        <v>0</v>
      </c>
      <c r="Z1549" cm="1">
        <f t="array" ref="Z1549">MMULT($G1549:$Y1549,'Nelson Factor_2019'!$B$1:$B$19)/$G1549</f>
        <v>13.236945833333333</v>
      </c>
      <c r="AA1549" cm="1">
        <f t="array" ref="AA1549">MMULT($G1549:$R1549,'Nelson Factor_2019'!$B$1:$B$12)/$G1549</f>
        <v>12.175833333333333</v>
      </c>
    </row>
    <row r="1550" spans="1:27" x14ac:dyDescent="0.25">
      <c r="A1550">
        <v>2017</v>
      </c>
      <c r="B1550">
        <v>5</v>
      </c>
      <c r="C1550">
        <v>6</v>
      </c>
      <c r="D1550" t="s">
        <v>261</v>
      </c>
      <c r="E1550" t="s">
        <v>388</v>
      </c>
      <c r="F1550" t="s">
        <v>62</v>
      </c>
      <c r="G1550">
        <v>150100</v>
      </c>
      <c r="H1550">
        <v>96900</v>
      </c>
      <c r="I1550">
        <v>42750</v>
      </c>
      <c r="J1550">
        <v>0</v>
      </c>
      <c r="K1550">
        <v>64800</v>
      </c>
      <c r="L1550">
        <v>27900</v>
      </c>
      <c r="M1550">
        <v>38070</v>
      </c>
      <c r="N1550">
        <v>241200</v>
      </c>
      <c r="O1550">
        <v>11250</v>
      </c>
      <c r="P1550">
        <v>0</v>
      </c>
      <c r="Q1550">
        <v>0</v>
      </c>
      <c r="R1550">
        <v>13500</v>
      </c>
      <c r="S1550">
        <v>0</v>
      </c>
      <c r="T1550">
        <v>0</v>
      </c>
      <c r="U1550">
        <v>193</v>
      </c>
      <c r="V1550">
        <v>0</v>
      </c>
      <c r="W1550">
        <v>1224</v>
      </c>
      <c r="X1550">
        <v>375</v>
      </c>
      <c r="Y1550">
        <v>0</v>
      </c>
      <c r="Z1550" cm="1">
        <f t="array" ref="Z1550">MMULT($G1550:$Y1550,'Nelson Factor_2019'!$B$1:$B$19)/$G1550</f>
        <v>15.161545636242504</v>
      </c>
      <c r="AA1550" cm="1">
        <f t="array" ref="AA1550">MMULT($G1550:$R1550,'Nelson Factor_2019'!$B$1:$B$12)/$G1550</f>
        <v>14.560659560293137</v>
      </c>
    </row>
    <row r="1551" spans="1:27" x14ac:dyDescent="0.25">
      <c r="A1551">
        <v>2017</v>
      </c>
      <c r="B1551">
        <v>5</v>
      </c>
      <c r="C1551">
        <v>0</v>
      </c>
      <c r="D1551" t="s">
        <v>261</v>
      </c>
      <c r="E1551" t="s">
        <v>321</v>
      </c>
      <c r="F1551" t="s">
        <v>57</v>
      </c>
      <c r="G1551">
        <v>23750</v>
      </c>
      <c r="H1551">
        <v>13585</v>
      </c>
      <c r="I1551">
        <v>0</v>
      </c>
      <c r="J1551">
        <v>4500</v>
      </c>
      <c r="K1551">
        <v>0</v>
      </c>
      <c r="L1551">
        <v>0</v>
      </c>
      <c r="M1551">
        <v>0</v>
      </c>
      <c r="N1551">
        <v>4860</v>
      </c>
      <c r="O1551">
        <v>0</v>
      </c>
      <c r="P1551">
        <v>0</v>
      </c>
      <c r="Q1551">
        <v>1350</v>
      </c>
      <c r="R1551">
        <v>0</v>
      </c>
      <c r="S1551">
        <v>5220</v>
      </c>
      <c r="T1551">
        <v>0</v>
      </c>
      <c r="U1551">
        <v>4</v>
      </c>
      <c r="V1551">
        <v>0</v>
      </c>
      <c r="W1551">
        <v>0</v>
      </c>
      <c r="X1551">
        <v>5</v>
      </c>
      <c r="Y1551">
        <v>7200</v>
      </c>
      <c r="Z1551" cm="1">
        <f t="array" ref="Z1551">MMULT($G1551:$Y1551,'Nelson Factor_2019'!$B$1:$B$19)/$G1551</f>
        <v>17.605873684210525</v>
      </c>
      <c r="AA1551" cm="1">
        <f t="array" ref="AA1551">MMULT($G1551:$R1551,'Nelson Factor_2019'!$B$1:$B$12)/$G1551</f>
        <v>3.9130736842105263</v>
      </c>
    </row>
    <row r="1552" spans="1:27" x14ac:dyDescent="0.25">
      <c r="A1552">
        <v>2017</v>
      </c>
      <c r="B1552">
        <v>5</v>
      </c>
      <c r="C1552">
        <v>6</v>
      </c>
      <c r="D1552" t="s">
        <v>261</v>
      </c>
      <c r="E1552" t="s">
        <v>239</v>
      </c>
      <c r="F1552" t="s">
        <v>52</v>
      </c>
      <c r="G1552">
        <v>363850</v>
      </c>
      <c r="H1552">
        <v>194750</v>
      </c>
      <c r="I1552">
        <v>98190</v>
      </c>
      <c r="J1552">
        <v>0</v>
      </c>
      <c r="K1552">
        <v>123750</v>
      </c>
      <c r="L1552">
        <v>68400</v>
      </c>
      <c r="M1552">
        <v>79200</v>
      </c>
      <c r="N1552">
        <v>296100</v>
      </c>
      <c r="O1552">
        <v>26550</v>
      </c>
      <c r="P1552">
        <v>0</v>
      </c>
      <c r="Q1552">
        <v>0</v>
      </c>
      <c r="R1552">
        <v>30870</v>
      </c>
      <c r="S1552">
        <v>0</v>
      </c>
      <c r="T1552">
        <v>0</v>
      </c>
      <c r="U1552">
        <v>120</v>
      </c>
      <c r="V1552">
        <v>0</v>
      </c>
      <c r="W1552">
        <v>3903</v>
      </c>
      <c r="X1552">
        <v>686</v>
      </c>
      <c r="Y1552">
        <v>0</v>
      </c>
      <c r="Z1552" cm="1">
        <f t="array" ref="Z1552">MMULT($G1552:$Y1552,'Nelson Factor_2019'!$B$1:$B$19)/$G1552</f>
        <v>11.913343410746187</v>
      </c>
      <c r="AA1552" cm="1">
        <f t="array" ref="AA1552">MMULT($G1552:$R1552,'Nelson Factor_2019'!$B$1:$B$12)/$G1552</f>
        <v>11.460519444826165</v>
      </c>
    </row>
    <row r="1553" spans="1:27" x14ac:dyDescent="0.25">
      <c r="A1553">
        <v>2017</v>
      </c>
      <c r="B1553">
        <v>5</v>
      </c>
      <c r="C1553">
        <v>6</v>
      </c>
      <c r="D1553" t="s">
        <v>261</v>
      </c>
      <c r="E1553" t="s">
        <v>239</v>
      </c>
      <c r="F1553" t="s">
        <v>324</v>
      </c>
      <c r="G1553">
        <v>161500</v>
      </c>
      <c r="H1553">
        <v>149055</v>
      </c>
      <c r="I1553">
        <v>47700</v>
      </c>
      <c r="J1553">
        <v>0</v>
      </c>
      <c r="K1553">
        <v>65700</v>
      </c>
      <c r="L1553">
        <v>23400</v>
      </c>
      <c r="M1553">
        <v>33300</v>
      </c>
      <c r="N1553">
        <v>178200</v>
      </c>
      <c r="O1553">
        <v>13860</v>
      </c>
      <c r="P1553">
        <v>0</v>
      </c>
      <c r="Q1553">
        <v>0</v>
      </c>
      <c r="R1553">
        <v>0</v>
      </c>
      <c r="S1553">
        <v>0</v>
      </c>
      <c r="T1553">
        <v>0</v>
      </c>
      <c r="U1553">
        <v>82</v>
      </c>
      <c r="V1553">
        <v>0</v>
      </c>
      <c r="W1553">
        <v>2040</v>
      </c>
      <c r="X1553">
        <v>181</v>
      </c>
      <c r="Y1553">
        <v>0</v>
      </c>
      <c r="Z1553" cm="1">
        <f t="array" ref="Z1553">MMULT($G1553:$Y1553,'Nelson Factor_2019'!$B$1:$B$19)/$G1553</f>
        <v>13.116058823529412</v>
      </c>
      <c r="AA1553" cm="1">
        <f t="array" ref="AA1553">MMULT($G1553:$R1553,'Nelson Factor_2019'!$B$1:$B$12)/$G1553</f>
        <v>12.846572755417956</v>
      </c>
    </row>
    <row r="1554" spans="1:27" x14ac:dyDescent="0.25">
      <c r="A1554">
        <v>2017</v>
      </c>
      <c r="B1554">
        <v>5</v>
      </c>
      <c r="C1554">
        <v>6</v>
      </c>
      <c r="D1554" t="s">
        <v>261</v>
      </c>
      <c r="E1554" t="s">
        <v>66</v>
      </c>
      <c r="F1554" t="s">
        <v>67</v>
      </c>
      <c r="G1554">
        <v>141550</v>
      </c>
      <c r="H1554">
        <v>81225</v>
      </c>
      <c r="I1554">
        <v>26550</v>
      </c>
      <c r="J1554">
        <v>0</v>
      </c>
      <c r="K1554">
        <v>67770</v>
      </c>
      <c r="L1554">
        <v>33480</v>
      </c>
      <c r="M1554">
        <v>30600</v>
      </c>
      <c r="N1554">
        <v>152370</v>
      </c>
      <c r="O1554">
        <v>15390</v>
      </c>
      <c r="P1554">
        <v>0</v>
      </c>
      <c r="Q1554">
        <v>0</v>
      </c>
      <c r="R1554">
        <v>3780</v>
      </c>
      <c r="S1554">
        <v>0</v>
      </c>
      <c r="T1554">
        <v>0</v>
      </c>
      <c r="U1554">
        <v>135</v>
      </c>
      <c r="V1554">
        <v>0</v>
      </c>
      <c r="W1554">
        <v>925</v>
      </c>
      <c r="X1554">
        <v>275</v>
      </c>
      <c r="Y1554">
        <v>8100</v>
      </c>
      <c r="Z1554" cm="1">
        <f t="array" ref="Z1554">MMULT($G1554:$Y1554,'Nelson Factor_2019'!$B$1:$B$19)/$G1554</f>
        <v>13.348904980572236</v>
      </c>
      <c r="AA1554" cm="1">
        <f t="array" ref="AA1554">MMULT($G1554:$R1554,'Nelson Factor_2019'!$B$1:$B$12)/$G1554</f>
        <v>12.795849523136701</v>
      </c>
    </row>
    <row r="1555" spans="1:27" x14ac:dyDescent="0.25">
      <c r="A1555">
        <v>2017</v>
      </c>
      <c r="B1555">
        <v>5</v>
      </c>
      <c r="C1555">
        <v>4</v>
      </c>
      <c r="D1555" t="s">
        <v>261</v>
      </c>
      <c r="E1555" t="s">
        <v>66</v>
      </c>
      <c r="F1555" t="s">
        <v>63</v>
      </c>
      <c r="G1555">
        <v>82650</v>
      </c>
      <c r="H1555">
        <v>43700</v>
      </c>
      <c r="I1555">
        <v>25920</v>
      </c>
      <c r="J1555">
        <v>0</v>
      </c>
      <c r="K1555">
        <v>50670</v>
      </c>
      <c r="L1555">
        <v>16200</v>
      </c>
      <c r="M1555">
        <v>0</v>
      </c>
      <c r="N1555">
        <v>129600</v>
      </c>
      <c r="O1555">
        <v>19800</v>
      </c>
      <c r="P1555">
        <v>0</v>
      </c>
      <c r="Q1555">
        <v>0</v>
      </c>
      <c r="R1555">
        <v>0</v>
      </c>
      <c r="S1555">
        <v>0</v>
      </c>
      <c r="T1555">
        <v>0</v>
      </c>
      <c r="U1555">
        <v>50</v>
      </c>
      <c r="V1555">
        <v>0</v>
      </c>
      <c r="W1555">
        <v>1360</v>
      </c>
      <c r="X1555">
        <v>254</v>
      </c>
      <c r="Y1555">
        <v>0</v>
      </c>
      <c r="Z1555" cm="1">
        <f t="array" ref="Z1555">MMULT($G1555:$Y1555,'Nelson Factor_2019'!$B$1:$B$19)/$G1555</f>
        <v>15.751845130066545</v>
      </c>
      <c r="AA1555" cm="1">
        <f t="array" ref="AA1555">MMULT($G1555:$R1555,'Nelson Factor_2019'!$B$1:$B$12)/$G1555</f>
        <v>15.013672111312765</v>
      </c>
    </row>
    <row r="1556" spans="1:27" x14ac:dyDescent="0.25">
      <c r="A1556">
        <v>2017</v>
      </c>
      <c r="B1556">
        <v>4</v>
      </c>
      <c r="C1556">
        <v>1</v>
      </c>
      <c r="D1556" t="s">
        <v>263</v>
      </c>
      <c r="E1556" t="s">
        <v>394</v>
      </c>
      <c r="F1556" t="s">
        <v>70</v>
      </c>
      <c r="G1556">
        <v>98000</v>
      </c>
      <c r="H1556">
        <v>34200</v>
      </c>
      <c r="I1556">
        <v>0</v>
      </c>
      <c r="J1556">
        <v>0</v>
      </c>
      <c r="K1556">
        <v>30225</v>
      </c>
      <c r="L1556">
        <v>21900</v>
      </c>
      <c r="M1556">
        <v>0</v>
      </c>
      <c r="N1556">
        <v>87800</v>
      </c>
      <c r="O1556">
        <v>0</v>
      </c>
      <c r="P1556">
        <v>0</v>
      </c>
      <c r="Q1556">
        <v>0</v>
      </c>
      <c r="R1556">
        <v>0</v>
      </c>
      <c r="S1556">
        <v>0</v>
      </c>
      <c r="T1556">
        <v>0</v>
      </c>
      <c r="U1556">
        <v>26</v>
      </c>
      <c r="V1556">
        <v>0</v>
      </c>
      <c r="W1556">
        <v>0</v>
      </c>
      <c r="X1556">
        <v>94</v>
      </c>
      <c r="Y1556">
        <v>10500</v>
      </c>
      <c r="Z1556" cm="1">
        <f t="array" ref="Z1556">MMULT($G1556:$Y1556,'Nelson Factor_2019'!$B$1:$B$19)/$G1556</f>
        <v>7.0525102040816323</v>
      </c>
      <c r="AA1556" cm="1">
        <f t="array" ref="AA1556">MMULT($G1556:$R1556,'Nelson Factor_2019'!$B$1:$B$12)/$G1556</f>
        <v>6.6613265306122447</v>
      </c>
    </row>
    <row r="1557" spans="1:27" x14ac:dyDescent="0.25">
      <c r="A1557">
        <v>2017</v>
      </c>
      <c r="B1557">
        <v>1</v>
      </c>
      <c r="C1557">
        <v>6</v>
      </c>
      <c r="D1557" t="s">
        <v>265</v>
      </c>
      <c r="E1557" t="s">
        <v>245</v>
      </c>
      <c r="F1557" t="s">
        <v>74</v>
      </c>
      <c r="G1557">
        <v>180690</v>
      </c>
      <c r="H1557">
        <v>99370</v>
      </c>
      <c r="I1557">
        <v>49050</v>
      </c>
      <c r="J1557">
        <v>0</v>
      </c>
      <c r="K1557">
        <v>77400</v>
      </c>
      <c r="L1557">
        <v>39420</v>
      </c>
      <c r="M1557">
        <v>20070</v>
      </c>
      <c r="N1557">
        <v>135450</v>
      </c>
      <c r="O1557">
        <v>10556</v>
      </c>
      <c r="P1557">
        <v>0</v>
      </c>
      <c r="Q1557">
        <v>4672</v>
      </c>
      <c r="R1557">
        <v>5400</v>
      </c>
      <c r="S1557">
        <v>0</v>
      </c>
      <c r="T1557">
        <v>0</v>
      </c>
      <c r="U1557">
        <v>40</v>
      </c>
      <c r="V1557">
        <v>0</v>
      </c>
      <c r="W1557">
        <v>1852</v>
      </c>
      <c r="X1557">
        <v>541</v>
      </c>
      <c r="Y1557">
        <v>0</v>
      </c>
      <c r="Z1557" cm="1">
        <f t="array" ref="Z1557">MMULT($G1557:$Y1557,'Nelson Factor_2019'!$B$1:$B$19)/$G1557</f>
        <v>12.08429354142454</v>
      </c>
      <c r="AA1557" cm="1">
        <f t="array" ref="AA1557">MMULT($G1557:$R1557,'Nelson Factor_2019'!$B$1:$B$12)/$G1557</f>
        <v>11.365493386463003</v>
      </c>
    </row>
    <row r="1558" spans="1:27" x14ac:dyDescent="0.25">
      <c r="A1558">
        <v>2017</v>
      </c>
      <c r="B1558">
        <v>5</v>
      </c>
      <c r="C1558">
        <v>1</v>
      </c>
      <c r="D1558" t="s">
        <v>266</v>
      </c>
      <c r="E1558" t="s">
        <v>395</v>
      </c>
      <c r="F1558" t="s">
        <v>76</v>
      </c>
      <c r="G1558">
        <v>54150</v>
      </c>
      <c r="H1558">
        <v>29450</v>
      </c>
      <c r="I1558">
        <v>0</v>
      </c>
      <c r="J1558">
        <v>0</v>
      </c>
      <c r="K1558">
        <v>19800</v>
      </c>
      <c r="L1558">
        <v>0</v>
      </c>
      <c r="M1558">
        <v>0</v>
      </c>
      <c r="N1558">
        <v>6300</v>
      </c>
      <c r="O1558">
        <v>4500</v>
      </c>
      <c r="P1558">
        <v>0</v>
      </c>
      <c r="Q1558">
        <v>0</v>
      </c>
      <c r="R1558">
        <v>2880</v>
      </c>
      <c r="S1558">
        <v>0</v>
      </c>
      <c r="T1558">
        <v>0</v>
      </c>
      <c r="U1558">
        <v>3</v>
      </c>
      <c r="V1558">
        <v>0</v>
      </c>
      <c r="W1558">
        <v>0</v>
      </c>
      <c r="X1558">
        <v>0</v>
      </c>
      <c r="Y1558">
        <v>0</v>
      </c>
      <c r="Z1558" cm="1">
        <f t="array" ref="Z1558">MMULT($G1558:$Y1558,'Nelson Factor_2019'!$B$1:$B$19)/$G1558</f>
        <v>5.1824192059095102</v>
      </c>
      <c r="AA1558" cm="1">
        <f t="array" ref="AA1558">MMULT($G1558:$R1558,'Nelson Factor_2019'!$B$1:$B$12)/$G1558</f>
        <v>5.1823638042474611</v>
      </c>
    </row>
    <row r="1559" spans="1:27" x14ac:dyDescent="0.25">
      <c r="A1559">
        <v>2017</v>
      </c>
      <c r="B1559">
        <v>5</v>
      </c>
      <c r="C1559">
        <v>2</v>
      </c>
      <c r="D1559" t="s">
        <v>266</v>
      </c>
      <c r="E1559" t="s">
        <v>396</v>
      </c>
      <c r="F1559" t="s">
        <v>330</v>
      </c>
      <c r="G1559">
        <v>90250</v>
      </c>
      <c r="H1559">
        <v>38000</v>
      </c>
      <c r="I1559">
        <v>0</v>
      </c>
      <c r="J1559">
        <v>9900</v>
      </c>
      <c r="K1559">
        <v>0</v>
      </c>
      <c r="L1559">
        <v>12150</v>
      </c>
      <c r="M1559">
        <v>18000</v>
      </c>
      <c r="N1559">
        <v>11700</v>
      </c>
      <c r="O1559">
        <v>0</v>
      </c>
      <c r="P1559">
        <v>0</v>
      </c>
      <c r="Q1559">
        <v>0</v>
      </c>
      <c r="R1559">
        <v>0</v>
      </c>
      <c r="S1559">
        <v>0</v>
      </c>
      <c r="T1559">
        <v>0</v>
      </c>
      <c r="U1559">
        <v>18</v>
      </c>
      <c r="V1559">
        <v>0</v>
      </c>
      <c r="W1559">
        <v>0</v>
      </c>
      <c r="X1559">
        <v>34</v>
      </c>
      <c r="Y1559">
        <v>13500</v>
      </c>
      <c r="Z1559" cm="1">
        <f t="array" ref="Z1559">MMULT($G1559:$Y1559,'Nelson Factor_2019'!$B$1:$B$19)/$G1559</f>
        <v>4.7568199445983383</v>
      </c>
      <c r="AA1559" cm="1">
        <f t="array" ref="AA1559">MMULT($G1559:$R1559,'Nelson Factor_2019'!$B$1:$B$12)/$G1559</f>
        <v>4.4418282548476453</v>
      </c>
    </row>
    <row r="1560" spans="1:27" x14ac:dyDescent="0.25">
      <c r="A1560">
        <v>2017</v>
      </c>
      <c r="B1560">
        <v>2</v>
      </c>
      <c r="C1560">
        <v>4</v>
      </c>
      <c r="D1560" t="s">
        <v>267</v>
      </c>
      <c r="E1560" t="s">
        <v>397</v>
      </c>
      <c r="F1560" t="s">
        <v>82</v>
      </c>
      <c r="G1560">
        <v>247000</v>
      </c>
      <c r="H1560">
        <v>120365</v>
      </c>
      <c r="I1560">
        <v>53460</v>
      </c>
      <c r="J1560">
        <v>0</v>
      </c>
      <c r="K1560">
        <v>89370</v>
      </c>
      <c r="L1560">
        <v>47340</v>
      </c>
      <c r="M1560">
        <v>0</v>
      </c>
      <c r="N1560">
        <v>229140</v>
      </c>
      <c r="O1560">
        <v>26190</v>
      </c>
      <c r="P1560">
        <v>0</v>
      </c>
      <c r="Q1560">
        <v>0</v>
      </c>
      <c r="R1560">
        <v>0</v>
      </c>
      <c r="S1560">
        <v>0</v>
      </c>
      <c r="T1560">
        <v>0</v>
      </c>
      <c r="U1560">
        <v>0</v>
      </c>
      <c r="V1560">
        <v>0</v>
      </c>
      <c r="W1560">
        <v>2529</v>
      </c>
      <c r="X1560">
        <v>620</v>
      </c>
      <c r="Y1560">
        <v>13590</v>
      </c>
      <c r="Z1560" cm="1">
        <f t="array" ref="Z1560">MMULT($G1560:$Y1560,'Nelson Factor_2019'!$B$1:$B$19)/$G1560</f>
        <v>10.450524291497976</v>
      </c>
      <c r="AA1560" cm="1">
        <f t="array" ref="AA1560">MMULT($G1560:$R1560,'Nelson Factor_2019'!$B$1:$B$12)/$G1560</f>
        <v>9.7655647773279348</v>
      </c>
    </row>
    <row r="1561" spans="1:27" x14ac:dyDescent="0.25">
      <c r="A1561">
        <v>2017</v>
      </c>
      <c r="B1561">
        <v>2</v>
      </c>
      <c r="C1561">
        <v>6</v>
      </c>
      <c r="D1561" t="s">
        <v>267</v>
      </c>
      <c r="E1561" t="s">
        <v>398</v>
      </c>
      <c r="F1561" t="s">
        <v>84</v>
      </c>
      <c r="G1561">
        <v>231000</v>
      </c>
      <c r="H1561">
        <v>67900</v>
      </c>
      <c r="I1561">
        <v>28500</v>
      </c>
      <c r="J1561">
        <v>0</v>
      </c>
      <c r="K1561">
        <v>51800</v>
      </c>
      <c r="L1561">
        <v>76500</v>
      </c>
      <c r="M1561">
        <v>39400</v>
      </c>
      <c r="N1561">
        <v>179500</v>
      </c>
      <c r="O1561">
        <v>12400</v>
      </c>
      <c r="P1561">
        <v>0</v>
      </c>
      <c r="Q1561">
        <v>3100</v>
      </c>
      <c r="R1561">
        <v>15200</v>
      </c>
      <c r="S1561">
        <v>0</v>
      </c>
      <c r="T1561">
        <v>0</v>
      </c>
      <c r="U1561">
        <v>0</v>
      </c>
      <c r="V1561">
        <v>0</v>
      </c>
      <c r="W1561">
        <v>1336</v>
      </c>
      <c r="X1561">
        <v>175</v>
      </c>
      <c r="Y1561">
        <v>0</v>
      </c>
      <c r="Z1561" cm="1">
        <f t="array" ref="Z1561">MMULT($G1561:$Y1561,'Nelson Factor_2019'!$B$1:$B$19)/$G1561</f>
        <v>9.8003030303030307</v>
      </c>
      <c r="AA1561" cm="1">
        <f t="array" ref="AA1561">MMULT($G1561:$R1561,'Nelson Factor_2019'!$B$1:$B$12)/$G1561</f>
        <v>9.6184848484848491</v>
      </c>
    </row>
    <row r="1562" spans="1:27" x14ac:dyDescent="0.25">
      <c r="A1562">
        <v>2017</v>
      </c>
      <c r="B1562">
        <v>2</v>
      </c>
      <c r="C1562">
        <v>4</v>
      </c>
      <c r="D1562" t="s">
        <v>267</v>
      </c>
      <c r="E1562" t="s">
        <v>399</v>
      </c>
      <c r="F1562" t="s">
        <v>80</v>
      </c>
      <c r="G1562">
        <v>175940</v>
      </c>
      <c r="H1562">
        <v>73340</v>
      </c>
      <c r="I1562">
        <v>36360</v>
      </c>
      <c r="J1562">
        <v>0</v>
      </c>
      <c r="K1562">
        <v>62550</v>
      </c>
      <c r="L1562">
        <v>31410</v>
      </c>
      <c r="M1562">
        <v>0</v>
      </c>
      <c r="N1562">
        <v>202680</v>
      </c>
      <c r="O1562">
        <v>18900</v>
      </c>
      <c r="P1562">
        <v>0</v>
      </c>
      <c r="Q1562">
        <v>8460</v>
      </c>
      <c r="R1562">
        <v>0</v>
      </c>
      <c r="S1562">
        <v>0</v>
      </c>
      <c r="T1562">
        <v>0</v>
      </c>
      <c r="U1562">
        <v>12</v>
      </c>
      <c r="V1562">
        <v>0</v>
      </c>
      <c r="W1562">
        <v>1632</v>
      </c>
      <c r="X1562">
        <v>442</v>
      </c>
      <c r="Y1562">
        <v>0</v>
      </c>
      <c r="Z1562" cm="1">
        <f t="array" ref="Z1562">MMULT($G1562:$Y1562,'Nelson Factor_2019'!$B$1:$B$19)/$G1562</f>
        <v>11.636489712401955</v>
      </c>
      <c r="AA1562" cm="1">
        <f t="array" ref="AA1562">MMULT($G1562:$R1562,'Nelson Factor_2019'!$B$1:$B$12)/$G1562</f>
        <v>11.033488689325907</v>
      </c>
    </row>
    <row r="1563" spans="1:27" x14ac:dyDescent="0.25">
      <c r="A1563">
        <v>2017</v>
      </c>
      <c r="B1563">
        <v>2</v>
      </c>
      <c r="C1563">
        <v>6</v>
      </c>
      <c r="D1563" t="s">
        <v>267</v>
      </c>
      <c r="E1563" t="s">
        <v>377</v>
      </c>
      <c r="F1563" t="s">
        <v>332</v>
      </c>
      <c r="G1563">
        <v>314000</v>
      </c>
      <c r="H1563">
        <v>187000</v>
      </c>
      <c r="I1563">
        <v>75000</v>
      </c>
      <c r="J1563">
        <v>0</v>
      </c>
      <c r="K1563">
        <v>91000</v>
      </c>
      <c r="L1563">
        <v>72000</v>
      </c>
      <c r="M1563">
        <v>49000</v>
      </c>
      <c r="N1563">
        <v>242000</v>
      </c>
      <c r="O1563">
        <v>20000</v>
      </c>
      <c r="P1563">
        <v>0</v>
      </c>
      <c r="Q1563">
        <v>4100</v>
      </c>
      <c r="R1563">
        <v>0</v>
      </c>
      <c r="S1563">
        <v>0</v>
      </c>
      <c r="T1563">
        <v>0</v>
      </c>
      <c r="U1563">
        <v>171</v>
      </c>
      <c r="V1563">
        <v>0</v>
      </c>
      <c r="W1563">
        <v>5100</v>
      </c>
      <c r="X1563">
        <v>825</v>
      </c>
      <c r="Y1563">
        <v>21000</v>
      </c>
      <c r="Z1563" cm="1">
        <f t="array" ref="Z1563">MMULT($G1563:$Y1563,'Nelson Factor_2019'!$B$1:$B$19)/$G1563</f>
        <v>11.255640127388535</v>
      </c>
      <c r="AA1563" cm="1">
        <f t="array" ref="AA1563">MMULT($G1563:$R1563,'Nelson Factor_2019'!$B$1:$B$12)/$G1563</f>
        <v>10.524203821656052</v>
      </c>
    </row>
    <row r="1564" spans="1:27" x14ac:dyDescent="0.25">
      <c r="A1564">
        <v>2017</v>
      </c>
      <c r="B1564">
        <v>2</v>
      </c>
      <c r="C1564">
        <v>4</v>
      </c>
      <c r="D1564" t="s">
        <v>268</v>
      </c>
      <c r="E1564" t="s">
        <v>32</v>
      </c>
      <c r="F1564" t="s">
        <v>86</v>
      </c>
      <c r="G1564">
        <v>408500</v>
      </c>
      <c r="H1564">
        <v>279205</v>
      </c>
      <c r="I1564">
        <v>91800</v>
      </c>
      <c r="J1564">
        <v>0</v>
      </c>
      <c r="K1564">
        <v>157500</v>
      </c>
      <c r="L1564">
        <v>58500</v>
      </c>
      <c r="M1564">
        <v>0</v>
      </c>
      <c r="N1564">
        <v>450450</v>
      </c>
      <c r="O1564">
        <v>27900</v>
      </c>
      <c r="P1564">
        <v>0</v>
      </c>
      <c r="Q1564">
        <v>0</v>
      </c>
      <c r="R1564">
        <v>25830</v>
      </c>
      <c r="S1564">
        <v>0</v>
      </c>
      <c r="T1564">
        <v>0</v>
      </c>
      <c r="U1564">
        <v>30</v>
      </c>
      <c r="V1564">
        <v>0</v>
      </c>
      <c r="W1564">
        <v>6000</v>
      </c>
      <c r="X1564">
        <v>1700</v>
      </c>
      <c r="Y1564">
        <v>26550</v>
      </c>
      <c r="Z1564" cm="1">
        <f t="array" ref="Z1564">MMULT($G1564:$Y1564,'Nelson Factor_2019'!$B$1:$B$19)/$G1564</f>
        <v>11.329097919216647</v>
      </c>
      <c r="AA1564" cm="1">
        <f t="array" ref="AA1564">MMULT($G1564:$R1564,'Nelson Factor_2019'!$B$1:$B$12)/$G1564</f>
        <v>10.232757649938801</v>
      </c>
    </row>
    <row r="1565" spans="1:27" x14ac:dyDescent="0.25">
      <c r="A1565">
        <v>2017</v>
      </c>
      <c r="B1565">
        <v>2</v>
      </c>
      <c r="C1565">
        <v>1</v>
      </c>
      <c r="D1565" t="s">
        <v>268</v>
      </c>
      <c r="E1565" t="s">
        <v>87</v>
      </c>
      <c r="F1565" t="s">
        <v>88</v>
      </c>
      <c r="G1565">
        <v>27360</v>
      </c>
      <c r="H1565">
        <v>13300</v>
      </c>
      <c r="I1565">
        <v>0</v>
      </c>
      <c r="J1565">
        <v>0</v>
      </c>
      <c r="K1565">
        <v>7560</v>
      </c>
      <c r="L1565">
        <v>5850</v>
      </c>
      <c r="M1565">
        <v>0</v>
      </c>
      <c r="N1565">
        <v>26280</v>
      </c>
      <c r="O1565">
        <v>1980</v>
      </c>
      <c r="P1565">
        <v>0</v>
      </c>
      <c r="Q1565">
        <v>0</v>
      </c>
      <c r="R1565">
        <v>2880</v>
      </c>
      <c r="S1565">
        <v>0</v>
      </c>
      <c r="T1565">
        <v>0</v>
      </c>
      <c r="U1565">
        <v>0</v>
      </c>
      <c r="V1565">
        <v>0</v>
      </c>
      <c r="W1565">
        <v>0</v>
      </c>
      <c r="X1565">
        <v>8</v>
      </c>
      <c r="Y1565">
        <v>3330</v>
      </c>
      <c r="Z1565" cm="1">
        <f t="array" ref="Z1565">MMULT($G1565:$Y1565,'Nelson Factor_2019'!$B$1:$B$19)/$G1565</f>
        <v>8.0524488304093573</v>
      </c>
      <c r="AA1565" cm="1">
        <f t="array" ref="AA1565">MMULT($G1565:$R1565,'Nelson Factor_2019'!$B$1:$B$12)/$G1565</f>
        <v>7.7997076023391809</v>
      </c>
    </row>
    <row r="1566" spans="1:27" x14ac:dyDescent="0.25">
      <c r="A1566">
        <v>2017</v>
      </c>
      <c r="B1566">
        <v>2</v>
      </c>
      <c r="C1566">
        <v>6</v>
      </c>
      <c r="D1566" t="s">
        <v>269</v>
      </c>
      <c r="E1566" t="s">
        <v>336</v>
      </c>
      <c r="F1566" t="s">
        <v>94</v>
      </c>
      <c r="G1566">
        <v>95000</v>
      </c>
      <c r="H1566">
        <v>36100</v>
      </c>
      <c r="I1566">
        <v>22500</v>
      </c>
      <c r="J1566">
        <v>0</v>
      </c>
      <c r="K1566">
        <v>22050</v>
      </c>
      <c r="L1566">
        <v>21600</v>
      </c>
      <c r="M1566">
        <v>34650</v>
      </c>
      <c r="N1566">
        <v>73080</v>
      </c>
      <c r="O1566">
        <v>8550</v>
      </c>
      <c r="P1566">
        <v>0</v>
      </c>
      <c r="Q1566">
        <v>0</v>
      </c>
      <c r="R1566">
        <v>14220</v>
      </c>
      <c r="S1566">
        <v>0</v>
      </c>
      <c r="T1566">
        <v>0</v>
      </c>
      <c r="U1566">
        <v>34</v>
      </c>
      <c r="V1566">
        <v>0</v>
      </c>
      <c r="W1566">
        <v>593</v>
      </c>
      <c r="X1566">
        <v>152</v>
      </c>
      <c r="Y1566">
        <v>0</v>
      </c>
      <c r="Z1566" cm="1">
        <f t="array" ref="Z1566">MMULT($G1566:$Y1566,'Nelson Factor_2019'!$B$1:$B$19)/$G1566</f>
        <v>12.374252631578948</v>
      </c>
      <c r="AA1566" cm="1">
        <f t="array" ref="AA1566">MMULT($G1566:$R1566,'Nelson Factor_2019'!$B$1:$B$12)/$G1566</f>
        <v>11.989894736842105</v>
      </c>
    </row>
    <row r="1567" spans="1:27" x14ac:dyDescent="0.25">
      <c r="A1567">
        <v>2017</v>
      </c>
      <c r="B1567">
        <v>2</v>
      </c>
      <c r="C1567">
        <v>4</v>
      </c>
      <c r="D1567" t="s">
        <v>269</v>
      </c>
      <c r="E1567" t="s">
        <v>400</v>
      </c>
      <c r="F1567" t="s">
        <v>91</v>
      </c>
      <c r="G1567">
        <v>118750</v>
      </c>
      <c r="H1567">
        <v>43700</v>
      </c>
      <c r="I1567">
        <v>22500</v>
      </c>
      <c r="J1567">
        <v>0</v>
      </c>
      <c r="K1567">
        <v>32400</v>
      </c>
      <c r="L1567">
        <v>23400</v>
      </c>
      <c r="M1567">
        <v>0</v>
      </c>
      <c r="N1567">
        <v>111600</v>
      </c>
      <c r="O1567">
        <v>9000</v>
      </c>
      <c r="P1567">
        <v>0</v>
      </c>
      <c r="Q1567">
        <v>0</v>
      </c>
      <c r="R1567">
        <v>7000</v>
      </c>
      <c r="S1567">
        <v>0</v>
      </c>
      <c r="T1567">
        <v>0</v>
      </c>
      <c r="U1567">
        <v>22</v>
      </c>
      <c r="V1567">
        <v>0</v>
      </c>
      <c r="W1567">
        <v>1183</v>
      </c>
      <c r="X1567">
        <v>208</v>
      </c>
      <c r="Y1567">
        <v>0</v>
      </c>
      <c r="Z1567" cm="1">
        <f t="array" ref="Z1567">MMULT($G1567:$Y1567,'Nelson Factor_2019'!$B$1:$B$19)/$G1567</f>
        <v>9.2265431578947368</v>
      </c>
      <c r="AA1567" cm="1">
        <f t="array" ref="AA1567">MMULT($G1567:$R1567,'Nelson Factor_2019'!$B$1:$B$12)/$G1567</f>
        <v>8.8059789473684216</v>
      </c>
    </row>
    <row r="1568" spans="1:27" x14ac:dyDescent="0.25">
      <c r="A1568">
        <v>2017</v>
      </c>
      <c r="B1568">
        <v>2</v>
      </c>
      <c r="C1568">
        <v>4</v>
      </c>
      <c r="D1568" t="s">
        <v>269</v>
      </c>
      <c r="E1568" t="s">
        <v>251</v>
      </c>
      <c r="F1568" t="s">
        <v>45</v>
      </c>
      <c r="G1568">
        <v>133950</v>
      </c>
      <c r="H1568">
        <v>60800</v>
      </c>
      <c r="I1568">
        <v>17100</v>
      </c>
      <c r="J1568">
        <v>0</v>
      </c>
      <c r="K1568">
        <v>39600</v>
      </c>
      <c r="L1568">
        <v>27900</v>
      </c>
      <c r="M1568">
        <v>0</v>
      </c>
      <c r="N1568">
        <v>170550</v>
      </c>
      <c r="O1568">
        <v>12600</v>
      </c>
      <c r="P1568">
        <v>0</v>
      </c>
      <c r="Q1568">
        <v>0</v>
      </c>
      <c r="R1568">
        <v>14850</v>
      </c>
      <c r="S1568">
        <v>0</v>
      </c>
      <c r="T1568">
        <v>0</v>
      </c>
      <c r="U1568">
        <v>56</v>
      </c>
      <c r="V1568">
        <v>0</v>
      </c>
      <c r="W1568">
        <v>952</v>
      </c>
      <c r="X1568">
        <v>286</v>
      </c>
      <c r="Y1568">
        <v>3600</v>
      </c>
      <c r="Z1568" cm="1">
        <f t="array" ref="Z1568">MMULT($G1568:$Y1568,'Nelson Factor_2019'!$B$1:$B$19)/$G1568</f>
        <v>10.372235908921239</v>
      </c>
      <c r="AA1568" cm="1">
        <f t="array" ref="AA1568">MMULT($G1568:$R1568,'Nelson Factor_2019'!$B$1:$B$12)/$G1568</f>
        <v>9.8190742814483016</v>
      </c>
    </row>
    <row r="1569" spans="1:27" x14ac:dyDescent="0.25">
      <c r="A1569">
        <v>2017</v>
      </c>
      <c r="B1569">
        <v>2</v>
      </c>
      <c r="C1569">
        <v>0</v>
      </c>
      <c r="D1569" t="s">
        <v>270</v>
      </c>
      <c r="E1569" t="s">
        <v>338</v>
      </c>
      <c r="F1569" t="s">
        <v>98</v>
      </c>
      <c r="G1569">
        <v>5985</v>
      </c>
      <c r="H1569">
        <v>0</v>
      </c>
      <c r="I1569">
        <v>0</v>
      </c>
      <c r="J1569">
        <v>0</v>
      </c>
      <c r="K1569">
        <v>0</v>
      </c>
      <c r="L1569">
        <v>1170</v>
      </c>
      <c r="M1569">
        <v>0</v>
      </c>
      <c r="N1569">
        <v>1935</v>
      </c>
      <c r="O1569">
        <v>0</v>
      </c>
      <c r="P1569">
        <v>0</v>
      </c>
      <c r="Q1569">
        <v>0</v>
      </c>
      <c r="R1569">
        <v>0</v>
      </c>
      <c r="S1569">
        <v>0</v>
      </c>
      <c r="T1569">
        <v>0</v>
      </c>
      <c r="U1569">
        <v>0</v>
      </c>
      <c r="V1569">
        <v>0</v>
      </c>
      <c r="W1569">
        <v>0</v>
      </c>
      <c r="X1569">
        <v>0</v>
      </c>
      <c r="Y1569">
        <v>0</v>
      </c>
      <c r="Z1569" cm="1">
        <f t="array" ref="Z1569">MMULT($G1569:$Y1569,'Nelson Factor_2019'!$B$1:$B$19)/$G1569</f>
        <v>2.7857142857142856</v>
      </c>
      <c r="AA1569" cm="1">
        <f t="array" ref="AA1569">MMULT($G1569:$R1569,'Nelson Factor_2019'!$B$1:$B$12)/$G1569</f>
        <v>2.7857142857142856</v>
      </c>
    </row>
    <row r="1570" spans="1:27" x14ac:dyDescent="0.25">
      <c r="A1570">
        <v>2017</v>
      </c>
      <c r="B1570">
        <v>2</v>
      </c>
      <c r="C1570">
        <v>1</v>
      </c>
      <c r="D1570" t="s">
        <v>270</v>
      </c>
      <c r="E1570" t="s">
        <v>398</v>
      </c>
      <c r="F1570" t="s">
        <v>96</v>
      </c>
      <c r="G1570">
        <v>273000</v>
      </c>
      <c r="H1570">
        <v>123500</v>
      </c>
      <c r="I1570">
        <v>0</v>
      </c>
      <c r="J1570">
        <v>0</v>
      </c>
      <c r="K1570">
        <v>98800</v>
      </c>
      <c r="L1570">
        <v>51300</v>
      </c>
      <c r="M1570">
        <v>0</v>
      </c>
      <c r="N1570">
        <v>260400</v>
      </c>
      <c r="O1570">
        <v>20000</v>
      </c>
      <c r="P1570">
        <v>0</v>
      </c>
      <c r="Q1570">
        <v>10200</v>
      </c>
      <c r="R1570">
        <v>16200</v>
      </c>
      <c r="S1570">
        <v>0</v>
      </c>
      <c r="T1570">
        <v>0</v>
      </c>
      <c r="U1570">
        <v>32.299999999999997</v>
      </c>
      <c r="V1570">
        <v>0</v>
      </c>
      <c r="W1570">
        <v>0</v>
      </c>
      <c r="X1570">
        <v>386</v>
      </c>
      <c r="Y1570">
        <v>33600</v>
      </c>
      <c r="Z1570" cm="1">
        <f t="array" ref="Z1570">MMULT($G1570:$Y1570,'Nelson Factor_2019'!$B$1:$B$19)/$G1570</f>
        <v>9.26564945054945</v>
      </c>
      <c r="AA1570" cm="1">
        <f t="array" ref="AA1570">MMULT($G1570:$R1570,'Nelson Factor_2019'!$B$1:$B$12)/$G1570</f>
        <v>8.7415750915750916</v>
      </c>
    </row>
    <row r="1571" spans="1:27" x14ac:dyDescent="0.25">
      <c r="A1571">
        <v>2017</v>
      </c>
      <c r="B1571">
        <v>3</v>
      </c>
      <c r="C1571">
        <v>1</v>
      </c>
      <c r="D1571" t="s">
        <v>272</v>
      </c>
      <c r="E1571" t="s">
        <v>393</v>
      </c>
      <c r="F1571" t="s">
        <v>120</v>
      </c>
      <c r="G1571">
        <v>78850</v>
      </c>
      <c r="H1571">
        <v>34390</v>
      </c>
      <c r="I1571">
        <v>0</v>
      </c>
      <c r="J1571">
        <v>0</v>
      </c>
      <c r="K1571">
        <v>30600</v>
      </c>
      <c r="L1571">
        <v>11700</v>
      </c>
      <c r="M1571">
        <v>0</v>
      </c>
      <c r="N1571">
        <v>28800</v>
      </c>
      <c r="O1571">
        <v>0</v>
      </c>
      <c r="P1571">
        <v>0</v>
      </c>
      <c r="Q1571">
        <v>0</v>
      </c>
      <c r="R1571">
        <v>5598</v>
      </c>
      <c r="S1571">
        <v>0</v>
      </c>
      <c r="T1571">
        <v>0</v>
      </c>
      <c r="U1571">
        <v>0</v>
      </c>
      <c r="V1571">
        <v>0</v>
      </c>
      <c r="W1571">
        <v>0</v>
      </c>
      <c r="X1571">
        <v>0</v>
      </c>
      <c r="Y1571">
        <v>0</v>
      </c>
      <c r="Z1571" cm="1">
        <f t="array" ref="Z1571">MMULT($G1571:$Y1571,'Nelson Factor_2019'!$B$1:$B$19)/$G1571</f>
        <v>5.7634876347495245</v>
      </c>
      <c r="AA1571" cm="1">
        <f t="array" ref="AA1571">MMULT($G1571:$R1571,'Nelson Factor_2019'!$B$1:$B$12)/$G1571</f>
        <v>5.7634876347495245</v>
      </c>
    </row>
    <row r="1572" spans="1:27" x14ac:dyDescent="0.25">
      <c r="A1572">
        <v>2017</v>
      </c>
      <c r="B1572">
        <v>3</v>
      </c>
      <c r="C1572">
        <v>0</v>
      </c>
      <c r="D1572" t="s">
        <v>272</v>
      </c>
      <c r="E1572" t="s">
        <v>298</v>
      </c>
      <c r="F1572" t="s">
        <v>103</v>
      </c>
      <c r="G1572">
        <v>13300</v>
      </c>
      <c r="H1572">
        <v>0</v>
      </c>
      <c r="I1572">
        <v>0</v>
      </c>
      <c r="J1572">
        <v>0</v>
      </c>
      <c r="K1572">
        <v>0</v>
      </c>
      <c r="L1572">
        <v>0</v>
      </c>
      <c r="M1572">
        <v>0</v>
      </c>
      <c r="N1572">
        <v>5580</v>
      </c>
      <c r="O1572">
        <v>0</v>
      </c>
      <c r="P1572">
        <v>0</v>
      </c>
      <c r="Q1572">
        <v>0</v>
      </c>
      <c r="R1572">
        <v>450</v>
      </c>
      <c r="S1572">
        <v>0</v>
      </c>
      <c r="T1572">
        <v>0</v>
      </c>
      <c r="U1572">
        <v>2</v>
      </c>
      <c r="V1572">
        <v>0</v>
      </c>
      <c r="W1572">
        <v>0</v>
      </c>
      <c r="X1572">
        <v>0</v>
      </c>
      <c r="Y1572">
        <v>0</v>
      </c>
      <c r="Z1572" cm="1">
        <f t="array" ref="Z1572">MMULT($G1572:$Y1572,'Nelson Factor_2019'!$B$1:$B$19)/$G1572</f>
        <v>2.1505263157894738</v>
      </c>
      <c r="AA1572" cm="1">
        <f t="array" ref="AA1572">MMULT($G1572:$R1572,'Nelson Factor_2019'!$B$1:$B$12)/$G1572</f>
        <v>2.1503759398496243</v>
      </c>
    </row>
    <row r="1573" spans="1:27" x14ac:dyDescent="0.25">
      <c r="A1573">
        <v>2017</v>
      </c>
      <c r="B1573">
        <v>3</v>
      </c>
      <c r="C1573">
        <v>2</v>
      </c>
      <c r="D1573" t="s">
        <v>272</v>
      </c>
      <c r="E1573" t="s">
        <v>298</v>
      </c>
      <c r="F1573" t="s">
        <v>104</v>
      </c>
      <c r="G1573">
        <v>8222</v>
      </c>
      <c r="H1573">
        <v>6650</v>
      </c>
      <c r="I1573">
        <v>0</v>
      </c>
      <c r="J1573">
        <v>0</v>
      </c>
      <c r="K1573">
        <v>0</v>
      </c>
      <c r="L1573">
        <v>0</v>
      </c>
      <c r="M1573">
        <v>8000</v>
      </c>
      <c r="N1573">
        <v>0</v>
      </c>
      <c r="O1573">
        <v>0</v>
      </c>
      <c r="P1573">
        <v>0</v>
      </c>
      <c r="Q1573">
        <v>0</v>
      </c>
      <c r="R1573">
        <v>0</v>
      </c>
      <c r="S1573">
        <v>6300</v>
      </c>
      <c r="T1573">
        <v>0</v>
      </c>
      <c r="U1573">
        <v>4</v>
      </c>
      <c r="V1573">
        <v>0</v>
      </c>
      <c r="W1573">
        <v>0</v>
      </c>
      <c r="X1573">
        <v>3</v>
      </c>
      <c r="Y1573">
        <v>1800</v>
      </c>
      <c r="Z1573" cm="1">
        <f t="array" ref="Z1573">MMULT($G1573:$Y1573,'Nelson Factor_2019'!$B$1:$B$19)/$G1573</f>
        <v>56.226100705424471</v>
      </c>
      <c r="AA1573" cm="1">
        <f t="array" ref="AA1573">MMULT($G1573:$R1573,'Nelson Factor_2019'!$B$1:$B$12)/$G1573</f>
        <v>9.8354414984188754</v>
      </c>
    </row>
    <row r="1574" spans="1:27" x14ac:dyDescent="0.25">
      <c r="A1574">
        <v>2017</v>
      </c>
      <c r="B1574">
        <v>3</v>
      </c>
      <c r="C1574">
        <v>2</v>
      </c>
      <c r="D1574" t="s">
        <v>272</v>
      </c>
      <c r="E1574" t="s">
        <v>298</v>
      </c>
      <c r="F1574" t="s">
        <v>105</v>
      </c>
      <c r="G1574">
        <v>57000</v>
      </c>
      <c r="H1574">
        <v>26600</v>
      </c>
      <c r="I1574">
        <v>0</v>
      </c>
      <c r="J1574">
        <v>0</v>
      </c>
      <c r="K1574">
        <v>0</v>
      </c>
      <c r="L1574">
        <v>10800</v>
      </c>
      <c r="M1574">
        <v>8500</v>
      </c>
      <c r="N1574">
        <v>47070</v>
      </c>
      <c r="O1574">
        <v>0</v>
      </c>
      <c r="P1574">
        <v>0</v>
      </c>
      <c r="Q1574">
        <v>0</v>
      </c>
      <c r="R1574">
        <v>0</v>
      </c>
      <c r="S1574">
        <v>11250</v>
      </c>
      <c r="T1574">
        <v>0</v>
      </c>
      <c r="U1574">
        <v>12</v>
      </c>
      <c r="V1574">
        <v>0</v>
      </c>
      <c r="W1574">
        <v>0</v>
      </c>
      <c r="X1574">
        <v>36</v>
      </c>
      <c r="Y1574">
        <v>5850</v>
      </c>
      <c r="Z1574" cm="1">
        <f t="array" ref="Z1574">MMULT($G1574:$Y1574,'Nelson Factor_2019'!$B$1:$B$19)/$G1574</f>
        <v>17.959333333333333</v>
      </c>
      <c r="AA1574" cm="1">
        <f t="array" ref="AA1574">MMULT($G1574:$R1574,'Nelson Factor_2019'!$B$1:$B$12)/$G1574</f>
        <v>5.8114912280701754</v>
      </c>
    </row>
    <row r="1575" spans="1:27" x14ac:dyDescent="0.25">
      <c r="A1575">
        <v>2017</v>
      </c>
      <c r="B1575">
        <v>3</v>
      </c>
      <c r="C1575">
        <v>2</v>
      </c>
      <c r="D1575" t="s">
        <v>272</v>
      </c>
      <c r="E1575" t="s">
        <v>401</v>
      </c>
      <c r="F1575" t="s">
        <v>343</v>
      </c>
      <c r="G1575">
        <v>109000</v>
      </c>
      <c r="H1575">
        <v>0</v>
      </c>
      <c r="I1575">
        <v>0</v>
      </c>
      <c r="J1575">
        <v>0</v>
      </c>
      <c r="K1575">
        <v>0</v>
      </c>
      <c r="L1575">
        <v>6000</v>
      </c>
      <c r="M1575">
        <v>28000</v>
      </c>
      <c r="N1575">
        <v>38000</v>
      </c>
      <c r="O1575">
        <v>0</v>
      </c>
      <c r="P1575">
        <v>0</v>
      </c>
      <c r="Q1575">
        <v>0</v>
      </c>
      <c r="R1575">
        <v>0</v>
      </c>
      <c r="S1575">
        <v>0</v>
      </c>
      <c r="T1575">
        <v>0</v>
      </c>
      <c r="U1575">
        <v>0</v>
      </c>
      <c r="V1575">
        <v>0</v>
      </c>
      <c r="W1575">
        <v>0</v>
      </c>
      <c r="X1575">
        <v>0</v>
      </c>
      <c r="Y1575">
        <v>0</v>
      </c>
      <c r="Z1575" cm="1">
        <f t="array" ref="Z1575">MMULT($G1575:$Y1575,'Nelson Factor_2019'!$B$1:$B$19)/$G1575</f>
        <v>4.2018348623853212</v>
      </c>
      <c r="AA1575" cm="1">
        <f t="array" ref="AA1575">MMULT($G1575:$R1575,'Nelson Factor_2019'!$B$1:$B$12)/$G1575</f>
        <v>4.2018348623853212</v>
      </c>
    </row>
    <row r="1576" spans="1:27" x14ac:dyDescent="0.25">
      <c r="A1576">
        <v>2017</v>
      </c>
      <c r="B1576">
        <v>3</v>
      </c>
      <c r="C1576">
        <v>6</v>
      </c>
      <c r="D1576" t="s">
        <v>272</v>
      </c>
      <c r="E1576" t="s">
        <v>397</v>
      </c>
      <c r="F1576" t="s">
        <v>109</v>
      </c>
      <c r="G1576">
        <v>497040</v>
      </c>
      <c r="H1576">
        <v>233795</v>
      </c>
      <c r="I1576">
        <v>111150</v>
      </c>
      <c r="J1576">
        <v>0</v>
      </c>
      <c r="K1576">
        <v>220050</v>
      </c>
      <c r="L1576">
        <v>68400</v>
      </c>
      <c r="M1576">
        <v>24300</v>
      </c>
      <c r="N1576">
        <v>464850</v>
      </c>
      <c r="O1576">
        <v>36900</v>
      </c>
      <c r="P1576">
        <v>0</v>
      </c>
      <c r="Q1576">
        <v>0</v>
      </c>
      <c r="R1576">
        <v>0</v>
      </c>
      <c r="S1576">
        <v>14850</v>
      </c>
      <c r="T1576">
        <v>0</v>
      </c>
      <c r="U1576">
        <v>0</v>
      </c>
      <c r="V1576">
        <v>0</v>
      </c>
      <c r="W1576">
        <v>4287</v>
      </c>
      <c r="X1576">
        <v>726</v>
      </c>
      <c r="Y1576">
        <v>0</v>
      </c>
      <c r="Z1576" cm="1">
        <f t="array" ref="Z1576">MMULT($G1576:$Y1576,'Nelson Factor_2019'!$B$1:$B$19)/$G1576</f>
        <v>12.247834178335747</v>
      </c>
      <c r="AA1576" cm="1">
        <f t="array" ref="AA1576">MMULT($G1576:$R1576,'Nelson Factor_2019'!$B$1:$B$12)/$G1576</f>
        <v>10.104666626428456</v>
      </c>
    </row>
    <row r="1577" spans="1:27" x14ac:dyDescent="0.25">
      <c r="A1577">
        <v>2017</v>
      </c>
      <c r="B1577">
        <v>3</v>
      </c>
      <c r="C1577">
        <v>6</v>
      </c>
      <c r="D1577" t="s">
        <v>272</v>
      </c>
      <c r="E1577" t="s">
        <v>398</v>
      </c>
      <c r="F1577" t="s">
        <v>111</v>
      </c>
      <c r="G1577">
        <v>543000</v>
      </c>
      <c r="H1577">
        <v>286000</v>
      </c>
      <c r="I1577">
        <v>89800</v>
      </c>
      <c r="J1577">
        <v>0</v>
      </c>
      <c r="K1577">
        <v>136800</v>
      </c>
      <c r="L1577">
        <v>122100</v>
      </c>
      <c r="M1577">
        <v>111200</v>
      </c>
      <c r="N1577">
        <v>543900</v>
      </c>
      <c r="O1577">
        <v>31400</v>
      </c>
      <c r="P1577">
        <v>0</v>
      </c>
      <c r="Q1577">
        <v>0</v>
      </c>
      <c r="R1577">
        <v>47100</v>
      </c>
      <c r="S1577">
        <v>0</v>
      </c>
      <c r="T1577">
        <v>0</v>
      </c>
      <c r="U1577">
        <v>114</v>
      </c>
      <c r="V1577">
        <v>0</v>
      </c>
      <c r="W1577">
        <v>5734</v>
      </c>
      <c r="X1577">
        <v>1274</v>
      </c>
      <c r="Y1577">
        <v>31400</v>
      </c>
      <c r="Z1577" cm="1">
        <f t="array" ref="Z1577">MMULT($G1577:$Y1577,'Nelson Factor_2019'!$B$1:$B$19)/$G1577</f>
        <v>11.191941068139963</v>
      </c>
      <c r="AA1577" cm="1">
        <f t="array" ref="AA1577">MMULT($G1577:$R1577,'Nelson Factor_2019'!$B$1:$B$12)/$G1577</f>
        <v>10.541896869244935</v>
      </c>
    </row>
    <row r="1578" spans="1:27" x14ac:dyDescent="0.25">
      <c r="A1578">
        <v>2017</v>
      </c>
      <c r="B1578">
        <v>3</v>
      </c>
      <c r="C1578">
        <v>3</v>
      </c>
      <c r="D1578" t="s">
        <v>272</v>
      </c>
      <c r="E1578" t="s">
        <v>345</v>
      </c>
      <c r="F1578" t="s">
        <v>113</v>
      </c>
      <c r="G1578">
        <v>242250</v>
      </c>
      <c r="H1578">
        <v>110500</v>
      </c>
      <c r="I1578">
        <v>0</v>
      </c>
      <c r="J1578">
        <v>0</v>
      </c>
      <c r="K1578">
        <v>82800</v>
      </c>
      <c r="L1578">
        <v>36000</v>
      </c>
      <c r="M1578">
        <v>45000</v>
      </c>
      <c r="N1578">
        <v>229800</v>
      </c>
      <c r="O1578">
        <v>15300</v>
      </c>
      <c r="P1578">
        <v>0</v>
      </c>
      <c r="Q1578">
        <v>0</v>
      </c>
      <c r="R1578">
        <v>11700</v>
      </c>
      <c r="S1578">
        <v>0</v>
      </c>
      <c r="T1578">
        <v>0</v>
      </c>
      <c r="U1578">
        <v>0</v>
      </c>
      <c r="V1578">
        <v>0</v>
      </c>
      <c r="W1578">
        <v>0</v>
      </c>
      <c r="X1578">
        <v>660</v>
      </c>
      <c r="Y1578">
        <v>0</v>
      </c>
      <c r="Z1578" cm="1">
        <f t="array" ref="Z1578">MMULT($G1578:$Y1578,'Nelson Factor_2019'!$B$1:$B$19)/$G1578</f>
        <v>9.6747162022703819</v>
      </c>
      <c r="AA1578" cm="1">
        <f t="array" ref="AA1578">MMULT($G1578:$R1578,'Nelson Factor_2019'!$B$1:$B$12)/$G1578</f>
        <v>9.0208462332301345</v>
      </c>
    </row>
    <row r="1579" spans="1:27" x14ac:dyDescent="0.25">
      <c r="A1579">
        <v>2017</v>
      </c>
      <c r="B1579">
        <v>3</v>
      </c>
      <c r="C1579">
        <v>6</v>
      </c>
      <c r="D1579" t="s">
        <v>272</v>
      </c>
      <c r="E1579" t="s">
        <v>345</v>
      </c>
      <c r="F1579" t="s">
        <v>114</v>
      </c>
      <c r="G1579">
        <v>237500</v>
      </c>
      <c r="H1579">
        <v>86700</v>
      </c>
      <c r="I1579">
        <v>25000</v>
      </c>
      <c r="J1579">
        <v>0</v>
      </c>
      <c r="K1579">
        <v>106900</v>
      </c>
      <c r="L1579">
        <v>36000</v>
      </c>
      <c r="M1579">
        <v>39600</v>
      </c>
      <c r="N1579">
        <v>97700</v>
      </c>
      <c r="O1579">
        <v>15100</v>
      </c>
      <c r="P1579">
        <v>0</v>
      </c>
      <c r="Q1579">
        <v>0</v>
      </c>
      <c r="R1579">
        <v>0</v>
      </c>
      <c r="S1579">
        <v>0</v>
      </c>
      <c r="T1579">
        <v>0</v>
      </c>
      <c r="U1579">
        <v>0</v>
      </c>
      <c r="V1579">
        <v>0</v>
      </c>
      <c r="W1579">
        <v>1020</v>
      </c>
      <c r="X1579">
        <v>150</v>
      </c>
      <c r="Y1579">
        <v>0</v>
      </c>
      <c r="Z1579" cm="1">
        <f t="array" ref="Z1579">MMULT($G1579:$Y1579,'Nelson Factor_2019'!$B$1:$B$19)/$G1579</f>
        <v>8.8722526315789469</v>
      </c>
      <c r="AA1579" cm="1">
        <f t="array" ref="AA1579">MMULT($G1579:$R1579,'Nelson Factor_2019'!$B$1:$B$12)/$G1579</f>
        <v>8.7206736842105261</v>
      </c>
    </row>
    <row r="1580" spans="1:27" x14ac:dyDescent="0.25">
      <c r="A1580">
        <v>2017</v>
      </c>
      <c r="B1580">
        <v>3</v>
      </c>
      <c r="C1580">
        <v>4</v>
      </c>
      <c r="D1580" t="s">
        <v>272</v>
      </c>
      <c r="E1580" t="s">
        <v>245</v>
      </c>
      <c r="F1580" t="s">
        <v>110</v>
      </c>
      <c r="G1580">
        <v>187150</v>
      </c>
      <c r="H1580">
        <v>160550</v>
      </c>
      <c r="I1580">
        <v>25200</v>
      </c>
      <c r="J1580">
        <v>0</v>
      </c>
      <c r="K1580">
        <v>68040</v>
      </c>
      <c r="L1580">
        <v>20430</v>
      </c>
      <c r="M1580">
        <v>0</v>
      </c>
      <c r="N1580">
        <v>146700</v>
      </c>
      <c r="O1580">
        <v>15120</v>
      </c>
      <c r="P1580">
        <v>0</v>
      </c>
      <c r="Q1580">
        <v>9450</v>
      </c>
      <c r="R1580">
        <v>0</v>
      </c>
      <c r="S1580">
        <v>0</v>
      </c>
      <c r="T1580">
        <v>0</v>
      </c>
      <c r="U1580">
        <v>0</v>
      </c>
      <c r="V1580">
        <v>0</v>
      </c>
      <c r="W1580">
        <v>1224</v>
      </c>
      <c r="X1580">
        <v>835</v>
      </c>
      <c r="Y1580">
        <v>0</v>
      </c>
      <c r="Z1580" cm="1">
        <f t="array" ref="Z1580">MMULT($G1580:$Y1580,'Nelson Factor_2019'!$B$1:$B$19)/$G1580</f>
        <v>10.700534330750735</v>
      </c>
      <c r="AA1580" cm="1">
        <f t="array" ref="AA1580">MMULT($G1580:$R1580,'Nelson Factor_2019'!$B$1:$B$12)/$G1580</f>
        <v>9.6297355062783865</v>
      </c>
    </row>
    <row r="1581" spans="1:27" x14ac:dyDescent="0.25">
      <c r="A1581">
        <v>2017</v>
      </c>
      <c r="B1581">
        <v>3</v>
      </c>
      <c r="C1581">
        <v>6</v>
      </c>
      <c r="D1581" t="s">
        <v>272</v>
      </c>
      <c r="E1581" t="s">
        <v>399</v>
      </c>
      <c r="F1581" t="s">
        <v>101</v>
      </c>
      <c r="G1581">
        <v>418000</v>
      </c>
      <c r="H1581">
        <v>218500</v>
      </c>
      <c r="I1581">
        <v>99000</v>
      </c>
      <c r="J1581">
        <v>0</v>
      </c>
      <c r="K1581">
        <v>135900</v>
      </c>
      <c r="L1581">
        <v>101520</v>
      </c>
      <c r="M1581">
        <v>42660</v>
      </c>
      <c r="N1581">
        <v>363780</v>
      </c>
      <c r="O1581">
        <v>23760</v>
      </c>
      <c r="P1581">
        <v>0</v>
      </c>
      <c r="Q1581">
        <v>18810</v>
      </c>
      <c r="R1581">
        <v>25200</v>
      </c>
      <c r="S1581">
        <v>0</v>
      </c>
      <c r="T1581">
        <v>0</v>
      </c>
      <c r="U1581">
        <v>0</v>
      </c>
      <c r="V1581">
        <v>0</v>
      </c>
      <c r="W1581">
        <v>4080</v>
      </c>
      <c r="X1581">
        <v>650</v>
      </c>
      <c r="Y1581">
        <v>0</v>
      </c>
      <c r="Z1581" cm="1">
        <f t="array" ref="Z1581">MMULT($G1581:$Y1581,'Nelson Factor_2019'!$B$1:$B$19)/$G1581</f>
        <v>11.635598086124402</v>
      </c>
      <c r="AA1581" cm="1">
        <f t="array" ref="AA1581">MMULT($G1581:$R1581,'Nelson Factor_2019'!$B$1:$B$12)/$G1581</f>
        <v>11.262392344497608</v>
      </c>
    </row>
    <row r="1582" spans="1:27" x14ac:dyDescent="0.25">
      <c r="A1582">
        <v>2017</v>
      </c>
      <c r="B1582">
        <v>3</v>
      </c>
      <c r="C1582">
        <v>4</v>
      </c>
      <c r="D1582" t="s">
        <v>272</v>
      </c>
      <c r="E1582" t="s">
        <v>317</v>
      </c>
      <c r="F1582" t="s">
        <v>107</v>
      </c>
      <c r="G1582">
        <v>247000</v>
      </c>
      <c r="H1582">
        <v>97900</v>
      </c>
      <c r="I1582">
        <v>23400</v>
      </c>
      <c r="J1582">
        <v>0</v>
      </c>
      <c r="K1582">
        <v>94500</v>
      </c>
      <c r="L1582">
        <v>43600</v>
      </c>
      <c r="M1582">
        <v>0</v>
      </c>
      <c r="N1582">
        <v>203700</v>
      </c>
      <c r="O1582">
        <v>31500</v>
      </c>
      <c r="P1582">
        <v>0</v>
      </c>
      <c r="Q1582">
        <v>38100</v>
      </c>
      <c r="R1582">
        <v>0</v>
      </c>
      <c r="S1582">
        <v>0</v>
      </c>
      <c r="T1582">
        <v>0</v>
      </c>
      <c r="U1582">
        <v>10.4</v>
      </c>
      <c r="V1582">
        <v>0</v>
      </c>
      <c r="W1582">
        <v>1100</v>
      </c>
      <c r="X1582">
        <v>80</v>
      </c>
      <c r="Y1582">
        <v>0</v>
      </c>
      <c r="Z1582" cm="1">
        <f t="array" ref="Z1582">MMULT($G1582:$Y1582,'Nelson Factor_2019'!$B$1:$B$19)/$G1582</f>
        <v>11.903766801619433</v>
      </c>
      <c r="AA1582" cm="1">
        <f t="array" ref="AA1582">MMULT($G1582:$R1582,'Nelson Factor_2019'!$B$1:$B$12)/$G1582</f>
        <v>11.825991902834009</v>
      </c>
    </row>
    <row r="1583" spans="1:27" x14ac:dyDescent="0.25">
      <c r="A1583">
        <v>2017</v>
      </c>
      <c r="B1583">
        <v>3</v>
      </c>
      <c r="C1583">
        <v>6</v>
      </c>
      <c r="D1583" t="s">
        <v>272</v>
      </c>
      <c r="E1583" t="s">
        <v>317</v>
      </c>
      <c r="F1583" t="s">
        <v>108</v>
      </c>
      <c r="G1583">
        <v>249000</v>
      </c>
      <c r="H1583">
        <v>110600</v>
      </c>
      <c r="I1583">
        <v>61000</v>
      </c>
      <c r="J1583">
        <v>0</v>
      </c>
      <c r="K1583">
        <v>46100</v>
      </c>
      <c r="L1583">
        <v>43200</v>
      </c>
      <c r="M1583">
        <v>63000</v>
      </c>
      <c r="N1583">
        <v>232900</v>
      </c>
      <c r="O1583">
        <v>7700</v>
      </c>
      <c r="P1583">
        <v>0</v>
      </c>
      <c r="Q1583">
        <v>0</v>
      </c>
      <c r="R1583">
        <v>0</v>
      </c>
      <c r="S1583">
        <v>0</v>
      </c>
      <c r="T1583">
        <v>0</v>
      </c>
      <c r="U1583">
        <v>127</v>
      </c>
      <c r="V1583">
        <v>0</v>
      </c>
      <c r="W1583">
        <v>3600</v>
      </c>
      <c r="X1583">
        <v>337</v>
      </c>
      <c r="Y1583">
        <v>0</v>
      </c>
      <c r="Z1583" cm="1">
        <f t="array" ref="Z1583">MMULT($G1583:$Y1583,'Nelson Factor_2019'!$B$1:$B$19)/$G1583</f>
        <v>10.390108433734939</v>
      </c>
      <c r="AA1583" cm="1">
        <f t="array" ref="AA1583">MMULT($G1583:$R1583,'Nelson Factor_2019'!$B$1:$B$12)/$G1583</f>
        <v>10.064779116465864</v>
      </c>
    </row>
    <row r="1584" spans="1:27" x14ac:dyDescent="0.25">
      <c r="A1584">
        <v>2017</v>
      </c>
      <c r="B1584">
        <v>3</v>
      </c>
      <c r="C1584">
        <v>1</v>
      </c>
      <c r="D1584" t="s">
        <v>272</v>
      </c>
      <c r="E1584" t="s">
        <v>402</v>
      </c>
      <c r="F1584" t="s">
        <v>118</v>
      </c>
      <c r="G1584">
        <v>78375</v>
      </c>
      <c r="H1584">
        <v>25650</v>
      </c>
      <c r="I1584">
        <v>0</v>
      </c>
      <c r="J1584">
        <v>0</v>
      </c>
      <c r="K1584">
        <v>22950</v>
      </c>
      <c r="L1584">
        <v>9900</v>
      </c>
      <c r="M1584">
        <v>0</v>
      </c>
      <c r="N1584">
        <v>50400</v>
      </c>
      <c r="O1584">
        <v>6750</v>
      </c>
      <c r="P1584">
        <v>0</v>
      </c>
      <c r="Q1584">
        <v>0</v>
      </c>
      <c r="R1584">
        <v>0</v>
      </c>
      <c r="S1584">
        <v>0</v>
      </c>
      <c r="T1584">
        <v>0</v>
      </c>
      <c r="U1584">
        <v>0</v>
      </c>
      <c r="V1584">
        <v>0</v>
      </c>
      <c r="W1584">
        <v>0</v>
      </c>
      <c r="X1584">
        <v>50</v>
      </c>
      <c r="Y1584">
        <v>0</v>
      </c>
      <c r="Z1584" cm="1">
        <f t="array" ref="Z1584">MMULT($G1584:$Y1584,'Nelson Factor_2019'!$B$1:$B$19)/$G1584</f>
        <v>6.435980861244019</v>
      </c>
      <c r="AA1584" cm="1">
        <f t="array" ref="AA1584">MMULT($G1584:$R1584,'Nelson Factor_2019'!$B$1:$B$12)/$G1584</f>
        <v>6.2828708133971292</v>
      </c>
    </row>
    <row r="1585" spans="1:27" x14ac:dyDescent="0.25">
      <c r="A1585">
        <v>2017</v>
      </c>
      <c r="B1585">
        <v>3</v>
      </c>
      <c r="C1585">
        <v>0</v>
      </c>
      <c r="D1585" t="s">
        <v>272</v>
      </c>
      <c r="E1585" t="s">
        <v>388</v>
      </c>
      <c r="F1585" t="s">
        <v>346</v>
      </c>
      <c r="G1585">
        <v>43700</v>
      </c>
      <c r="H1585">
        <v>23750</v>
      </c>
      <c r="I1585">
        <v>0</v>
      </c>
      <c r="J1585">
        <v>0</v>
      </c>
      <c r="K1585">
        <v>0</v>
      </c>
      <c r="L1585">
        <v>0</v>
      </c>
      <c r="M1585">
        <v>0</v>
      </c>
      <c r="N1585">
        <v>0</v>
      </c>
      <c r="O1585">
        <v>0</v>
      </c>
      <c r="P1585">
        <v>0</v>
      </c>
      <c r="Q1585">
        <v>0</v>
      </c>
      <c r="R1585">
        <v>0</v>
      </c>
      <c r="S1585">
        <v>0</v>
      </c>
      <c r="T1585">
        <v>0</v>
      </c>
      <c r="U1585">
        <v>0</v>
      </c>
      <c r="V1585">
        <v>0</v>
      </c>
      <c r="W1585">
        <v>0</v>
      </c>
      <c r="X1585">
        <v>0</v>
      </c>
      <c r="Y1585">
        <v>11700</v>
      </c>
      <c r="Z1585" cm="1">
        <f t="array" ref="Z1585">MMULT($G1585:$Y1585,'Nelson Factor_2019'!$B$1:$B$19)/$G1585</f>
        <v>2.1081235697940501</v>
      </c>
      <c r="AA1585" cm="1">
        <f t="array" ref="AA1585">MMULT($G1585:$R1585,'Nelson Factor_2019'!$B$1:$B$12)/$G1585</f>
        <v>1.7065217391304348</v>
      </c>
    </row>
    <row r="1586" spans="1:27" x14ac:dyDescent="0.25">
      <c r="A1586">
        <v>2017</v>
      </c>
      <c r="B1586">
        <v>3</v>
      </c>
      <c r="C1586">
        <v>0</v>
      </c>
      <c r="D1586" t="s">
        <v>272</v>
      </c>
      <c r="E1586" t="s">
        <v>403</v>
      </c>
      <c r="F1586" t="s">
        <v>101</v>
      </c>
      <c r="G1586">
        <v>85500</v>
      </c>
      <c r="H1586">
        <v>28500</v>
      </c>
      <c r="I1586">
        <v>0</v>
      </c>
      <c r="J1586">
        <v>0</v>
      </c>
      <c r="K1586">
        <v>0</v>
      </c>
      <c r="L1586">
        <v>0</v>
      </c>
      <c r="M1586">
        <v>0</v>
      </c>
      <c r="N1586">
        <v>0</v>
      </c>
      <c r="O1586">
        <v>0</v>
      </c>
      <c r="P1586">
        <v>0</v>
      </c>
      <c r="Q1586">
        <v>0</v>
      </c>
      <c r="R1586">
        <v>3150</v>
      </c>
      <c r="S1586">
        <v>0</v>
      </c>
      <c r="T1586">
        <v>0</v>
      </c>
      <c r="U1586">
        <v>0</v>
      </c>
      <c r="V1586">
        <v>0</v>
      </c>
      <c r="W1586">
        <v>0</v>
      </c>
      <c r="X1586">
        <v>0</v>
      </c>
      <c r="Y1586">
        <v>0</v>
      </c>
      <c r="Z1586" cm="1">
        <f t="array" ref="Z1586">MMULT($G1586:$Y1586,'Nelson Factor_2019'!$B$1:$B$19)/$G1586</f>
        <v>1.5438596491228069</v>
      </c>
      <c r="AA1586" cm="1">
        <f t="array" ref="AA1586">MMULT($G1586:$R1586,'Nelson Factor_2019'!$B$1:$B$12)/$G1586</f>
        <v>1.5438596491228069</v>
      </c>
    </row>
    <row r="1587" spans="1:27" x14ac:dyDescent="0.25">
      <c r="A1587">
        <v>2017</v>
      </c>
      <c r="B1587">
        <v>3</v>
      </c>
      <c r="C1587">
        <v>2</v>
      </c>
      <c r="D1587" t="s">
        <v>272</v>
      </c>
      <c r="E1587" t="s">
        <v>66</v>
      </c>
      <c r="F1587" t="s">
        <v>116</v>
      </c>
      <c r="G1587">
        <v>121600</v>
      </c>
      <c r="H1587">
        <v>57000</v>
      </c>
      <c r="I1587">
        <v>0</v>
      </c>
      <c r="J1587">
        <v>0</v>
      </c>
      <c r="K1587">
        <v>0</v>
      </c>
      <c r="L1587">
        <v>28800</v>
      </c>
      <c r="M1587">
        <v>43830</v>
      </c>
      <c r="N1587">
        <v>84690</v>
      </c>
      <c r="O1587">
        <v>0</v>
      </c>
      <c r="P1587">
        <v>0</v>
      </c>
      <c r="Q1587">
        <v>0</v>
      </c>
      <c r="R1587">
        <v>0</v>
      </c>
      <c r="S1587">
        <v>0</v>
      </c>
      <c r="T1587">
        <v>0</v>
      </c>
      <c r="U1587">
        <v>0</v>
      </c>
      <c r="V1587">
        <v>0</v>
      </c>
      <c r="W1587">
        <v>0</v>
      </c>
      <c r="X1587">
        <v>203</v>
      </c>
      <c r="Y1587">
        <v>0</v>
      </c>
      <c r="Z1587" cm="1">
        <f t="array" ref="Z1587">MMULT($G1587:$Y1587,'Nelson Factor_2019'!$B$1:$B$19)/$G1587</f>
        <v>7.8189555921052634</v>
      </c>
      <c r="AA1587" cm="1">
        <f t="array" ref="AA1587">MMULT($G1587:$R1587,'Nelson Factor_2019'!$B$1:$B$12)/$G1587</f>
        <v>7.4182976973684207</v>
      </c>
    </row>
    <row r="1588" spans="1:27" x14ac:dyDescent="0.25">
      <c r="A1588">
        <v>2017</v>
      </c>
      <c r="B1588">
        <v>3</v>
      </c>
      <c r="C1588">
        <v>6</v>
      </c>
      <c r="D1588" t="s">
        <v>272</v>
      </c>
      <c r="E1588" t="s">
        <v>66</v>
      </c>
      <c r="F1588" t="s">
        <v>114</v>
      </c>
      <c r="G1588">
        <v>209000</v>
      </c>
      <c r="H1588">
        <v>152000</v>
      </c>
      <c r="I1588">
        <v>75600</v>
      </c>
      <c r="J1588">
        <v>0</v>
      </c>
      <c r="K1588">
        <v>90000</v>
      </c>
      <c r="L1588">
        <v>24750</v>
      </c>
      <c r="M1588">
        <v>88200</v>
      </c>
      <c r="N1588">
        <v>210600</v>
      </c>
      <c r="O1588">
        <v>18900</v>
      </c>
      <c r="P1588">
        <v>0</v>
      </c>
      <c r="Q1588">
        <v>2700</v>
      </c>
      <c r="R1588">
        <v>0</v>
      </c>
      <c r="S1588">
        <v>0</v>
      </c>
      <c r="T1588">
        <v>0</v>
      </c>
      <c r="U1588">
        <v>100</v>
      </c>
      <c r="V1588">
        <v>0</v>
      </c>
      <c r="W1588">
        <v>3536</v>
      </c>
      <c r="X1588">
        <v>798</v>
      </c>
      <c r="Y1588">
        <v>0</v>
      </c>
      <c r="Z1588" cm="1">
        <f t="array" ref="Z1588">MMULT($G1588:$Y1588,'Nelson Factor_2019'!$B$1:$B$19)/$G1588</f>
        <v>15.808947368421052</v>
      </c>
      <c r="AA1588" cm="1">
        <f t="array" ref="AA1588">MMULT($G1588:$R1588,'Nelson Factor_2019'!$B$1:$B$12)/$G1588</f>
        <v>14.892105263157895</v>
      </c>
    </row>
    <row r="1589" spans="1:27" x14ac:dyDescent="0.25">
      <c r="A1589">
        <v>2017</v>
      </c>
      <c r="B1589">
        <v>2</v>
      </c>
      <c r="C1589">
        <v>4</v>
      </c>
      <c r="D1589" t="s">
        <v>273</v>
      </c>
      <c r="E1589" t="s">
        <v>398</v>
      </c>
      <c r="F1589" t="s">
        <v>122</v>
      </c>
      <c r="G1589">
        <v>132000</v>
      </c>
      <c r="H1589">
        <v>77900</v>
      </c>
      <c r="I1589">
        <v>31800</v>
      </c>
      <c r="J1589">
        <v>0</v>
      </c>
      <c r="K1589">
        <v>38000</v>
      </c>
      <c r="L1589">
        <v>20400</v>
      </c>
      <c r="M1589">
        <v>0</v>
      </c>
      <c r="N1589">
        <v>124000</v>
      </c>
      <c r="O1589">
        <v>6700</v>
      </c>
      <c r="P1589">
        <v>0</v>
      </c>
      <c r="Q1589">
        <v>0</v>
      </c>
      <c r="R1589">
        <v>0</v>
      </c>
      <c r="S1589">
        <v>0</v>
      </c>
      <c r="T1589">
        <v>0</v>
      </c>
      <c r="U1589">
        <v>58.9</v>
      </c>
      <c r="V1589">
        <v>0</v>
      </c>
      <c r="W1589">
        <v>2032</v>
      </c>
      <c r="X1589">
        <v>397</v>
      </c>
      <c r="Y1589">
        <v>22800</v>
      </c>
      <c r="Z1589" cm="1">
        <f t="array" ref="Z1589">MMULT($G1589:$Y1589,'Nelson Factor_2019'!$B$1:$B$19)/$G1589</f>
        <v>9.9114310606060592</v>
      </c>
      <c r="AA1589" cm="1">
        <f t="array" ref="AA1589">MMULT($G1589:$R1589,'Nelson Factor_2019'!$B$1:$B$12)/$G1589</f>
        <v>8.9300757575757572</v>
      </c>
    </row>
    <row r="1590" spans="1:27" x14ac:dyDescent="0.25">
      <c r="A1590">
        <v>2017</v>
      </c>
      <c r="B1590">
        <v>2</v>
      </c>
      <c r="C1590">
        <v>6</v>
      </c>
      <c r="D1590" t="s">
        <v>274</v>
      </c>
      <c r="E1590" t="s">
        <v>404</v>
      </c>
      <c r="F1590" t="s">
        <v>350</v>
      </c>
      <c r="G1590">
        <v>322050</v>
      </c>
      <c r="H1590">
        <v>222300</v>
      </c>
      <c r="I1590">
        <v>64800</v>
      </c>
      <c r="J1590">
        <v>0</v>
      </c>
      <c r="K1590">
        <v>78300</v>
      </c>
      <c r="L1590">
        <v>45900</v>
      </c>
      <c r="M1590">
        <v>45000</v>
      </c>
      <c r="N1590">
        <v>293850</v>
      </c>
      <c r="O1590">
        <v>11250</v>
      </c>
      <c r="P1590">
        <v>0</v>
      </c>
      <c r="Q1590">
        <v>0</v>
      </c>
      <c r="R1590">
        <v>16200</v>
      </c>
      <c r="S1590">
        <v>0</v>
      </c>
      <c r="T1590">
        <v>0</v>
      </c>
      <c r="U1590">
        <v>154.80000000000001</v>
      </c>
      <c r="V1590">
        <v>0</v>
      </c>
      <c r="W1590">
        <v>3690</v>
      </c>
      <c r="X1590">
        <v>990</v>
      </c>
      <c r="Y1590">
        <v>40500</v>
      </c>
      <c r="Z1590" cm="1">
        <f t="array" ref="Z1590">MMULT($G1590:$Y1590,'Nelson Factor_2019'!$B$1:$B$19)/$G1590</f>
        <v>10.403880763856543</v>
      </c>
      <c r="AA1590" cm="1">
        <f t="array" ref="AA1590">MMULT($G1590:$R1590,'Nelson Factor_2019'!$B$1:$B$12)/$G1590</f>
        <v>9.476991150442478</v>
      </c>
    </row>
    <row r="1591" spans="1:27" x14ac:dyDescent="0.25">
      <c r="A1591">
        <v>2017</v>
      </c>
      <c r="B1591">
        <v>2</v>
      </c>
      <c r="C1591">
        <v>1</v>
      </c>
      <c r="D1591" t="s">
        <v>274</v>
      </c>
      <c r="E1591" t="s">
        <v>197</v>
      </c>
      <c r="F1591" t="s">
        <v>125</v>
      </c>
      <c r="G1591">
        <v>96710</v>
      </c>
      <c r="H1591">
        <v>42275</v>
      </c>
      <c r="I1591">
        <v>0</v>
      </c>
      <c r="J1591">
        <v>0</v>
      </c>
      <c r="K1591">
        <v>27900</v>
      </c>
      <c r="L1591">
        <v>22050</v>
      </c>
      <c r="M1591">
        <v>0</v>
      </c>
      <c r="N1591">
        <v>87930</v>
      </c>
      <c r="O1591">
        <v>4950</v>
      </c>
      <c r="P1591">
        <v>0</v>
      </c>
      <c r="Q1591">
        <v>0</v>
      </c>
      <c r="R1591">
        <v>9450</v>
      </c>
      <c r="S1591">
        <v>0</v>
      </c>
      <c r="T1591">
        <v>0</v>
      </c>
      <c r="U1591">
        <v>10</v>
      </c>
      <c r="V1591">
        <v>0</v>
      </c>
      <c r="W1591">
        <v>0</v>
      </c>
      <c r="X1591">
        <v>111</v>
      </c>
      <c r="Y1591">
        <v>11700</v>
      </c>
      <c r="Z1591" cm="1">
        <f t="array" ref="Z1591">MMULT($G1591:$Y1591,'Nelson Factor_2019'!$B$1:$B$19)/$G1591</f>
        <v>7.9742787715851513</v>
      </c>
      <c r="AA1591" cm="1">
        <f t="array" ref="AA1591">MMULT($G1591:$R1591,'Nelson Factor_2019'!$B$1:$B$12)/$G1591</f>
        <v>7.5172422707062347</v>
      </c>
    </row>
    <row r="1592" spans="1:27" x14ac:dyDescent="0.25">
      <c r="A1592">
        <v>2017</v>
      </c>
      <c r="B1592">
        <v>3</v>
      </c>
      <c r="C1592">
        <v>6</v>
      </c>
      <c r="D1592" t="s">
        <v>275</v>
      </c>
      <c r="E1592" t="s">
        <v>227</v>
      </c>
      <c r="F1592" t="s">
        <v>127</v>
      </c>
      <c r="G1592">
        <v>330000</v>
      </c>
      <c r="H1592">
        <v>240000</v>
      </c>
      <c r="I1592">
        <v>98000</v>
      </c>
      <c r="J1592">
        <v>0</v>
      </c>
      <c r="K1592">
        <v>86000</v>
      </c>
      <c r="L1592">
        <v>85000</v>
      </c>
      <c r="M1592">
        <v>96800</v>
      </c>
      <c r="N1592">
        <v>246000</v>
      </c>
      <c r="O1592">
        <v>14800</v>
      </c>
      <c r="P1592">
        <v>0</v>
      </c>
      <c r="Q1592">
        <v>19000</v>
      </c>
      <c r="R1592">
        <v>0</v>
      </c>
      <c r="S1592">
        <v>23500</v>
      </c>
      <c r="T1592">
        <v>0</v>
      </c>
      <c r="U1592">
        <v>205</v>
      </c>
      <c r="V1592">
        <v>0</v>
      </c>
      <c r="W1592">
        <v>6440</v>
      </c>
      <c r="X1592">
        <v>1113</v>
      </c>
      <c r="Y1592">
        <v>18000</v>
      </c>
      <c r="Z1592" cm="1">
        <f t="array" ref="Z1592">MMULT($G1592:$Y1592,'Nelson Factor_2019'!$B$1:$B$19)/$G1592</f>
        <v>17.999166666666667</v>
      </c>
      <c r="AA1592" cm="1">
        <f t="array" ref="AA1592">MMULT($G1592:$R1592,'Nelson Factor_2019'!$B$1:$B$12)/$G1592</f>
        <v>12.834545454545454</v>
      </c>
    </row>
    <row r="1593" spans="1:27" x14ac:dyDescent="0.25">
      <c r="A1593">
        <v>2017</v>
      </c>
      <c r="B1593">
        <v>3</v>
      </c>
      <c r="C1593">
        <v>0</v>
      </c>
      <c r="D1593" t="s">
        <v>275</v>
      </c>
      <c r="E1593" t="s">
        <v>405</v>
      </c>
      <c r="F1593" t="s">
        <v>129</v>
      </c>
      <c r="G1593">
        <v>23750</v>
      </c>
      <c r="H1593">
        <v>17100</v>
      </c>
      <c r="I1593">
        <v>0</v>
      </c>
      <c r="J1593">
        <v>0</v>
      </c>
      <c r="K1593">
        <v>0</v>
      </c>
      <c r="L1593">
        <v>0</v>
      </c>
      <c r="M1593">
        <v>0</v>
      </c>
      <c r="N1593">
        <v>42700</v>
      </c>
      <c r="O1593">
        <v>0</v>
      </c>
      <c r="P1593">
        <v>0</v>
      </c>
      <c r="Q1593">
        <v>0</v>
      </c>
      <c r="R1593">
        <v>0</v>
      </c>
      <c r="S1593">
        <v>20700</v>
      </c>
      <c r="T1593">
        <v>0</v>
      </c>
      <c r="U1593">
        <v>13</v>
      </c>
      <c r="V1593">
        <v>0</v>
      </c>
      <c r="W1593">
        <v>0</v>
      </c>
      <c r="X1593">
        <v>0</v>
      </c>
      <c r="Y1593">
        <v>9000</v>
      </c>
      <c r="Z1593" cm="1">
        <f t="array" ref="Z1593">MMULT($G1593:$Y1593,'Nelson Factor_2019'!$B$1:$B$19)/$G1593</f>
        <v>59.294442105263158</v>
      </c>
      <c r="AA1593" cm="1">
        <f t="array" ref="AA1593">MMULT($G1593:$R1593,'Nelson Factor_2019'!$B$1:$B$12)/$G1593</f>
        <v>6.4307368421052633</v>
      </c>
    </row>
    <row r="1594" spans="1:27" x14ac:dyDescent="0.25">
      <c r="A1594">
        <v>2017</v>
      </c>
      <c r="B1594">
        <v>3</v>
      </c>
      <c r="C1594">
        <v>0</v>
      </c>
      <c r="D1594" t="s">
        <v>275</v>
      </c>
      <c r="E1594" t="s">
        <v>387</v>
      </c>
      <c r="F1594" t="s">
        <v>406</v>
      </c>
      <c r="G1594">
        <v>11875</v>
      </c>
      <c r="H1594">
        <v>0</v>
      </c>
      <c r="I1594">
        <v>0</v>
      </c>
      <c r="J1594">
        <v>0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0</v>
      </c>
      <c r="Q1594">
        <v>0</v>
      </c>
      <c r="R1594">
        <v>0</v>
      </c>
      <c r="S1594">
        <v>0</v>
      </c>
      <c r="T1594">
        <v>0</v>
      </c>
      <c r="U1594">
        <v>0</v>
      </c>
      <c r="V1594">
        <v>0</v>
      </c>
      <c r="W1594">
        <v>0</v>
      </c>
      <c r="X1594">
        <v>0</v>
      </c>
      <c r="Y1594">
        <v>5513</v>
      </c>
      <c r="Z1594" cm="1">
        <f t="array" ref="Z1594">MMULT($G1594:$Y1594,'Nelson Factor_2019'!$B$1:$B$19)/$G1594</f>
        <v>1.696378947368421</v>
      </c>
      <c r="AA1594" cm="1">
        <f t="array" ref="AA1594">MMULT($G1594:$R1594,'Nelson Factor_2019'!$B$1:$B$12)/$G1594</f>
        <v>1</v>
      </c>
    </row>
    <row r="1595" spans="1:27" x14ac:dyDescent="0.25">
      <c r="A1595">
        <v>2017</v>
      </c>
      <c r="B1595">
        <v>4</v>
      </c>
      <c r="C1595">
        <v>3</v>
      </c>
      <c r="D1595" t="s">
        <v>276</v>
      </c>
      <c r="E1595" t="s">
        <v>298</v>
      </c>
      <c r="F1595" t="s">
        <v>135</v>
      </c>
      <c r="G1595">
        <v>33250</v>
      </c>
      <c r="H1595">
        <v>19000</v>
      </c>
      <c r="I1595">
        <v>0</v>
      </c>
      <c r="J1595">
        <v>0</v>
      </c>
      <c r="K1595">
        <v>2700</v>
      </c>
      <c r="L1595">
        <v>900</v>
      </c>
      <c r="M1595">
        <v>21600</v>
      </c>
      <c r="N1595">
        <v>12150</v>
      </c>
      <c r="O1595">
        <v>900</v>
      </c>
      <c r="P1595">
        <v>0</v>
      </c>
      <c r="Q1595">
        <v>0</v>
      </c>
      <c r="R1595">
        <v>1350</v>
      </c>
      <c r="S1595">
        <v>0</v>
      </c>
      <c r="T1595">
        <v>0</v>
      </c>
      <c r="U1595">
        <v>20</v>
      </c>
      <c r="V1595">
        <v>0</v>
      </c>
      <c r="W1595">
        <v>0</v>
      </c>
      <c r="X1595">
        <v>0</v>
      </c>
      <c r="Y1595">
        <v>9000</v>
      </c>
      <c r="Z1595" cm="1">
        <f t="array" ref="Z1595">MMULT($G1595:$Y1595,'Nelson Factor_2019'!$B$1:$B$19)/$G1595</f>
        <v>9.2750375939849619</v>
      </c>
      <c r="AA1595" cm="1">
        <f t="array" ref="AA1595">MMULT($G1595:$R1595,'Nelson Factor_2019'!$B$1:$B$12)/$G1595</f>
        <v>8.8684210526315788</v>
      </c>
    </row>
    <row r="1596" spans="1:27" x14ac:dyDescent="0.25">
      <c r="A1596">
        <v>2017</v>
      </c>
      <c r="B1596">
        <v>4</v>
      </c>
      <c r="C1596">
        <v>4</v>
      </c>
      <c r="D1596" t="s">
        <v>276</v>
      </c>
      <c r="E1596" t="s">
        <v>336</v>
      </c>
      <c r="F1596" t="s">
        <v>132</v>
      </c>
      <c r="G1596">
        <v>58045</v>
      </c>
      <c r="H1596">
        <v>27550</v>
      </c>
      <c r="I1596">
        <v>13500</v>
      </c>
      <c r="J1596">
        <v>0</v>
      </c>
      <c r="K1596">
        <v>14850</v>
      </c>
      <c r="L1596">
        <v>11250</v>
      </c>
      <c r="M1596">
        <v>0</v>
      </c>
      <c r="N1596">
        <v>55800</v>
      </c>
      <c r="O1596">
        <v>3600</v>
      </c>
      <c r="P1596">
        <v>0</v>
      </c>
      <c r="Q1596">
        <v>0</v>
      </c>
      <c r="R1596">
        <v>1125</v>
      </c>
      <c r="S1596">
        <v>0</v>
      </c>
      <c r="T1596">
        <v>0</v>
      </c>
      <c r="U1596">
        <v>33</v>
      </c>
      <c r="V1596">
        <v>0</v>
      </c>
      <c r="W1596">
        <v>558</v>
      </c>
      <c r="X1596">
        <v>220</v>
      </c>
      <c r="Y1596">
        <v>17820</v>
      </c>
      <c r="Z1596" cm="1">
        <f t="array" ref="Z1596">MMULT($G1596:$Y1596,'Nelson Factor_2019'!$B$1:$B$19)/$G1596</f>
        <v>10.317822379188561</v>
      </c>
      <c r="AA1596" cm="1">
        <f t="array" ref="AA1596">MMULT($G1596:$R1596,'Nelson Factor_2019'!$B$1:$B$12)/$G1596</f>
        <v>8.9471100008614002</v>
      </c>
    </row>
    <row r="1597" spans="1:27" x14ac:dyDescent="0.25">
      <c r="A1597">
        <v>2017</v>
      </c>
      <c r="B1597">
        <v>4</v>
      </c>
      <c r="C1597">
        <v>6</v>
      </c>
      <c r="D1597" t="s">
        <v>276</v>
      </c>
      <c r="E1597" t="s">
        <v>397</v>
      </c>
      <c r="F1597" t="s">
        <v>133</v>
      </c>
      <c r="G1597">
        <v>59755</v>
      </c>
      <c r="H1597">
        <v>27455</v>
      </c>
      <c r="I1597">
        <v>9360</v>
      </c>
      <c r="J1597">
        <v>0</v>
      </c>
      <c r="K1597">
        <v>21294</v>
      </c>
      <c r="L1597">
        <v>11250</v>
      </c>
      <c r="M1597">
        <v>5580</v>
      </c>
      <c r="N1597">
        <v>54810</v>
      </c>
      <c r="O1597">
        <v>4590</v>
      </c>
      <c r="P1597">
        <v>0</v>
      </c>
      <c r="Q1597">
        <v>0</v>
      </c>
      <c r="R1597">
        <v>0</v>
      </c>
      <c r="S1597">
        <v>0</v>
      </c>
      <c r="T1597">
        <v>0</v>
      </c>
      <c r="U1597">
        <v>23</v>
      </c>
      <c r="V1597">
        <v>0</v>
      </c>
      <c r="W1597">
        <v>544</v>
      </c>
      <c r="X1597">
        <v>0</v>
      </c>
      <c r="Y1597">
        <v>13050</v>
      </c>
      <c r="Z1597" cm="1">
        <f t="array" ref="Z1597">MMULT($G1597:$Y1597,'Nelson Factor_2019'!$B$1:$B$19)/$G1597</f>
        <v>9.9878420215881523</v>
      </c>
      <c r="AA1597" cm="1">
        <f t="array" ref="AA1597">MMULT($G1597:$R1597,'Nelson Factor_2019'!$B$1:$B$12)/$G1597</f>
        <v>9.6598694669902105</v>
      </c>
    </row>
    <row r="1598" spans="1:27" x14ac:dyDescent="0.25">
      <c r="A1598">
        <v>2017</v>
      </c>
      <c r="B1598">
        <v>4</v>
      </c>
      <c r="C1598">
        <v>4</v>
      </c>
      <c r="D1598" t="s">
        <v>276</v>
      </c>
      <c r="E1598" t="s">
        <v>317</v>
      </c>
      <c r="F1598" t="s">
        <v>133</v>
      </c>
      <c r="G1598">
        <v>60000</v>
      </c>
      <c r="H1598">
        <v>35000</v>
      </c>
      <c r="I1598">
        <v>20000</v>
      </c>
      <c r="J1598">
        <v>0</v>
      </c>
      <c r="K1598">
        <v>19400</v>
      </c>
      <c r="L1598">
        <v>12200</v>
      </c>
      <c r="M1598">
        <v>0</v>
      </c>
      <c r="N1598">
        <v>73000</v>
      </c>
      <c r="O1598">
        <v>6500</v>
      </c>
      <c r="P1598">
        <v>0</v>
      </c>
      <c r="Q1598">
        <v>0</v>
      </c>
      <c r="R1598">
        <v>3600</v>
      </c>
      <c r="S1598">
        <v>0</v>
      </c>
      <c r="T1598">
        <v>0</v>
      </c>
      <c r="U1598">
        <v>88.2</v>
      </c>
      <c r="V1598">
        <v>0</v>
      </c>
      <c r="W1598">
        <v>900</v>
      </c>
      <c r="X1598">
        <v>200</v>
      </c>
      <c r="Y1598">
        <v>0</v>
      </c>
      <c r="Z1598" cm="1">
        <f t="array" ref="Z1598">MMULT($G1598:$Y1598,'Nelson Factor_2019'!$B$1:$B$19)/$G1598</f>
        <v>12.32147</v>
      </c>
      <c r="AA1598" cm="1">
        <f t="array" ref="AA1598">MMULT($G1598:$R1598,'Nelson Factor_2019'!$B$1:$B$12)/$G1598</f>
        <v>11.52</v>
      </c>
    </row>
    <row r="1599" spans="1:27" x14ac:dyDescent="0.25">
      <c r="A1599">
        <v>2017</v>
      </c>
      <c r="B1599">
        <v>1</v>
      </c>
      <c r="C1599">
        <v>4</v>
      </c>
      <c r="D1599" t="s">
        <v>277</v>
      </c>
      <c r="E1599" t="s">
        <v>245</v>
      </c>
      <c r="F1599" t="s">
        <v>140</v>
      </c>
      <c r="G1599">
        <v>157700</v>
      </c>
      <c r="H1599">
        <v>85500</v>
      </c>
      <c r="I1599">
        <v>24300</v>
      </c>
      <c r="J1599">
        <v>0</v>
      </c>
      <c r="K1599">
        <v>49500</v>
      </c>
      <c r="L1599">
        <v>28800</v>
      </c>
      <c r="M1599">
        <v>0</v>
      </c>
      <c r="N1599">
        <v>129690</v>
      </c>
      <c r="O1599">
        <v>10080</v>
      </c>
      <c r="P1599">
        <v>0</v>
      </c>
      <c r="Q1599">
        <v>0</v>
      </c>
      <c r="R1599">
        <v>0</v>
      </c>
      <c r="S1599">
        <v>10800</v>
      </c>
      <c r="T1599">
        <v>0</v>
      </c>
      <c r="U1599">
        <v>9</v>
      </c>
      <c r="V1599">
        <v>0</v>
      </c>
      <c r="W1599">
        <v>1020</v>
      </c>
      <c r="X1599">
        <v>254</v>
      </c>
      <c r="Y1599">
        <v>18900</v>
      </c>
      <c r="Z1599" cm="1">
        <f t="array" ref="Z1599">MMULT($G1599:$Y1599,'Nelson Factor_2019'!$B$1:$B$19)/$G1599</f>
        <v>13.027545973367152</v>
      </c>
      <c r="AA1599" cm="1">
        <f t="array" ref="AA1599">MMULT($G1599:$R1599,'Nelson Factor_2019'!$B$1:$B$12)/$G1599</f>
        <v>8.352092580849714</v>
      </c>
    </row>
    <row r="1600" spans="1:27" x14ac:dyDescent="0.25">
      <c r="A1600">
        <v>2017</v>
      </c>
      <c r="B1600">
        <v>1</v>
      </c>
      <c r="C1600">
        <v>1</v>
      </c>
      <c r="D1600" t="s">
        <v>277</v>
      </c>
      <c r="E1600" t="s">
        <v>317</v>
      </c>
      <c r="F1600" t="s">
        <v>137</v>
      </c>
      <c r="G1600">
        <v>241000</v>
      </c>
      <c r="H1600">
        <v>71250</v>
      </c>
      <c r="I1600">
        <v>0</v>
      </c>
      <c r="J1600">
        <v>0</v>
      </c>
      <c r="K1600">
        <v>130500</v>
      </c>
      <c r="L1600">
        <v>28800</v>
      </c>
      <c r="M1600">
        <v>0</v>
      </c>
      <c r="N1600">
        <v>190500</v>
      </c>
      <c r="O1600">
        <v>16000</v>
      </c>
      <c r="P1600">
        <v>0</v>
      </c>
      <c r="Q1600">
        <v>0</v>
      </c>
      <c r="R1600">
        <v>4000</v>
      </c>
      <c r="S1600">
        <v>0</v>
      </c>
      <c r="T1600">
        <v>0</v>
      </c>
      <c r="U1600">
        <v>32.200000000000003</v>
      </c>
      <c r="V1600">
        <v>0</v>
      </c>
      <c r="W1600">
        <v>0</v>
      </c>
      <c r="X1600">
        <v>0</v>
      </c>
      <c r="Y1600">
        <v>18000</v>
      </c>
      <c r="Z1600" cm="1">
        <f t="array" ref="Z1600">MMULT($G1600:$Y1600,'Nelson Factor_2019'!$B$1:$B$19)/$G1600</f>
        <v>8.032809958506224</v>
      </c>
      <c r="AA1600" cm="1">
        <f t="array" ref="AA1600">MMULT($G1600:$R1600,'Nelson Factor_2019'!$B$1:$B$12)/$G1600</f>
        <v>7.9206431535269708</v>
      </c>
    </row>
    <row r="1601" spans="1:27" x14ac:dyDescent="0.25">
      <c r="A1601">
        <v>2017</v>
      </c>
      <c r="B1601">
        <v>3</v>
      </c>
      <c r="C1601">
        <v>1</v>
      </c>
      <c r="D1601" t="s">
        <v>278</v>
      </c>
      <c r="E1601" t="s">
        <v>251</v>
      </c>
      <c r="F1601" t="s">
        <v>146</v>
      </c>
      <c r="G1601">
        <v>109250</v>
      </c>
      <c r="H1601">
        <v>28120</v>
      </c>
      <c r="I1601">
        <v>0</v>
      </c>
      <c r="J1601">
        <v>0</v>
      </c>
      <c r="K1601">
        <v>24300</v>
      </c>
      <c r="L1601">
        <v>21600</v>
      </c>
      <c r="M1601">
        <v>0</v>
      </c>
      <c r="N1601">
        <v>126000</v>
      </c>
      <c r="O1601">
        <v>8190</v>
      </c>
      <c r="P1601">
        <v>0</v>
      </c>
      <c r="Q1601">
        <v>0</v>
      </c>
      <c r="R1601">
        <v>0</v>
      </c>
      <c r="S1601">
        <v>0</v>
      </c>
      <c r="T1601">
        <v>0</v>
      </c>
      <c r="U1601">
        <v>38</v>
      </c>
      <c r="V1601">
        <v>0</v>
      </c>
      <c r="W1601">
        <v>0</v>
      </c>
      <c r="X1601">
        <v>181</v>
      </c>
      <c r="Y1601">
        <v>6300</v>
      </c>
      <c r="Z1601" cm="1">
        <f t="array" ref="Z1601">MMULT($G1601:$Y1601,'Nelson Factor_2019'!$B$1:$B$19)/$G1601</f>
        <v>7.7751395881006866</v>
      </c>
      <c r="AA1601" cm="1">
        <f t="array" ref="AA1601">MMULT($G1601:$R1601,'Nelson Factor_2019'!$B$1:$B$12)/$G1601</f>
        <v>7.2906727688787187</v>
      </c>
    </row>
    <row r="1602" spans="1:27" x14ac:dyDescent="0.25">
      <c r="A1602">
        <v>2017</v>
      </c>
      <c r="B1602">
        <v>3</v>
      </c>
      <c r="C1602">
        <v>1</v>
      </c>
      <c r="D1602" t="s">
        <v>278</v>
      </c>
      <c r="E1602" t="s">
        <v>197</v>
      </c>
      <c r="F1602" t="s">
        <v>144</v>
      </c>
      <c r="G1602">
        <v>24700</v>
      </c>
      <c r="H1602">
        <v>0</v>
      </c>
      <c r="I1602">
        <v>0</v>
      </c>
      <c r="J1602">
        <v>0</v>
      </c>
      <c r="K1602">
        <v>10350</v>
      </c>
      <c r="L1602">
        <v>6570</v>
      </c>
      <c r="M1602">
        <v>0</v>
      </c>
      <c r="N1602">
        <v>10890</v>
      </c>
      <c r="O1602">
        <v>1620</v>
      </c>
      <c r="P1602">
        <v>0</v>
      </c>
      <c r="Q1602">
        <v>0</v>
      </c>
      <c r="R1602">
        <v>0</v>
      </c>
      <c r="S1602">
        <v>0</v>
      </c>
      <c r="T1602">
        <v>0</v>
      </c>
      <c r="U1602">
        <v>0</v>
      </c>
      <c r="V1602">
        <v>0</v>
      </c>
      <c r="W1602">
        <v>0</v>
      </c>
      <c r="X1602">
        <v>2</v>
      </c>
      <c r="Y1602">
        <v>0</v>
      </c>
      <c r="Z1602" cm="1">
        <f t="array" ref="Z1602">MMULT($G1602:$Y1602,'Nelson Factor_2019'!$B$1:$B$19)/$G1602</f>
        <v>6.6216599190283398</v>
      </c>
      <c r="AA1602" cm="1">
        <f t="array" ref="AA1602">MMULT($G1602:$R1602,'Nelson Factor_2019'!$B$1:$B$12)/$G1602</f>
        <v>6.6022267206477734</v>
      </c>
    </row>
    <row r="1603" spans="1:27" x14ac:dyDescent="0.25">
      <c r="A1603">
        <v>2017</v>
      </c>
      <c r="B1603">
        <v>2</v>
      </c>
      <c r="C1603">
        <v>0</v>
      </c>
      <c r="D1603" t="s">
        <v>279</v>
      </c>
      <c r="E1603" t="s">
        <v>358</v>
      </c>
      <c r="F1603" t="s">
        <v>303</v>
      </c>
      <c r="G1603">
        <v>19000</v>
      </c>
      <c r="H1603">
        <v>0</v>
      </c>
      <c r="I1603">
        <v>0</v>
      </c>
      <c r="J1603">
        <v>0</v>
      </c>
      <c r="K1603">
        <v>0</v>
      </c>
      <c r="L1603">
        <v>0</v>
      </c>
      <c r="M1603">
        <v>0</v>
      </c>
      <c r="N1603">
        <v>7200</v>
      </c>
      <c r="O1603">
        <v>0</v>
      </c>
      <c r="P1603">
        <v>0</v>
      </c>
      <c r="Q1603">
        <v>0</v>
      </c>
      <c r="R1603">
        <v>0</v>
      </c>
      <c r="S1603">
        <v>0</v>
      </c>
      <c r="T1603">
        <v>0</v>
      </c>
      <c r="U1603">
        <v>2</v>
      </c>
      <c r="V1603">
        <v>0</v>
      </c>
      <c r="W1603">
        <v>0</v>
      </c>
      <c r="X1603">
        <v>2</v>
      </c>
      <c r="Y1603">
        <v>0</v>
      </c>
      <c r="Z1603" cm="1">
        <f t="array" ref="Z1603">MMULT($G1603:$Y1603,'Nelson Factor_2019'!$B$1:$B$19)/$G1603</f>
        <v>1.9727368421052631</v>
      </c>
      <c r="AA1603" cm="1">
        <f t="array" ref="AA1603">MMULT($G1603:$R1603,'Nelson Factor_2019'!$B$1:$B$12)/$G1603</f>
        <v>1.9473684210526316</v>
      </c>
    </row>
    <row r="1604" spans="1:27" x14ac:dyDescent="0.25">
      <c r="A1604">
        <v>2017</v>
      </c>
      <c r="B1604">
        <v>2</v>
      </c>
      <c r="C1604">
        <v>1</v>
      </c>
      <c r="D1604" t="s">
        <v>279</v>
      </c>
      <c r="E1604" t="s">
        <v>239</v>
      </c>
      <c r="F1604" t="s">
        <v>149</v>
      </c>
      <c r="G1604">
        <v>70870</v>
      </c>
      <c r="H1604">
        <v>0</v>
      </c>
      <c r="I1604">
        <v>0</v>
      </c>
      <c r="J1604">
        <v>0</v>
      </c>
      <c r="K1604">
        <v>27540</v>
      </c>
      <c r="L1604">
        <v>11250</v>
      </c>
      <c r="M1604">
        <v>0</v>
      </c>
      <c r="N1604">
        <v>38970</v>
      </c>
      <c r="O1604">
        <v>4347</v>
      </c>
      <c r="P1604">
        <v>0</v>
      </c>
      <c r="Q1604">
        <v>0</v>
      </c>
      <c r="R1604">
        <v>0</v>
      </c>
      <c r="S1604">
        <v>0</v>
      </c>
      <c r="T1604">
        <v>0</v>
      </c>
      <c r="U1604">
        <v>0</v>
      </c>
      <c r="V1604">
        <v>0</v>
      </c>
      <c r="W1604">
        <v>0</v>
      </c>
      <c r="X1604">
        <v>15</v>
      </c>
      <c r="Y1604">
        <v>0</v>
      </c>
      <c r="Z1604" cm="1">
        <f t="array" ref="Z1604">MMULT($G1604:$Y1604,'Nelson Factor_2019'!$B$1:$B$19)/$G1604</f>
        <v>6.164173839424298</v>
      </c>
      <c r="AA1604" cm="1">
        <f t="array" ref="AA1604">MMULT($G1604:$R1604,'Nelson Factor_2019'!$B$1:$B$12)/$G1604</f>
        <v>6.1133766050515028</v>
      </c>
    </row>
    <row r="1605" spans="1:27" x14ac:dyDescent="0.25">
      <c r="A1605">
        <v>2017</v>
      </c>
      <c r="B1605">
        <v>2</v>
      </c>
      <c r="C1605">
        <v>6</v>
      </c>
      <c r="D1605" t="s">
        <v>280</v>
      </c>
      <c r="E1605" t="s">
        <v>359</v>
      </c>
      <c r="F1605" t="s">
        <v>151</v>
      </c>
      <c r="G1605">
        <v>152000</v>
      </c>
      <c r="H1605">
        <v>67925</v>
      </c>
      <c r="I1605">
        <v>31500</v>
      </c>
      <c r="J1605">
        <v>0</v>
      </c>
      <c r="K1605">
        <v>49500</v>
      </c>
      <c r="L1605">
        <v>37800</v>
      </c>
      <c r="M1605">
        <v>27900</v>
      </c>
      <c r="N1605">
        <v>101700</v>
      </c>
      <c r="O1605">
        <v>10350</v>
      </c>
      <c r="P1605">
        <v>0</v>
      </c>
      <c r="Q1605">
        <v>0</v>
      </c>
      <c r="R1605">
        <v>0</v>
      </c>
      <c r="S1605">
        <v>0</v>
      </c>
      <c r="T1605">
        <v>0</v>
      </c>
      <c r="U1605">
        <v>0</v>
      </c>
      <c r="V1605">
        <v>0</v>
      </c>
      <c r="W1605">
        <v>2006</v>
      </c>
      <c r="X1605">
        <v>351</v>
      </c>
      <c r="Y1605">
        <v>8100</v>
      </c>
      <c r="Z1605" cm="1">
        <f t="array" ref="Z1605">MMULT($G1605:$Y1605,'Nelson Factor_2019'!$B$1:$B$19)/$G1605</f>
        <v>10.78876644736842</v>
      </c>
      <c r="AA1605" cm="1">
        <f t="array" ref="AA1605">MMULT($G1605:$R1605,'Nelson Factor_2019'!$B$1:$B$12)/$G1605</f>
        <v>10.154621710526316</v>
      </c>
    </row>
    <row r="1606" spans="1:27" x14ac:dyDescent="0.25">
      <c r="A1606">
        <v>2017</v>
      </c>
      <c r="B1606">
        <v>2</v>
      </c>
      <c r="C1606">
        <v>6</v>
      </c>
      <c r="D1606" t="s">
        <v>280</v>
      </c>
      <c r="E1606" t="s">
        <v>407</v>
      </c>
      <c r="F1606" t="s">
        <v>154</v>
      </c>
      <c r="G1606">
        <v>161500</v>
      </c>
      <c r="H1606">
        <v>50350</v>
      </c>
      <c r="I1606">
        <v>20700</v>
      </c>
      <c r="J1606">
        <v>0</v>
      </c>
      <c r="K1606">
        <v>40770</v>
      </c>
      <c r="L1606">
        <v>49500</v>
      </c>
      <c r="M1606">
        <v>23400</v>
      </c>
      <c r="N1606">
        <v>142200</v>
      </c>
      <c r="O1606">
        <v>0</v>
      </c>
      <c r="P1606">
        <v>0</v>
      </c>
      <c r="Q1606">
        <v>8280</v>
      </c>
      <c r="R1606">
        <v>20880</v>
      </c>
      <c r="S1606">
        <v>0</v>
      </c>
      <c r="T1606">
        <v>0</v>
      </c>
      <c r="U1606">
        <v>0</v>
      </c>
      <c r="V1606">
        <v>0</v>
      </c>
      <c r="W1606">
        <v>571</v>
      </c>
      <c r="X1606">
        <v>100</v>
      </c>
      <c r="Y1606">
        <v>0</v>
      </c>
      <c r="Z1606" cm="1">
        <f t="array" ref="Z1606">MMULT($G1606:$Y1606,'Nelson Factor_2019'!$B$1:$B$19)/$G1606</f>
        <v>10.336006191950464</v>
      </c>
      <c r="AA1606" cm="1">
        <f t="array" ref="AA1606">MMULT($G1606:$R1606,'Nelson Factor_2019'!$B$1:$B$12)/$G1606</f>
        <v>10.187399380804953</v>
      </c>
    </row>
    <row r="1607" spans="1:27" x14ac:dyDescent="0.25">
      <c r="A1607">
        <v>2017</v>
      </c>
      <c r="B1607">
        <v>2</v>
      </c>
      <c r="C1607">
        <v>1</v>
      </c>
      <c r="D1607" t="s">
        <v>280</v>
      </c>
      <c r="E1607" t="s">
        <v>398</v>
      </c>
      <c r="F1607" t="s">
        <v>152</v>
      </c>
      <c r="G1607">
        <v>93000</v>
      </c>
      <c r="H1607">
        <v>33300</v>
      </c>
      <c r="I1607">
        <v>0</v>
      </c>
      <c r="J1607">
        <v>0</v>
      </c>
      <c r="K1607">
        <v>24700</v>
      </c>
      <c r="L1607">
        <v>20400</v>
      </c>
      <c r="M1607">
        <v>0</v>
      </c>
      <c r="N1607">
        <v>91200</v>
      </c>
      <c r="O1607">
        <v>7100</v>
      </c>
      <c r="P1607">
        <v>0</v>
      </c>
      <c r="Q1607">
        <v>0</v>
      </c>
      <c r="R1607">
        <v>0</v>
      </c>
      <c r="S1607">
        <v>0</v>
      </c>
      <c r="T1607">
        <v>0</v>
      </c>
      <c r="U1607">
        <v>0</v>
      </c>
      <c r="V1607">
        <v>0</v>
      </c>
      <c r="W1607">
        <v>0</v>
      </c>
      <c r="X1607">
        <v>89</v>
      </c>
      <c r="Y1607">
        <v>14100</v>
      </c>
      <c r="Z1607" cm="1">
        <f t="array" ref="Z1607">MMULT($G1607:$Y1607,'Nelson Factor_2019'!$B$1:$B$19)/$G1607</f>
        <v>7.827956989247312</v>
      </c>
      <c r="AA1607" cm="1">
        <f t="array" ref="AA1607">MMULT($G1607:$R1607,'Nelson Factor_2019'!$B$1:$B$12)/$G1607</f>
        <v>7.3708602150537637</v>
      </c>
    </row>
    <row r="1608" spans="1:27" x14ac:dyDescent="0.25">
      <c r="A1608">
        <v>2017</v>
      </c>
      <c r="B1608">
        <v>2</v>
      </c>
      <c r="C1608">
        <v>3</v>
      </c>
      <c r="D1608" t="s">
        <v>280</v>
      </c>
      <c r="E1608" t="s">
        <v>245</v>
      </c>
      <c r="F1608" t="s">
        <v>151</v>
      </c>
      <c r="G1608">
        <v>178600</v>
      </c>
      <c r="H1608">
        <v>0</v>
      </c>
      <c r="I1608">
        <v>0</v>
      </c>
      <c r="J1608">
        <v>0</v>
      </c>
      <c r="K1608">
        <v>73800</v>
      </c>
      <c r="L1608">
        <v>46620</v>
      </c>
      <c r="M1608">
        <v>46800</v>
      </c>
      <c r="N1608">
        <v>134910</v>
      </c>
      <c r="O1608">
        <v>8955</v>
      </c>
      <c r="P1608">
        <v>0</v>
      </c>
      <c r="Q1608">
        <v>9720</v>
      </c>
      <c r="R1608">
        <v>7200</v>
      </c>
      <c r="S1608">
        <v>0</v>
      </c>
      <c r="T1608">
        <v>0</v>
      </c>
      <c r="U1608">
        <v>0</v>
      </c>
      <c r="V1608">
        <v>0</v>
      </c>
      <c r="W1608">
        <v>0</v>
      </c>
      <c r="X1608">
        <v>105</v>
      </c>
      <c r="Y1608">
        <v>0</v>
      </c>
      <c r="Z1608" cm="1">
        <f t="array" ref="Z1608">MMULT($G1608:$Y1608,'Nelson Factor_2019'!$B$1:$B$19)/$G1608</f>
        <v>10.621080627099664</v>
      </c>
      <c r="AA1608" cm="1">
        <f t="array" ref="AA1608">MMULT($G1608:$R1608,'Nelson Factor_2019'!$B$1:$B$12)/$G1608</f>
        <v>10.479983202687571</v>
      </c>
    </row>
    <row r="1609" spans="1:27" x14ac:dyDescent="0.25">
      <c r="A1609">
        <v>2017</v>
      </c>
      <c r="B1609">
        <v>2</v>
      </c>
      <c r="C1609">
        <v>3</v>
      </c>
      <c r="D1609" t="s">
        <v>282</v>
      </c>
      <c r="E1609" t="s">
        <v>400</v>
      </c>
      <c r="F1609" t="s">
        <v>158</v>
      </c>
      <c r="G1609">
        <v>71250</v>
      </c>
      <c r="H1609">
        <v>38285</v>
      </c>
      <c r="I1609">
        <v>0</v>
      </c>
      <c r="J1609">
        <v>0</v>
      </c>
      <c r="K1609">
        <v>19980</v>
      </c>
      <c r="L1609">
        <v>16200</v>
      </c>
      <c r="M1609">
        <v>16380</v>
      </c>
      <c r="N1609">
        <v>61110</v>
      </c>
      <c r="O1609">
        <v>4950</v>
      </c>
      <c r="P1609">
        <v>0</v>
      </c>
      <c r="Q1609">
        <v>18900</v>
      </c>
      <c r="R1609">
        <v>0</v>
      </c>
      <c r="S1609">
        <v>0</v>
      </c>
      <c r="T1609">
        <v>0</v>
      </c>
      <c r="U1609">
        <v>10</v>
      </c>
      <c r="V1609">
        <v>0</v>
      </c>
      <c r="W1609">
        <v>0</v>
      </c>
      <c r="X1609">
        <v>50</v>
      </c>
      <c r="Y1609">
        <v>6300</v>
      </c>
      <c r="Z1609" cm="1">
        <f t="array" ref="Z1609">MMULT($G1609:$Y1609,'Nelson Factor_2019'!$B$1:$B$19)/$G1609</f>
        <v>14.802463157894737</v>
      </c>
      <c r="AA1609" cm="1">
        <f t="array" ref="AA1609">MMULT($G1609:$R1609,'Nelson Factor_2019'!$B$1:$B$12)/$G1609</f>
        <v>14.501270175438597</v>
      </c>
    </row>
    <row r="1610" spans="1:27" x14ac:dyDescent="0.25">
      <c r="A1610">
        <v>2017</v>
      </c>
      <c r="B1610">
        <v>2</v>
      </c>
      <c r="C1610">
        <v>4</v>
      </c>
      <c r="D1610" t="s">
        <v>282</v>
      </c>
      <c r="E1610" t="s">
        <v>251</v>
      </c>
      <c r="F1610" t="s">
        <v>160</v>
      </c>
      <c r="G1610">
        <v>157225</v>
      </c>
      <c r="H1610">
        <v>56050</v>
      </c>
      <c r="I1610">
        <v>9900</v>
      </c>
      <c r="J1610">
        <v>0</v>
      </c>
      <c r="K1610">
        <v>24300</v>
      </c>
      <c r="L1610">
        <v>20700</v>
      </c>
      <c r="M1610">
        <v>0</v>
      </c>
      <c r="N1610">
        <v>131040</v>
      </c>
      <c r="O1610">
        <v>4950</v>
      </c>
      <c r="P1610">
        <v>0</v>
      </c>
      <c r="Q1610">
        <v>0</v>
      </c>
      <c r="R1610">
        <v>12510</v>
      </c>
      <c r="S1610">
        <v>9000</v>
      </c>
      <c r="T1610">
        <v>0</v>
      </c>
      <c r="U1610">
        <v>0</v>
      </c>
      <c r="V1610">
        <v>0</v>
      </c>
      <c r="W1610">
        <v>374</v>
      </c>
      <c r="X1610">
        <v>68</v>
      </c>
      <c r="Y1610">
        <v>19530</v>
      </c>
      <c r="Z1610" cm="1">
        <f t="array" ref="Z1610">MMULT($G1610:$Y1610,'Nelson Factor_2019'!$B$1:$B$19)/$G1610</f>
        <v>9.8831928764509467</v>
      </c>
      <c r="AA1610" cm="1">
        <f t="array" ref="AA1610">MMULT($G1610:$R1610,'Nelson Factor_2019'!$B$1:$B$12)/$G1610</f>
        <v>6.1584989664493559</v>
      </c>
    </row>
    <row r="1611" spans="1:27" x14ac:dyDescent="0.25">
      <c r="A1611">
        <v>2017</v>
      </c>
      <c r="B1611">
        <v>2</v>
      </c>
      <c r="C1611">
        <v>4</v>
      </c>
      <c r="D1611" t="s">
        <v>282</v>
      </c>
      <c r="E1611" t="s">
        <v>362</v>
      </c>
      <c r="F1611" t="s">
        <v>156</v>
      </c>
      <c r="G1611">
        <v>203000</v>
      </c>
      <c r="H1611">
        <v>80000</v>
      </c>
      <c r="I1611">
        <v>23100</v>
      </c>
      <c r="J1611">
        <v>0</v>
      </c>
      <c r="K1611">
        <v>59300</v>
      </c>
      <c r="L1611">
        <v>44000</v>
      </c>
      <c r="M1611">
        <v>0</v>
      </c>
      <c r="N1611">
        <v>188550</v>
      </c>
      <c r="O1611">
        <v>13000</v>
      </c>
      <c r="P1611">
        <v>0</v>
      </c>
      <c r="Q1611">
        <v>0</v>
      </c>
      <c r="R1611">
        <v>23400</v>
      </c>
      <c r="S1611">
        <v>0</v>
      </c>
      <c r="T1611">
        <v>0</v>
      </c>
      <c r="U1611">
        <v>46.8</v>
      </c>
      <c r="V1611">
        <v>0</v>
      </c>
      <c r="W1611">
        <v>1150</v>
      </c>
      <c r="X1611">
        <v>200</v>
      </c>
      <c r="Y1611">
        <v>0</v>
      </c>
      <c r="Z1611" cm="1">
        <f t="array" ref="Z1611">MMULT($G1611:$Y1611,'Nelson Factor_2019'!$B$1:$B$19)/$G1611</f>
        <v>8.7471517241379306</v>
      </c>
      <c r="AA1611" cm="1">
        <f t="array" ref="AA1611">MMULT($G1611:$R1611,'Nelson Factor_2019'!$B$1:$B$12)/$G1611</f>
        <v>8.5104679802955658</v>
      </c>
    </row>
    <row r="1612" spans="1:27" x14ac:dyDescent="0.25">
      <c r="A1612">
        <v>2017</v>
      </c>
      <c r="B1612">
        <v>2</v>
      </c>
      <c r="C1612">
        <v>3</v>
      </c>
      <c r="D1612" t="s">
        <v>282</v>
      </c>
      <c r="E1612" t="s">
        <v>66</v>
      </c>
      <c r="F1612" t="s">
        <v>161</v>
      </c>
      <c r="G1612">
        <v>83600</v>
      </c>
      <c r="H1612">
        <v>30400</v>
      </c>
      <c r="I1612">
        <v>0</v>
      </c>
      <c r="J1612">
        <v>0</v>
      </c>
      <c r="K1612">
        <v>27000</v>
      </c>
      <c r="L1612">
        <v>18450</v>
      </c>
      <c r="M1612">
        <v>12600</v>
      </c>
      <c r="N1612">
        <v>84105</v>
      </c>
      <c r="O1612">
        <v>6311</v>
      </c>
      <c r="P1612">
        <v>0</v>
      </c>
      <c r="Q1612">
        <v>0</v>
      </c>
      <c r="R1612">
        <v>0</v>
      </c>
      <c r="S1612">
        <v>0</v>
      </c>
      <c r="T1612">
        <v>0</v>
      </c>
      <c r="U1612">
        <v>27</v>
      </c>
      <c r="V1612">
        <v>0</v>
      </c>
      <c r="W1612">
        <v>0</v>
      </c>
      <c r="X1612">
        <v>226</v>
      </c>
      <c r="Y1612">
        <v>13243</v>
      </c>
      <c r="Z1612" cm="1">
        <f t="array" ref="Z1612">MMULT($G1612:$Y1612,'Nelson Factor_2019'!$B$1:$B$19)/$G1612</f>
        <v>9.8764832535885159</v>
      </c>
      <c r="AA1612" cm="1">
        <f t="array" ref="AA1612">MMULT($G1612:$R1612,'Nelson Factor_2019'!$B$1:$B$12)/$G1612</f>
        <v>8.9897428229665071</v>
      </c>
    </row>
    <row r="1613" spans="1:27" x14ac:dyDescent="0.25">
      <c r="A1613">
        <v>2017</v>
      </c>
      <c r="B1613">
        <v>1</v>
      </c>
      <c r="C1613">
        <v>0</v>
      </c>
      <c r="D1613" t="s">
        <v>284</v>
      </c>
      <c r="E1613" t="s">
        <v>365</v>
      </c>
      <c r="F1613" t="s">
        <v>164</v>
      </c>
      <c r="G1613">
        <v>11210</v>
      </c>
      <c r="H1613">
        <v>0</v>
      </c>
      <c r="I1613">
        <v>0</v>
      </c>
      <c r="J1613">
        <v>0</v>
      </c>
      <c r="K1613">
        <v>0</v>
      </c>
      <c r="L1613">
        <v>1980</v>
      </c>
      <c r="M1613">
        <v>0</v>
      </c>
      <c r="N1613">
        <v>3240</v>
      </c>
      <c r="O1613">
        <v>0</v>
      </c>
      <c r="P1613">
        <v>0</v>
      </c>
      <c r="Q1613">
        <v>0</v>
      </c>
      <c r="R1613">
        <v>0</v>
      </c>
      <c r="S1613">
        <v>2651</v>
      </c>
      <c r="T1613">
        <v>0</v>
      </c>
      <c r="U1613">
        <v>0</v>
      </c>
      <c r="V1613">
        <v>0</v>
      </c>
      <c r="W1613">
        <v>0</v>
      </c>
      <c r="X1613">
        <v>0</v>
      </c>
      <c r="Y1613">
        <v>59</v>
      </c>
      <c r="Z1613" cm="1">
        <f t="array" ref="Z1613">MMULT($G1613:$Y1613,'Nelson Factor_2019'!$B$1:$B$19)/$G1613</f>
        <v>16.802720785013381</v>
      </c>
      <c r="AA1613" cm="1">
        <f t="array" ref="AA1613">MMULT($G1613:$R1613,'Nelson Factor_2019'!$B$1:$B$12)/$G1613</f>
        <v>2.6057091882247994</v>
      </c>
    </row>
    <row r="1614" spans="1:27" x14ac:dyDescent="0.25">
      <c r="A1614">
        <v>2017</v>
      </c>
      <c r="B1614">
        <v>1</v>
      </c>
      <c r="C1614">
        <v>3</v>
      </c>
      <c r="D1614" t="s">
        <v>284</v>
      </c>
      <c r="E1614" t="s">
        <v>408</v>
      </c>
      <c r="F1614" t="s">
        <v>165</v>
      </c>
      <c r="G1614">
        <v>197600</v>
      </c>
      <c r="H1614">
        <v>69350</v>
      </c>
      <c r="I1614">
        <v>0</v>
      </c>
      <c r="J1614">
        <v>0</v>
      </c>
      <c r="K1614">
        <v>47700</v>
      </c>
      <c r="L1614">
        <v>45000</v>
      </c>
      <c r="M1614">
        <v>20700</v>
      </c>
      <c r="N1614">
        <v>153360</v>
      </c>
      <c r="O1614">
        <v>10800</v>
      </c>
      <c r="P1614">
        <v>0</v>
      </c>
      <c r="Q1614">
        <v>0</v>
      </c>
      <c r="R1614">
        <v>0</v>
      </c>
      <c r="S1614">
        <v>0</v>
      </c>
      <c r="T1614">
        <v>0</v>
      </c>
      <c r="U1614">
        <v>0</v>
      </c>
      <c r="V1614">
        <v>0</v>
      </c>
      <c r="W1614">
        <v>0</v>
      </c>
      <c r="X1614">
        <v>82</v>
      </c>
      <c r="Y1614">
        <v>0</v>
      </c>
      <c r="Z1614" cm="1">
        <f t="array" ref="Z1614">MMULT($G1614:$Y1614,'Nelson Factor_2019'!$B$1:$B$19)/$G1614</f>
        <v>7.4677884615384613</v>
      </c>
      <c r="AA1614" cm="1">
        <f t="array" ref="AA1614">MMULT($G1614:$R1614,'Nelson Factor_2019'!$B$1:$B$12)/$G1614</f>
        <v>7.3681933198380563</v>
      </c>
    </row>
    <row r="1615" spans="1:27" x14ac:dyDescent="0.25">
      <c r="A1615">
        <v>2017</v>
      </c>
      <c r="B1615">
        <v>1</v>
      </c>
      <c r="C1615">
        <v>1</v>
      </c>
      <c r="D1615" t="s">
        <v>284</v>
      </c>
      <c r="E1615" t="s">
        <v>409</v>
      </c>
      <c r="F1615" t="s">
        <v>169</v>
      </c>
      <c r="G1615">
        <v>66500</v>
      </c>
      <c r="H1615">
        <v>38000</v>
      </c>
      <c r="I1615">
        <v>0</v>
      </c>
      <c r="J1615">
        <v>0</v>
      </c>
      <c r="K1615">
        <v>23400</v>
      </c>
      <c r="L1615">
        <v>12600</v>
      </c>
      <c r="M1615">
        <v>0</v>
      </c>
      <c r="N1615">
        <v>45900</v>
      </c>
      <c r="O1615">
        <v>4050</v>
      </c>
      <c r="P1615">
        <v>0</v>
      </c>
      <c r="Q1615">
        <v>0</v>
      </c>
      <c r="R1615">
        <v>7650</v>
      </c>
      <c r="S1615">
        <v>0</v>
      </c>
      <c r="T1615">
        <v>0</v>
      </c>
      <c r="U1615">
        <v>0</v>
      </c>
      <c r="V1615">
        <v>0</v>
      </c>
      <c r="W1615">
        <v>0</v>
      </c>
      <c r="X1615">
        <v>61</v>
      </c>
      <c r="Y1615">
        <v>19800</v>
      </c>
      <c r="Z1615" cm="1">
        <f t="array" ref="Z1615">MMULT($G1615:$Y1615,'Nelson Factor_2019'!$B$1:$B$19)/$G1615</f>
        <v>8.1479699248120294</v>
      </c>
      <c r="AA1615" cm="1">
        <f t="array" ref="AA1615">MMULT($G1615:$R1615,'Nelson Factor_2019'!$B$1:$B$12)/$G1615</f>
        <v>7.481203007518797</v>
      </c>
    </row>
    <row r="1616" spans="1:27" x14ac:dyDescent="0.25">
      <c r="A1616">
        <v>2017</v>
      </c>
      <c r="B1616">
        <v>1</v>
      </c>
      <c r="C1616">
        <v>1</v>
      </c>
      <c r="D1616" t="s">
        <v>284</v>
      </c>
      <c r="E1616" t="s">
        <v>410</v>
      </c>
      <c r="F1616" t="s">
        <v>167</v>
      </c>
      <c r="G1616">
        <v>337250</v>
      </c>
      <c r="H1616">
        <v>155040</v>
      </c>
      <c r="I1616">
        <v>0</v>
      </c>
      <c r="J1616">
        <v>0</v>
      </c>
      <c r="K1616">
        <v>124650</v>
      </c>
      <c r="L1616">
        <v>77400</v>
      </c>
      <c r="M1616">
        <v>0</v>
      </c>
      <c r="N1616">
        <v>225900</v>
      </c>
      <c r="O1616">
        <v>23400</v>
      </c>
      <c r="P1616">
        <v>0</v>
      </c>
      <c r="Q1616">
        <v>4428</v>
      </c>
      <c r="R1616">
        <v>7200</v>
      </c>
      <c r="S1616">
        <v>0</v>
      </c>
      <c r="T1616">
        <v>0</v>
      </c>
      <c r="U1616">
        <v>0</v>
      </c>
      <c r="V1616">
        <v>0</v>
      </c>
      <c r="W1616">
        <v>0</v>
      </c>
      <c r="X1616">
        <v>113</v>
      </c>
      <c r="Y1616">
        <v>0</v>
      </c>
      <c r="Z1616" cm="1">
        <f t="array" ref="Z1616">MMULT($G1616:$Y1616,'Nelson Factor_2019'!$B$1:$B$19)/$G1616</f>
        <v>7.7382713120830244</v>
      </c>
      <c r="AA1616" cm="1">
        <f t="array" ref="AA1616">MMULT($G1616:$R1616,'Nelson Factor_2019'!$B$1:$B$12)/$G1616</f>
        <v>7.6578561897702002</v>
      </c>
    </row>
    <row r="1617" spans="1:27" x14ac:dyDescent="0.25">
      <c r="A1617">
        <v>2017</v>
      </c>
      <c r="B1617">
        <v>2</v>
      </c>
      <c r="C1617">
        <v>3</v>
      </c>
      <c r="D1617" t="s">
        <v>286</v>
      </c>
      <c r="E1617" t="s">
        <v>66</v>
      </c>
      <c r="F1617" t="s">
        <v>172</v>
      </c>
      <c r="G1617">
        <v>185250</v>
      </c>
      <c r="H1617">
        <v>0</v>
      </c>
      <c r="I1617">
        <v>0</v>
      </c>
      <c r="J1617">
        <v>0</v>
      </c>
      <c r="K1617">
        <v>63000</v>
      </c>
      <c r="L1617">
        <v>32400</v>
      </c>
      <c r="M1617">
        <v>23850</v>
      </c>
      <c r="N1617">
        <v>116100</v>
      </c>
      <c r="O1617">
        <v>11430</v>
      </c>
      <c r="P1617">
        <v>0</v>
      </c>
      <c r="Q1617">
        <v>26100</v>
      </c>
      <c r="R1617">
        <v>0</v>
      </c>
      <c r="S1617">
        <v>0</v>
      </c>
      <c r="T1617">
        <v>0</v>
      </c>
      <c r="U1617">
        <v>30</v>
      </c>
      <c r="V1617">
        <v>0</v>
      </c>
      <c r="W1617">
        <v>0</v>
      </c>
      <c r="X1617">
        <v>105</v>
      </c>
      <c r="Y1617">
        <v>0</v>
      </c>
      <c r="Z1617" cm="1">
        <f t="array" ref="Z1617">MMULT($G1617:$Y1617,'Nelson Factor_2019'!$B$1:$B$19)/$G1617</f>
        <v>10.082753036437246</v>
      </c>
      <c r="AA1617" cm="1">
        <f t="array" ref="AA1617">MMULT($G1617:$R1617,'Nelson Factor_2019'!$B$1:$B$12)/$G1617</f>
        <v>9.9465587044534409</v>
      </c>
    </row>
    <row r="1618" spans="1:27" x14ac:dyDescent="0.25">
      <c r="A1618">
        <v>2017</v>
      </c>
      <c r="B1618">
        <v>3</v>
      </c>
      <c r="C1618">
        <v>1</v>
      </c>
      <c r="D1618" t="s">
        <v>287</v>
      </c>
      <c r="E1618" t="s">
        <v>393</v>
      </c>
      <c r="F1618" t="s">
        <v>177</v>
      </c>
      <c r="G1618">
        <v>70300</v>
      </c>
      <c r="H1618">
        <v>22800</v>
      </c>
      <c r="I1618">
        <v>0</v>
      </c>
      <c r="J1618">
        <v>0</v>
      </c>
      <c r="K1618">
        <v>22500</v>
      </c>
      <c r="L1618">
        <v>18900</v>
      </c>
      <c r="M1618">
        <v>0</v>
      </c>
      <c r="N1618">
        <v>54000</v>
      </c>
      <c r="O1618">
        <v>4500</v>
      </c>
      <c r="P1618">
        <v>0</v>
      </c>
      <c r="Q1618">
        <v>900</v>
      </c>
      <c r="R1618">
        <v>0</v>
      </c>
      <c r="S1618">
        <v>0</v>
      </c>
      <c r="T1618">
        <v>0</v>
      </c>
      <c r="U1618">
        <v>0</v>
      </c>
      <c r="V1618">
        <v>0</v>
      </c>
      <c r="W1618">
        <v>0</v>
      </c>
      <c r="X1618">
        <v>136</v>
      </c>
      <c r="Y1618">
        <v>6840</v>
      </c>
      <c r="Z1618" cm="1">
        <f t="array" ref="Z1618">MMULT($G1618:$Y1618,'Nelson Factor_2019'!$B$1:$B$19)/$G1618</f>
        <v>8.1129445234708388</v>
      </c>
      <c r="AA1618" cm="1">
        <f t="array" ref="AA1618">MMULT($G1618:$R1618,'Nelson Factor_2019'!$B$1:$B$12)/$G1618</f>
        <v>7.5027027027027025</v>
      </c>
    </row>
    <row r="1619" spans="1:27" x14ac:dyDescent="0.25">
      <c r="A1619">
        <v>2017</v>
      </c>
      <c r="B1619">
        <v>3</v>
      </c>
      <c r="C1619">
        <v>0</v>
      </c>
      <c r="D1619" t="s">
        <v>287</v>
      </c>
      <c r="E1619" t="s">
        <v>298</v>
      </c>
      <c r="F1619" t="s">
        <v>175</v>
      </c>
      <c r="G1619">
        <v>19950</v>
      </c>
      <c r="H1619">
        <v>0</v>
      </c>
      <c r="I1619">
        <v>0</v>
      </c>
      <c r="J1619">
        <v>0</v>
      </c>
      <c r="K1619">
        <v>0</v>
      </c>
      <c r="L1619">
        <v>5400</v>
      </c>
      <c r="M1619">
        <v>0</v>
      </c>
      <c r="N1619">
        <v>11700</v>
      </c>
      <c r="O1619">
        <v>0</v>
      </c>
      <c r="P1619">
        <v>0</v>
      </c>
      <c r="Q1619">
        <v>0</v>
      </c>
      <c r="R1619">
        <v>0</v>
      </c>
      <c r="S1619">
        <v>0</v>
      </c>
      <c r="T1619">
        <v>0</v>
      </c>
      <c r="U1619">
        <v>0</v>
      </c>
      <c r="V1619">
        <v>0</v>
      </c>
      <c r="W1619">
        <v>0</v>
      </c>
      <c r="X1619">
        <v>0</v>
      </c>
      <c r="Y1619">
        <v>0</v>
      </c>
      <c r="Z1619" cm="1">
        <f t="array" ref="Z1619">MMULT($G1619:$Y1619,'Nelson Factor_2019'!$B$1:$B$19)/$G1619</f>
        <v>3.8195488721804511</v>
      </c>
      <c r="AA1619" cm="1">
        <f t="array" ref="AA1619">MMULT($G1619:$R1619,'Nelson Factor_2019'!$B$1:$B$12)/$G1619</f>
        <v>3.8195488721804511</v>
      </c>
    </row>
    <row r="1620" spans="1:27" x14ac:dyDescent="0.25">
      <c r="A1620">
        <v>2017</v>
      </c>
      <c r="B1620">
        <v>3</v>
      </c>
      <c r="C1620">
        <v>4</v>
      </c>
      <c r="D1620" t="s">
        <v>287</v>
      </c>
      <c r="E1620" t="s">
        <v>391</v>
      </c>
      <c r="F1620" t="s">
        <v>188</v>
      </c>
      <c r="G1620">
        <v>71250</v>
      </c>
      <c r="H1620">
        <v>26600</v>
      </c>
      <c r="I1620">
        <v>5850</v>
      </c>
      <c r="J1620">
        <v>0</v>
      </c>
      <c r="K1620">
        <v>18225</v>
      </c>
      <c r="L1620">
        <v>15750</v>
      </c>
      <c r="M1620">
        <v>0</v>
      </c>
      <c r="N1620">
        <v>69300</v>
      </c>
      <c r="O1620">
        <v>4230</v>
      </c>
      <c r="P1620">
        <v>0</v>
      </c>
      <c r="Q1620">
        <v>0</v>
      </c>
      <c r="R1620">
        <v>0</v>
      </c>
      <c r="S1620">
        <v>0</v>
      </c>
      <c r="T1620">
        <v>0</v>
      </c>
      <c r="U1620">
        <v>0</v>
      </c>
      <c r="V1620">
        <v>0</v>
      </c>
      <c r="W1620">
        <v>204</v>
      </c>
      <c r="X1620">
        <v>35</v>
      </c>
      <c r="Y1620">
        <v>0</v>
      </c>
      <c r="Z1620" cm="1">
        <f t="array" ref="Z1620">MMULT($G1620:$Y1620,'Nelson Factor_2019'!$B$1:$B$19)/$G1620</f>
        <v>7.8842807017543857</v>
      </c>
      <c r="AA1620" cm="1">
        <f t="array" ref="AA1620">MMULT($G1620:$R1620,'Nelson Factor_2019'!$B$1:$B$12)/$G1620</f>
        <v>7.7663859649122804</v>
      </c>
    </row>
    <row r="1621" spans="1:27" x14ac:dyDescent="0.25">
      <c r="A1621">
        <v>2017</v>
      </c>
      <c r="B1621">
        <v>3</v>
      </c>
      <c r="C1621">
        <v>6</v>
      </c>
      <c r="D1621" t="s">
        <v>287</v>
      </c>
      <c r="E1621" t="s">
        <v>397</v>
      </c>
      <c r="F1621" t="s">
        <v>185</v>
      </c>
      <c r="G1621">
        <v>554800</v>
      </c>
      <c r="H1621">
        <v>282150</v>
      </c>
      <c r="I1621">
        <v>86400</v>
      </c>
      <c r="J1621">
        <v>0</v>
      </c>
      <c r="K1621">
        <v>200700</v>
      </c>
      <c r="L1621">
        <v>111150</v>
      </c>
      <c r="M1621">
        <v>26910</v>
      </c>
      <c r="N1621">
        <v>714600</v>
      </c>
      <c r="O1621">
        <v>33300</v>
      </c>
      <c r="P1621">
        <v>0</v>
      </c>
      <c r="Q1621">
        <v>0</v>
      </c>
      <c r="R1621">
        <v>0</v>
      </c>
      <c r="S1621">
        <v>25200</v>
      </c>
      <c r="T1621">
        <v>0</v>
      </c>
      <c r="U1621">
        <v>0</v>
      </c>
      <c r="V1621">
        <v>0</v>
      </c>
      <c r="W1621">
        <v>3094</v>
      </c>
      <c r="X1621">
        <v>1658</v>
      </c>
      <c r="Y1621">
        <v>0</v>
      </c>
      <c r="Z1621" cm="1">
        <f t="array" ref="Z1621">MMULT($G1621:$Y1621,'Nelson Factor_2019'!$B$1:$B$19)/$G1621</f>
        <v>13.652208002883922</v>
      </c>
      <c r="AA1621" cm="1">
        <f t="array" ref="AA1621">MMULT($G1621:$R1621,'Nelson Factor_2019'!$B$1:$B$12)/$G1621</f>
        <v>10.209670151405913</v>
      </c>
    </row>
    <row r="1622" spans="1:27" x14ac:dyDescent="0.25">
      <c r="A1622">
        <v>2017</v>
      </c>
      <c r="B1622">
        <v>3</v>
      </c>
      <c r="C1622">
        <v>6</v>
      </c>
      <c r="D1622" t="s">
        <v>287</v>
      </c>
      <c r="E1622" t="s">
        <v>397</v>
      </c>
      <c r="F1622" t="s">
        <v>186</v>
      </c>
      <c r="G1622">
        <v>341240</v>
      </c>
      <c r="H1622">
        <v>141360</v>
      </c>
      <c r="I1622">
        <v>43200</v>
      </c>
      <c r="J1622">
        <v>0</v>
      </c>
      <c r="K1622">
        <v>105930</v>
      </c>
      <c r="L1622">
        <v>131400</v>
      </c>
      <c r="M1622">
        <v>58950</v>
      </c>
      <c r="N1622">
        <v>271260</v>
      </c>
      <c r="O1622">
        <v>13410</v>
      </c>
      <c r="P1622">
        <v>0</v>
      </c>
      <c r="Q1622">
        <v>0</v>
      </c>
      <c r="R1622">
        <v>33300</v>
      </c>
      <c r="S1622">
        <v>9000</v>
      </c>
      <c r="T1622">
        <v>0</v>
      </c>
      <c r="U1622">
        <v>0</v>
      </c>
      <c r="V1622">
        <v>0</v>
      </c>
      <c r="W1622">
        <v>2045</v>
      </c>
      <c r="X1622">
        <v>535</v>
      </c>
      <c r="Y1622">
        <v>0</v>
      </c>
      <c r="Z1622" cm="1">
        <f t="array" ref="Z1622">MMULT($G1622:$Y1622,'Nelson Factor_2019'!$B$1:$B$19)/$G1622</f>
        <v>12.289702262337357</v>
      </c>
      <c r="AA1622" cm="1">
        <f t="array" ref="AA1622">MMULT($G1622:$R1622,'Nelson Factor_2019'!$B$1:$B$12)/$G1622</f>
        <v>10.330963544719259</v>
      </c>
    </row>
    <row r="1623" spans="1:27" x14ac:dyDescent="0.25">
      <c r="A1623">
        <v>2017</v>
      </c>
      <c r="B1623">
        <v>3</v>
      </c>
      <c r="C1623">
        <v>3</v>
      </c>
      <c r="D1623" t="s">
        <v>287</v>
      </c>
      <c r="E1623" t="s">
        <v>404</v>
      </c>
      <c r="F1623" t="s">
        <v>179</v>
      </c>
      <c r="G1623">
        <v>298000</v>
      </c>
      <c r="H1623">
        <v>87500</v>
      </c>
      <c r="I1623">
        <v>0</v>
      </c>
      <c r="J1623">
        <v>0</v>
      </c>
      <c r="K1623">
        <v>104700</v>
      </c>
      <c r="L1623">
        <v>56000</v>
      </c>
      <c r="M1623">
        <v>14000</v>
      </c>
      <c r="N1623">
        <v>303000</v>
      </c>
      <c r="O1623">
        <v>14800</v>
      </c>
      <c r="P1623">
        <v>0</v>
      </c>
      <c r="Q1623">
        <v>0</v>
      </c>
      <c r="R1623">
        <v>0</v>
      </c>
      <c r="S1623">
        <v>0</v>
      </c>
      <c r="T1623">
        <v>0</v>
      </c>
      <c r="U1623">
        <v>0</v>
      </c>
      <c r="V1623">
        <v>0</v>
      </c>
      <c r="W1623">
        <v>798</v>
      </c>
      <c r="X1623">
        <v>322</v>
      </c>
      <c r="Y1623">
        <v>0</v>
      </c>
      <c r="Z1623" cm="1">
        <f t="array" ref="Z1623">MMULT($G1623:$Y1623,'Nelson Factor_2019'!$B$1:$B$19)/$G1623</f>
        <v>8.1031208053691284</v>
      </c>
      <c r="AA1623" cm="1">
        <f t="array" ref="AA1623">MMULT($G1623:$R1623,'Nelson Factor_2019'!$B$1:$B$12)/$G1623</f>
        <v>7.8437919463087251</v>
      </c>
    </row>
    <row r="1624" spans="1:27" x14ac:dyDescent="0.25">
      <c r="A1624">
        <v>2017</v>
      </c>
      <c r="B1624">
        <v>3</v>
      </c>
      <c r="C1624">
        <v>4</v>
      </c>
      <c r="D1624" t="s">
        <v>287</v>
      </c>
      <c r="E1624" t="s">
        <v>411</v>
      </c>
      <c r="F1624" t="s">
        <v>190</v>
      </c>
      <c r="G1624">
        <v>287185</v>
      </c>
      <c r="H1624">
        <v>191900</v>
      </c>
      <c r="I1624">
        <v>89550</v>
      </c>
      <c r="J1624">
        <v>0</v>
      </c>
      <c r="K1624">
        <v>99000</v>
      </c>
      <c r="L1624">
        <v>0</v>
      </c>
      <c r="M1624">
        <v>0</v>
      </c>
      <c r="N1624">
        <v>354128</v>
      </c>
      <c r="O1624">
        <v>10125</v>
      </c>
      <c r="P1624">
        <v>0</v>
      </c>
      <c r="Q1624">
        <v>17370</v>
      </c>
      <c r="R1624">
        <v>0</v>
      </c>
      <c r="S1624">
        <v>3506</v>
      </c>
      <c r="T1624">
        <v>0</v>
      </c>
      <c r="U1624">
        <v>0</v>
      </c>
      <c r="V1624">
        <v>0</v>
      </c>
      <c r="W1624">
        <v>4060</v>
      </c>
      <c r="X1624">
        <v>1019</v>
      </c>
      <c r="Y1624">
        <v>0</v>
      </c>
      <c r="Z1624" cm="1">
        <f t="array" ref="Z1624">MMULT($G1624:$Y1624,'Nelson Factor_2019'!$B$1:$B$19)/$G1624</f>
        <v>12.504726918188624</v>
      </c>
      <c r="AA1624" cm="1">
        <f t="array" ref="AA1624">MMULT($G1624:$R1624,'Nelson Factor_2019'!$B$1:$B$12)/$G1624</f>
        <v>10.920660898027403</v>
      </c>
    </row>
    <row r="1625" spans="1:27" x14ac:dyDescent="0.25">
      <c r="A1625">
        <v>2017</v>
      </c>
      <c r="B1625">
        <v>3</v>
      </c>
      <c r="C1625">
        <v>6</v>
      </c>
      <c r="D1625" t="s">
        <v>287</v>
      </c>
      <c r="E1625" t="s">
        <v>398</v>
      </c>
      <c r="F1625" t="s">
        <v>299</v>
      </c>
      <c r="G1625">
        <v>459000</v>
      </c>
      <c r="H1625">
        <v>225200</v>
      </c>
      <c r="I1625">
        <v>29800</v>
      </c>
      <c r="J1625">
        <v>0</v>
      </c>
      <c r="K1625">
        <v>130200</v>
      </c>
      <c r="L1625">
        <v>124300</v>
      </c>
      <c r="M1625">
        <v>144900</v>
      </c>
      <c r="N1625">
        <v>387900</v>
      </c>
      <c r="O1625">
        <v>39000</v>
      </c>
      <c r="P1625">
        <v>0</v>
      </c>
      <c r="Q1625">
        <v>34700</v>
      </c>
      <c r="R1625">
        <v>0</v>
      </c>
      <c r="S1625">
        <v>0</v>
      </c>
      <c r="T1625">
        <v>0</v>
      </c>
      <c r="U1625">
        <v>22.8</v>
      </c>
      <c r="V1625">
        <v>0</v>
      </c>
      <c r="W1625">
        <v>2052</v>
      </c>
      <c r="X1625">
        <v>1338</v>
      </c>
      <c r="Y1625">
        <v>0</v>
      </c>
      <c r="Z1625" cm="1">
        <f t="array" ref="Z1625">MMULT($G1625:$Y1625,'Nelson Factor_2019'!$B$1:$B$19)/$G1625</f>
        <v>12.880289324618737</v>
      </c>
      <c r="AA1625" cm="1">
        <f t="array" ref="AA1625">MMULT($G1625:$R1625,'Nelson Factor_2019'!$B$1:$B$12)/$G1625</f>
        <v>12.180631808278868</v>
      </c>
    </row>
    <row r="1626" spans="1:27" x14ac:dyDescent="0.25">
      <c r="A1626">
        <v>2017</v>
      </c>
      <c r="B1626">
        <v>3</v>
      </c>
      <c r="C1626">
        <v>1</v>
      </c>
      <c r="D1626" t="s">
        <v>287</v>
      </c>
      <c r="E1626" t="s">
        <v>398</v>
      </c>
      <c r="F1626" t="s">
        <v>178</v>
      </c>
      <c r="G1626">
        <v>86000</v>
      </c>
      <c r="H1626">
        <v>0</v>
      </c>
      <c r="I1626">
        <v>0</v>
      </c>
      <c r="J1626">
        <v>0</v>
      </c>
      <c r="K1626">
        <v>55600</v>
      </c>
      <c r="L1626">
        <v>10500</v>
      </c>
      <c r="M1626">
        <v>0</v>
      </c>
      <c r="N1626">
        <v>0</v>
      </c>
      <c r="O1626">
        <v>13800</v>
      </c>
      <c r="P1626">
        <v>0</v>
      </c>
      <c r="Q1626">
        <v>2800</v>
      </c>
      <c r="R1626">
        <v>0</v>
      </c>
      <c r="S1626">
        <v>0</v>
      </c>
      <c r="T1626">
        <v>0</v>
      </c>
      <c r="U1626">
        <v>0</v>
      </c>
      <c r="V1626">
        <v>0</v>
      </c>
      <c r="W1626">
        <v>0</v>
      </c>
      <c r="X1626">
        <v>35</v>
      </c>
      <c r="Y1626">
        <v>0</v>
      </c>
      <c r="Z1626" cm="1">
        <f t="array" ref="Z1626">MMULT($G1626:$Y1626,'Nelson Factor_2019'!$B$1:$B$19)/$G1626</f>
        <v>7.8430232558139537</v>
      </c>
      <c r="AA1626" cm="1">
        <f t="array" ref="AA1626">MMULT($G1626:$R1626,'Nelson Factor_2019'!$B$1:$B$12)/$G1626</f>
        <v>7.7453488372093027</v>
      </c>
    </row>
    <row r="1627" spans="1:27" x14ac:dyDescent="0.25">
      <c r="A1627">
        <v>2017</v>
      </c>
      <c r="B1627">
        <v>3</v>
      </c>
      <c r="C1627">
        <v>6</v>
      </c>
      <c r="D1627" t="s">
        <v>287</v>
      </c>
      <c r="E1627" t="s">
        <v>112</v>
      </c>
      <c r="F1627" t="s">
        <v>191</v>
      </c>
      <c r="G1627">
        <v>603000</v>
      </c>
      <c r="H1627">
        <v>309000</v>
      </c>
      <c r="I1627">
        <v>150000</v>
      </c>
      <c r="J1627">
        <v>0</v>
      </c>
      <c r="K1627">
        <v>88000</v>
      </c>
      <c r="L1627">
        <v>106000</v>
      </c>
      <c r="M1627">
        <v>118700</v>
      </c>
      <c r="N1627">
        <v>480500</v>
      </c>
      <c r="O1627">
        <v>19000</v>
      </c>
      <c r="P1627">
        <v>0</v>
      </c>
      <c r="Q1627">
        <v>0</v>
      </c>
      <c r="R1627">
        <v>41925</v>
      </c>
      <c r="S1627">
        <v>34125</v>
      </c>
      <c r="T1627">
        <v>0</v>
      </c>
      <c r="U1627">
        <v>40</v>
      </c>
      <c r="V1627">
        <v>0</v>
      </c>
      <c r="W1627">
        <v>8862</v>
      </c>
      <c r="X1627">
        <v>1509</v>
      </c>
      <c r="Y1627">
        <v>0</v>
      </c>
      <c r="Z1627" cm="1">
        <f t="array" ref="Z1627">MMULT($G1627:$Y1627,'Nelson Factor_2019'!$B$1:$B$19)/$G1627</f>
        <v>13.373175787728027</v>
      </c>
      <c r="AA1627" cm="1">
        <f t="array" ref="AA1627">MMULT($G1627:$R1627,'Nelson Factor_2019'!$B$1:$B$12)/$G1627</f>
        <v>9.3769900497512442</v>
      </c>
    </row>
    <row r="1628" spans="1:27" x14ac:dyDescent="0.25">
      <c r="A1628">
        <v>2017</v>
      </c>
      <c r="B1628">
        <v>3</v>
      </c>
      <c r="C1628">
        <v>4</v>
      </c>
      <c r="D1628" t="s">
        <v>287</v>
      </c>
      <c r="E1628" t="s">
        <v>399</v>
      </c>
      <c r="F1628" t="s">
        <v>179</v>
      </c>
      <c r="G1628">
        <v>155325</v>
      </c>
      <c r="H1628">
        <v>81035</v>
      </c>
      <c r="I1628">
        <v>40410</v>
      </c>
      <c r="J1628">
        <v>0</v>
      </c>
      <c r="K1628">
        <v>75420</v>
      </c>
      <c r="L1628">
        <v>46350</v>
      </c>
      <c r="M1628">
        <v>0</v>
      </c>
      <c r="N1628">
        <v>228420</v>
      </c>
      <c r="O1628">
        <v>21600</v>
      </c>
      <c r="P1628">
        <v>0</v>
      </c>
      <c r="Q1628">
        <v>14580</v>
      </c>
      <c r="R1628">
        <v>0</v>
      </c>
      <c r="S1628">
        <v>0</v>
      </c>
      <c r="T1628">
        <v>0</v>
      </c>
      <c r="U1628">
        <v>0</v>
      </c>
      <c r="V1628">
        <v>0</v>
      </c>
      <c r="W1628">
        <v>2334</v>
      </c>
      <c r="X1628">
        <v>334</v>
      </c>
      <c r="Y1628">
        <v>0</v>
      </c>
      <c r="Z1628" cm="1">
        <f t="array" ref="Z1628">MMULT($G1628:$Y1628,'Nelson Factor_2019'!$B$1:$B$19)/$G1628</f>
        <v>15.495416063093513</v>
      </c>
      <c r="AA1628" cm="1">
        <f t="array" ref="AA1628">MMULT($G1628:$R1628,'Nelson Factor_2019'!$B$1:$B$12)/$G1628</f>
        <v>14.979336874295832</v>
      </c>
    </row>
    <row r="1629" spans="1:27" x14ac:dyDescent="0.25">
      <c r="A1629">
        <v>2017</v>
      </c>
      <c r="B1629">
        <v>3</v>
      </c>
      <c r="C1629">
        <v>1</v>
      </c>
      <c r="D1629" t="s">
        <v>287</v>
      </c>
      <c r="E1629" t="s">
        <v>412</v>
      </c>
      <c r="F1629" t="s">
        <v>184</v>
      </c>
      <c r="G1629">
        <v>109915</v>
      </c>
      <c r="H1629">
        <v>36100</v>
      </c>
      <c r="I1629">
        <v>0</v>
      </c>
      <c r="J1629">
        <v>0</v>
      </c>
      <c r="K1629">
        <v>46800</v>
      </c>
      <c r="L1629">
        <v>19800</v>
      </c>
      <c r="M1629">
        <v>0</v>
      </c>
      <c r="N1629">
        <v>70200</v>
      </c>
      <c r="O1629">
        <v>11250</v>
      </c>
      <c r="P1629">
        <v>0</v>
      </c>
      <c r="Q1629">
        <v>0</v>
      </c>
      <c r="R1629">
        <v>0</v>
      </c>
      <c r="S1629">
        <v>0</v>
      </c>
      <c r="T1629">
        <v>0</v>
      </c>
      <c r="U1629">
        <v>0</v>
      </c>
      <c r="V1629">
        <v>0</v>
      </c>
      <c r="W1629">
        <v>0</v>
      </c>
      <c r="X1629">
        <v>25</v>
      </c>
      <c r="Y1629">
        <v>0</v>
      </c>
      <c r="Z1629" cm="1">
        <f t="array" ref="Z1629">MMULT($G1629:$Y1629,'Nelson Factor_2019'!$B$1:$B$19)/$G1629</f>
        <v>7.5571578037574492</v>
      </c>
      <c r="AA1629" cm="1">
        <f t="array" ref="AA1629">MMULT($G1629:$R1629,'Nelson Factor_2019'!$B$1:$B$12)/$G1629</f>
        <v>7.5025701678569803</v>
      </c>
    </row>
    <row r="1630" spans="1:27" x14ac:dyDescent="0.25">
      <c r="A1630">
        <v>2017</v>
      </c>
      <c r="B1630">
        <v>3</v>
      </c>
      <c r="C1630">
        <v>4</v>
      </c>
      <c r="D1630" t="s">
        <v>287</v>
      </c>
      <c r="E1630" t="s">
        <v>362</v>
      </c>
      <c r="F1630" t="s">
        <v>182</v>
      </c>
      <c r="G1630">
        <v>247000</v>
      </c>
      <c r="H1630">
        <v>125500</v>
      </c>
      <c r="I1630">
        <v>70900</v>
      </c>
      <c r="J1630">
        <v>0</v>
      </c>
      <c r="K1630">
        <v>107800</v>
      </c>
      <c r="L1630">
        <v>33800</v>
      </c>
      <c r="M1630">
        <v>0</v>
      </c>
      <c r="N1630">
        <v>275500</v>
      </c>
      <c r="O1630">
        <v>19600</v>
      </c>
      <c r="P1630">
        <v>0</v>
      </c>
      <c r="Q1630">
        <v>17700</v>
      </c>
      <c r="R1630">
        <v>9100</v>
      </c>
      <c r="S1630">
        <v>0</v>
      </c>
      <c r="T1630">
        <v>0</v>
      </c>
      <c r="U1630">
        <v>140</v>
      </c>
      <c r="V1630">
        <v>0</v>
      </c>
      <c r="W1630">
        <v>4000</v>
      </c>
      <c r="X1630">
        <v>593</v>
      </c>
      <c r="Y1630">
        <v>0</v>
      </c>
      <c r="Z1630" cm="1">
        <f t="array" ref="Z1630">MMULT($G1630:$Y1630,'Nelson Factor_2019'!$B$1:$B$19)/$G1630</f>
        <v>12.818663967611336</v>
      </c>
      <c r="AA1630" cm="1">
        <f t="array" ref="AA1630">MMULT($G1630:$R1630,'Nelson Factor_2019'!$B$1:$B$12)/$G1630</f>
        <v>12.241902834008098</v>
      </c>
    </row>
    <row r="1631" spans="1:27" x14ac:dyDescent="0.25">
      <c r="A1631">
        <v>2017</v>
      </c>
      <c r="B1631">
        <v>3</v>
      </c>
      <c r="C1631">
        <v>6</v>
      </c>
      <c r="D1631" t="s">
        <v>287</v>
      </c>
      <c r="E1631" t="s">
        <v>388</v>
      </c>
      <c r="F1631" t="s">
        <v>193</v>
      </c>
      <c r="G1631">
        <v>323000</v>
      </c>
      <c r="H1631">
        <v>171000</v>
      </c>
      <c r="I1631">
        <v>81000</v>
      </c>
      <c r="J1631">
        <v>0</v>
      </c>
      <c r="K1631">
        <v>72000</v>
      </c>
      <c r="L1631">
        <v>62550</v>
      </c>
      <c r="M1631">
        <v>54000</v>
      </c>
      <c r="N1631">
        <v>338400</v>
      </c>
      <c r="O1631">
        <v>16650</v>
      </c>
      <c r="P1631">
        <v>0</v>
      </c>
      <c r="Q1631">
        <v>0</v>
      </c>
      <c r="R1631">
        <v>0</v>
      </c>
      <c r="S1631">
        <v>0</v>
      </c>
      <c r="T1631">
        <v>0</v>
      </c>
      <c r="U1631">
        <v>0</v>
      </c>
      <c r="V1631">
        <v>0</v>
      </c>
      <c r="W1631">
        <v>4771</v>
      </c>
      <c r="X1631">
        <v>984</v>
      </c>
      <c r="Y1631">
        <v>0</v>
      </c>
      <c r="Z1631" cm="1">
        <f t="array" ref="Z1631">MMULT($G1631:$Y1631,'Nelson Factor_2019'!$B$1:$B$19)/$G1631</f>
        <v>11.078049535603714</v>
      </c>
      <c r="AA1631" cm="1">
        <f t="array" ref="AA1631">MMULT($G1631:$R1631,'Nelson Factor_2019'!$B$1:$B$12)/$G1631</f>
        <v>10.346904024767802</v>
      </c>
    </row>
    <row r="1632" spans="1:27" x14ac:dyDescent="0.25">
      <c r="A1632">
        <v>2017</v>
      </c>
      <c r="B1632">
        <v>3</v>
      </c>
      <c r="C1632">
        <v>4</v>
      </c>
      <c r="D1632" t="s">
        <v>287</v>
      </c>
      <c r="E1632" t="s">
        <v>194</v>
      </c>
      <c r="F1632" t="s">
        <v>191</v>
      </c>
      <c r="G1632">
        <v>232750</v>
      </c>
      <c r="H1632">
        <v>100035</v>
      </c>
      <c r="I1632">
        <v>54000</v>
      </c>
      <c r="J1632">
        <v>0</v>
      </c>
      <c r="K1632">
        <v>72000</v>
      </c>
      <c r="L1632">
        <v>38700</v>
      </c>
      <c r="M1632">
        <v>0</v>
      </c>
      <c r="N1632">
        <v>238050</v>
      </c>
      <c r="O1632">
        <v>6030</v>
      </c>
      <c r="P1632">
        <v>0</v>
      </c>
      <c r="Q1632">
        <v>12240</v>
      </c>
      <c r="R1632">
        <v>7020</v>
      </c>
      <c r="S1632">
        <v>0</v>
      </c>
      <c r="T1632">
        <v>0</v>
      </c>
      <c r="U1632">
        <v>0</v>
      </c>
      <c r="V1632">
        <v>0</v>
      </c>
      <c r="W1632">
        <v>2611</v>
      </c>
      <c r="X1632">
        <v>731</v>
      </c>
      <c r="Y1632">
        <v>0</v>
      </c>
      <c r="Z1632" cm="1">
        <f t="array" ref="Z1632">MMULT($G1632:$Y1632,'Nelson Factor_2019'!$B$1:$B$19)/$G1632</f>
        <v>10.698262083780881</v>
      </c>
      <c r="AA1632" cm="1">
        <f t="array" ref="AA1632">MMULT($G1632:$R1632,'Nelson Factor_2019'!$B$1:$B$12)/$G1632</f>
        <v>9.9444919441460797</v>
      </c>
    </row>
    <row r="1633" spans="1:27" x14ac:dyDescent="0.25">
      <c r="A1633">
        <v>2017</v>
      </c>
      <c r="B1633">
        <v>3</v>
      </c>
      <c r="C1633">
        <v>6</v>
      </c>
      <c r="D1633" t="s">
        <v>287</v>
      </c>
      <c r="E1633" t="s">
        <v>66</v>
      </c>
      <c r="F1633" t="s">
        <v>191</v>
      </c>
      <c r="G1633">
        <v>394250</v>
      </c>
      <c r="H1633">
        <v>209000</v>
      </c>
      <c r="I1633">
        <v>89640</v>
      </c>
      <c r="J1633">
        <v>0</v>
      </c>
      <c r="K1633">
        <v>67500</v>
      </c>
      <c r="L1633">
        <v>49500</v>
      </c>
      <c r="M1633">
        <v>110700</v>
      </c>
      <c r="N1633">
        <v>298170</v>
      </c>
      <c r="O1633">
        <v>17550</v>
      </c>
      <c r="P1633">
        <v>0</v>
      </c>
      <c r="Q1633">
        <v>0</v>
      </c>
      <c r="R1633">
        <v>0</v>
      </c>
      <c r="S1633">
        <v>0</v>
      </c>
      <c r="T1633">
        <v>0</v>
      </c>
      <c r="U1633">
        <v>0</v>
      </c>
      <c r="V1633">
        <v>0</v>
      </c>
      <c r="W1633">
        <v>4385</v>
      </c>
      <c r="X1633">
        <v>1352</v>
      </c>
      <c r="Y1633">
        <v>0</v>
      </c>
      <c r="Z1633" cm="1">
        <f t="array" ref="Z1633">MMULT($G1633:$Y1633,'Nelson Factor_2019'!$B$1:$B$19)/$G1633</f>
        <v>10.454673430564362</v>
      </c>
      <c r="AA1633" cm="1">
        <f t="array" ref="AA1633">MMULT($G1633:$R1633,'Nelson Factor_2019'!$B$1:$B$12)/$G1633</f>
        <v>9.6316423589093212</v>
      </c>
    </row>
    <row r="1634" spans="1:27" x14ac:dyDescent="0.25">
      <c r="A1634">
        <v>2017</v>
      </c>
      <c r="B1634">
        <v>3</v>
      </c>
      <c r="C1634">
        <v>3</v>
      </c>
      <c r="D1634" t="s">
        <v>287</v>
      </c>
      <c r="E1634" t="s">
        <v>66</v>
      </c>
      <c r="F1634" t="s">
        <v>195</v>
      </c>
      <c r="G1634">
        <v>185250</v>
      </c>
      <c r="H1634">
        <v>47500</v>
      </c>
      <c r="I1634">
        <v>0</v>
      </c>
      <c r="J1634">
        <v>0</v>
      </c>
      <c r="K1634">
        <v>49050</v>
      </c>
      <c r="L1634">
        <v>42300</v>
      </c>
      <c r="M1634">
        <v>24300</v>
      </c>
      <c r="N1634">
        <v>117090</v>
      </c>
      <c r="O1634">
        <v>8820</v>
      </c>
      <c r="P1634">
        <v>0</v>
      </c>
      <c r="Q1634">
        <v>0</v>
      </c>
      <c r="R1634">
        <v>2700</v>
      </c>
      <c r="S1634">
        <v>0</v>
      </c>
      <c r="T1634">
        <v>0</v>
      </c>
      <c r="U1634">
        <v>30</v>
      </c>
      <c r="V1634">
        <v>0</v>
      </c>
      <c r="W1634">
        <v>0</v>
      </c>
      <c r="X1634">
        <v>68</v>
      </c>
      <c r="Y1634">
        <v>10800</v>
      </c>
      <c r="Z1634" cm="1">
        <f t="array" ref="Z1634">MMULT($G1634:$Y1634,'Nelson Factor_2019'!$B$1:$B$19)/$G1634</f>
        <v>7.3887989203778677</v>
      </c>
      <c r="AA1634" cm="1">
        <f t="array" ref="AA1634">MMULT($G1634:$R1634,'Nelson Factor_2019'!$B$1:$B$12)/$G1634</f>
        <v>7.213090418353576</v>
      </c>
    </row>
    <row r="1635" spans="1:27" x14ac:dyDescent="0.25">
      <c r="A1635">
        <v>2017</v>
      </c>
      <c r="B1635">
        <v>3</v>
      </c>
      <c r="C1635">
        <v>3</v>
      </c>
      <c r="D1635" t="s">
        <v>287</v>
      </c>
      <c r="E1635" t="s">
        <v>66</v>
      </c>
      <c r="F1635" t="s">
        <v>196</v>
      </c>
      <c r="G1635">
        <v>86450</v>
      </c>
      <c r="H1635">
        <v>31825</v>
      </c>
      <c r="I1635">
        <v>0</v>
      </c>
      <c r="J1635">
        <v>0</v>
      </c>
      <c r="K1635">
        <v>21150</v>
      </c>
      <c r="L1635">
        <v>30150</v>
      </c>
      <c r="M1635">
        <v>25200</v>
      </c>
      <c r="N1635">
        <v>71100</v>
      </c>
      <c r="O1635">
        <v>5850</v>
      </c>
      <c r="P1635">
        <v>0</v>
      </c>
      <c r="Q1635">
        <v>9720</v>
      </c>
      <c r="R1635">
        <v>2700</v>
      </c>
      <c r="S1635">
        <v>1710</v>
      </c>
      <c r="T1635">
        <v>0</v>
      </c>
      <c r="U1635">
        <v>0</v>
      </c>
      <c r="V1635">
        <v>0</v>
      </c>
      <c r="W1635">
        <v>0</v>
      </c>
      <c r="X1635">
        <v>122</v>
      </c>
      <c r="Y1635">
        <v>0</v>
      </c>
      <c r="Z1635" cm="1">
        <f t="array" ref="Z1635">MMULT($G1635:$Y1635,'Nelson Factor_2019'!$B$1:$B$19)/$G1635</f>
        <v>13.622932330827068</v>
      </c>
      <c r="AA1635" cm="1">
        <f t="array" ref="AA1635">MMULT($G1635:$R1635,'Nelson Factor_2019'!$B$1:$B$12)/$G1635</f>
        <v>12.097426257952574</v>
      </c>
    </row>
    <row r="1636" spans="1:27" x14ac:dyDescent="0.25">
      <c r="A1636">
        <v>2017</v>
      </c>
      <c r="B1636">
        <v>3</v>
      </c>
      <c r="C1636">
        <v>6</v>
      </c>
      <c r="D1636" t="s">
        <v>287</v>
      </c>
      <c r="E1636" t="s">
        <v>66</v>
      </c>
      <c r="F1636" t="s">
        <v>179</v>
      </c>
      <c r="G1636">
        <v>285000</v>
      </c>
      <c r="H1636">
        <v>92150</v>
      </c>
      <c r="I1636">
        <v>15300</v>
      </c>
      <c r="J1636">
        <v>0</v>
      </c>
      <c r="K1636">
        <v>85950</v>
      </c>
      <c r="L1636">
        <v>44100</v>
      </c>
      <c r="M1636">
        <v>45000</v>
      </c>
      <c r="N1636">
        <v>272025</v>
      </c>
      <c r="O1636">
        <v>19170</v>
      </c>
      <c r="P1636">
        <v>0</v>
      </c>
      <c r="Q1636">
        <v>13950</v>
      </c>
      <c r="R1636">
        <v>26100</v>
      </c>
      <c r="S1636">
        <v>0</v>
      </c>
      <c r="T1636">
        <v>0</v>
      </c>
      <c r="U1636">
        <v>275</v>
      </c>
      <c r="V1636">
        <v>0</v>
      </c>
      <c r="W1636">
        <v>853</v>
      </c>
      <c r="X1636">
        <v>1168</v>
      </c>
      <c r="Y1636">
        <v>34200</v>
      </c>
      <c r="Z1636" cm="1">
        <f t="array" ref="Z1636">MMULT($G1636:$Y1636,'Nelson Factor_2019'!$B$1:$B$19)/$G1636</f>
        <v>11.146324561403508</v>
      </c>
      <c r="AA1636" cm="1">
        <f t="array" ref="AA1636">MMULT($G1636:$R1636,'Nelson Factor_2019'!$B$1:$B$12)/$G1636</f>
        <v>9.9817807017543867</v>
      </c>
    </row>
    <row r="1637" spans="1:27" x14ac:dyDescent="0.25">
      <c r="A1637">
        <v>2017</v>
      </c>
      <c r="B1637">
        <v>3</v>
      </c>
      <c r="C1637">
        <v>3</v>
      </c>
      <c r="D1637" t="s">
        <v>287</v>
      </c>
      <c r="E1637" t="s">
        <v>66</v>
      </c>
      <c r="F1637" t="s">
        <v>190</v>
      </c>
      <c r="G1637">
        <v>180500</v>
      </c>
      <c r="H1637">
        <v>37100</v>
      </c>
      <c r="I1637">
        <v>0</v>
      </c>
      <c r="J1637">
        <v>0</v>
      </c>
      <c r="K1637">
        <v>64400</v>
      </c>
      <c r="L1637">
        <v>0</v>
      </c>
      <c r="M1637">
        <v>30600</v>
      </c>
      <c r="N1637">
        <v>85100</v>
      </c>
      <c r="O1637">
        <v>10800</v>
      </c>
      <c r="P1637">
        <v>0</v>
      </c>
      <c r="Q1637">
        <v>0</v>
      </c>
      <c r="R1637">
        <v>0</v>
      </c>
      <c r="S1637">
        <v>0</v>
      </c>
      <c r="T1637">
        <v>0</v>
      </c>
      <c r="U1637">
        <v>0</v>
      </c>
      <c r="V1637">
        <v>0</v>
      </c>
      <c r="W1637">
        <v>0</v>
      </c>
      <c r="X1637">
        <v>300</v>
      </c>
      <c r="Y1637">
        <v>0</v>
      </c>
      <c r="Z1637" cm="1">
        <f t="array" ref="Z1637">MMULT($G1637:$Y1637,'Nelson Factor_2019'!$B$1:$B$19)/$G1637</f>
        <v>6.9400554016620495</v>
      </c>
      <c r="AA1637" cm="1">
        <f t="array" ref="AA1637">MMULT($G1637:$R1637,'Nelson Factor_2019'!$B$1:$B$12)/$G1637</f>
        <v>6.541163434903047</v>
      </c>
    </row>
    <row r="1638" spans="1:27" x14ac:dyDescent="0.25">
      <c r="A1638">
        <v>2017</v>
      </c>
      <c r="B1638">
        <v>3</v>
      </c>
      <c r="C1638">
        <v>4</v>
      </c>
      <c r="D1638" t="s">
        <v>287</v>
      </c>
      <c r="E1638" t="s">
        <v>66</v>
      </c>
      <c r="F1638" t="s">
        <v>178</v>
      </c>
      <c r="G1638">
        <v>219450</v>
      </c>
      <c r="H1638">
        <v>126825</v>
      </c>
      <c r="I1638">
        <v>48150</v>
      </c>
      <c r="J1638">
        <v>0</v>
      </c>
      <c r="K1638">
        <v>77400</v>
      </c>
      <c r="L1638">
        <v>16290</v>
      </c>
      <c r="M1638">
        <v>0</v>
      </c>
      <c r="N1638">
        <v>257400</v>
      </c>
      <c r="O1638">
        <v>13230</v>
      </c>
      <c r="P1638">
        <v>0</v>
      </c>
      <c r="Q1638">
        <v>0</v>
      </c>
      <c r="R1638">
        <v>5850</v>
      </c>
      <c r="S1638">
        <v>0</v>
      </c>
      <c r="T1638">
        <v>0</v>
      </c>
      <c r="U1638">
        <v>0</v>
      </c>
      <c r="V1638">
        <v>0</v>
      </c>
      <c r="W1638">
        <v>2584</v>
      </c>
      <c r="X1638">
        <v>617</v>
      </c>
      <c r="Y1638">
        <v>0</v>
      </c>
      <c r="Z1638" cm="1">
        <f t="array" ref="Z1638">MMULT($G1638:$Y1638,'Nelson Factor_2019'!$B$1:$B$19)/$G1638</f>
        <v>10.174196855775802</v>
      </c>
      <c r="AA1638" cm="1">
        <f t="array" ref="AA1638">MMULT($G1638:$R1638,'Nelson Factor_2019'!$B$1:$B$12)/$G1638</f>
        <v>9.4994190020505815</v>
      </c>
    </row>
    <row r="1639" spans="1:27" x14ac:dyDescent="0.25">
      <c r="A1639">
        <v>2017</v>
      </c>
      <c r="B1639">
        <v>3</v>
      </c>
      <c r="C1639">
        <v>1</v>
      </c>
      <c r="D1639" t="s">
        <v>287</v>
      </c>
      <c r="E1639" t="s">
        <v>197</v>
      </c>
      <c r="F1639" t="s">
        <v>198</v>
      </c>
      <c r="G1639">
        <v>127300</v>
      </c>
      <c r="H1639">
        <v>53390</v>
      </c>
      <c r="I1639">
        <v>0</v>
      </c>
      <c r="J1639">
        <v>0</v>
      </c>
      <c r="K1639">
        <v>31500</v>
      </c>
      <c r="L1639">
        <v>25200</v>
      </c>
      <c r="M1639">
        <v>0</v>
      </c>
      <c r="N1639">
        <v>111330</v>
      </c>
      <c r="O1639">
        <v>12600</v>
      </c>
      <c r="P1639">
        <v>0</v>
      </c>
      <c r="Q1639">
        <v>0</v>
      </c>
      <c r="R1639">
        <v>6570</v>
      </c>
      <c r="S1639">
        <v>0</v>
      </c>
      <c r="T1639">
        <v>0</v>
      </c>
      <c r="U1639">
        <v>12</v>
      </c>
      <c r="V1639">
        <v>0</v>
      </c>
      <c r="W1639">
        <v>0</v>
      </c>
      <c r="X1639">
        <v>0</v>
      </c>
      <c r="Y1639">
        <v>6300</v>
      </c>
      <c r="Z1639" cm="1">
        <f t="array" ref="Z1639">MMULT($G1639:$Y1639,'Nelson Factor_2019'!$B$1:$B$19)/$G1639</f>
        <v>7.4250117831893165</v>
      </c>
      <c r="AA1639" cm="1">
        <f t="array" ref="AA1639">MMULT($G1639:$R1639,'Nelson Factor_2019'!$B$1:$B$12)/$G1639</f>
        <v>7.3506834249803612</v>
      </c>
    </row>
    <row r="1640" spans="1:27" x14ac:dyDescent="0.25">
      <c r="A1640">
        <v>2017</v>
      </c>
      <c r="B1640">
        <v>3</v>
      </c>
      <c r="C1640">
        <v>4</v>
      </c>
      <c r="D1640" t="s">
        <v>287</v>
      </c>
      <c r="E1640" t="s">
        <v>377</v>
      </c>
      <c r="F1640" t="s">
        <v>181</v>
      </c>
      <c r="G1640">
        <v>143000</v>
      </c>
      <c r="H1640">
        <v>76000</v>
      </c>
      <c r="I1640">
        <v>27000</v>
      </c>
      <c r="J1640">
        <v>0</v>
      </c>
      <c r="K1640">
        <v>50000</v>
      </c>
      <c r="L1640">
        <v>28000</v>
      </c>
      <c r="M1640">
        <v>0</v>
      </c>
      <c r="N1640">
        <v>171000</v>
      </c>
      <c r="O1640">
        <v>17000</v>
      </c>
      <c r="P1640">
        <v>0</v>
      </c>
      <c r="Q1640">
        <v>0</v>
      </c>
      <c r="R1640">
        <v>43000</v>
      </c>
      <c r="S1640">
        <v>0</v>
      </c>
      <c r="T1640">
        <v>0</v>
      </c>
      <c r="U1640">
        <v>96</v>
      </c>
      <c r="V1640">
        <v>0</v>
      </c>
      <c r="W1640">
        <v>1250</v>
      </c>
      <c r="X1640">
        <v>340</v>
      </c>
      <c r="Y1640">
        <v>0</v>
      </c>
      <c r="Z1640" cm="1">
        <f t="array" ref="Z1640">MMULT($G1640:$Y1640,'Nelson Factor_2019'!$B$1:$B$19)/$G1640</f>
        <v>11.835636363636363</v>
      </c>
      <c r="AA1640" cm="1">
        <f t="array" ref="AA1640">MMULT($G1640:$R1640,'Nelson Factor_2019'!$B$1:$B$12)/$G1640</f>
        <v>11.264335664335665</v>
      </c>
    </row>
    <row r="1641" spans="1:27" x14ac:dyDescent="0.25">
      <c r="A1641">
        <v>2017</v>
      </c>
      <c r="B1641">
        <v>4</v>
      </c>
      <c r="C1641">
        <v>4</v>
      </c>
      <c r="D1641" t="s">
        <v>289</v>
      </c>
      <c r="E1641" t="s">
        <v>227</v>
      </c>
      <c r="F1641" t="s">
        <v>201</v>
      </c>
      <c r="G1641">
        <v>53000</v>
      </c>
      <c r="H1641">
        <v>25600</v>
      </c>
      <c r="I1641">
        <v>8100</v>
      </c>
      <c r="J1641">
        <v>0</v>
      </c>
      <c r="K1641">
        <v>14000</v>
      </c>
      <c r="L1641">
        <v>7000</v>
      </c>
      <c r="M1641">
        <v>0</v>
      </c>
      <c r="N1641">
        <v>41500</v>
      </c>
      <c r="O1641">
        <v>4500</v>
      </c>
      <c r="P1641">
        <v>0</v>
      </c>
      <c r="Q1641">
        <v>0</v>
      </c>
      <c r="R1641">
        <v>1000</v>
      </c>
      <c r="S1641">
        <v>0</v>
      </c>
      <c r="T1641">
        <v>0</v>
      </c>
      <c r="U1641">
        <v>0</v>
      </c>
      <c r="V1641">
        <v>0</v>
      </c>
      <c r="W1641">
        <v>281</v>
      </c>
      <c r="X1641">
        <v>56</v>
      </c>
      <c r="Y1641">
        <v>0</v>
      </c>
      <c r="Z1641" cm="1">
        <f t="array" ref="Z1641">MMULT($G1641:$Y1641,'Nelson Factor_2019'!$B$1:$B$19)/$G1641</f>
        <v>8.13622641509434</v>
      </c>
      <c r="AA1641" cm="1">
        <f t="array" ref="AA1641">MMULT($G1641:$R1641,'Nelson Factor_2019'!$B$1:$B$12)/$G1641</f>
        <v>7.8826415094339621</v>
      </c>
    </row>
    <row r="1642" spans="1:27" x14ac:dyDescent="0.25">
      <c r="A1642">
        <v>2017</v>
      </c>
      <c r="B1642">
        <v>4</v>
      </c>
      <c r="C1642">
        <v>1</v>
      </c>
      <c r="D1642" t="s">
        <v>289</v>
      </c>
      <c r="E1642" t="s">
        <v>413</v>
      </c>
      <c r="F1642" t="s">
        <v>378</v>
      </c>
      <c r="G1642">
        <v>30400</v>
      </c>
      <c r="H1642">
        <v>0</v>
      </c>
      <c r="I1642">
        <v>0</v>
      </c>
      <c r="J1642">
        <v>0</v>
      </c>
      <c r="K1642">
        <v>10350</v>
      </c>
      <c r="L1642">
        <v>7650</v>
      </c>
      <c r="M1642">
        <v>0</v>
      </c>
      <c r="N1642">
        <v>20250</v>
      </c>
      <c r="O1642">
        <v>2700</v>
      </c>
      <c r="P1642">
        <v>0</v>
      </c>
      <c r="Q1642">
        <v>0</v>
      </c>
      <c r="R1642">
        <v>4410</v>
      </c>
      <c r="S1642">
        <v>0</v>
      </c>
      <c r="T1642">
        <v>0</v>
      </c>
      <c r="U1642">
        <v>0</v>
      </c>
      <c r="V1642">
        <v>0</v>
      </c>
      <c r="W1642">
        <v>0</v>
      </c>
      <c r="X1642">
        <v>4</v>
      </c>
      <c r="Y1642">
        <v>0</v>
      </c>
      <c r="Z1642" cm="1">
        <f t="array" ref="Z1642">MMULT($G1642:$Y1642,'Nelson Factor_2019'!$B$1:$B$19)/$G1642</f>
        <v>7.3212171052631581</v>
      </c>
      <c r="AA1642" cm="1">
        <f t="array" ref="AA1642">MMULT($G1642:$R1642,'Nelson Factor_2019'!$B$1:$B$12)/$G1642</f>
        <v>7.2896381578947365</v>
      </c>
    </row>
    <row r="1643" spans="1:27" x14ac:dyDescent="0.25">
      <c r="A1643">
        <v>2017</v>
      </c>
      <c r="B1643">
        <v>4</v>
      </c>
      <c r="C1643">
        <v>3</v>
      </c>
      <c r="D1643" t="s">
        <v>289</v>
      </c>
      <c r="E1643" t="s">
        <v>251</v>
      </c>
      <c r="F1643" t="s">
        <v>203</v>
      </c>
      <c r="G1643">
        <v>39330</v>
      </c>
      <c r="H1643">
        <v>0</v>
      </c>
      <c r="I1643">
        <v>0</v>
      </c>
      <c r="J1643">
        <v>0</v>
      </c>
      <c r="K1643">
        <v>15750</v>
      </c>
      <c r="L1643">
        <v>7560</v>
      </c>
      <c r="M1643">
        <v>13500</v>
      </c>
      <c r="N1643">
        <v>23580</v>
      </c>
      <c r="O1643">
        <v>4770</v>
      </c>
      <c r="P1643">
        <v>0</v>
      </c>
      <c r="Q1643">
        <v>0</v>
      </c>
      <c r="R1643">
        <v>2700</v>
      </c>
      <c r="S1643">
        <v>0</v>
      </c>
      <c r="T1643">
        <v>0</v>
      </c>
      <c r="U1643">
        <v>0</v>
      </c>
      <c r="V1643">
        <v>0</v>
      </c>
      <c r="W1643">
        <v>0</v>
      </c>
      <c r="X1643">
        <v>9</v>
      </c>
      <c r="Y1643">
        <v>1620</v>
      </c>
      <c r="Z1643" cm="1">
        <f t="array" ref="Z1643">MMULT($G1643:$Y1643,'Nelson Factor_2019'!$B$1:$B$19)/$G1643</f>
        <v>10.144164759725401</v>
      </c>
      <c r="AA1643" cm="1">
        <f t="array" ref="AA1643">MMULT($G1643:$R1643,'Nelson Factor_2019'!$B$1:$B$12)/$G1643</f>
        <v>10.027459954233409</v>
      </c>
    </row>
    <row r="1644" spans="1:27" x14ac:dyDescent="0.25">
      <c r="A1644">
        <v>2017</v>
      </c>
      <c r="B1644">
        <v>4</v>
      </c>
      <c r="C1644">
        <v>0</v>
      </c>
      <c r="D1644" t="s">
        <v>289</v>
      </c>
      <c r="E1644" t="s">
        <v>204</v>
      </c>
      <c r="F1644" t="s">
        <v>203</v>
      </c>
      <c r="G1644">
        <v>14915</v>
      </c>
      <c r="H1644">
        <v>6650</v>
      </c>
      <c r="I1644">
        <v>0</v>
      </c>
      <c r="J1644">
        <v>0</v>
      </c>
      <c r="K1644">
        <v>0</v>
      </c>
      <c r="L1644">
        <v>0</v>
      </c>
      <c r="M1644">
        <v>0</v>
      </c>
      <c r="N1644">
        <v>3600</v>
      </c>
      <c r="O1644">
        <v>0</v>
      </c>
      <c r="P1644">
        <v>0</v>
      </c>
      <c r="Q1644">
        <v>0</v>
      </c>
      <c r="R1644">
        <v>0</v>
      </c>
      <c r="S1644">
        <v>0</v>
      </c>
      <c r="T1644">
        <v>0</v>
      </c>
      <c r="U1644">
        <v>0</v>
      </c>
      <c r="V1644">
        <v>0</v>
      </c>
      <c r="W1644">
        <v>0</v>
      </c>
      <c r="X1644">
        <v>0</v>
      </c>
      <c r="Y1644">
        <v>0</v>
      </c>
      <c r="Z1644" cm="1">
        <f t="array" ref="Z1644">MMULT($G1644:$Y1644,'Nelson Factor_2019'!$B$1:$B$19)/$G1644</f>
        <v>2.1830372108615488</v>
      </c>
      <c r="AA1644" cm="1">
        <f t="array" ref="AA1644">MMULT($G1644:$R1644,'Nelson Factor_2019'!$B$1:$B$12)/$G1644</f>
        <v>2.1830372108615488</v>
      </c>
    </row>
    <row r="1645" spans="1:27" x14ac:dyDescent="0.25">
      <c r="A1645">
        <v>2017</v>
      </c>
      <c r="B1645">
        <v>4</v>
      </c>
      <c r="C1645">
        <v>1</v>
      </c>
      <c r="D1645" t="s">
        <v>289</v>
      </c>
      <c r="E1645" t="s">
        <v>239</v>
      </c>
      <c r="F1645" t="s">
        <v>201</v>
      </c>
      <c r="G1645">
        <v>59850</v>
      </c>
      <c r="H1645">
        <v>0</v>
      </c>
      <c r="I1645">
        <v>0</v>
      </c>
      <c r="J1645">
        <v>0</v>
      </c>
      <c r="K1645">
        <v>26100</v>
      </c>
      <c r="L1645">
        <v>10260</v>
      </c>
      <c r="M1645">
        <v>0</v>
      </c>
      <c r="N1645">
        <v>37710</v>
      </c>
      <c r="O1645">
        <v>6300</v>
      </c>
      <c r="P1645">
        <v>0</v>
      </c>
      <c r="Q1645">
        <v>0</v>
      </c>
      <c r="R1645">
        <v>0</v>
      </c>
      <c r="S1645">
        <v>0</v>
      </c>
      <c r="T1645">
        <v>0</v>
      </c>
      <c r="U1645">
        <v>0</v>
      </c>
      <c r="V1645">
        <v>0</v>
      </c>
      <c r="W1645">
        <v>0</v>
      </c>
      <c r="X1645">
        <v>16</v>
      </c>
      <c r="Y1645">
        <v>0</v>
      </c>
      <c r="Z1645" cm="1">
        <f t="array" ref="Z1645">MMULT($G1645:$Y1645,'Nelson Factor_2019'!$B$1:$B$19)/$G1645</f>
        <v>7.1656641604010023</v>
      </c>
      <c r="AA1645" cm="1">
        <f t="array" ref="AA1645">MMULT($G1645:$R1645,'Nelson Factor_2019'!$B$1:$B$12)/$G1645</f>
        <v>7.1015037593984962</v>
      </c>
    </row>
    <row r="1646" spans="1:27" x14ac:dyDescent="0.25">
      <c r="A1646">
        <v>2017</v>
      </c>
      <c r="B1646">
        <v>5</v>
      </c>
      <c r="C1646">
        <v>5</v>
      </c>
      <c r="D1646" t="s">
        <v>291</v>
      </c>
      <c r="E1646" t="s">
        <v>32</v>
      </c>
      <c r="F1646" t="s">
        <v>383</v>
      </c>
      <c r="G1646">
        <v>224200</v>
      </c>
      <c r="H1646">
        <v>106400</v>
      </c>
      <c r="I1646">
        <v>51750</v>
      </c>
      <c r="J1646">
        <v>0</v>
      </c>
      <c r="K1646">
        <v>0</v>
      </c>
      <c r="L1646">
        <v>58500</v>
      </c>
      <c r="M1646">
        <v>58500</v>
      </c>
      <c r="N1646">
        <v>155160</v>
      </c>
      <c r="O1646">
        <v>0</v>
      </c>
      <c r="P1646">
        <v>0</v>
      </c>
      <c r="Q1646">
        <v>0</v>
      </c>
      <c r="R1646">
        <v>21600</v>
      </c>
      <c r="S1646">
        <v>0</v>
      </c>
      <c r="T1646">
        <v>0</v>
      </c>
      <c r="U1646">
        <v>178.5</v>
      </c>
      <c r="V1646">
        <v>0</v>
      </c>
      <c r="W1646">
        <v>3250</v>
      </c>
      <c r="X1646">
        <v>249</v>
      </c>
      <c r="Y1646">
        <v>0</v>
      </c>
      <c r="Z1646" cm="1">
        <f t="array" ref="Z1646">MMULT($G1646:$Y1646,'Nelson Factor_2019'!$B$1:$B$19)/$G1646</f>
        <v>9.0266882247992868</v>
      </c>
      <c r="AA1646" cm="1">
        <f t="array" ref="AA1646">MMULT($G1646:$R1646,'Nelson Factor_2019'!$B$1:$B$12)/$G1646</f>
        <v>8.7593443354148075</v>
      </c>
    </row>
    <row r="1647" spans="1:27" x14ac:dyDescent="0.25">
      <c r="A1647">
        <v>2017</v>
      </c>
      <c r="B1647">
        <v>5</v>
      </c>
      <c r="C1647">
        <v>1</v>
      </c>
      <c r="D1647" t="s">
        <v>291</v>
      </c>
      <c r="E1647" t="s">
        <v>362</v>
      </c>
      <c r="F1647" t="s">
        <v>209</v>
      </c>
      <c r="G1647">
        <v>101000</v>
      </c>
      <c r="H1647">
        <v>48200</v>
      </c>
      <c r="I1647">
        <v>0</v>
      </c>
      <c r="J1647">
        <v>0</v>
      </c>
      <c r="K1647">
        <v>32500</v>
      </c>
      <c r="L1647">
        <v>16600</v>
      </c>
      <c r="M1647">
        <v>0</v>
      </c>
      <c r="N1647">
        <v>66100</v>
      </c>
      <c r="O1647">
        <v>9200</v>
      </c>
      <c r="P1647">
        <v>0</v>
      </c>
      <c r="Q1647">
        <v>0</v>
      </c>
      <c r="R1647">
        <v>4100</v>
      </c>
      <c r="S1647">
        <v>0</v>
      </c>
      <c r="T1647">
        <v>0</v>
      </c>
      <c r="U1647">
        <v>0</v>
      </c>
      <c r="V1647">
        <v>0</v>
      </c>
      <c r="W1647">
        <v>0</v>
      </c>
      <c r="X1647">
        <v>110</v>
      </c>
      <c r="Y1647">
        <v>0</v>
      </c>
      <c r="Z1647" cm="1">
        <f t="array" ref="Z1647">MMULT($G1647:$Y1647,'Nelson Factor_2019'!$B$1:$B$19)/$G1647</f>
        <v>7.3030693069306931</v>
      </c>
      <c r="AA1647" cm="1">
        <f t="array" ref="AA1647">MMULT($G1647:$R1647,'Nelson Factor_2019'!$B$1:$B$12)/$G1647</f>
        <v>7.0416831683168315</v>
      </c>
    </row>
    <row r="1648" spans="1:27" x14ac:dyDescent="0.25">
      <c r="A1648">
        <v>2017</v>
      </c>
      <c r="B1648">
        <v>5</v>
      </c>
      <c r="C1648">
        <v>4</v>
      </c>
      <c r="D1648" t="s">
        <v>291</v>
      </c>
      <c r="E1648" t="s">
        <v>388</v>
      </c>
      <c r="F1648" t="s">
        <v>210</v>
      </c>
      <c r="G1648">
        <v>141550</v>
      </c>
      <c r="H1648">
        <v>62510</v>
      </c>
      <c r="I1648">
        <v>22770</v>
      </c>
      <c r="J1648">
        <v>0</v>
      </c>
      <c r="K1648">
        <v>52110</v>
      </c>
      <c r="L1648">
        <v>19530</v>
      </c>
      <c r="M1648">
        <v>0</v>
      </c>
      <c r="N1648">
        <v>116010</v>
      </c>
      <c r="O1648">
        <v>10890</v>
      </c>
      <c r="P1648">
        <v>0</v>
      </c>
      <c r="Q1648">
        <v>0</v>
      </c>
      <c r="R1648">
        <v>0</v>
      </c>
      <c r="S1648">
        <v>0</v>
      </c>
      <c r="T1648">
        <v>0</v>
      </c>
      <c r="U1648">
        <v>0</v>
      </c>
      <c r="V1648">
        <v>0</v>
      </c>
      <c r="W1648">
        <v>1142</v>
      </c>
      <c r="X1648">
        <v>318</v>
      </c>
      <c r="Y1648">
        <v>0</v>
      </c>
      <c r="Z1648" cm="1">
        <f t="array" ref="Z1648">MMULT($G1648:$Y1648,'Nelson Factor_2019'!$B$1:$B$19)/$G1648</f>
        <v>9.0366866831508297</v>
      </c>
      <c r="AA1648" cm="1">
        <f t="array" ref="AA1648">MMULT($G1648:$R1648,'Nelson Factor_2019'!$B$1:$B$12)/$G1648</f>
        <v>8.4975132462027556</v>
      </c>
    </row>
    <row r="1649" spans="1:27" x14ac:dyDescent="0.25">
      <c r="A1649">
        <v>2017</v>
      </c>
      <c r="B1649">
        <v>5</v>
      </c>
      <c r="C1649">
        <v>1</v>
      </c>
      <c r="D1649" t="s">
        <v>291</v>
      </c>
      <c r="E1649" t="s">
        <v>239</v>
      </c>
      <c r="F1649" t="s">
        <v>210</v>
      </c>
      <c r="G1649">
        <v>118750</v>
      </c>
      <c r="H1649">
        <v>44650</v>
      </c>
      <c r="I1649">
        <v>0</v>
      </c>
      <c r="J1649">
        <v>0</v>
      </c>
      <c r="K1649">
        <v>49500</v>
      </c>
      <c r="L1649">
        <v>23400</v>
      </c>
      <c r="M1649">
        <v>0</v>
      </c>
      <c r="N1649">
        <v>88200</v>
      </c>
      <c r="O1649">
        <v>12420</v>
      </c>
      <c r="P1649">
        <v>0</v>
      </c>
      <c r="Q1649">
        <v>0</v>
      </c>
      <c r="R1649">
        <v>3240</v>
      </c>
      <c r="S1649">
        <v>0</v>
      </c>
      <c r="T1649">
        <v>0</v>
      </c>
      <c r="U1649">
        <v>0</v>
      </c>
      <c r="V1649">
        <v>0</v>
      </c>
      <c r="W1649">
        <v>0</v>
      </c>
      <c r="X1649">
        <v>49</v>
      </c>
      <c r="Y1649">
        <v>4950</v>
      </c>
      <c r="Z1649" cm="1">
        <f t="array" ref="Z1649">MMULT($G1649:$Y1649,'Nelson Factor_2019'!$B$1:$B$19)/$G1649</f>
        <v>8.1212631578947363</v>
      </c>
      <c r="AA1649" cm="1">
        <f t="array" ref="AA1649">MMULT($G1649:$R1649,'Nelson Factor_2019'!$B$1:$B$12)/$G1649</f>
        <v>7.9597052631578951</v>
      </c>
    </row>
    <row r="1650" spans="1:27" x14ac:dyDescent="0.25">
      <c r="A1650">
        <v>2017</v>
      </c>
      <c r="B1650">
        <v>5</v>
      </c>
      <c r="C1650">
        <v>0</v>
      </c>
      <c r="D1650" t="s">
        <v>291</v>
      </c>
      <c r="E1650" t="s">
        <v>414</v>
      </c>
      <c r="F1650" t="s">
        <v>212</v>
      </c>
      <c r="G1650">
        <v>39900</v>
      </c>
      <c r="H1650">
        <v>18240</v>
      </c>
      <c r="I1650">
        <v>0</v>
      </c>
      <c r="J1650">
        <v>0</v>
      </c>
      <c r="K1650">
        <v>0</v>
      </c>
      <c r="L1650">
        <v>6120</v>
      </c>
      <c r="M1650">
        <v>0</v>
      </c>
      <c r="N1650">
        <v>16740</v>
      </c>
      <c r="O1650">
        <v>0</v>
      </c>
      <c r="P1650">
        <v>0</v>
      </c>
      <c r="Q1650">
        <v>0</v>
      </c>
      <c r="R1650">
        <v>4050</v>
      </c>
      <c r="S1650">
        <v>0</v>
      </c>
      <c r="T1650">
        <v>0</v>
      </c>
      <c r="U1650">
        <v>0</v>
      </c>
      <c r="V1650">
        <v>0</v>
      </c>
      <c r="W1650">
        <v>0</v>
      </c>
      <c r="X1650">
        <v>10</v>
      </c>
      <c r="Y1650">
        <v>7200</v>
      </c>
      <c r="Z1650" cm="1">
        <f t="array" ref="Z1650">MMULT($G1650:$Y1650,'Nelson Factor_2019'!$B$1:$B$19)/$G1650</f>
        <v>4.0454135338345862</v>
      </c>
      <c r="AA1650" cm="1">
        <f t="array" ref="AA1650">MMULT($G1650:$R1650,'Nelson Factor_2019'!$B$1:$B$12)/$G1650</f>
        <v>3.7145864661654135</v>
      </c>
    </row>
    <row r="1651" spans="1:27" x14ac:dyDescent="0.25">
      <c r="A1651">
        <v>2017</v>
      </c>
      <c r="B1651">
        <v>1</v>
      </c>
      <c r="C1651">
        <v>0</v>
      </c>
      <c r="D1651" t="s">
        <v>292</v>
      </c>
      <c r="E1651" t="s">
        <v>405</v>
      </c>
      <c r="F1651" t="s">
        <v>215</v>
      </c>
      <c r="G1651">
        <v>21850</v>
      </c>
      <c r="H1651">
        <v>8170</v>
      </c>
      <c r="I1651">
        <v>0</v>
      </c>
      <c r="J1651">
        <v>0</v>
      </c>
      <c r="K1651">
        <v>0</v>
      </c>
      <c r="L1651">
        <v>3555</v>
      </c>
      <c r="M1651">
        <v>0</v>
      </c>
      <c r="N1651">
        <v>17640</v>
      </c>
      <c r="O1651">
        <v>0</v>
      </c>
      <c r="P1651">
        <v>0</v>
      </c>
      <c r="Q1651">
        <v>0</v>
      </c>
      <c r="R1651">
        <v>0</v>
      </c>
      <c r="S1651">
        <v>5490</v>
      </c>
      <c r="T1651">
        <v>0</v>
      </c>
      <c r="U1651">
        <v>3</v>
      </c>
      <c r="V1651">
        <v>0</v>
      </c>
      <c r="W1651">
        <v>0</v>
      </c>
      <c r="X1651">
        <v>1</v>
      </c>
      <c r="Y1651">
        <v>630</v>
      </c>
      <c r="Z1651" cm="1">
        <f t="array" ref="Z1651">MMULT($G1651:$Y1651,'Nelson Factor_2019'!$B$1:$B$19)/$G1651</f>
        <v>19.447780320366132</v>
      </c>
      <c r="AA1651" cm="1">
        <f t="array" ref="AA1651">MMULT($G1651:$R1651,'Nelson Factor_2019'!$B$1:$B$12)/$G1651</f>
        <v>4.3178947368421055</v>
      </c>
    </row>
    <row r="1652" spans="1:27" x14ac:dyDescent="0.25">
      <c r="A1652">
        <v>2017</v>
      </c>
      <c r="B1652">
        <v>2</v>
      </c>
      <c r="C1652">
        <v>1</v>
      </c>
      <c r="D1652" t="s">
        <v>293</v>
      </c>
      <c r="E1652" t="s">
        <v>298</v>
      </c>
      <c r="F1652" t="s">
        <v>217</v>
      </c>
      <c r="G1652">
        <v>47500</v>
      </c>
      <c r="H1652">
        <v>19475</v>
      </c>
      <c r="I1652">
        <v>0</v>
      </c>
      <c r="J1652">
        <v>0</v>
      </c>
      <c r="K1652">
        <v>9900</v>
      </c>
      <c r="L1652">
        <v>7200</v>
      </c>
      <c r="M1652">
        <v>0</v>
      </c>
      <c r="N1652">
        <v>29430</v>
      </c>
      <c r="O1652">
        <v>1440</v>
      </c>
      <c r="P1652">
        <v>0</v>
      </c>
      <c r="Q1652">
        <v>5400</v>
      </c>
      <c r="R1652">
        <v>0</v>
      </c>
      <c r="S1652">
        <v>0</v>
      </c>
      <c r="T1652">
        <v>0</v>
      </c>
      <c r="U1652">
        <v>0</v>
      </c>
      <c r="V1652">
        <v>0</v>
      </c>
      <c r="W1652">
        <v>0</v>
      </c>
      <c r="X1652">
        <v>31</v>
      </c>
      <c r="Y1652">
        <v>7110</v>
      </c>
      <c r="Z1652" cm="1">
        <f t="array" ref="Z1652">MMULT($G1652:$Y1652,'Nelson Factor_2019'!$B$1:$B$19)/$G1652</f>
        <v>8.0483684210526309</v>
      </c>
      <c r="AA1652" cm="1">
        <f t="array" ref="AA1652">MMULT($G1652:$R1652,'Nelson Factor_2019'!$B$1:$B$12)/$G1652</f>
        <v>7.667210526315789</v>
      </c>
    </row>
    <row r="1653" spans="1:27" x14ac:dyDescent="0.25">
      <c r="A1653">
        <v>2017</v>
      </c>
      <c r="B1653">
        <v>4</v>
      </c>
      <c r="C1653">
        <v>4</v>
      </c>
      <c r="D1653" t="s">
        <v>294</v>
      </c>
      <c r="E1653" t="s">
        <v>251</v>
      </c>
      <c r="F1653" t="s">
        <v>220</v>
      </c>
      <c r="G1653">
        <v>49400</v>
      </c>
      <c r="H1653">
        <v>26600</v>
      </c>
      <c r="I1653">
        <v>12330</v>
      </c>
      <c r="J1653">
        <v>0</v>
      </c>
      <c r="K1653">
        <v>11250</v>
      </c>
      <c r="L1653">
        <v>8280</v>
      </c>
      <c r="M1653">
        <v>0</v>
      </c>
      <c r="N1653">
        <v>34200</v>
      </c>
      <c r="O1653">
        <v>3780</v>
      </c>
      <c r="P1653">
        <v>0</v>
      </c>
      <c r="Q1653">
        <v>0</v>
      </c>
      <c r="R1653">
        <v>0</v>
      </c>
      <c r="S1653">
        <v>0</v>
      </c>
      <c r="T1653">
        <v>0</v>
      </c>
      <c r="U1653">
        <v>10</v>
      </c>
      <c r="V1653">
        <v>0</v>
      </c>
      <c r="W1653">
        <v>639</v>
      </c>
      <c r="X1653">
        <v>105</v>
      </c>
      <c r="Y1653">
        <v>14400</v>
      </c>
      <c r="Z1653" cm="1">
        <f t="array" ref="Z1653">MMULT($G1653:$Y1653,'Nelson Factor_2019'!$B$1:$B$19)/$G1653</f>
        <v>9.2199392712550612</v>
      </c>
      <c r="AA1653" cm="1">
        <f t="array" ref="AA1653">MMULT($G1653:$R1653,'Nelson Factor_2019'!$B$1:$B$12)/$G1653</f>
        <v>8.2723684210526311</v>
      </c>
    </row>
    <row r="1654" spans="1:27" x14ac:dyDescent="0.25">
      <c r="A1654">
        <v>2017</v>
      </c>
      <c r="B1654">
        <v>4</v>
      </c>
      <c r="C1654">
        <v>1</v>
      </c>
      <c r="D1654" t="s">
        <v>294</v>
      </c>
      <c r="E1654" t="s">
        <v>396</v>
      </c>
      <c r="F1654" t="s">
        <v>225</v>
      </c>
      <c r="G1654">
        <v>17575</v>
      </c>
      <c r="H1654">
        <v>0</v>
      </c>
      <c r="I1654">
        <v>0</v>
      </c>
      <c r="J1654">
        <v>0</v>
      </c>
      <c r="K1654">
        <v>7020</v>
      </c>
      <c r="L1654">
        <v>3825</v>
      </c>
      <c r="M1654">
        <v>0</v>
      </c>
      <c r="N1654">
        <v>9828</v>
      </c>
      <c r="O1654">
        <v>1170</v>
      </c>
      <c r="P1654">
        <v>0</v>
      </c>
      <c r="Q1654">
        <v>0</v>
      </c>
      <c r="R1654">
        <v>0</v>
      </c>
      <c r="S1654">
        <v>0</v>
      </c>
      <c r="T1654">
        <v>0</v>
      </c>
      <c r="U1654">
        <v>0</v>
      </c>
      <c r="V1654">
        <v>0</v>
      </c>
      <c r="W1654">
        <v>0</v>
      </c>
      <c r="X1654">
        <v>0</v>
      </c>
      <c r="Y1654">
        <v>0</v>
      </c>
      <c r="Z1654" cm="1">
        <f t="array" ref="Z1654">MMULT($G1654:$Y1654,'Nelson Factor_2019'!$B$1:$B$19)/$G1654</f>
        <v>6.5485064011379803</v>
      </c>
      <c r="AA1654" cm="1">
        <f t="array" ref="AA1654">MMULT($G1654:$R1654,'Nelson Factor_2019'!$B$1:$B$12)/$G1654</f>
        <v>6.5485064011379803</v>
      </c>
    </row>
    <row r="1655" spans="1:27" x14ac:dyDescent="0.25">
      <c r="A1655">
        <v>2017</v>
      </c>
      <c r="B1655">
        <v>4</v>
      </c>
      <c r="C1655">
        <v>1</v>
      </c>
      <c r="D1655" t="s">
        <v>294</v>
      </c>
      <c r="E1655" t="s">
        <v>159</v>
      </c>
      <c r="F1655" t="s">
        <v>385</v>
      </c>
      <c r="G1655">
        <v>24225</v>
      </c>
      <c r="H1655">
        <v>0</v>
      </c>
      <c r="I1655">
        <v>0</v>
      </c>
      <c r="J1655">
        <v>0</v>
      </c>
      <c r="K1655">
        <v>10800</v>
      </c>
      <c r="L1655">
        <v>4500</v>
      </c>
      <c r="M1655">
        <v>0</v>
      </c>
      <c r="N1655">
        <v>22050</v>
      </c>
      <c r="O1655">
        <v>0</v>
      </c>
      <c r="P1655">
        <v>0</v>
      </c>
      <c r="Q1655">
        <v>0</v>
      </c>
      <c r="R1655">
        <v>0</v>
      </c>
      <c r="S1655">
        <v>0</v>
      </c>
      <c r="T1655">
        <v>0</v>
      </c>
      <c r="U1655">
        <v>0</v>
      </c>
      <c r="V1655">
        <v>0</v>
      </c>
      <c r="W1655">
        <v>0</v>
      </c>
      <c r="X1655">
        <v>9</v>
      </c>
      <c r="Y1655">
        <v>0</v>
      </c>
      <c r="Z1655" cm="1">
        <f t="array" ref="Z1655">MMULT($G1655:$Y1655,'Nelson Factor_2019'!$B$1:$B$19)/$G1655</f>
        <v>6.9684210526315793</v>
      </c>
      <c r="AA1655" cm="1">
        <f t="array" ref="AA1655">MMULT($G1655:$R1655,'Nelson Factor_2019'!$B$1:$B$12)/$G1655</f>
        <v>6.8792569659442728</v>
      </c>
    </row>
    <row r="1656" spans="1:27" x14ac:dyDescent="0.25">
      <c r="A1656">
        <v>2017</v>
      </c>
      <c r="B1656">
        <v>4</v>
      </c>
      <c r="C1656">
        <v>6</v>
      </c>
      <c r="D1656" t="s">
        <v>294</v>
      </c>
      <c r="E1656" t="s">
        <v>159</v>
      </c>
      <c r="F1656" t="s">
        <v>223</v>
      </c>
      <c r="G1656">
        <v>85500</v>
      </c>
      <c r="H1656">
        <v>38950</v>
      </c>
      <c r="I1656">
        <v>18000</v>
      </c>
      <c r="J1656">
        <v>0</v>
      </c>
      <c r="K1656">
        <v>19800</v>
      </c>
      <c r="L1656">
        <v>13050</v>
      </c>
      <c r="M1656">
        <v>14040</v>
      </c>
      <c r="N1656">
        <v>64800</v>
      </c>
      <c r="O1656">
        <v>4050</v>
      </c>
      <c r="P1656">
        <v>0</v>
      </c>
      <c r="Q1656">
        <v>0</v>
      </c>
      <c r="R1656">
        <v>0</v>
      </c>
      <c r="S1656">
        <v>0</v>
      </c>
      <c r="T1656">
        <v>0</v>
      </c>
      <c r="U1656">
        <v>52</v>
      </c>
      <c r="V1656">
        <v>0</v>
      </c>
      <c r="W1656">
        <v>952</v>
      </c>
      <c r="X1656">
        <v>188</v>
      </c>
      <c r="Y1656">
        <v>7200</v>
      </c>
      <c r="Z1656" cm="1">
        <f t="array" ref="Z1656">MMULT($G1656:$Y1656,'Nelson Factor_2019'!$B$1:$B$19)/$G1656</f>
        <v>9.660549707602339</v>
      </c>
      <c r="AA1656" cm="1">
        <f t="array" ref="AA1656">MMULT($G1656:$R1656,'Nelson Factor_2019'!$B$1:$B$12)/$G1656</f>
        <v>9.0059064327485387</v>
      </c>
    </row>
    <row r="1657" spans="1:27" x14ac:dyDescent="0.25">
      <c r="A1657">
        <v>2018</v>
      </c>
      <c r="B1657">
        <v>3</v>
      </c>
      <c r="C1657">
        <v>5</v>
      </c>
      <c r="D1657" t="s">
        <v>256</v>
      </c>
      <c r="E1657" t="s">
        <v>387</v>
      </c>
      <c r="F1657" t="s">
        <v>26</v>
      </c>
      <c r="G1657">
        <v>38000</v>
      </c>
      <c r="H1657">
        <v>17100</v>
      </c>
      <c r="I1657">
        <v>28800</v>
      </c>
      <c r="J1657">
        <v>0</v>
      </c>
      <c r="K1657">
        <v>0</v>
      </c>
      <c r="L1657">
        <v>13770</v>
      </c>
      <c r="M1657">
        <v>16650</v>
      </c>
      <c r="N1657">
        <v>34740</v>
      </c>
      <c r="O1657">
        <v>0</v>
      </c>
      <c r="P1657">
        <v>0</v>
      </c>
      <c r="Q1657">
        <v>0</v>
      </c>
      <c r="R1657">
        <v>3780</v>
      </c>
      <c r="S1657">
        <v>0</v>
      </c>
      <c r="T1657">
        <v>0</v>
      </c>
      <c r="U1657">
        <v>40</v>
      </c>
      <c r="V1657">
        <v>0</v>
      </c>
      <c r="W1657">
        <v>968</v>
      </c>
      <c r="X1657">
        <v>177</v>
      </c>
      <c r="Y1657">
        <v>13500</v>
      </c>
      <c r="Z1657" cm="1">
        <f t="array" ref="Z1657">MMULT($G1657:$Y1657,'Nelson Factor_2019'!$B$1:$B$19)/$G1657</f>
        <v>16.822105263157894</v>
      </c>
      <c r="AA1657" cm="1">
        <f t="array" ref="AA1657">MMULT($G1657:$R1657,'Nelson Factor_2019'!$B$1:$B$12)/$G1657</f>
        <v>15.170263157894738</v>
      </c>
    </row>
    <row r="1658" spans="1:27" x14ac:dyDescent="0.25">
      <c r="A1658">
        <v>2018</v>
      </c>
      <c r="B1658">
        <v>3</v>
      </c>
      <c r="C1658">
        <v>0</v>
      </c>
      <c r="D1658" t="s">
        <v>256</v>
      </c>
      <c r="E1658" t="s">
        <v>388</v>
      </c>
      <c r="F1658" t="s">
        <v>28</v>
      </c>
      <c r="G1658">
        <v>90725</v>
      </c>
      <c r="H1658">
        <v>27550</v>
      </c>
      <c r="I1658">
        <v>0</v>
      </c>
      <c r="J1658">
        <v>0</v>
      </c>
      <c r="K1658">
        <v>0</v>
      </c>
      <c r="L1658">
        <v>19800</v>
      </c>
      <c r="M1658">
        <v>0</v>
      </c>
      <c r="N1658">
        <v>65700</v>
      </c>
      <c r="O1658">
        <v>0</v>
      </c>
      <c r="P1658">
        <v>0</v>
      </c>
      <c r="Q1658">
        <v>0</v>
      </c>
      <c r="R1658">
        <v>1035</v>
      </c>
      <c r="S1658">
        <v>0</v>
      </c>
      <c r="T1658">
        <v>0</v>
      </c>
      <c r="U1658">
        <v>0</v>
      </c>
      <c r="V1658">
        <v>0</v>
      </c>
      <c r="W1658">
        <v>0</v>
      </c>
      <c r="X1658">
        <v>30</v>
      </c>
      <c r="Y1658">
        <v>0</v>
      </c>
      <c r="Z1658" cm="1">
        <f t="array" ref="Z1658">MMULT($G1658:$Y1658,'Nelson Factor_2019'!$B$1:$B$19)/$G1658</f>
        <v>4.409975199779554</v>
      </c>
      <c r="AA1658" cm="1">
        <f t="array" ref="AA1658">MMULT($G1658:$R1658,'Nelson Factor_2019'!$B$1:$B$12)/$G1658</f>
        <v>4.3306144943510612</v>
      </c>
    </row>
    <row r="1659" spans="1:27" x14ac:dyDescent="0.25">
      <c r="A1659">
        <v>2018</v>
      </c>
      <c r="B1659">
        <v>5</v>
      </c>
      <c r="C1659">
        <v>0</v>
      </c>
      <c r="D1659" t="s">
        <v>257</v>
      </c>
      <c r="E1659" t="s">
        <v>389</v>
      </c>
      <c r="F1659" t="s">
        <v>36</v>
      </c>
      <c r="G1659">
        <v>21375</v>
      </c>
      <c r="H1659">
        <v>0</v>
      </c>
      <c r="I1659">
        <v>0</v>
      </c>
      <c r="J1659">
        <v>0</v>
      </c>
      <c r="K1659">
        <v>0</v>
      </c>
      <c r="L1659">
        <v>0</v>
      </c>
      <c r="M1659">
        <v>0</v>
      </c>
      <c r="N1659">
        <v>0</v>
      </c>
      <c r="O1659">
        <v>0</v>
      </c>
      <c r="P1659">
        <v>0</v>
      </c>
      <c r="Q1659">
        <v>0</v>
      </c>
      <c r="R1659">
        <v>0</v>
      </c>
      <c r="S1659">
        <v>0</v>
      </c>
      <c r="T1659">
        <v>0</v>
      </c>
      <c r="U1659">
        <v>0</v>
      </c>
      <c r="V1659">
        <v>0</v>
      </c>
      <c r="W1659">
        <v>0</v>
      </c>
      <c r="X1659">
        <v>0</v>
      </c>
      <c r="Y1659">
        <v>0</v>
      </c>
      <c r="Z1659" cm="1">
        <f t="array" ref="Z1659">MMULT($G1659:$Y1659,'Nelson Factor_2019'!$B$1:$B$19)/$G1659</f>
        <v>1</v>
      </c>
      <c r="AA1659" cm="1">
        <f t="array" ref="AA1659">MMULT($G1659:$R1659,'Nelson Factor_2019'!$B$1:$B$12)/$G1659</f>
        <v>1</v>
      </c>
    </row>
    <row r="1660" spans="1:27" x14ac:dyDescent="0.25">
      <c r="A1660">
        <v>2018</v>
      </c>
      <c r="B1660">
        <v>5</v>
      </c>
      <c r="C1660">
        <v>0</v>
      </c>
      <c r="D1660" t="s">
        <v>257</v>
      </c>
      <c r="E1660" t="s">
        <v>389</v>
      </c>
      <c r="F1660" t="s">
        <v>38</v>
      </c>
      <c r="G1660">
        <v>57000</v>
      </c>
      <c r="H1660">
        <v>0</v>
      </c>
      <c r="I1660">
        <v>0</v>
      </c>
      <c r="J1660">
        <v>0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0</v>
      </c>
      <c r="Q1660">
        <v>0</v>
      </c>
      <c r="R1660">
        <v>0</v>
      </c>
      <c r="S1660">
        <v>0</v>
      </c>
      <c r="T1660">
        <v>0</v>
      </c>
      <c r="U1660">
        <v>0</v>
      </c>
      <c r="V1660">
        <v>0</v>
      </c>
      <c r="W1660">
        <v>0</v>
      </c>
      <c r="X1660">
        <v>0</v>
      </c>
      <c r="Y1660">
        <v>0</v>
      </c>
      <c r="Z1660" cm="1">
        <f t="array" ref="Z1660">MMULT($G1660:$Y1660,'Nelson Factor_2019'!$B$1:$B$19)/$G1660</f>
        <v>1</v>
      </c>
      <c r="AA1660" cm="1">
        <f t="array" ref="AA1660">MMULT($G1660:$R1660,'Nelson Factor_2019'!$B$1:$B$12)/$G1660</f>
        <v>1</v>
      </c>
    </row>
    <row r="1661" spans="1:27" x14ac:dyDescent="0.25">
      <c r="A1661">
        <v>2018</v>
      </c>
      <c r="B1661">
        <v>5</v>
      </c>
      <c r="C1661">
        <v>0</v>
      </c>
      <c r="D1661" t="s">
        <v>257</v>
      </c>
      <c r="E1661" t="s">
        <v>32</v>
      </c>
      <c r="F1661" t="s">
        <v>34</v>
      </c>
      <c r="G1661">
        <v>12350</v>
      </c>
      <c r="H1661">
        <v>0</v>
      </c>
      <c r="I1661">
        <v>0</v>
      </c>
      <c r="J1661">
        <v>0</v>
      </c>
      <c r="K1661">
        <v>0</v>
      </c>
      <c r="L1661">
        <v>0</v>
      </c>
      <c r="M1661">
        <v>0</v>
      </c>
      <c r="N1661">
        <v>0</v>
      </c>
      <c r="O1661">
        <v>0</v>
      </c>
      <c r="P1661">
        <v>0</v>
      </c>
      <c r="Q1661">
        <v>0</v>
      </c>
      <c r="R1661">
        <v>0</v>
      </c>
      <c r="S1661">
        <v>0</v>
      </c>
      <c r="T1661">
        <v>0</v>
      </c>
      <c r="U1661">
        <v>0</v>
      </c>
      <c r="V1661">
        <v>0</v>
      </c>
      <c r="W1661">
        <v>0</v>
      </c>
      <c r="X1661">
        <v>0</v>
      </c>
      <c r="Y1661">
        <v>0</v>
      </c>
      <c r="Z1661" cm="1">
        <f t="array" ref="Z1661">MMULT($G1661:$Y1661,'Nelson Factor_2019'!$B$1:$B$19)/$G1661</f>
        <v>1</v>
      </c>
      <c r="AA1661" cm="1">
        <f t="array" ref="AA1661">MMULT($G1661:$R1661,'Nelson Factor_2019'!$B$1:$B$12)/$G1661</f>
        <v>1</v>
      </c>
    </row>
    <row r="1662" spans="1:27" x14ac:dyDescent="0.25">
      <c r="A1662">
        <v>2018</v>
      </c>
      <c r="B1662">
        <v>5</v>
      </c>
      <c r="C1662">
        <v>0</v>
      </c>
      <c r="D1662" t="s">
        <v>257</v>
      </c>
      <c r="E1662" t="s">
        <v>390</v>
      </c>
      <c r="F1662" t="s">
        <v>33</v>
      </c>
      <c r="G1662">
        <v>15200</v>
      </c>
      <c r="H1662">
        <v>0</v>
      </c>
      <c r="I1662">
        <v>0</v>
      </c>
      <c r="J1662">
        <v>0</v>
      </c>
      <c r="K1662">
        <v>0</v>
      </c>
      <c r="L1662">
        <v>0</v>
      </c>
      <c r="M1662">
        <v>0</v>
      </c>
      <c r="N1662">
        <v>0</v>
      </c>
      <c r="O1662">
        <v>0</v>
      </c>
      <c r="P1662">
        <v>0</v>
      </c>
      <c r="Q1662">
        <v>0</v>
      </c>
      <c r="R1662">
        <v>0</v>
      </c>
      <c r="S1662">
        <v>0</v>
      </c>
      <c r="T1662">
        <v>0</v>
      </c>
      <c r="U1662">
        <v>0</v>
      </c>
      <c r="V1662">
        <v>0</v>
      </c>
      <c r="W1662">
        <v>0</v>
      </c>
      <c r="X1662">
        <v>0</v>
      </c>
      <c r="Y1662">
        <v>0</v>
      </c>
      <c r="Z1662" cm="1">
        <f t="array" ref="Z1662">MMULT($G1662:$Y1662,'Nelson Factor_2019'!$B$1:$B$19)/$G1662</f>
        <v>1</v>
      </c>
      <c r="AA1662" cm="1">
        <f t="array" ref="AA1662">MMULT($G1662:$R1662,'Nelson Factor_2019'!$B$1:$B$12)/$G1662</f>
        <v>1</v>
      </c>
    </row>
    <row r="1663" spans="1:27" x14ac:dyDescent="0.25">
      <c r="A1663">
        <v>2018</v>
      </c>
      <c r="B1663">
        <v>5</v>
      </c>
      <c r="C1663">
        <v>2</v>
      </c>
      <c r="D1663" t="s">
        <v>257</v>
      </c>
      <c r="E1663" t="s">
        <v>415</v>
      </c>
      <c r="F1663" t="s">
        <v>40</v>
      </c>
      <c r="G1663">
        <v>68400</v>
      </c>
      <c r="H1663">
        <v>24700</v>
      </c>
      <c r="I1663">
        <v>0</v>
      </c>
      <c r="J1663">
        <v>0</v>
      </c>
      <c r="K1663">
        <v>0</v>
      </c>
      <c r="L1663">
        <v>12780</v>
      </c>
      <c r="M1663">
        <v>11250</v>
      </c>
      <c r="N1663">
        <v>22050</v>
      </c>
      <c r="O1663">
        <v>0</v>
      </c>
      <c r="P1663">
        <v>0</v>
      </c>
      <c r="Q1663">
        <v>0</v>
      </c>
      <c r="R1663">
        <v>4500</v>
      </c>
      <c r="S1663">
        <v>0</v>
      </c>
      <c r="T1663">
        <v>0</v>
      </c>
      <c r="U1663">
        <v>13</v>
      </c>
      <c r="V1663">
        <v>0</v>
      </c>
      <c r="W1663">
        <v>0</v>
      </c>
      <c r="X1663">
        <v>24</v>
      </c>
      <c r="Y1663">
        <v>9000</v>
      </c>
      <c r="Z1663" cm="1">
        <f t="array" ref="Z1663">MMULT($G1663:$Y1663,'Nelson Factor_2019'!$B$1:$B$19)/$G1663</f>
        <v>5.0045029239766086</v>
      </c>
      <c r="AA1663" cm="1">
        <f t="array" ref="AA1663">MMULT($G1663:$R1663,'Nelson Factor_2019'!$B$1:$B$12)/$G1663</f>
        <v>4.7227339181286547</v>
      </c>
    </row>
    <row r="1664" spans="1:27" x14ac:dyDescent="0.25">
      <c r="A1664">
        <v>2018</v>
      </c>
      <c r="B1664">
        <v>3</v>
      </c>
      <c r="C1664">
        <v>1</v>
      </c>
      <c r="D1664" t="s">
        <v>260</v>
      </c>
      <c r="E1664" t="s">
        <v>391</v>
      </c>
      <c r="F1664" t="s">
        <v>45</v>
      </c>
      <c r="G1664">
        <v>80750</v>
      </c>
      <c r="H1664">
        <v>42750</v>
      </c>
      <c r="I1664">
        <v>0</v>
      </c>
      <c r="J1664">
        <v>0</v>
      </c>
      <c r="K1664">
        <v>18900</v>
      </c>
      <c r="L1664">
        <v>13770</v>
      </c>
      <c r="M1664">
        <v>0</v>
      </c>
      <c r="N1664">
        <v>83475</v>
      </c>
      <c r="O1664">
        <v>4500</v>
      </c>
      <c r="P1664">
        <v>0</v>
      </c>
      <c r="Q1664">
        <v>0</v>
      </c>
      <c r="R1664">
        <v>6750</v>
      </c>
      <c r="S1664">
        <v>0</v>
      </c>
      <c r="T1664">
        <v>0</v>
      </c>
      <c r="U1664">
        <v>10</v>
      </c>
      <c r="V1664">
        <v>0</v>
      </c>
      <c r="W1664">
        <v>0</v>
      </c>
      <c r="X1664">
        <v>142</v>
      </c>
      <c r="Y1664">
        <v>18450</v>
      </c>
      <c r="Z1664" cm="1">
        <f t="array" ref="Z1664">MMULT($G1664:$Y1664,'Nelson Factor_2019'!$B$1:$B$19)/$G1664</f>
        <v>8.1025077399380798</v>
      </c>
      <c r="AA1664" cm="1">
        <f t="array" ref="AA1664">MMULT($G1664:$R1664,'Nelson Factor_2019'!$B$1:$B$12)/$G1664</f>
        <v>7.3376160990712078</v>
      </c>
    </row>
    <row r="1665" spans="1:27" x14ac:dyDescent="0.25">
      <c r="A1665">
        <v>2018</v>
      </c>
      <c r="B1665">
        <v>3</v>
      </c>
      <c r="C1665">
        <v>0</v>
      </c>
      <c r="D1665" t="s">
        <v>260</v>
      </c>
      <c r="E1665" t="s">
        <v>392</v>
      </c>
      <c r="F1665" t="s">
        <v>43</v>
      </c>
      <c r="G1665">
        <v>7315</v>
      </c>
      <c r="H1665">
        <v>3658</v>
      </c>
      <c r="I1665">
        <v>0</v>
      </c>
      <c r="J1665">
        <v>0</v>
      </c>
      <c r="K1665">
        <v>0</v>
      </c>
      <c r="L1665">
        <v>0</v>
      </c>
      <c r="M1665">
        <v>0</v>
      </c>
      <c r="N1665">
        <v>4950</v>
      </c>
      <c r="O1665">
        <v>0</v>
      </c>
      <c r="P1665">
        <v>0</v>
      </c>
      <c r="Q1665">
        <v>0</v>
      </c>
      <c r="R1665">
        <v>0</v>
      </c>
      <c r="S1665">
        <v>4950</v>
      </c>
      <c r="T1665">
        <v>0</v>
      </c>
      <c r="U1665">
        <v>3</v>
      </c>
      <c r="V1665">
        <v>0</v>
      </c>
      <c r="W1665">
        <v>0</v>
      </c>
      <c r="X1665">
        <v>0</v>
      </c>
      <c r="Y1665">
        <v>900</v>
      </c>
      <c r="Z1665" cm="1">
        <f t="array" ref="Z1665">MMULT($G1665:$Y1665,'Nelson Factor_2019'!$B$1:$B$19)/$G1665</f>
        <v>44.12828434723172</v>
      </c>
      <c r="AA1665" cm="1">
        <f t="array" ref="AA1665">MMULT($G1665:$R1665,'Nelson Factor_2019'!$B$1:$B$12)/$G1665</f>
        <v>3.3418181818181818</v>
      </c>
    </row>
    <row r="1666" spans="1:27" x14ac:dyDescent="0.25">
      <c r="A1666">
        <v>2018</v>
      </c>
      <c r="B1666">
        <v>5</v>
      </c>
      <c r="C1666">
        <v>2</v>
      </c>
      <c r="D1666" t="s">
        <v>261</v>
      </c>
      <c r="E1666" t="s">
        <v>416</v>
      </c>
      <c r="F1666" t="s">
        <v>315</v>
      </c>
      <c r="G1666">
        <v>85500</v>
      </c>
      <c r="H1666">
        <v>28500</v>
      </c>
      <c r="I1666">
        <v>0</v>
      </c>
      <c r="J1666">
        <v>0</v>
      </c>
      <c r="K1666">
        <v>0</v>
      </c>
      <c r="L1666">
        <v>18000</v>
      </c>
      <c r="M1666">
        <v>13500</v>
      </c>
      <c r="N1666">
        <v>58950</v>
      </c>
      <c r="O1666">
        <v>0</v>
      </c>
      <c r="P1666">
        <v>0</v>
      </c>
      <c r="Q1666">
        <v>0</v>
      </c>
      <c r="R1666">
        <v>900</v>
      </c>
      <c r="S1666">
        <v>0</v>
      </c>
      <c r="T1666">
        <v>0</v>
      </c>
      <c r="U1666">
        <v>23</v>
      </c>
      <c r="V1666">
        <v>0</v>
      </c>
      <c r="W1666">
        <v>0</v>
      </c>
      <c r="X1666">
        <v>100</v>
      </c>
      <c r="Y1666">
        <v>14850</v>
      </c>
      <c r="Z1666" cm="1">
        <f t="array" ref="Z1666">MMULT($G1666:$Y1666,'Nelson Factor_2019'!$B$1:$B$19)/$G1666</f>
        <v>6.0458830409356725</v>
      </c>
      <c r="AA1666" cm="1">
        <f t="array" ref="AA1666">MMULT($G1666:$R1666,'Nelson Factor_2019'!$B$1:$B$12)/$G1666</f>
        <v>5.5043859649122808</v>
      </c>
    </row>
    <row r="1667" spans="1:27" x14ac:dyDescent="0.25">
      <c r="A1667">
        <v>2018</v>
      </c>
      <c r="B1667">
        <v>5</v>
      </c>
      <c r="C1667">
        <v>6</v>
      </c>
      <c r="D1667" t="s">
        <v>261</v>
      </c>
      <c r="E1667" t="s">
        <v>227</v>
      </c>
      <c r="F1667" t="s">
        <v>49</v>
      </c>
      <c r="G1667">
        <v>269000</v>
      </c>
      <c r="H1667">
        <v>161000</v>
      </c>
      <c r="I1667">
        <v>69500</v>
      </c>
      <c r="J1667">
        <v>0</v>
      </c>
      <c r="K1667">
        <v>66500</v>
      </c>
      <c r="L1667">
        <v>44500</v>
      </c>
      <c r="M1667">
        <v>49500</v>
      </c>
      <c r="N1667">
        <v>204500</v>
      </c>
      <c r="O1667">
        <v>30000</v>
      </c>
      <c r="P1667">
        <v>0</v>
      </c>
      <c r="Q1667">
        <v>0</v>
      </c>
      <c r="R1667">
        <v>27000</v>
      </c>
      <c r="S1667">
        <v>0</v>
      </c>
      <c r="T1667">
        <v>0</v>
      </c>
      <c r="U1667">
        <v>147</v>
      </c>
      <c r="V1667">
        <v>0</v>
      </c>
      <c r="W1667">
        <v>4064</v>
      </c>
      <c r="X1667">
        <v>775</v>
      </c>
      <c r="Y1667">
        <v>0</v>
      </c>
      <c r="Z1667" cm="1">
        <f t="array" ref="Z1667">MMULT($G1667:$Y1667,'Nelson Factor_2019'!$B$1:$B$19)/$G1667</f>
        <v>11.507237918215614</v>
      </c>
      <c r="AA1667" cm="1">
        <f t="array" ref="AA1667">MMULT($G1667:$R1667,'Nelson Factor_2019'!$B$1:$B$12)/$G1667</f>
        <v>10.815241635687732</v>
      </c>
    </row>
    <row r="1668" spans="1:27" x14ac:dyDescent="0.25">
      <c r="A1668">
        <v>2018</v>
      </c>
      <c r="B1668">
        <v>5</v>
      </c>
      <c r="C1668">
        <v>3</v>
      </c>
      <c r="D1668" t="s">
        <v>261</v>
      </c>
      <c r="E1668" t="s">
        <v>227</v>
      </c>
      <c r="F1668" t="s">
        <v>50</v>
      </c>
      <c r="G1668">
        <v>257000</v>
      </c>
      <c r="H1668">
        <v>110000</v>
      </c>
      <c r="I1668">
        <v>0</v>
      </c>
      <c r="J1668">
        <v>0</v>
      </c>
      <c r="K1668">
        <v>80000</v>
      </c>
      <c r="L1668">
        <v>59000</v>
      </c>
      <c r="M1668">
        <v>147000</v>
      </c>
      <c r="N1668">
        <v>197000</v>
      </c>
      <c r="O1668">
        <v>30000</v>
      </c>
      <c r="P1668">
        <v>0</v>
      </c>
      <c r="Q1668">
        <v>0</v>
      </c>
      <c r="R1668">
        <v>38600</v>
      </c>
      <c r="S1668">
        <v>28000</v>
      </c>
      <c r="T1668">
        <v>0</v>
      </c>
      <c r="U1668">
        <v>181.1</v>
      </c>
      <c r="V1668">
        <v>0</v>
      </c>
      <c r="W1668">
        <v>0</v>
      </c>
      <c r="X1668">
        <v>625</v>
      </c>
      <c r="Y1668">
        <v>45000</v>
      </c>
      <c r="Z1668" cm="1">
        <f t="array" ref="Z1668">MMULT($G1668:$Y1668,'Nelson Factor_2019'!$B$1:$B$19)/$G1668</f>
        <v>20.066074319066146</v>
      </c>
      <c r="AA1668" cm="1">
        <f t="array" ref="AA1668">MMULT($G1668:$R1668,'Nelson Factor_2019'!$B$1:$B$12)/$G1668</f>
        <v>12.682101167315174</v>
      </c>
    </row>
    <row r="1669" spans="1:27" x14ac:dyDescent="0.25">
      <c r="A1669">
        <v>2018</v>
      </c>
      <c r="B1669">
        <v>5</v>
      </c>
      <c r="C1669">
        <v>0</v>
      </c>
      <c r="D1669" t="s">
        <v>261</v>
      </c>
      <c r="E1669" t="s">
        <v>320</v>
      </c>
      <c r="F1669" t="s">
        <v>57</v>
      </c>
      <c r="G1669">
        <v>25650</v>
      </c>
      <c r="H1669">
        <v>0</v>
      </c>
      <c r="I1669">
        <v>0</v>
      </c>
      <c r="J1669">
        <v>0</v>
      </c>
      <c r="K1669">
        <v>0</v>
      </c>
      <c r="L1669">
        <v>5220</v>
      </c>
      <c r="M1669">
        <v>0</v>
      </c>
      <c r="N1669">
        <v>12600</v>
      </c>
      <c r="O1669">
        <v>0</v>
      </c>
      <c r="P1669">
        <v>0</v>
      </c>
      <c r="Q1669">
        <v>0</v>
      </c>
      <c r="R1669">
        <v>0</v>
      </c>
      <c r="S1669">
        <v>0</v>
      </c>
      <c r="T1669">
        <v>0</v>
      </c>
      <c r="U1669">
        <v>0</v>
      </c>
      <c r="V1669">
        <v>0</v>
      </c>
      <c r="W1669">
        <v>0</v>
      </c>
      <c r="X1669">
        <v>10</v>
      </c>
      <c r="Y1669">
        <v>0</v>
      </c>
      <c r="Z1669" cm="1">
        <f t="array" ref="Z1669">MMULT($G1669:$Y1669,'Nelson Factor_2019'!$B$1:$B$19)/$G1669</f>
        <v>3.3391812865497075</v>
      </c>
      <c r="AA1669" cm="1">
        <f t="array" ref="AA1669">MMULT($G1669:$R1669,'Nelson Factor_2019'!$B$1:$B$12)/$G1669</f>
        <v>3.2456140350877192</v>
      </c>
    </row>
    <row r="1670" spans="1:27" x14ac:dyDescent="0.25">
      <c r="A1670">
        <v>2018</v>
      </c>
      <c r="B1670">
        <v>5</v>
      </c>
      <c r="C1670">
        <v>6</v>
      </c>
      <c r="D1670" t="s">
        <v>261</v>
      </c>
      <c r="E1670" t="s">
        <v>245</v>
      </c>
      <c r="F1670" t="s">
        <v>55</v>
      </c>
      <c r="G1670">
        <v>149910</v>
      </c>
      <c r="H1670">
        <v>97185</v>
      </c>
      <c r="I1670">
        <v>47700</v>
      </c>
      <c r="J1670">
        <v>0</v>
      </c>
      <c r="K1670">
        <v>90180</v>
      </c>
      <c r="L1670">
        <v>16200</v>
      </c>
      <c r="M1670">
        <v>20700</v>
      </c>
      <c r="N1670">
        <v>134280</v>
      </c>
      <c r="O1670">
        <v>21780</v>
      </c>
      <c r="P1670">
        <v>0</v>
      </c>
      <c r="Q1670">
        <v>0</v>
      </c>
      <c r="R1670">
        <v>0</v>
      </c>
      <c r="S1670">
        <v>0</v>
      </c>
      <c r="T1670">
        <v>0</v>
      </c>
      <c r="U1670">
        <v>146</v>
      </c>
      <c r="V1670">
        <v>0</v>
      </c>
      <c r="W1670">
        <v>2271</v>
      </c>
      <c r="X1670">
        <v>363</v>
      </c>
      <c r="Y1670">
        <v>0</v>
      </c>
      <c r="Z1670" cm="1">
        <f t="array" ref="Z1670">MMULT($G1670:$Y1670,'Nelson Factor_2019'!$B$1:$B$19)/$G1670</f>
        <v>13.757898072176639</v>
      </c>
      <c r="AA1670" cm="1">
        <f t="array" ref="AA1670">MMULT($G1670:$R1670,'Nelson Factor_2019'!$B$1:$B$12)/$G1670</f>
        <v>13.175775465279168</v>
      </c>
    </row>
    <row r="1671" spans="1:27" x14ac:dyDescent="0.25">
      <c r="A1671">
        <v>2018</v>
      </c>
      <c r="B1671">
        <v>5</v>
      </c>
      <c r="C1671">
        <v>6</v>
      </c>
      <c r="D1671" t="s">
        <v>261</v>
      </c>
      <c r="E1671" t="s">
        <v>317</v>
      </c>
      <c r="F1671" t="s">
        <v>52</v>
      </c>
      <c r="G1671">
        <v>138700</v>
      </c>
      <c r="H1671">
        <v>78000</v>
      </c>
      <c r="I1671">
        <v>48150</v>
      </c>
      <c r="J1671">
        <v>0</v>
      </c>
      <c r="K1671">
        <v>45000</v>
      </c>
      <c r="L1671">
        <v>34000</v>
      </c>
      <c r="M1671">
        <v>24750</v>
      </c>
      <c r="N1671">
        <v>140900</v>
      </c>
      <c r="O1671">
        <v>14400</v>
      </c>
      <c r="P1671">
        <v>0</v>
      </c>
      <c r="Q1671">
        <v>0</v>
      </c>
      <c r="R1671">
        <v>21050</v>
      </c>
      <c r="S1671">
        <v>0</v>
      </c>
      <c r="T1671">
        <v>0</v>
      </c>
      <c r="U1671">
        <v>100</v>
      </c>
      <c r="V1671">
        <v>0</v>
      </c>
      <c r="W1671">
        <v>2000</v>
      </c>
      <c r="X1671">
        <v>340</v>
      </c>
      <c r="Y1671">
        <v>0</v>
      </c>
      <c r="Z1671" cm="1">
        <f t="array" ref="Z1671">MMULT($G1671:$Y1671,'Nelson Factor_2019'!$B$1:$B$19)/$G1671</f>
        <v>13.55677721701514</v>
      </c>
      <c r="AA1671" cm="1">
        <f t="array" ref="AA1671">MMULT($G1671:$R1671,'Nelson Factor_2019'!$B$1:$B$12)/$G1671</f>
        <v>12.96773612112473</v>
      </c>
    </row>
    <row r="1672" spans="1:27" x14ac:dyDescent="0.25">
      <c r="A1672">
        <v>2018</v>
      </c>
      <c r="B1672">
        <v>5</v>
      </c>
      <c r="C1672">
        <v>5</v>
      </c>
      <c r="D1672" t="s">
        <v>261</v>
      </c>
      <c r="E1672" t="s">
        <v>317</v>
      </c>
      <c r="F1672" t="s">
        <v>318</v>
      </c>
      <c r="G1672">
        <v>120000</v>
      </c>
      <c r="H1672">
        <v>87000</v>
      </c>
      <c r="I1672">
        <v>48000</v>
      </c>
      <c r="J1672">
        <v>0</v>
      </c>
      <c r="K1672">
        <v>0</v>
      </c>
      <c r="L1672">
        <v>31000</v>
      </c>
      <c r="M1672">
        <v>62000</v>
      </c>
      <c r="N1672">
        <v>76000</v>
      </c>
      <c r="O1672">
        <v>0</v>
      </c>
      <c r="P1672">
        <v>0</v>
      </c>
      <c r="Q1672">
        <v>0</v>
      </c>
      <c r="R1672">
        <v>9000</v>
      </c>
      <c r="S1672">
        <v>0</v>
      </c>
      <c r="T1672">
        <v>0</v>
      </c>
      <c r="U1672">
        <v>133.5</v>
      </c>
      <c r="V1672">
        <v>0</v>
      </c>
      <c r="W1672">
        <v>2500</v>
      </c>
      <c r="X1672">
        <v>530</v>
      </c>
      <c r="Y1672">
        <v>0</v>
      </c>
      <c r="Z1672" cm="1">
        <f t="array" ref="Z1672">MMULT($G1672:$Y1672,'Nelson Factor_2019'!$B$1:$B$19)/$G1672</f>
        <v>13.236945833333333</v>
      </c>
      <c r="AA1672" cm="1">
        <f t="array" ref="AA1672">MMULT($G1672:$R1672,'Nelson Factor_2019'!$B$1:$B$12)/$G1672</f>
        <v>12.175833333333333</v>
      </c>
    </row>
    <row r="1673" spans="1:27" x14ac:dyDescent="0.25">
      <c r="A1673">
        <v>2018</v>
      </c>
      <c r="B1673">
        <v>5</v>
      </c>
      <c r="C1673">
        <v>6</v>
      </c>
      <c r="D1673" t="s">
        <v>261</v>
      </c>
      <c r="E1673" t="s">
        <v>388</v>
      </c>
      <c r="F1673" t="s">
        <v>62</v>
      </c>
      <c r="G1673">
        <v>150100</v>
      </c>
      <c r="H1673">
        <v>96900</v>
      </c>
      <c r="I1673">
        <v>42750</v>
      </c>
      <c r="J1673">
        <v>0</v>
      </c>
      <c r="K1673">
        <v>64800</v>
      </c>
      <c r="L1673">
        <v>27900</v>
      </c>
      <c r="M1673">
        <v>38070</v>
      </c>
      <c r="N1673">
        <v>241200</v>
      </c>
      <c r="O1673">
        <v>11250</v>
      </c>
      <c r="P1673">
        <v>0</v>
      </c>
      <c r="Q1673">
        <v>0</v>
      </c>
      <c r="R1673">
        <v>13500</v>
      </c>
      <c r="S1673">
        <v>0</v>
      </c>
      <c r="T1673">
        <v>0</v>
      </c>
      <c r="U1673">
        <v>193</v>
      </c>
      <c r="V1673">
        <v>0</v>
      </c>
      <c r="W1673">
        <v>1224</v>
      </c>
      <c r="X1673">
        <v>375</v>
      </c>
      <c r="Y1673">
        <v>0</v>
      </c>
      <c r="Z1673" cm="1">
        <f t="array" ref="Z1673">MMULT($G1673:$Y1673,'Nelson Factor_2019'!$B$1:$B$19)/$G1673</f>
        <v>15.161545636242504</v>
      </c>
      <c r="AA1673" cm="1">
        <f t="array" ref="AA1673">MMULT($G1673:$R1673,'Nelson Factor_2019'!$B$1:$B$12)/$G1673</f>
        <v>14.560659560293137</v>
      </c>
    </row>
    <row r="1674" spans="1:27" x14ac:dyDescent="0.25">
      <c r="A1674">
        <v>2018</v>
      </c>
      <c r="B1674">
        <v>5</v>
      </c>
      <c r="C1674">
        <v>0</v>
      </c>
      <c r="D1674" t="s">
        <v>261</v>
      </c>
      <c r="E1674" t="s">
        <v>321</v>
      </c>
      <c r="F1674" t="s">
        <v>57</v>
      </c>
      <c r="G1674">
        <v>23750</v>
      </c>
      <c r="H1674">
        <v>13585</v>
      </c>
      <c r="I1674">
        <v>0</v>
      </c>
      <c r="J1674">
        <v>4500</v>
      </c>
      <c r="K1674">
        <v>0</v>
      </c>
      <c r="L1674">
        <v>0</v>
      </c>
      <c r="M1674">
        <v>0</v>
      </c>
      <c r="N1674">
        <v>4860</v>
      </c>
      <c r="O1674">
        <v>0</v>
      </c>
      <c r="P1674">
        <v>0</v>
      </c>
      <c r="Q1674">
        <v>1350</v>
      </c>
      <c r="R1674">
        <v>0</v>
      </c>
      <c r="S1674">
        <v>5220</v>
      </c>
      <c r="T1674">
        <v>0</v>
      </c>
      <c r="U1674">
        <v>4</v>
      </c>
      <c r="V1674">
        <v>0</v>
      </c>
      <c r="W1674">
        <v>0</v>
      </c>
      <c r="X1674">
        <v>5</v>
      </c>
      <c r="Y1674">
        <v>7200</v>
      </c>
      <c r="Z1674" cm="1">
        <f t="array" ref="Z1674">MMULT($G1674:$Y1674,'Nelson Factor_2019'!$B$1:$B$19)/$G1674</f>
        <v>17.605873684210525</v>
      </c>
      <c r="AA1674" cm="1">
        <f t="array" ref="AA1674">MMULT($G1674:$R1674,'Nelson Factor_2019'!$B$1:$B$12)/$G1674</f>
        <v>3.9130736842105263</v>
      </c>
    </row>
    <row r="1675" spans="1:27" x14ac:dyDescent="0.25">
      <c r="A1675">
        <v>2018</v>
      </c>
      <c r="B1675">
        <v>5</v>
      </c>
      <c r="C1675">
        <v>6</v>
      </c>
      <c r="D1675" t="s">
        <v>261</v>
      </c>
      <c r="E1675" t="s">
        <v>417</v>
      </c>
      <c r="F1675" t="s">
        <v>52</v>
      </c>
      <c r="G1675">
        <v>363850</v>
      </c>
      <c r="H1675">
        <v>194750</v>
      </c>
      <c r="I1675">
        <v>98190</v>
      </c>
      <c r="J1675">
        <v>0</v>
      </c>
      <c r="K1675">
        <v>123750</v>
      </c>
      <c r="L1675">
        <v>68400</v>
      </c>
      <c r="M1675">
        <v>79200</v>
      </c>
      <c r="N1675">
        <v>296100</v>
      </c>
      <c r="O1675">
        <v>26550</v>
      </c>
      <c r="P1675">
        <v>0</v>
      </c>
      <c r="Q1675">
        <v>0</v>
      </c>
      <c r="R1675">
        <v>30870</v>
      </c>
      <c r="S1675">
        <v>0</v>
      </c>
      <c r="T1675">
        <v>0</v>
      </c>
      <c r="U1675">
        <v>120</v>
      </c>
      <c r="V1675">
        <v>0</v>
      </c>
      <c r="W1675">
        <v>3903</v>
      </c>
      <c r="X1675">
        <v>686</v>
      </c>
      <c r="Y1675">
        <v>0</v>
      </c>
      <c r="Z1675" cm="1">
        <f t="array" ref="Z1675">MMULT($G1675:$Y1675,'Nelson Factor_2019'!$B$1:$B$19)/$G1675</f>
        <v>11.913343410746187</v>
      </c>
      <c r="AA1675" cm="1">
        <f t="array" ref="AA1675">MMULT($G1675:$R1675,'Nelson Factor_2019'!$B$1:$B$12)/$G1675</f>
        <v>11.460519444826165</v>
      </c>
    </row>
    <row r="1676" spans="1:27" x14ac:dyDescent="0.25">
      <c r="A1676">
        <v>2018</v>
      </c>
      <c r="B1676">
        <v>5</v>
      </c>
      <c r="C1676">
        <v>6</v>
      </c>
      <c r="D1676" t="s">
        <v>261</v>
      </c>
      <c r="E1676" t="s">
        <v>417</v>
      </c>
      <c r="F1676" t="s">
        <v>324</v>
      </c>
      <c r="G1676">
        <v>161500</v>
      </c>
      <c r="H1676">
        <v>149055</v>
      </c>
      <c r="I1676">
        <v>47700</v>
      </c>
      <c r="J1676">
        <v>0</v>
      </c>
      <c r="K1676">
        <v>65700</v>
      </c>
      <c r="L1676">
        <v>23400</v>
      </c>
      <c r="M1676">
        <v>33300</v>
      </c>
      <c r="N1676">
        <v>178200</v>
      </c>
      <c r="O1676">
        <v>13860</v>
      </c>
      <c r="P1676">
        <v>0</v>
      </c>
      <c r="Q1676">
        <v>0</v>
      </c>
      <c r="R1676">
        <v>0</v>
      </c>
      <c r="S1676">
        <v>0</v>
      </c>
      <c r="T1676">
        <v>0</v>
      </c>
      <c r="U1676">
        <v>82</v>
      </c>
      <c r="V1676">
        <v>0</v>
      </c>
      <c r="W1676">
        <v>2040</v>
      </c>
      <c r="X1676">
        <v>181</v>
      </c>
      <c r="Y1676">
        <v>0</v>
      </c>
      <c r="Z1676" cm="1">
        <f t="array" ref="Z1676">MMULT($G1676:$Y1676,'Nelson Factor_2019'!$B$1:$B$19)/$G1676</f>
        <v>13.116058823529412</v>
      </c>
      <c r="AA1676" cm="1">
        <f t="array" ref="AA1676">MMULT($G1676:$R1676,'Nelson Factor_2019'!$B$1:$B$12)/$G1676</f>
        <v>12.846572755417956</v>
      </c>
    </row>
    <row r="1677" spans="1:27" x14ac:dyDescent="0.25">
      <c r="A1677">
        <v>2018</v>
      </c>
      <c r="B1677">
        <v>5</v>
      </c>
      <c r="C1677">
        <v>6</v>
      </c>
      <c r="D1677" t="s">
        <v>261</v>
      </c>
      <c r="E1677" t="s">
        <v>66</v>
      </c>
      <c r="F1677" t="s">
        <v>67</v>
      </c>
      <c r="G1677">
        <v>141550</v>
      </c>
      <c r="H1677">
        <v>81225</v>
      </c>
      <c r="I1677">
        <v>26550</v>
      </c>
      <c r="J1677">
        <v>0</v>
      </c>
      <c r="K1677">
        <v>67770</v>
      </c>
      <c r="L1677">
        <v>33480</v>
      </c>
      <c r="M1677">
        <v>30600</v>
      </c>
      <c r="N1677">
        <v>152370</v>
      </c>
      <c r="O1677">
        <v>15390</v>
      </c>
      <c r="P1677">
        <v>0</v>
      </c>
      <c r="Q1677">
        <v>0</v>
      </c>
      <c r="R1677">
        <v>3780</v>
      </c>
      <c r="S1677">
        <v>0</v>
      </c>
      <c r="T1677">
        <v>0</v>
      </c>
      <c r="U1677">
        <v>135</v>
      </c>
      <c r="V1677">
        <v>0</v>
      </c>
      <c r="W1677">
        <v>925</v>
      </c>
      <c r="X1677">
        <v>275</v>
      </c>
      <c r="Y1677">
        <v>8100</v>
      </c>
      <c r="Z1677" cm="1">
        <f t="array" ref="Z1677">MMULT($G1677:$Y1677,'Nelson Factor_2019'!$B$1:$B$19)/$G1677</f>
        <v>13.348904980572236</v>
      </c>
      <c r="AA1677" cm="1">
        <f t="array" ref="AA1677">MMULT($G1677:$R1677,'Nelson Factor_2019'!$B$1:$B$12)/$G1677</f>
        <v>12.795849523136701</v>
      </c>
    </row>
    <row r="1678" spans="1:27" x14ac:dyDescent="0.25">
      <c r="A1678">
        <v>2018</v>
      </c>
      <c r="B1678">
        <v>5</v>
      </c>
      <c r="C1678">
        <v>4</v>
      </c>
      <c r="D1678" t="s">
        <v>261</v>
      </c>
      <c r="E1678" t="s">
        <v>66</v>
      </c>
      <c r="F1678" t="s">
        <v>63</v>
      </c>
      <c r="G1678">
        <v>82650</v>
      </c>
      <c r="H1678">
        <v>43700</v>
      </c>
      <c r="I1678">
        <v>25920</v>
      </c>
      <c r="J1678">
        <v>0</v>
      </c>
      <c r="K1678">
        <v>50670</v>
      </c>
      <c r="L1678">
        <v>16200</v>
      </c>
      <c r="M1678">
        <v>0</v>
      </c>
      <c r="N1678">
        <v>129600</v>
      </c>
      <c r="O1678">
        <v>19800</v>
      </c>
      <c r="P1678">
        <v>0</v>
      </c>
      <c r="Q1678">
        <v>0</v>
      </c>
      <c r="R1678">
        <v>0</v>
      </c>
      <c r="S1678">
        <v>0</v>
      </c>
      <c r="T1678">
        <v>0</v>
      </c>
      <c r="U1678">
        <v>50</v>
      </c>
      <c r="V1678">
        <v>0</v>
      </c>
      <c r="W1678">
        <v>1360</v>
      </c>
      <c r="X1678">
        <v>254</v>
      </c>
      <c r="Y1678">
        <v>0</v>
      </c>
      <c r="Z1678" cm="1">
        <f t="array" ref="Z1678">MMULT($G1678:$Y1678,'Nelson Factor_2019'!$B$1:$B$19)/$G1678</f>
        <v>15.751845130066545</v>
      </c>
      <c r="AA1678" cm="1">
        <f t="array" ref="AA1678">MMULT($G1678:$R1678,'Nelson Factor_2019'!$B$1:$B$12)/$G1678</f>
        <v>15.013672111312765</v>
      </c>
    </row>
    <row r="1679" spans="1:27" x14ac:dyDescent="0.25">
      <c r="A1679">
        <v>2018</v>
      </c>
      <c r="B1679">
        <v>4</v>
      </c>
      <c r="C1679">
        <v>1</v>
      </c>
      <c r="D1679" t="s">
        <v>263</v>
      </c>
      <c r="E1679" t="s">
        <v>394</v>
      </c>
      <c r="F1679" t="s">
        <v>70</v>
      </c>
      <c r="G1679">
        <v>98000</v>
      </c>
      <c r="H1679">
        <v>34200</v>
      </c>
      <c r="I1679">
        <v>0</v>
      </c>
      <c r="J1679">
        <v>0</v>
      </c>
      <c r="K1679">
        <v>30225</v>
      </c>
      <c r="L1679">
        <v>21900</v>
      </c>
      <c r="M1679">
        <v>0</v>
      </c>
      <c r="N1679">
        <v>87800</v>
      </c>
      <c r="O1679">
        <v>0</v>
      </c>
      <c r="P1679">
        <v>0</v>
      </c>
      <c r="Q1679">
        <v>0</v>
      </c>
      <c r="R1679">
        <v>0</v>
      </c>
      <c r="S1679">
        <v>0</v>
      </c>
      <c r="T1679">
        <v>0</v>
      </c>
      <c r="U1679">
        <v>26</v>
      </c>
      <c r="V1679">
        <v>0</v>
      </c>
      <c r="W1679">
        <v>0</v>
      </c>
      <c r="X1679">
        <v>94</v>
      </c>
      <c r="Y1679">
        <v>10500</v>
      </c>
      <c r="Z1679" cm="1">
        <f t="array" ref="Z1679">MMULT($G1679:$Y1679,'Nelson Factor_2019'!$B$1:$B$19)/$G1679</f>
        <v>7.0525102040816323</v>
      </c>
      <c r="AA1679" cm="1">
        <f t="array" ref="AA1679">MMULT($G1679:$R1679,'Nelson Factor_2019'!$B$1:$B$12)/$G1679</f>
        <v>6.6613265306122447</v>
      </c>
    </row>
    <row r="1680" spans="1:27" x14ac:dyDescent="0.25">
      <c r="A1680">
        <v>2018</v>
      </c>
      <c r="B1680">
        <v>1</v>
      </c>
      <c r="C1680">
        <v>6</v>
      </c>
      <c r="D1680" t="s">
        <v>265</v>
      </c>
      <c r="E1680" t="s">
        <v>245</v>
      </c>
      <c r="F1680" t="s">
        <v>74</v>
      </c>
      <c r="G1680">
        <v>180690</v>
      </c>
      <c r="H1680">
        <v>99370</v>
      </c>
      <c r="I1680">
        <v>49050</v>
      </c>
      <c r="J1680">
        <v>0</v>
      </c>
      <c r="K1680">
        <v>77400</v>
      </c>
      <c r="L1680">
        <v>39420</v>
      </c>
      <c r="M1680">
        <v>20070</v>
      </c>
      <c r="N1680">
        <v>135450</v>
      </c>
      <c r="O1680">
        <v>10556</v>
      </c>
      <c r="P1680">
        <v>0</v>
      </c>
      <c r="Q1680">
        <v>4672</v>
      </c>
      <c r="R1680">
        <v>5400</v>
      </c>
      <c r="S1680">
        <v>0</v>
      </c>
      <c r="T1680">
        <v>0</v>
      </c>
      <c r="U1680">
        <v>40</v>
      </c>
      <c r="V1680">
        <v>0</v>
      </c>
      <c r="W1680">
        <v>1852</v>
      </c>
      <c r="X1680">
        <v>541</v>
      </c>
      <c r="Y1680">
        <v>0</v>
      </c>
      <c r="Z1680" cm="1">
        <f t="array" ref="Z1680">MMULT($G1680:$Y1680,'Nelson Factor_2019'!$B$1:$B$19)/$G1680</f>
        <v>12.08429354142454</v>
      </c>
      <c r="AA1680" cm="1">
        <f t="array" ref="AA1680">MMULT($G1680:$R1680,'Nelson Factor_2019'!$B$1:$B$12)/$G1680</f>
        <v>11.365493386463003</v>
      </c>
    </row>
    <row r="1681" spans="1:27" x14ac:dyDescent="0.25">
      <c r="A1681">
        <v>2018</v>
      </c>
      <c r="B1681">
        <v>5</v>
      </c>
      <c r="C1681">
        <v>1</v>
      </c>
      <c r="D1681" t="s">
        <v>266</v>
      </c>
      <c r="E1681" t="s">
        <v>395</v>
      </c>
      <c r="F1681" t="s">
        <v>76</v>
      </c>
      <c r="G1681">
        <v>54150</v>
      </c>
      <c r="H1681">
        <v>29450</v>
      </c>
      <c r="I1681">
        <v>0</v>
      </c>
      <c r="J1681">
        <v>0</v>
      </c>
      <c r="K1681">
        <v>19800</v>
      </c>
      <c r="L1681">
        <v>0</v>
      </c>
      <c r="M1681">
        <v>0</v>
      </c>
      <c r="N1681">
        <v>6300</v>
      </c>
      <c r="O1681">
        <v>4500</v>
      </c>
      <c r="P1681">
        <v>0</v>
      </c>
      <c r="Q1681">
        <v>0</v>
      </c>
      <c r="R1681">
        <v>2880</v>
      </c>
      <c r="S1681">
        <v>0</v>
      </c>
      <c r="T1681">
        <v>0</v>
      </c>
      <c r="U1681">
        <v>3</v>
      </c>
      <c r="V1681">
        <v>0</v>
      </c>
      <c r="W1681">
        <v>0</v>
      </c>
      <c r="X1681">
        <v>0</v>
      </c>
      <c r="Y1681">
        <v>0</v>
      </c>
      <c r="Z1681" cm="1">
        <f t="array" ref="Z1681">MMULT($G1681:$Y1681,'Nelson Factor_2019'!$B$1:$B$19)/$G1681</f>
        <v>5.1824192059095102</v>
      </c>
      <c r="AA1681" cm="1">
        <f t="array" ref="AA1681">MMULT($G1681:$R1681,'Nelson Factor_2019'!$B$1:$B$12)/$G1681</f>
        <v>5.1823638042474611</v>
      </c>
    </row>
    <row r="1682" spans="1:27" x14ac:dyDescent="0.25">
      <c r="A1682">
        <v>2018</v>
      </c>
      <c r="B1682">
        <v>5</v>
      </c>
      <c r="C1682">
        <v>2</v>
      </c>
      <c r="D1682" t="s">
        <v>266</v>
      </c>
      <c r="E1682" t="s">
        <v>396</v>
      </c>
      <c r="F1682" t="s">
        <v>330</v>
      </c>
      <c r="G1682">
        <v>90250</v>
      </c>
      <c r="H1682">
        <v>38000</v>
      </c>
      <c r="I1682">
        <v>0</v>
      </c>
      <c r="J1682">
        <v>9900</v>
      </c>
      <c r="K1682">
        <v>0</v>
      </c>
      <c r="L1682">
        <v>12150</v>
      </c>
      <c r="M1682">
        <v>18000</v>
      </c>
      <c r="N1682">
        <v>11700</v>
      </c>
      <c r="O1682">
        <v>0</v>
      </c>
      <c r="P1682">
        <v>0</v>
      </c>
      <c r="Q1682">
        <v>0</v>
      </c>
      <c r="R1682">
        <v>0</v>
      </c>
      <c r="S1682">
        <v>0</v>
      </c>
      <c r="T1682">
        <v>0</v>
      </c>
      <c r="U1682">
        <v>18</v>
      </c>
      <c r="V1682">
        <v>0</v>
      </c>
      <c r="W1682">
        <v>0</v>
      </c>
      <c r="X1682">
        <v>34</v>
      </c>
      <c r="Y1682">
        <v>13500</v>
      </c>
      <c r="Z1682" cm="1">
        <f t="array" ref="Z1682">MMULT($G1682:$Y1682,'Nelson Factor_2019'!$B$1:$B$19)/$G1682</f>
        <v>4.7568199445983383</v>
      </c>
      <c r="AA1682" cm="1">
        <f t="array" ref="AA1682">MMULT($G1682:$R1682,'Nelson Factor_2019'!$B$1:$B$12)/$G1682</f>
        <v>4.4418282548476453</v>
      </c>
    </row>
    <row r="1683" spans="1:27" x14ac:dyDescent="0.25">
      <c r="A1683">
        <v>2018</v>
      </c>
      <c r="B1683">
        <v>2</v>
      </c>
      <c r="C1683">
        <v>4</v>
      </c>
      <c r="D1683" t="s">
        <v>267</v>
      </c>
      <c r="E1683" t="s">
        <v>397</v>
      </c>
      <c r="F1683" t="s">
        <v>82</v>
      </c>
      <c r="G1683">
        <v>247000</v>
      </c>
      <c r="H1683">
        <v>120365</v>
      </c>
      <c r="I1683">
        <v>53460</v>
      </c>
      <c r="J1683">
        <v>0</v>
      </c>
      <c r="K1683">
        <v>89370</v>
      </c>
      <c r="L1683">
        <v>47340</v>
      </c>
      <c r="M1683">
        <v>0</v>
      </c>
      <c r="N1683">
        <v>229140</v>
      </c>
      <c r="O1683">
        <v>26190</v>
      </c>
      <c r="P1683">
        <v>0</v>
      </c>
      <c r="Q1683">
        <v>0</v>
      </c>
      <c r="R1683">
        <v>0</v>
      </c>
      <c r="S1683">
        <v>0</v>
      </c>
      <c r="T1683">
        <v>0</v>
      </c>
      <c r="U1683">
        <v>0</v>
      </c>
      <c r="V1683">
        <v>0</v>
      </c>
      <c r="W1683">
        <v>2529</v>
      </c>
      <c r="X1683">
        <v>620</v>
      </c>
      <c r="Y1683">
        <v>13590</v>
      </c>
      <c r="Z1683" cm="1">
        <f t="array" ref="Z1683">MMULT($G1683:$Y1683,'Nelson Factor_2019'!$B$1:$B$19)/$G1683</f>
        <v>10.450524291497976</v>
      </c>
      <c r="AA1683" cm="1">
        <f t="array" ref="AA1683">MMULT($G1683:$R1683,'Nelson Factor_2019'!$B$1:$B$12)/$G1683</f>
        <v>9.7655647773279348</v>
      </c>
    </row>
    <row r="1684" spans="1:27" x14ac:dyDescent="0.25">
      <c r="A1684">
        <v>2018</v>
      </c>
      <c r="B1684">
        <v>2</v>
      </c>
      <c r="C1684">
        <v>6</v>
      </c>
      <c r="D1684" t="s">
        <v>267</v>
      </c>
      <c r="E1684" t="s">
        <v>398</v>
      </c>
      <c r="F1684" t="s">
        <v>84</v>
      </c>
      <c r="G1684">
        <v>245000</v>
      </c>
      <c r="H1684">
        <v>71300</v>
      </c>
      <c r="I1684">
        <v>29000</v>
      </c>
      <c r="J1684">
        <v>0</v>
      </c>
      <c r="K1684">
        <v>51800</v>
      </c>
      <c r="L1684">
        <v>77900</v>
      </c>
      <c r="M1684">
        <v>41300</v>
      </c>
      <c r="N1684">
        <v>197600</v>
      </c>
      <c r="O1684">
        <v>12400</v>
      </c>
      <c r="P1684">
        <v>0</v>
      </c>
      <c r="Q1684">
        <v>3100</v>
      </c>
      <c r="R1684">
        <v>15200</v>
      </c>
      <c r="S1684">
        <v>0</v>
      </c>
      <c r="T1684">
        <v>0</v>
      </c>
      <c r="U1684">
        <v>0</v>
      </c>
      <c r="V1684">
        <v>0</v>
      </c>
      <c r="W1684">
        <v>1360</v>
      </c>
      <c r="X1684">
        <v>175</v>
      </c>
      <c r="Y1684">
        <v>0</v>
      </c>
      <c r="Z1684" cm="1">
        <f t="array" ref="Z1684">MMULT($G1684:$Y1684,'Nelson Factor_2019'!$B$1:$B$19)/$G1684</f>
        <v>9.606081632653062</v>
      </c>
      <c r="AA1684" cm="1">
        <f t="array" ref="AA1684">MMULT($G1684:$R1684,'Nelson Factor_2019'!$B$1:$B$12)/$G1684</f>
        <v>9.4346530612244894</v>
      </c>
    </row>
    <row r="1685" spans="1:27" x14ac:dyDescent="0.25">
      <c r="A1685">
        <v>2018</v>
      </c>
      <c r="B1685">
        <v>2</v>
      </c>
      <c r="C1685">
        <v>4</v>
      </c>
      <c r="D1685" t="s">
        <v>267</v>
      </c>
      <c r="E1685" t="s">
        <v>399</v>
      </c>
      <c r="F1685" t="s">
        <v>80</v>
      </c>
      <c r="G1685">
        <v>175940</v>
      </c>
      <c r="H1685">
        <v>73340</v>
      </c>
      <c r="I1685">
        <v>36360</v>
      </c>
      <c r="J1685">
        <v>0</v>
      </c>
      <c r="K1685">
        <v>62550</v>
      </c>
      <c r="L1685">
        <v>31410</v>
      </c>
      <c r="M1685">
        <v>0</v>
      </c>
      <c r="N1685">
        <v>202680</v>
      </c>
      <c r="O1685">
        <v>18900</v>
      </c>
      <c r="P1685">
        <v>0</v>
      </c>
      <c r="Q1685">
        <v>8460</v>
      </c>
      <c r="R1685">
        <v>0</v>
      </c>
      <c r="S1685">
        <v>0</v>
      </c>
      <c r="T1685">
        <v>0</v>
      </c>
      <c r="U1685">
        <v>12</v>
      </c>
      <c r="V1685">
        <v>0</v>
      </c>
      <c r="W1685">
        <v>1632</v>
      </c>
      <c r="X1685">
        <v>442</v>
      </c>
      <c r="Y1685">
        <v>0</v>
      </c>
      <c r="Z1685" cm="1">
        <f t="array" ref="Z1685">MMULT($G1685:$Y1685,'Nelson Factor_2019'!$B$1:$B$19)/$G1685</f>
        <v>11.636489712401955</v>
      </c>
      <c r="AA1685" cm="1">
        <f t="array" ref="AA1685">MMULT($G1685:$R1685,'Nelson Factor_2019'!$B$1:$B$12)/$G1685</f>
        <v>11.033488689325907</v>
      </c>
    </row>
    <row r="1686" spans="1:27" x14ac:dyDescent="0.25">
      <c r="A1686">
        <v>2018</v>
      </c>
      <c r="B1686">
        <v>2</v>
      </c>
      <c r="C1686">
        <v>6</v>
      </c>
      <c r="D1686" t="s">
        <v>267</v>
      </c>
      <c r="E1686" t="s">
        <v>377</v>
      </c>
      <c r="F1686" t="s">
        <v>332</v>
      </c>
      <c r="G1686">
        <v>314000</v>
      </c>
      <c r="H1686">
        <v>187000</v>
      </c>
      <c r="I1686">
        <v>75000</v>
      </c>
      <c r="J1686">
        <v>0</v>
      </c>
      <c r="K1686">
        <v>91000</v>
      </c>
      <c r="L1686">
        <v>72000</v>
      </c>
      <c r="M1686">
        <v>49500</v>
      </c>
      <c r="N1686">
        <v>260000</v>
      </c>
      <c r="O1686">
        <v>20000</v>
      </c>
      <c r="P1686">
        <v>0</v>
      </c>
      <c r="Q1686">
        <v>4100</v>
      </c>
      <c r="R1686">
        <v>0</v>
      </c>
      <c r="S1686">
        <v>0</v>
      </c>
      <c r="T1686">
        <v>0</v>
      </c>
      <c r="U1686">
        <v>171</v>
      </c>
      <c r="V1686">
        <v>0</v>
      </c>
      <c r="W1686">
        <v>5100</v>
      </c>
      <c r="X1686">
        <v>825</v>
      </c>
      <c r="Y1686">
        <v>21000</v>
      </c>
      <c r="Z1686" cm="1">
        <f t="array" ref="Z1686">MMULT($G1686:$Y1686,'Nelson Factor_2019'!$B$1:$B$19)/$G1686</f>
        <v>11.411691082802548</v>
      </c>
      <c r="AA1686" cm="1">
        <f t="array" ref="AA1686">MMULT($G1686:$R1686,'Nelson Factor_2019'!$B$1:$B$12)/$G1686</f>
        <v>10.680254777070063</v>
      </c>
    </row>
    <row r="1687" spans="1:27" x14ac:dyDescent="0.25">
      <c r="A1687">
        <v>2018</v>
      </c>
      <c r="B1687">
        <v>2</v>
      </c>
      <c r="C1687">
        <v>4</v>
      </c>
      <c r="D1687" t="s">
        <v>268</v>
      </c>
      <c r="E1687" t="s">
        <v>32</v>
      </c>
      <c r="F1687" t="s">
        <v>86</v>
      </c>
      <c r="G1687">
        <v>408500</v>
      </c>
      <c r="H1687">
        <v>250705</v>
      </c>
      <c r="I1687">
        <v>91800</v>
      </c>
      <c r="J1687">
        <v>0</v>
      </c>
      <c r="K1687">
        <v>157500</v>
      </c>
      <c r="L1687">
        <v>58500</v>
      </c>
      <c r="M1687">
        <v>0</v>
      </c>
      <c r="N1687">
        <v>435150</v>
      </c>
      <c r="O1687">
        <v>27900</v>
      </c>
      <c r="P1687">
        <v>0</v>
      </c>
      <c r="Q1687">
        <v>0</v>
      </c>
      <c r="R1687">
        <v>27270</v>
      </c>
      <c r="S1687">
        <v>0</v>
      </c>
      <c r="T1687">
        <v>0</v>
      </c>
      <c r="U1687">
        <v>30.000000000000004</v>
      </c>
      <c r="V1687">
        <v>0</v>
      </c>
      <c r="W1687">
        <v>6000</v>
      </c>
      <c r="X1687">
        <v>1700</v>
      </c>
      <c r="Y1687">
        <v>26550</v>
      </c>
      <c r="Z1687" cm="1">
        <f t="array" ref="Z1687">MMULT($G1687:$Y1687,'Nelson Factor_2019'!$B$1:$B$19)/$G1687</f>
        <v>11.155340269277845</v>
      </c>
      <c r="AA1687" cm="1">
        <f t="array" ref="AA1687">MMULT($G1687:$R1687,'Nelson Factor_2019'!$B$1:$B$12)/$G1687</f>
        <v>10.058999999999999</v>
      </c>
    </row>
    <row r="1688" spans="1:27" x14ac:dyDescent="0.25">
      <c r="A1688">
        <v>2018</v>
      </c>
      <c r="B1688">
        <v>2</v>
      </c>
      <c r="C1688">
        <v>1</v>
      </c>
      <c r="D1688" t="s">
        <v>268</v>
      </c>
      <c r="E1688" t="s">
        <v>87</v>
      </c>
      <c r="F1688" t="s">
        <v>88</v>
      </c>
      <c r="G1688">
        <v>29006.747252747253</v>
      </c>
      <c r="H1688">
        <v>12340.787545787545</v>
      </c>
      <c r="I1688">
        <v>0</v>
      </c>
      <c r="J1688">
        <v>0</v>
      </c>
      <c r="K1688">
        <v>7543.9230769230771</v>
      </c>
      <c r="L1688">
        <v>5885.6813186813188</v>
      </c>
      <c r="M1688">
        <v>0</v>
      </c>
      <c r="N1688">
        <v>25664.923076923078</v>
      </c>
      <c r="O1688">
        <v>1694.5934065934066</v>
      </c>
      <c r="P1688">
        <v>0</v>
      </c>
      <c r="Q1688">
        <v>0</v>
      </c>
      <c r="R1688">
        <v>2271.1282051282051</v>
      </c>
      <c r="S1688">
        <v>0</v>
      </c>
      <c r="T1688">
        <v>0</v>
      </c>
      <c r="U1688">
        <v>7.3706300366300406</v>
      </c>
      <c r="V1688">
        <v>0</v>
      </c>
      <c r="W1688">
        <v>0</v>
      </c>
      <c r="X1688">
        <v>6.6561172161172157</v>
      </c>
      <c r="Y1688">
        <v>0</v>
      </c>
      <c r="Z1688" cm="1">
        <f t="array" ref="Z1688">MMULT($G1688:$Y1688,'Nelson Factor_2019'!$B$1:$B$19)/$G1688</f>
        <v>7.2144656355057988</v>
      </c>
      <c r="AA1688" cm="1">
        <f t="array" ref="AA1688">MMULT($G1688:$R1688,'Nelson Factor_2019'!$B$1:$B$12)/$G1688</f>
        <v>7.1591392403081162</v>
      </c>
    </row>
    <row r="1689" spans="1:27" x14ac:dyDescent="0.25">
      <c r="A1689">
        <v>2018</v>
      </c>
      <c r="B1689">
        <v>2</v>
      </c>
      <c r="C1689">
        <v>6</v>
      </c>
      <c r="D1689" t="s">
        <v>269</v>
      </c>
      <c r="E1689" t="s">
        <v>336</v>
      </c>
      <c r="F1689" t="s">
        <v>94</v>
      </c>
      <c r="G1689">
        <v>95000</v>
      </c>
      <c r="H1689">
        <v>36100</v>
      </c>
      <c r="I1689">
        <v>22500</v>
      </c>
      <c r="J1689">
        <v>0</v>
      </c>
      <c r="K1689">
        <v>22050</v>
      </c>
      <c r="L1689">
        <v>21600</v>
      </c>
      <c r="M1689">
        <v>34650</v>
      </c>
      <c r="N1689">
        <v>73080</v>
      </c>
      <c r="O1689">
        <v>8550</v>
      </c>
      <c r="P1689">
        <v>0</v>
      </c>
      <c r="Q1689">
        <v>0</v>
      </c>
      <c r="R1689">
        <v>14220</v>
      </c>
      <c r="S1689">
        <v>0</v>
      </c>
      <c r="T1689">
        <v>0</v>
      </c>
      <c r="U1689">
        <v>34</v>
      </c>
      <c r="V1689">
        <v>0</v>
      </c>
      <c r="W1689">
        <v>593</v>
      </c>
      <c r="X1689">
        <v>152</v>
      </c>
      <c r="Y1689">
        <v>0</v>
      </c>
      <c r="Z1689" cm="1">
        <f t="array" ref="Z1689">MMULT($G1689:$Y1689,'Nelson Factor_2019'!$B$1:$B$19)/$G1689</f>
        <v>12.374252631578948</v>
      </c>
      <c r="AA1689" cm="1">
        <f t="array" ref="AA1689">MMULT($G1689:$R1689,'Nelson Factor_2019'!$B$1:$B$12)/$G1689</f>
        <v>11.989894736842105</v>
      </c>
    </row>
    <row r="1690" spans="1:27" x14ac:dyDescent="0.25">
      <c r="A1690">
        <v>2018</v>
      </c>
      <c r="B1690">
        <v>2</v>
      </c>
      <c r="C1690">
        <v>4</v>
      </c>
      <c r="D1690" t="s">
        <v>269</v>
      </c>
      <c r="E1690" t="s">
        <v>400</v>
      </c>
      <c r="F1690" t="s">
        <v>91</v>
      </c>
      <c r="G1690">
        <v>118750</v>
      </c>
      <c r="H1690">
        <v>43700</v>
      </c>
      <c r="I1690">
        <v>22500</v>
      </c>
      <c r="J1690">
        <v>0</v>
      </c>
      <c r="K1690">
        <v>32400</v>
      </c>
      <c r="L1690">
        <v>23400</v>
      </c>
      <c r="M1690">
        <v>0</v>
      </c>
      <c r="N1690">
        <v>111600</v>
      </c>
      <c r="O1690">
        <v>9000</v>
      </c>
      <c r="P1690">
        <v>0</v>
      </c>
      <c r="Q1690">
        <v>0</v>
      </c>
      <c r="R1690">
        <v>7000</v>
      </c>
      <c r="S1690">
        <v>0</v>
      </c>
      <c r="T1690">
        <v>0</v>
      </c>
      <c r="U1690">
        <v>22</v>
      </c>
      <c r="V1690">
        <v>0</v>
      </c>
      <c r="W1690">
        <v>1183</v>
      </c>
      <c r="X1690">
        <v>208</v>
      </c>
      <c r="Y1690">
        <v>0</v>
      </c>
      <c r="Z1690" cm="1">
        <f t="array" ref="Z1690">MMULT($G1690:$Y1690,'Nelson Factor_2019'!$B$1:$B$19)/$G1690</f>
        <v>9.2265431578947368</v>
      </c>
      <c r="AA1690" cm="1">
        <f t="array" ref="AA1690">MMULT($G1690:$R1690,'Nelson Factor_2019'!$B$1:$B$12)/$G1690</f>
        <v>8.8059789473684216</v>
      </c>
    </row>
    <row r="1691" spans="1:27" x14ac:dyDescent="0.25">
      <c r="A1691">
        <v>2018</v>
      </c>
      <c r="B1691">
        <v>2</v>
      </c>
      <c r="C1691">
        <v>4</v>
      </c>
      <c r="D1691" t="s">
        <v>269</v>
      </c>
      <c r="E1691" t="s">
        <v>251</v>
      </c>
      <c r="F1691" t="s">
        <v>45</v>
      </c>
      <c r="G1691">
        <v>133950</v>
      </c>
      <c r="H1691">
        <v>60800</v>
      </c>
      <c r="I1691">
        <v>17100</v>
      </c>
      <c r="J1691">
        <v>0</v>
      </c>
      <c r="K1691">
        <v>39600</v>
      </c>
      <c r="L1691">
        <v>27900</v>
      </c>
      <c r="M1691">
        <v>0</v>
      </c>
      <c r="N1691">
        <v>170550</v>
      </c>
      <c r="O1691">
        <v>12600</v>
      </c>
      <c r="P1691">
        <v>0</v>
      </c>
      <c r="Q1691">
        <v>0</v>
      </c>
      <c r="R1691">
        <v>14850</v>
      </c>
      <c r="S1691">
        <v>0</v>
      </c>
      <c r="T1691">
        <v>0</v>
      </c>
      <c r="U1691">
        <v>56</v>
      </c>
      <c r="V1691">
        <v>0</v>
      </c>
      <c r="W1691">
        <v>952</v>
      </c>
      <c r="X1691">
        <v>286</v>
      </c>
      <c r="Y1691">
        <v>3600</v>
      </c>
      <c r="Z1691" cm="1">
        <f t="array" ref="Z1691">MMULT($G1691:$Y1691,'Nelson Factor_2019'!$B$1:$B$19)/$G1691</f>
        <v>10.372235908921239</v>
      </c>
      <c r="AA1691" cm="1">
        <f t="array" ref="AA1691">MMULT($G1691:$R1691,'Nelson Factor_2019'!$B$1:$B$12)/$G1691</f>
        <v>9.8190742814483016</v>
      </c>
    </row>
    <row r="1692" spans="1:27" x14ac:dyDescent="0.25">
      <c r="A1692">
        <v>2018</v>
      </c>
      <c r="B1692">
        <v>2</v>
      </c>
      <c r="C1692">
        <v>0</v>
      </c>
      <c r="D1692" t="s">
        <v>270</v>
      </c>
      <c r="E1692" t="s">
        <v>338</v>
      </c>
      <c r="F1692" t="s">
        <v>98</v>
      </c>
      <c r="G1692">
        <v>5985</v>
      </c>
      <c r="H1692">
        <v>0</v>
      </c>
      <c r="I1692">
        <v>0</v>
      </c>
      <c r="J1692">
        <v>0</v>
      </c>
      <c r="K1692">
        <v>0</v>
      </c>
      <c r="L1692">
        <v>1170</v>
      </c>
      <c r="M1692">
        <v>0</v>
      </c>
      <c r="N1692">
        <v>1935</v>
      </c>
      <c r="O1692">
        <v>0</v>
      </c>
      <c r="P1692">
        <v>0</v>
      </c>
      <c r="Q1692">
        <v>0</v>
      </c>
      <c r="R1692">
        <v>0</v>
      </c>
      <c r="S1692">
        <v>0</v>
      </c>
      <c r="T1692">
        <v>0</v>
      </c>
      <c r="U1692">
        <v>0</v>
      </c>
      <c r="V1692">
        <v>0</v>
      </c>
      <c r="W1692">
        <v>0</v>
      </c>
      <c r="X1692">
        <v>0</v>
      </c>
      <c r="Y1692">
        <v>0</v>
      </c>
      <c r="Z1692" cm="1">
        <f t="array" ref="Z1692">MMULT($G1692:$Y1692,'Nelson Factor_2019'!$B$1:$B$19)/$G1692</f>
        <v>2.7857142857142856</v>
      </c>
      <c r="AA1692" cm="1">
        <f t="array" ref="AA1692">MMULT($G1692:$R1692,'Nelson Factor_2019'!$B$1:$B$12)/$G1692</f>
        <v>2.7857142857142856</v>
      </c>
    </row>
    <row r="1693" spans="1:27" x14ac:dyDescent="0.25">
      <c r="A1693">
        <v>2018</v>
      </c>
      <c r="B1693">
        <v>2</v>
      </c>
      <c r="C1693">
        <v>1</v>
      </c>
      <c r="D1693" t="s">
        <v>270</v>
      </c>
      <c r="E1693" t="s">
        <v>398</v>
      </c>
      <c r="F1693" t="s">
        <v>96</v>
      </c>
      <c r="G1693">
        <v>277000</v>
      </c>
      <c r="H1693">
        <v>123500</v>
      </c>
      <c r="I1693">
        <v>0</v>
      </c>
      <c r="J1693">
        <v>0</v>
      </c>
      <c r="K1693">
        <v>98800</v>
      </c>
      <c r="L1693">
        <v>52300</v>
      </c>
      <c r="M1693">
        <v>0</v>
      </c>
      <c r="N1693">
        <v>261400</v>
      </c>
      <c r="O1693">
        <v>20000</v>
      </c>
      <c r="P1693">
        <v>0</v>
      </c>
      <c r="Q1693">
        <v>9500</v>
      </c>
      <c r="R1693">
        <v>16200</v>
      </c>
      <c r="S1693">
        <v>0</v>
      </c>
      <c r="T1693">
        <v>0</v>
      </c>
      <c r="U1693">
        <v>32.299999999999997</v>
      </c>
      <c r="V1693">
        <v>0</v>
      </c>
      <c r="W1693">
        <v>0</v>
      </c>
      <c r="X1693">
        <v>386</v>
      </c>
      <c r="Y1693">
        <v>33600</v>
      </c>
      <c r="Z1693" cm="1">
        <f t="array" ref="Z1693">MMULT($G1693:$Y1693,'Nelson Factor_2019'!$B$1:$B$19)/$G1693</f>
        <v>9.122824187725632</v>
      </c>
      <c r="AA1693" cm="1">
        <f t="array" ref="AA1693">MMULT($G1693:$R1693,'Nelson Factor_2019'!$B$1:$B$12)/$G1693</f>
        <v>8.6063176895306857</v>
      </c>
    </row>
    <row r="1694" spans="1:27" x14ac:dyDescent="0.25">
      <c r="A1694">
        <v>2018</v>
      </c>
      <c r="B1694">
        <v>3</v>
      </c>
      <c r="C1694">
        <v>1</v>
      </c>
      <c r="D1694" t="s">
        <v>272</v>
      </c>
      <c r="E1694" t="s">
        <v>416</v>
      </c>
      <c r="F1694" t="s">
        <v>120</v>
      </c>
      <c r="G1694">
        <v>78850</v>
      </c>
      <c r="H1694">
        <v>34390</v>
      </c>
      <c r="I1694">
        <v>0</v>
      </c>
      <c r="J1694">
        <v>0</v>
      </c>
      <c r="K1694">
        <v>30600</v>
      </c>
      <c r="L1694">
        <v>11700</v>
      </c>
      <c r="M1694">
        <v>0</v>
      </c>
      <c r="N1694">
        <v>28800</v>
      </c>
      <c r="O1694">
        <v>0</v>
      </c>
      <c r="P1694">
        <v>0</v>
      </c>
      <c r="Q1694">
        <v>0</v>
      </c>
      <c r="R1694">
        <v>5598</v>
      </c>
      <c r="S1694">
        <v>0</v>
      </c>
      <c r="T1694">
        <v>0</v>
      </c>
      <c r="U1694">
        <v>0</v>
      </c>
      <c r="V1694">
        <v>0</v>
      </c>
      <c r="W1694">
        <v>0</v>
      </c>
      <c r="X1694">
        <v>0</v>
      </c>
      <c r="Y1694">
        <v>0</v>
      </c>
      <c r="Z1694" cm="1">
        <f t="array" ref="Z1694">MMULT($G1694:$Y1694,'Nelson Factor_2019'!$B$1:$B$19)/$G1694</f>
        <v>5.7634876347495245</v>
      </c>
      <c r="AA1694" cm="1">
        <f t="array" ref="AA1694">MMULT($G1694:$R1694,'Nelson Factor_2019'!$B$1:$B$12)/$G1694</f>
        <v>5.7634876347495245</v>
      </c>
    </row>
    <row r="1695" spans="1:27" x14ac:dyDescent="0.25">
      <c r="A1695">
        <v>2018</v>
      </c>
      <c r="B1695">
        <v>3</v>
      </c>
      <c r="C1695">
        <v>0</v>
      </c>
      <c r="D1695" t="s">
        <v>272</v>
      </c>
      <c r="E1695" t="s">
        <v>298</v>
      </c>
      <c r="F1695" t="s">
        <v>103</v>
      </c>
      <c r="G1695">
        <v>13300</v>
      </c>
      <c r="H1695">
        <v>0</v>
      </c>
      <c r="I1695">
        <v>0</v>
      </c>
      <c r="J1695">
        <v>0</v>
      </c>
      <c r="K1695">
        <v>0</v>
      </c>
      <c r="L1695">
        <v>0</v>
      </c>
      <c r="M1695">
        <v>0</v>
      </c>
      <c r="N1695">
        <v>5580</v>
      </c>
      <c r="O1695">
        <v>0</v>
      </c>
      <c r="P1695">
        <v>0</v>
      </c>
      <c r="Q1695">
        <v>0</v>
      </c>
      <c r="R1695">
        <v>450</v>
      </c>
      <c r="S1695">
        <v>0</v>
      </c>
      <c r="T1695">
        <v>0</v>
      </c>
      <c r="U1695">
        <v>2</v>
      </c>
      <c r="V1695">
        <v>0</v>
      </c>
      <c r="W1695">
        <v>0</v>
      </c>
      <c r="X1695">
        <v>0</v>
      </c>
      <c r="Y1695">
        <v>0</v>
      </c>
      <c r="Z1695" cm="1">
        <f t="array" ref="Z1695">MMULT($G1695:$Y1695,'Nelson Factor_2019'!$B$1:$B$19)/$G1695</f>
        <v>2.1505263157894738</v>
      </c>
      <c r="AA1695" cm="1">
        <f t="array" ref="AA1695">MMULT($G1695:$R1695,'Nelson Factor_2019'!$B$1:$B$12)/$G1695</f>
        <v>2.1503759398496243</v>
      </c>
    </row>
    <row r="1696" spans="1:27" x14ac:dyDescent="0.25">
      <c r="A1696">
        <v>2018</v>
      </c>
      <c r="B1696">
        <v>3</v>
      </c>
      <c r="C1696">
        <v>2</v>
      </c>
      <c r="D1696" t="s">
        <v>272</v>
      </c>
      <c r="E1696" t="s">
        <v>298</v>
      </c>
      <c r="F1696" t="s">
        <v>104</v>
      </c>
      <c r="G1696">
        <v>8222</v>
      </c>
      <c r="H1696">
        <v>6650</v>
      </c>
      <c r="I1696">
        <v>0</v>
      </c>
      <c r="J1696">
        <v>0</v>
      </c>
      <c r="K1696">
        <v>0</v>
      </c>
      <c r="L1696">
        <v>0</v>
      </c>
      <c r="M1696">
        <v>8000</v>
      </c>
      <c r="N1696">
        <v>0</v>
      </c>
      <c r="O1696">
        <v>0</v>
      </c>
      <c r="P1696">
        <v>0</v>
      </c>
      <c r="Q1696">
        <v>0</v>
      </c>
      <c r="R1696">
        <v>0</v>
      </c>
      <c r="S1696">
        <v>6300</v>
      </c>
      <c r="T1696">
        <v>0</v>
      </c>
      <c r="U1696">
        <v>4</v>
      </c>
      <c r="V1696">
        <v>0</v>
      </c>
      <c r="W1696">
        <v>0</v>
      </c>
      <c r="X1696">
        <v>3</v>
      </c>
      <c r="Y1696">
        <v>1800</v>
      </c>
      <c r="Z1696" cm="1">
        <f t="array" ref="Z1696">MMULT($G1696:$Y1696,'Nelson Factor_2019'!$B$1:$B$19)/$G1696</f>
        <v>56.226100705424471</v>
      </c>
      <c r="AA1696" cm="1">
        <f t="array" ref="AA1696">MMULT($G1696:$R1696,'Nelson Factor_2019'!$B$1:$B$12)/$G1696</f>
        <v>9.8354414984188754</v>
      </c>
    </row>
    <row r="1697" spans="1:27" x14ac:dyDescent="0.25">
      <c r="A1697">
        <v>2018</v>
      </c>
      <c r="B1697">
        <v>3</v>
      </c>
      <c r="C1697">
        <v>2</v>
      </c>
      <c r="D1697" t="s">
        <v>272</v>
      </c>
      <c r="E1697" t="s">
        <v>298</v>
      </c>
      <c r="F1697" t="s">
        <v>105</v>
      </c>
      <c r="G1697">
        <v>57000</v>
      </c>
      <c r="H1697">
        <v>26600</v>
      </c>
      <c r="I1697">
        <v>0</v>
      </c>
      <c r="J1697">
        <v>0</v>
      </c>
      <c r="K1697">
        <v>0</v>
      </c>
      <c r="L1697">
        <v>10800</v>
      </c>
      <c r="M1697">
        <v>8500</v>
      </c>
      <c r="N1697">
        <v>47070</v>
      </c>
      <c r="O1697">
        <v>0</v>
      </c>
      <c r="P1697">
        <v>0</v>
      </c>
      <c r="Q1697">
        <v>0</v>
      </c>
      <c r="R1697">
        <v>0</v>
      </c>
      <c r="S1697">
        <v>11250</v>
      </c>
      <c r="T1697">
        <v>0</v>
      </c>
      <c r="U1697">
        <v>12</v>
      </c>
      <c r="V1697">
        <v>0</v>
      </c>
      <c r="W1697">
        <v>0</v>
      </c>
      <c r="X1697">
        <v>36</v>
      </c>
      <c r="Y1697">
        <v>5850</v>
      </c>
      <c r="Z1697" cm="1">
        <f t="array" ref="Z1697">MMULT($G1697:$Y1697,'Nelson Factor_2019'!$B$1:$B$19)/$G1697</f>
        <v>17.959333333333333</v>
      </c>
      <c r="AA1697" cm="1">
        <f t="array" ref="AA1697">MMULT($G1697:$R1697,'Nelson Factor_2019'!$B$1:$B$12)/$G1697</f>
        <v>5.8114912280701754</v>
      </c>
    </row>
    <row r="1698" spans="1:27" x14ac:dyDescent="0.25">
      <c r="A1698">
        <v>2018</v>
      </c>
      <c r="B1698">
        <v>3</v>
      </c>
      <c r="C1698">
        <v>2</v>
      </c>
      <c r="D1698" t="s">
        <v>272</v>
      </c>
      <c r="E1698" t="s">
        <v>401</v>
      </c>
      <c r="F1698" t="s">
        <v>343</v>
      </c>
      <c r="G1698">
        <v>109000</v>
      </c>
      <c r="H1698">
        <v>0</v>
      </c>
      <c r="I1698">
        <v>0</v>
      </c>
      <c r="J1698">
        <v>0</v>
      </c>
      <c r="K1698">
        <v>0</v>
      </c>
      <c r="L1698">
        <v>6000</v>
      </c>
      <c r="M1698">
        <v>28000</v>
      </c>
      <c r="N1698">
        <v>38000</v>
      </c>
      <c r="O1698">
        <v>0</v>
      </c>
      <c r="P1698">
        <v>0</v>
      </c>
      <c r="Q1698">
        <v>0</v>
      </c>
      <c r="R1698">
        <v>0</v>
      </c>
      <c r="S1698">
        <v>0</v>
      </c>
      <c r="T1698">
        <v>0</v>
      </c>
      <c r="U1698">
        <v>0</v>
      </c>
      <c r="V1698">
        <v>0</v>
      </c>
      <c r="W1698">
        <v>0</v>
      </c>
      <c r="X1698">
        <v>0</v>
      </c>
      <c r="Y1698">
        <v>0</v>
      </c>
      <c r="Z1698" cm="1">
        <f t="array" ref="Z1698">MMULT($G1698:$Y1698,'Nelson Factor_2019'!$B$1:$B$19)/$G1698</f>
        <v>4.2018348623853212</v>
      </c>
      <c r="AA1698" cm="1">
        <f t="array" ref="AA1698">MMULT($G1698:$R1698,'Nelson Factor_2019'!$B$1:$B$12)/$G1698</f>
        <v>4.2018348623853212</v>
      </c>
    </row>
    <row r="1699" spans="1:27" x14ac:dyDescent="0.25">
      <c r="A1699">
        <v>2018</v>
      </c>
      <c r="B1699">
        <v>3</v>
      </c>
      <c r="C1699">
        <v>6</v>
      </c>
      <c r="D1699" t="s">
        <v>272</v>
      </c>
      <c r="E1699" t="s">
        <v>397</v>
      </c>
      <c r="F1699" t="s">
        <v>109</v>
      </c>
      <c r="G1699">
        <v>497040</v>
      </c>
      <c r="H1699">
        <v>233795</v>
      </c>
      <c r="I1699">
        <v>111150</v>
      </c>
      <c r="J1699">
        <v>0</v>
      </c>
      <c r="K1699">
        <v>220050</v>
      </c>
      <c r="L1699">
        <v>68400</v>
      </c>
      <c r="M1699">
        <v>24300</v>
      </c>
      <c r="N1699">
        <v>464850</v>
      </c>
      <c r="O1699">
        <v>36900</v>
      </c>
      <c r="P1699">
        <v>0</v>
      </c>
      <c r="Q1699">
        <v>0</v>
      </c>
      <c r="R1699">
        <v>0</v>
      </c>
      <c r="S1699">
        <v>14850</v>
      </c>
      <c r="T1699">
        <v>0</v>
      </c>
      <c r="U1699">
        <v>0</v>
      </c>
      <c r="V1699">
        <v>0</v>
      </c>
      <c r="W1699">
        <v>4287</v>
      </c>
      <c r="X1699">
        <v>726</v>
      </c>
      <c r="Y1699">
        <v>0</v>
      </c>
      <c r="Z1699" cm="1">
        <f t="array" ref="Z1699">MMULT($G1699:$Y1699,'Nelson Factor_2019'!$B$1:$B$19)/$G1699</f>
        <v>12.247834178335747</v>
      </c>
      <c r="AA1699" cm="1">
        <f t="array" ref="AA1699">MMULT($G1699:$R1699,'Nelson Factor_2019'!$B$1:$B$12)/$G1699</f>
        <v>10.104666626428456</v>
      </c>
    </row>
    <row r="1700" spans="1:27" x14ac:dyDescent="0.25">
      <c r="A1700">
        <v>2018</v>
      </c>
      <c r="B1700">
        <v>3</v>
      </c>
      <c r="C1700">
        <v>6</v>
      </c>
      <c r="D1700" t="s">
        <v>272</v>
      </c>
      <c r="E1700" t="s">
        <v>398</v>
      </c>
      <c r="F1700" t="s">
        <v>111</v>
      </c>
      <c r="G1700">
        <v>556000</v>
      </c>
      <c r="H1700">
        <v>274600</v>
      </c>
      <c r="I1700">
        <v>89800</v>
      </c>
      <c r="J1700">
        <v>0</v>
      </c>
      <c r="K1700">
        <v>137800</v>
      </c>
      <c r="L1700">
        <v>128800</v>
      </c>
      <c r="M1700">
        <v>114000</v>
      </c>
      <c r="N1700">
        <v>553100</v>
      </c>
      <c r="O1700">
        <v>32800</v>
      </c>
      <c r="P1700">
        <v>0</v>
      </c>
      <c r="Q1700">
        <v>0</v>
      </c>
      <c r="R1700">
        <v>47100</v>
      </c>
      <c r="S1700">
        <v>0</v>
      </c>
      <c r="T1700">
        <v>0</v>
      </c>
      <c r="U1700">
        <v>114</v>
      </c>
      <c r="V1700">
        <v>0</v>
      </c>
      <c r="W1700">
        <v>5735</v>
      </c>
      <c r="X1700">
        <v>1274</v>
      </c>
      <c r="Y1700">
        <v>31400</v>
      </c>
      <c r="Z1700" cm="1">
        <f t="array" ref="Z1700">MMULT($G1700:$Y1700,'Nelson Factor_2019'!$B$1:$B$19)/$G1700</f>
        <v>11.104863309352519</v>
      </c>
      <c r="AA1700" cm="1">
        <f t="array" ref="AA1700">MMULT($G1700:$R1700,'Nelson Factor_2019'!$B$1:$B$12)/$G1700</f>
        <v>10.470017985611511</v>
      </c>
    </row>
    <row r="1701" spans="1:27" x14ac:dyDescent="0.25">
      <c r="A1701">
        <v>2018</v>
      </c>
      <c r="B1701">
        <v>3</v>
      </c>
      <c r="C1701">
        <v>3</v>
      </c>
      <c r="D1701" t="s">
        <v>272</v>
      </c>
      <c r="E1701" t="s">
        <v>388</v>
      </c>
      <c r="F1701" t="s">
        <v>113</v>
      </c>
      <c r="G1701">
        <v>242250</v>
      </c>
      <c r="H1701">
        <v>110500</v>
      </c>
      <c r="I1701">
        <v>0</v>
      </c>
      <c r="J1701">
        <v>0</v>
      </c>
      <c r="K1701">
        <v>82800</v>
      </c>
      <c r="L1701">
        <v>36000</v>
      </c>
      <c r="M1701">
        <v>45000</v>
      </c>
      <c r="N1701">
        <v>229800</v>
      </c>
      <c r="O1701">
        <v>15300</v>
      </c>
      <c r="P1701">
        <v>0</v>
      </c>
      <c r="Q1701">
        <v>0</v>
      </c>
      <c r="R1701">
        <v>11700</v>
      </c>
      <c r="S1701">
        <v>0</v>
      </c>
      <c r="T1701">
        <v>0</v>
      </c>
      <c r="U1701">
        <v>0</v>
      </c>
      <c r="V1701">
        <v>0</v>
      </c>
      <c r="W1701">
        <v>0</v>
      </c>
      <c r="X1701">
        <v>660</v>
      </c>
      <c r="Y1701">
        <v>0</v>
      </c>
      <c r="Z1701" cm="1">
        <f t="array" ref="Z1701">MMULT($G1701:$Y1701,'Nelson Factor_2019'!$B$1:$B$19)/$G1701</f>
        <v>9.6747162022703819</v>
      </c>
      <c r="AA1701" cm="1">
        <f t="array" ref="AA1701">MMULT($G1701:$R1701,'Nelson Factor_2019'!$B$1:$B$12)/$G1701</f>
        <v>9.0208462332301345</v>
      </c>
    </row>
    <row r="1702" spans="1:27" x14ac:dyDescent="0.25">
      <c r="A1702">
        <v>2018</v>
      </c>
      <c r="B1702">
        <v>3</v>
      </c>
      <c r="C1702">
        <v>6</v>
      </c>
      <c r="D1702" t="s">
        <v>272</v>
      </c>
      <c r="E1702" t="s">
        <v>388</v>
      </c>
      <c r="F1702" t="s">
        <v>114</v>
      </c>
      <c r="G1702">
        <v>237500</v>
      </c>
      <c r="H1702">
        <v>86700</v>
      </c>
      <c r="I1702">
        <v>25000</v>
      </c>
      <c r="J1702">
        <v>0</v>
      </c>
      <c r="K1702">
        <v>106900</v>
      </c>
      <c r="L1702">
        <v>36000</v>
      </c>
      <c r="M1702">
        <v>39600</v>
      </c>
      <c r="N1702">
        <v>97700</v>
      </c>
      <c r="O1702">
        <v>15100</v>
      </c>
      <c r="P1702">
        <v>0</v>
      </c>
      <c r="Q1702">
        <v>0</v>
      </c>
      <c r="R1702">
        <v>0</v>
      </c>
      <c r="S1702">
        <v>0</v>
      </c>
      <c r="T1702">
        <v>0</v>
      </c>
      <c r="U1702">
        <v>0</v>
      </c>
      <c r="V1702">
        <v>0</v>
      </c>
      <c r="W1702">
        <v>1020</v>
      </c>
      <c r="X1702">
        <v>150</v>
      </c>
      <c r="Y1702">
        <v>0</v>
      </c>
      <c r="Z1702" cm="1">
        <f t="array" ref="Z1702">MMULT($G1702:$Y1702,'Nelson Factor_2019'!$B$1:$B$19)/$G1702</f>
        <v>8.8722526315789469</v>
      </c>
      <c r="AA1702" cm="1">
        <f t="array" ref="AA1702">MMULT($G1702:$R1702,'Nelson Factor_2019'!$B$1:$B$12)/$G1702</f>
        <v>8.7206736842105261</v>
      </c>
    </row>
    <row r="1703" spans="1:27" x14ac:dyDescent="0.25">
      <c r="A1703">
        <v>2018</v>
      </c>
      <c r="B1703">
        <v>3</v>
      </c>
      <c r="C1703">
        <v>4</v>
      </c>
      <c r="D1703" t="s">
        <v>272</v>
      </c>
      <c r="E1703" t="s">
        <v>245</v>
      </c>
      <c r="F1703" t="s">
        <v>110</v>
      </c>
      <c r="G1703">
        <v>187150</v>
      </c>
      <c r="H1703">
        <v>160550</v>
      </c>
      <c r="I1703">
        <v>25200</v>
      </c>
      <c r="J1703">
        <v>0</v>
      </c>
      <c r="K1703">
        <v>68040</v>
      </c>
      <c r="L1703">
        <v>20430</v>
      </c>
      <c r="M1703">
        <v>0</v>
      </c>
      <c r="N1703">
        <v>146700</v>
      </c>
      <c r="O1703">
        <v>15120</v>
      </c>
      <c r="P1703">
        <v>0</v>
      </c>
      <c r="Q1703">
        <v>9450</v>
      </c>
      <c r="R1703">
        <v>0</v>
      </c>
      <c r="S1703">
        <v>0</v>
      </c>
      <c r="T1703">
        <v>0</v>
      </c>
      <c r="U1703">
        <v>0</v>
      </c>
      <c r="V1703">
        <v>0</v>
      </c>
      <c r="W1703">
        <v>1224</v>
      </c>
      <c r="X1703">
        <v>835</v>
      </c>
      <c r="Y1703">
        <v>0</v>
      </c>
      <c r="Z1703" cm="1">
        <f t="array" ref="Z1703">MMULT($G1703:$Y1703,'Nelson Factor_2019'!$B$1:$B$19)/$G1703</f>
        <v>10.700534330750735</v>
      </c>
      <c r="AA1703" cm="1">
        <f t="array" ref="AA1703">MMULT($G1703:$R1703,'Nelson Factor_2019'!$B$1:$B$12)/$G1703</f>
        <v>9.6297355062783865</v>
      </c>
    </row>
    <row r="1704" spans="1:27" x14ac:dyDescent="0.25">
      <c r="A1704">
        <v>2018</v>
      </c>
      <c r="B1704">
        <v>3</v>
      </c>
      <c r="C1704">
        <v>6</v>
      </c>
      <c r="D1704" t="s">
        <v>272</v>
      </c>
      <c r="E1704" t="s">
        <v>399</v>
      </c>
      <c r="F1704" t="s">
        <v>101</v>
      </c>
      <c r="G1704">
        <v>418000</v>
      </c>
      <c r="H1704">
        <v>218500</v>
      </c>
      <c r="I1704">
        <v>99000</v>
      </c>
      <c r="J1704">
        <v>0</v>
      </c>
      <c r="K1704">
        <v>135900</v>
      </c>
      <c r="L1704">
        <v>101520</v>
      </c>
      <c r="M1704">
        <v>42660</v>
      </c>
      <c r="N1704">
        <v>363780</v>
      </c>
      <c r="O1704">
        <v>23760</v>
      </c>
      <c r="P1704">
        <v>0</v>
      </c>
      <c r="Q1704">
        <v>18810</v>
      </c>
      <c r="R1704">
        <v>25200</v>
      </c>
      <c r="S1704">
        <v>0</v>
      </c>
      <c r="T1704">
        <v>0</v>
      </c>
      <c r="U1704">
        <v>0</v>
      </c>
      <c r="V1704">
        <v>0</v>
      </c>
      <c r="W1704">
        <v>4080</v>
      </c>
      <c r="X1704">
        <v>650</v>
      </c>
      <c r="Y1704">
        <v>0</v>
      </c>
      <c r="Z1704" cm="1">
        <f t="array" ref="Z1704">MMULT($G1704:$Y1704,'Nelson Factor_2019'!$B$1:$B$19)/$G1704</f>
        <v>11.635598086124402</v>
      </c>
      <c r="AA1704" cm="1">
        <f t="array" ref="AA1704">MMULT($G1704:$R1704,'Nelson Factor_2019'!$B$1:$B$12)/$G1704</f>
        <v>11.262392344497608</v>
      </c>
    </row>
    <row r="1705" spans="1:27" x14ac:dyDescent="0.25">
      <c r="A1705">
        <v>2018</v>
      </c>
      <c r="B1705">
        <v>3</v>
      </c>
      <c r="C1705">
        <v>4</v>
      </c>
      <c r="D1705" t="s">
        <v>272</v>
      </c>
      <c r="E1705" t="s">
        <v>317</v>
      </c>
      <c r="F1705" t="s">
        <v>107</v>
      </c>
      <c r="G1705">
        <v>247000</v>
      </c>
      <c r="H1705">
        <v>97900</v>
      </c>
      <c r="I1705">
        <v>23400</v>
      </c>
      <c r="J1705">
        <v>0</v>
      </c>
      <c r="K1705">
        <v>94500</v>
      </c>
      <c r="L1705">
        <v>43600</v>
      </c>
      <c r="M1705">
        <v>0</v>
      </c>
      <c r="N1705">
        <v>209300</v>
      </c>
      <c r="O1705">
        <v>31500</v>
      </c>
      <c r="P1705">
        <v>0</v>
      </c>
      <c r="Q1705">
        <v>38100</v>
      </c>
      <c r="R1705">
        <v>0</v>
      </c>
      <c r="S1705">
        <v>0</v>
      </c>
      <c r="T1705">
        <v>0</v>
      </c>
      <c r="U1705">
        <v>10.4</v>
      </c>
      <c r="V1705">
        <v>0</v>
      </c>
      <c r="W1705">
        <v>1100</v>
      </c>
      <c r="X1705">
        <v>80</v>
      </c>
      <c r="Y1705">
        <v>0</v>
      </c>
      <c r="Z1705" cm="1">
        <f t="array" ref="Z1705">MMULT($G1705:$Y1705,'Nelson Factor_2019'!$B$1:$B$19)/$G1705</f>
        <v>11.960446963562752</v>
      </c>
      <c r="AA1705" cm="1">
        <f t="array" ref="AA1705">MMULT($G1705:$R1705,'Nelson Factor_2019'!$B$1:$B$12)/$G1705</f>
        <v>11.882672064777328</v>
      </c>
    </row>
    <row r="1706" spans="1:27" x14ac:dyDescent="0.25">
      <c r="A1706">
        <v>2018</v>
      </c>
      <c r="B1706">
        <v>3</v>
      </c>
      <c r="C1706">
        <v>6</v>
      </c>
      <c r="D1706" t="s">
        <v>272</v>
      </c>
      <c r="E1706" t="s">
        <v>317</v>
      </c>
      <c r="F1706" t="s">
        <v>108</v>
      </c>
      <c r="G1706">
        <v>249000</v>
      </c>
      <c r="H1706">
        <v>110600</v>
      </c>
      <c r="I1706">
        <v>61000</v>
      </c>
      <c r="J1706">
        <v>0</v>
      </c>
      <c r="K1706">
        <v>46100</v>
      </c>
      <c r="L1706">
        <v>43200</v>
      </c>
      <c r="M1706">
        <v>63000</v>
      </c>
      <c r="N1706">
        <v>232900</v>
      </c>
      <c r="O1706">
        <v>7700</v>
      </c>
      <c r="P1706">
        <v>0</v>
      </c>
      <c r="Q1706">
        <v>0</v>
      </c>
      <c r="R1706">
        <v>0</v>
      </c>
      <c r="S1706">
        <v>0</v>
      </c>
      <c r="T1706">
        <v>0</v>
      </c>
      <c r="U1706">
        <v>127</v>
      </c>
      <c r="V1706">
        <v>0</v>
      </c>
      <c r="W1706">
        <v>3600</v>
      </c>
      <c r="X1706">
        <v>337</v>
      </c>
      <c r="Y1706">
        <v>0</v>
      </c>
      <c r="Z1706" cm="1">
        <f t="array" ref="Z1706">MMULT($G1706:$Y1706,'Nelson Factor_2019'!$B$1:$B$19)/$G1706</f>
        <v>10.390108433734939</v>
      </c>
      <c r="AA1706" cm="1">
        <f t="array" ref="AA1706">MMULT($G1706:$R1706,'Nelson Factor_2019'!$B$1:$B$12)/$G1706</f>
        <v>10.064779116465864</v>
      </c>
    </row>
    <row r="1707" spans="1:27" x14ac:dyDescent="0.25">
      <c r="A1707">
        <v>2018</v>
      </c>
      <c r="B1707">
        <v>3</v>
      </c>
      <c r="C1707">
        <v>1</v>
      </c>
      <c r="D1707" t="s">
        <v>272</v>
      </c>
      <c r="E1707" t="s">
        <v>402</v>
      </c>
      <c r="F1707" t="s">
        <v>118</v>
      </c>
      <c r="G1707">
        <v>82000</v>
      </c>
      <c r="H1707">
        <v>27000</v>
      </c>
      <c r="I1707">
        <v>0</v>
      </c>
      <c r="J1707">
        <v>0</v>
      </c>
      <c r="K1707">
        <v>26000</v>
      </c>
      <c r="L1707">
        <v>11000</v>
      </c>
      <c r="M1707">
        <v>0</v>
      </c>
      <c r="N1707">
        <v>56000</v>
      </c>
      <c r="O1707">
        <v>7500</v>
      </c>
      <c r="P1707">
        <v>0</v>
      </c>
      <c r="Q1707">
        <v>0</v>
      </c>
      <c r="R1707">
        <v>0</v>
      </c>
      <c r="S1707">
        <v>0</v>
      </c>
      <c r="T1707">
        <v>0</v>
      </c>
      <c r="U1707">
        <v>0</v>
      </c>
      <c r="V1707">
        <v>0</v>
      </c>
      <c r="W1707">
        <v>0</v>
      </c>
      <c r="X1707">
        <v>50</v>
      </c>
      <c r="Y1707">
        <v>0</v>
      </c>
      <c r="Z1707" cm="1">
        <f t="array" ref="Z1707">MMULT($G1707:$Y1707,'Nelson Factor_2019'!$B$1:$B$19)/$G1707</f>
        <v>6.7695121951219512</v>
      </c>
      <c r="AA1707" cm="1">
        <f t="array" ref="AA1707">MMULT($G1707:$R1707,'Nelson Factor_2019'!$B$1:$B$12)/$G1707</f>
        <v>6.623170731707317</v>
      </c>
    </row>
    <row r="1708" spans="1:27" x14ac:dyDescent="0.25">
      <c r="A1708">
        <v>2018</v>
      </c>
      <c r="B1708">
        <v>3</v>
      </c>
      <c r="C1708">
        <v>0</v>
      </c>
      <c r="D1708" t="s">
        <v>272</v>
      </c>
      <c r="E1708" t="s">
        <v>388</v>
      </c>
      <c r="F1708" t="s">
        <v>346</v>
      </c>
      <c r="G1708">
        <v>43700</v>
      </c>
      <c r="H1708">
        <v>23750</v>
      </c>
      <c r="I1708">
        <v>0</v>
      </c>
      <c r="J1708">
        <v>0</v>
      </c>
      <c r="K1708">
        <v>0</v>
      </c>
      <c r="L1708">
        <v>0</v>
      </c>
      <c r="M1708">
        <v>0</v>
      </c>
      <c r="N1708">
        <v>0</v>
      </c>
      <c r="O1708">
        <v>0</v>
      </c>
      <c r="P1708">
        <v>0</v>
      </c>
      <c r="Q1708">
        <v>0</v>
      </c>
      <c r="R1708">
        <v>0</v>
      </c>
      <c r="S1708">
        <v>0</v>
      </c>
      <c r="T1708">
        <v>0</v>
      </c>
      <c r="U1708">
        <v>0</v>
      </c>
      <c r="V1708">
        <v>0</v>
      </c>
      <c r="W1708">
        <v>0</v>
      </c>
      <c r="X1708">
        <v>0</v>
      </c>
      <c r="Y1708">
        <v>11700</v>
      </c>
      <c r="Z1708" cm="1">
        <f t="array" ref="Z1708">MMULT($G1708:$Y1708,'Nelson Factor_2019'!$B$1:$B$19)/$G1708</f>
        <v>2.1081235697940501</v>
      </c>
      <c r="AA1708" cm="1">
        <f t="array" ref="AA1708">MMULT($G1708:$R1708,'Nelson Factor_2019'!$B$1:$B$12)/$G1708</f>
        <v>1.7065217391304348</v>
      </c>
    </row>
    <row r="1709" spans="1:27" x14ac:dyDescent="0.25">
      <c r="A1709">
        <v>2018</v>
      </c>
      <c r="B1709">
        <v>3</v>
      </c>
      <c r="C1709">
        <v>0</v>
      </c>
      <c r="D1709" t="s">
        <v>272</v>
      </c>
      <c r="E1709" t="s">
        <v>403</v>
      </c>
      <c r="F1709" t="s">
        <v>101</v>
      </c>
      <c r="G1709">
        <v>85500</v>
      </c>
      <c r="H1709">
        <v>28500</v>
      </c>
      <c r="I1709">
        <v>0</v>
      </c>
      <c r="J1709">
        <v>0</v>
      </c>
      <c r="K1709">
        <v>0</v>
      </c>
      <c r="L1709">
        <v>0</v>
      </c>
      <c r="M1709">
        <v>0</v>
      </c>
      <c r="N1709">
        <v>0</v>
      </c>
      <c r="O1709">
        <v>0</v>
      </c>
      <c r="P1709">
        <v>0</v>
      </c>
      <c r="Q1709">
        <v>0</v>
      </c>
      <c r="R1709">
        <v>3150</v>
      </c>
      <c r="S1709">
        <v>0</v>
      </c>
      <c r="T1709">
        <v>0</v>
      </c>
      <c r="U1709">
        <v>0</v>
      </c>
      <c r="V1709">
        <v>0</v>
      </c>
      <c r="W1709">
        <v>0</v>
      </c>
      <c r="X1709">
        <v>0</v>
      </c>
      <c r="Y1709">
        <v>0</v>
      </c>
      <c r="Z1709" cm="1">
        <f t="array" ref="Z1709">MMULT($G1709:$Y1709,'Nelson Factor_2019'!$B$1:$B$19)/$G1709</f>
        <v>1.5438596491228069</v>
      </c>
      <c r="AA1709" cm="1">
        <f t="array" ref="AA1709">MMULT($G1709:$R1709,'Nelson Factor_2019'!$B$1:$B$12)/$G1709</f>
        <v>1.5438596491228069</v>
      </c>
    </row>
    <row r="1710" spans="1:27" x14ac:dyDescent="0.25">
      <c r="A1710">
        <v>2018</v>
      </c>
      <c r="B1710">
        <v>3</v>
      </c>
      <c r="C1710">
        <v>2</v>
      </c>
      <c r="D1710" t="s">
        <v>272</v>
      </c>
      <c r="E1710" t="s">
        <v>66</v>
      </c>
      <c r="F1710" t="s">
        <v>116</v>
      </c>
      <c r="G1710">
        <v>121600</v>
      </c>
      <c r="H1710">
        <v>57000</v>
      </c>
      <c r="I1710">
        <v>0</v>
      </c>
      <c r="J1710">
        <v>0</v>
      </c>
      <c r="K1710">
        <v>0</v>
      </c>
      <c r="L1710">
        <v>28800</v>
      </c>
      <c r="M1710">
        <v>43830</v>
      </c>
      <c r="N1710">
        <v>84690</v>
      </c>
      <c r="O1710">
        <v>0</v>
      </c>
      <c r="P1710">
        <v>0</v>
      </c>
      <c r="Q1710">
        <v>0</v>
      </c>
      <c r="R1710">
        <v>0</v>
      </c>
      <c r="S1710">
        <v>0</v>
      </c>
      <c r="T1710">
        <v>0</v>
      </c>
      <c r="U1710">
        <v>0</v>
      </c>
      <c r="V1710">
        <v>0</v>
      </c>
      <c r="W1710">
        <v>0</v>
      </c>
      <c r="X1710">
        <v>203</v>
      </c>
      <c r="Y1710">
        <v>0</v>
      </c>
      <c r="Z1710" cm="1">
        <f t="array" ref="Z1710">MMULT($G1710:$Y1710,'Nelson Factor_2019'!$B$1:$B$19)/$G1710</f>
        <v>7.8189555921052634</v>
      </c>
      <c r="AA1710" cm="1">
        <f t="array" ref="AA1710">MMULT($G1710:$R1710,'Nelson Factor_2019'!$B$1:$B$12)/$G1710</f>
        <v>7.4182976973684207</v>
      </c>
    </row>
    <row r="1711" spans="1:27" x14ac:dyDescent="0.25">
      <c r="A1711">
        <v>2018</v>
      </c>
      <c r="B1711">
        <v>3</v>
      </c>
      <c r="C1711">
        <v>6</v>
      </c>
      <c r="D1711" t="s">
        <v>272</v>
      </c>
      <c r="E1711" t="s">
        <v>66</v>
      </c>
      <c r="F1711" t="s">
        <v>114</v>
      </c>
      <c r="G1711">
        <v>209000</v>
      </c>
      <c r="H1711">
        <v>152000</v>
      </c>
      <c r="I1711">
        <v>75600</v>
      </c>
      <c r="J1711">
        <v>0</v>
      </c>
      <c r="K1711">
        <v>90000</v>
      </c>
      <c r="L1711">
        <v>24750</v>
      </c>
      <c r="M1711">
        <v>88200</v>
      </c>
      <c r="N1711">
        <v>210600</v>
      </c>
      <c r="O1711">
        <v>18900</v>
      </c>
      <c r="P1711">
        <v>0</v>
      </c>
      <c r="Q1711">
        <v>2700</v>
      </c>
      <c r="R1711">
        <v>0</v>
      </c>
      <c r="S1711">
        <v>0</v>
      </c>
      <c r="T1711">
        <v>0</v>
      </c>
      <c r="U1711">
        <v>100</v>
      </c>
      <c r="V1711">
        <v>0</v>
      </c>
      <c r="W1711">
        <v>3536</v>
      </c>
      <c r="X1711">
        <v>798</v>
      </c>
      <c r="Y1711">
        <v>0</v>
      </c>
      <c r="Z1711" cm="1">
        <f t="array" ref="Z1711">MMULT($G1711:$Y1711,'Nelson Factor_2019'!$B$1:$B$19)/$G1711</f>
        <v>15.808947368421052</v>
      </c>
      <c r="AA1711" cm="1">
        <f t="array" ref="AA1711">MMULT($G1711:$R1711,'Nelson Factor_2019'!$B$1:$B$12)/$G1711</f>
        <v>14.892105263157895</v>
      </c>
    </row>
    <row r="1712" spans="1:27" x14ac:dyDescent="0.25">
      <c r="A1712">
        <v>2018</v>
      </c>
      <c r="B1712">
        <v>2</v>
      </c>
      <c r="C1712">
        <v>4</v>
      </c>
      <c r="D1712" t="s">
        <v>273</v>
      </c>
      <c r="E1712" t="s">
        <v>398</v>
      </c>
      <c r="F1712" t="s">
        <v>122</v>
      </c>
      <c r="G1712">
        <v>139000</v>
      </c>
      <c r="H1712">
        <v>83600</v>
      </c>
      <c r="I1712">
        <v>33300</v>
      </c>
      <c r="J1712">
        <v>0</v>
      </c>
      <c r="K1712">
        <v>39000</v>
      </c>
      <c r="L1712">
        <v>20400</v>
      </c>
      <c r="M1712">
        <v>0</v>
      </c>
      <c r="N1712">
        <v>125000</v>
      </c>
      <c r="O1712">
        <v>6700</v>
      </c>
      <c r="P1712">
        <v>0</v>
      </c>
      <c r="Q1712">
        <v>0</v>
      </c>
      <c r="R1712">
        <v>0</v>
      </c>
      <c r="S1712">
        <v>0</v>
      </c>
      <c r="T1712">
        <v>0</v>
      </c>
      <c r="U1712">
        <v>58.9</v>
      </c>
      <c r="V1712">
        <v>0</v>
      </c>
      <c r="W1712">
        <v>2124</v>
      </c>
      <c r="X1712">
        <v>397</v>
      </c>
      <c r="Y1712">
        <v>24700</v>
      </c>
      <c r="Z1712" cm="1">
        <f t="array" ref="Z1712">MMULT($G1712:$Y1712,'Nelson Factor_2019'!$B$1:$B$19)/$G1712</f>
        <v>9.6785532374100711</v>
      </c>
      <c r="AA1712" cm="1">
        <f t="array" ref="AA1712">MMULT($G1712:$R1712,'Nelson Factor_2019'!$B$1:$B$12)/$G1712</f>
        <v>8.7261151079136692</v>
      </c>
    </row>
    <row r="1713" spans="1:27" x14ac:dyDescent="0.25">
      <c r="A1713">
        <v>2018</v>
      </c>
      <c r="B1713">
        <v>2</v>
      </c>
      <c r="C1713">
        <v>6</v>
      </c>
      <c r="D1713" t="s">
        <v>274</v>
      </c>
      <c r="E1713" t="s">
        <v>370</v>
      </c>
      <c r="F1713" t="s">
        <v>350</v>
      </c>
      <c r="G1713">
        <v>322050</v>
      </c>
      <c r="H1713">
        <v>222300</v>
      </c>
      <c r="I1713">
        <v>64800</v>
      </c>
      <c r="J1713">
        <v>0</v>
      </c>
      <c r="K1713">
        <v>78300</v>
      </c>
      <c r="L1713">
        <v>45900</v>
      </c>
      <c r="M1713">
        <v>45000</v>
      </c>
      <c r="N1713">
        <v>293850</v>
      </c>
      <c r="O1713">
        <v>11250</v>
      </c>
      <c r="P1713">
        <v>0</v>
      </c>
      <c r="Q1713">
        <v>0</v>
      </c>
      <c r="R1713">
        <v>16200</v>
      </c>
      <c r="S1713">
        <v>0</v>
      </c>
      <c r="T1713">
        <v>0</v>
      </c>
      <c r="U1713">
        <v>154.80000000000001</v>
      </c>
      <c r="V1713">
        <v>0</v>
      </c>
      <c r="W1713">
        <v>3690</v>
      </c>
      <c r="X1713">
        <v>990</v>
      </c>
      <c r="Y1713">
        <v>40500</v>
      </c>
      <c r="Z1713" cm="1">
        <f t="array" ref="Z1713">MMULT($G1713:$Y1713,'Nelson Factor_2019'!$B$1:$B$19)/$G1713</f>
        <v>10.403880763856543</v>
      </c>
      <c r="AA1713" cm="1">
        <f t="array" ref="AA1713">MMULT($G1713:$R1713,'Nelson Factor_2019'!$B$1:$B$12)/$G1713</f>
        <v>9.476991150442478</v>
      </c>
    </row>
    <row r="1714" spans="1:27" x14ac:dyDescent="0.25">
      <c r="A1714">
        <v>2018</v>
      </c>
      <c r="B1714">
        <v>2</v>
      </c>
      <c r="C1714">
        <v>1</v>
      </c>
      <c r="D1714" t="s">
        <v>274</v>
      </c>
      <c r="E1714" t="s">
        <v>415</v>
      </c>
      <c r="F1714" t="s">
        <v>125</v>
      </c>
      <c r="G1714">
        <v>96710</v>
      </c>
      <c r="H1714">
        <v>42275</v>
      </c>
      <c r="I1714">
        <v>0</v>
      </c>
      <c r="J1714">
        <v>0</v>
      </c>
      <c r="K1714">
        <v>27900</v>
      </c>
      <c r="L1714">
        <v>22050</v>
      </c>
      <c r="M1714">
        <v>0</v>
      </c>
      <c r="N1714">
        <v>87930</v>
      </c>
      <c r="O1714">
        <v>4950</v>
      </c>
      <c r="P1714">
        <v>0</v>
      </c>
      <c r="Q1714">
        <v>0</v>
      </c>
      <c r="R1714">
        <v>9450</v>
      </c>
      <c r="S1714">
        <v>0</v>
      </c>
      <c r="T1714">
        <v>0</v>
      </c>
      <c r="U1714">
        <v>10</v>
      </c>
      <c r="V1714">
        <v>0</v>
      </c>
      <c r="W1714">
        <v>0</v>
      </c>
      <c r="X1714">
        <v>111</v>
      </c>
      <c r="Y1714">
        <v>11700</v>
      </c>
      <c r="Z1714" cm="1">
        <f t="array" ref="Z1714">MMULT($G1714:$Y1714,'Nelson Factor_2019'!$B$1:$B$19)/$G1714</f>
        <v>7.9742787715851513</v>
      </c>
      <c r="AA1714" cm="1">
        <f t="array" ref="AA1714">MMULT($G1714:$R1714,'Nelson Factor_2019'!$B$1:$B$12)/$G1714</f>
        <v>7.5172422707062347</v>
      </c>
    </row>
    <row r="1715" spans="1:27" x14ac:dyDescent="0.25">
      <c r="A1715">
        <v>2018</v>
      </c>
      <c r="B1715">
        <v>3</v>
      </c>
      <c r="C1715">
        <v>6</v>
      </c>
      <c r="D1715" t="s">
        <v>275</v>
      </c>
      <c r="E1715" t="s">
        <v>227</v>
      </c>
      <c r="F1715" t="s">
        <v>127</v>
      </c>
      <c r="G1715">
        <v>340000</v>
      </c>
      <c r="H1715">
        <v>240000</v>
      </c>
      <c r="I1715">
        <v>98000</v>
      </c>
      <c r="J1715">
        <v>0</v>
      </c>
      <c r="K1715">
        <v>86000</v>
      </c>
      <c r="L1715">
        <v>85000</v>
      </c>
      <c r="M1715">
        <v>96800</v>
      </c>
      <c r="N1715">
        <v>246000</v>
      </c>
      <c r="O1715">
        <v>14800</v>
      </c>
      <c r="P1715">
        <v>0</v>
      </c>
      <c r="Q1715">
        <v>19000</v>
      </c>
      <c r="R1715">
        <v>0</v>
      </c>
      <c r="S1715">
        <v>23500</v>
      </c>
      <c r="T1715">
        <v>0</v>
      </c>
      <c r="U1715">
        <v>205</v>
      </c>
      <c r="V1715">
        <v>0</v>
      </c>
      <c r="W1715">
        <v>6440</v>
      </c>
      <c r="X1715">
        <v>1113</v>
      </c>
      <c r="Y1715">
        <v>0</v>
      </c>
      <c r="Z1715" cm="1">
        <f t="array" ref="Z1715">MMULT($G1715:$Y1715,'Nelson Factor_2019'!$B$1:$B$19)/$G1715</f>
        <v>17.419779411764704</v>
      </c>
      <c r="AA1715" cm="1">
        <f t="array" ref="AA1715">MMULT($G1715:$R1715,'Nelson Factor_2019'!$B$1:$B$12)/$G1715</f>
        <v>12.486470588235294</v>
      </c>
    </row>
    <row r="1716" spans="1:27" x14ac:dyDescent="0.25">
      <c r="A1716">
        <v>2018</v>
      </c>
      <c r="B1716">
        <v>3</v>
      </c>
      <c r="C1716">
        <v>0</v>
      </c>
      <c r="D1716" t="s">
        <v>275</v>
      </c>
      <c r="E1716" t="s">
        <v>405</v>
      </c>
      <c r="F1716" t="s">
        <v>129</v>
      </c>
      <c r="G1716">
        <v>23750</v>
      </c>
      <c r="H1716">
        <v>17100</v>
      </c>
      <c r="I1716">
        <v>0</v>
      </c>
      <c r="J1716">
        <v>0</v>
      </c>
      <c r="K1716">
        <v>0</v>
      </c>
      <c r="L1716">
        <v>0</v>
      </c>
      <c r="M1716">
        <v>0</v>
      </c>
      <c r="N1716">
        <v>42700</v>
      </c>
      <c r="O1716">
        <v>0</v>
      </c>
      <c r="P1716">
        <v>0</v>
      </c>
      <c r="Q1716">
        <v>0</v>
      </c>
      <c r="R1716">
        <v>0</v>
      </c>
      <c r="S1716">
        <v>20700</v>
      </c>
      <c r="T1716">
        <v>0</v>
      </c>
      <c r="U1716">
        <v>13</v>
      </c>
      <c r="V1716">
        <v>0</v>
      </c>
      <c r="W1716">
        <v>0</v>
      </c>
      <c r="X1716">
        <v>0</v>
      </c>
      <c r="Y1716">
        <v>9000</v>
      </c>
      <c r="Z1716" cm="1">
        <f t="array" ref="Z1716">MMULT($G1716:$Y1716,'Nelson Factor_2019'!$B$1:$B$19)/$G1716</f>
        <v>59.294442105263158</v>
      </c>
      <c r="AA1716" cm="1">
        <f t="array" ref="AA1716">MMULT($G1716:$R1716,'Nelson Factor_2019'!$B$1:$B$12)/$G1716</f>
        <v>6.4307368421052633</v>
      </c>
    </row>
    <row r="1717" spans="1:27" x14ac:dyDescent="0.25">
      <c r="A1717">
        <v>2018</v>
      </c>
      <c r="B1717">
        <v>3</v>
      </c>
      <c r="C1717">
        <v>0</v>
      </c>
      <c r="D1717" t="s">
        <v>275</v>
      </c>
      <c r="E1717" t="s">
        <v>387</v>
      </c>
      <c r="F1717" t="s">
        <v>406</v>
      </c>
      <c r="G1717">
        <v>11875</v>
      </c>
      <c r="H1717">
        <v>0</v>
      </c>
      <c r="I1717">
        <v>0</v>
      </c>
      <c r="J1717">
        <v>0</v>
      </c>
      <c r="K1717">
        <v>0</v>
      </c>
      <c r="L1717">
        <v>0</v>
      </c>
      <c r="M1717">
        <v>0</v>
      </c>
      <c r="N1717">
        <v>0</v>
      </c>
      <c r="O1717">
        <v>0</v>
      </c>
      <c r="P1717">
        <v>0</v>
      </c>
      <c r="Q1717">
        <v>0</v>
      </c>
      <c r="R1717">
        <v>0</v>
      </c>
      <c r="S1717">
        <v>0</v>
      </c>
      <c r="T1717">
        <v>0</v>
      </c>
      <c r="U1717">
        <v>0</v>
      </c>
      <c r="V1717">
        <v>0</v>
      </c>
      <c r="W1717">
        <v>0</v>
      </c>
      <c r="X1717">
        <v>0</v>
      </c>
      <c r="Y1717">
        <v>5513</v>
      </c>
      <c r="Z1717" cm="1">
        <f t="array" ref="Z1717">MMULT($G1717:$Y1717,'Nelson Factor_2019'!$B$1:$B$19)/$G1717</f>
        <v>1.696378947368421</v>
      </c>
      <c r="AA1717" cm="1">
        <f t="array" ref="AA1717">MMULT($G1717:$R1717,'Nelson Factor_2019'!$B$1:$B$12)/$G1717</f>
        <v>1</v>
      </c>
    </row>
    <row r="1718" spans="1:27" x14ac:dyDescent="0.25">
      <c r="A1718">
        <v>2018</v>
      </c>
      <c r="B1718">
        <v>4</v>
      </c>
      <c r="C1718">
        <v>3</v>
      </c>
      <c r="D1718" t="s">
        <v>276</v>
      </c>
      <c r="E1718" t="s">
        <v>298</v>
      </c>
      <c r="F1718" t="s">
        <v>135</v>
      </c>
      <c r="G1718">
        <v>33250</v>
      </c>
      <c r="H1718">
        <v>19000</v>
      </c>
      <c r="I1718">
        <v>0</v>
      </c>
      <c r="J1718">
        <v>0</v>
      </c>
      <c r="K1718">
        <v>2700</v>
      </c>
      <c r="L1718">
        <v>900</v>
      </c>
      <c r="M1718">
        <v>21600</v>
      </c>
      <c r="N1718">
        <v>12150</v>
      </c>
      <c r="O1718">
        <v>900</v>
      </c>
      <c r="P1718">
        <v>0</v>
      </c>
      <c r="Q1718">
        <v>0</v>
      </c>
      <c r="R1718">
        <v>1350</v>
      </c>
      <c r="S1718">
        <v>0</v>
      </c>
      <c r="T1718">
        <v>0</v>
      </c>
      <c r="U1718">
        <v>20</v>
      </c>
      <c r="V1718">
        <v>0</v>
      </c>
      <c r="W1718">
        <v>0</v>
      </c>
      <c r="X1718">
        <v>0</v>
      </c>
      <c r="Y1718">
        <v>9000</v>
      </c>
      <c r="Z1718" cm="1">
        <f t="array" ref="Z1718">MMULT($G1718:$Y1718,'Nelson Factor_2019'!$B$1:$B$19)/$G1718</f>
        <v>9.2750375939849619</v>
      </c>
      <c r="AA1718" cm="1">
        <f t="array" ref="AA1718">MMULT($G1718:$R1718,'Nelson Factor_2019'!$B$1:$B$12)/$G1718</f>
        <v>8.8684210526315788</v>
      </c>
    </row>
    <row r="1719" spans="1:27" x14ac:dyDescent="0.25">
      <c r="A1719">
        <v>2018</v>
      </c>
      <c r="B1719">
        <v>4</v>
      </c>
      <c r="C1719">
        <v>4</v>
      </c>
      <c r="D1719" t="s">
        <v>276</v>
      </c>
      <c r="E1719" t="s">
        <v>336</v>
      </c>
      <c r="F1719" t="s">
        <v>132</v>
      </c>
      <c r="G1719">
        <v>58045</v>
      </c>
      <c r="H1719">
        <v>27550</v>
      </c>
      <c r="I1719">
        <v>13500</v>
      </c>
      <c r="J1719">
        <v>0</v>
      </c>
      <c r="K1719">
        <v>14850</v>
      </c>
      <c r="L1719">
        <v>11250</v>
      </c>
      <c r="M1719">
        <v>0</v>
      </c>
      <c r="N1719">
        <v>55800</v>
      </c>
      <c r="O1719">
        <v>3600</v>
      </c>
      <c r="P1719">
        <v>0</v>
      </c>
      <c r="Q1719">
        <v>0</v>
      </c>
      <c r="R1719">
        <v>1125</v>
      </c>
      <c r="S1719">
        <v>0</v>
      </c>
      <c r="T1719">
        <v>0</v>
      </c>
      <c r="U1719">
        <v>33</v>
      </c>
      <c r="V1719">
        <v>0</v>
      </c>
      <c r="W1719">
        <v>558</v>
      </c>
      <c r="X1719">
        <v>220</v>
      </c>
      <c r="Y1719">
        <v>17820</v>
      </c>
      <c r="Z1719" cm="1">
        <f t="array" ref="Z1719">MMULT($G1719:$Y1719,'Nelson Factor_2019'!$B$1:$B$19)/$G1719</f>
        <v>10.317822379188561</v>
      </c>
      <c r="AA1719" cm="1">
        <f t="array" ref="AA1719">MMULT($G1719:$R1719,'Nelson Factor_2019'!$B$1:$B$12)/$G1719</f>
        <v>8.9471100008614002</v>
      </c>
    </row>
    <row r="1720" spans="1:27" x14ac:dyDescent="0.25">
      <c r="A1720">
        <v>2018</v>
      </c>
      <c r="B1720">
        <v>4</v>
      </c>
      <c r="C1720">
        <v>6</v>
      </c>
      <c r="D1720" t="s">
        <v>276</v>
      </c>
      <c r="E1720" t="s">
        <v>397</v>
      </c>
      <c r="F1720" t="s">
        <v>133</v>
      </c>
      <c r="G1720">
        <v>59755</v>
      </c>
      <c r="H1720">
        <v>27455</v>
      </c>
      <c r="I1720">
        <v>9360</v>
      </c>
      <c r="J1720">
        <v>0</v>
      </c>
      <c r="K1720">
        <v>21294</v>
      </c>
      <c r="L1720">
        <v>11250</v>
      </c>
      <c r="M1720">
        <v>5580</v>
      </c>
      <c r="N1720">
        <v>54810</v>
      </c>
      <c r="O1720">
        <v>4590</v>
      </c>
      <c r="P1720">
        <v>0</v>
      </c>
      <c r="Q1720">
        <v>0</v>
      </c>
      <c r="R1720">
        <v>0</v>
      </c>
      <c r="S1720">
        <v>0</v>
      </c>
      <c r="T1720">
        <v>0</v>
      </c>
      <c r="U1720">
        <v>23</v>
      </c>
      <c r="V1720">
        <v>0</v>
      </c>
      <c r="W1720">
        <v>544</v>
      </c>
      <c r="X1720">
        <v>0</v>
      </c>
      <c r="Y1720">
        <v>13050</v>
      </c>
      <c r="Z1720" cm="1">
        <f t="array" ref="Z1720">MMULT($G1720:$Y1720,'Nelson Factor_2019'!$B$1:$B$19)/$G1720</f>
        <v>9.9878420215881523</v>
      </c>
      <c r="AA1720" cm="1">
        <f t="array" ref="AA1720">MMULT($G1720:$R1720,'Nelson Factor_2019'!$B$1:$B$12)/$G1720</f>
        <v>9.6598694669902105</v>
      </c>
    </row>
    <row r="1721" spans="1:27" x14ac:dyDescent="0.25">
      <c r="A1721">
        <v>2018</v>
      </c>
      <c r="B1721">
        <v>4</v>
      </c>
      <c r="C1721">
        <v>4</v>
      </c>
      <c r="D1721" t="s">
        <v>276</v>
      </c>
      <c r="E1721" t="s">
        <v>317</v>
      </c>
      <c r="F1721" t="s">
        <v>133</v>
      </c>
      <c r="G1721">
        <v>60000</v>
      </c>
      <c r="H1721">
        <v>42500</v>
      </c>
      <c r="I1721">
        <v>20000</v>
      </c>
      <c r="J1721">
        <v>0</v>
      </c>
      <c r="K1721">
        <v>19400</v>
      </c>
      <c r="L1721">
        <v>12200</v>
      </c>
      <c r="M1721">
        <v>0</v>
      </c>
      <c r="N1721">
        <v>73000</v>
      </c>
      <c r="O1721">
        <v>6500</v>
      </c>
      <c r="P1721">
        <v>0</v>
      </c>
      <c r="Q1721">
        <v>0</v>
      </c>
      <c r="R1721">
        <v>3600</v>
      </c>
      <c r="S1721">
        <v>0</v>
      </c>
      <c r="T1721">
        <v>0</v>
      </c>
      <c r="U1721">
        <v>45.5</v>
      </c>
      <c r="V1721">
        <v>0</v>
      </c>
      <c r="W1721">
        <v>900</v>
      </c>
      <c r="X1721">
        <v>295</v>
      </c>
      <c r="Y1721">
        <v>0</v>
      </c>
      <c r="Z1721" cm="1">
        <f t="array" ref="Z1721">MMULT($G1721:$Y1721,'Nelson Factor_2019'!$B$1:$B$19)/$G1721</f>
        <v>12.863258333333333</v>
      </c>
      <c r="AA1721" cm="1">
        <f t="array" ref="AA1721">MMULT($G1721:$R1721,'Nelson Factor_2019'!$B$1:$B$12)/$G1721</f>
        <v>11.682499999999999</v>
      </c>
    </row>
    <row r="1722" spans="1:27" x14ac:dyDescent="0.25">
      <c r="A1722">
        <v>2018</v>
      </c>
      <c r="B1722">
        <v>1</v>
      </c>
      <c r="C1722">
        <v>4</v>
      </c>
      <c r="D1722" t="s">
        <v>277</v>
      </c>
      <c r="E1722" t="s">
        <v>245</v>
      </c>
      <c r="F1722" t="s">
        <v>140</v>
      </c>
      <c r="G1722">
        <v>157700</v>
      </c>
      <c r="H1722">
        <v>85500</v>
      </c>
      <c r="I1722">
        <v>24300</v>
      </c>
      <c r="J1722">
        <v>0</v>
      </c>
      <c r="K1722">
        <v>49500</v>
      </c>
      <c r="L1722">
        <v>28800</v>
      </c>
      <c r="M1722">
        <v>0</v>
      </c>
      <c r="N1722">
        <v>129690</v>
      </c>
      <c r="O1722">
        <v>10080</v>
      </c>
      <c r="P1722">
        <v>0</v>
      </c>
      <c r="Q1722">
        <v>0</v>
      </c>
      <c r="R1722">
        <v>0</v>
      </c>
      <c r="S1722">
        <v>10800</v>
      </c>
      <c r="T1722">
        <v>0</v>
      </c>
      <c r="U1722">
        <v>9</v>
      </c>
      <c r="V1722">
        <v>0</v>
      </c>
      <c r="W1722">
        <v>1020</v>
      </c>
      <c r="X1722">
        <v>254</v>
      </c>
      <c r="Y1722">
        <v>18900</v>
      </c>
      <c r="Z1722" cm="1">
        <f t="array" ref="Z1722">MMULT($G1722:$Y1722,'Nelson Factor_2019'!$B$1:$B$19)/$G1722</f>
        <v>13.027545973367152</v>
      </c>
      <c r="AA1722" cm="1">
        <f t="array" ref="AA1722">MMULT($G1722:$R1722,'Nelson Factor_2019'!$B$1:$B$12)/$G1722</f>
        <v>8.352092580849714</v>
      </c>
    </row>
    <row r="1723" spans="1:27" x14ac:dyDescent="0.25">
      <c r="A1723">
        <v>2018</v>
      </c>
      <c r="B1723">
        <v>1</v>
      </c>
      <c r="C1723">
        <v>1</v>
      </c>
      <c r="D1723" t="s">
        <v>277</v>
      </c>
      <c r="E1723" t="s">
        <v>317</v>
      </c>
      <c r="F1723" t="s">
        <v>137</v>
      </c>
      <c r="G1723">
        <v>258500</v>
      </c>
      <c r="H1723">
        <v>71250</v>
      </c>
      <c r="I1723">
        <v>0</v>
      </c>
      <c r="J1723">
        <v>0</v>
      </c>
      <c r="K1723">
        <v>130500</v>
      </c>
      <c r="L1723">
        <v>30500</v>
      </c>
      <c r="M1723">
        <v>0</v>
      </c>
      <c r="N1723">
        <v>192200</v>
      </c>
      <c r="O1723">
        <v>16500</v>
      </c>
      <c r="P1723">
        <v>0</v>
      </c>
      <c r="Q1723">
        <v>0</v>
      </c>
      <c r="R1723">
        <v>4000</v>
      </c>
      <c r="S1723">
        <v>0</v>
      </c>
      <c r="T1723">
        <v>0</v>
      </c>
      <c r="U1723">
        <v>32.200000000000003</v>
      </c>
      <c r="V1723">
        <v>0</v>
      </c>
      <c r="W1723">
        <v>0</v>
      </c>
      <c r="X1723">
        <v>0</v>
      </c>
      <c r="Y1723">
        <v>18000</v>
      </c>
      <c r="Z1723" cm="1">
        <f t="array" ref="Z1723">MMULT($G1723:$Y1723,'Nelson Factor_2019'!$B$1:$B$19)/$G1723</f>
        <v>7.6253663442940036</v>
      </c>
      <c r="AA1723" cm="1">
        <f t="array" ref="AA1723">MMULT($G1723:$R1723,'Nelson Factor_2019'!$B$1:$B$12)/$G1723</f>
        <v>7.5207930367504838</v>
      </c>
    </row>
    <row r="1724" spans="1:27" x14ac:dyDescent="0.25">
      <c r="A1724">
        <v>2018</v>
      </c>
      <c r="B1724">
        <v>3</v>
      </c>
      <c r="C1724">
        <v>1</v>
      </c>
      <c r="D1724" t="s">
        <v>278</v>
      </c>
      <c r="E1724" t="s">
        <v>251</v>
      </c>
      <c r="F1724" t="s">
        <v>146</v>
      </c>
      <c r="G1724">
        <v>109250</v>
      </c>
      <c r="H1724">
        <v>28120</v>
      </c>
      <c r="I1724">
        <v>0</v>
      </c>
      <c r="J1724">
        <v>0</v>
      </c>
      <c r="K1724">
        <v>24300</v>
      </c>
      <c r="L1724">
        <v>21600</v>
      </c>
      <c r="M1724">
        <v>0</v>
      </c>
      <c r="N1724">
        <v>126000</v>
      </c>
      <c r="O1724">
        <v>8190</v>
      </c>
      <c r="P1724">
        <v>0</v>
      </c>
      <c r="Q1724">
        <v>0</v>
      </c>
      <c r="R1724">
        <v>0</v>
      </c>
      <c r="S1724">
        <v>0</v>
      </c>
      <c r="T1724">
        <v>0</v>
      </c>
      <c r="U1724">
        <v>38</v>
      </c>
      <c r="V1724">
        <v>0</v>
      </c>
      <c r="W1724">
        <v>0</v>
      </c>
      <c r="X1724">
        <v>181</v>
      </c>
      <c r="Y1724">
        <v>6300</v>
      </c>
      <c r="Z1724" cm="1">
        <f t="array" ref="Z1724">MMULT($G1724:$Y1724,'Nelson Factor_2019'!$B$1:$B$19)/$G1724</f>
        <v>7.7751395881006866</v>
      </c>
      <c r="AA1724" cm="1">
        <f t="array" ref="AA1724">MMULT($G1724:$R1724,'Nelson Factor_2019'!$B$1:$B$12)/$G1724</f>
        <v>7.2906727688787187</v>
      </c>
    </row>
    <row r="1725" spans="1:27" x14ac:dyDescent="0.25">
      <c r="A1725">
        <v>2018</v>
      </c>
      <c r="B1725">
        <v>3</v>
      </c>
      <c r="C1725">
        <v>1</v>
      </c>
      <c r="D1725" t="s">
        <v>278</v>
      </c>
      <c r="E1725" t="s">
        <v>415</v>
      </c>
      <c r="F1725" t="s">
        <v>144</v>
      </c>
      <c r="G1725">
        <v>24700</v>
      </c>
      <c r="H1725">
        <v>0</v>
      </c>
      <c r="I1725">
        <v>0</v>
      </c>
      <c r="J1725">
        <v>0</v>
      </c>
      <c r="K1725">
        <v>10350</v>
      </c>
      <c r="L1725">
        <v>6570</v>
      </c>
      <c r="M1725">
        <v>0</v>
      </c>
      <c r="N1725">
        <v>10890</v>
      </c>
      <c r="O1725">
        <v>1620</v>
      </c>
      <c r="P1725">
        <v>0</v>
      </c>
      <c r="Q1725">
        <v>0</v>
      </c>
      <c r="R1725">
        <v>0</v>
      </c>
      <c r="S1725">
        <v>0</v>
      </c>
      <c r="T1725">
        <v>0</v>
      </c>
      <c r="U1725">
        <v>0</v>
      </c>
      <c r="V1725">
        <v>0</v>
      </c>
      <c r="W1725">
        <v>0</v>
      </c>
      <c r="X1725">
        <v>2</v>
      </c>
      <c r="Y1725">
        <v>0</v>
      </c>
      <c r="Z1725" cm="1">
        <f t="array" ref="Z1725">MMULT($G1725:$Y1725,'Nelson Factor_2019'!$B$1:$B$19)/$G1725</f>
        <v>6.6216599190283398</v>
      </c>
      <c r="AA1725" cm="1">
        <f t="array" ref="AA1725">MMULT($G1725:$R1725,'Nelson Factor_2019'!$B$1:$B$12)/$G1725</f>
        <v>6.6022267206477734</v>
      </c>
    </row>
    <row r="1726" spans="1:27" x14ac:dyDescent="0.25">
      <c r="A1726">
        <v>2018</v>
      </c>
      <c r="B1726">
        <v>2</v>
      </c>
      <c r="C1726">
        <v>0</v>
      </c>
      <c r="D1726" t="s">
        <v>279</v>
      </c>
      <c r="E1726" t="s">
        <v>415</v>
      </c>
      <c r="F1726" t="s">
        <v>303</v>
      </c>
      <c r="G1726">
        <v>19000</v>
      </c>
      <c r="H1726">
        <v>0</v>
      </c>
      <c r="I1726">
        <v>0</v>
      </c>
      <c r="J1726">
        <v>0</v>
      </c>
      <c r="K1726">
        <v>0</v>
      </c>
      <c r="L1726">
        <v>0</v>
      </c>
      <c r="M1726">
        <v>0</v>
      </c>
      <c r="N1726">
        <v>7200</v>
      </c>
      <c r="O1726">
        <v>0</v>
      </c>
      <c r="P1726">
        <v>0</v>
      </c>
      <c r="Q1726">
        <v>0</v>
      </c>
      <c r="R1726">
        <v>0</v>
      </c>
      <c r="S1726">
        <v>0</v>
      </c>
      <c r="T1726">
        <v>0</v>
      </c>
      <c r="U1726">
        <v>2</v>
      </c>
      <c r="V1726">
        <v>0</v>
      </c>
      <c r="W1726">
        <v>0</v>
      </c>
      <c r="X1726">
        <v>2</v>
      </c>
      <c r="Y1726">
        <v>0</v>
      </c>
      <c r="Z1726" cm="1">
        <f t="array" ref="Z1726">MMULT($G1726:$Y1726,'Nelson Factor_2019'!$B$1:$B$19)/$G1726</f>
        <v>1.9727368421052631</v>
      </c>
      <c r="AA1726" cm="1">
        <f t="array" ref="AA1726">MMULT($G1726:$R1726,'Nelson Factor_2019'!$B$1:$B$12)/$G1726</f>
        <v>1.9473684210526316</v>
      </c>
    </row>
    <row r="1727" spans="1:27" x14ac:dyDescent="0.25">
      <c r="A1727">
        <v>2018</v>
      </c>
      <c r="B1727">
        <v>2</v>
      </c>
      <c r="C1727">
        <v>1</v>
      </c>
      <c r="D1727" t="s">
        <v>279</v>
      </c>
      <c r="E1727" t="s">
        <v>415</v>
      </c>
      <c r="F1727" t="s">
        <v>149</v>
      </c>
      <c r="G1727">
        <v>70870</v>
      </c>
      <c r="H1727">
        <v>0</v>
      </c>
      <c r="I1727">
        <v>0</v>
      </c>
      <c r="J1727">
        <v>0</v>
      </c>
      <c r="K1727">
        <v>27540</v>
      </c>
      <c r="L1727">
        <v>11250</v>
      </c>
      <c r="M1727">
        <v>0</v>
      </c>
      <c r="N1727">
        <v>38970</v>
      </c>
      <c r="O1727">
        <v>4347</v>
      </c>
      <c r="P1727">
        <v>0</v>
      </c>
      <c r="Q1727">
        <v>0</v>
      </c>
      <c r="R1727">
        <v>0</v>
      </c>
      <c r="S1727">
        <v>0</v>
      </c>
      <c r="T1727">
        <v>0</v>
      </c>
      <c r="U1727">
        <v>0</v>
      </c>
      <c r="V1727">
        <v>0</v>
      </c>
      <c r="W1727">
        <v>0</v>
      </c>
      <c r="X1727">
        <v>15</v>
      </c>
      <c r="Y1727">
        <v>0</v>
      </c>
      <c r="Z1727" cm="1">
        <f t="array" ref="Z1727">MMULT($G1727:$Y1727,'Nelson Factor_2019'!$B$1:$B$19)/$G1727</f>
        <v>6.164173839424298</v>
      </c>
      <c r="AA1727" cm="1">
        <f t="array" ref="AA1727">MMULT($G1727:$R1727,'Nelson Factor_2019'!$B$1:$B$12)/$G1727</f>
        <v>6.1133766050515028</v>
      </c>
    </row>
    <row r="1728" spans="1:27" x14ac:dyDescent="0.25">
      <c r="A1728">
        <v>2018</v>
      </c>
      <c r="B1728">
        <v>2</v>
      </c>
      <c r="C1728">
        <v>6</v>
      </c>
      <c r="D1728" t="s">
        <v>280</v>
      </c>
      <c r="E1728" t="s">
        <v>359</v>
      </c>
      <c r="F1728" t="s">
        <v>151</v>
      </c>
      <c r="G1728">
        <v>152000</v>
      </c>
      <c r="H1728">
        <v>67925</v>
      </c>
      <c r="I1728">
        <v>31500</v>
      </c>
      <c r="J1728">
        <v>0</v>
      </c>
      <c r="K1728">
        <v>49500</v>
      </c>
      <c r="L1728">
        <v>37800</v>
      </c>
      <c r="M1728">
        <v>27900</v>
      </c>
      <c r="N1728">
        <v>101700</v>
      </c>
      <c r="O1728">
        <v>10350</v>
      </c>
      <c r="P1728">
        <v>0</v>
      </c>
      <c r="Q1728">
        <v>0</v>
      </c>
      <c r="R1728">
        <v>0</v>
      </c>
      <c r="S1728">
        <v>0</v>
      </c>
      <c r="T1728">
        <v>0</v>
      </c>
      <c r="U1728">
        <v>0</v>
      </c>
      <c r="V1728">
        <v>0</v>
      </c>
      <c r="W1728">
        <v>2005.9999999999998</v>
      </c>
      <c r="X1728">
        <v>351</v>
      </c>
      <c r="Y1728">
        <v>8100</v>
      </c>
      <c r="Z1728" cm="1">
        <f t="array" ref="Z1728">MMULT($G1728:$Y1728,'Nelson Factor_2019'!$B$1:$B$19)/$G1728</f>
        <v>10.78876644736842</v>
      </c>
      <c r="AA1728" cm="1">
        <f t="array" ref="AA1728">MMULT($G1728:$R1728,'Nelson Factor_2019'!$B$1:$B$12)/$G1728</f>
        <v>10.154621710526316</v>
      </c>
    </row>
    <row r="1729" spans="1:27" x14ac:dyDescent="0.25">
      <c r="A1729">
        <v>2018</v>
      </c>
      <c r="B1729">
        <v>2</v>
      </c>
      <c r="C1729">
        <v>6</v>
      </c>
      <c r="D1729" t="s">
        <v>280</v>
      </c>
      <c r="E1729" t="s">
        <v>407</v>
      </c>
      <c r="F1729" t="s">
        <v>154</v>
      </c>
      <c r="G1729">
        <v>161500</v>
      </c>
      <c r="H1729">
        <v>50350</v>
      </c>
      <c r="I1729">
        <v>20700</v>
      </c>
      <c r="J1729">
        <v>0</v>
      </c>
      <c r="K1729">
        <v>40770</v>
      </c>
      <c r="L1729">
        <v>49500</v>
      </c>
      <c r="M1729">
        <v>23400</v>
      </c>
      <c r="N1729">
        <v>142200</v>
      </c>
      <c r="O1729">
        <v>0</v>
      </c>
      <c r="P1729">
        <v>0</v>
      </c>
      <c r="Q1729">
        <v>8280</v>
      </c>
      <c r="R1729">
        <v>20880</v>
      </c>
      <c r="S1729">
        <v>0</v>
      </c>
      <c r="T1729">
        <v>0</v>
      </c>
      <c r="U1729">
        <v>0</v>
      </c>
      <c r="V1729">
        <v>0</v>
      </c>
      <c r="W1729">
        <v>571</v>
      </c>
      <c r="X1729">
        <v>100</v>
      </c>
      <c r="Y1729">
        <v>0</v>
      </c>
      <c r="Z1729" cm="1">
        <f t="array" ref="Z1729">MMULT($G1729:$Y1729,'Nelson Factor_2019'!$B$1:$B$19)/$G1729</f>
        <v>10.336006191950464</v>
      </c>
      <c r="AA1729" cm="1">
        <f t="array" ref="AA1729">MMULT($G1729:$R1729,'Nelson Factor_2019'!$B$1:$B$12)/$G1729</f>
        <v>10.187399380804953</v>
      </c>
    </row>
    <row r="1730" spans="1:27" x14ac:dyDescent="0.25">
      <c r="A1730">
        <v>2018</v>
      </c>
      <c r="B1730">
        <v>2</v>
      </c>
      <c r="C1730">
        <v>1</v>
      </c>
      <c r="D1730" t="s">
        <v>280</v>
      </c>
      <c r="E1730" t="s">
        <v>398</v>
      </c>
      <c r="F1730" t="s">
        <v>152</v>
      </c>
      <c r="G1730">
        <v>93000</v>
      </c>
      <c r="H1730">
        <v>33300</v>
      </c>
      <c r="I1730">
        <v>0</v>
      </c>
      <c r="J1730">
        <v>0</v>
      </c>
      <c r="K1730">
        <v>24700</v>
      </c>
      <c r="L1730">
        <v>20400</v>
      </c>
      <c r="M1730">
        <v>0</v>
      </c>
      <c r="N1730">
        <v>92200</v>
      </c>
      <c r="O1730">
        <v>7100</v>
      </c>
      <c r="P1730">
        <v>0</v>
      </c>
      <c r="Q1730">
        <v>0</v>
      </c>
      <c r="R1730">
        <v>0</v>
      </c>
      <c r="S1730">
        <v>0</v>
      </c>
      <c r="T1730">
        <v>0</v>
      </c>
      <c r="U1730">
        <v>0</v>
      </c>
      <c r="V1730">
        <v>0</v>
      </c>
      <c r="W1730">
        <v>0</v>
      </c>
      <c r="X1730">
        <v>89</v>
      </c>
      <c r="Y1730">
        <v>14100</v>
      </c>
      <c r="Z1730" cm="1">
        <f t="array" ref="Z1730">MMULT($G1730:$Y1730,'Nelson Factor_2019'!$B$1:$B$19)/$G1730</f>
        <v>7.854838709677419</v>
      </c>
      <c r="AA1730" cm="1">
        <f t="array" ref="AA1730">MMULT($G1730:$R1730,'Nelson Factor_2019'!$B$1:$B$12)/$G1730</f>
        <v>7.3977419354838707</v>
      </c>
    </row>
    <row r="1731" spans="1:27" x14ac:dyDescent="0.25">
      <c r="A1731">
        <v>2018</v>
      </c>
      <c r="B1731">
        <v>2</v>
      </c>
      <c r="C1731">
        <v>3</v>
      </c>
      <c r="D1731" t="s">
        <v>280</v>
      </c>
      <c r="E1731" t="s">
        <v>245</v>
      </c>
      <c r="F1731" t="s">
        <v>151</v>
      </c>
      <c r="G1731">
        <v>178600</v>
      </c>
      <c r="H1731">
        <v>0</v>
      </c>
      <c r="I1731">
        <v>0</v>
      </c>
      <c r="J1731">
        <v>0</v>
      </c>
      <c r="K1731">
        <v>73800</v>
      </c>
      <c r="L1731">
        <v>46620</v>
      </c>
      <c r="M1731">
        <v>46800</v>
      </c>
      <c r="N1731">
        <v>134910</v>
      </c>
      <c r="O1731">
        <v>8955</v>
      </c>
      <c r="P1731">
        <v>0</v>
      </c>
      <c r="Q1731">
        <v>9720</v>
      </c>
      <c r="R1731">
        <v>7200</v>
      </c>
      <c r="S1731">
        <v>0</v>
      </c>
      <c r="T1731">
        <v>0</v>
      </c>
      <c r="U1731">
        <v>0</v>
      </c>
      <c r="V1731">
        <v>0</v>
      </c>
      <c r="W1731">
        <v>0</v>
      </c>
      <c r="X1731">
        <v>105</v>
      </c>
      <c r="Y1731">
        <v>0</v>
      </c>
      <c r="Z1731" cm="1">
        <f t="array" ref="Z1731">MMULT($G1731:$Y1731,'Nelson Factor_2019'!$B$1:$B$19)/$G1731</f>
        <v>10.621080627099664</v>
      </c>
      <c r="AA1731" cm="1">
        <f t="array" ref="AA1731">MMULT($G1731:$R1731,'Nelson Factor_2019'!$B$1:$B$12)/$G1731</f>
        <v>10.479983202687571</v>
      </c>
    </row>
    <row r="1732" spans="1:27" x14ac:dyDescent="0.25">
      <c r="A1732">
        <v>2018</v>
      </c>
      <c r="B1732">
        <v>2</v>
      </c>
      <c r="C1732">
        <v>3</v>
      </c>
      <c r="D1732" t="s">
        <v>282</v>
      </c>
      <c r="E1732" t="s">
        <v>400</v>
      </c>
      <c r="F1732" t="s">
        <v>158</v>
      </c>
      <c r="G1732">
        <v>71250</v>
      </c>
      <c r="H1732">
        <v>38285</v>
      </c>
      <c r="I1732">
        <v>0</v>
      </c>
      <c r="J1732">
        <v>0</v>
      </c>
      <c r="K1732">
        <v>19980</v>
      </c>
      <c r="L1732">
        <v>16200</v>
      </c>
      <c r="M1732">
        <v>16380</v>
      </c>
      <c r="N1732">
        <v>61110</v>
      </c>
      <c r="O1732">
        <v>4950</v>
      </c>
      <c r="P1732">
        <v>0</v>
      </c>
      <c r="Q1732">
        <v>18900</v>
      </c>
      <c r="R1732">
        <v>0</v>
      </c>
      <c r="S1732">
        <v>0</v>
      </c>
      <c r="T1732">
        <v>0</v>
      </c>
      <c r="U1732">
        <v>10</v>
      </c>
      <c r="V1732">
        <v>0</v>
      </c>
      <c r="W1732">
        <v>0</v>
      </c>
      <c r="X1732">
        <v>50</v>
      </c>
      <c r="Y1732">
        <v>6300</v>
      </c>
      <c r="Z1732" cm="1">
        <f t="array" ref="Z1732">MMULT($G1732:$Y1732,'Nelson Factor_2019'!$B$1:$B$19)/$G1732</f>
        <v>14.802463157894737</v>
      </c>
      <c r="AA1732" cm="1">
        <f t="array" ref="AA1732">MMULT($G1732:$R1732,'Nelson Factor_2019'!$B$1:$B$12)/$G1732</f>
        <v>14.501270175438597</v>
      </c>
    </row>
    <row r="1733" spans="1:27" x14ac:dyDescent="0.25">
      <c r="A1733">
        <v>2018</v>
      </c>
      <c r="B1733">
        <v>2</v>
      </c>
      <c r="C1733">
        <v>4</v>
      </c>
      <c r="D1733" t="s">
        <v>282</v>
      </c>
      <c r="E1733" t="s">
        <v>251</v>
      </c>
      <c r="F1733" t="s">
        <v>160</v>
      </c>
      <c r="G1733">
        <v>157225</v>
      </c>
      <c r="H1733">
        <v>56050</v>
      </c>
      <c r="I1733">
        <v>9900</v>
      </c>
      <c r="J1733">
        <v>0</v>
      </c>
      <c r="K1733">
        <v>24300</v>
      </c>
      <c r="L1733">
        <v>20700</v>
      </c>
      <c r="M1733">
        <v>0</v>
      </c>
      <c r="N1733">
        <v>131040</v>
      </c>
      <c r="O1733">
        <v>4950</v>
      </c>
      <c r="P1733">
        <v>0</v>
      </c>
      <c r="Q1733">
        <v>0</v>
      </c>
      <c r="R1733">
        <v>12510</v>
      </c>
      <c r="S1733">
        <v>9000</v>
      </c>
      <c r="T1733">
        <v>0</v>
      </c>
      <c r="U1733">
        <v>0</v>
      </c>
      <c r="V1733">
        <v>0</v>
      </c>
      <c r="W1733">
        <v>374</v>
      </c>
      <c r="X1733">
        <v>68</v>
      </c>
      <c r="Y1733">
        <v>19530</v>
      </c>
      <c r="Z1733" cm="1">
        <f t="array" ref="Z1733">MMULT($G1733:$Y1733,'Nelson Factor_2019'!$B$1:$B$19)/$G1733</f>
        <v>9.8831928764509467</v>
      </c>
      <c r="AA1733" cm="1">
        <f t="array" ref="AA1733">MMULT($G1733:$R1733,'Nelson Factor_2019'!$B$1:$B$12)/$G1733</f>
        <v>6.1584989664493559</v>
      </c>
    </row>
    <row r="1734" spans="1:27" x14ac:dyDescent="0.25">
      <c r="A1734">
        <v>2018</v>
      </c>
      <c r="B1734">
        <v>2</v>
      </c>
      <c r="C1734">
        <v>4</v>
      </c>
      <c r="D1734" t="s">
        <v>282</v>
      </c>
      <c r="E1734" t="s">
        <v>362</v>
      </c>
      <c r="F1734" t="s">
        <v>156</v>
      </c>
      <c r="G1734">
        <v>203000</v>
      </c>
      <c r="H1734">
        <v>80000</v>
      </c>
      <c r="I1734">
        <v>23100</v>
      </c>
      <c r="J1734">
        <v>0</v>
      </c>
      <c r="K1734">
        <v>59300</v>
      </c>
      <c r="L1734">
        <v>44000</v>
      </c>
      <c r="M1734">
        <v>0</v>
      </c>
      <c r="N1734">
        <v>188550</v>
      </c>
      <c r="O1734">
        <v>13000</v>
      </c>
      <c r="P1734">
        <v>0</v>
      </c>
      <c r="Q1734">
        <v>0</v>
      </c>
      <c r="R1734">
        <v>23400</v>
      </c>
      <c r="S1734">
        <v>0</v>
      </c>
      <c r="T1734">
        <v>0</v>
      </c>
      <c r="U1734">
        <v>46.8</v>
      </c>
      <c r="V1734">
        <v>0</v>
      </c>
      <c r="W1734">
        <v>1150</v>
      </c>
      <c r="X1734">
        <v>200</v>
      </c>
      <c r="Y1734">
        <v>0</v>
      </c>
      <c r="Z1734" cm="1">
        <f t="array" ref="Z1734">MMULT($G1734:$Y1734,'Nelson Factor_2019'!$B$1:$B$19)/$G1734</f>
        <v>8.7471517241379306</v>
      </c>
      <c r="AA1734" cm="1">
        <f t="array" ref="AA1734">MMULT($G1734:$R1734,'Nelson Factor_2019'!$B$1:$B$12)/$G1734</f>
        <v>8.5104679802955658</v>
      </c>
    </row>
    <row r="1735" spans="1:27" x14ac:dyDescent="0.25">
      <c r="A1735">
        <v>2018</v>
      </c>
      <c r="B1735">
        <v>2</v>
      </c>
      <c r="C1735">
        <v>3</v>
      </c>
      <c r="D1735" t="s">
        <v>282</v>
      </c>
      <c r="E1735" t="s">
        <v>66</v>
      </c>
      <c r="F1735" t="s">
        <v>161</v>
      </c>
      <c r="G1735">
        <v>83600</v>
      </c>
      <c r="H1735">
        <v>30400</v>
      </c>
      <c r="I1735">
        <v>0</v>
      </c>
      <c r="J1735">
        <v>0</v>
      </c>
      <c r="K1735">
        <v>27000</v>
      </c>
      <c r="L1735">
        <v>18450</v>
      </c>
      <c r="M1735">
        <v>12600</v>
      </c>
      <c r="N1735">
        <v>84105</v>
      </c>
      <c r="O1735">
        <v>6311</v>
      </c>
      <c r="P1735">
        <v>0</v>
      </c>
      <c r="Q1735">
        <v>0</v>
      </c>
      <c r="R1735">
        <v>0</v>
      </c>
      <c r="S1735">
        <v>0</v>
      </c>
      <c r="T1735">
        <v>0</v>
      </c>
      <c r="U1735">
        <v>27</v>
      </c>
      <c r="V1735">
        <v>0</v>
      </c>
      <c r="W1735">
        <v>0</v>
      </c>
      <c r="X1735">
        <v>226</v>
      </c>
      <c r="Y1735">
        <v>13243</v>
      </c>
      <c r="Z1735" cm="1">
        <f t="array" ref="Z1735">MMULT($G1735:$Y1735,'Nelson Factor_2019'!$B$1:$B$19)/$G1735</f>
        <v>9.8764832535885159</v>
      </c>
      <c r="AA1735" cm="1">
        <f t="array" ref="AA1735">MMULT($G1735:$R1735,'Nelson Factor_2019'!$B$1:$B$12)/$G1735</f>
        <v>8.9897428229665071</v>
      </c>
    </row>
    <row r="1736" spans="1:27" x14ac:dyDescent="0.25">
      <c r="A1736">
        <v>2018</v>
      </c>
      <c r="B1736">
        <v>1</v>
      </c>
      <c r="C1736">
        <v>0</v>
      </c>
      <c r="D1736" t="s">
        <v>284</v>
      </c>
      <c r="E1736" t="s">
        <v>365</v>
      </c>
      <c r="F1736" t="s">
        <v>164</v>
      </c>
      <c r="G1736">
        <v>11210</v>
      </c>
      <c r="H1736">
        <v>0</v>
      </c>
      <c r="I1736">
        <v>0</v>
      </c>
      <c r="J1736">
        <v>0</v>
      </c>
      <c r="K1736">
        <v>0</v>
      </c>
      <c r="L1736">
        <v>1980</v>
      </c>
      <c r="M1736">
        <v>0</v>
      </c>
      <c r="N1736">
        <v>3240</v>
      </c>
      <c r="O1736">
        <v>0</v>
      </c>
      <c r="P1736">
        <v>0</v>
      </c>
      <c r="Q1736">
        <v>0</v>
      </c>
      <c r="R1736">
        <v>0</v>
      </c>
      <c r="S1736">
        <v>2651</v>
      </c>
      <c r="T1736">
        <v>0</v>
      </c>
      <c r="U1736">
        <v>0</v>
      </c>
      <c r="V1736">
        <v>0</v>
      </c>
      <c r="W1736">
        <v>0</v>
      </c>
      <c r="X1736">
        <v>0</v>
      </c>
      <c r="Y1736">
        <v>59</v>
      </c>
      <c r="Z1736" cm="1">
        <f t="array" ref="Z1736">MMULT($G1736:$Y1736,'Nelson Factor_2019'!$B$1:$B$19)/$G1736</f>
        <v>16.802720785013381</v>
      </c>
      <c r="AA1736" cm="1">
        <f t="array" ref="AA1736">MMULT($G1736:$R1736,'Nelson Factor_2019'!$B$1:$B$12)/$G1736</f>
        <v>2.6057091882247994</v>
      </c>
    </row>
    <row r="1737" spans="1:27" x14ac:dyDescent="0.25">
      <c r="A1737">
        <v>2018</v>
      </c>
      <c r="B1737">
        <v>1</v>
      </c>
      <c r="C1737">
        <v>3</v>
      </c>
      <c r="D1737" t="s">
        <v>284</v>
      </c>
      <c r="E1737" t="s">
        <v>408</v>
      </c>
      <c r="F1737" t="s">
        <v>165</v>
      </c>
      <c r="G1737">
        <v>197600</v>
      </c>
      <c r="H1737">
        <v>69350</v>
      </c>
      <c r="I1737">
        <v>0</v>
      </c>
      <c r="J1737">
        <v>0</v>
      </c>
      <c r="K1737">
        <v>47700</v>
      </c>
      <c r="L1737">
        <v>45000</v>
      </c>
      <c r="M1737">
        <v>20700</v>
      </c>
      <c r="N1737">
        <v>153360</v>
      </c>
      <c r="O1737">
        <v>10800</v>
      </c>
      <c r="P1737">
        <v>0</v>
      </c>
      <c r="Q1737">
        <v>0</v>
      </c>
      <c r="R1737">
        <v>0</v>
      </c>
      <c r="S1737">
        <v>0</v>
      </c>
      <c r="T1737">
        <v>0</v>
      </c>
      <c r="U1737">
        <v>0</v>
      </c>
      <c r="V1737">
        <v>0</v>
      </c>
      <c r="W1737">
        <v>0</v>
      </c>
      <c r="X1737">
        <v>82</v>
      </c>
      <c r="Y1737">
        <v>0</v>
      </c>
      <c r="Z1737" cm="1">
        <f t="array" ref="Z1737">MMULT($G1737:$Y1737,'Nelson Factor_2019'!$B$1:$B$19)/$G1737</f>
        <v>7.4677884615384613</v>
      </c>
      <c r="AA1737" cm="1">
        <f t="array" ref="AA1737">MMULT($G1737:$R1737,'Nelson Factor_2019'!$B$1:$B$12)/$G1737</f>
        <v>7.3681933198380563</v>
      </c>
    </row>
    <row r="1738" spans="1:27" x14ac:dyDescent="0.25">
      <c r="A1738">
        <v>2018</v>
      </c>
      <c r="B1738">
        <v>1</v>
      </c>
      <c r="C1738">
        <v>1</v>
      </c>
      <c r="D1738" t="s">
        <v>284</v>
      </c>
      <c r="E1738" t="s">
        <v>409</v>
      </c>
      <c r="F1738" t="s">
        <v>169</v>
      </c>
      <c r="G1738">
        <v>66500</v>
      </c>
      <c r="H1738">
        <v>38000</v>
      </c>
      <c r="I1738">
        <v>0</v>
      </c>
      <c r="J1738">
        <v>0</v>
      </c>
      <c r="K1738">
        <v>23400</v>
      </c>
      <c r="L1738">
        <v>12600</v>
      </c>
      <c r="M1738">
        <v>0</v>
      </c>
      <c r="N1738">
        <v>45900</v>
      </c>
      <c r="O1738">
        <v>4050</v>
      </c>
      <c r="P1738">
        <v>0</v>
      </c>
      <c r="Q1738">
        <v>0</v>
      </c>
      <c r="R1738">
        <v>7650</v>
      </c>
      <c r="S1738">
        <v>0</v>
      </c>
      <c r="T1738">
        <v>0</v>
      </c>
      <c r="U1738">
        <v>0</v>
      </c>
      <c r="V1738">
        <v>0</v>
      </c>
      <c r="W1738">
        <v>0</v>
      </c>
      <c r="X1738">
        <v>61</v>
      </c>
      <c r="Y1738">
        <v>19800</v>
      </c>
      <c r="Z1738" cm="1">
        <f t="array" ref="Z1738">MMULT($G1738:$Y1738,'Nelson Factor_2019'!$B$1:$B$19)/$G1738</f>
        <v>8.1479699248120294</v>
      </c>
      <c r="AA1738" cm="1">
        <f t="array" ref="AA1738">MMULT($G1738:$R1738,'Nelson Factor_2019'!$B$1:$B$12)/$G1738</f>
        <v>7.481203007518797</v>
      </c>
    </row>
    <row r="1739" spans="1:27" x14ac:dyDescent="0.25">
      <c r="A1739">
        <v>2018</v>
      </c>
      <c r="B1739">
        <v>1</v>
      </c>
      <c r="C1739">
        <v>1</v>
      </c>
      <c r="D1739" t="s">
        <v>284</v>
      </c>
      <c r="E1739" t="s">
        <v>410</v>
      </c>
      <c r="F1739" t="s">
        <v>167</v>
      </c>
      <c r="G1739">
        <v>337250</v>
      </c>
      <c r="H1739">
        <v>155040</v>
      </c>
      <c r="I1739">
        <v>0</v>
      </c>
      <c r="J1739">
        <v>0</v>
      </c>
      <c r="K1739">
        <v>124650</v>
      </c>
      <c r="L1739">
        <v>77400</v>
      </c>
      <c r="M1739">
        <v>0</v>
      </c>
      <c r="N1739">
        <v>225900</v>
      </c>
      <c r="O1739">
        <v>23400</v>
      </c>
      <c r="P1739">
        <v>0</v>
      </c>
      <c r="Q1739">
        <v>4428</v>
      </c>
      <c r="R1739">
        <v>7200</v>
      </c>
      <c r="S1739">
        <v>0</v>
      </c>
      <c r="T1739">
        <v>0</v>
      </c>
      <c r="U1739">
        <v>0</v>
      </c>
      <c r="V1739">
        <v>0</v>
      </c>
      <c r="W1739">
        <v>0</v>
      </c>
      <c r="X1739">
        <v>113</v>
      </c>
      <c r="Y1739">
        <v>0</v>
      </c>
      <c r="Z1739" cm="1">
        <f t="array" ref="Z1739">MMULT($G1739:$Y1739,'Nelson Factor_2019'!$B$1:$B$19)/$G1739</f>
        <v>7.7382713120830244</v>
      </c>
      <c r="AA1739" cm="1">
        <f t="array" ref="AA1739">MMULT($G1739:$R1739,'Nelson Factor_2019'!$B$1:$B$12)/$G1739</f>
        <v>7.6578561897702002</v>
      </c>
    </row>
    <row r="1740" spans="1:27" x14ac:dyDescent="0.25">
      <c r="A1740">
        <v>2018</v>
      </c>
      <c r="B1740">
        <v>2</v>
      </c>
      <c r="C1740">
        <v>3</v>
      </c>
      <c r="D1740" t="s">
        <v>286</v>
      </c>
      <c r="E1740" t="s">
        <v>66</v>
      </c>
      <c r="F1740" t="s">
        <v>172</v>
      </c>
      <c r="G1740">
        <v>185250</v>
      </c>
      <c r="H1740">
        <v>0</v>
      </c>
      <c r="I1740">
        <v>0</v>
      </c>
      <c r="J1740">
        <v>0</v>
      </c>
      <c r="K1740">
        <v>63000</v>
      </c>
      <c r="L1740">
        <v>32400</v>
      </c>
      <c r="M1740">
        <v>23850</v>
      </c>
      <c r="N1740">
        <v>116100</v>
      </c>
      <c r="O1740">
        <v>11430</v>
      </c>
      <c r="P1740">
        <v>0</v>
      </c>
      <c r="Q1740">
        <v>26100</v>
      </c>
      <c r="R1740">
        <v>0</v>
      </c>
      <c r="S1740">
        <v>0</v>
      </c>
      <c r="T1740">
        <v>0</v>
      </c>
      <c r="U1740">
        <v>30</v>
      </c>
      <c r="V1740">
        <v>0</v>
      </c>
      <c r="W1740">
        <v>0</v>
      </c>
      <c r="X1740">
        <v>105</v>
      </c>
      <c r="Y1740">
        <v>0</v>
      </c>
      <c r="Z1740" cm="1">
        <f t="array" ref="Z1740">MMULT($G1740:$Y1740,'Nelson Factor_2019'!$B$1:$B$19)/$G1740</f>
        <v>10.082753036437246</v>
      </c>
      <c r="AA1740" cm="1">
        <f t="array" ref="AA1740">MMULT($G1740:$R1740,'Nelson Factor_2019'!$B$1:$B$12)/$G1740</f>
        <v>9.9465587044534409</v>
      </c>
    </row>
    <row r="1741" spans="1:27" x14ac:dyDescent="0.25">
      <c r="A1741">
        <v>2018</v>
      </c>
      <c r="B1741">
        <v>3</v>
      </c>
      <c r="C1741">
        <v>1</v>
      </c>
      <c r="D1741" t="s">
        <v>287</v>
      </c>
      <c r="E1741" t="s">
        <v>416</v>
      </c>
      <c r="F1741" t="s">
        <v>177</v>
      </c>
      <c r="G1741">
        <v>70300</v>
      </c>
      <c r="H1741">
        <v>22800</v>
      </c>
      <c r="I1741">
        <v>0</v>
      </c>
      <c r="J1741">
        <v>0</v>
      </c>
      <c r="K1741">
        <v>22500</v>
      </c>
      <c r="L1741">
        <v>18900</v>
      </c>
      <c r="M1741">
        <v>0</v>
      </c>
      <c r="N1741">
        <v>54000</v>
      </c>
      <c r="O1741">
        <v>4500</v>
      </c>
      <c r="P1741">
        <v>0</v>
      </c>
      <c r="Q1741">
        <v>900</v>
      </c>
      <c r="R1741">
        <v>0</v>
      </c>
      <c r="S1741">
        <v>0</v>
      </c>
      <c r="T1741">
        <v>0</v>
      </c>
      <c r="U1741">
        <v>0</v>
      </c>
      <c r="V1741">
        <v>0</v>
      </c>
      <c r="W1741">
        <v>0</v>
      </c>
      <c r="X1741">
        <v>136</v>
      </c>
      <c r="Y1741">
        <v>6840</v>
      </c>
      <c r="Z1741" cm="1">
        <f t="array" ref="Z1741">MMULT($G1741:$Y1741,'Nelson Factor_2019'!$B$1:$B$19)/$G1741</f>
        <v>8.1129445234708388</v>
      </c>
      <c r="AA1741" cm="1">
        <f t="array" ref="AA1741">MMULT($G1741:$R1741,'Nelson Factor_2019'!$B$1:$B$12)/$G1741</f>
        <v>7.5027027027027025</v>
      </c>
    </row>
    <row r="1742" spans="1:27" x14ac:dyDescent="0.25">
      <c r="A1742">
        <v>2018</v>
      </c>
      <c r="B1742">
        <v>3</v>
      </c>
      <c r="C1742">
        <v>0</v>
      </c>
      <c r="D1742" t="s">
        <v>287</v>
      </c>
      <c r="E1742" t="s">
        <v>298</v>
      </c>
      <c r="F1742" t="s">
        <v>175</v>
      </c>
      <c r="G1742">
        <v>19950</v>
      </c>
      <c r="H1742">
        <v>0</v>
      </c>
      <c r="I1742">
        <v>0</v>
      </c>
      <c r="J1742">
        <v>0</v>
      </c>
      <c r="K1742">
        <v>0</v>
      </c>
      <c r="L1742">
        <v>5400</v>
      </c>
      <c r="M1742">
        <v>0</v>
      </c>
      <c r="N1742">
        <v>11700</v>
      </c>
      <c r="O1742">
        <v>0</v>
      </c>
      <c r="P1742">
        <v>0</v>
      </c>
      <c r="Q1742">
        <v>0</v>
      </c>
      <c r="R1742">
        <v>0</v>
      </c>
      <c r="S1742">
        <v>0</v>
      </c>
      <c r="T1742">
        <v>0</v>
      </c>
      <c r="U1742">
        <v>0</v>
      </c>
      <c r="V1742">
        <v>0</v>
      </c>
      <c r="W1742">
        <v>0</v>
      </c>
      <c r="X1742">
        <v>0</v>
      </c>
      <c r="Y1742">
        <v>0</v>
      </c>
      <c r="Z1742" cm="1">
        <f t="array" ref="Z1742">MMULT($G1742:$Y1742,'Nelson Factor_2019'!$B$1:$B$19)/$G1742</f>
        <v>3.8195488721804511</v>
      </c>
      <c r="AA1742" cm="1">
        <f t="array" ref="AA1742">MMULT($G1742:$R1742,'Nelson Factor_2019'!$B$1:$B$12)/$G1742</f>
        <v>3.8195488721804511</v>
      </c>
    </row>
    <row r="1743" spans="1:27" x14ac:dyDescent="0.25">
      <c r="A1743">
        <v>2018</v>
      </c>
      <c r="B1743">
        <v>3</v>
      </c>
      <c r="C1743">
        <v>4</v>
      </c>
      <c r="D1743" t="s">
        <v>287</v>
      </c>
      <c r="E1743" t="s">
        <v>391</v>
      </c>
      <c r="F1743" t="s">
        <v>188</v>
      </c>
      <c r="G1743">
        <v>71250</v>
      </c>
      <c r="H1743">
        <v>26600</v>
      </c>
      <c r="I1743">
        <v>5850</v>
      </c>
      <c r="J1743">
        <v>0</v>
      </c>
      <c r="K1743">
        <v>18225</v>
      </c>
      <c r="L1743">
        <v>15750</v>
      </c>
      <c r="M1743">
        <v>0</v>
      </c>
      <c r="N1743">
        <v>69300</v>
      </c>
      <c r="O1743">
        <v>4230</v>
      </c>
      <c r="P1743">
        <v>0</v>
      </c>
      <c r="Q1743">
        <v>0</v>
      </c>
      <c r="R1743">
        <v>0</v>
      </c>
      <c r="S1743">
        <v>0</v>
      </c>
      <c r="T1743">
        <v>0</v>
      </c>
      <c r="U1743">
        <v>0</v>
      </c>
      <c r="V1743">
        <v>0</v>
      </c>
      <c r="W1743">
        <v>204</v>
      </c>
      <c r="X1743">
        <v>35</v>
      </c>
      <c r="Y1743">
        <v>0</v>
      </c>
      <c r="Z1743" cm="1">
        <f t="array" ref="Z1743">MMULT($G1743:$Y1743,'Nelson Factor_2019'!$B$1:$B$19)/$G1743</f>
        <v>7.8842807017543857</v>
      </c>
      <c r="AA1743" cm="1">
        <f t="array" ref="AA1743">MMULT($G1743:$R1743,'Nelson Factor_2019'!$B$1:$B$12)/$G1743</f>
        <v>7.7663859649122804</v>
      </c>
    </row>
    <row r="1744" spans="1:27" x14ac:dyDescent="0.25">
      <c r="A1744">
        <v>2018</v>
      </c>
      <c r="B1744">
        <v>3</v>
      </c>
      <c r="C1744">
        <v>6</v>
      </c>
      <c r="D1744" t="s">
        <v>287</v>
      </c>
      <c r="E1744" t="s">
        <v>397</v>
      </c>
      <c r="F1744" t="s">
        <v>185</v>
      </c>
      <c r="G1744">
        <v>554800</v>
      </c>
      <c r="H1744">
        <v>282150</v>
      </c>
      <c r="I1744">
        <v>86400</v>
      </c>
      <c r="J1744">
        <v>0</v>
      </c>
      <c r="K1744">
        <v>200700</v>
      </c>
      <c r="L1744">
        <v>111150</v>
      </c>
      <c r="M1744">
        <v>26910</v>
      </c>
      <c r="N1744">
        <v>714600</v>
      </c>
      <c r="O1744">
        <v>33300</v>
      </c>
      <c r="P1744">
        <v>0</v>
      </c>
      <c r="Q1744">
        <v>0</v>
      </c>
      <c r="R1744">
        <v>0</v>
      </c>
      <c r="S1744">
        <v>25200</v>
      </c>
      <c r="T1744">
        <v>0</v>
      </c>
      <c r="U1744">
        <v>0</v>
      </c>
      <c r="V1744">
        <v>0</v>
      </c>
      <c r="W1744">
        <v>3094</v>
      </c>
      <c r="X1744">
        <v>1658</v>
      </c>
      <c r="Y1744">
        <v>0</v>
      </c>
      <c r="Z1744" cm="1">
        <f t="array" ref="Z1744">MMULT($G1744:$Y1744,'Nelson Factor_2019'!$B$1:$B$19)/$G1744</f>
        <v>13.652208002883922</v>
      </c>
      <c r="AA1744" cm="1">
        <f t="array" ref="AA1744">MMULT($G1744:$R1744,'Nelson Factor_2019'!$B$1:$B$12)/$G1744</f>
        <v>10.209670151405913</v>
      </c>
    </row>
    <row r="1745" spans="1:27" x14ac:dyDescent="0.25">
      <c r="A1745">
        <v>2018</v>
      </c>
      <c r="B1745">
        <v>3</v>
      </c>
      <c r="C1745">
        <v>6</v>
      </c>
      <c r="D1745" t="s">
        <v>287</v>
      </c>
      <c r="E1745" t="s">
        <v>397</v>
      </c>
      <c r="F1745" t="s">
        <v>186</v>
      </c>
      <c r="G1745">
        <v>341240</v>
      </c>
      <c r="H1745">
        <v>141360</v>
      </c>
      <c r="I1745">
        <v>43200</v>
      </c>
      <c r="J1745">
        <v>0</v>
      </c>
      <c r="K1745">
        <v>105930</v>
      </c>
      <c r="L1745">
        <v>131400</v>
      </c>
      <c r="M1745">
        <v>58950</v>
      </c>
      <c r="N1745">
        <v>271260</v>
      </c>
      <c r="O1745">
        <v>13410</v>
      </c>
      <c r="P1745">
        <v>0</v>
      </c>
      <c r="Q1745">
        <v>0</v>
      </c>
      <c r="R1745">
        <v>33300</v>
      </c>
      <c r="S1745">
        <v>9000</v>
      </c>
      <c r="T1745">
        <v>0</v>
      </c>
      <c r="U1745">
        <v>0</v>
      </c>
      <c r="V1745">
        <v>0</v>
      </c>
      <c r="W1745">
        <v>2045</v>
      </c>
      <c r="X1745">
        <v>535</v>
      </c>
      <c r="Y1745">
        <v>0</v>
      </c>
      <c r="Z1745" cm="1">
        <f t="array" ref="Z1745">MMULT($G1745:$Y1745,'Nelson Factor_2019'!$B$1:$B$19)/$G1745</f>
        <v>12.289702262337357</v>
      </c>
      <c r="AA1745" cm="1">
        <f t="array" ref="AA1745">MMULT($G1745:$R1745,'Nelson Factor_2019'!$B$1:$B$12)/$G1745</f>
        <v>10.330963544719259</v>
      </c>
    </row>
    <row r="1746" spans="1:27" x14ac:dyDescent="0.25">
      <c r="A1746">
        <v>2018</v>
      </c>
      <c r="B1746">
        <v>3</v>
      </c>
      <c r="C1746">
        <v>3</v>
      </c>
      <c r="D1746" t="s">
        <v>287</v>
      </c>
      <c r="E1746" t="s">
        <v>370</v>
      </c>
      <c r="F1746" t="s">
        <v>179</v>
      </c>
      <c r="G1746">
        <v>298000</v>
      </c>
      <c r="H1746">
        <v>87500</v>
      </c>
      <c r="I1746">
        <v>0</v>
      </c>
      <c r="J1746">
        <v>0</v>
      </c>
      <c r="K1746">
        <v>104700</v>
      </c>
      <c r="L1746">
        <v>56000</v>
      </c>
      <c r="M1746">
        <v>14000</v>
      </c>
      <c r="N1746">
        <v>303000</v>
      </c>
      <c r="O1746">
        <v>14800</v>
      </c>
      <c r="P1746">
        <v>0</v>
      </c>
      <c r="Q1746">
        <v>0</v>
      </c>
      <c r="R1746">
        <v>0</v>
      </c>
      <c r="S1746">
        <v>0</v>
      </c>
      <c r="T1746">
        <v>0</v>
      </c>
      <c r="U1746">
        <v>0</v>
      </c>
      <c r="V1746">
        <v>0</v>
      </c>
      <c r="W1746">
        <v>798</v>
      </c>
      <c r="X1746">
        <v>322</v>
      </c>
      <c r="Y1746">
        <v>0</v>
      </c>
      <c r="Z1746" cm="1">
        <f t="array" ref="Z1746">MMULT($G1746:$Y1746,'Nelson Factor_2019'!$B$1:$B$19)/$G1746</f>
        <v>8.1031208053691284</v>
      </c>
      <c r="AA1746" cm="1">
        <f t="array" ref="AA1746">MMULT($G1746:$R1746,'Nelson Factor_2019'!$B$1:$B$12)/$G1746</f>
        <v>7.8437919463087251</v>
      </c>
    </row>
    <row r="1747" spans="1:27" x14ac:dyDescent="0.25">
      <c r="A1747">
        <v>2018</v>
      </c>
      <c r="B1747">
        <v>3</v>
      </c>
      <c r="C1747">
        <v>4</v>
      </c>
      <c r="D1747" t="s">
        <v>287</v>
      </c>
      <c r="E1747" t="s">
        <v>411</v>
      </c>
      <c r="F1747" t="s">
        <v>190</v>
      </c>
      <c r="G1747">
        <v>287185</v>
      </c>
      <c r="H1747">
        <v>191900</v>
      </c>
      <c r="I1747">
        <v>89550</v>
      </c>
      <c r="J1747">
        <v>0</v>
      </c>
      <c r="K1747">
        <v>99000</v>
      </c>
      <c r="L1747">
        <v>0</v>
      </c>
      <c r="M1747">
        <v>0</v>
      </c>
      <c r="N1747">
        <v>354128</v>
      </c>
      <c r="O1747">
        <v>10125</v>
      </c>
      <c r="P1747">
        <v>0</v>
      </c>
      <c r="Q1747">
        <v>17370</v>
      </c>
      <c r="R1747">
        <v>0</v>
      </c>
      <c r="S1747">
        <v>3506</v>
      </c>
      <c r="T1747">
        <v>0</v>
      </c>
      <c r="U1747">
        <v>0</v>
      </c>
      <c r="V1747">
        <v>0</v>
      </c>
      <c r="W1747">
        <v>4060</v>
      </c>
      <c r="X1747">
        <v>1019</v>
      </c>
      <c r="Y1747">
        <v>0</v>
      </c>
      <c r="Z1747" cm="1">
        <f t="array" ref="Z1747">MMULT($G1747:$Y1747,'Nelson Factor_2019'!$B$1:$B$19)/$G1747</f>
        <v>12.504726918188624</v>
      </c>
      <c r="AA1747" cm="1">
        <f t="array" ref="AA1747">MMULT($G1747:$R1747,'Nelson Factor_2019'!$B$1:$B$12)/$G1747</f>
        <v>10.920660898027403</v>
      </c>
    </row>
    <row r="1748" spans="1:27" x14ac:dyDescent="0.25">
      <c r="A1748">
        <v>2018</v>
      </c>
      <c r="B1748">
        <v>3</v>
      </c>
      <c r="C1748">
        <v>6</v>
      </c>
      <c r="D1748" t="s">
        <v>287</v>
      </c>
      <c r="E1748" t="s">
        <v>398</v>
      </c>
      <c r="F1748" t="s">
        <v>178</v>
      </c>
      <c r="G1748">
        <v>571000</v>
      </c>
      <c r="H1748">
        <v>229000</v>
      </c>
      <c r="I1748">
        <v>29800</v>
      </c>
      <c r="J1748">
        <v>0</v>
      </c>
      <c r="K1748">
        <v>193400</v>
      </c>
      <c r="L1748">
        <v>145900</v>
      </c>
      <c r="M1748">
        <v>153900</v>
      </c>
      <c r="N1748">
        <v>396000</v>
      </c>
      <c r="O1748">
        <v>53300</v>
      </c>
      <c r="P1748">
        <v>0</v>
      </c>
      <c r="Q1748">
        <v>37500</v>
      </c>
      <c r="R1748">
        <v>0</v>
      </c>
      <c r="S1748">
        <v>0</v>
      </c>
      <c r="T1748">
        <v>0</v>
      </c>
      <c r="U1748">
        <v>22.8</v>
      </c>
      <c r="V1748">
        <v>0</v>
      </c>
      <c r="W1748">
        <v>2053</v>
      </c>
      <c r="X1748">
        <v>1375</v>
      </c>
      <c r="Y1748">
        <v>0</v>
      </c>
      <c r="Z1748" cm="1">
        <f t="array" ref="Z1748">MMULT($G1748:$Y1748,'Nelson Factor_2019'!$B$1:$B$19)/$G1748</f>
        <v>11.937518038528896</v>
      </c>
      <c r="AA1748" cm="1">
        <f t="array" ref="AA1748">MMULT($G1748:$R1748,'Nelson Factor_2019'!$B$1:$B$12)/$G1748</f>
        <v>11.359544658493871</v>
      </c>
    </row>
    <row r="1749" spans="1:27" x14ac:dyDescent="0.25">
      <c r="A1749">
        <v>2018</v>
      </c>
      <c r="B1749">
        <v>3</v>
      </c>
      <c r="C1749">
        <v>6</v>
      </c>
      <c r="D1749" t="s">
        <v>287</v>
      </c>
      <c r="E1749" t="s">
        <v>112</v>
      </c>
      <c r="F1749" t="s">
        <v>191</v>
      </c>
      <c r="G1749">
        <v>603000</v>
      </c>
      <c r="H1749">
        <v>309000</v>
      </c>
      <c r="I1749">
        <v>150000</v>
      </c>
      <c r="J1749">
        <v>0</v>
      </c>
      <c r="K1749">
        <v>88000</v>
      </c>
      <c r="L1749">
        <v>106000</v>
      </c>
      <c r="M1749">
        <v>118700</v>
      </c>
      <c r="N1749">
        <v>480500</v>
      </c>
      <c r="O1749">
        <v>19000</v>
      </c>
      <c r="P1749">
        <v>0</v>
      </c>
      <c r="Q1749">
        <v>0</v>
      </c>
      <c r="R1749">
        <v>41925</v>
      </c>
      <c r="S1749">
        <v>34125</v>
      </c>
      <c r="T1749">
        <v>0</v>
      </c>
      <c r="U1749">
        <v>40</v>
      </c>
      <c r="V1749">
        <v>0</v>
      </c>
      <c r="W1749">
        <v>8862</v>
      </c>
      <c r="X1749">
        <v>1509</v>
      </c>
      <c r="Y1749">
        <v>0</v>
      </c>
      <c r="Z1749" cm="1">
        <f t="array" ref="Z1749">MMULT($G1749:$Y1749,'Nelson Factor_2019'!$B$1:$B$19)/$G1749</f>
        <v>13.373175787728027</v>
      </c>
      <c r="AA1749" cm="1">
        <f t="array" ref="AA1749">MMULT($G1749:$R1749,'Nelson Factor_2019'!$B$1:$B$12)/$G1749</f>
        <v>9.3769900497512442</v>
      </c>
    </row>
    <row r="1750" spans="1:27" x14ac:dyDescent="0.25">
      <c r="A1750">
        <v>2018</v>
      </c>
      <c r="B1750">
        <v>3</v>
      </c>
      <c r="C1750">
        <v>4</v>
      </c>
      <c r="D1750" t="s">
        <v>287</v>
      </c>
      <c r="E1750" t="s">
        <v>399</v>
      </c>
      <c r="F1750" t="s">
        <v>179</v>
      </c>
      <c r="G1750">
        <v>155325</v>
      </c>
      <c r="H1750">
        <v>81035</v>
      </c>
      <c r="I1750">
        <v>40410</v>
      </c>
      <c r="J1750">
        <v>0</v>
      </c>
      <c r="K1750">
        <v>75420</v>
      </c>
      <c r="L1750">
        <v>46350</v>
      </c>
      <c r="M1750">
        <v>0</v>
      </c>
      <c r="N1750">
        <v>228420</v>
      </c>
      <c r="O1750">
        <v>21600</v>
      </c>
      <c r="P1750">
        <v>0</v>
      </c>
      <c r="Q1750">
        <v>14580</v>
      </c>
      <c r="R1750">
        <v>0</v>
      </c>
      <c r="S1750">
        <v>0</v>
      </c>
      <c r="T1750">
        <v>0</v>
      </c>
      <c r="U1750">
        <v>0</v>
      </c>
      <c r="V1750">
        <v>0</v>
      </c>
      <c r="W1750">
        <v>2334</v>
      </c>
      <c r="X1750">
        <v>334</v>
      </c>
      <c r="Y1750">
        <v>0</v>
      </c>
      <c r="Z1750" cm="1">
        <f t="array" ref="Z1750">MMULT($G1750:$Y1750,'Nelson Factor_2019'!$B$1:$B$19)/$G1750</f>
        <v>15.495416063093513</v>
      </c>
      <c r="AA1750" cm="1">
        <f t="array" ref="AA1750">MMULT($G1750:$R1750,'Nelson Factor_2019'!$B$1:$B$12)/$G1750</f>
        <v>14.979336874295832</v>
      </c>
    </row>
    <row r="1751" spans="1:27" x14ac:dyDescent="0.25">
      <c r="A1751">
        <v>2018</v>
      </c>
      <c r="B1751">
        <v>3</v>
      </c>
      <c r="C1751">
        <v>1</v>
      </c>
      <c r="D1751" t="s">
        <v>287</v>
      </c>
      <c r="E1751" t="s">
        <v>412</v>
      </c>
      <c r="F1751" t="s">
        <v>184</v>
      </c>
      <c r="G1751">
        <v>109915</v>
      </c>
      <c r="H1751">
        <v>36100</v>
      </c>
      <c r="I1751">
        <v>0</v>
      </c>
      <c r="J1751">
        <v>0</v>
      </c>
      <c r="K1751">
        <v>46800</v>
      </c>
      <c r="L1751">
        <v>19800</v>
      </c>
      <c r="M1751">
        <v>0</v>
      </c>
      <c r="N1751">
        <v>70200</v>
      </c>
      <c r="O1751">
        <v>11250</v>
      </c>
      <c r="P1751">
        <v>0</v>
      </c>
      <c r="Q1751">
        <v>0</v>
      </c>
      <c r="R1751">
        <v>0</v>
      </c>
      <c r="S1751">
        <v>0</v>
      </c>
      <c r="T1751">
        <v>0</v>
      </c>
      <c r="U1751">
        <v>0</v>
      </c>
      <c r="V1751">
        <v>0</v>
      </c>
      <c r="W1751">
        <v>0</v>
      </c>
      <c r="X1751">
        <v>25</v>
      </c>
      <c r="Y1751">
        <v>0</v>
      </c>
      <c r="Z1751" cm="1">
        <f t="array" ref="Z1751">MMULT($G1751:$Y1751,'Nelson Factor_2019'!$B$1:$B$19)/$G1751</f>
        <v>7.5571578037574492</v>
      </c>
      <c r="AA1751" cm="1">
        <f t="array" ref="AA1751">MMULT($G1751:$R1751,'Nelson Factor_2019'!$B$1:$B$12)/$G1751</f>
        <v>7.5025701678569803</v>
      </c>
    </row>
    <row r="1752" spans="1:27" x14ac:dyDescent="0.25">
      <c r="A1752">
        <v>2018</v>
      </c>
      <c r="B1752">
        <v>3</v>
      </c>
      <c r="C1752">
        <v>4</v>
      </c>
      <c r="D1752" t="s">
        <v>287</v>
      </c>
      <c r="E1752" t="s">
        <v>362</v>
      </c>
      <c r="F1752" t="s">
        <v>182</v>
      </c>
      <c r="G1752">
        <v>256000</v>
      </c>
      <c r="H1752">
        <v>125500</v>
      </c>
      <c r="I1752">
        <v>75000</v>
      </c>
      <c r="J1752">
        <v>0</v>
      </c>
      <c r="K1752">
        <v>97000</v>
      </c>
      <c r="L1752">
        <v>35640</v>
      </c>
      <c r="M1752">
        <v>0</v>
      </c>
      <c r="N1752">
        <v>346500</v>
      </c>
      <c r="O1752">
        <v>19600</v>
      </c>
      <c r="P1752">
        <v>0</v>
      </c>
      <c r="Q1752">
        <v>17700</v>
      </c>
      <c r="R1752">
        <v>9100</v>
      </c>
      <c r="S1752">
        <v>0</v>
      </c>
      <c r="T1752">
        <v>0</v>
      </c>
      <c r="U1752">
        <v>140</v>
      </c>
      <c r="V1752">
        <v>0</v>
      </c>
      <c r="W1752">
        <v>4000</v>
      </c>
      <c r="X1752">
        <v>603</v>
      </c>
      <c r="Y1752">
        <v>0</v>
      </c>
      <c r="Z1752" cm="1">
        <f t="array" ref="Z1752">MMULT($G1752:$Y1752,'Nelson Factor_2019'!$B$1:$B$19)/$G1752</f>
        <v>13.008828125000001</v>
      </c>
      <c r="AA1752" cm="1">
        <f t="array" ref="AA1752">MMULT($G1752:$R1752,'Nelson Factor_2019'!$B$1:$B$12)/$G1752</f>
        <v>12.44296875</v>
      </c>
    </row>
    <row r="1753" spans="1:27" x14ac:dyDescent="0.25">
      <c r="A1753">
        <v>2018</v>
      </c>
      <c r="B1753">
        <v>3</v>
      </c>
      <c r="C1753">
        <v>6</v>
      </c>
      <c r="D1753" t="s">
        <v>287</v>
      </c>
      <c r="E1753" t="s">
        <v>388</v>
      </c>
      <c r="F1753" t="s">
        <v>193</v>
      </c>
      <c r="G1753">
        <v>323000</v>
      </c>
      <c r="H1753">
        <v>171000</v>
      </c>
      <c r="I1753">
        <v>81000</v>
      </c>
      <c r="J1753">
        <v>0</v>
      </c>
      <c r="K1753">
        <v>72000</v>
      </c>
      <c r="L1753">
        <v>62550</v>
      </c>
      <c r="M1753">
        <v>54000</v>
      </c>
      <c r="N1753">
        <v>338400</v>
      </c>
      <c r="O1753">
        <v>16650</v>
      </c>
      <c r="P1753">
        <v>0</v>
      </c>
      <c r="Q1753">
        <v>0</v>
      </c>
      <c r="R1753">
        <v>0</v>
      </c>
      <c r="S1753">
        <v>0</v>
      </c>
      <c r="T1753">
        <v>0</v>
      </c>
      <c r="U1753">
        <v>0</v>
      </c>
      <c r="V1753">
        <v>0</v>
      </c>
      <c r="W1753">
        <v>4771</v>
      </c>
      <c r="X1753">
        <v>984</v>
      </c>
      <c r="Y1753">
        <v>0</v>
      </c>
      <c r="Z1753" cm="1">
        <f t="array" ref="Z1753">MMULT($G1753:$Y1753,'Nelson Factor_2019'!$B$1:$B$19)/$G1753</f>
        <v>11.078049535603714</v>
      </c>
      <c r="AA1753" cm="1">
        <f t="array" ref="AA1753">MMULT($G1753:$R1753,'Nelson Factor_2019'!$B$1:$B$12)/$G1753</f>
        <v>10.346904024767802</v>
      </c>
    </row>
    <row r="1754" spans="1:27" x14ac:dyDescent="0.25">
      <c r="A1754">
        <v>2018</v>
      </c>
      <c r="B1754">
        <v>3</v>
      </c>
      <c r="C1754">
        <v>4</v>
      </c>
      <c r="D1754" t="s">
        <v>287</v>
      </c>
      <c r="E1754" t="s">
        <v>194</v>
      </c>
      <c r="F1754" t="s">
        <v>191</v>
      </c>
      <c r="G1754">
        <v>232750</v>
      </c>
      <c r="H1754">
        <v>100035</v>
      </c>
      <c r="I1754">
        <v>54000</v>
      </c>
      <c r="J1754">
        <v>0</v>
      </c>
      <c r="K1754">
        <v>72000</v>
      </c>
      <c r="L1754">
        <v>38700</v>
      </c>
      <c r="M1754">
        <v>0</v>
      </c>
      <c r="N1754">
        <v>238050</v>
      </c>
      <c r="O1754">
        <v>6030</v>
      </c>
      <c r="P1754">
        <v>0</v>
      </c>
      <c r="Q1754">
        <v>12240</v>
      </c>
      <c r="R1754">
        <v>7020</v>
      </c>
      <c r="S1754">
        <v>0</v>
      </c>
      <c r="T1754">
        <v>0</v>
      </c>
      <c r="U1754">
        <v>0</v>
      </c>
      <c r="V1754">
        <v>0</v>
      </c>
      <c r="W1754">
        <v>2611</v>
      </c>
      <c r="X1754">
        <v>731</v>
      </c>
      <c r="Y1754">
        <v>0</v>
      </c>
      <c r="Z1754" cm="1">
        <f t="array" ref="Z1754">MMULT($G1754:$Y1754,'Nelson Factor_2019'!$B$1:$B$19)/$G1754</f>
        <v>10.698262083780881</v>
      </c>
      <c r="AA1754" cm="1">
        <f t="array" ref="AA1754">MMULT($G1754:$R1754,'Nelson Factor_2019'!$B$1:$B$12)/$G1754</f>
        <v>9.9444919441460797</v>
      </c>
    </row>
    <row r="1755" spans="1:27" x14ac:dyDescent="0.25">
      <c r="A1755">
        <v>2018</v>
      </c>
      <c r="B1755">
        <v>3</v>
      </c>
      <c r="C1755">
        <v>6</v>
      </c>
      <c r="D1755" t="s">
        <v>287</v>
      </c>
      <c r="E1755" t="s">
        <v>66</v>
      </c>
      <c r="F1755" t="s">
        <v>191</v>
      </c>
      <c r="G1755">
        <v>394250</v>
      </c>
      <c r="H1755">
        <v>209000</v>
      </c>
      <c r="I1755">
        <v>89640</v>
      </c>
      <c r="J1755">
        <v>0</v>
      </c>
      <c r="K1755">
        <v>67500</v>
      </c>
      <c r="L1755">
        <v>49500</v>
      </c>
      <c r="M1755">
        <v>110700</v>
      </c>
      <c r="N1755">
        <v>298170</v>
      </c>
      <c r="O1755">
        <v>17550</v>
      </c>
      <c r="P1755">
        <v>0</v>
      </c>
      <c r="Q1755">
        <v>0</v>
      </c>
      <c r="R1755">
        <v>0</v>
      </c>
      <c r="S1755">
        <v>0</v>
      </c>
      <c r="T1755">
        <v>0</v>
      </c>
      <c r="U1755">
        <v>0</v>
      </c>
      <c r="V1755">
        <v>0</v>
      </c>
      <c r="W1755">
        <v>4385</v>
      </c>
      <c r="X1755">
        <v>1352</v>
      </c>
      <c r="Y1755">
        <v>0</v>
      </c>
      <c r="Z1755" cm="1">
        <f t="array" ref="Z1755">MMULT($G1755:$Y1755,'Nelson Factor_2019'!$B$1:$B$19)/$G1755</f>
        <v>10.454673430564362</v>
      </c>
      <c r="AA1755" cm="1">
        <f t="array" ref="AA1755">MMULT($G1755:$R1755,'Nelson Factor_2019'!$B$1:$B$12)/$G1755</f>
        <v>9.6316423589093212</v>
      </c>
    </row>
    <row r="1756" spans="1:27" x14ac:dyDescent="0.25">
      <c r="A1756">
        <v>2018</v>
      </c>
      <c r="B1756">
        <v>3</v>
      </c>
      <c r="C1756">
        <v>3</v>
      </c>
      <c r="D1756" t="s">
        <v>287</v>
      </c>
      <c r="E1756" t="s">
        <v>66</v>
      </c>
      <c r="F1756" t="s">
        <v>195</v>
      </c>
      <c r="G1756">
        <v>185250</v>
      </c>
      <c r="H1756">
        <v>47500</v>
      </c>
      <c r="I1756">
        <v>0</v>
      </c>
      <c r="J1756">
        <v>0</v>
      </c>
      <c r="K1756">
        <v>49050</v>
      </c>
      <c r="L1756">
        <v>42300</v>
      </c>
      <c r="M1756">
        <v>24300</v>
      </c>
      <c r="N1756">
        <v>117090</v>
      </c>
      <c r="O1756">
        <v>8820</v>
      </c>
      <c r="P1756">
        <v>0</v>
      </c>
      <c r="Q1756">
        <v>0</v>
      </c>
      <c r="R1756">
        <v>2700</v>
      </c>
      <c r="S1756">
        <v>0</v>
      </c>
      <c r="T1756">
        <v>0</v>
      </c>
      <c r="U1756">
        <v>30</v>
      </c>
      <c r="V1756">
        <v>0</v>
      </c>
      <c r="W1756">
        <v>0</v>
      </c>
      <c r="X1756">
        <v>68</v>
      </c>
      <c r="Y1756">
        <v>10800</v>
      </c>
      <c r="Z1756" cm="1">
        <f t="array" ref="Z1756">MMULT($G1756:$Y1756,'Nelson Factor_2019'!$B$1:$B$19)/$G1756</f>
        <v>7.3887989203778677</v>
      </c>
      <c r="AA1756" cm="1">
        <f t="array" ref="AA1756">MMULT($G1756:$R1756,'Nelson Factor_2019'!$B$1:$B$12)/$G1756</f>
        <v>7.213090418353576</v>
      </c>
    </row>
    <row r="1757" spans="1:27" x14ac:dyDescent="0.25">
      <c r="A1757">
        <v>2018</v>
      </c>
      <c r="B1757">
        <v>3</v>
      </c>
      <c r="C1757">
        <v>3</v>
      </c>
      <c r="D1757" t="s">
        <v>287</v>
      </c>
      <c r="E1757" t="s">
        <v>66</v>
      </c>
      <c r="F1757" t="s">
        <v>196</v>
      </c>
      <c r="G1757">
        <v>86450</v>
      </c>
      <c r="H1757">
        <v>31825</v>
      </c>
      <c r="I1757">
        <v>0</v>
      </c>
      <c r="J1757">
        <v>0</v>
      </c>
      <c r="K1757">
        <v>21150</v>
      </c>
      <c r="L1757">
        <v>30150</v>
      </c>
      <c r="M1757">
        <v>25200</v>
      </c>
      <c r="N1757">
        <v>71100</v>
      </c>
      <c r="O1757">
        <v>5850</v>
      </c>
      <c r="P1757">
        <v>0</v>
      </c>
      <c r="Q1757">
        <v>9720</v>
      </c>
      <c r="R1757">
        <v>2700</v>
      </c>
      <c r="S1757">
        <v>1710</v>
      </c>
      <c r="T1757">
        <v>0</v>
      </c>
      <c r="U1757">
        <v>0</v>
      </c>
      <c r="V1757">
        <v>0</v>
      </c>
      <c r="W1757">
        <v>0</v>
      </c>
      <c r="X1757">
        <v>122</v>
      </c>
      <c r="Y1757">
        <v>0</v>
      </c>
      <c r="Z1757" cm="1">
        <f t="array" ref="Z1757">MMULT($G1757:$Y1757,'Nelson Factor_2019'!$B$1:$B$19)/$G1757</f>
        <v>13.622932330827068</v>
      </c>
      <c r="AA1757" cm="1">
        <f t="array" ref="AA1757">MMULT($G1757:$R1757,'Nelson Factor_2019'!$B$1:$B$12)/$G1757</f>
        <v>12.097426257952574</v>
      </c>
    </row>
    <row r="1758" spans="1:27" x14ac:dyDescent="0.25">
      <c r="A1758">
        <v>2018</v>
      </c>
      <c r="B1758">
        <v>3</v>
      </c>
      <c r="C1758">
        <v>6</v>
      </c>
      <c r="D1758" t="s">
        <v>287</v>
      </c>
      <c r="E1758" t="s">
        <v>66</v>
      </c>
      <c r="F1758" t="s">
        <v>179</v>
      </c>
      <c r="G1758">
        <v>285000</v>
      </c>
      <c r="H1758">
        <v>92150</v>
      </c>
      <c r="I1758">
        <v>15300</v>
      </c>
      <c r="J1758">
        <v>0</v>
      </c>
      <c r="K1758">
        <v>85950</v>
      </c>
      <c r="L1758">
        <v>44100</v>
      </c>
      <c r="M1758">
        <v>45000</v>
      </c>
      <c r="N1758">
        <v>272025</v>
      </c>
      <c r="O1758">
        <v>19170</v>
      </c>
      <c r="P1758">
        <v>0</v>
      </c>
      <c r="Q1758">
        <v>13950</v>
      </c>
      <c r="R1758">
        <v>26100</v>
      </c>
      <c r="S1758">
        <v>0</v>
      </c>
      <c r="T1758">
        <v>0</v>
      </c>
      <c r="U1758">
        <v>275</v>
      </c>
      <c r="V1758">
        <v>0</v>
      </c>
      <c r="W1758">
        <v>853</v>
      </c>
      <c r="X1758">
        <v>1168</v>
      </c>
      <c r="Y1758">
        <v>34200</v>
      </c>
      <c r="Z1758" cm="1">
        <f t="array" ref="Z1758">MMULT($G1758:$Y1758,'Nelson Factor_2019'!$B$1:$B$19)/$G1758</f>
        <v>11.146324561403508</v>
      </c>
      <c r="AA1758" cm="1">
        <f t="array" ref="AA1758">MMULT($G1758:$R1758,'Nelson Factor_2019'!$B$1:$B$12)/$G1758</f>
        <v>9.9817807017543867</v>
      </c>
    </row>
    <row r="1759" spans="1:27" x14ac:dyDescent="0.25">
      <c r="A1759">
        <v>2018</v>
      </c>
      <c r="B1759">
        <v>3</v>
      </c>
      <c r="C1759">
        <v>3</v>
      </c>
      <c r="D1759" t="s">
        <v>287</v>
      </c>
      <c r="E1759" t="s">
        <v>66</v>
      </c>
      <c r="F1759" t="s">
        <v>190</v>
      </c>
      <c r="G1759">
        <v>180500</v>
      </c>
      <c r="H1759">
        <v>37100</v>
      </c>
      <c r="I1759">
        <v>0</v>
      </c>
      <c r="J1759">
        <v>0</v>
      </c>
      <c r="K1759">
        <v>64400</v>
      </c>
      <c r="L1759">
        <v>0</v>
      </c>
      <c r="M1759">
        <v>30600</v>
      </c>
      <c r="N1759">
        <v>85100</v>
      </c>
      <c r="O1759">
        <v>10800</v>
      </c>
      <c r="P1759">
        <v>0</v>
      </c>
      <c r="Q1759">
        <v>0</v>
      </c>
      <c r="R1759">
        <v>0</v>
      </c>
      <c r="S1759">
        <v>0</v>
      </c>
      <c r="T1759">
        <v>0</v>
      </c>
      <c r="U1759">
        <v>0</v>
      </c>
      <c r="V1759">
        <v>0</v>
      </c>
      <c r="W1759">
        <v>0</v>
      </c>
      <c r="X1759">
        <v>300</v>
      </c>
      <c r="Y1759">
        <v>0</v>
      </c>
      <c r="Z1759" cm="1">
        <f t="array" ref="Z1759">MMULT($G1759:$Y1759,'Nelson Factor_2019'!$B$1:$B$19)/$G1759</f>
        <v>6.9400554016620495</v>
      </c>
      <c r="AA1759" cm="1">
        <f t="array" ref="AA1759">MMULT($G1759:$R1759,'Nelson Factor_2019'!$B$1:$B$12)/$G1759</f>
        <v>6.541163434903047</v>
      </c>
    </row>
    <row r="1760" spans="1:27" x14ac:dyDescent="0.25">
      <c r="A1760">
        <v>2018</v>
      </c>
      <c r="B1760">
        <v>3</v>
      </c>
      <c r="C1760">
        <v>4</v>
      </c>
      <c r="D1760" t="s">
        <v>287</v>
      </c>
      <c r="E1760" t="s">
        <v>66</v>
      </c>
      <c r="F1760" t="s">
        <v>178</v>
      </c>
      <c r="G1760">
        <v>219450</v>
      </c>
      <c r="H1760">
        <v>126825</v>
      </c>
      <c r="I1760">
        <v>48150</v>
      </c>
      <c r="J1760">
        <v>0</v>
      </c>
      <c r="K1760">
        <v>77400</v>
      </c>
      <c r="L1760">
        <v>16290</v>
      </c>
      <c r="M1760">
        <v>0</v>
      </c>
      <c r="N1760">
        <v>257400</v>
      </c>
      <c r="O1760">
        <v>13230</v>
      </c>
      <c r="P1760">
        <v>0</v>
      </c>
      <c r="Q1760">
        <v>0</v>
      </c>
      <c r="R1760">
        <v>5850</v>
      </c>
      <c r="S1760">
        <v>0</v>
      </c>
      <c r="T1760">
        <v>0</v>
      </c>
      <c r="U1760">
        <v>0</v>
      </c>
      <c r="V1760">
        <v>0</v>
      </c>
      <c r="W1760">
        <v>2584</v>
      </c>
      <c r="X1760">
        <v>617</v>
      </c>
      <c r="Y1760">
        <v>0</v>
      </c>
      <c r="Z1760" cm="1">
        <f t="array" ref="Z1760">MMULT($G1760:$Y1760,'Nelson Factor_2019'!$B$1:$B$19)/$G1760</f>
        <v>10.174196855775802</v>
      </c>
      <c r="AA1760" cm="1">
        <f t="array" ref="AA1760">MMULT($G1760:$R1760,'Nelson Factor_2019'!$B$1:$B$12)/$G1760</f>
        <v>9.4994190020505815</v>
      </c>
    </row>
    <row r="1761" spans="1:27" x14ac:dyDescent="0.25">
      <c r="A1761">
        <v>2018</v>
      </c>
      <c r="B1761">
        <v>3</v>
      </c>
      <c r="C1761">
        <v>1</v>
      </c>
      <c r="D1761" t="s">
        <v>287</v>
      </c>
      <c r="E1761" t="s">
        <v>415</v>
      </c>
      <c r="F1761" t="s">
        <v>198</v>
      </c>
      <c r="G1761">
        <v>127300</v>
      </c>
      <c r="H1761">
        <v>53390</v>
      </c>
      <c r="I1761">
        <v>0</v>
      </c>
      <c r="J1761">
        <v>0</v>
      </c>
      <c r="K1761">
        <v>31500</v>
      </c>
      <c r="L1761">
        <v>25200</v>
      </c>
      <c r="M1761">
        <v>0</v>
      </c>
      <c r="N1761">
        <v>111330</v>
      </c>
      <c r="O1761">
        <v>12600</v>
      </c>
      <c r="P1761">
        <v>0</v>
      </c>
      <c r="Q1761">
        <v>0</v>
      </c>
      <c r="R1761">
        <v>6570</v>
      </c>
      <c r="S1761">
        <v>0</v>
      </c>
      <c r="T1761">
        <v>0</v>
      </c>
      <c r="U1761">
        <v>12</v>
      </c>
      <c r="V1761">
        <v>0</v>
      </c>
      <c r="W1761">
        <v>0</v>
      </c>
      <c r="X1761">
        <v>0</v>
      </c>
      <c r="Y1761">
        <v>6300</v>
      </c>
      <c r="Z1761" cm="1">
        <f t="array" ref="Z1761">MMULT($G1761:$Y1761,'Nelson Factor_2019'!$B$1:$B$19)/$G1761</f>
        <v>7.4250117831893165</v>
      </c>
      <c r="AA1761" cm="1">
        <f t="array" ref="AA1761">MMULT($G1761:$R1761,'Nelson Factor_2019'!$B$1:$B$12)/$G1761</f>
        <v>7.3506834249803612</v>
      </c>
    </row>
    <row r="1762" spans="1:27" x14ac:dyDescent="0.25">
      <c r="A1762">
        <v>2018</v>
      </c>
      <c r="B1762">
        <v>3</v>
      </c>
      <c r="C1762">
        <v>4</v>
      </c>
      <c r="D1762" t="s">
        <v>287</v>
      </c>
      <c r="E1762" t="s">
        <v>377</v>
      </c>
      <c r="F1762" t="s">
        <v>181</v>
      </c>
      <c r="G1762">
        <v>143000</v>
      </c>
      <c r="H1762">
        <v>76000</v>
      </c>
      <c r="I1762">
        <v>27000</v>
      </c>
      <c r="J1762">
        <v>0</v>
      </c>
      <c r="K1762">
        <v>50000</v>
      </c>
      <c r="L1762">
        <v>28000</v>
      </c>
      <c r="M1762">
        <v>0</v>
      </c>
      <c r="N1762">
        <v>171000</v>
      </c>
      <c r="O1762">
        <v>17000</v>
      </c>
      <c r="P1762">
        <v>0</v>
      </c>
      <c r="Q1762">
        <v>0</v>
      </c>
      <c r="R1762">
        <v>43000</v>
      </c>
      <c r="S1762">
        <v>0</v>
      </c>
      <c r="T1762">
        <v>0</v>
      </c>
      <c r="U1762">
        <v>96</v>
      </c>
      <c r="V1762">
        <v>0</v>
      </c>
      <c r="W1762">
        <v>1250</v>
      </c>
      <c r="X1762">
        <v>340</v>
      </c>
      <c r="Y1762">
        <v>0</v>
      </c>
      <c r="Z1762" cm="1">
        <f t="array" ref="Z1762">MMULT($G1762:$Y1762,'Nelson Factor_2019'!$B$1:$B$19)/$G1762</f>
        <v>11.835636363636363</v>
      </c>
      <c r="AA1762" cm="1">
        <f t="array" ref="AA1762">MMULT($G1762:$R1762,'Nelson Factor_2019'!$B$1:$B$12)/$G1762</f>
        <v>11.264335664335665</v>
      </c>
    </row>
    <row r="1763" spans="1:27" x14ac:dyDescent="0.25">
      <c r="A1763">
        <v>2018</v>
      </c>
      <c r="B1763">
        <v>4</v>
      </c>
      <c r="C1763">
        <v>4</v>
      </c>
      <c r="D1763" t="s">
        <v>289</v>
      </c>
      <c r="E1763" t="s">
        <v>227</v>
      </c>
      <c r="F1763" t="s">
        <v>201</v>
      </c>
      <c r="G1763">
        <v>53000</v>
      </c>
      <c r="H1763">
        <v>25600</v>
      </c>
      <c r="I1763">
        <v>9000</v>
      </c>
      <c r="J1763">
        <v>0</v>
      </c>
      <c r="K1763">
        <v>14000</v>
      </c>
      <c r="L1763">
        <v>7600</v>
      </c>
      <c r="M1763">
        <v>0</v>
      </c>
      <c r="N1763">
        <v>41800</v>
      </c>
      <c r="O1763">
        <v>4500</v>
      </c>
      <c r="P1763">
        <v>0</v>
      </c>
      <c r="Q1763">
        <v>0</v>
      </c>
      <c r="R1763">
        <v>1000</v>
      </c>
      <c r="S1763">
        <v>0</v>
      </c>
      <c r="T1763">
        <v>0</v>
      </c>
      <c r="U1763">
        <v>0</v>
      </c>
      <c r="V1763">
        <v>0</v>
      </c>
      <c r="W1763">
        <v>281</v>
      </c>
      <c r="X1763">
        <v>56</v>
      </c>
      <c r="Y1763">
        <v>0</v>
      </c>
      <c r="Z1763" cm="1">
        <f t="array" ref="Z1763">MMULT($G1763:$Y1763,'Nelson Factor_2019'!$B$1:$B$19)/$G1763</f>
        <v>8.3343396226415098</v>
      </c>
      <c r="AA1763" cm="1">
        <f t="array" ref="AA1763">MMULT($G1763:$R1763,'Nelson Factor_2019'!$B$1:$B$12)/$G1763</f>
        <v>8.0807547169811329</v>
      </c>
    </row>
    <row r="1764" spans="1:27" x14ac:dyDescent="0.25">
      <c r="A1764">
        <v>2018</v>
      </c>
      <c r="B1764">
        <v>4</v>
      </c>
      <c r="C1764">
        <v>1</v>
      </c>
      <c r="D1764" t="s">
        <v>289</v>
      </c>
      <c r="E1764" t="s">
        <v>413</v>
      </c>
      <c r="F1764" t="s">
        <v>378</v>
      </c>
      <c r="G1764">
        <v>30400</v>
      </c>
      <c r="H1764">
        <v>0</v>
      </c>
      <c r="I1764">
        <v>0</v>
      </c>
      <c r="J1764">
        <v>0</v>
      </c>
      <c r="K1764">
        <v>10350</v>
      </c>
      <c r="L1764">
        <v>7650</v>
      </c>
      <c r="M1764">
        <v>0</v>
      </c>
      <c r="N1764">
        <v>20250</v>
      </c>
      <c r="O1764">
        <v>2700</v>
      </c>
      <c r="P1764">
        <v>0</v>
      </c>
      <c r="Q1764">
        <v>0</v>
      </c>
      <c r="R1764">
        <v>4410</v>
      </c>
      <c r="S1764">
        <v>0</v>
      </c>
      <c r="T1764">
        <v>0</v>
      </c>
      <c r="U1764">
        <v>0</v>
      </c>
      <c r="V1764">
        <v>0</v>
      </c>
      <c r="W1764">
        <v>0</v>
      </c>
      <c r="X1764">
        <v>4</v>
      </c>
      <c r="Y1764">
        <v>0</v>
      </c>
      <c r="Z1764" cm="1">
        <f t="array" ref="Z1764">MMULT($G1764:$Y1764,'Nelson Factor_2019'!$B$1:$B$19)/$G1764</f>
        <v>7.3212171052631581</v>
      </c>
      <c r="AA1764" cm="1">
        <f t="array" ref="AA1764">MMULT($G1764:$R1764,'Nelson Factor_2019'!$B$1:$B$12)/$G1764</f>
        <v>7.2896381578947365</v>
      </c>
    </row>
    <row r="1765" spans="1:27" x14ac:dyDescent="0.25">
      <c r="A1765">
        <v>2018</v>
      </c>
      <c r="B1765">
        <v>4</v>
      </c>
      <c r="C1765">
        <v>3</v>
      </c>
      <c r="D1765" t="s">
        <v>289</v>
      </c>
      <c r="E1765" t="s">
        <v>251</v>
      </c>
      <c r="F1765" t="s">
        <v>203</v>
      </c>
      <c r="G1765">
        <v>39330</v>
      </c>
      <c r="H1765">
        <v>0</v>
      </c>
      <c r="I1765">
        <v>0</v>
      </c>
      <c r="J1765">
        <v>0</v>
      </c>
      <c r="K1765">
        <v>15750</v>
      </c>
      <c r="L1765">
        <v>7560</v>
      </c>
      <c r="M1765">
        <v>13500</v>
      </c>
      <c r="N1765">
        <v>23580</v>
      </c>
      <c r="O1765">
        <v>4770</v>
      </c>
      <c r="P1765">
        <v>0</v>
      </c>
      <c r="Q1765">
        <v>0</v>
      </c>
      <c r="R1765">
        <v>2700</v>
      </c>
      <c r="S1765">
        <v>0</v>
      </c>
      <c r="T1765">
        <v>0</v>
      </c>
      <c r="U1765">
        <v>0</v>
      </c>
      <c r="V1765">
        <v>0</v>
      </c>
      <c r="W1765">
        <v>0</v>
      </c>
      <c r="X1765">
        <v>9</v>
      </c>
      <c r="Y1765">
        <v>1620</v>
      </c>
      <c r="Z1765" cm="1">
        <f t="array" ref="Z1765">MMULT($G1765:$Y1765,'Nelson Factor_2019'!$B$1:$B$19)/$G1765</f>
        <v>10.144164759725401</v>
      </c>
      <c r="AA1765" cm="1">
        <f t="array" ref="AA1765">MMULT($G1765:$R1765,'Nelson Factor_2019'!$B$1:$B$12)/$G1765</f>
        <v>10.027459954233409</v>
      </c>
    </row>
    <row r="1766" spans="1:27" x14ac:dyDescent="0.25">
      <c r="A1766">
        <v>2018</v>
      </c>
      <c r="B1766">
        <v>4</v>
      </c>
      <c r="C1766">
        <v>0</v>
      </c>
      <c r="D1766" t="s">
        <v>289</v>
      </c>
      <c r="E1766" t="s">
        <v>204</v>
      </c>
      <c r="F1766" t="s">
        <v>203</v>
      </c>
      <c r="G1766">
        <v>14915</v>
      </c>
      <c r="H1766">
        <v>6650</v>
      </c>
      <c r="I1766">
        <v>0</v>
      </c>
      <c r="J1766">
        <v>0</v>
      </c>
      <c r="K1766">
        <v>0</v>
      </c>
      <c r="L1766">
        <v>0</v>
      </c>
      <c r="M1766">
        <v>0</v>
      </c>
      <c r="N1766">
        <v>3600</v>
      </c>
      <c r="O1766">
        <v>0</v>
      </c>
      <c r="P1766">
        <v>0</v>
      </c>
      <c r="Q1766">
        <v>0</v>
      </c>
      <c r="R1766">
        <v>0</v>
      </c>
      <c r="S1766">
        <v>0</v>
      </c>
      <c r="T1766">
        <v>0</v>
      </c>
      <c r="U1766">
        <v>0</v>
      </c>
      <c r="V1766">
        <v>0</v>
      </c>
      <c r="W1766">
        <v>0</v>
      </c>
      <c r="X1766">
        <v>0</v>
      </c>
      <c r="Y1766">
        <v>0</v>
      </c>
      <c r="Z1766" cm="1">
        <f t="array" ref="Z1766">MMULT($G1766:$Y1766,'Nelson Factor_2019'!$B$1:$B$19)/$G1766</f>
        <v>2.1830372108615488</v>
      </c>
      <c r="AA1766" cm="1">
        <f t="array" ref="AA1766">MMULT($G1766:$R1766,'Nelson Factor_2019'!$B$1:$B$12)/$G1766</f>
        <v>2.1830372108615488</v>
      </c>
    </row>
    <row r="1767" spans="1:27" x14ac:dyDescent="0.25">
      <c r="A1767">
        <v>2018</v>
      </c>
      <c r="B1767">
        <v>4</v>
      </c>
      <c r="C1767">
        <v>1</v>
      </c>
      <c r="D1767" t="s">
        <v>289</v>
      </c>
      <c r="E1767" t="s">
        <v>415</v>
      </c>
      <c r="F1767" t="s">
        <v>201</v>
      </c>
      <c r="G1767">
        <v>59850</v>
      </c>
      <c r="H1767">
        <v>0</v>
      </c>
      <c r="I1767">
        <v>0</v>
      </c>
      <c r="J1767">
        <v>0</v>
      </c>
      <c r="K1767">
        <v>26100</v>
      </c>
      <c r="L1767">
        <v>10260</v>
      </c>
      <c r="M1767">
        <v>0</v>
      </c>
      <c r="N1767">
        <v>37710</v>
      </c>
      <c r="O1767">
        <v>6300</v>
      </c>
      <c r="P1767">
        <v>0</v>
      </c>
      <c r="Q1767">
        <v>0</v>
      </c>
      <c r="R1767">
        <v>0</v>
      </c>
      <c r="S1767">
        <v>0</v>
      </c>
      <c r="T1767">
        <v>0</v>
      </c>
      <c r="U1767">
        <v>0</v>
      </c>
      <c r="V1767">
        <v>0</v>
      </c>
      <c r="W1767">
        <v>0</v>
      </c>
      <c r="X1767">
        <v>16</v>
      </c>
      <c r="Y1767">
        <v>0</v>
      </c>
      <c r="Z1767" cm="1">
        <f t="array" ref="Z1767">MMULT($G1767:$Y1767,'Nelson Factor_2019'!$B$1:$B$19)/$G1767</f>
        <v>7.1656641604010023</v>
      </c>
      <c r="AA1767" cm="1">
        <f t="array" ref="AA1767">MMULT($G1767:$R1767,'Nelson Factor_2019'!$B$1:$B$12)/$G1767</f>
        <v>7.1015037593984962</v>
      </c>
    </row>
    <row r="1768" spans="1:27" x14ac:dyDescent="0.25">
      <c r="A1768">
        <v>2018</v>
      </c>
      <c r="B1768">
        <v>5</v>
      </c>
      <c r="C1768">
        <v>5</v>
      </c>
      <c r="D1768" t="s">
        <v>291</v>
      </c>
      <c r="E1768" t="s">
        <v>32</v>
      </c>
      <c r="F1768" t="s">
        <v>383</v>
      </c>
      <c r="G1768">
        <v>224200</v>
      </c>
      <c r="H1768">
        <v>106400</v>
      </c>
      <c r="I1768">
        <v>51750</v>
      </c>
      <c r="J1768">
        <v>0</v>
      </c>
      <c r="K1768">
        <v>0</v>
      </c>
      <c r="L1768">
        <v>58500</v>
      </c>
      <c r="M1768">
        <v>58500</v>
      </c>
      <c r="N1768">
        <v>155160</v>
      </c>
      <c r="O1768">
        <v>0</v>
      </c>
      <c r="P1768">
        <v>0</v>
      </c>
      <c r="Q1768">
        <v>0</v>
      </c>
      <c r="R1768">
        <v>21600</v>
      </c>
      <c r="S1768">
        <v>0</v>
      </c>
      <c r="T1768">
        <v>0</v>
      </c>
      <c r="U1768">
        <v>178.5</v>
      </c>
      <c r="V1768">
        <v>0</v>
      </c>
      <c r="W1768">
        <v>3250</v>
      </c>
      <c r="X1768">
        <v>249.00000000000003</v>
      </c>
      <c r="Y1768">
        <v>0</v>
      </c>
      <c r="Z1768" cm="1">
        <f t="array" ref="Z1768">MMULT($G1768:$Y1768,'Nelson Factor_2019'!$B$1:$B$19)/$G1768</f>
        <v>9.0266882247992868</v>
      </c>
      <c r="AA1768" cm="1">
        <f t="array" ref="AA1768">MMULT($G1768:$R1768,'Nelson Factor_2019'!$B$1:$B$12)/$G1768</f>
        <v>8.7593443354148075</v>
      </c>
    </row>
    <row r="1769" spans="1:27" x14ac:dyDescent="0.25">
      <c r="A1769">
        <v>2018</v>
      </c>
      <c r="B1769">
        <v>5</v>
      </c>
      <c r="C1769">
        <v>1</v>
      </c>
      <c r="D1769" t="s">
        <v>291</v>
      </c>
      <c r="E1769" t="s">
        <v>362</v>
      </c>
      <c r="F1769" t="s">
        <v>209</v>
      </c>
      <c r="G1769">
        <v>105000</v>
      </c>
      <c r="H1769">
        <v>48200</v>
      </c>
      <c r="I1769">
        <v>0</v>
      </c>
      <c r="J1769">
        <v>0</v>
      </c>
      <c r="K1769">
        <v>32500</v>
      </c>
      <c r="L1769">
        <v>16657</v>
      </c>
      <c r="M1769">
        <v>0</v>
      </c>
      <c r="N1769">
        <v>67473</v>
      </c>
      <c r="O1769">
        <v>10625</v>
      </c>
      <c r="P1769">
        <v>0</v>
      </c>
      <c r="Q1769">
        <v>0</v>
      </c>
      <c r="R1769">
        <v>4265</v>
      </c>
      <c r="S1769">
        <v>0</v>
      </c>
      <c r="T1769">
        <v>0</v>
      </c>
      <c r="U1769">
        <v>0</v>
      </c>
      <c r="V1769">
        <v>0</v>
      </c>
      <c r="W1769">
        <v>0</v>
      </c>
      <c r="X1769">
        <v>110</v>
      </c>
      <c r="Y1769">
        <v>0</v>
      </c>
      <c r="Z1769" cm="1">
        <f t="array" ref="Z1769">MMULT($G1769:$Y1769,'Nelson Factor_2019'!$B$1:$B$19)/$G1769</f>
        <v>7.2387857142857142</v>
      </c>
      <c r="AA1769" cm="1">
        <f t="array" ref="AA1769">MMULT($G1769:$R1769,'Nelson Factor_2019'!$B$1:$B$12)/$G1769</f>
        <v>6.9873571428571433</v>
      </c>
    </row>
    <row r="1770" spans="1:27" x14ac:dyDescent="0.25">
      <c r="A1770">
        <v>2018</v>
      </c>
      <c r="B1770">
        <v>5</v>
      </c>
      <c r="C1770">
        <v>4</v>
      </c>
      <c r="D1770" t="s">
        <v>291</v>
      </c>
      <c r="E1770" t="s">
        <v>388</v>
      </c>
      <c r="F1770" t="s">
        <v>210</v>
      </c>
      <c r="G1770">
        <v>141550</v>
      </c>
      <c r="H1770">
        <v>62510</v>
      </c>
      <c r="I1770">
        <v>22770</v>
      </c>
      <c r="J1770">
        <v>0</v>
      </c>
      <c r="K1770">
        <v>52110</v>
      </c>
      <c r="L1770">
        <v>19530</v>
      </c>
      <c r="M1770">
        <v>0</v>
      </c>
      <c r="N1770">
        <v>116010</v>
      </c>
      <c r="O1770">
        <v>10890</v>
      </c>
      <c r="P1770">
        <v>0</v>
      </c>
      <c r="Q1770">
        <v>0</v>
      </c>
      <c r="R1770">
        <v>0</v>
      </c>
      <c r="S1770">
        <v>0</v>
      </c>
      <c r="T1770">
        <v>0</v>
      </c>
      <c r="U1770">
        <v>0</v>
      </c>
      <c r="V1770">
        <v>0</v>
      </c>
      <c r="W1770">
        <v>1142</v>
      </c>
      <c r="X1770">
        <v>318</v>
      </c>
      <c r="Y1770">
        <v>0</v>
      </c>
      <c r="Z1770" cm="1">
        <f t="array" ref="Z1770">MMULT($G1770:$Y1770,'Nelson Factor_2019'!$B$1:$B$19)/$G1770</f>
        <v>9.0366866831508297</v>
      </c>
      <c r="AA1770" cm="1">
        <f t="array" ref="AA1770">MMULT($G1770:$R1770,'Nelson Factor_2019'!$B$1:$B$12)/$G1770</f>
        <v>8.4975132462027556</v>
      </c>
    </row>
    <row r="1771" spans="1:27" x14ac:dyDescent="0.25">
      <c r="A1771">
        <v>2018</v>
      </c>
      <c r="B1771">
        <v>5</v>
      </c>
      <c r="C1771">
        <v>1</v>
      </c>
      <c r="D1771" t="s">
        <v>291</v>
      </c>
      <c r="E1771" t="s">
        <v>415</v>
      </c>
      <c r="F1771" t="s">
        <v>210</v>
      </c>
      <c r="G1771">
        <v>118750</v>
      </c>
      <c r="H1771">
        <v>44650</v>
      </c>
      <c r="I1771">
        <v>0</v>
      </c>
      <c r="J1771">
        <v>0</v>
      </c>
      <c r="K1771">
        <v>49500</v>
      </c>
      <c r="L1771">
        <v>23400</v>
      </c>
      <c r="M1771">
        <v>0</v>
      </c>
      <c r="N1771">
        <v>88200</v>
      </c>
      <c r="O1771">
        <v>12420</v>
      </c>
      <c r="P1771">
        <v>0</v>
      </c>
      <c r="Q1771">
        <v>0</v>
      </c>
      <c r="R1771">
        <v>3240</v>
      </c>
      <c r="S1771">
        <v>0</v>
      </c>
      <c r="T1771">
        <v>0</v>
      </c>
      <c r="U1771">
        <v>0</v>
      </c>
      <c r="V1771">
        <v>0</v>
      </c>
      <c r="W1771">
        <v>0</v>
      </c>
      <c r="X1771">
        <v>49</v>
      </c>
      <c r="Y1771">
        <v>4950</v>
      </c>
      <c r="Z1771" cm="1">
        <f t="array" ref="Z1771">MMULT($G1771:$Y1771,'Nelson Factor_2019'!$B$1:$B$19)/$G1771</f>
        <v>8.1212631578947363</v>
      </c>
      <c r="AA1771" cm="1">
        <f t="array" ref="AA1771">MMULT($G1771:$R1771,'Nelson Factor_2019'!$B$1:$B$12)/$G1771</f>
        <v>7.9597052631578951</v>
      </c>
    </row>
    <row r="1772" spans="1:27" x14ac:dyDescent="0.25">
      <c r="A1772">
        <v>2018</v>
      </c>
      <c r="B1772">
        <v>5</v>
      </c>
      <c r="C1772">
        <v>0</v>
      </c>
      <c r="D1772" t="s">
        <v>291</v>
      </c>
      <c r="E1772" t="s">
        <v>414</v>
      </c>
      <c r="F1772" t="s">
        <v>212</v>
      </c>
      <c r="G1772">
        <v>39900</v>
      </c>
      <c r="H1772">
        <v>18240</v>
      </c>
      <c r="I1772">
        <v>0</v>
      </c>
      <c r="J1772">
        <v>0</v>
      </c>
      <c r="K1772">
        <v>0</v>
      </c>
      <c r="L1772">
        <v>6120</v>
      </c>
      <c r="M1772">
        <v>0</v>
      </c>
      <c r="N1772">
        <v>16740</v>
      </c>
      <c r="O1772">
        <v>0</v>
      </c>
      <c r="P1772">
        <v>0</v>
      </c>
      <c r="Q1772">
        <v>0</v>
      </c>
      <c r="R1772">
        <v>4050</v>
      </c>
      <c r="S1772">
        <v>0</v>
      </c>
      <c r="T1772">
        <v>0</v>
      </c>
      <c r="U1772">
        <v>0</v>
      </c>
      <c r="V1772">
        <v>0</v>
      </c>
      <c r="W1772">
        <v>0</v>
      </c>
      <c r="X1772">
        <v>10</v>
      </c>
      <c r="Y1772">
        <v>7200</v>
      </c>
      <c r="Z1772" cm="1">
        <f t="array" ref="Z1772">MMULT($G1772:$Y1772,'Nelson Factor_2019'!$B$1:$B$19)/$G1772</f>
        <v>4.0454135338345862</v>
      </c>
      <c r="AA1772" cm="1">
        <f t="array" ref="AA1772">MMULT($G1772:$R1772,'Nelson Factor_2019'!$B$1:$B$12)/$G1772</f>
        <v>3.7145864661654135</v>
      </c>
    </row>
    <row r="1773" spans="1:27" x14ac:dyDescent="0.25">
      <c r="A1773">
        <v>2018</v>
      </c>
      <c r="B1773">
        <v>1</v>
      </c>
      <c r="C1773">
        <v>0</v>
      </c>
      <c r="D1773" t="s">
        <v>292</v>
      </c>
      <c r="E1773" t="s">
        <v>405</v>
      </c>
      <c r="F1773" t="s">
        <v>215</v>
      </c>
      <c r="G1773">
        <v>21850</v>
      </c>
      <c r="H1773">
        <v>8170</v>
      </c>
      <c r="I1773">
        <v>0</v>
      </c>
      <c r="J1773">
        <v>0</v>
      </c>
      <c r="K1773">
        <v>0</v>
      </c>
      <c r="L1773">
        <v>3555</v>
      </c>
      <c r="M1773">
        <v>0</v>
      </c>
      <c r="N1773">
        <v>17640</v>
      </c>
      <c r="O1773">
        <v>0</v>
      </c>
      <c r="P1773">
        <v>0</v>
      </c>
      <c r="Q1773">
        <v>0</v>
      </c>
      <c r="R1773">
        <v>0</v>
      </c>
      <c r="S1773">
        <v>5490</v>
      </c>
      <c r="T1773">
        <v>0</v>
      </c>
      <c r="U1773">
        <v>3</v>
      </c>
      <c r="V1773">
        <v>0</v>
      </c>
      <c r="W1773">
        <v>0</v>
      </c>
      <c r="X1773">
        <v>1</v>
      </c>
      <c r="Y1773">
        <v>630</v>
      </c>
      <c r="Z1773" cm="1">
        <f t="array" ref="Z1773">MMULT($G1773:$Y1773,'Nelson Factor_2019'!$B$1:$B$19)/$G1773</f>
        <v>19.447780320366132</v>
      </c>
      <c r="AA1773" cm="1">
        <f t="array" ref="AA1773">MMULT($G1773:$R1773,'Nelson Factor_2019'!$B$1:$B$12)/$G1773</f>
        <v>4.3178947368421055</v>
      </c>
    </row>
    <row r="1774" spans="1:27" x14ac:dyDescent="0.25">
      <c r="A1774">
        <v>2018</v>
      </c>
      <c r="B1774">
        <v>2</v>
      </c>
      <c r="C1774">
        <v>1</v>
      </c>
      <c r="D1774" t="s">
        <v>293</v>
      </c>
      <c r="E1774" t="s">
        <v>407</v>
      </c>
      <c r="F1774" t="s">
        <v>217</v>
      </c>
      <c r="G1774">
        <v>47500</v>
      </c>
      <c r="H1774">
        <v>19475</v>
      </c>
      <c r="I1774">
        <v>0</v>
      </c>
      <c r="J1774">
        <v>0</v>
      </c>
      <c r="K1774">
        <v>9900</v>
      </c>
      <c r="L1774">
        <v>7200</v>
      </c>
      <c r="M1774">
        <v>0</v>
      </c>
      <c r="N1774">
        <v>29430</v>
      </c>
      <c r="O1774">
        <v>1440</v>
      </c>
      <c r="P1774">
        <v>0</v>
      </c>
      <c r="Q1774">
        <v>5400</v>
      </c>
      <c r="R1774">
        <v>0</v>
      </c>
      <c r="S1774">
        <v>0</v>
      </c>
      <c r="T1774">
        <v>0</v>
      </c>
      <c r="U1774">
        <v>0</v>
      </c>
      <c r="V1774">
        <v>0</v>
      </c>
      <c r="W1774">
        <v>0</v>
      </c>
      <c r="X1774">
        <v>31</v>
      </c>
      <c r="Y1774">
        <v>7110</v>
      </c>
      <c r="Z1774" cm="1">
        <f t="array" ref="Z1774">MMULT($G1774:$Y1774,'Nelson Factor_2019'!$B$1:$B$19)/$G1774</f>
        <v>8.0483684210526309</v>
      </c>
      <c r="AA1774" cm="1">
        <f t="array" ref="AA1774">MMULT($G1774:$R1774,'Nelson Factor_2019'!$B$1:$B$12)/$G1774</f>
        <v>7.667210526315789</v>
      </c>
    </row>
    <row r="1775" spans="1:27" x14ac:dyDescent="0.25">
      <c r="A1775">
        <v>2018</v>
      </c>
      <c r="B1775">
        <v>4</v>
      </c>
      <c r="C1775">
        <v>4</v>
      </c>
      <c r="D1775" t="s">
        <v>294</v>
      </c>
      <c r="E1775" t="s">
        <v>251</v>
      </c>
      <c r="F1775" t="s">
        <v>220</v>
      </c>
      <c r="G1775">
        <v>49400</v>
      </c>
      <c r="H1775">
        <v>26600</v>
      </c>
      <c r="I1775">
        <v>12330</v>
      </c>
      <c r="J1775">
        <v>0</v>
      </c>
      <c r="K1775">
        <v>11250</v>
      </c>
      <c r="L1775">
        <v>8280</v>
      </c>
      <c r="M1775">
        <v>0</v>
      </c>
      <c r="N1775">
        <v>34200</v>
      </c>
      <c r="O1775">
        <v>3780</v>
      </c>
      <c r="P1775">
        <v>0</v>
      </c>
      <c r="Q1775">
        <v>0</v>
      </c>
      <c r="R1775">
        <v>0</v>
      </c>
      <c r="S1775">
        <v>0</v>
      </c>
      <c r="T1775">
        <v>0</v>
      </c>
      <c r="U1775">
        <v>10</v>
      </c>
      <c r="V1775">
        <v>0</v>
      </c>
      <c r="W1775">
        <v>639</v>
      </c>
      <c r="X1775">
        <v>105</v>
      </c>
      <c r="Y1775">
        <v>14400</v>
      </c>
      <c r="Z1775" cm="1">
        <f t="array" ref="Z1775">MMULT($G1775:$Y1775,'Nelson Factor_2019'!$B$1:$B$19)/$G1775</f>
        <v>9.2199392712550612</v>
      </c>
      <c r="AA1775" cm="1">
        <f t="array" ref="AA1775">MMULT($G1775:$R1775,'Nelson Factor_2019'!$B$1:$B$12)/$G1775</f>
        <v>8.2723684210526311</v>
      </c>
    </row>
    <row r="1776" spans="1:27" x14ac:dyDescent="0.25">
      <c r="A1776">
        <v>2018</v>
      </c>
      <c r="B1776">
        <v>4</v>
      </c>
      <c r="C1776">
        <v>1</v>
      </c>
      <c r="D1776" t="s">
        <v>294</v>
      </c>
      <c r="E1776" t="s">
        <v>396</v>
      </c>
      <c r="F1776" t="s">
        <v>225</v>
      </c>
      <c r="G1776">
        <v>17575</v>
      </c>
      <c r="H1776">
        <v>0</v>
      </c>
      <c r="I1776">
        <v>0</v>
      </c>
      <c r="J1776">
        <v>0</v>
      </c>
      <c r="K1776">
        <v>7020</v>
      </c>
      <c r="L1776">
        <v>3825</v>
      </c>
      <c r="M1776">
        <v>0</v>
      </c>
      <c r="N1776">
        <v>9828</v>
      </c>
      <c r="O1776">
        <v>1170</v>
      </c>
      <c r="P1776">
        <v>0</v>
      </c>
      <c r="Q1776">
        <v>0</v>
      </c>
      <c r="R1776">
        <v>0</v>
      </c>
      <c r="S1776">
        <v>0</v>
      </c>
      <c r="T1776">
        <v>0</v>
      </c>
      <c r="U1776">
        <v>0</v>
      </c>
      <c r="V1776">
        <v>0</v>
      </c>
      <c r="W1776">
        <v>0</v>
      </c>
      <c r="X1776">
        <v>0</v>
      </c>
      <c r="Y1776">
        <v>0</v>
      </c>
      <c r="Z1776" cm="1">
        <f t="array" ref="Z1776">MMULT($G1776:$Y1776,'Nelson Factor_2019'!$B$1:$B$19)/$G1776</f>
        <v>6.5485064011379803</v>
      </c>
      <c r="AA1776" cm="1">
        <f t="array" ref="AA1776">MMULT($G1776:$R1776,'Nelson Factor_2019'!$B$1:$B$12)/$G1776</f>
        <v>6.5485064011379803</v>
      </c>
    </row>
    <row r="1777" spans="1:27" x14ac:dyDescent="0.25">
      <c r="A1777">
        <v>2018</v>
      </c>
      <c r="B1777">
        <v>4</v>
      </c>
      <c r="C1777">
        <v>1</v>
      </c>
      <c r="D1777" t="s">
        <v>294</v>
      </c>
      <c r="E1777" t="s">
        <v>159</v>
      </c>
      <c r="F1777" t="s">
        <v>385</v>
      </c>
      <c r="G1777">
        <v>24225</v>
      </c>
      <c r="H1777">
        <v>0</v>
      </c>
      <c r="I1777">
        <v>0</v>
      </c>
      <c r="J1777">
        <v>0</v>
      </c>
      <c r="K1777">
        <v>10800</v>
      </c>
      <c r="L1777">
        <v>4500</v>
      </c>
      <c r="M1777">
        <v>0</v>
      </c>
      <c r="N1777">
        <v>22050</v>
      </c>
      <c r="O1777">
        <v>0</v>
      </c>
      <c r="P1777">
        <v>0</v>
      </c>
      <c r="Q1777">
        <v>0</v>
      </c>
      <c r="R1777">
        <v>0</v>
      </c>
      <c r="S1777">
        <v>0</v>
      </c>
      <c r="T1777">
        <v>0</v>
      </c>
      <c r="U1777">
        <v>0</v>
      </c>
      <c r="V1777">
        <v>0</v>
      </c>
      <c r="W1777">
        <v>0</v>
      </c>
      <c r="X1777">
        <v>9</v>
      </c>
      <c r="Y1777">
        <v>0</v>
      </c>
      <c r="Z1777" cm="1">
        <f t="array" ref="Z1777">MMULT($G1777:$Y1777,'Nelson Factor_2019'!$B$1:$B$19)/$G1777</f>
        <v>6.9684210526315793</v>
      </c>
      <c r="AA1777" cm="1">
        <f t="array" ref="AA1777">MMULT($G1777:$R1777,'Nelson Factor_2019'!$B$1:$B$12)/$G1777</f>
        <v>6.8792569659442728</v>
      </c>
    </row>
    <row r="1778" spans="1:27" x14ac:dyDescent="0.25">
      <c r="A1778">
        <v>2018</v>
      </c>
      <c r="B1778">
        <v>4</v>
      </c>
      <c r="C1778">
        <v>6</v>
      </c>
      <c r="D1778" t="s">
        <v>294</v>
      </c>
      <c r="E1778" t="s">
        <v>159</v>
      </c>
      <c r="F1778" t="s">
        <v>223</v>
      </c>
      <c r="G1778">
        <v>85500</v>
      </c>
      <c r="H1778">
        <v>38950</v>
      </c>
      <c r="I1778">
        <v>18000</v>
      </c>
      <c r="J1778">
        <v>0</v>
      </c>
      <c r="K1778">
        <v>19800</v>
      </c>
      <c r="L1778">
        <v>13050</v>
      </c>
      <c r="M1778">
        <v>14040</v>
      </c>
      <c r="N1778">
        <v>64800</v>
      </c>
      <c r="O1778">
        <v>4050</v>
      </c>
      <c r="P1778">
        <v>0</v>
      </c>
      <c r="Q1778">
        <v>0</v>
      </c>
      <c r="R1778">
        <v>0</v>
      </c>
      <c r="S1778">
        <v>0</v>
      </c>
      <c r="T1778">
        <v>0</v>
      </c>
      <c r="U1778">
        <v>52</v>
      </c>
      <c r="V1778">
        <v>0</v>
      </c>
      <c r="W1778">
        <v>952</v>
      </c>
      <c r="X1778">
        <v>188</v>
      </c>
      <c r="Y1778">
        <v>7200</v>
      </c>
      <c r="Z1778" cm="1">
        <f t="array" ref="Z1778">MMULT($G1778:$Y1778,'Nelson Factor_2019'!$B$1:$B$19)/$G1778</f>
        <v>9.660549707602339</v>
      </c>
      <c r="AA1778" cm="1">
        <f t="array" ref="AA1778">MMULT($G1778:$R1778,'Nelson Factor_2019'!$B$1:$B$12)/$G1778</f>
        <v>9.0059064327485387</v>
      </c>
    </row>
    <row r="1779" spans="1:27" x14ac:dyDescent="0.25">
      <c r="A1779">
        <v>2019</v>
      </c>
      <c r="B1779">
        <v>3</v>
      </c>
      <c r="C1779">
        <v>5</v>
      </c>
      <c r="D1779" t="s">
        <v>256</v>
      </c>
      <c r="E1779" t="s">
        <v>387</v>
      </c>
      <c r="F1779" t="s">
        <v>26</v>
      </c>
      <c r="G1779">
        <v>38000</v>
      </c>
      <c r="H1779">
        <v>17100</v>
      </c>
      <c r="I1779">
        <v>28800</v>
      </c>
      <c r="J1779">
        <v>0</v>
      </c>
      <c r="K1779">
        <v>0</v>
      </c>
      <c r="L1779">
        <v>13770</v>
      </c>
      <c r="M1779">
        <v>16650</v>
      </c>
      <c r="N1779">
        <v>34740</v>
      </c>
      <c r="O1779">
        <v>0</v>
      </c>
      <c r="P1779">
        <v>0</v>
      </c>
      <c r="Q1779">
        <v>0</v>
      </c>
      <c r="R1779">
        <v>3780</v>
      </c>
      <c r="S1779">
        <v>0</v>
      </c>
      <c r="T1779">
        <v>0</v>
      </c>
      <c r="U1779">
        <v>40</v>
      </c>
      <c r="V1779">
        <v>0</v>
      </c>
      <c r="W1779">
        <v>968</v>
      </c>
      <c r="X1779">
        <v>177</v>
      </c>
      <c r="Y1779">
        <v>13500</v>
      </c>
      <c r="Z1779" cm="1">
        <f t="array" ref="Z1779">MMULT($G1779:$Y1779,'Nelson Factor_2019'!$B$1:$B$19)/$G1779</f>
        <v>16.822105263157894</v>
      </c>
      <c r="AA1779" cm="1">
        <f t="array" ref="AA1779">MMULT($G1779:$R1779,'Nelson Factor_2019'!$B$1:$B$12)/$G1779</f>
        <v>15.170263157894738</v>
      </c>
    </row>
    <row r="1780" spans="1:27" x14ac:dyDescent="0.25">
      <c r="A1780">
        <v>2019</v>
      </c>
      <c r="B1780">
        <v>3</v>
      </c>
      <c r="C1780">
        <v>0</v>
      </c>
      <c r="D1780" t="s">
        <v>256</v>
      </c>
      <c r="E1780" t="s">
        <v>388</v>
      </c>
      <c r="F1780" t="s">
        <v>28</v>
      </c>
      <c r="G1780">
        <v>90725</v>
      </c>
      <c r="H1780">
        <v>27550</v>
      </c>
      <c r="I1780">
        <v>0</v>
      </c>
      <c r="J1780">
        <v>0</v>
      </c>
      <c r="K1780">
        <v>0</v>
      </c>
      <c r="L1780">
        <v>19800</v>
      </c>
      <c r="M1780">
        <v>0</v>
      </c>
      <c r="N1780">
        <v>65700</v>
      </c>
      <c r="O1780">
        <v>0</v>
      </c>
      <c r="P1780">
        <v>0</v>
      </c>
      <c r="Q1780">
        <v>0</v>
      </c>
      <c r="R1780">
        <v>1035</v>
      </c>
      <c r="S1780">
        <v>0</v>
      </c>
      <c r="T1780">
        <v>0</v>
      </c>
      <c r="U1780">
        <v>0</v>
      </c>
      <c r="V1780">
        <v>0</v>
      </c>
      <c r="W1780">
        <v>0</v>
      </c>
      <c r="X1780">
        <v>30</v>
      </c>
      <c r="Y1780">
        <v>0</v>
      </c>
      <c r="Z1780" cm="1">
        <f t="array" ref="Z1780">MMULT($G1780:$Y1780,'Nelson Factor_2019'!$B$1:$B$19)/$G1780</f>
        <v>4.409975199779554</v>
      </c>
      <c r="AA1780" cm="1">
        <f t="array" ref="AA1780">MMULT($G1780:$R1780,'Nelson Factor_2019'!$B$1:$B$12)/$G1780</f>
        <v>4.3306144943510612</v>
      </c>
    </row>
    <row r="1781" spans="1:27" x14ac:dyDescent="0.25">
      <c r="A1781">
        <v>2019</v>
      </c>
      <c r="B1781">
        <v>5</v>
      </c>
      <c r="C1781">
        <v>0</v>
      </c>
      <c r="D1781" t="s">
        <v>257</v>
      </c>
      <c r="E1781" t="s">
        <v>389</v>
      </c>
      <c r="F1781" t="s">
        <v>36</v>
      </c>
      <c r="G1781">
        <v>21375</v>
      </c>
      <c r="H1781">
        <v>0</v>
      </c>
      <c r="I1781">
        <v>0</v>
      </c>
      <c r="J1781">
        <v>0</v>
      </c>
      <c r="K1781">
        <v>0</v>
      </c>
      <c r="L1781">
        <v>0</v>
      </c>
      <c r="M1781">
        <v>0</v>
      </c>
      <c r="N1781">
        <v>0</v>
      </c>
      <c r="O1781">
        <v>0</v>
      </c>
      <c r="P1781">
        <v>0</v>
      </c>
      <c r="Q1781">
        <v>0</v>
      </c>
      <c r="R1781">
        <v>0</v>
      </c>
      <c r="S1781">
        <v>0</v>
      </c>
      <c r="T1781">
        <v>0</v>
      </c>
      <c r="U1781">
        <v>0</v>
      </c>
      <c r="V1781">
        <v>0</v>
      </c>
      <c r="W1781">
        <v>0</v>
      </c>
      <c r="X1781">
        <v>0</v>
      </c>
      <c r="Y1781">
        <v>0</v>
      </c>
      <c r="Z1781" cm="1">
        <f t="array" ref="Z1781">MMULT($G1781:$Y1781,'Nelson Factor_2019'!$B$1:$B$19)/$G1781</f>
        <v>1</v>
      </c>
      <c r="AA1781" cm="1">
        <f t="array" ref="AA1781">MMULT($G1781:$R1781,'Nelson Factor_2019'!$B$1:$B$12)/$G1781</f>
        <v>1</v>
      </c>
    </row>
    <row r="1782" spans="1:27" x14ac:dyDescent="0.25">
      <c r="A1782">
        <v>2019</v>
      </c>
      <c r="B1782">
        <v>5</v>
      </c>
      <c r="C1782">
        <v>0</v>
      </c>
      <c r="D1782" t="s">
        <v>257</v>
      </c>
      <c r="E1782" t="s">
        <v>389</v>
      </c>
      <c r="F1782" t="s">
        <v>38</v>
      </c>
      <c r="G1782">
        <v>57000</v>
      </c>
      <c r="H1782">
        <v>0</v>
      </c>
      <c r="I1782">
        <v>0</v>
      </c>
      <c r="J1782">
        <v>0</v>
      </c>
      <c r="K1782">
        <v>0</v>
      </c>
      <c r="L1782">
        <v>0</v>
      </c>
      <c r="M1782">
        <v>0</v>
      </c>
      <c r="N1782">
        <v>0</v>
      </c>
      <c r="O1782">
        <v>0</v>
      </c>
      <c r="P1782">
        <v>0</v>
      </c>
      <c r="Q1782">
        <v>0</v>
      </c>
      <c r="R1782">
        <v>0</v>
      </c>
      <c r="S1782">
        <v>0</v>
      </c>
      <c r="T1782">
        <v>0</v>
      </c>
      <c r="U1782">
        <v>0</v>
      </c>
      <c r="V1782">
        <v>0</v>
      </c>
      <c r="W1782">
        <v>0</v>
      </c>
      <c r="X1782">
        <v>0</v>
      </c>
      <c r="Y1782">
        <v>0</v>
      </c>
      <c r="Z1782" cm="1">
        <f t="array" ref="Z1782">MMULT($G1782:$Y1782,'Nelson Factor_2019'!$B$1:$B$19)/$G1782</f>
        <v>1</v>
      </c>
      <c r="AA1782" cm="1">
        <f t="array" ref="AA1782">MMULT($G1782:$R1782,'Nelson Factor_2019'!$B$1:$B$12)/$G1782</f>
        <v>1</v>
      </c>
    </row>
    <row r="1783" spans="1:27" x14ac:dyDescent="0.25">
      <c r="A1783">
        <v>2019</v>
      </c>
      <c r="B1783">
        <v>5</v>
      </c>
      <c r="C1783">
        <v>0</v>
      </c>
      <c r="D1783" t="s">
        <v>257</v>
      </c>
      <c r="E1783" t="s">
        <v>32</v>
      </c>
      <c r="F1783" t="s">
        <v>34</v>
      </c>
      <c r="G1783">
        <v>12350</v>
      </c>
      <c r="H1783">
        <v>0</v>
      </c>
      <c r="I1783">
        <v>0</v>
      </c>
      <c r="J1783">
        <v>0</v>
      </c>
      <c r="K1783">
        <v>0</v>
      </c>
      <c r="L1783">
        <v>0</v>
      </c>
      <c r="M1783">
        <v>0</v>
      </c>
      <c r="N1783">
        <v>0</v>
      </c>
      <c r="O1783">
        <v>0</v>
      </c>
      <c r="P1783">
        <v>0</v>
      </c>
      <c r="Q1783">
        <v>0</v>
      </c>
      <c r="R1783">
        <v>0</v>
      </c>
      <c r="S1783">
        <v>0</v>
      </c>
      <c r="T1783">
        <v>0</v>
      </c>
      <c r="U1783">
        <v>0</v>
      </c>
      <c r="V1783">
        <v>0</v>
      </c>
      <c r="W1783">
        <v>0</v>
      </c>
      <c r="X1783">
        <v>0</v>
      </c>
      <c r="Y1783">
        <v>0</v>
      </c>
      <c r="Z1783" cm="1">
        <f t="array" ref="Z1783">MMULT($G1783:$Y1783,'Nelson Factor_2019'!$B$1:$B$19)/$G1783</f>
        <v>1</v>
      </c>
      <c r="AA1783" cm="1">
        <f t="array" ref="AA1783">MMULT($G1783:$R1783,'Nelson Factor_2019'!$B$1:$B$12)/$G1783</f>
        <v>1</v>
      </c>
    </row>
    <row r="1784" spans="1:27" x14ac:dyDescent="0.25">
      <c r="A1784">
        <v>2019</v>
      </c>
      <c r="B1784">
        <v>5</v>
      </c>
      <c r="C1784">
        <v>0</v>
      </c>
      <c r="D1784" t="s">
        <v>257</v>
      </c>
      <c r="E1784" t="s">
        <v>390</v>
      </c>
      <c r="F1784" t="s">
        <v>33</v>
      </c>
      <c r="G1784">
        <v>15200</v>
      </c>
      <c r="H1784">
        <v>0</v>
      </c>
      <c r="I1784">
        <v>0</v>
      </c>
      <c r="J1784">
        <v>0</v>
      </c>
      <c r="K1784">
        <v>0</v>
      </c>
      <c r="L1784">
        <v>0</v>
      </c>
      <c r="M1784">
        <v>0</v>
      </c>
      <c r="N1784">
        <v>0</v>
      </c>
      <c r="O1784">
        <v>0</v>
      </c>
      <c r="P1784">
        <v>0</v>
      </c>
      <c r="Q1784">
        <v>0</v>
      </c>
      <c r="R1784">
        <v>0</v>
      </c>
      <c r="S1784">
        <v>0</v>
      </c>
      <c r="T1784">
        <v>0</v>
      </c>
      <c r="U1784">
        <v>0</v>
      </c>
      <c r="V1784">
        <v>0</v>
      </c>
      <c r="W1784">
        <v>0</v>
      </c>
      <c r="X1784">
        <v>0</v>
      </c>
      <c r="Y1784">
        <v>0</v>
      </c>
      <c r="Z1784" cm="1">
        <f t="array" ref="Z1784">MMULT($G1784:$Y1784,'Nelson Factor_2019'!$B$1:$B$19)/$G1784</f>
        <v>1</v>
      </c>
      <c r="AA1784" cm="1">
        <f t="array" ref="AA1784">MMULT($G1784:$R1784,'Nelson Factor_2019'!$B$1:$B$12)/$G1784</f>
        <v>1</v>
      </c>
    </row>
    <row r="1785" spans="1:27" x14ac:dyDescent="0.25">
      <c r="A1785">
        <v>2019</v>
      </c>
      <c r="B1785">
        <v>5</v>
      </c>
      <c r="C1785">
        <v>2</v>
      </c>
      <c r="D1785" t="s">
        <v>257</v>
      </c>
      <c r="E1785" t="s">
        <v>246</v>
      </c>
      <c r="F1785" t="s">
        <v>40</v>
      </c>
      <c r="G1785">
        <v>68000</v>
      </c>
      <c r="H1785">
        <v>24700</v>
      </c>
      <c r="I1785">
        <v>0</v>
      </c>
      <c r="J1785">
        <v>0</v>
      </c>
      <c r="K1785">
        <v>0</v>
      </c>
      <c r="L1785">
        <v>12800</v>
      </c>
      <c r="M1785">
        <v>11900</v>
      </c>
      <c r="N1785">
        <v>23300</v>
      </c>
      <c r="O1785">
        <v>0</v>
      </c>
      <c r="P1785">
        <v>0</v>
      </c>
      <c r="Q1785">
        <v>0</v>
      </c>
      <c r="R1785">
        <v>4800</v>
      </c>
      <c r="S1785">
        <v>0</v>
      </c>
      <c r="T1785">
        <v>0</v>
      </c>
      <c r="U1785">
        <v>13</v>
      </c>
      <c r="V1785">
        <v>0</v>
      </c>
      <c r="W1785">
        <v>0</v>
      </c>
      <c r="X1785">
        <v>24</v>
      </c>
      <c r="Y1785">
        <v>9000</v>
      </c>
      <c r="Z1785" cm="1">
        <f t="array" ref="Z1785">MMULT($G1785:$Y1785,'Nelson Factor_2019'!$B$1:$B$19)/$G1785</f>
        <v>5.1651911764705885</v>
      </c>
      <c r="AA1785" cm="1">
        <f t="array" ref="AA1785">MMULT($G1785:$R1785,'Nelson Factor_2019'!$B$1:$B$12)/$G1785</f>
        <v>4.881764705882353</v>
      </c>
    </row>
    <row r="1786" spans="1:27" x14ac:dyDescent="0.25">
      <c r="A1786">
        <v>2019</v>
      </c>
      <c r="B1786">
        <v>3</v>
      </c>
      <c r="C1786">
        <v>1</v>
      </c>
      <c r="D1786" t="s">
        <v>260</v>
      </c>
      <c r="E1786" t="s">
        <v>391</v>
      </c>
      <c r="F1786" t="s">
        <v>45</v>
      </c>
      <c r="G1786">
        <v>80750</v>
      </c>
      <c r="H1786">
        <v>42750</v>
      </c>
      <c r="I1786">
        <v>0</v>
      </c>
      <c r="J1786">
        <v>0</v>
      </c>
      <c r="K1786">
        <v>18900</v>
      </c>
      <c r="L1786">
        <v>13770</v>
      </c>
      <c r="M1786">
        <v>0</v>
      </c>
      <c r="N1786">
        <v>83475</v>
      </c>
      <c r="O1786">
        <v>4500</v>
      </c>
      <c r="P1786">
        <v>0</v>
      </c>
      <c r="Q1786">
        <v>0</v>
      </c>
      <c r="R1786">
        <v>6750</v>
      </c>
      <c r="S1786">
        <v>0</v>
      </c>
      <c r="T1786">
        <v>0</v>
      </c>
      <c r="U1786">
        <v>10</v>
      </c>
      <c r="V1786">
        <v>0</v>
      </c>
      <c r="W1786">
        <v>0</v>
      </c>
      <c r="X1786">
        <v>142</v>
      </c>
      <c r="Y1786">
        <v>18450</v>
      </c>
      <c r="Z1786" cm="1">
        <f t="array" ref="Z1786">MMULT($G1786:$Y1786,'Nelson Factor_2019'!$B$1:$B$19)/$G1786</f>
        <v>8.1025077399380798</v>
      </c>
      <c r="AA1786" cm="1">
        <f t="array" ref="AA1786">MMULT($G1786:$R1786,'Nelson Factor_2019'!$B$1:$B$12)/$G1786</f>
        <v>7.3376160990712078</v>
      </c>
    </row>
    <row r="1787" spans="1:27" x14ac:dyDescent="0.25">
      <c r="A1787">
        <v>2019</v>
      </c>
      <c r="B1787">
        <v>3</v>
      </c>
      <c r="C1787">
        <v>0</v>
      </c>
      <c r="D1787" t="s">
        <v>260</v>
      </c>
      <c r="E1787" t="s">
        <v>392</v>
      </c>
      <c r="F1787" t="s">
        <v>43</v>
      </c>
      <c r="G1787">
        <v>7315</v>
      </c>
      <c r="H1787">
        <v>3658</v>
      </c>
      <c r="I1787">
        <v>0</v>
      </c>
      <c r="J1787">
        <v>0</v>
      </c>
      <c r="K1787">
        <v>0</v>
      </c>
      <c r="L1787">
        <v>0</v>
      </c>
      <c r="M1787">
        <v>0</v>
      </c>
      <c r="N1787">
        <v>4950</v>
      </c>
      <c r="O1787">
        <v>0</v>
      </c>
      <c r="P1787">
        <v>0</v>
      </c>
      <c r="Q1787">
        <v>0</v>
      </c>
      <c r="R1787">
        <v>0</v>
      </c>
      <c r="S1787">
        <v>4950</v>
      </c>
      <c r="T1787">
        <v>0</v>
      </c>
      <c r="U1787">
        <v>3</v>
      </c>
      <c r="V1787">
        <v>0</v>
      </c>
      <c r="W1787">
        <v>0</v>
      </c>
      <c r="X1787">
        <v>0</v>
      </c>
      <c r="Y1787">
        <v>900</v>
      </c>
      <c r="Z1787" cm="1">
        <f t="array" ref="Z1787">MMULT($G1787:$Y1787,'Nelson Factor_2019'!$B$1:$B$19)/$G1787</f>
        <v>44.12828434723172</v>
      </c>
      <c r="AA1787" cm="1">
        <f t="array" ref="AA1787">MMULT($G1787:$R1787,'Nelson Factor_2019'!$B$1:$B$12)/$G1787</f>
        <v>3.3418181818181818</v>
      </c>
    </row>
    <row r="1788" spans="1:27" x14ac:dyDescent="0.25">
      <c r="A1788">
        <v>2019</v>
      </c>
      <c r="B1788">
        <v>5</v>
      </c>
      <c r="C1788">
        <v>2</v>
      </c>
      <c r="D1788" t="s">
        <v>261</v>
      </c>
      <c r="E1788" t="s">
        <v>300</v>
      </c>
      <c r="F1788" t="s">
        <v>418</v>
      </c>
      <c r="G1788">
        <v>85500</v>
      </c>
      <c r="H1788">
        <v>28500</v>
      </c>
      <c r="I1788">
        <v>0</v>
      </c>
      <c r="J1788">
        <v>0</v>
      </c>
      <c r="K1788">
        <v>0</v>
      </c>
      <c r="L1788">
        <v>18000</v>
      </c>
      <c r="M1788">
        <v>13500</v>
      </c>
      <c r="N1788">
        <v>58950</v>
      </c>
      <c r="O1788">
        <v>0</v>
      </c>
      <c r="P1788">
        <v>0</v>
      </c>
      <c r="Q1788">
        <v>0</v>
      </c>
      <c r="R1788">
        <v>900</v>
      </c>
      <c r="S1788">
        <v>0</v>
      </c>
      <c r="T1788">
        <v>0</v>
      </c>
      <c r="U1788">
        <v>23</v>
      </c>
      <c r="V1788">
        <v>0</v>
      </c>
      <c r="W1788">
        <v>0</v>
      </c>
      <c r="X1788">
        <v>100</v>
      </c>
      <c r="Y1788">
        <v>14850</v>
      </c>
      <c r="Z1788" cm="1">
        <f t="array" ref="Z1788">MMULT($G1788:$Y1788,'Nelson Factor_2019'!$B$1:$B$19)/$G1788</f>
        <v>6.0458830409356725</v>
      </c>
      <c r="AA1788" cm="1">
        <f t="array" ref="AA1788">MMULT($G1788:$R1788,'Nelson Factor_2019'!$B$1:$B$12)/$G1788</f>
        <v>5.5043859649122808</v>
      </c>
    </row>
    <row r="1789" spans="1:27" x14ac:dyDescent="0.25">
      <c r="A1789">
        <v>2019</v>
      </c>
      <c r="B1789">
        <v>5</v>
      </c>
      <c r="C1789">
        <v>6</v>
      </c>
      <c r="D1789" t="s">
        <v>261</v>
      </c>
      <c r="E1789" t="s">
        <v>227</v>
      </c>
      <c r="F1789" t="s">
        <v>49</v>
      </c>
      <c r="G1789">
        <v>269000</v>
      </c>
      <c r="H1789">
        <v>161000</v>
      </c>
      <c r="I1789">
        <v>69500</v>
      </c>
      <c r="J1789">
        <v>0</v>
      </c>
      <c r="K1789">
        <v>66500</v>
      </c>
      <c r="L1789">
        <v>44500</v>
      </c>
      <c r="M1789">
        <v>49500</v>
      </c>
      <c r="N1789">
        <v>204500</v>
      </c>
      <c r="O1789">
        <v>30000</v>
      </c>
      <c r="P1789">
        <v>0</v>
      </c>
      <c r="Q1789">
        <v>0</v>
      </c>
      <c r="R1789">
        <v>27000</v>
      </c>
      <c r="S1789">
        <v>0</v>
      </c>
      <c r="T1789">
        <v>0</v>
      </c>
      <c r="U1789">
        <v>147</v>
      </c>
      <c r="V1789">
        <v>0</v>
      </c>
      <c r="W1789">
        <v>4064</v>
      </c>
      <c r="X1789">
        <v>775</v>
      </c>
      <c r="Y1789">
        <v>0</v>
      </c>
      <c r="Z1789" cm="1">
        <f t="array" ref="Z1789">MMULT($G1789:$Y1789,'Nelson Factor_2019'!$B$1:$B$19)/$G1789</f>
        <v>11.507237918215614</v>
      </c>
      <c r="AA1789" cm="1">
        <f t="array" ref="AA1789">MMULT($G1789:$R1789,'Nelson Factor_2019'!$B$1:$B$12)/$G1789</f>
        <v>10.815241635687732</v>
      </c>
    </row>
    <row r="1790" spans="1:27" x14ac:dyDescent="0.25">
      <c r="A1790">
        <v>2019</v>
      </c>
      <c r="B1790">
        <v>5</v>
      </c>
      <c r="C1790">
        <v>3</v>
      </c>
      <c r="D1790" t="s">
        <v>261</v>
      </c>
      <c r="E1790" t="s">
        <v>227</v>
      </c>
      <c r="F1790" t="s">
        <v>50</v>
      </c>
      <c r="G1790">
        <v>257000</v>
      </c>
      <c r="H1790">
        <v>110000</v>
      </c>
      <c r="I1790">
        <v>0</v>
      </c>
      <c r="J1790">
        <v>0</v>
      </c>
      <c r="K1790">
        <v>80000</v>
      </c>
      <c r="L1790">
        <v>59000</v>
      </c>
      <c r="M1790">
        <v>147000</v>
      </c>
      <c r="N1790">
        <v>197000</v>
      </c>
      <c r="O1790">
        <v>30000</v>
      </c>
      <c r="P1790">
        <v>0</v>
      </c>
      <c r="Q1790">
        <v>0</v>
      </c>
      <c r="R1790">
        <v>38600</v>
      </c>
      <c r="S1790">
        <v>28000</v>
      </c>
      <c r="T1790">
        <v>0</v>
      </c>
      <c r="U1790">
        <v>181.1</v>
      </c>
      <c r="V1790">
        <v>0</v>
      </c>
      <c r="W1790">
        <v>0</v>
      </c>
      <c r="X1790">
        <v>625</v>
      </c>
      <c r="Y1790">
        <v>45000</v>
      </c>
      <c r="Z1790" cm="1">
        <f t="array" ref="Z1790">MMULT($G1790:$Y1790,'Nelson Factor_2019'!$B$1:$B$19)/$G1790</f>
        <v>20.066074319066146</v>
      </c>
      <c r="AA1790" cm="1">
        <f t="array" ref="AA1790">MMULT($G1790:$R1790,'Nelson Factor_2019'!$B$1:$B$12)/$G1790</f>
        <v>12.682101167315174</v>
      </c>
    </row>
    <row r="1791" spans="1:27" x14ac:dyDescent="0.25">
      <c r="A1791">
        <v>2019</v>
      </c>
      <c r="B1791">
        <v>5</v>
      </c>
      <c r="C1791">
        <v>0</v>
      </c>
      <c r="D1791" t="s">
        <v>261</v>
      </c>
      <c r="E1791" t="s">
        <v>320</v>
      </c>
      <c r="F1791" t="s">
        <v>57</v>
      </c>
      <c r="G1791">
        <v>25650</v>
      </c>
      <c r="H1791">
        <v>0</v>
      </c>
      <c r="I1791">
        <v>0</v>
      </c>
      <c r="J1791">
        <v>0</v>
      </c>
      <c r="K1791">
        <v>0</v>
      </c>
      <c r="L1791">
        <v>5220</v>
      </c>
      <c r="M1791">
        <v>0</v>
      </c>
      <c r="N1791">
        <v>12600</v>
      </c>
      <c r="O1791">
        <v>0</v>
      </c>
      <c r="P1791">
        <v>0</v>
      </c>
      <c r="Q1791">
        <v>0</v>
      </c>
      <c r="R1791">
        <v>0</v>
      </c>
      <c r="S1791">
        <v>0</v>
      </c>
      <c r="T1791">
        <v>0</v>
      </c>
      <c r="U1791">
        <v>0</v>
      </c>
      <c r="V1791">
        <v>0</v>
      </c>
      <c r="W1791">
        <v>0</v>
      </c>
      <c r="X1791">
        <v>10</v>
      </c>
      <c r="Y1791">
        <v>0</v>
      </c>
      <c r="Z1791" cm="1">
        <f t="array" ref="Z1791">MMULT($G1791:$Y1791,'Nelson Factor_2019'!$B$1:$B$19)/$G1791</f>
        <v>3.3391812865497075</v>
      </c>
      <c r="AA1791" cm="1">
        <f t="array" ref="AA1791">MMULT($G1791:$R1791,'Nelson Factor_2019'!$B$1:$B$12)/$G1791</f>
        <v>3.2456140350877192</v>
      </c>
    </row>
    <row r="1792" spans="1:27" x14ac:dyDescent="0.25">
      <c r="A1792">
        <v>2019</v>
      </c>
      <c r="B1792">
        <v>5</v>
      </c>
      <c r="C1792">
        <v>6</v>
      </c>
      <c r="D1792" t="s">
        <v>261</v>
      </c>
      <c r="E1792" t="s">
        <v>245</v>
      </c>
      <c r="F1792" t="s">
        <v>55</v>
      </c>
      <c r="G1792">
        <v>149910</v>
      </c>
      <c r="H1792">
        <v>97185</v>
      </c>
      <c r="I1792">
        <v>47700</v>
      </c>
      <c r="J1792">
        <v>0</v>
      </c>
      <c r="K1792">
        <v>90180</v>
      </c>
      <c r="L1792">
        <v>16200</v>
      </c>
      <c r="M1792">
        <v>20700</v>
      </c>
      <c r="N1792">
        <v>134280</v>
      </c>
      <c r="O1792">
        <v>21780</v>
      </c>
      <c r="P1792">
        <v>0</v>
      </c>
      <c r="Q1792">
        <v>0</v>
      </c>
      <c r="R1792">
        <v>0</v>
      </c>
      <c r="S1792">
        <v>0</v>
      </c>
      <c r="T1792">
        <v>0</v>
      </c>
      <c r="U1792">
        <v>146</v>
      </c>
      <c r="V1792">
        <v>0</v>
      </c>
      <c r="W1792">
        <v>2271</v>
      </c>
      <c r="X1792">
        <v>363</v>
      </c>
      <c r="Y1792">
        <v>0</v>
      </c>
      <c r="Z1792" cm="1">
        <f t="array" ref="Z1792">MMULT($G1792:$Y1792,'Nelson Factor_2019'!$B$1:$B$19)/$G1792</f>
        <v>13.757898072176639</v>
      </c>
      <c r="AA1792" cm="1">
        <f t="array" ref="AA1792">MMULT($G1792:$R1792,'Nelson Factor_2019'!$B$1:$B$12)/$G1792</f>
        <v>13.175775465279168</v>
      </c>
    </row>
    <row r="1793" spans="1:27" x14ac:dyDescent="0.25">
      <c r="A1793">
        <v>2019</v>
      </c>
      <c r="B1793">
        <v>5</v>
      </c>
      <c r="C1793">
        <v>6</v>
      </c>
      <c r="D1793" t="s">
        <v>261</v>
      </c>
      <c r="E1793" t="s">
        <v>362</v>
      </c>
      <c r="F1793" t="s">
        <v>419</v>
      </c>
      <c r="G1793">
        <v>138700</v>
      </c>
      <c r="H1793">
        <v>78000</v>
      </c>
      <c r="I1793">
        <v>48150</v>
      </c>
      <c r="J1793">
        <v>0</v>
      </c>
      <c r="K1793">
        <v>45000</v>
      </c>
      <c r="L1793">
        <v>34000</v>
      </c>
      <c r="M1793">
        <v>24750</v>
      </c>
      <c r="N1793">
        <v>140900</v>
      </c>
      <c r="O1793">
        <v>14400</v>
      </c>
      <c r="P1793">
        <v>0</v>
      </c>
      <c r="Q1793">
        <v>0</v>
      </c>
      <c r="R1793">
        <v>21050</v>
      </c>
      <c r="S1793">
        <v>0</v>
      </c>
      <c r="T1793">
        <v>0</v>
      </c>
      <c r="U1793">
        <v>100</v>
      </c>
      <c r="V1793">
        <v>0</v>
      </c>
      <c r="W1793">
        <v>2000</v>
      </c>
      <c r="X1793">
        <v>340</v>
      </c>
      <c r="Y1793">
        <v>0</v>
      </c>
      <c r="Z1793" cm="1">
        <f t="array" ref="Z1793">MMULT($G1793:$Y1793,'Nelson Factor_2019'!$B$1:$B$19)/$G1793</f>
        <v>13.55677721701514</v>
      </c>
      <c r="AA1793" cm="1">
        <f t="array" ref="AA1793">MMULT($G1793:$R1793,'Nelson Factor_2019'!$B$1:$B$12)/$G1793</f>
        <v>12.96773612112473</v>
      </c>
    </row>
    <row r="1794" spans="1:27" x14ac:dyDescent="0.25">
      <c r="A1794">
        <v>2019</v>
      </c>
      <c r="B1794">
        <v>5</v>
      </c>
      <c r="C1794">
        <v>5</v>
      </c>
      <c r="D1794" t="s">
        <v>261</v>
      </c>
      <c r="E1794" t="s">
        <v>362</v>
      </c>
      <c r="F1794" t="s">
        <v>420</v>
      </c>
      <c r="G1794">
        <v>120000</v>
      </c>
      <c r="H1794">
        <v>87000</v>
      </c>
      <c r="I1794">
        <v>48000</v>
      </c>
      <c r="J1794">
        <v>0</v>
      </c>
      <c r="K1794">
        <v>0</v>
      </c>
      <c r="L1794">
        <v>31000</v>
      </c>
      <c r="M1794">
        <v>62000</v>
      </c>
      <c r="N1794">
        <v>76000</v>
      </c>
      <c r="O1794">
        <v>0</v>
      </c>
      <c r="P1794">
        <v>0</v>
      </c>
      <c r="Q1794">
        <v>0</v>
      </c>
      <c r="R1794">
        <v>9000</v>
      </c>
      <c r="S1794">
        <v>0</v>
      </c>
      <c r="T1794">
        <v>0</v>
      </c>
      <c r="U1794">
        <v>133.5</v>
      </c>
      <c r="V1794">
        <v>0</v>
      </c>
      <c r="W1794">
        <v>2500</v>
      </c>
      <c r="X1794">
        <v>530</v>
      </c>
      <c r="Y1794">
        <v>0</v>
      </c>
      <c r="Z1794" cm="1">
        <f t="array" ref="Z1794">MMULT($G1794:$Y1794,'Nelson Factor_2019'!$B$1:$B$19)/$G1794</f>
        <v>13.236945833333333</v>
      </c>
      <c r="AA1794" cm="1">
        <f t="array" ref="AA1794">MMULT($G1794:$R1794,'Nelson Factor_2019'!$B$1:$B$12)/$G1794</f>
        <v>12.175833333333333</v>
      </c>
    </row>
    <row r="1795" spans="1:27" x14ac:dyDescent="0.25">
      <c r="A1795">
        <v>2019</v>
      </c>
      <c r="B1795">
        <v>5</v>
      </c>
      <c r="C1795">
        <v>6</v>
      </c>
      <c r="D1795" t="s">
        <v>261</v>
      </c>
      <c r="E1795" t="s">
        <v>388</v>
      </c>
      <c r="F1795" t="s">
        <v>62</v>
      </c>
      <c r="G1795">
        <v>150100</v>
      </c>
      <c r="H1795">
        <v>96900</v>
      </c>
      <c r="I1795">
        <v>42750</v>
      </c>
      <c r="J1795">
        <v>0</v>
      </c>
      <c r="K1795">
        <v>64800</v>
      </c>
      <c r="L1795">
        <v>27900</v>
      </c>
      <c r="M1795">
        <v>38070</v>
      </c>
      <c r="N1795">
        <v>241200</v>
      </c>
      <c r="O1795">
        <v>11250</v>
      </c>
      <c r="P1795">
        <v>0</v>
      </c>
      <c r="Q1795">
        <v>0</v>
      </c>
      <c r="R1795">
        <v>13500</v>
      </c>
      <c r="S1795">
        <v>0</v>
      </c>
      <c r="T1795">
        <v>0</v>
      </c>
      <c r="U1795">
        <v>193</v>
      </c>
      <c r="V1795">
        <v>0</v>
      </c>
      <c r="W1795">
        <v>1224</v>
      </c>
      <c r="X1795">
        <v>375</v>
      </c>
      <c r="Y1795">
        <v>0</v>
      </c>
      <c r="Z1795" cm="1">
        <f t="array" ref="Z1795">MMULT($G1795:$Y1795,'Nelson Factor_2019'!$B$1:$B$19)/$G1795</f>
        <v>15.161545636242504</v>
      </c>
      <c r="AA1795" cm="1">
        <f t="array" ref="AA1795">MMULT($G1795:$R1795,'Nelson Factor_2019'!$B$1:$B$12)/$G1795</f>
        <v>14.560659560293137</v>
      </c>
    </row>
    <row r="1796" spans="1:27" x14ac:dyDescent="0.25">
      <c r="A1796">
        <v>2019</v>
      </c>
      <c r="B1796">
        <v>5</v>
      </c>
      <c r="C1796">
        <v>0</v>
      </c>
      <c r="D1796" t="s">
        <v>261</v>
      </c>
      <c r="E1796" t="s">
        <v>60</v>
      </c>
      <c r="F1796" t="s">
        <v>57</v>
      </c>
      <c r="G1796">
        <v>23750</v>
      </c>
      <c r="H1796">
        <v>13585</v>
      </c>
      <c r="I1796">
        <v>0</v>
      </c>
      <c r="J1796">
        <v>4500</v>
      </c>
      <c r="K1796">
        <v>0</v>
      </c>
      <c r="L1796">
        <v>0</v>
      </c>
      <c r="M1796">
        <v>0</v>
      </c>
      <c r="N1796">
        <v>4860</v>
      </c>
      <c r="O1796">
        <v>0</v>
      </c>
      <c r="P1796">
        <v>0</v>
      </c>
      <c r="Q1796">
        <v>1350</v>
      </c>
      <c r="R1796">
        <v>0</v>
      </c>
      <c r="S1796">
        <v>5220</v>
      </c>
      <c r="T1796">
        <v>0</v>
      </c>
      <c r="U1796">
        <v>4</v>
      </c>
      <c r="V1796">
        <v>0</v>
      </c>
      <c r="W1796">
        <v>0</v>
      </c>
      <c r="X1796">
        <v>5</v>
      </c>
      <c r="Y1796">
        <v>7200</v>
      </c>
      <c r="Z1796" cm="1">
        <f t="array" ref="Z1796">MMULT($G1796:$Y1796,'Nelson Factor_2019'!$B$1:$B$19)/$G1796</f>
        <v>17.605873684210525</v>
      </c>
      <c r="AA1796" cm="1">
        <f t="array" ref="AA1796">MMULT($G1796:$R1796,'Nelson Factor_2019'!$B$1:$B$12)/$G1796</f>
        <v>3.9130736842105263</v>
      </c>
    </row>
    <row r="1797" spans="1:27" x14ac:dyDescent="0.25">
      <c r="A1797">
        <v>2019</v>
      </c>
      <c r="B1797">
        <v>5</v>
      </c>
      <c r="C1797">
        <v>6</v>
      </c>
      <c r="D1797" t="s">
        <v>261</v>
      </c>
      <c r="E1797" t="s">
        <v>246</v>
      </c>
      <c r="F1797" t="s">
        <v>52</v>
      </c>
      <c r="G1797">
        <v>363000</v>
      </c>
      <c r="H1797">
        <v>194800</v>
      </c>
      <c r="I1797">
        <v>103700</v>
      </c>
      <c r="J1797">
        <v>0</v>
      </c>
      <c r="K1797">
        <v>97400</v>
      </c>
      <c r="L1797">
        <v>72300</v>
      </c>
      <c r="M1797">
        <v>85300</v>
      </c>
      <c r="N1797">
        <v>276600</v>
      </c>
      <c r="O1797">
        <v>27100</v>
      </c>
      <c r="P1797">
        <v>0</v>
      </c>
      <c r="Q1797">
        <v>0</v>
      </c>
      <c r="R1797">
        <v>56400</v>
      </c>
      <c r="S1797">
        <v>0</v>
      </c>
      <c r="T1797">
        <v>0</v>
      </c>
      <c r="U1797">
        <v>120</v>
      </c>
      <c r="V1797">
        <v>0</v>
      </c>
      <c r="W1797">
        <v>3903</v>
      </c>
      <c r="X1797">
        <v>686</v>
      </c>
      <c r="Y1797">
        <v>0</v>
      </c>
      <c r="Z1797" cm="1">
        <f t="array" ref="Z1797">MMULT($G1797:$Y1797,'Nelson Factor_2019'!$B$1:$B$19)/$G1797</f>
        <v>11.897382920110193</v>
      </c>
      <c r="AA1797" cm="1">
        <f t="array" ref="AA1797">MMULT($G1797:$R1797,'Nelson Factor_2019'!$B$1:$B$12)/$G1797</f>
        <v>11.443498622589532</v>
      </c>
    </row>
    <row r="1798" spans="1:27" x14ac:dyDescent="0.25">
      <c r="A1798">
        <v>2019</v>
      </c>
      <c r="B1798">
        <v>5</v>
      </c>
      <c r="C1798">
        <v>6</v>
      </c>
      <c r="D1798" t="s">
        <v>261</v>
      </c>
      <c r="E1798" t="s">
        <v>246</v>
      </c>
      <c r="F1798" t="s">
        <v>324</v>
      </c>
      <c r="G1798">
        <v>161000</v>
      </c>
      <c r="H1798">
        <v>150700</v>
      </c>
      <c r="I1798">
        <v>49400</v>
      </c>
      <c r="J1798">
        <v>0</v>
      </c>
      <c r="K1798">
        <v>68600</v>
      </c>
      <c r="L1798">
        <v>24700</v>
      </c>
      <c r="M1798">
        <v>34900</v>
      </c>
      <c r="N1798">
        <v>176600</v>
      </c>
      <c r="O1798">
        <v>15200</v>
      </c>
      <c r="P1798">
        <v>0</v>
      </c>
      <c r="Q1798">
        <v>0</v>
      </c>
      <c r="R1798">
        <v>0</v>
      </c>
      <c r="S1798">
        <v>0</v>
      </c>
      <c r="T1798">
        <v>0</v>
      </c>
      <c r="U1798">
        <v>82</v>
      </c>
      <c r="V1798">
        <v>0</v>
      </c>
      <c r="W1798">
        <v>1724</v>
      </c>
      <c r="X1798">
        <v>181</v>
      </c>
      <c r="Y1798">
        <v>0</v>
      </c>
      <c r="Z1798" cm="1">
        <f t="array" ref="Z1798">MMULT($G1798:$Y1798,'Nelson Factor_2019'!$B$1:$B$19)/$G1798</f>
        <v>13.532496894409938</v>
      </c>
      <c r="AA1798" cm="1">
        <f t="array" ref="AA1798">MMULT($G1798:$R1798,'Nelson Factor_2019'!$B$1:$B$12)/$G1798</f>
        <v>13.262173913043478</v>
      </c>
    </row>
    <row r="1799" spans="1:27" x14ac:dyDescent="0.25">
      <c r="A1799">
        <v>2019</v>
      </c>
      <c r="B1799">
        <v>5</v>
      </c>
      <c r="C1799">
        <v>6</v>
      </c>
      <c r="D1799" t="s">
        <v>261</v>
      </c>
      <c r="E1799" t="s">
        <v>66</v>
      </c>
      <c r="F1799" t="s">
        <v>67</v>
      </c>
      <c r="G1799">
        <v>141550</v>
      </c>
      <c r="H1799">
        <v>81225</v>
      </c>
      <c r="I1799">
        <v>26550</v>
      </c>
      <c r="J1799">
        <v>0</v>
      </c>
      <c r="K1799">
        <v>67770</v>
      </c>
      <c r="L1799">
        <v>33480</v>
      </c>
      <c r="M1799">
        <v>30600</v>
      </c>
      <c r="N1799">
        <v>152370</v>
      </c>
      <c r="O1799">
        <v>15390</v>
      </c>
      <c r="P1799">
        <v>0</v>
      </c>
      <c r="Q1799">
        <v>0</v>
      </c>
      <c r="R1799">
        <v>3780</v>
      </c>
      <c r="S1799">
        <v>0</v>
      </c>
      <c r="T1799">
        <v>0</v>
      </c>
      <c r="U1799">
        <v>135</v>
      </c>
      <c r="V1799">
        <v>0</v>
      </c>
      <c r="W1799">
        <v>925</v>
      </c>
      <c r="X1799">
        <v>275</v>
      </c>
      <c r="Y1799">
        <v>8100</v>
      </c>
      <c r="Z1799" cm="1">
        <f t="array" ref="Z1799">MMULT($G1799:$Y1799,'Nelson Factor_2019'!$B$1:$B$19)/$G1799</f>
        <v>13.348904980572236</v>
      </c>
      <c r="AA1799" cm="1">
        <f t="array" ref="AA1799">MMULT($G1799:$R1799,'Nelson Factor_2019'!$B$1:$B$12)/$G1799</f>
        <v>12.795849523136701</v>
      </c>
    </row>
    <row r="1800" spans="1:27" x14ac:dyDescent="0.25">
      <c r="A1800">
        <v>2019</v>
      </c>
      <c r="B1800">
        <v>5</v>
      </c>
      <c r="C1800">
        <v>4</v>
      </c>
      <c r="D1800" t="s">
        <v>261</v>
      </c>
      <c r="E1800" t="s">
        <v>66</v>
      </c>
      <c r="F1800" t="s">
        <v>63</v>
      </c>
      <c r="G1800">
        <v>82650</v>
      </c>
      <c r="H1800">
        <v>43700</v>
      </c>
      <c r="I1800">
        <v>25920</v>
      </c>
      <c r="J1800">
        <v>0</v>
      </c>
      <c r="K1800">
        <v>50670</v>
      </c>
      <c r="L1800">
        <v>16200</v>
      </c>
      <c r="M1800">
        <v>0</v>
      </c>
      <c r="N1800">
        <v>129600</v>
      </c>
      <c r="O1800">
        <v>19800</v>
      </c>
      <c r="P1800">
        <v>0</v>
      </c>
      <c r="Q1800">
        <v>0</v>
      </c>
      <c r="R1800">
        <v>0</v>
      </c>
      <c r="S1800">
        <v>0</v>
      </c>
      <c r="T1800">
        <v>0</v>
      </c>
      <c r="U1800">
        <v>50</v>
      </c>
      <c r="V1800">
        <v>0</v>
      </c>
      <c r="W1800">
        <v>1360</v>
      </c>
      <c r="X1800">
        <v>254</v>
      </c>
      <c r="Y1800">
        <v>0</v>
      </c>
      <c r="Z1800" cm="1">
        <f t="array" ref="Z1800">MMULT($G1800:$Y1800,'Nelson Factor_2019'!$B$1:$B$19)/$G1800</f>
        <v>15.751845130066545</v>
      </c>
      <c r="AA1800" cm="1">
        <f t="array" ref="AA1800">MMULT($G1800:$R1800,'Nelson Factor_2019'!$B$1:$B$12)/$G1800</f>
        <v>15.013672111312765</v>
      </c>
    </row>
    <row r="1801" spans="1:27" x14ac:dyDescent="0.25">
      <c r="A1801">
        <v>2019</v>
      </c>
      <c r="B1801">
        <v>4</v>
      </c>
      <c r="C1801">
        <v>1</v>
      </c>
      <c r="D1801" t="s">
        <v>263</v>
      </c>
      <c r="E1801" t="s">
        <v>394</v>
      </c>
      <c r="F1801" t="s">
        <v>70</v>
      </c>
      <c r="G1801">
        <v>98000</v>
      </c>
      <c r="H1801">
        <v>34200</v>
      </c>
      <c r="I1801">
        <v>0</v>
      </c>
      <c r="J1801">
        <v>0</v>
      </c>
      <c r="K1801">
        <v>30225</v>
      </c>
      <c r="L1801">
        <v>21900</v>
      </c>
      <c r="M1801">
        <v>0</v>
      </c>
      <c r="N1801">
        <v>87800</v>
      </c>
      <c r="O1801">
        <v>0</v>
      </c>
      <c r="P1801">
        <v>0</v>
      </c>
      <c r="Q1801">
        <v>0</v>
      </c>
      <c r="R1801">
        <v>0</v>
      </c>
      <c r="S1801">
        <v>0</v>
      </c>
      <c r="T1801">
        <v>0</v>
      </c>
      <c r="U1801">
        <v>26</v>
      </c>
      <c r="V1801">
        <v>0</v>
      </c>
      <c r="W1801">
        <v>0</v>
      </c>
      <c r="X1801">
        <v>94</v>
      </c>
      <c r="Y1801">
        <v>10500</v>
      </c>
      <c r="Z1801" cm="1">
        <f t="array" ref="Z1801">MMULT($G1801:$Y1801,'Nelson Factor_2019'!$B$1:$B$19)/$G1801</f>
        <v>7.0525102040816323</v>
      </c>
      <c r="AA1801" cm="1">
        <f t="array" ref="AA1801">MMULT($G1801:$R1801,'Nelson Factor_2019'!$B$1:$B$12)/$G1801</f>
        <v>6.6613265306122447</v>
      </c>
    </row>
    <row r="1802" spans="1:27" x14ac:dyDescent="0.25">
      <c r="A1802">
        <v>2019</v>
      </c>
      <c r="B1802">
        <v>1</v>
      </c>
      <c r="C1802">
        <v>6</v>
      </c>
      <c r="D1802" t="s">
        <v>265</v>
      </c>
      <c r="E1802" t="s">
        <v>245</v>
      </c>
      <c r="F1802" t="s">
        <v>74</v>
      </c>
      <c r="G1802">
        <v>180690</v>
      </c>
      <c r="H1802">
        <v>99370</v>
      </c>
      <c r="I1802">
        <v>49050</v>
      </c>
      <c r="J1802">
        <v>0</v>
      </c>
      <c r="K1802">
        <v>77400</v>
      </c>
      <c r="L1802">
        <v>39420</v>
      </c>
      <c r="M1802">
        <v>20070</v>
      </c>
      <c r="N1802">
        <v>135450</v>
      </c>
      <c r="O1802">
        <v>10556</v>
      </c>
      <c r="P1802">
        <v>0</v>
      </c>
      <c r="Q1802">
        <v>4672</v>
      </c>
      <c r="R1802">
        <v>5400</v>
      </c>
      <c r="S1802">
        <v>0</v>
      </c>
      <c r="T1802">
        <v>0</v>
      </c>
      <c r="U1802">
        <v>40</v>
      </c>
      <c r="V1802">
        <v>0</v>
      </c>
      <c r="W1802">
        <v>1852</v>
      </c>
      <c r="X1802">
        <v>541</v>
      </c>
      <c r="Y1802">
        <v>0</v>
      </c>
      <c r="Z1802" cm="1">
        <f t="array" ref="Z1802">MMULT($G1802:$Y1802,'Nelson Factor_2019'!$B$1:$B$19)/$G1802</f>
        <v>12.08429354142454</v>
      </c>
      <c r="AA1802" cm="1">
        <f t="array" ref="AA1802">MMULT($G1802:$R1802,'Nelson Factor_2019'!$B$1:$B$12)/$G1802</f>
        <v>11.365493386463003</v>
      </c>
    </row>
    <row r="1803" spans="1:27" x14ac:dyDescent="0.25">
      <c r="A1803">
        <v>2019</v>
      </c>
      <c r="B1803">
        <v>5</v>
      </c>
      <c r="C1803">
        <v>2</v>
      </c>
      <c r="D1803" t="s">
        <v>266</v>
      </c>
      <c r="E1803" t="s">
        <v>396</v>
      </c>
      <c r="F1803" t="s">
        <v>330</v>
      </c>
      <c r="G1803">
        <v>90250</v>
      </c>
      <c r="H1803">
        <v>38000</v>
      </c>
      <c r="I1803">
        <v>0</v>
      </c>
      <c r="J1803">
        <v>9900</v>
      </c>
      <c r="K1803">
        <v>0</v>
      </c>
      <c r="L1803">
        <v>12150</v>
      </c>
      <c r="M1803">
        <v>18000</v>
      </c>
      <c r="N1803">
        <v>11700</v>
      </c>
      <c r="O1803">
        <v>0</v>
      </c>
      <c r="P1803">
        <v>0</v>
      </c>
      <c r="Q1803">
        <v>0</v>
      </c>
      <c r="R1803">
        <v>0</v>
      </c>
      <c r="S1803">
        <v>0</v>
      </c>
      <c r="T1803">
        <v>0</v>
      </c>
      <c r="U1803">
        <v>18</v>
      </c>
      <c r="V1803">
        <v>0</v>
      </c>
      <c r="W1803">
        <v>0</v>
      </c>
      <c r="X1803">
        <v>34</v>
      </c>
      <c r="Y1803">
        <v>13500</v>
      </c>
      <c r="Z1803" cm="1">
        <f t="array" ref="Z1803">MMULT($G1803:$Y1803,'Nelson Factor_2019'!$B$1:$B$19)/$G1803</f>
        <v>4.7568199445983383</v>
      </c>
      <c r="AA1803" cm="1">
        <f t="array" ref="AA1803">MMULT($G1803:$R1803,'Nelson Factor_2019'!$B$1:$B$12)/$G1803</f>
        <v>4.4418282548476453</v>
      </c>
    </row>
    <row r="1804" spans="1:27" x14ac:dyDescent="0.25">
      <c r="A1804">
        <v>2019</v>
      </c>
      <c r="B1804">
        <v>2</v>
      </c>
      <c r="C1804">
        <v>4</v>
      </c>
      <c r="D1804" t="s">
        <v>267</v>
      </c>
      <c r="E1804" t="s">
        <v>397</v>
      </c>
      <c r="F1804" t="s">
        <v>82</v>
      </c>
      <c r="G1804">
        <v>247000</v>
      </c>
      <c r="H1804">
        <v>120365</v>
      </c>
      <c r="I1804">
        <v>53460</v>
      </c>
      <c r="J1804">
        <v>0</v>
      </c>
      <c r="K1804">
        <v>89370</v>
      </c>
      <c r="L1804">
        <v>47340</v>
      </c>
      <c r="M1804">
        <v>0</v>
      </c>
      <c r="N1804">
        <v>229140</v>
      </c>
      <c r="O1804">
        <v>26190</v>
      </c>
      <c r="P1804">
        <v>0</v>
      </c>
      <c r="Q1804">
        <v>0</v>
      </c>
      <c r="R1804">
        <v>0</v>
      </c>
      <c r="S1804">
        <v>0</v>
      </c>
      <c r="T1804">
        <v>0</v>
      </c>
      <c r="U1804">
        <v>0</v>
      </c>
      <c r="V1804">
        <v>0</v>
      </c>
      <c r="W1804">
        <v>2529</v>
      </c>
      <c r="X1804">
        <v>620</v>
      </c>
      <c r="Y1804">
        <v>13590</v>
      </c>
      <c r="Z1804" cm="1">
        <f t="array" ref="Z1804">MMULT($G1804:$Y1804,'Nelson Factor_2019'!$B$1:$B$19)/$G1804</f>
        <v>10.450524291497976</v>
      </c>
      <c r="AA1804" cm="1">
        <f t="array" ref="AA1804">MMULT($G1804:$R1804,'Nelson Factor_2019'!$B$1:$B$12)/$G1804</f>
        <v>9.7655647773279348</v>
      </c>
    </row>
    <row r="1805" spans="1:27" x14ac:dyDescent="0.25">
      <c r="A1805">
        <v>2019</v>
      </c>
      <c r="B1805">
        <v>2</v>
      </c>
      <c r="C1805">
        <v>6</v>
      </c>
      <c r="D1805" t="s">
        <v>267</v>
      </c>
      <c r="E1805" t="s">
        <v>246</v>
      </c>
      <c r="F1805" t="s">
        <v>84</v>
      </c>
      <c r="G1805">
        <v>245000</v>
      </c>
      <c r="H1805">
        <v>71700</v>
      </c>
      <c r="I1805">
        <v>29000</v>
      </c>
      <c r="J1805">
        <v>0</v>
      </c>
      <c r="K1805">
        <v>51800</v>
      </c>
      <c r="L1805">
        <v>77400</v>
      </c>
      <c r="M1805">
        <v>41800</v>
      </c>
      <c r="N1805">
        <v>199500</v>
      </c>
      <c r="O1805">
        <v>11900</v>
      </c>
      <c r="P1805">
        <v>0</v>
      </c>
      <c r="Q1805">
        <v>3100</v>
      </c>
      <c r="R1805">
        <v>15200</v>
      </c>
      <c r="S1805">
        <v>0</v>
      </c>
      <c r="T1805">
        <v>0</v>
      </c>
      <c r="U1805">
        <v>0</v>
      </c>
      <c r="V1805">
        <v>0</v>
      </c>
      <c r="W1805">
        <v>1360</v>
      </c>
      <c r="X1805">
        <v>175</v>
      </c>
      <c r="Y1805">
        <v>0</v>
      </c>
      <c r="Z1805" cm="1">
        <f t="array" ref="Z1805">MMULT($G1805:$Y1805,'Nelson Factor_2019'!$B$1:$B$19)/$G1805</f>
        <v>9.6133061224489804</v>
      </c>
      <c r="AA1805" cm="1">
        <f t="array" ref="AA1805">MMULT($G1805:$R1805,'Nelson Factor_2019'!$B$1:$B$12)/$G1805</f>
        <v>9.4418775510204078</v>
      </c>
    </row>
    <row r="1806" spans="1:27" x14ac:dyDescent="0.25">
      <c r="A1806">
        <v>2019</v>
      </c>
      <c r="B1806">
        <v>2</v>
      </c>
      <c r="C1806">
        <v>4</v>
      </c>
      <c r="D1806" t="s">
        <v>267</v>
      </c>
      <c r="E1806" t="s">
        <v>421</v>
      </c>
      <c r="F1806" t="s">
        <v>80</v>
      </c>
      <c r="G1806">
        <v>175940</v>
      </c>
      <c r="H1806">
        <v>73340</v>
      </c>
      <c r="I1806">
        <v>36360</v>
      </c>
      <c r="J1806">
        <v>0</v>
      </c>
      <c r="K1806">
        <v>62550</v>
      </c>
      <c r="L1806">
        <v>31410</v>
      </c>
      <c r="M1806">
        <v>0</v>
      </c>
      <c r="N1806">
        <v>202680</v>
      </c>
      <c r="O1806">
        <v>18900</v>
      </c>
      <c r="P1806">
        <v>0</v>
      </c>
      <c r="Q1806">
        <v>8460</v>
      </c>
      <c r="R1806">
        <v>0</v>
      </c>
      <c r="S1806">
        <v>0</v>
      </c>
      <c r="T1806">
        <v>0</v>
      </c>
      <c r="U1806">
        <v>12</v>
      </c>
      <c r="V1806">
        <v>0</v>
      </c>
      <c r="W1806">
        <v>1632</v>
      </c>
      <c r="X1806">
        <v>442</v>
      </c>
      <c r="Y1806">
        <v>0</v>
      </c>
      <c r="Z1806" cm="1">
        <f t="array" ref="Z1806">MMULT($G1806:$Y1806,'Nelson Factor_2019'!$B$1:$B$19)/$G1806</f>
        <v>11.636489712401955</v>
      </c>
      <c r="AA1806" cm="1">
        <f t="array" ref="AA1806">MMULT($G1806:$R1806,'Nelson Factor_2019'!$B$1:$B$12)/$G1806</f>
        <v>11.033488689325907</v>
      </c>
    </row>
    <row r="1807" spans="1:27" x14ac:dyDescent="0.25">
      <c r="A1807">
        <v>2019</v>
      </c>
      <c r="B1807">
        <v>2</v>
      </c>
      <c r="C1807">
        <v>6</v>
      </c>
      <c r="D1807" t="s">
        <v>267</v>
      </c>
      <c r="E1807" t="s">
        <v>377</v>
      </c>
      <c r="F1807" t="s">
        <v>332</v>
      </c>
      <c r="G1807">
        <v>333000</v>
      </c>
      <c r="H1807">
        <v>187000</v>
      </c>
      <c r="I1807">
        <v>75000</v>
      </c>
      <c r="J1807">
        <v>0</v>
      </c>
      <c r="K1807">
        <v>91000</v>
      </c>
      <c r="L1807">
        <v>72000</v>
      </c>
      <c r="M1807">
        <v>50500</v>
      </c>
      <c r="N1807">
        <v>260000</v>
      </c>
      <c r="O1807">
        <v>20000</v>
      </c>
      <c r="P1807">
        <v>0</v>
      </c>
      <c r="Q1807">
        <v>4100</v>
      </c>
      <c r="R1807">
        <v>0</v>
      </c>
      <c r="S1807">
        <v>0</v>
      </c>
      <c r="T1807">
        <v>0</v>
      </c>
      <c r="U1807">
        <v>171</v>
      </c>
      <c r="V1807">
        <v>0</v>
      </c>
      <c r="W1807">
        <v>5100</v>
      </c>
      <c r="X1807">
        <v>825</v>
      </c>
      <c r="Y1807">
        <v>26000</v>
      </c>
      <c r="Z1807" cm="1">
        <f t="array" ref="Z1807">MMULT($G1807:$Y1807,'Nelson Factor_2019'!$B$1:$B$19)/$G1807</f>
        <v>10.864177177177178</v>
      </c>
      <c r="AA1807" cm="1">
        <f t="array" ref="AA1807">MMULT($G1807:$R1807,'Nelson Factor_2019'!$B$1:$B$12)/$G1807</f>
        <v>10.151951951951952</v>
      </c>
    </row>
    <row r="1808" spans="1:27" x14ac:dyDescent="0.25">
      <c r="A1808">
        <v>2019</v>
      </c>
      <c r="B1808">
        <v>2</v>
      </c>
      <c r="C1808">
        <v>4</v>
      </c>
      <c r="D1808" t="s">
        <v>268</v>
      </c>
      <c r="E1808" t="s">
        <v>32</v>
      </c>
      <c r="F1808" t="s">
        <v>86</v>
      </c>
      <c r="G1808">
        <v>418000</v>
      </c>
      <c r="H1808">
        <v>250705</v>
      </c>
      <c r="I1808">
        <v>91800</v>
      </c>
      <c r="J1808">
        <v>0</v>
      </c>
      <c r="K1808">
        <v>159300</v>
      </c>
      <c r="L1808">
        <v>58500</v>
      </c>
      <c r="M1808">
        <v>0</v>
      </c>
      <c r="N1808">
        <v>441450</v>
      </c>
      <c r="O1808">
        <v>28800</v>
      </c>
      <c r="P1808">
        <v>0</v>
      </c>
      <c r="Q1808">
        <v>0</v>
      </c>
      <c r="R1808">
        <v>27270</v>
      </c>
      <c r="S1808">
        <v>0</v>
      </c>
      <c r="T1808">
        <v>0</v>
      </c>
      <c r="U1808">
        <v>30.000000000000004</v>
      </c>
      <c r="V1808">
        <v>0</v>
      </c>
      <c r="W1808">
        <v>6000</v>
      </c>
      <c r="X1808">
        <v>1700</v>
      </c>
      <c r="Y1808">
        <v>26550</v>
      </c>
      <c r="Z1808" cm="1">
        <f t="array" ref="Z1808">MMULT($G1808:$Y1808,'Nelson Factor_2019'!$B$1:$B$19)/$G1808</f>
        <v>11.009584928229666</v>
      </c>
      <c r="AA1808" cm="1">
        <f t="array" ref="AA1808">MMULT($G1808:$R1808,'Nelson Factor_2019'!$B$1:$B$12)/$G1808</f>
        <v>9.9381614832535892</v>
      </c>
    </row>
    <row r="1809" spans="1:27" x14ac:dyDescent="0.25">
      <c r="A1809">
        <v>2019</v>
      </c>
      <c r="B1809">
        <v>2</v>
      </c>
      <c r="C1809">
        <v>1</v>
      </c>
      <c r="D1809" t="s">
        <v>268</v>
      </c>
      <c r="E1809" t="s">
        <v>422</v>
      </c>
      <c r="F1809" t="s">
        <v>88</v>
      </c>
      <c r="G1809">
        <v>29006.747252747253</v>
      </c>
      <c r="H1809">
        <v>12340.787545787545</v>
      </c>
      <c r="I1809">
        <v>0</v>
      </c>
      <c r="J1809">
        <v>0</v>
      </c>
      <c r="K1809">
        <v>7543.9230769230771</v>
      </c>
      <c r="L1809">
        <v>5885.6813186813188</v>
      </c>
      <c r="M1809">
        <v>0</v>
      </c>
      <c r="N1809">
        <v>25664.923076923078</v>
      </c>
      <c r="O1809">
        <v>1694.5934065934066</v>
      </c>
      <c r="P1809">
        <v>0</v>
      </c>
      <c r="Q1809">
        <v>0</v>
      </c>
      <c r="R1809">
        <v>2271.1282051282051</v>
      </c>
      <c r="S1809">
        <v>0</v>
      </c>
      <c r="T1809">
        <v>0</v>
      </c>
      <c r="U1809">
        <v>7.3706300366300406</v>
      </c>
      <c r="V1809">
        <v>0</v>
      </c>
      <c r="W1809">
        <v>0</v>
      </c>
      <c r="X1809">
        <v>6.6561172161172157</v>
      </c>
      <c r="Y1809">
        <v>0</v>
      </c>
      <c r="Z1809" cm="1">
        <f t="array" ref="Z1809">MMULT($G1809:$Y1809,'Nelson Factor_2019'!$B$1:$B$19)/$G1809</f>
        <v>7.2144656355057988</v>
      </c>
      <c r="AA1809" cm="1">
        <f t="array" ref="AA1809">MMULT($G1809:$R1809,'Nelson Factor_2019'!$B$1:$B$12)/$G1809</f>
        <v>7.1591392403081162</v>
      </c>
    </row>
    <row r="1810" spans="1:27" x14ac:dyDescent="0.25">
      <c r="A1810">
        <v>2019</v>
      </c>
      <c r="B1810">
        <v>2</v>
      </c>
      <c r="C1810">
        <v>6</v>
      </c>
      <c r="D1810" t="s">
        <v>269</v>
      </c>
      <c r="E1810" t="s">
        <v>235</v>
      </c>
      <c r="F1810" t="s">
        <v>94</v>
      </c>
      <c r="G1810">
        <v>95000</v>
      </c>
      <c r="H1810">
        <v>36100</v>
      </c>
      <c r="I1810">
        <v>22500</v>
      </c>
      <c r="J1810">
        <v>0</v>
      </c>
      <c r="K1810">
        <v>22050</v>
      </c>
      <c r="L1810">
        <v>21600</v>
      </c>
      <c r="M1810">
        <v>34650</v>
      </c>
      <c r="N1810">
        <v>73080</v>
      </c>
      <c r="O1810">
        <v>8550</v>
      </c>
      <c r="P1810">
        <v>0</v>
      </c>
      <c r="Q1810">
        <v>0</v>
      </c>
      <c r="R1810">
        <v>14220</v>
      </c>
      <c r="S1810">
        <v>0</v>
      </c>
      <c r="T1810">
        <v>0</v>
      </c>
      <c r="U1810">
        <v>34</v>
      </c>
      <c r="V1810">
        <v>0</v>
      </c>
      <c r="W1810">
        <v>593</v>
      </c>
      <c r="X1810">
        <v>152</v>
      </c>
      <c r="Y1810">
        <v>0</v>
      </c>
      <c r="Z1810" cm="1">
        <f t="array" ref="Z1810">MMULT($G1810:$Y1810,'Nelson Factor_2019'!$B$1:$B$19)/$G1810</f>
        <v>12.374252631578948</v>
      </c>
      <c r="AA1810" cm="1">
        <f t="array" ref="AA1810">MMULT($G1810:$R1810,'Nelson Factor_2019'!$B$1:$B$12)/$G1810</f>
        <v>11.989894736842105</v>
      </c>
    </row>
    <row r="1811" spans="1:27" x14ac:dyDescent="0.25">
      <c r="A1811">
        <v>2019</v>
      </c>
      <c r="B1811">
        <v>2</v>
      </c>
      <c r="C1811">
        <v>4</v>
      </c>
      <c r="D1811" t="s">
        <v>269</v>
      </c>
      <c r="E1811" t="s">
        <v>400</v>
      </c>
      <c r="F1811" t="s">
        <v>91</v>
      </c>
      <c r="G1811">
        <v>118750</v>
      </c>
      <c r="H1811">
        <v>43700</v>
      </c>
      <c r="I1811">
        <v>22500</v>
      </c>
      <c r="J1811">
        <v>0</v>
      </c>
      <c r="K1811">
        <v>32400</v>
      </c>
      <c r="L1811">
        <v>23400</v>
      </c>
      <c r="M1811">
        <v>0</v>
      </c>
      <c r="N1811">
        <v>111600</v>
      </c>
      <c r="O1811">
        <v>9000</v>
      </c>
      <c r="P1811">
        <v>0</v>
      </c>
      <c r="Q1811">
        <v>0</v>
      </c>
      <c r="R1811">
        <v>7000</v>
      </c>
      <c r="S1811">
        <v>0</v>
      </c>
      <c r="T1811">
        <v>0</v>
      </c>
      <c r="U1811">
        <v>22</v>
      </c>
      <c r="V1811">
        <v>0</v>
      </c>
      <c r="W1811">
        <v>1183</v>
      </c>
      <c r="X1811">
        <v>208</v>
      </c>
      <c r="Y1811">
        <v>0</v>
      </c>
      <c r="Z1811" cm="1">
        <f t="array" ref="Z1811">MMULT($G1811:$Y1811,'Nelson Factor_2019'!$B$1:$B$19)/$G1811</f>
        <v>9.2265431578947368</v>
      </c>
      <c r="AA1811" cm="1">
        <f t="array" ref="AA1811">MMULT($G1811:$R1811,'Nelson Factor_2019'!$B$1:$B$12)/$G1811</f>
        <v>8.8059789473684216</v>
      </c>
    </row>
    <row r="1812" spans="1:27" x14ac:dyDescent="0.25">
      <c r="A1812">
        <v>2019</v>
      </c>
      <c r="B1812">
        <v>2</v>
      </c>
      <c r="C1812">
        <v>4</v>
      </c>
      <c r="D1812" t="s">
        <v>269</v>
      </c>
      <c r="E1812" t="s">
        <v>251</v>
      </c>
      <c r="F1812" t="s">
        <v>45</v>
      </c>
      <c r="G1812">
        <v>133950</v>
      </c>
      <c r="H1812">
        <v>60800</v>
      </c>
      <c r="I1812">
        <v>17100</v>
      </c>
      <c r="J1812">
        <v>0</v>
      </c>
      <c r="K1812">
        <v>39600</v>
      </c>
      <c r="L1812">
        <v>27900</v>
      </c>
      <c r="M1812">
        <v>0</v>
      </c>
      <c r="N1812">
        <v>170550</v>
      </c>
      <c r="O1812">
        <v>12600</v>
      </c>
      <c r="P1812">
        <v>0</v>
      </c>
      <c r="Q1812">
        <v>0</v>
      </c>
      <c r="R1812">
        <v>14850</v>
      </c>
      <c r="S1812">
        <v>0</v>
      </c>
      <c r="T1812">
        <v>0</v>
      </c>
      <c r="U1812">
        <v>56</v>
      </c>
      <c r="V1812">
        <v>0</v>
      </c>
      <c r="W1812">
        <v>952</v>
      </c>
      <c r="X1812">
        <v>286</v>
      </c>
      <c r="Y1812">
        <v>3600</v>
      </c>
      <c r="Z1812" cm="1">
        <f t="array" ref="Z1812">MMULT($G1812:$Y1812,'Nelson Factor_2019'!$B$1:$B$19)/$G1812</f>
        <v>10.372235908921239</v>
      </c>
      <c r="AA1812" cm="1">
        <f t="array" ref="AA1812">MMULT($G1812:$R1812,'Nelson Factor_2019'!$B$1:$B$12)/$G1812</f>
        <v>9.8190742814483016</v>
      </c>
    </row>
    <row r="1813" spans="1:27" x14ac:dyDescent="0.25">
      <c r="A1813">
        <v>2019</v>
      </c>
      <c r="B1813">
        <v>2</v>
      </c>
      <c r="C1813">
        <v>0</v>
      </c>
      <c r="D1813" t="s">
        <v>270</v>
      </c>
      <c r="E1813" t="s">
        <v>338</v>
      </c>
      <c r="F1813" t="s">
        <v>98</v>
      </c>
      <c r="G1813">
        <v>5985</v>
      </c>
      <c r="H1813">
        <v>0</v>
      </c>
      <c r="I1813">
        <v>0</v>
      </c>
      <c r="J1813">
        <v>0</v>
      </c>
      <c r="K1813">
        <v>0</v>
      </c>
      <c r="L1813">
        <v>1170</v>
      </c>
      <c r="M1813">
        <v>0</v>
      </c>
      <c r="N1813">
        <v>1935</v>
      </c>
      <c r="O1813">
        <v>0</v>
      </c>
      <c r="P1813">
        <v>0</v>
      </c>
      <c r="Q1813">
        <v>0</v>
      </c>
      <c r="R1813">
        <v>0</v>
      </c>
      <c r="S1813">
        <v>0</v>
      </c>
      <c r="T1813">
        <v>0</v>
      </c>
      <c r="U1813">
        <v>0</v>
      </c>
      <c r="V1813">
        <v>0</v>
      </c>
      <c r="W1813">
        <v>0</v>
      </c>
      <c r="X1813">
        <v>0</v>
      </c>
      <c r="Y1813">
        <v>0</v>
      </c>
      <c r="Z1813" cm="1">
        <f t="array" ref="Z1813">MMULT($G1813:$Y1813,'Nelson Factor_2019'!$B$1:$B$19)/$G1813</f>
        <v>2.7857142857142856</v>
      </c>
      <c r="AA1813" cm="1">
        <f t="array" ref="AA1813">MMULT($G1813:$R1813,'Nelson Factor_2019'!$B$1:$B$12)/$G1813</f>
        <v>2.7857142857142856</v>
      </c>
    </row>
    <row r="1814" spans="1:27" x14ac:dyDescent="0.25">
      <c r="A1814">
        <v>2019</v>
      </c>
      <c r="B1814">
        <v>2</v>
      </c>
      <c r="C1814">
        <v>1</v>
      </c>
      <c r="D1814" t="s">
        <v>270</v>
      </c>
      <c r="E1814" t="s">
        <v>246</v>
      </c>
      <c r="F1814" t="s">
        <v>96</v>
      </c>
      <c r="G1814">
        <v>277000</v>
      </c>
      <c r="H1814">
        <v>123500</v>
      </c>
      <c r="I1814">
        <v>0</v>
      </c>
      <c r="J1814">
        <v>0</v>
      </c>
      <c r="K1814">
        <v>98800</v>
      </c>
      <c r="L1814">
        <v>54200</v>
      </c>
      <c r="M1814">
        <v>0</v>
      </c>
      <c r="N1814">
        <v>259900</v>
      </c>
      <c r="O1814">
        <v>20400</v>
      </c>
      <c r="P1814">
        <v>0</v>
      </c>
      <c r="Q1814">
        <v>9500</v>
      </c>
      <c r="R1814">
        <v>16200</v>
      </c>
      <c r="S1814">
        <v>0</v>
      </c>
      <c r="T1814">
        <v>0</v>
      </c>
      <c r="U1814">
        <v>32.299999999999997</v>
      </c>
      <c r="V1814">
        <v>0</v>
      </c>
      <c r="W1814">
        <v>0</v>
      </c>
      <c r="X1814">
        <v>386</v>
      </c>
      <c r="Y1814">
        <v>33600</v>
      </c>
      <c r="Z1814" cm="1">
        <f t="array" ref="Z1814">MMULT($G1814:$Y1814,'Nelson Factor_2019'!$B$1:$B$19)/$G1814</f>
        <v>9.1580227436823094</v>
      </c>
      <c r="AA1814" cm="1">
        <f t="array" ref="AA1814">MMULT($G1814:$R1814,'Nelson Factor_2019'!$B$1:$B$12)/$G1814</f>
        <v>8.6415162454873649</v>
      </c>
    </row>
    <row r="1815" spans="1:27" x14ac:dyDescent="0.25">
      <c r="A1815">
        <v>2019</v>
      </c>
      <c r="B1815">
        <v>3</v>
      </c>
      <c r="C1815">
        <v>1</v>
      </c>
      <c r="D1815" t="s">
        <v>272</v>
      </c>
      <c r="E1815" t="s">
        <v>300</v>
      </c>
      <c r="F1815" t="s">
        <v>120</v>
      </c>
      <c r="G1815">
        <v>78850</v>
      </c>
      <c r="H1815">
        <v>34390</v>
      </c>
      <c r="I1815">
        <v>0</v>
      </c>
      <c r="J1815">
        <v>0</v>
      </c>
      <c r="K1815">
        <v>30600</v>
      </c>
      <c r="L1815">
        <v>11700</v>
      </c>
      <c r="M1815">
        <v>0</v>
      </c>
      <c r="N1815">
        <v>28800</v>
      </c>
      <c r="O1815">
        <v>0</v>
      </c>
      <c r="P1815">
        <v>0</v>
      </c>
      <c r="Q1815">
        <v>0</v>
      </c>
      <c r="R1815">
        <v>5598</v>
      </c>
      <c r="S1815">
        <v>0</v>
      </c>
      <c r="T1815">
        <v>0</v>
      </c>
      <c r="U1815">
        <v>0</v>
      </c>
      <c r="V1815">
        <v>0</v>
      </c>
      <c r="W1815">
        <v>0</v>
      </c>
      <c r="X1815">
        <v>0</v>
      </c>
      <c r="Y1815">
        <v>0</v>
      </c>
      <c r="Z1815" cm="1">
        <f t="array" ref="Z1815">MMULT($G1815:$Y1815,'Nelson Factor_2019'!$B$1:$B$19)/$G1815</f>
        <v>5.7634876347495245</v>
      </c>
      <c r="AA1815" cm="1">
        <f t="array" ref="AA1815">MMULT($G1815:$R1815,'Nelson Factor_2019'!$B$1:$B$12)/$G1815</f>
        <v>5.7634876347495245</v>
      </c>
    </row>
    <row r="1816" spans="1:27" x14ac:dyDescent="0.25">
      <c r="A1816">
        <v>2019</v>
      </c>
      <c r="B1816">
        <v>3</v>
      </c>
      <c r="C1816">
        <v>0</v>
      </c>
      <c r="D1816" t="s">
        <v>272</v>
      </c>
      <c r="E1816" t="s">
        <v>298</v>
      </c>
      <c r="F1816" t="s">
        <v>103</v>
      </c>
      <c r="G1816">
        <v>13300</v>
      </c>
      <c r="H1816">
        <v>0</v>
      </c>
      <c r="I1816">
        <v>0</v>
      </c>
      <c r="J1816">
        <v>0</v>
      </c>
      <c r="K1816">
        <v>0</v>
      </c>
      <c r="L1816">
        <v>0</v>
      </c>
      <c r="M1816">
        <v>0</v>
      </c>
      <c r="N1816">
        <v>5580</v>
      </c>
      <c r="O1816">
        <v>0</v>
      </c>
      <c r="P1816">
        <v>0</v>
      </c>
      <c r="Q1816">
        <v>0</v>
      </c>
      <c r="R1816">
        <v>450</v>
      </c>
      <c r="S1816">
        <v>0</v>
      </c>
      <c r="T1816">
        <v>0</v>
      </c>
      <c r="U1816">
        <v>2</v>
      </c>
      <c r="V1816">
        <v>0</v>
      </c>
      <c r="W1816">
        <v>0</v>
      </c>
      <c r="X1816">
        <v>0</v>
      </c>
      <c r="Y1816">
        <v>0</v>
      </c>
      <c r="Z1816" cm="1">
        <f t="array" ref="Z1816">MMULT($G1816:$Y1816,'Nelson Factor_2019'!$B$1:$B$19)/$G1816</f>
        <v>2.1505263157894738</v>
      </c>
      <c r="AA1816" cm="1">
        <f t="array" ref="AA1816">MMULT($G1816:$R1816,'Nelson Factor_2019'!$B$1:$B$12)/$G1816</f>
        <v>2.1503759398496243</v>
      </c>
    </row>
    <row r="1817" spans="1:27" x14ac:dyDescent="0.25">
      <c r="A1817">
        <v>2019</v>
      </c>
      <c r="B1817">
        <v>3</v>
      </c>
      <c r="C1817">
        <v>2</v>
      </c>
      <c r="D1817" t="s">
        <v>272</v>
      </c>
      <c r="E1817" t="s">
        <v>298</v>
      </c>
      <c r="F1817" t="s">
        <v>104</v>
      </c>
      <c r="G1817">
        <v>8222</v>
      </c>
      <c r="H1817">
        <v>6650</v>
      </c>
      <c r="I1817">
        <v>0</v>
      </c>
      <c r="J1817">
        <v>0</v>
      </c>
      <c r="K1817">
        <v>0</v>
      </c>
      <c r="L1817">
        <v>0</v>
      </c>
      <c r="M1817">
        <v>8000</v>
      </c>
      <c r="N1817">
        <v>0</v>
      </c>
      <c r="O1817">
        <v>0</v>
      </c>
      <c r="P1817">
        <v>0</v>
      </c>
      <c r="Q1817">
        <v>0</v>
      </c>
      <c r="R1817">
        <v>0</v>
      </c>
      <c r="S1817">
        <v>6300</v>
      </c>
      <c r="T1817">
        <v>0</v>
      </c>
      <c r="U1817">
        <v>4</v>
      </c>
      <c r="V1817">
        <v>0</v>
      </c>
      <c r="W1817">
        <v>0</v>
      </c>
      <c r="X1817">
        <v>3</v>
      </c>
      <c r="Y1817">
        <v>1800</v>
      </c>
      <c r="Z1817" cm="1">
        <f t="array" ref="Z1817">MMULT($G1817:$Y1817,'Nelson Factor_2019'!$B$1:$B$19)/$G1817</f>
        <v>56.226100705424471</v>
      </c>
      <c r="AA1817" cm="1">
        <f t="array" ref="AA1817">MMULT($G1817:$R1817,'Nelson Factor_2019'!$B$1:$B$12)/$G1817</f>
        <v>9.8354414984188754</v>
      </c>
    </row>
    <row r="1818" spans="1:27" x14ac:dyDescent="0.25">
      <c r="A1818">
        <v>2019</v>
      </c>
      <c r="B1818">
        <v>3</v>
      </c>
      <c r="C1818">
        <v>2</v>
      </c>
      <c r="D1818" t="s">
        <v>272</v>
      </c>
      <c r="E1818" t="s">
        <v>298</v>
      </c>
      <c r="F1818" t="s">
        <v>105</v>
      </c>
      <c r="G1818">
        <v>57000</v>
      </c>
      <c r="H1818">
        <v>26600</v>
      </c>
      <c r="I1818">
        <v>0</v>
      </c>
      <c r="J1818">
        <v>0</v>
      </c>
      <c r="K1818">
        <v>0</v>
      </c>
      <c r="L1818">
        <v>10800</v>
      </c>
      <c r="M1818">
        <v>8500</v>
      </c>
      <c r="N1818">
        <v>47070</v>
      </c>
      <c r="O1818">
        <v>0</v>
      </c>
      <c r="P1818">
        <v>0</v>
      </c>
      <c r="Q1818">
        <v>0</v>
      </c>
      <c r="R1818">
        <v>0</v>
      </c>
      <c r="S1818">
        <v>11250</v>
      </c>
      <c r="T1818">
        <v>0</v>
      </c>
      <c r="U1818">
        <v>12</v>
      </c>
      <c r="V1818">
        <v>0</v>
      </c>
      <c r="W1818">
        <v>0</v>
      </c>
      <c r="X1818">
        <v>36</v>
      </c>
      <c r="Y1818">
        <v>5850</v>
      </c>
      <c r="Z1818" cm="1">
        <f t="array" ref="Z1818">MMULT($G1818:$Y1818,'Nelson Factor_2019'!$B$1:$B$19)/$G1818</f>
        <v>17.959333333333333</v>
      </c>
      <c r="AA1818" cm="1">
        <f t="array" ref="AA1818">MMULT($G1818:$R1818,'Nelson Factor_2019'!$B$1:$B$12)/$G1818</f>
        <v>5.8114912280701754</v>
      </c>
    </row>
    <row r="1819" spans="1:27" x14ac:dyDescent="0.25">
      <c r="A1819">
        <v>2019</v>
      </c>
      <c r="B1819">
        <v>3</v>
      </c>
      <c r="C1819">
        <v>2</v>
      </c>
      <c r="D1819" t="s">
        <v>272</v>
      </c>
      <c r="E1819" t="s">
        <v>401</v>
      </c>
      <c r="F1819" t="s">
        <v>423</v>
      </c>
      <c r="G1819">
        <v>109000</v>
      </c>
      <c r="H1819">
        <v>0</v>
      </c>
      <c r="I1819">
        <v>0</v>
      </c>
      <c r="J1819">
        <v>0</v>
      </c>
      <c r="K1819">
        <v>0</v>
      </c>
      <c r="L1819">
        <v>6000</v>
      </c>
      <c r="M1819">
        <v>28000</v>
      </c>
      <c r="N1819">
        <v>38000</v>
      </c>
      <c r="O1819">
        <v>0</v>
      </c>
      <c r="P1819">
        <v>0</v>
      </c>
      <c r="Q1819">
        <v>0</v>
      </c>
      <c r="R1819">
        <v>0</v>
      </c>
      <c r="S1819">
        <v>0</v>
      </c>
      <c r="T1819">
        <v>0</v>
      </c>
      <c r="U1819">
        <v>0</v>
      </c>
      <c r="V1819">
        <v>0</v>
      </c>
      <c r="W1819">
        <v>0</v>
      </c>
      <c r="X1819">
        <v>0</v>
      </c>
      <c r="Y1819">
        <v>0</v>
      </c>
      <c r="Z1819" cm="1">
        <f t="array" ref="Z1819">MMULT($G1819:$Y1819,'Nelson Factor_2019'!$B$1:$B$19)/$G1819</f>
        <v>4.2018348623853212</v>
      </c>
      <c r="AA1819" cm="1">
        <f t="array" ref="AA1819">MMULT($G1819:$R1819,'Nelson Factor_2019'!$B$1:$B$12)/$G1819</f>
        <v>4.2018348623853212</v>
      </c>
    </row>
    <row r="1820" spans="1:27" x14ac:dyDescent="0.25">
      <c r="A1820">
        <v>2019</v>
      </c>
      <c r="B1820">
        <v>3</v>
      </c>
      <c r="C1820">
        <v>6</v>
      </c>
      <c r="D1820" t="s">
        <v>272</v>
      </c>
      <c r="E1820" t="s">
        <v>397</v>
      </c>
      <c r="F1820" t="s">
        <v>109</v>
      </c>
      <c r="G1820">
        <v>497040</v>
      </c>
      <c r="H1820">
        <v>233795</v>
      </c>
      <c r="I1820">
        <v>111150</v>
      </c>
      <c r="J1820">
        <v>0</v>
      </c>
      <c r="K1820">
        <v>220050</v>
      </c>
      <c r="L1820">
        <v>68400</v>
      </c>
      <c r="M1820">
        <v>24300</v>
      </c>
      <c r="N1820">
        <v>464850</v>
      </c>
      <c r="O1820">
        <v>36900</v>
      </c>
      <c r="P1820">
        <v>0</v>
      </c>
      <c r="Q1820">
        <v>0</v>
      </c>
      <c r="R1820">
        <v>0</v>
      </c>
      <c r="S1820">
        <v>14850</v>
      </c>
      <c r="T1820">
        <v>0</v>
      </c>
      <c r="U1820">
        <v>0</v>
      </c>
      <c r="V1820">
        <v>0</v>
      </c>
      <c r="W1820">
        <v>4287</v>
      </c>
      <c r="X1820">
        <v>726</v>
      </c>
      <c r="Y1820">
        <v>0</v>
      </c>
      <c r="Z1820" cm="1">
        <f t="array" ref="Z1820">MMULT($G1820:$Y1820,'Nelson Factor_2019'!$B$1:$B$19)/$G1820</f>
        <v>12.247834178335747</v>
      </c>
      <c r="AA1820" cm="1">
        <f t="array" ref="AA1820">MMULT($G1820:$R1820,'Nelson Factor_2019'!$B$1:$B$12)/$G1820</f>
        <v>10.104666626428456</v>
      </c>
    </row>
    <row r="1821" spans="1:27" x14ac:dyDescent="0.25">
      <c r="A1821">
        <v>2019</v>
      </c>
      <c r="B1821">
        <v>3</v>
      </c>
      <c r="C1821">
        <v>6</v>
      </c>
      <c r="D1821" t="s">
        <v>272</v>
      </c>
      <c r="E1821" t="s">
        <v>246</v>
      </c>
      <c r="F1821" t="s">
        <v>111</v>
      </c>
      <c r="G1821">
        <v>564000</v>
      </c>
      <c r="H1821">
        <v>281300</v>
      </c>
      <c r="I1821">
        <v>89800</v>
      </c>
      <c r="J1821">
        <v>0</v>
      </c>
      <c r="K1821">
        <v>137800</v>
      </c>
      <c r="L1821">
        <v>129700</v>
      </c>
      <c r="M1821">
        <v>116900</v>
      </c>
      <c r="N1821">
        <v>571500</v>
      </c>
      <c r="O1821">
        <v>35600</v>
      </c>
      <c r="P1821">
        <v>0</v>
      </c>
      <c r="Q1821">
        <v>0</v>
      </c>
      <c r="R1821">
        <v>47100</v>
      </c>
      <c r="S1821">
        <v>0</v>
      </c>
      <c r="T1821">
        <v>0</v>
      </c>
      <c r="U1821">
        <v>114</v>
      </c>
      <c r="V1821">
        <v>0</v>
      </c>
      <c r="W1821">
        <v>5735</v>
      </c>
      <c r="X1821">
        <v>1274</v>
      </c>
      <c r="Y1821">
        <v>31400</v>
      </c>
      <c r="Z1821" cm="1">
        <f t="array" ref="Z1821">MMULT($G1821:$Y1821,'Nelson Factor_2019'!$B$1:$B$19)/$G1821</f>
        <v>11.157294326241134</v>
      </c>
      <c r="AA1821" cm="1">
        <f t="array" ref="AA1821">MMULT($G1821:$R1821,'Nelson Factor_2019'!$B$1:$B$12)/$G1821</f>
        <v>10.53145390070922</v>
      </c>
    </row>
    <row r="1822" spans="1:27" x14ac:dyDescent="0.25">
      <c r="A1822">
        <v>2019</v>
      </c>
      <c r="B1822">
        <v>3</v>
      </c>
      <c r="C1822">
        <v>3</v>
      </c>
      <c r="D1822" t="s">
        <v>272</v>
      </c>
      <c r="E1822" t="s">
        <v>388</v>
      </c>
      <c r="F1822" t="s">
        <v>113</v>
      </c>
      <c r="G1822">
        <v>242250</v>
      </c>
      <c r="H1822">
        <v>110500</v>
      </c>
      <c r="I1822">
        <v>0</v>
      </c>
      <c r="J1822">
        <v>0</v>
      </c>
      <c r="K1822">
        <v>82800</v>
      </c>
      <c r="L1822">
        <v>36000</v>
      </c>
      <c r="M1822">
        <v>45000</v>
      </c>
      <c r="N1822">
        <v>229800</v>
      </c>
      <c r="O1822">
        <v>15300</v>
      </c>
      <c r="P1822">
        <v>0</v>
      </c>
      <c r="Q1822">
        <v>0</v>
      </c>
      <c r="R1822">
        <v>11700</v>
      </c>
      <c r="S1822">
        <v>0</v>
      </c>
      <c r="T1822">
        <v>0</v>
      </c>
      <c r="U1822">
        <v>0</v>
      </c>
      <c r="V1822">
        <v>0</v>
      </c>
      <c r="W1822">
        <v>0</v>
      </c>
      <c r="X1822">
        <v>660</v>
      </c>
      <c r="Y1822">
        <v>0</v>
      </c>
      <c r="Z1822" cm="1">
        <f t="array" ref="Z1822">MMULT($G1822:$Y1822,'Nelson Factor_2019'!$B$1:$B$19)/$G1822</f>
        <v>9.6747162022703819</v>
      </c>
      <c r="AA1822" cm="1">
        <f t="array" ref="AA1822">MMULT($G1822:$R1822,'Nelson Factor_2019'!$B$1:$B$12)/$G1822</f>
        <v>9.0208462332301345</v>
      </c>
    </row>
    <row r="1823" spans="1:27" x14ac:dyDescent="0.25">
      <c r="A1823">
        <v>2019</v>
      </c>
      <c r="B1823">
        <v>3</v>
      </c>
      <c r="C1823">
        <v>6</v>
      </c>
      <c r="D1823" t="s">
        <v>272</v>
      </c>
      <c r="E1823" t="s">
        <v>388</v>
      </c>
      <c r="F1823" t="s">
        <v>114</v>
      </c>
      <c r="G1823">
        <v>237500</v>
      </c>
      <c r="H1823">
        <v>86700</v>
      </c>
      <c r="I1823">
        <v>25000</v>
      </c>
      <c r="J1823">
        <v>0</v>
      </c>
      <c r="K1823">
        <v>106900</v>
      </c>
      <c r="L1823">
        <v>36000</v>
      </c>
      <c r="M1823">
        <v>39600</v>
      </c>
      <c r="N1823">
        <v>97700</v>
      </c>
      <c r="O1823">
        <v>15100</v>
      </c>
      <c r="P1823">
        <v>0</v>
      </c>
      <c r="Q1823">
        <v>0</v>
      </c>
      <c r="R1823">
        <v>0</v>
      </c>
      <c r="S1823">
        <v>0</v>
      </c>
      <c r="T1823">
        <v>0</v>
      </c>
      <c r="U1823">
        <v>0</v>
      </c>
      <c r="V1823">
        <v>0</v>
      </c>
      <c r="W1823">
        <v>1020</v>
      </c>
      <c r="X1823">
        <v>150</v>
      </c>
      <c r="Y1823">
        <v>0</v>
      </c>
      <c r="Z1823" cm="1">
        <f t="array" ref="Z1823">MMULT($G1823:$Y1823,'Nelson Factor_2019'!$B$1:$B$19)/$G1823</f>
        <v>8.8722526315789469</v>
      </c>
      <c r="AA1823" cm="1">
        <f t="array" ref="AA1823">MMULT($G1823:$R1823,'Nelson Factor_2019'!$B$1:$B$12)/$G1823</f>
        <v>8.7206736842105261</v>
      </c>
    </row>
    <row r="1824" spans="1:27" x14ac:dyDescent="0.25">
      <c r="A1824">
        <v>2019</v>
      </c>
      <c r="B1824">
        <v>3</v>
      </c>
      <c r="C1824">
        <v>4</v>
      </c>
      <c r="D1824" t="s">
        <v>272</v>
      </c>
      <c r="E1824" t="s">
        <v>245</v>
      </c>
      <c r="F1824" t="s">
        <v>110</v>
      </c>
      <c r="G1824">
        <v>187150</v>
      </c>
      <c r="H1824">
        <v>160550</v>
      </c>
      <c r="I1824">
        <v>25200</v>
      </c>
      <c r="J1824">
        <v>0</v>
      </c>
      <c r="K1824">
        <v>68040</v>
      </c>
      <c r="L1824">
        <v>20430</v>
      </c>
      <c r="M1824">
        <v>0</v>
      </c>
      <c r="N1824">
        <v>146700</v>
      </c>
      <c r="O1824">
        <v>15120</v>
      </c>
      <c r="P1824">
        <v>0</v>
      </c>
      <c r="Q1824">
        <v>9450</v>
      </c>
      <c r="R1824">
        <v>0</v>
      </c>
      <c r="S1824">
        <v>0</v>
      </c>
      <c r="T1824">
        <v>0</v>
      </c>
      <c r="U1824">
        <v>0</v>
      </c>
      <c r="V1824">
        <v>0</v>
      </c>
      <c r="W1824">
        <v>1224</v>
      </c>
      <c r="X1824">
        <v>835</v>
      </c>
      <c r="Y1824">
        <v>0</v>
      </c>
      <c r="Z1824" cm="1">
        <f t="array" ref="Z1824">MMULT($G1824:$Y1824,'Nelson Factor_2019'!$B$1:$B$19)/$G1824</f>
        <v>10.700534330750735</v>
      </c>
      <c r="AA1824" cm="1">
        <f t="array" ref="AA1824">MMULT($G1824:$R1824,'Nelson Factor_2019'!$B$1:$B$12)/$G1824</f>
        <v>9.6297355062783865</v>
      </c>
    </row>
    <row r="1825" spans="1:27" x14ac:dyDescent="0.25">
      <c r="A1825">
        <v>2019</v>
      </c>
      <c r="B1825">
        <v>3</v>
      </c>
      <c r="C1825">
        <v>6</v>
      </c>
      <c r="D1825" t="s">
        <v>272</v>
      </c>
      <c r="E1825" t="s">
        <v>421</v>
      </c>
      <c r="F1825" t="s">
        <v>101</v>
      </c>
      <c r="G1825">
        <v>418000</v>
      </c>
      <c r="H1825">
        <v>218500</v>
      </c>
      <c r="I1825">
        <v>99000</v>
      </c>
      <c r="J1825">
        <v>0</v>
      </c>
      <c r="K1825">
        <v>135900</v>
      </c>
      <c r="L1825">
        <v>101520</v>
      </c>
      <c r="M1825">
        <v>42660</v>
      </c>
      <c r="N1825">
        <v>363780</v>
      </c>
      <c r="O1825">
        <v>23760</v>
      </c>
      <c r="P1825">
        <v>0</v>
      </c>
      <c r="Q1825">
        <v>18810</v>
      </c>
      <c r="R1825">
        <v>25200</v>
      </c>
      <c r="S1825">
        <v>0</v>
      </c>
      <c r="T1825">
        <v>0</v>
      </c>
      <c r="U1825">
        <v>0</v>
      </c>
      <c r="V1825">
        <v>0</v>
      </c>
      <c r="W1825">
        <v>4080</v>
      </c>
      <c r="X1825">
        <v>650</v>
      </c>
      <c r="Y1825">
        <v>0</v>
      </c>
      <c r="Z1825" cm="1">
        <f t="array" ref="Z1825">MMULT($G1825:$Y1825,'Nelson Factor_2019'!$B$1:$B$19)/$G1825</f>
        <v>11.635598086124402</v>
      </c>
      <c r="AA1825" cm="1">
        <f t="array" ref="AA1825">MMULT($G1825:$R1825,'Nelson Factor_2019'!$B$1:$B$12)/$G1825</f>
        <v>11.262392344497608</v>
      </c>
    </row>
    <row r="1826" spans="1:27" x14ac:dyDescent="0.25">
      <c r="A1826">
        <v>2019</v>
      </c>
      <c r="B1826">
        <v>3</v>
      </c>
      <c r="C1826">
        <v>4</v>
      </c>
      <c r="D1826" t="s">
        <v>272</v>
      </c>
      <c r="E1826" t="s">
        <v>362</v>
      </c>
      <c r="F1826" t="s">
        <v>107</v>
      </c>
      <c r="G1826">
        <v>250000</v>
      </c>
      <c r="H1826">
        <v>99000</v>
      </c>
      <c r="I1826">
        <v>23400</v>
      </c>
      <c r="J1826">
        <v>0</v>
      </c>
      <c r="K1826">
        <v>94500</v>
      </c>
      <c r="L1826">
        <v>43600</v>
      </c>
      <c r="M1826">
        <v>0</v>
      </c>
      <c r="N1826">
        <v>210300</v>
      </c>
      <c r="O1826">
        <v>31500</v>
      </c>
      <c r="P1826">
        <v>0</v>
      </c>
      <c r="Q1826">
        <v>38100</v>
      </c>
      <c r="R1826">
        <v>0</v>
      </c>
      <c r="S1826">
        <v>0</v>
      </c>
      <c r="T1826">
        <v>0</v>
      </c>
      <c r="U1826">
        <v>10.4</v>
      </c>
      <c r="V1826">
        <v>0</v>
      </c>
      <c r="W1826">
        <v>1100</v>
      </c>
      <c r="X1826">
        <v>80</v>
      </c>
      <c r="Y1826">
        <v>0</v>
      </c>
      <c r="Z1826" cm="1">
        <f t="array" ref="Z1826">MMULT($G1826:$Y1826,'Nelson Factor_2019'!$B$1:$B$19)/$G1826</f>
        <v>11.844641599999999</v>
      </c>
      <c r="AA1826" cm="1">
        <f t="array" ref="AA1826">MMULT($G1826:$R1826,'Nelson Factor_2019'!$B$1:$B$12)/$G1826</f>
        <v>11.767799999999999</v>
      </c>
    </row>
    <row r="1827" spans="1:27" x14ac:dyDescent="0.25">
      <c r="A1827">
        <v>2019</v>
      </c>
      <c r="B1827">
        <v>3</v>
      </c>
      <c r="C1827">
        <v>4</v>
      </c>
      <c r="D1827" t="s">
        <v>272</v>
      </c>
      <c r="E1827" t="s">
        <v>362</v>
      </c>
      <c r="F1827" t="s">
        <v>108</v>
      </c>
      <c r="G1827">
        <v>249000</v>
      </c>
      <c r="H1827">
        <v>110600</v>
      </c>
      <c r="I1827">
        <v>61000</v>
      </c>
      <c r="J1827">
        <v>10600</v>
      </c>
      <c r="K1827">
        <v>46900</v>
      </c>
      <c r="L1827">
        <v>43200</v>
      </c>
      <c r="M1827">
        <v>0</v>
      </c>
      <c r="N1827">
        <v>246400</v>
      </c>
      <c r="O1827">
        <v>8000</v>
      </c>
      <c r="P1827">
        <v>0</v>
      </c>
      <c r="Q1827">
        <v>0</v>
      </c>
      <c r="R1827">
        <v>0</v>
      </c>
      <c r="S1827">
        <v>0</v>
      </c>
      <c r="T1827">
        <v>0</v>
      </c>
      <c r="U1827">
        <v>127</v>
      </c>
      <c r="V1827">
        <v>0</v>
      </c>
      <c r="W1827">
        <v>3600</v>
      </c>
      <c r="X1827">
        <v>337</v>
      </c>
      <c r="Y1827">
        <v>4700</v>
      </c>
      <c r="Z1827" cm="1">
        <f t="array" ref="Z1827">MMULT($G1827:$Y1827,'Nelson Factor_2019'!$B$1:$B$19)/$G1827</f>
        <v>8.6782610441767076</v>
      </c>
      <c r="AA1827" cm="1">
        <f t="array" ref="AA1827">MMULT($G1827:$R1827,'Nelson Factor_2019'!$B$1:$B$12)/$G1827</f>
        <v>8.3246184738955815</v>
      </c>
    </row>
    <row r="1828" spans="1:27" x14ac:dyDescent="0.25">
      <c r="A1828">
        <v>2019</v>
      </c>
      <c r="B1828">
        <v>3</v>
      </c>
      <c r="C1828">
        <v>1</v>
      </c>
      <c r="D1828" t="s">
        <v>272</v>
      </c>
      <c r="E1828" t="s">
        <v>117</v>
      </c>
      <c r="F1828" t="s">
        <v>118</v>
      </c>
      <c r="G1828">
        <v>82000</v>
      </c>
      <c r="H1828">
        <v>27000</v>
      </c>
      <c r="I1828">
        <v>0</v>
      </c>
      <c r="J1828">
        <v>0</v>
      </c>
      <c r="K1828">
        <v>26000</v>
      </c>
      <c r="L1828">
        <v>11000</v>
      </c>
      <c r="M1828">
        <v>0</v>
      </c>
      <c r="N1828">
        <v>56000</v>
      </c>
      <c r="O1828">
        <v>7500</v>
      </c>
      <c r="P1828">
        <v>0</v>
      </c>
      <c r="Q1828">
        <v>0</v>
      </c>
      <c r="R1828">
        <v>0</v>
      </c>
      <c r="S1828">
        <v>0</v>
      </c>
      <c r="T1828">
        <v>0</v>
      </c>
      <c r="U1828">
        <v>0</v>
      </c>
      <c r="V1828">
        <v>0</v>
      </c>
      <c r="W1828">
        <v>0</v>
      </c>
      <c r="X1828">
        <v>50</v>
      </c>
      <c r="Y1828">
        <v>0</v>
      </c>
      <c r="Z1828" cm="1">
        <f t="array" ref="Z1828">MMULT($G1828:$Y1828,'Nelson Factor_2019'!$B$1:$B$19)/$G1828</f>
        <v>6.7695121951219512</v>
      </c>
      <c r="AA1828" cm="1">
        <f t="array" ref="AA1828">MMULT($G1828:$R1828,'Nelson Factor_2019'!$B$1:$B$12)/$G1828</f>
        <v>6.623170731707317</v>
      </c>
    </row>
    <row r="1829" spans="1:27" x14ac:dyDescent="0.25">
      <c r="A1829">
        <v>2019</v>
      </c>
      <c r="B1829">
        <v>3</v>
      </c>
      <c r="C1829">
        <v>0</v>
      </c>
      <c r="D1829" t="s">
        <v>272</v>
      </c>
      <c r="E1829" t="s">
        <v>388</v>
      </c>
      <c r="F1829" t="s">
        <v>346</v>
      </c>
      <c r="G1829">
        <v>43700</v>
      </c>
      <c r="H1829">
        <v>23750</v>
      </c>
      <c r="I1829">
        <v>0</v>
      </c>
      <c r="J1829">
        <v>0</v>
      </c>
      <c r="K1829">
        <v>0</v>
      </c>
      <c r="L1829">
        <v>0</v>
      </c>
      <c r="M1829">
        <v>0</v>
      </c>
      <c r="N1829">
        <v>0</v>
      </c>
      <c r="O1829">
        <v>0</v>
      </c>
      <c r="P1829">
        <v>0</v>
      </c>
      <c r="Q1829">
        <v>0</v>
      </c>
      <c r="R1829">
        <v>0</v>
      </c>
      <c r="S1829">
        <v>0</v>
      </c>
      <c r="T1829">
        <v>0</v>
      </c>
      <c r="U1829">
        <v>0</v>
      </c>
      <c r="V1829">
        <v>0</v>
      </c>
      <c r="W1829">
        <v>0</v>
      </c>
      <c r="X1829">
        <v>0</v>
      </c>
      <c r="Y1829">
        <v>11700</v>
      </c>
      <c r="Z1829" cm="1">
        <f t="array" ref="Z1829">MMULT($G1829:$Y1829,'Nelson Factor_2019'!$B$1:$B$19)/$G1829</f>
        <v>2.1081235697940501</v>
      </c>
      <c r="AA1829" cm="1">
        <f t="array" ref="AA1829">MMULT($G1829:$R1829,'Nelson Factor_2019'!$B$1:$B$12)/$G1829</f>
        <v>1.7065217391304348</v>
      </c>
    </row>
    <row r="1830" spans="1:27" x14ac:dyDescent="0.25">
      <c r="A1830">
        <v>2019</v>
      </c>
      <c r="B1830">
        <v>3</v>
      </c>
      <c r="C1830">
        <v>0</v>
      </c>
      <c r="D1830" t="s">
        <v>272</v>
      </c>
      <c r="E1830" t="s">
        <v>403</v>
      </c>
      <c r="F1830" t="s">
        <v>101</v>
      </c>
      <c r="G1830">
        <v>85500</v>
      </c>
      <c r="H1830">
        <v>28500</v>
      </c>
      <c r="I1830">
        <v>0</v>
      </c>
      <c r="J1830">
        <v>0</v>
      </c>
      <c r="K1830">
        <v>0</v>
      </c>
      <c r="L1830">
        <v>0</v>
      </c>
      <c r="M1830">
        <v>0</v>
      </c>
      <c r="N1830">
        <v>0</v>
      </c>
      <c r="O1830">
        <v>0</v>
      </c>
      <c r="P1830">
        <v>0</v>
      </c>
      <c r="Q1830">
        <v>0</v>
      </c>
      <c r="R1830">
        <v>3150</v>
      </c>
      <c r="S1830">
        <v>0</v>
      </c>
      <c r="T1830">
        <v>0</v>
      </c>
      <c r="U1830">
        <v>0</v>
      </c>
      <c r="V1830">
        <v>0</v>
      </c>
      <c r="W1830">
        <v>0</v>
      </c>
      <c r="X1830">
        <v>0</v>
      </c>
      <c r="Y1830">
        <v>0</v>
      </c>
      <c r="Z1830" cm="1">
        <f t="array" ref="Z1830">MMULT($G1830:$Y1830,'Nelson Factor_2019'!$B$1:$B$19)/$G1830</f>
        <v>1.5438596491228069</v>
      </c>
      <c r="AA1830" cm="1">
        <f t="array" ref="AA1830">MMULT($G1830:$R1830,'Nelson Factor_2019'!$B$1:$B$12)/$G1830</f>
        <v>1.5438596491228069</v>
      </c>
    </row>
    <row r="1831" spans="1:27" x14ac:dyDescent="0.25">
      <c r="A1831">
        <v>2019</v>
      </c>
      <c r="B1831">
        <v>3</v>
      </c>
      <c r="C1831">
        <v>2</v>
      </c>
      <c r="D1831" t="s">
        <v>272</v>
      </c>
      <c r="E1831" t="s">
        <v>66</v>
      </c>
      <c r="F1831" t="s">
        <v>116</v>
      </c>
      <c r="G1831">
        <v>121600</v>
      </c>
      <c r="H1831">
        <v>57000</v>
      </c>
      <c r="I1831">
        <v>0</v>
      </c>
      <c r="J1831">
        <v>0</v>
      </c>
      <c r="K1831">
        <v>0</v>
      </c>
      <c r="L1831">
        <v>28800</v>
      </c>
      <c r="M1831">
        <v>43830</v>
      </c>
      <c r="N1831">
        <v>84690</v>
      </c>
      <c r="O1831">
        <v>0</v>
      </c>
      <c r="P1831">
        <v>0</v>
      </c>
      <c r="Q1831">
        <v>0</v>
      </c>
      <c r="R1831">
        <v>0</v>
      </c>
      <c r="S1831">
        <v>0</v>
      </c>
      <c r="T1831">
        <v>0</v>
      </c>
      <c r="U1831">
        <v>0</v>
      </c>
      <c r="V1831">
        <v>0</v>
      </c>
      <c r="W1831">
        <v>0</v>
      </c>
      <c r="X1831">
        <v>203</v>
      </c>
      <c r="Y1831">
        <v>0</v>
      </c>
      <c r="Z1831" cm="1">
        <f t="array" ref="Z1831">MMULT($G1831:$Y1831,'Nelson Factor_2019'!$B$1:$B$19)/$G1831</f>
        <v>7.8189555921052634</v>
      </c>
      <c r="AA1831" cm="1">
        <f t="array" ref="AA1831">MMULT($G1831:$R1831,'Nelson Factor_2019'!$B$1:$B$12)/$G1831</f>
        <v>7.4182976973684207</v>
      </c>
    </row>
    <row r="1832" spans="1:27" x14ac:dyDescent="0.25">
      <c r="A1832">
        <v>2019</v>
      </c>
      <c r="B1832">
        <v>3</v>
      </c>
      <c r="C1832">
        <v>6</v>
      </c>
      <c r="D1832" t="s">
        <v>272</v>
      </c>
      <c r="E1832" t="s">
        <v>66</v>
      </c>
      <c r="F1832" t="s">
        <v>114</v>
      </c>
      <c r="G1832">
        <v>209000</v>
      </c>
      <c r="H1832">
        <v>152000</v>
      </c>
      <c r="I1832">
        <v>75600</v>
      </c>
      <c r="J1832">
        <v>0</v>
      </c>
      <c r="K1832">
        <v>90000</v>
      </c>
      <c r="L1832">
        <v>24750</v>
      </c>
      <c r="M1832">
        <v>88200</v>
      </c>
      <c r="N1832">
        <v>210600</v>
      </c>
      <c r="O1832">
        <v>18900</v>
      </c>
      <c r="P1832">
        <v>0</v>
      </c>
      <c r="Q1832">
        <v>2700</v>
      </c>
      <c r="R1832">
        <v>0</v>
      </c>
      <c r="S1832">
        <v>0</v>
      </c>
      <c r="T1832">
        <v>0</v>
      </c>
      <c r="U1832">
        <v>100</v>
      </c>
      <c r="V1832">
        <v>0</v>
      </c>
      <c r="W1832">
        <v>3536</v>
      </c>
      <c r="X1832">
        <v>798</v>
      </c>
      <c r="Y1832">
        <v>0</v>
      </c>
      <c r="Z1832" cm="1">
        <f t="array" ref="Z1832">MMULT($G1832:$Y1832,'Nelson Factor_2019'!$B$1:$B$19)/$G1832</f>
        <v>15.808947368421052</v>
      </c>
      <c r="AA1832" cm="1">
        <f t="array" ref="AA1832">MMULT($G1832:$R1832,'Nelson Factor_2019'!$B$1:$B$12)/$G1832</f>
        <v>14.892105263157895</v>
      </c>
    </row>
    <row r="1833" spans="1:27" x14ac:dyDescent="0.25">
      <c r="A1833">
        <v>2019</v>
      </c>
      <c r="B1833">
        <v>2</v>
      </c>
      <c r="C1833">
        <v>4</v>
      </c>
      <c r="D1833" t="s">
        <v>273</v>
      </c>
      <c r="E1833" t="s">
        <v>424</v>
      </c>
      <c r="F1833" t="s">
        <v>122</v>
      </c>
      <c r="G1833">
        <v>140000</v>
      </c>
      <c r="H1833">
        <v>84600</v>
      </c>
      <c r="I1833">
        <v>33300</v>
      </c>
      <c r="J1833">
        <v>0</v>
      </c>
      <c r="K1833">
        <v>39000</v>
      </c>
      <c r="L1833">
        <v>20400</v>
      </c>
      <c r="M1833">
        <v>0</v>
      </c>
      <c r="N1833">
        <v>126500</v>
      </c>
      <c r="O1833">
        <v>7600</v>
      </c>
      <c r="P1833">
        <v>0</v>
      </c>
      <c r="Q1833">
        <v>0</v>
      </c>
      <c r="R1833">
        <v>0</v>
      </c>
      <c r="S1833">
        <v>0</v>
      </c>
      <c r="T1833">
        <v>0</v>
      </c>
      <c r="U1833">
        <v>58.9</v>
      </c>
      <c r="V1833">
        <v>0</v>
      </c>
      <c r="W1833">
        <v>2124</v>
      </c>
      <c r="X1833">
        <v>397</v>
      </c>
      <c r="Y1833">
        <v>30400</v>
      </c>
      <c r="Z1833" cm="1">
        <f t="array" ref="Z1833">MMULT($G1833:$Y1833,'Nelson Factor_2019'!$B$1:$B$19)/$G1833</f>
        <v>9.7779921428571424</v>
      </c>
      <c r="AA1833" cm="1">
        <f t="array" ref="AA1833">MMULT($G1833:$R1833,'Nelson Factor_2019'!$B$1:$B$12)/$G1833</f>
        <v>8.7712857142857139</v>
      </c>
    </row>
    <row r="1834" spans="1:27" x14ac:dyDescent="0.25">
      <c r="A1834">
        <v>2019</v>
      </c>
      <c r="B1834">
        <v>2</v>
      </c>
      <c r="C1834">
        <v>6</v>
      </c>
      <c r="D1834" t="s">
        <v>274</v>
      </c>
      <c r="E1834" t="s">
        <v>370</v>
      </c>
      <c r="F1834" t="s">
        <v>124</v>
      </c>
      <c r="G1834">
        <v>322050</v>
      </c>
      <c r="H1834">
        <v>222300</v>
      </c>
      <c r="I1834">
        <v>64800</v>
      </c>
      <c r="J1834">
        <v>0</v>
      </c>
      <c r="K1834">
        <v>78300</v>
      </c>
      <c r="L1834">
        <v>45900</v>
      </c>
      <c r="M1834">
        <v>45000</v>
      </c>
      <c r="N1834">
        <v>293850</v>
      </c>
      <c r="O1834">
        <v>11250</v>
      </c>
      <c r="P1834">
        <v>0</v>
      </c>
      <c r="Q1834">
        <v>0</v>
      </c>
      <c r="R1834">
        <v>16200</v>
      </c>
      <c r="S1834">
        <v>0</v>
      </c>
      <c r="T1834">
        <v>0</v>
      </c>
      <c r="U1834">
        <v>154.80000000000001</v>
      </c>
      <c r="V1834">
        <v>0</v>
      </c>
      <c r="W1834">
        <v>3690</v>
      </c>
      <c r="X1834">
        <v>990</v>
      </c>
      <c r="Y1834">
        <v>40500</v>
      </c>
      <c r="Z1834" cm="1">
        <f t="array" ref="Z1834">MMULT($G1834:$Y1834,'Nelson Factor_2019'!$B$1:$B$19)/$G1834</f>
        <v>10.403880763856543</v>
      </c>
      <c r="AA1834" cm="1">
        <f t="array" ref="AA1834">MMULT($G1834:$R1834,'Nelson Factor_2019'!$B$1:$B$12)/$G1834</f>
        <v>9.476991150442478</v>
      </c>
    </row>
    <row r="1835" spans="1:27" x14ac:dyDescent="0.25">
      <c r="A1835">
        <v>2019</v>
      </c>
      <c r="B1835">
        <v>2</v>
      </c>
      <c r="C1835">
        <v>1</v>
      </c>
      <c r="D1835" t="s">
        <v>274</v>
      </c>
      <c r="E1835" t="s">
        <v>246</v>
      </c>
      <c r="F1835" t="s">
        <v>425</v>
      </c>
      <c r="G1835">
        <v>98000</v>
      </c>
      <c r="H1835">
        <v>47500</v>
      </c>
      <c r="I1835">
        <v>0</v>
      </c>
      <c r="J1835">
        <v>0</v>
      </c>
      <c r="K1835">
        <v>29000</v>
      </c>
      <c r="L1835">
        <v>21900</v>
      </c>
      <c r="M1835">
        <v>0</v>
      </c>
      <c r="N1835">
        <v>91800</v>
      </c>
      <c r="O1835">
        <v>6200</v>
      </c>
      <c r="P1835">
        <v>0</v>
      </c>
      <c r="Q1835">
        <v>0</v>
      </c>
      <c r="R1835">
        <v>11900</v>
      </c>
      <c r="S1835">
        <v>0</v>
      </c>
      <c r="T1835">
        <v>0</v>
      </c>
      <c r="U1835">
        <v>10</v>
      </c>
      <c r="V1835">
        <v>0</v>
      </c>
      <c r="W1835">
        <v>0</v>
      </c>
      <c r="X1835">
        <v>111</v>
      </c>
      <c r="Y1835">
        <v>13900</v>
      </c>
      <c r="Z1835" cm="1">
        <f t="array" ref="Z1835">MMULT($G1835:$Y1835,'Nelson Factor_2019'!$B$1:$B$19)/$G1835</f>
        <v>8.3464285714285715</v>
      </c>
      <c r="AA1835" cm="1">
        <f t="array" ref="AA1835">MMULT($G1835:$R1835,'Nelson Factor_2019'!$B$1:$B$12)/$G1835</f>
        <v>7.8617346938775512</v>
      </c>
    </row>
    <row r="1836" spans="1:27" x14ac:dyDescent="0.25">
      <c r="A1836">
        <v>2019</v>
      </c>
      <c r="B1836">
        <v>3</v>
      </c>
      <c r="C1836">
        <v>6</v>
      </c>
      <c r="D1836" t="s">
        <v>275</v>
      </c>
      <c r="E1836" t="s">
        <v>227</v>
      </c>
      <c r="F1836" t="s">
        <v>127</v>
      </c>
      <c r="G1836">
        <v>340000</v>
      </c>
      <c r="H1836">
        <v>240000</v>
      </c>
      <c r="I1836">
        <v>98000</v>
      </c>
      <c r="J1836">
        <v>0</v>
      </c>
      <c r="K1836">
        <v>86000</v>
      </c>
      <c r="L1836">
        <v>85000</v>
      </c>
      <c r="M1836">
        <v>96800</v>
      </c>
      <c r="N1836">
        <v>246000</v>
      </c>
      <c r="O1836">
        <v>14800</v>
      </c>
      <c r="P1836">
        <v>0</v>
      </c>
      <c r="Q1836">
        <v>19000</v>
      </c>
      <c r="R1836">
        <v>0</v>
      </c>
      <c r="S1836">
        <v>23500</v>
      </c>
      <c r="T1836">
        <v>0</v>
      </c>
      <c r="U1836">
        <v>205</v>
      </c>
      <c r="V1836">
        <v>0</v>
      </c>
      <c r="W1836">
        <v>6440</v>
      </c>
      <c r="X1836">
        <v>1113</v>
      </c>
      <c r="Y1836">
        <v>0</v>
      </c>
      <c r="Z1836" cm="1">
        <f t="array" ref="Z1836">MMULT($G1836:$Y1836,'Nelson Factor_2019'!$B$1:$B$19)/$G1836</f>
        <v>17.419779411764704</v>
      </c>
      <c r="AA1836" cm="1">
        <f t="array" ref="AA1836">MMULT($G1836:$R1836,'Nelson Factor_2019'!$B$1:$B$12)/$G1836</f>
        <v>12.486470588235294</v>
      </c>
    </row>
    <row r="1837" spans="1:27" x14ac:dyDescent="0.25">
      <c r="A1837">
        <v>2019</v>
      </c>
      <c r="B1837">
        <v>3</v>
      </c>
      <c r="C1837">
        <v>0</v>
      </c>
      <c r="D1837" t="s">
        <v>275</v>
      </c>
      <c r="E1837" t="s">
        <v>405</v>
      </c>
      <c r="F1837" t="s">
        <v>129</v>
      </c>
      <c r="G1837">
        <v>23750</v>
      </c>
      <c r="H1837">
        <v>17100</v>
      </c>
      <c r="I1837">
        <v>0</v>
      </c>
      <c r="J1837">
        <v>0</v>
      </c>
      <c r="K1837">
        <v>0</v>
      </c>
      <c r="L1837">
        <v>0</v>
      </c>
      <c r="M1837">
        <v>0</v>
      </c>
      <c r="N1837">
        <v>42700</v>
      </c>
      <c r="O1837">
        <v>0</v>
      </c>
      <c r="P1837">
        <v>0</v>
      </c>
      <c r="Q1837">
        <v>0</v>
      </c>
      <c r="R1837">
        <v>0</v>
      </c>
      <c r="S1837">
        <v>20700</v>
      </c>
      <c r="T1837">
        <v>0</v>
      </c>
      <c r="U1837">
        <v>13</v>
      </c>
      <c r="V1837">
        <v>0</v>
      </c>
      <c r="W1837">
        <v>0</v>
      </c>
      <c r="X1837">
        <v>0</v>
      </c>
      <c r="Y1837">
        <v>9000</v>
      </c>
      <c r="Z1837" cm="1">
        <f t="array" ref="Z1837">MMULT($G1837:$Y1837,'Nelson Factor_2019'!$B$1:$B$19)/$G1837</f>
        <v>59.294442105263158</v>
      </c>
      <c r="AA1837" cm="1">
        <f t="array" ref="AA1837">MMULT($G1837:$R1837,'Nelson Factor_2019'!$B$1:$B$12)/$G1837</f>
        <v>6.4307368421052633</v>
      </c>
    </row>
    <row r="1838" spans="1:27" x14ac:dyDescent="0.25">
      <c r="A1838">
        <v>2019</v>
      </c>
      <c r="B1838">
        <v>3</v>
      </c>
      <c r="C1838">
        <v>0</v>
      </c>
      <c r="D1838" t="s">
        <v>275</v>
      </c>
      <c r="E1838" t="s">
        <v>387</v>
      </c>
      <c r="F1838" t="s">
        <v>406</v>
      </c>
      <c r="G1838">
        <v>11875</v>
      </c>
      <c r="H1838">
        <v>0</v>
      </c>
      <c r="I1838">
        <v>0</v>
      </c>
      <c r="J1838">
        <v>0</v>
      </c>
      <c r="K1838">
        <v>0</v>
      </c>
      <c r="L1838">
        <v>0</v>
      </c>
      <c r="M1838">
        <v>0</v>
      </c>
      <c r="N1838">
        <v>0</v>
      </c>
      <c r="O1838">
        <v>0</v>
      </c>
      <c r="P1838">
        <v>0</v>
      </c>
      <c r="Q1838">
        <v>0</v>
      </c>
      <c r="R1838">
        <v>0</v>
      </c>
      <c r="S1838">
        <v>0</v>
      </c>
      <c r="T1838">
        <v>0</v>
      </c>
      <c r="U1838">
        <v>0</v>
      </c>
      <c r="V1838">
        <v>0</v>
      </c>
      <c r="W1838">
        <v>0</v>
      </c>
      <c r="X1838">
        <v>0</v>
      </c>
      <c r="Y1838">
        <v>5513</v>
      </c>
      <c r="Z1838" cm="1">
        <f t="array" ref="Z1838">MMULT($G1838:$Y1838,'Nelson Factor_2019'!$B$1:$B$19)/$G1838</f>
        <v>1.696378947368421</v>
      </c>
      <c r="AA1838" cm="1">
        <f t="array" ref="AA1838">MMULT($G1838:$R1838,'Nelson Factor_2019'!$B$1:$B$12)/$G1838</f>
        <v>1</v>
      </c>
    </row>
    <row r="1839" spans="1:27" x14ac:dyDescent="0.25">
      <c r="A1839">
        <v>2019</v>
      </c>
      <c r="B1839">
        <v>4</v>
      </c>
      <c r="C1839">
        <v>3</v>
      </c>
      <c r="D1839" t="s">
        <v>276</v>
      </c>
      <c r="E1839" t="s">
        <v>298</v>
      </c>
      <c r="F1839" t="s">
        <v>135</v>
      </c>
      <c r="G1839">
        <v>33250</v>
      </c>
      <c r="H1839">
        <v>19000</v>
      </c>
      <c r="I1839">
        <v>0</v>
      </c>
      <c r="J1839">
        <v>0</v>
      </c>
      <c r="K1839">
        <v>2700</v>
      </c>
      <c r="L1839">
        <v>900</v>
      </c>
      <c r="M1839">
        <v>21600</v>
      </c>
      <c r="N1839">
        <v>12150</v>
      </c>
      <c r="O1839">
        <v>900</v>
      </c>
      <c r="P1839">
        <v>0</v>
      </c>
      <c r="Q1839">
        <v>0</v>
      </c>
      <c r="R1839">
        <v>1350</v>
      </c>
      <c r="S1839">
        <v>0</v>
      </c>
      <c r="T1839">
        <v>0</v>
      </c>
      <c r="U1839">
        <v>20</v>
      </c>
      <c r="V1839">
        <v>0</v>
      </c>
      <c r="W1839">
        <v>0</v>
      </c>
      <c r="X1839">
        <v>0</v>
      </c>
      <c r="Y1839">
        <v>9000</v>
      </c>
      <c r="Z1839" cm="1">
        <f t="array" ref="Z1839">MMULT($G1839:$Y1839,'Nelson Factor_2019'!$B$1:$B$19)/$G1839</f>
        <v>9.2750375939849619</v>
      </c>
      <c r="AA1839" cm="1">
        <f t="array" ref="AA1839">MMULT($G1839:$R1839,'Nelson Factor_2019'!$B$1:$B$12)/$G1839</f>
        <v>8.8684210526315788</v>
      </c>
    </row>
    <row r="1840" spans="1:27" x14ac:dyDescent="0.25">
      <c r="A1840">
        <v>2019</v>
      </c>
      <c r="B1840">
        <v>4</v>
      </c>
      <c r="C1840">
        <v>4</v>
      </c>
      <c r="D1840" t="s">
        <v>276</v>
      </c>
      <c r="E1840" t="s">
        <v>235</v>
      </c>
      <c r="F1840" t="s">
        <v>132</v>
      </c>
      <c r="G1840">
        <v>58045</v>
      </c>
      <c r="H1840">
        <v>27550</v>
      </c>
      <c r="I1840">
        <v>13500</v>
      </c>
      <c r="J1840">
        <v>0</v>
      </c>
      <c r="K1840">
        <v>14850</v>
      </c>
      <c r="L1840">
        <v>11250</v>
      </c>
      <c r="M1840">
        <v>0</v>
      </c>
      <c r="N1840">
        <v>55800</v>
      </c>
      <c r="O1840">
        <v>3600</v>
      </c>
      <c r="P1840">
        <v>0</v>
      </c>
      <c r="Q1840">
        <v>0</v>
      </c>
      <c r="R1840">
        <v>1125</v>
      </c>
      <c r="S1840">
        <v>0</v>
      </c>
      <c r="T1840">
        <v>0</v>
      </c>
      <c r="U1840">
        <v>33</v>
      </c>
      <c r="V1840">
        <v>0</v>
      </c>
      <c r="W1840">
        <v>558</v>
      </c>
      <c r="X1840">
        <v>220</v>
      </c>
      <c r="Y1840">
        <v>17820</v>
      </c>
      <c r="Z1840" cm="1">
        <f t="array" ref="Z1840">MMULT($G1840:$Y1840,'Nelson Factor_2019'!$B$1:$B$19)/$G1840</f>
        <v>10.317822379188561</v>
      </c>
      <c r="AA1840" cm="1">
        <f t="array" ref="AA1840">MMULT($G1840:$R1840,'Nelson Factor_2019'!$B$1:$B$12)/$G1840</f>
        <v>8.9471100008614002</v>
      </c>
    </row>
    <row r="1841" spans="1:27" x14ac:dyDescent="0.25">
      <c r="A1841">
        <v>2019</v>
      </c>
      <c r="B1841">
        <v>4</v>
      </c>
      <c r="C1841">
        <v>6</v>
      </c>
      <c r="D1841" t="s">
        <v>276</v>
      </c>
      <c r="E1841" t="s">
        <v>397</v>
      </c>
      <c r="F1841" t="s">
        <v>133</v>
      </c>
      <c r="G1841">
        <v>59755</v>
      </c>
      <c r="H1841">
        <v>27455</v>
      </c>
      <c r="I1841">
        <v>9360</v>
      </c>
      <c r="J1841">
        <v>0</v>
      </c>
      <c r="K1841">
        <v>21294</v>
      </c>
      <c r="L1841">
        <v>11250</v>
      </c>
      <c r="M1841">
        <v>5580</v>
      </c>
      <c r="N1841">
        <v>54810</v>
      </c>
      <c r="O1841">
        <v>4590</v>
      </c>
      <c r="P1841">
        <v>0</v>
      </c>
      <c r="Q1841">
        <v>0</v>
      </c>
      <c r="R1841">
        <v>0</v>
      </c>
      <c r="S1841">
        <v>0</v>
      </c>
      <c r="T1841">
        <v>0</v>
      </c>
      <c r="U1841">
        <v>23</v>
      </c>
      <c r="V1841">
        <v>0</v>
      </c>
      <c r="W1841">
        <v>544</v>
      </c>
      <c r="X1841">
        <v>0</v>
      </c>
      <c r="Y1841">
        <v>13050</v>
      </c>
      <c r="Z1841" cm="1">
        <f t="array" ref="Z1841">MMULT($G1841:$Y1841,'Nelson Factor_2019'!$B$1:$B$19)/$G1841</f>
        <v>9.9878420215881523</v>
      </c>
      <c r="AA1841" cm="1">
        <f t="array" ref="AA1841">MMULT($G1841:$R1841,'Nelson Factor_2019'!$B$1:$B$12)/$G1841</f>
        <v>9.6598694669902105</v>
      </c>
    </row>
    <row r="1842" spans="1:27" x14ac:dyDescent="0.25">
      <c r="A1842">
        <v>2019</v>
      </c>
      <c r="B1842">
        <v>4</v>
      </c>
      <c r="C1842">
        <v>4</v>
      </c>
      <c r="D1842" t="s">
        <v>276</v>
      </c>
      <c r="E1842" t="s">
        <v>362</v>
      </c>
      <c r="F1842" t="s">
        <v>133</v>
      </c>
      <c r="G1842">
        <v>60000</v>
      </c>
      <c r="H1842">
        <v>42500</v>
      </c>
      <c r="I1842">
        <v>20000</v>
      </c>
      <c r="J1842">
        <v>0</v>
      </c>
      <c r="K1842">
        <v>19400</v>
      </c>
      <c r="L1842">
        <v>12200</v>
      </c>
      <c r="M1842">
        <v>0</v>
      </c>
      <c r="N1842">
        <v>73000</v>
      </c>
      <c r="O1842">
        <v>6500</v>
      </c>
      <c r="P1842">
        <v>0</v>
      </c>
      <c r="Q1842">
        <v>0</v>
      </c>
      <c r="R1842">
        <v>3600</v>
      </c>
      <c r="S1842">
        <v>0</v>
      </c>
      <c r="T1842">
        <v>0</v>
      </c>
      <c r="U1842">
        <v>45.5</v>
      </c>
      <c r="V1842">
        <v>0</v>
      </c>
      <c r="W1842">
        <v>1070</v>
      </c>
      <c r="X1842">
        <v>295</v>
      </c>
      <c r="Y1842">
        <v>0</v>
      </c>
      <c r="Z1842" cm="1">
        <f t="array" ref="Z1842">MMULT($G1842:$Y1842,'Nelson Factor_2019'!$B$1:$B$19)/$G1842</f>
        <v>12.863258333333333</v>
      </c>
      <c r="AA1842" cm="1">
        <f t="array" ref="AA1842">MMULT($G1842:$R1842,'Nelson Factor_2019'!$B$1:$B$12)/$G1842</f>
        <v>11.682499999999999</v>
      </c>
    </row>
    <row r="1843" spans="1:27" x14ac:dyDescent="0.25">
      <c r="A1843">
        <v>2019</v>
      </c>
      <c r="B1843">
        <v>1</v>
      </c>
      <c r="C1843">
        <v>4</v>
      </c>
      <c r="D1843" t="s">
        <v>277</v>
      </c>
      <c r="E1843" t="s">
        <v>245</v>
      </c>
      <c r="F1843" t="s">
        <v>140</v>
      </c>
      <c r="G1843">
        <v>157700</v>
      </c>
      <c r="H1843">
        <v>85500</v>
      </c>
      <c r="I1843">
        <v>24300</v>
      </c>
      <c r="J1843">
        <v>0</v>
      </c>
      <c r="K1843">
        <v>49500</v>
      </c>
      <c r="L1843">
        <v>28800</v>
      </c>
      <c r="M1843">
        <v>0</v>
      </c>
      <c r="N1843">
        <v>129690</v>
      </c>
      <c r="O1843">
        <v>10080</v>
      </c>
      <c r="P1843">
        <v>0</v>
      </c>
      <c r="Q1843">
        <v>0</v>
      </c>
      <c r="R1843">
        <v>0</v>
      </c>
      <c r="S1843">
        <v>10800</v>
      </c>
      <c r="T1843">
        <v>0</v>
      </c>
      <c r="U1843">
        <v>9</v>
      </c>
      <c r="V1843">
        <v>0</v>
      </c>
      <c r="W1843">
        <v>1020</v>
      </c>
      <c r="X1843">
        <v>254</v>
      </c>
      <c r="Y1843">
        <v>18900</v>
      </c>
      <c r="Z1843" cm="1">
        <f t="array" ref="Z1843">MMULT($G1843:$Y1843,'Nelson Factor_2019'!$B$1:$B$19)/$G1843</f>
        <v>13.027545973367152</v>
      </c>
      <c r="AA1843" cm="1">
        <f t="array" ref="AA1843">MMULT($G1843:$R1843,'Nelson Factor_2019'!$B$1:$B$12)/$G1843</f>
        <v>8.352092580849714</v>
      </c>
    </row>
    <row r="1844" spans="1:27" x14ac:dyDescent="0.25">
      <c r="A1844">
        <v>2019</v>
      </c>
      <c r="B1844">
        <v>1</v>
      </c>
      <c r="C1844">
        <v>1</v>
      </c>
      <c r="D1844" t="s">
        <v>277</v>
      </c>
      <c r="E1844" t="s">
        <v>362</v>
      </c>
      <c r="F1844" t="s">
        <v>137</v>
      </c>
      <c r="G1844">
        <v>258500</v>
      </c>
      <c r="H1844">
        <v>71250</v>
      </c>
      <c r="I1844">
        <v>0</v>
      </c>
      <c r="J1844">
        <v>0</v>
      </c>
      <c r="K1844">
        <v>130500</v>
      </c>
      <c r="L1844">
        <v>32300</v>
      </c>
      <c r="M1844">
        <v>0</v>
      </c>
      <c r="N1844">
        <v>192200</v>
      </c>
      <c r="O1844">
        <v>16500</v>
      </c>
      <c r="P1844">
        <v>0</v>
      </c>
      <c r="Q1844">
        <v>0</v>
      </c>
      <c r="R1844">
        <v>4000</v>
      </c>
      <c r="S1844">
        <v>0</v>
      </c>
      <c r="T1844">
        <v>0</v>
      </c>
      <c r="U1844">
        <v>32.200000000000003</v>
      </c>
      <c r="V1844">
        <v>0</v>
      </c>
      <c r="W1844">
        <v>0</v>
      </c>
      <c r="X1844">
        <v>0</v>
      </c>
      <c r="Y1844">
        <v>0</v>
      </c>
      <c r="Z1844" cm="1">
        <f t="array" ref="Z1844">MMULT($G1844:$Y1844,'Nelson Factor_2019'!$B$1:$B$19)/$G1844</f>
        <v>7.5557338491295933</v>
      </c>
      <c r="AA1844" cm="1">
        <f t="array" ref="AA1844">MMULT($G1844:$R1844,'Nelson Factor_2019'!$B$1:$B$12)/$G1844</f>
        <v>7.5556092843326885</v>
      </c>
    </row>
    <row r="1845" spans="1:27" x14ac:dyDescent="0.25">
      <c r="A1845">
        <v>2019</v>
      </c>
      <c r="B1845">
        <v>3</v>
      </c>
      <c r="C1845">
        <v>1</v>
      </c>
      <c r="D1845" t="s">
        <v>278</v>
      </c>
      <c r="E1845" t="s">
        <v>251</v>
      </c>
      <c r="F1845" t="s">
        <v>146</v>
      </c>
      <c r="G1845">
        <v>109250</v>
      </c>
      <c r="H1845">
        <v>28120</v>
      </c>
      <c r="I1845">
        <v>0</v>
      </c>
      <c r="J1845">
        <v>0</v>
      </c>
      <c r="K1845">
        <v>24300</v>
      </c>
      <c r="L1845">
        <v>21600</v>
      </c>
      <c r="M1845">
        <v>0</v>
      </c>
      <c r="N1845">
        <v>126000</v>
      </c>
      <c r="O1845">
        <v>8190</v>
      </c>
      <c r="P1845">
        <v>0</v>
      </c>
      <c r="Q1845">
        <v>0</v>
      </c>
      <c r="R1845">
        <v>0</v>
      </c>
      <c r="S1845">
        <v>0</v>
      </c>
      <c r="T1845">
        <v>0</v>
      </c>
      <c r="U1845">
        <v>38</v>
      </c>
      <c r="V1845">
        <v>0</v>
      </c>
      <c r="W1845">
        <v>0</v>
      </c>
      <c r="X1845">
        <v>181</v>
      </c>
      <c r="Y1845">
        <v>6300</v>
      </c>
      <c r="Z1845" cm="1">
        <f t="array" ref="Z1845">MMULT($G1845:$Y1845,'Nelson Factor_2019'!$B$1:$B$19)/$G1845</f>
        <v>7.7751395881006866</v>
      </c>
      <c r="AA1845" cm="1">
        <f t="array" ref="AA1845">MMULT($G1845:$R1845,'Nelson Factor_2019'!$B$1:$B$12)/$G1845</f>
        <v>7.2906727688787187</v>
      </c>
    </row>
    <row r="1846" spans="1:27" x14ac:dyDescent="0.25">
      <c r="A1846">
        <v>2019</v>
      </c>
      <c r="B1846">
        <v>3</v>
      </c>
      <c r="C1846">
        <v>1</v>
      </c>
      <c r="D1846" t="s">
        <v>278</v>
      </c>
      <c r="E1846" t="s">
        <v>246</v>
      </c>
      <c r="F1846" t="s">
        <v>144</v>
      </c>
      <c r="G1846">
        <v>26000</v>
      </c>
      <c r="H1846">
        <v>0</v>
      </c>
      <c r="I1846">
        <v>0</v>
      </c>
      <c r="J1846">
        <v>0</v>
      </c>
      <c r="K1846">
        <v>8700</v>
      </c>
      <c r="L1846">
        <v>6900</v>
      </c>
      <c r="M1846">
        <v>0</v>
      </c>
      <c r="N1846">
        <v>17200</v>
      </c>
      <c r="O1846">
        <v>1900</v>
      </c>
      <c r="P1846">
        <v>0</v>
      </c>
      <c r="Q1846">
        <v>0</v>
      </c>
      <c r="R1846">
        <v>0</v>
      </c>
      <c r="S1846">
        <v>0</v>
      </c>
      <c r="T1846">
        <v>0</v>
      </c>
      <c r="U1846">
        <v>0</v>
      </c>
      <c r="V1846">
        <v>0</v>
      </c>
      <c r="W1846">
        <v>0</v>
      </c>
      <c r="X1846">
        <v>2</v>
      </c>
      <c r="Y1846">
        <v>0</v>
      </c>
      <c r="Z1846" cm="1">
        <f t="array" ref="Z1846">MMULT($G1846:$Y1846,'Nelson Factor_2019'!$B$1:$B$19)/$G1846</f>
        <v>6.7376923076923081</v>
      </c>
      <c r="AA1846" cm="1">
        <f t="array" ref="AA1846">MMULT($G1846:$R1846,'Nelson Factor_2019'!$B$1:$B$12)/$G1846</f>
        <v>6.7192307692307693</v>
      </c>
    </row>
    <row r="1847" spans="1:27" x14ac:dyDescent="0.25">
      <c r="A1847">
        <v>2019</v>
      </c>
      <c r="B1847">
        <v>2</v>
      </c>
      <c r="C1847">
        <v>0</v>
      </c>
      <c r="D1847" t="s">
        <v>279</v>
      </c>
      <c r="E1847" t="s">
        <v>246</v>
      </c>
      <c r="F1847" t="s">
        <v>303</v>
      </c>
      <c r="G1847">
        <v>19000</v>
      </c>
      <c r="H1847">
        <v>0</v>
      </c>
      <c r="I1847">
        <v>0</v>
      </c>
      <c r="J1847">
        <v>0</v>
      </c>
      <c r="K1847">
        <v>0</v>
      </c>
      <c r="L1847">
        <v>0</v>
      </c>
      <c r="M1847">
        <v>0</v>
      </c>
      <c r="N1847">
        <v>8100</v>
      </c>
      <c r="O1847">
        <v>0</v>
      </c>
      <c r="P1847">
        <v>0</v>
      </c>
      <c r="Q1847">
        <v>0</v>
      </c>
      <c r="R1847">
        <v>0</v>
      </c>
      <c r="S1847">
        <v>0</v>
      </c>
      <c r="T1847">
        <v>0</v>
      </c>
      <c r="U1847">
        <v>2</v>
      </c>
      <c r="V1847">
        <v>0</v>
      </c>
      <c r="W1847">
        <v>0</v>
      </c>
      <c r="X1847">
        <v>2</v>
      </c>
      <c r="Y1847">
        <v>0</v>
      </c>
      <c r="Z1847" cm="1">
        <f t="array" ref="Z1847">MMULT($G1847:$Y1847,'Nelson Factor_2019'!$B$1:$B$19)/$G1847</f>
        <v>2.0911578947368423</v>
      </c>
      <c r="AA1847" cm="1">
        <f t="array" ref="AA1847">MMULT($G1847:$R1847,'Nelson Factor_2019'!$B$1:$B$12)/$G1847</f>
        <v>2.0657894736842106</v>
      </c>
    </row>
    <row r="1848" spans="1:27" x14ac:dyDescent="0.25">
      <c r="A1848">
        <v>2019</v>
      </c>
      <c r="B1848">
        <v>2</v>
      </c>
      <c r="C1848">
        <v>1</v>
      </c>
      <c r="D1848" t="s">
        <v>279</v>
      </c>
      <c r="E1848" t="s">
        <v>246</v>
      </c>
      <c r="F1848" t="s">
        <v>149</v>
      </c>
      <c r="G1848">
        <v>71000</v>
      </c>
      <c r="H1848">
        <v>0</v>
      </c>
      <c r="I1848">
        <v>0</v>
      </c>
      <c r="J1848">
        <v>0</v>
      </c>
      <c r="K1848">
        <v>25700</v>
      </c>
      <c r="L1848">
        <v>11900</v>
      </c>
      <c r="M1848">
        <v>0</v>
      </c>
      <c r="N1848">
        <v>41700</v>
      </c>
      <c r="O1848">
        <v>4600</v>
      </c>
      <c r="P1848">
        <v>0</v>
      </c>
      <c r="Q1848">
        <v>0</v>
      </c>
      <c r="R1848">
        <v>0</v>
      </c>
      <c r="S1848">
        <v>0</v>
      </c>
      <c r="T1848">
        <v>0</v>
      </c>
      <c r="U1848">
        <v>0</v>
      </c>
      <c r="V1848">
        <v>0</v>
      </c>
      <c r="W1848">
        <v>0</v>
      </c>
      <c r="X1848">
        <v>15</v>
      </c>
      <c r="Y1848">
        <v>0</v>
      </c>
      <c r="Z1848" cm="1">
        <f t="array" ref="Z1848">MMULT($G1848:$Y1848,'Nelson Factor_2019'!$B$1:$B$19)/$G1848</f>
        <v>6.1767605633802818</v>
      </c>
      <c r="AA1848" cm="1">
        <f t="array" ref="AA1848">MMULT($G1848:$R1848,'Nelson Factor_2019'!$B$1:$B$12)/$G1848</f>
        <v>6.1260563380281692</v>
      </c>
    </row>
    <row r="1849" spans="1:27" x14ac:dyDescent="0.25">
      <c r="A1849">
        <v>2019</v>
      </c>
      <c r="B1849">
        <v>2</v>
      </c>
      <c r="C1849">
        <v>6</v>
      </c>
      <c r="D1849" t="s">
        <v>280</v>
      </c>
      <c r="E1849" t="s">
        <v>359</v>
      </c>
      <c r="F1849" t="s">
        <v>151</v>
      </c>
      <c r="G1849">
        <v>152000</v>
      </c>
      <c r="H1849">
        <v>67925</v>
      </c>
      <c r="I1849">
        <v>31500</v>
      </c>
      <c r="J1849">
        <v>0</v>
      </c>
      <c r="K1849">
        <v>49500</v>
      </c>
      <c r="L1849">
        <v>37800</v>
      </c>
      <c r="M1849">
        <v>27900</v>
      </c>
      <c r="N1849">
        <v>101700</v>
      </c>
      <c r="O1849">
        <v>10350</v>
      </c>
      <c r="P1849">
        <v>0</v>
      </c>
      <c r="Q1849">
        <v>0</v>
      </c>
      <c r="R1849">
        <v>0</v>
      </c>
      <c r="S1849">
        <v>0</v>
      </c>
      <c r="T1849">
        <v>0</v>
      </c>
      <c r="U1849">
        <v>0</v>
      </c>
      <c r="V1849">
        <v>0</v>
      </c>
      <c r="W1849">
        <v>2005.9999999999998</v>
      </c>
      <c r="X1849">
        <v>351</v>
      </c>
      <c r="Y1849">
        <v>8100</v>
      </c>
      <c r="Z1849" cm="1">
        <f t="array" ref="Z1849">MMULT($G1849:$Y1849,'Nelson Factor_2019'!$B$1:$B$19)/$G1849</f>
        <v>10.78876644736842</v>
      </c>
      <c r="AA1849" cm="1">
        <f t="array" ref="AA1849">MMULT($G1849:$R1849,'Nelson Factor_2019'!$B$1:$B$12)/$G1849</f>
        <v>10.154621710526316</v>
      </c>
    </row>
    <row r="1850" spans="1:27" x14ac:dyDescent="0.25">
      <c r="A1850">
        <v>2019</v>
      </c>
      <c r="B1850">
        <v>2</v>
      </c>
      <c r="C1850">
        <v>6</v>
      </c>
      <c r="D1850" t="s">
        <v>280</v>
      </c>
      <c r="E1850" t="s">
        <v>407</v>
      </c>
      <c r="F1850" t="s">
        <v>154</v>
      </c>
      <c r="G1850">
        <v>161500</v>
      </c>
      <c r="H1850">
        <v>50350</v>
      </c>
      <c r="I1850">
        <v>20700</v>
      </c>
      <c r="J1850">
        <v>0</v>
      </c>
      <c r="K1850">
        <v>40770</v>
      </c>
      <c r="L1850">
        <v>49500</v>
      </c>
      <c r="M1850">
        <v>23400</v>
      </c>
      <c r="N1850">
        <v>142200</v>
      </c>
      <c r="O1850">
        <v>0</v>
      </c>
      <c r="P1850">
        <v>0</v>
      </c>
      <c r="Q1850">
        <v>8280</v>
      </c>
      <c r="R1850">
        <v>20880</v>
      </c>
      <c r="S1850">
        <v>0</v>
      </c>
      <c r="T1850">
        <v>0</v>
      </c>
      <c r="U1850">
        <v>0</v>
      </c>
      <c r="V1850">
        <v>0</v>
      </c>
      <c r="W1850">
        <v>571</v>
      </c>
      <c r="X1850">
        <v>100</v>
      </c>
      <c r="Y1850">
        <v>0</v>
      </c>
      <c r="Z1850" cm="1">
        <f t="array" ref="Z1850">MMULT($G1850:$Y1850,'Nelson Factor_2019'!$B$1:$B$19)/$G1850</f>
        <v>10.336006191950464</v>
      </c>
      <c r="AA1850" cm="1">
        <f t="array" ref="AA1850">MMULT($G1850:$R1850,'Nelson Factor_2019'!$B$1:$B$12)/$G1850</f>
        <v>10.187399380804953</v>
      </c>
    </row>
    <row r="1851" spans="1:27" x14ac:dyDescent="0.25">
      <c r="A1851">
        <v>2019</v>
      </c>
      <c r="B1851">
        <v>2</v>
      </c>
      <c r="C1851">
        <v>1</v>
      </c>
      <c r="D1851" t="s">
        <v>280</v>
      </c>
      <c r="E1851" t="s">
        <v>246</v>
      </c>
      <c r="F1851" t="s">
        <v>152</v>
      </c>
      <c r="G1851">
        <v>93000</v>
      </c>
      <c r="H1851">
        <v>33300</v>
      </c>
      <c r="I1851">
        <v>0</v>
      </c>
      <c r="J1851">
        <v>0</v>
      </c>
      <c r="K1851">
        <v>24700</v>
      </c>
      <c r="L1851">
        <v>20400</v>
      </c>
      <c r="M1851">
        <v>0</v>
      </c>
      <c r="N1851">
        <v>87900</v>
      </c>
      <c r="O1851">
        <v>8100</v>
      </c>
      <c r="P1851">
        <v>0</v>
      </c>
      <c r="Q1851">
        <v>0</v>
      </c>
      <c r="R1851">
        <v>0</v>
      </c>
      <c r="S1851">
        <v>0</v>
      </c>
      <c r="T1851">
        <v>0</v>
      </c>
      <c r="U1851">
        <v>0</v>
      </c>
      <c r="V1851">
        <v>0</v>
      </c>
      <c r="W1851">
        <v>0</v>
      </c>
      <c r="X1851">
        <v>89</v>
      </c>
      <c r="Y1851">
        <v>14100</v>
      </c>
      <c r="Z1851" cm="1">
        <f t="array" ref="Z1851">MMULT($G1851:$Y1851,'Nelson Factor_2019'!$B$1:$B$19)/$G1851</f>
        <v>7.846774193548387</v>
      </c>
      <c r="AA1851" cm="1">
        <f t="array" ref="AA1851">MMULT($G1851:$R1851,'Nelson Factor_2019'!$B$1:$B$12)/$G1851</f>
        <v>7.3896774193548387</v>
      </c>
    </row>
    <row r="1852" spans="1:27" x14ac:dyDescent="0.25">
      <c r="A1852">
        <v>2019</v>
      </c>
      <c r="B1852">
        <v>2</v>
      </c>
      <c r="C1852">
        <v>3</v>
      </c>
      <c r="D1852" t="s">
        <v>280</v>
      </c>
      <c r="E1852" t="s">
        <v>245</v>
      </c>
      <c r="F1852" t="s">
        <v>151</v>
      </c>
      <c r="G1852">
        <v>178600</v>
      </c>
      <c r="H1852">
        <v>0</v>
      </c>
      <c r="I1852">
        <v>0</v>
      </c>
      <c r="J1852">
        <v>0</v>
      </c>
      <c r="K1852">
        <v>73800</v>
      </c>
      <c r="L1852">
        <v>46620</v>
      </c>
      <c r="M1852">
        <v>46800</v>
      </c>
      <c r="N1852">
        <v>134910</v>
      </c>
      <c r="O1852">
        <v>8955</v>
      </c>
      <c r="P1852">
        <v>0</v>
      </c>
      <c r="Q1852">
        <v>9720</v>
      </c>
      <c r="R1852">
        <v>7200</v>
      </c>
      <c r="S1852">
        <v>0</v>
      </c>
      <c r="T1852">
        <v>0</v>
      </c>
      <c r="U1852">
        <v>0</v>
      </c>
      <c r="V1852">
        <v>0</v>
      </c>
      <c r="W1852">
        <v>0</v>
      </c>
      <c r="X1852">
        <v>105</v>
      </c>
      <c r="Y1852">
        <v>0</v>
      </c>
      <c r="Z1852" cm="1">
        <f t="array" ref="Z1852">MMULT($G1852:$Y1852,'Nelson Factor_2019'!$B$1:$B$19)/$G1852</f>
        <v>10.621080627099664</v>
      </c>
      <c r="AA1852" cm="1">
        <f t="array" ref="AA1852">MMULT($G1852:$R1852,'Nelson Factor_2019'!$B$1:$B$12)/$G1852</f>
        <v>10.479983202687571</v>
      </c>
    </row>
    <row r="1853" spans="1:27" x14ac:dyDescent="0.25">
      <c r="A1853">
        <v>2019</v>
      </c>
      <c r="B1853">
        <v>2</v>
      </c>
      <c r="C1853">
        <v>3</v>
      </c>
      <c r="D1853" t="s">
        <v>282</v>
      </c>
      <c r="E1853" t="s">
        <v>400</v>
      </c>
      <c r="F1853" t="s">
        <v>158</v>
      </c>
      <c r="G1853">
        <v>71250</v>
      </c>
      <c r="H1853">
        <v>38285</v>
      </c>
      <c r="I1853">
        <v>0</v>
      </c>
      <c r="J1853">
        <v>0</v>
      </c>
      <c r="K1853">
        <v>19980</v>
      </c>
      <c r="L1853">
        <v>16200</v>
      </c>
      <c r="M1853">
        <v>16380</v>
      </c>
      <c r="N1853">
        <v>61110</v>
      </c>
      <c r="O1853">
        <v>4950</v>
      </c>
      <c r="P1853">
        <v>0</v>
      </c>
      <c r="Q1853">
        <v>18900</v>
      </c>
      <c r="R1853">
        <v>0</v>
      </c>
      <c r="S1853">
        <v>0</v>
      </c>
      <c r="T1853">
        <v>0</v>
      </c>
      <c r="U1853">
        <v>10</v>
      </c>
      <c r="V1853">
        <v>0</v>
      </c>
      <c r="W1853">
        <v>0</v>
      </c>
      <c r="X1853">
        <v>50</v>
      </c>
      <c r="Y1853">
        <v>6300</v>
      </c>
      <c r="Z1853" cm="1">
        <f t="array" ref="Z1853">MMULT($G1853:$Y1853,'Nelson Factor_2019'!$B$1:$B$19)/$G1853</f>
        <v>14.802463157894737</v>
      </c>
      <c r="AA1853" cm="1">
        <f t="array" ref="AA1853">MMULT($G1853:$R1853,'Nelson Factor_2019'!$B$1:$B$12)/$G1853</f>
        <v>14.501270175438597</v>
      </c>
    </row>
    <row r="1854" spans="1:27" x14ac:dyDescent="0.25">
      <c r="A1854">
        <v>2019</v>
      </c>
      <c r="B1854">
        <v>2</v>
      </c>
      <c r="C1854">
        <v>4</v>
      </c>
      <c r="D1854" t="s">
        <v>282</v>
      </c>
      <c r="E1854" t="s">
        <v>251</v>
      </c>
      <c r="F1854" t="s">
        <v>160</v>
      </c>
      <c r="G1854">
        <v>157225</v>
      </c>
      <c r="H1854">
        <v>56050</v>
      </c>
      <c r="I1854">
        <v>9900</v>
      </c>
      <c r="J1854">
        <v>0</v>
      </c>
      <c r="K1854">
        <v>24300</v>
      </c>
      <c r="L1854">
        <v>20700</v>
      </c>
      <c r="M1854">
        <v>0</v>
      </c>
      <c r="N1854">
        <v>131040</v>
      </c>
      <c r="O1854">
        <v>4950</v>
      </c>
      <c r="P1854">
        <v>0</v>
      </c>
      <c r="Q1854">
        <v>0</v>
      </c>
      <c r="R1854">
        <v>12510</v>
      </c>
      <c r="S1854">
        <v>9000</v>
      </c>
      <c r="T1854">
        <v>0</v>
      </c>
      <c r="U1854">
        <v>0</v>
      </c>
      <c r="V1854">
        <v>0</v>
      </c>
      <c r="W1854">
        <v>374</v>
      </c>
      <c r="X1854">
        <v>68</v>
      </c>
      <c r="Y1854">
        <v>19530</v>
      </c>
      <c r="Z1854" cm="1">
        <f t="array" ref="Z1854">MMULT($G1854:$Y1854,'Nelson Factor_2019'!$B$1:$B$19)/$G1854</f>
        <v>9.8831928764509467</v>
      </c>
      <c r="AA1854" cm="1">
        <f t="array" ref="AA1854">MMULT($G1854:$R1854,'Nelson Factor_2019'!$B$1:$B$12)/$G1854</f>
        <v>6.1584989664493559</v>
      </c>
    </row>
    <row r="1855" spans="1:27" x14ac:dyDescent="0.25">
      <c r="A1855">
        <v>2019</v>
      </c>
      <c r="B1855">
        <v>2</v>
      </c>
      <c r="C1855">
        <v>4</v>
      </c>
      <c r="D1855" t="s">
        <v>282</v>
      </c>
      <c r="E1855" t="s">
        <v>362</v>
      </c>
      <c r="F1855" t="s">
        <v>156</v>
      </c>
      <c r="G1855">
        <v>213000</v>
      </c>
      <c r="H1855">
        <v>80000</v>
      </c>
      <c r="I1855">
        <v>23700</v>
      </c>
      <c r="J1855">
        <v>0</v>
      </c>
      <c r="K1855">
        <v>61600</v>
      </c>
      <c r="L1855">
        <v>44300</v>
      </c>
      <c r="M1855">
        <v>0</v>
      </c>
      <c r="N1855">
        <v>194700</v>
      </c>
      <c r="O1855">
        <v>14600</v>
      </c>
      <c r="P1855">
        <v>0</v>
      </c>
      <c r="Q1855">
        <v>0</v>
      </c>
      <c r="R1855">
        <v>25400</v>
      </c>
      <c r="S1855">
        <v>0</v>
      </c>
      <c r="T1855">
        <v>0</v>
      </c>
      <c r="U1855">
        <v>59.1</v>
      </c>
      <c r="V1855">
        <v>0</v>
      </c>
      <c r="W1855">
        <v>1150</v>
      </c>
      <c r="X1855">
        <v>200</v>
      </c>
      <c r="Y1855">
        <v>0</v>
      </c>
      <c r="Z1855" cm="1">
        <f t="array" ref="Z1855">MMULT($G1855:$Y1855,'Nelson Factor_2019'!$B$1:$B$19)/$G1855</f>
        <v>8.651920657276996</v>
      </c>
      <c r="AA1855" cm="1">
        <f t="array" ref="AA1855">MMULT($G1855:$R1855,'Nelson Factor_2019'!$B$1:$B$12)/$G1855</f>
        <v>8.4262910798122057</v>
      </c>
    </row>
    <row r="1856" spans="1:27" x14ac:dyDescent="0.25">
      <c r="A1856">
        <v>2019</v>
      </c>
      <c r="B1856">
        <v>2</v>
      </c>
      <c r="C1856">
        <v>3</v>
      </c>
      <c r="D1856" t="s">
        <v>282</v>
      </c>
      <c r="E1856" t="s">
        <v>66</v>
      </c>
      <c r="F1856" t="s">
        <v>161</v>
      </c>
      <c r="G1856">
        <v>83600</v>
      </c>
      <c r="H1856">
        <v>30400</v>
      </c>
      <c r="I1856">
        <v>0</v>
      </c>
      <c r="J1856">
        <v>0</v>
      </c>
      <c r="K1856">
        <v>27000</v>
      </c>
      <c r="L1856">
        <v>18450</v>
      </c>
      <c r="M1856">
        <v>12600</v>
      </c>
      <c r="N1856">
        <v>84105</v>
      </c>
      <c r="O1856">
        <v>6311</v>
      </c>
      <c r="P1856">
        <v>0</v>
      </c>
      <c r="Q1856">
        <v>0</v>
      </c>
      <c r="R1856">
        <v>0</v>
      </c>
      <c r="S1856">
        <v>0</v>
      </c>
      <c r="T1856">
        <v>0</v>
      </c>
      <c r="U1856">
        <v>27</v>
      </c>
      <c r="V1856">
        <v>0</v>
      </c>
      <c r="W1856">
        <v>0</v>
      </c>
      <c r="X1856">
        <v>226</v>
      </c>
      <c r="Y1856">
        <v>13243</v>
      </c>
      <c r="Z1856" cm="1">
        <f t="array" ref="Z1856">MMULT($G1856:$Y1856,'Nelson Factor_2019'!$B$1:$B$19)/$G1856</f>
        <v>9.8764832535885159</v>
      </c>
      <c r="AA1856" cm="1">
        <f t="array" ref="AA1856">MMULT($G1856:$R1856,'Nelson Factor_2019'!$B$1:$B$12)/$G1856</f>
        <v>8.9897428229665071</v>
      </c>
    </row>
    <row r="1857" spans="1:27" x14ac:dyDescent="0.25">
      <c r="A1857">
        <v>2019</v>
      </c>
      <c r="B1857">
        <v>1</v>
      </c>
      <c r="C1857">
        <v>0</v>
      </c>
      <c r="D1857" t="s">
        <v>284</v>
      </c>
      <c r="E1857" t="s">
        <v>365</v>
      </c>
      <c r="F1857" t="s">
        <v>164</v>
      </c>
      <c r="G1857">
        <v>11210</v>
      </c>
      <c r="H1857">
        <v>0</v>
      </c>
      <c r="I1857">
        <v>0</v>
      </c>
      <c r="J1857">
        <v>0</v>
      </c>
      <c r="K1857">
        <v>0</v>
      </c>
      <c r="L1857">
        <v>1980</v>
      </c>
      <c r="M1857">
        <v>0</v>
      </c>
      <c r="N1857">
        <v>3240</v>
      </c>
      <c r="O1857">
        <v>0</v>
      </c>
      <c r="P1857">
        <v>0</v>
      </c>
      <c r="Q1857">
        <v>0</v>
      </c>
      <c r="R1857">
        <v>0</v>
      </c>
      <c r="S1857">
        <v>2651</v>
      </c>
      <c r="T1857">
        <v>0</v>
      </c>
      <c r="U1857">
        <v>0</v>
      </c>
      <c r="V1857">
        <v>0</v>
      </c>
      <c r="W1857">
        <v>0</v>
      </c>
      <c r="X1857">
        <v>0</v>
      </c>
      <c r="Y1857">
        <v>59</v>
      </c>
      <c r="Z1857" cm="1">
        <f t="array" ref="Z1857">MMULT($G1857:$Y1857,'Nelson Factor_2019'!$B$1:$B$19)/$G1857</f>
        <v>16.802720785013381</v>
      </c>
      <c r="AA1857" cm="1">
        <f t="array" ref="AA1857">MMULT($G1857:$R1857,'Nelson Factor_2019'!$B$1:$B$12)/$G1857</f>
        <v>2.6057091882247994</v>
      </c>
    </row>
    <row r="1858" spans="1:27" x14ac:dyDescent="0.25">
      <c r="A1858">
        <v>2019</v>
      </c>
      <c r="B1858">
        <v>1</v>
      </c>
      <c r="C1858">
        <v>3</v>
      </c>
      <c r="D1858" t="s">
        <v>284</v>
      </c>
      <c r="E1858" t="s">
        <v>408</v>
      </c>
      <c r="F1858" t="s">
        <v>165</v>
      </c>
      <c r="G1858">
        <v>197600</v>
      </c>
      <c r="H1858">
        <v>69350</v>
      </c>
      <c r="I1858">
        <v>0</v>
      </c>
      <c r="J1858">
        <v>0</v>
      </c>
      <c r="K1858">
        <v>47700</v>
      </c>
      <c r="L1858">
        <v>45000</v>
      </c>
      <c r="M1858">
        <v>20700</v>
      </c>
      <c r="N1858">
        <v>153360</v>
      </c>
      <c r="O1858">
        <v>10800</v>
      </c>
      <c r="P1858">
        <v>0</v>
      </c>
      <c r="Q1858">
        <v>0</v>
      </c>
      <c r="R1858">
        <v>0</v>
      </c>
      <c r="S1858">
        <v>0</v>
      </c>
      <c r="T1858">
        <v>0</v>
      </c>
      <c r="U1858">
        <v>0</v>
      </c>
      <c r="V1858">
        <v>0</v>
      </c>
      <c r="W1858">
        <v>0</v>
      </c>
      <c r="X1858">
        <v>82</v>
      </c>
      <c r="Y1858">
        <v>0</v>
      </c>
      <c r="Z1858" cm="1">
        <f t="array" ref="Z1858">MMULT($G1858:$Y1858,'Nelson Factor_2019'!$B$1:$B$19)/$G1858</f>
        <v>7.4677884615384613</v>
      </c>
      <c r="AA1858" cm="1">
        <f t="array" ref="AA1858">MMULT($G1858:$R1858,'Nelson Factor_2019'!$B$1:$B$12)/$G1858</f>
        <v>7.3681933198380563</v>
      </c>
    </row>
    <row r="1859" spans="1:27" x14ac:dyDescent="0.25">
      <c r="A1859">
        <v>2019</v>
      </c>
      <c r="B1859">
        <v>1</v>
      </c>
      <c r="C1859">
        <v>1</v>
      </c>
      <c r="D1859" t="s">
        <v>284</v>
      </c>
      <c r="E1859" t="s">
        <v>409</v>
      </c>
      <c r="F1859" t="s">
        <v>169</v>
      </c>
      <c r="G1859">
        <v>66500</v>
      </c>
      <c r="H1859">
        <v>38000</v>
      </c>
      <c r="I1859">
        <v>0</v>
      </c>
      <c r="J1859">
        <v>0</v>
      </c>
      <c r="K1859">
        <v>23400</v>
      </c>
      <c r="L1859">
        <v>12600</v>
      </c>
      <c r="M1859">
        <v>0</v>
      </c>
      <c r="N1859">
        <v>45900</v>
      </c>
      <c r="O1859">
        <v>4050</v>
      </c>
      <c r="P1859">
        <v>0</v>
      </c>
      <c r="Q1859">
        <v>0</v>
      </c>
      <c r="R1859">
        <v>7650</v>
      </c>
      <c r="S1859">
        <v>0</v>
      </c>
      <c r="T1859">
        <v>0</v>
      </c>
      <c r="U1859">
        <v>0</v>
      </c>
      <c r="V1859">
        <v>0</v>
      </c>
      <c r="W1859">
        <v>0</v>
      </c>
      <c r="X1859">
        <v>61</v>
      </c>
      <c r="Y1859">
        <v>19800</v>
      </c>
      <c r="Z1859" cm="1">
        <f t="array" ref="Z1859">MMULT($G1859:$Y1859,'Nelson Factor_2019'!$B$1:$B$19)/$G1859</f>
        <v>8.1479699248120294</v>
      </c>
      <c r="AA1859" cm="1">
        <f t="array" ref="AA1859">MMULT($G1859:$R1859,'Nelson Factor_2019'!$B$1:$B$12)/$G1859</f>
        <v>7.481203007518797</v>
      </c>
    </row>
    <row r="1860" spans="1:27" x14ac:dyDescent="0.25">
      <c r="A1860">
        <v>2019</v>
      </c>
      <c r="B1860">
        <v>1</v>
      </c>
      <c r="C1860">
        <v>1</v>
      </c>
      <c r="D1860" t="s">
        <v>284</v>
      </c>
      <c r="E1860" t="s">
        <v>410</v>
      </c>
      <c r="F1860" t="s">
        <v>167</v>
      </c>
      <c r="G1860">
        <v>337250</v>
      </c>
      <c r="H1860">
        <v>155040</v>
      </c>
      <c r="I1860">
        <v>0</v>
      </c>
      <c r="J1860">
        <v>0</v>
      </c>
      <c r="K1860">
        <v>124650</v>
      </c>
      <c r="L1860">
        <v>77400</v>
      </c>
      <c r="M1860">
        <v>0</v>
      </c>
      <c r="N1860">
        <v>225900</v>
      </c>
      <c r="O1860">
        <v>23400</v>
      </c>
      <c r="P1860">
        <v>0</v>
      </c>
      <c r="Q1860">
        <v>4428</v>
      </c>
      <c r="R1860">
        <v>7200</v>
      </c>
      <c r="S1860">
        <v>0</v>
      </c>
      <c r="T1860">
        <v>0</v>
      </c>
      <c r="U1860">
        <v>0</v>
      </c>
      <c r="V1860">
        <v>0</v>
      </c>
      <c r="W1860">
        <v>0</v>
      </c>
      <c r="X1860">
        <v>113</v>
      </c>
      <c r="Y1860">
        <v>0</v>
      </c>
      <c r="Z1860" cm="1">
        <f t="array" ref="Z1860">MMULT($G1860:$Y1860,'Nelson Factor_2019'!$B$1:$B$19)/$G1860</f>
        <v>7.7382713120830244</v>
      </c>
      <c r="AA1860" cm="1">
        <f t="array" ref="AA1860">MMULT($G1860:$R1860,'Nelson Factor_2019'!$B$1:$B$12)/$G1860</f>
        <v>7.6578561897702002</v>
      </c>
    </row>
    <row r="1861" spans="1:27" x14ac:dyDescent="0.25">
      <c r="A1861">
        <v>2019</v>
      </c>
      <c r="B1861">
        <v>2</v>
      </c>
      <c r="C1861">
        <v>3</v>
      </c>
      <c r="D1861" t="s">
        <v>286</v>
      </c>
      <c r="E1861" t="s">
        <v>66</v>
      </c>
      <c r="F1861" t="s">
        <v>172</v>
      </c>
      <c r="G1861">
        <v>185250</v>
      </c>
      <c r="H1861">
        <v>0</v>
      </c>
      <c r="I1861">
        <v>0</v>
      </c>
      <c r="J1861">
        <v>0</v>
      </c>
      <c r="K1861">
        <v>63000</v>
      </c>
      <c r="L1861">
        <v>32400</v>
      </c>
      <c r="M1861">
        <v>23850</v>
      </c>
      <c r="N1861">
        <v>116100</v>
      </c>
      <c r="O1861">
        <v>11430</v>
      </c>
      <c r="P1861">
        <v>0</v>
      </c>
      <c r="Q1861">
        <v>26100</v>
      </c>
      <c r="R1861">
        <v>0</v>
      </c>
      <c r="S1861">
        <v>0</v>
      </c>
      <c r="T1861">
        <v>0</v>
      </c>
      <c r="U1861">
        <v>30</v>
      </c>
      <c r="V1861">
        <v>0</v>
      </c>
      <c r="W1861">
        <v>0</v>
      </c>
      <c r="X1861">
        <v>105</v>
      </c>
      <c r="Y1861">
        <v>0</v>
      </c>
      <c r="Z1861" cm="1">
        <f t="array" ref="Z1861">MMULT($G1861:$Y1861,'Nelson Factor_2019'!$B$1:$B$19)/$G1861</f>
        <v>10.082753036437246</v>
      </c>
      <c r="AA1861" cm="1">
        <f t="array" ref="AA1861">MMULT($G1861:$R1861,'Nelson Factor_2019'!$B$1:$B$12)/$G1861</f>
        <v>9.9465587044534409</v>
      </c>
    </row>
    <row r="1862" spans="1:27" x14ac:dyDescent="0.25">
      <c r="A1862">
        <v>2019</v>
      </c>
      <c r="B1862">
        <v>3</v>
      </c>
      <c r="C1862">
        <v>1</v>
      </c>
      <c r="D1862" t="s">
        <v>287</v>
      </c>
      <c r="E1862" t="s">
        <v>300</v>
      </c>
      <c r="F1862" t="s">
        <v>177</v>
      </c>
      <c r="G1862">
        <v>70300</v>
      </c>
      <c r="H1862">
        <v>22800</v>
      </c>
      <c r="I1862">
        <v>0</v>
      </c>
      <c r="J1862">
        <v>0</v>
      </c>
      <c r="K1862">
        <v>22500</v>
      </c>
      <c r="L1862">
        <v>18900</v>
      </c>
      <c r="M1862">
        <v>0</v>
      </c>
      <c r="N1862">
        <v>54000</v>
      </c>
      <c r="O1862">
        <v>4500</v>
      </c>
      <c r="P1862">
        <v>0</v>
      </c>
      <c r="Q1862">
        <v>900</v>
      </c>
      <c r="R1862">
        <v>0</v>
      </c>
      <c r="S1862">
        <v>0</v>
      </c>
      <c r="T1862">
        <v>0</v>
      </c>
      <c r="U1862">
        <v>0</v>
      </c>
      <c r="V1862">
        <v>0</v>
      </c>
      <c r="W1862">
        <v>0</v>
      </c>
      <c r="X1862">
        <v>136</v>
      </c>
      <c r="Y1862">
        <v>6840</v>
      </c>
      <c r="Z1862" cm="1">
        <f t="array" ref="Z1862">MMULT($G1862:$Y1862,'Nelson Factor_2019'!$B$1:$B$19)/$G1862</f>
        <v>8.1129445234708388</v>
      </c>
      <c r="AA1862" cm="1">
        <f t="array" ref="AA1862">MMULT($G1862:$R1862,'Nelson Factor_2019'!$B$1:$B$12)/$G1862</f>
        <v>7.5027027027027025</v>
      </c>
    </row>
    <row r="1863" spans="1:27" x14ac:dyDescent="0.25">
      <c r="A1863">
        <v>2019</v>
      </c>
      <c r="B1863">
        <v>3</v>
      </c>
      <c r="C1863">
        <v>0</v>
      </c>
      <c r="D1863" t="s">
        <v>287</v>
      </c>
      <c r="E1863" t="s">
        <v>298</v>
      </c>
      <c r="F1863" t="s">
        <v>175</v>
      </c>
      <c r="G1863">
        <v>19950</v>
      </c>
      <c r="H1863">
        <v>0</v>
      </c>
      <c r="I1863">
        <v>0</v>
      </c>
      <c r="J1863">
        <v>0</v>
      </c>
      <c r="K1863">
        <v>0</v>
      </c>
      <c r="L1863">
        <v>5400</v>
      </c>
      <c r="M1863">
        <v>0</v>
      </c>
      <c r="N1863">
        <v>11700</v>
      </c>
      <c r="O1863">
        <v>0</v>
      </c>
      <c r="P1863">
        <v>0</v>
      </c>
      <c r="Q1863">
        <v>0</v>
      </c>
      <c r="R1863">
        <v>0</v>
      </c>
      <c r="S1863">
        <v>0</v>
      </c>
      <c r="T1863">
        <v>0</v>
      </c>
      <c r="U1863">
        <v>0</v>
      </c>
      <c r="V1863">
        <v>0</v>
      </c>
      <c r="W1863">
        <v>0</v>
      </c>
      <c r="X1863">
        <v>0</v>
      </c>
      <c r="Y1863">
        <v>0</v>
      </c>
      <c r="Z1863" cm="1">
        <f t="array" ref="Z1863">MMULT($G1863:$Y1863,'Nelson Factor_2019'!$B$1:$B$19)/$G1863</f>
        <v>3.8195488721804511</v>
      </c>
      <c r="AA1863" cm="1">
        <f t="array" ref="AA1863">MMULT($G1863:$R1863,'Nelson Factor_2019'!$B$1:$B$12)/$G1863</f>
        <v>3.8195488721804511</v>
      </c>
    </row>
    <row r="1864" spans="1:27" x14ac:dyDescent="0.25">
      <c r="A1864">
        <v>2019</v>
      </c>
      <c r="B1864">
        <v>3</v>
      </c>
      <c r="C1864">
        <v>4</v>
      </c>
      <c r="D1864" t="s">
        <v>287</v>
      </c>
      <c r="E1864" t="s">
        <v>391</v>
      </c>
      <c r="F1864" t="s">
        <v>188</v>
      </c>
      <c r="G1864">
        <v>71250</v>
      </c>
      <c r="H1864">
        <v>26600</v>
      </c>
      <c r="I1864">
        <v>5850</v>
      </c>
      <c r="J1864">
        <v>0</v>
      </c>
      <c r="K1864">
        <v>18225</v>
      </c>
      <c r="L1864">
        <v>15750</v>
      </c>
      <c r="M1864">
        <v>0</v>
      </c>
      <c r="N1864">
        <v>69300</v>
      </c>
      <c r="O1864">
        <v>4230</v>
      </c>
      <c r="P1864">
        <v>0</v>
      </c>
      <c r="Q1864">
        <v>0</v>
      </c>
      <c r="R1864">
        <v>0</v>
      </c>
      <c r="S1864">
        <v>0</v>
      </c>
      <c r="T1864">
        <v>0</v>
      </c>
      <c r="U1864">
        <v>0</v>
      </c>
      <c r="V1864">
        <v>0</v>
      </c>
      <c r="W1864">
        <v>204</v>
      </c>
      <c r="X1864">
        <v>35</v>
      </c>
      <c r="Y1864">
        <v>0</v>
      </c>
      <c r="Z1864" cm="1">
        <f t="array" ref="Z1864">MMULT($G1864:$Y1864,'Nelson Factor_2019'!$B$1:$B$19)/$G1864</f>
        <v>7.8842807017543857</v>
      </c>
      <c r="AA1864" cm="1">
        <f t="array" ref="AA1864">MMULT($G1864:$R1864,'Nelson Factor_2019'!$B$1:$B$12)/$G1864</f>
        <v>7.7663859649122804</v>
      </c>
    </row>
    <row r="1865" spans="1:27" x14ac:dyDescent="0.25">
      <c r="A1865">
        <v>2019</v>
      </c>
      <c r="B1865">
        <v>3</v>
      </c>
      <c r="C1865">
        <v>6</v>
      </c>
      <c r="D1865" t="s">
        <v>287</v>
      </c>
      <c r="E1865" t="s">
        <v>397</v>
      </c>
      <c r="F1865" t="s">
        <v>185</v>
      </c>
      <c r="G1865">
        <v>554800</v>
      </c>
      <c r="H1865">
        <v>282150</v>
      </c>
      <c r="I1865">
        <v>86400</v>
      </c>
      <c r="J1865">
        <v>0</v>
      </c>
      <c r="K1865">
        <v>200700</v>
      </c>
      <c r="L1865">
        <v>111150</v>
      </c>
      <c r="M1865">
        <v>26910</v>
      </c>
      <c r="N1865">
        <v>714600</v>
      </c>
      <c r="O1865">
        <v>33300</v>
      </c>
      <c r="P1865">
        <v>0</v>
      </c>
      <c r="Q1865">
        <v>0</v>
      </c>
      <c r="R1865">
        <v>0</v>
      </c>
      <c r="S1865">
        <v>25200</v>
      </c>
      <c r="T1865">
        <v>0</v>
      </c>
      <c r="U1865">
        <v>0</v>
      </c>
      <c r="V1865">
        <v>0</v>
      </c>
      <c r="W1865">
        <v>3094</v>
      </c>
      <c r="X1865">
        <v>1658</v>
      </c>
      <c r="Y1865">
        <v>0</v>
      </c>
      <c r="Z1865" cm="1">
        <f t="array" ref="Z1865">MMULT($G1865:$Y1865,'Nelson Factor_2019'!$B$1:$B$19)/$G1865</f>
        <v>13.652208002883922</v>
      </c>
      <c r="AA1865" cm="1">
        <f t="array" ref="AA1865">MMULT($G1865:$R1865,'Nelson Factor_2019'!$B$1:$B$12)/$G1865</f>
        <v>10.209670151405913</v>
      </c>
    </row>
    <row r="1866" spans="1:27" x14ac:dyDescent="0.25">
      <c r="A1866">
        <v>2019</v>
      </c>
      <c r="B1866">
        <v>3</v>
      </c>
      <c r="C1866">
        <v>6</v>
      </c>
      <c r="D1866" t="s">
        <v>287</v>
      </c>
      <c r="E1866" t="s">
        <v>397</v>
      </c>
      <c r="F1866" t="s">
        <v>186</v>
      </c>
      <c r="G1866">
        <v>341240</v>
      </c>
      <c r="H1866">
        <v>141360</v>
      </c>
      <c r="I1866">
        <v>43200</v>
      </c>
      <c r="J1866">
        <v>0</v>
      </c>
      <c r="K1866">
        <v>105930</v>
      </c>
      <c r="L1866">
        <v>131400</v>
      </c>
      <c r="M1866">
        <v>58950</v>
      </c>
      <c r="N1866">
        <v>271260</v>
      </c>
      <c r="O1866">
        <v>13410</v>
      </c>
      <c r="P1866">
        <v>0</v>
      </c>
      <c r="Q1866">
        <v>0</v>
      </c>
      <c r="R1866">
        <v>33300</v>
      </c>
      <c r="S1866">
        <v>9000</v>
      </c>
      <c r="T1866">
        <v>0</v>
      </c>
      <c r="U1866">
        <v>0</v>
      </c>
      <c r="V1866">
        <v>0</v>
      </c>
      <c r="W1866">
        <v>2045</v>
      </c>
      <c r="X1866">
        <v>535</v>
      </c>
      <c r="Y1866">
        <v>0</v>
      </c>
      <c r="Z1866" cm="1">
        <f t="array" ref="Z1866">MMULT($G1866:$Y1866,'Nelson Factor_2019'!$B$1:$B$19)/$G1866</f>
        <v>12.289702262337357</v>
      </c>
      <c r="AA1866" cm="1">
        <f t="array" ref="AA1866">MMULT($G1866:$R1866,'Nelson Factor_2019'!$B$1:$B$12)/$G1866</f>
        <v>10.330963544719259</v>
      </c>
    </row>
    <row r="1867" spans="1:27" x14ac:dyDescent="0.25">
      <c r="A1867">
        <v>2019</v>
      </c>
      <c r="B1867">
        <v>3</v>
      </c>
      <c r="C1867">
        <v>3</v>
      </c>
      <c r="D1867" t="s">
        <v>287</v>
      </c>
      <c r="E1867" t="s">
        <v>370</v>
      </c>
      <c r="F1867" t="s">
        <v>179</v>
      </c>
      <c r="G1867">
        <v>298000</v>
      </c>
      <c r="H1867">
        <v>87500</v>
      </c>
      <c r="I1867">
        <v>0</v>
      </c>
      <c r="J1867">
        <v>0</v>
      </c>
      <c r="K1867">
        <v>104700</v>
      </c>
      <c r="L1867">
        <v>56000</v>
      </c>
      <c r="M1867">
        <v>14000</v>
      </c>
      <c r="N1867">
        <v>303000</v>
      </c>
      <c r="O1867">
        <v>14800</v>
      </c>
      <c r="P1867">
        <v>0</v>
      </c>
      <c r="Q1867">
        <v>0</v>
      </c>
      <c r="R1867">
        <v>0</v>
      </c>
      <c r="S1867">
        <v>0</v>
      </c>
      <c r="T1867">
        <v>0</v>
      </c>
      <c r="U1867">
        <v>0</v>
      </c>
      <c r="V1867">
        <v>0</v>
      </c>
      <c r="W1867">
        <v>798</v>
      </c>
      <c r="X1867">
        <v>322</v>
      </c>
      <c r="Y1867">
        <v>0</v>
      </c>
      <c r="Z1867" cm="1">
        <f t="array" ref="Z1867">MMULT($G1867:$Y1867,'Nelson Factor_2019'!$B$1:$B$19)/$G1867</f>
        <v>8.1031208053691284</v>
      </c>
      <c r="AA1867" cm="1">
        <f t="array" ref="AA1867">MMULT($G1867:$R1867,'Nelson Factor_2019'!$B$1:$B$12)/$G1867</f>
        <v>7.8437919463087251</v>
      </c>
    </row>
    <row r="1868" spans="1:27" x14ac:dyDescent="0.25">
      <c r="A1868">
        <v>2019</v>
      </c>
      <c r="B1868">
        <v>3</v>
      </c>
      <c r="C1868">
        <v>4</v>
      </c>
      <c r="D1868" t="s">
        <v>287</v>
      </c>
      <c r="E1868" t="s">
        <v>411</v>
      </c>
      <c r="F1868" t="s">
        <v>190</v>
      </c>
      <c r="G1868">
        <v>287185</v>
      </c>
      <c r="H1868">
        <v>191900</v>
      </c>
      <c r="I1868">
        <v>89550</v>
      </c>
      <c r="J1868">
        <v>0</v>
      </c>
      <c r="K1868">
        <v>99000</v>
      </c>
      <c r="L1868">
        <v>0</v>
      </c>
      <c r="M1868">
        <v>0</v>
      </c>
      <c r="N1868">
        <v>354128</v>
      </c>
      <c r="O1868">
        <v>10125</v>
      </c>
      <c r="P1868">
        <v>0</v>
      </c>
      <c r="Q1868">
        <v>17370</v>
      </c>
      <c r="R1868">
        <v>0</v>
      </c>
      <c r="S1868">
        <v>3506</v>
      </c>
      <c r="T1868">
        <v>0</v>
      </c>
      <c r="U1868">
        <v>0</v>
      </c>
      <c r="V1868">
        <v>0</v>
      </c>
      <c r="W1868">
        <v>4060</v>
      </c>
      <c r="X1868">
        <v>1019</v>
      </c>
      <c r="Y1868">
        <v>0</v>
      </c>
      <c r="Z1868" cm="1">
        <f t="array" ref="Z1868">MMULT($G1868:$Y1868,'Nelson Factor_2019'!$B$1:$B$19)/$G1868</f>
        <v>12.504726918188624</v>
      </c>
      <c r="AA1868" cm="1">
        <f t="array" ref="AA1868">MMULT($G1868:$R1868,'Nelson Factor_2019'!$B$1:$B$12)/$G1868</f>
        <v>10.920660898027403</v>
      </c>
    </row>
    <row r="1869" spans="1:27" x14ac:dyDescent="0.25">
      <c r="A1869">
        <v>2019</v>
      </c>
      <c r="B1869">
        <v>3</v>
      </c>
      <c r="C1869">
        <v>6</v>
      </c>
      <c r="D1869" t="s">
        <v>287</v>
      </c>
      <c r="E1869" t="s">
        <v>246</v>
      </c>
      <c r="F1869" t="s">
        <v>178</v>
      </c>
      <c r="G1869">
        <v>585000</v>
      </c>
      <c r="H1869">
        <v>246100</v>
      </c>
      <c r="I1869">
        <v>29800</v>
      </c>
      <c r="J1869">
        <v>0</v>
      </c>
      <c r="K1869">
        <v>194300</v>
      </c>
      <c r="L1869">
        <v>135400</v>
      </c>
      <c r="M1869">
        <v>154900</v>
      </c>
      <c r="N1869">
        <v>399200</v>
      </c>
      <c r="O1869">
        <v>55200</v>
      </c>
      <c r="P1869">
        <v>0</v>
      </c>
      <c r="Q1869">
        <v>37500</v>
      </c>
      <c r="R1869">
        <v>0</v>
      </c>
      <c r="S1869">
        <v>0</v>
      </c>
      <c r="T1869">
        <v>0</v>
      </c>
      <c r="U1869">
        <v>22.8</v>
      </c>
      <c r="V1869">
        <v>0</v>
      </c>
      <c r="W1869">
        <v>2053</v>
      </c>
      <c r="X1869">
        <v>1375</v>
      </c>
      <c r="Y1869">
        <v>0</v>
      </c>
      <c r="Z1869" cm="1">
        <f t="array" ref="Z1869">MMULT($G1869:$Y1869,'Nelson Factor_2019'!$B$1:$B$19)/$G1869</f>
        <v>11.693081709401708</v>
      </c>
      <c r="AA1869" cm="1">
        <f t="array" ref="AA1869">MMULT($G1869:$R1869,'Nelson Factor_2019'!$B$1:$B$12)/$G1869</f>
        <v>11.128940170940171</v>
      </c>
    </row>
    <row r="1870" spans="1:27" x14ac:dyDescent="0.25">
      <c r="A1870">
        <v>2019</v>
      </c>
      <c r="B1870">
        <v>3</v>
      </c>
      <c r="C1870">
        <v>6</v>
      </c>
      <c r="D1870" t="s">
        <v>287</v>
      </c>
      <c r="E1870" t="s">
        <v>112</v>
      </c>
      <c r="F1870" t="s">
        <v>191</v>
      </c>
      <c r="G1870">
        <v>603000</v>
      </c>
      <c r="H1870">
        <v>309000</v>
      </c>
      <c r="I1870">
        <v>150000</v>
      </c>
      <c r="J1870">
        <v>0</v>
      </c>
      <c r="K1870">
        <v>88000</v>
      </c>
      <c r="L1870">
        <v>106000</v>
      </c>
      <c r="M1870">
        <v>118700</v>
      </c>
      <c r="N1870">
        <v>480500</v>
      </c>
      <c r="O1870">
        <v>19000</v>
      </c>
      <c r="P1870">
        <v>0</v>
      </c>
      <c r="Q1870">
        <v>0</v>
      </c>
      <c r="R1870">
        <v>41925</v>
      </c>
      <c r="S1870">
        <v>34125</v>
      </c>
      <c r="T1870">
        <v>0</v>
      </c>
      <c r="U1870">
        <v>40</v>
      </c>
      <c r="V1870">
        <v>0</v>
      </c>
      <c r="W1870">
        <v>8862</v>
      </c>
      <c r="X1870">
        <v>1509</v>
      </c>
      <c r="Y1870">
        <v>0</v>
      </c>
      <c r="Z1870" cm="1">
        <f t="array" ref="Z1870">MMULT($G1870:$Y1870,'Nelson Factor_2019'!$B$1:$B$19)/$G1870</f>
        <v>13.373175787728027</v>
      </c>
      <c r="AA1870" cm="1">
        <f t="array" ref="AA1870">MMULT($G1870:$R1870,'Nelson Factor_2019'!$B$1:$B$12)/$G1870</f>
        <v>9.3769900497512442</v>
      </c>
    </row>
    <row r="1871" spans="1:27" x14ac:dyDescent="0.25">
      <c r="A1871">
        <v>2019</v>
      </c>
      <c r="B1871">
        <v>3</v>
      </c>
      <c r="C1871">
        <v>4</v>
      </c>
      <c r="D1871" t="s">
        <v>287</v>
      </c>
      <c r="E1871" t="s">
        <v>421</v>
      </c>
      <c r="F1871" t="s">
        <v>179</v>
      </c>
      <c r="G1871">
        <v>155325</v>
      </c>
      <c r="H1871">
        <v>81035</v>
      </c>
      <c r="I1871">
        <v>40410</v>
      </c>
      <c r="J1871">
        <v>0</v>
      </c>
      <c r="K1871">
        <v>75420</v>
      </c>
      <c r="L1871">
        <v>46350</v>
      </c>
      <c r="M1871">
        <v>0</v>
      </c>
      <c r="N1871">
        <v>228420</v>
      </c>
      <c r="O1871">
        <v>21600</v>
      </c>
      <c r="P1871">
        <v>0</v>
      </c>
      <c r="Q1871">
        <v>14580</v>
      </c>
      <c r="R1871">
        <v>0</v>
      </c>
      <c r="S1871">
        <v>0</v>
      </c>
      <c r="T1871">
        <v>0</v>
      </c>
      <c r="U1871">
        <v>0</v>
      </c>
      <c r="V1871">
        <v>0</v>
      </c>
      <c r="W1871">
        <v>2334</v>
      </c>
      <c r="X1871">
        <v>334</v>
      </c>
      <c r="Y1871">
        <v>0</v>
      </c>
      <c r="Z1871" cm="1">
        <f t="array" ref="Z1871">MMULT($G1871:$Y1871,'Nelson Factor_2019'!$B$1:$B$19)/$G1871</f>
        <v>15.495416063093513</v>
      </c>
      <c r="AA1871" cm="1">
        <f t="array" ref="AA1871">MMULT($G1871:$R1871,'Nelson Factor_2019'!$B$1:$B$12)/$G1871</f>
        <v>14.979336874295832</v>
      </c>
    </row>
    <row r="1872" spans="1:27" x14ac:dyDescent="0.25">
      <c r="A1872">
        <v>2019</v>
      </c>
      <c r="B1872">
        <v>3</v>
      </c>
      <c r="C1872">
        <v>1</v>
      </c>
      <c r="D1872" t="s">
        <v>287</v>
      </c>
      <c r="E1872" t="s">
        <v>412</v>
      </c>
      <c r="F1872" t="s">
        <v>184</v>
      </c>
      <c r="G1872">
        <v>109915</v>
      </c>
      <c r="H1872">
        <v>36100</v>
      </c>
      <c r="I1872">
        <v>0</v>
      </c>
      <c r="J1872">
        <v>0</v>
      </c>
      <c r="K1872">
        <v>46800</v>
      </c>
      <c r="L1872">
        <v>19800</v>
      </c>
      <c r="M1872">
        <v>0</v>
      </c>
      <c r="N1872">
        <v>70200</v>
      </c>
      <c r="O1872">
        <v>11250</v>
      </c>
      <c r="P1872">
        <v>0</v>
      </c>
      <c r="Q1872">
        <v>0</v>
      </c>
      <c r="R1872">
        <v>0</v>
      </c>
      <c r="S1872">
        <v>0</v>
      </c>
      <c r="T1872">
        <v>0</v>
      </c>
      <c r="U1872">
        <v>0</v>
      </c>
      <c r="V1872">
        <v>0</v>
      </c>
      <c r="W1872">
        <v>0</v>
      </c>
      <c r="X1872">
        <v>25</v>
      </c>
      <c r="Y1872">
        <v>0</v>
      </c>
      <c r="Z1872" cm="1">
        <f t="array" ref="Z1872">MMULT($G1872:$Y1872,'Nelson Factor_2019'!$B$1:$B$19)/$G1872</f>
        <v>7.5571578037574492</v>
      </c>
      <c r="AA1872" cm="1">
        <f t="array" ref="AA1872">MMULT($G1872:$R1872,'Nelson Factor_2019'!$B$1:$B$12)/$G1872</f>
        <v>7.5025701678569803</v>
      </c>
    </row>
    <row r="1873" spans="1:27" x14ac:dyDescent="0.25">
      <c r="A1873">
        <v>2019</v>
      </c>
      <c r="B1873">
        <v>3</v>
      </c>
      <c r="C1873">
        <v>4</v>
      </c>
      <c r="D1873" t="s">
        <v>287</v>
      </c>
      <c r="E1873" t="s">
        <v>362</v>
      </c>
      <c r="F1873" t="s">
        <v>182</v>
      </c>
      <c r="G1873">
        <v>264500</v>
      </c>
      <c r="H1873">
        <v>125500</v>
      </c>
      <c r="I1873">
        <v>70900</v>
      </c>
      <c r="J1873">
        <v>0</v>
      </c>
      <c r="K1873">
        <v>97000</v>
      </c>
      <c r="L1873">
        <v>37500</v>
      </c>
      <c r="M1873">
        <v>0</v>
      </c>
      <c r="N1873">
        <v>355000</v>
      </c>
      <c r="O1873">
        <v>21600</v>
      </c>
      <c r="P1873">
        <v>0</v>
      </c>
      <c r="Q1873">
        <v>18500</v>
      </c>
      <c r="R1873">
        <v>9100</v>
      </c>
      <c r="S1873">
        <v>0</v>
      </c>
      <c r="T1873">
        <v>0</v>
      </c>
      <c r="U1873">
        <v>140</v>
      </c>
      <c r="V1873">
        <v>0</v>
      </c>
      <c r="W1873">
        <v>4000</v>
      </c>
      <c r="X1873">
        <v>617</v>
      </c>
      <c r="Y1873">
        <v>0</v>
      </c>
      <c r="Z1873" cm="1">
        <f t="array" ref="Z1873">MMULT($G1873:$Y1873,'Nelson Factor_2019'!$B$1:$B$19)/$G1873</f>
        <v>12.770964083175803</v>
      </c>
      <c r="AA1873" cm="1">
        <f t="array" ref="AA1873">MMULT($G1873:$R1873,'Nelson Factor_2019'!$B$1:$B$12)/$G1873</f>
        <v>12.210586011342155</v>
      </c>
    </row>
    <row r="1874" spans="1:27" x14ac:dyDescent="0.25">
      <c r="A1874">
        <v>2019</v>
      </c>
      <c r="B1874">
        <v>3</v>
      </c>
      <c r="C1874">
        <v>6</v>
      </c>
      <c r="D1874" t="s">
        <v>287</v>
      </c>
      <c r="E1874" t="s">
        <v>388</v>
      </c>
      <c r="F1874" t="s">
        <v>193</v>
      </c>
      <c r="G1874">
        <v>323000</v>
      </c>
      <c r="H1874">
        <v>171000</v>
      </c>
      <c r="I1874">
        <v>81000</v>
      </c>
      <c r="J1874">
        <v>0</v>
      </c>
      <c r="K1874">
        <v>72000</v>
      </c>
      <c r="L1874">
        <v>62550</v>
      </c>
      <c r="M1874">
        <v>54000</v>
      </c>
      <c r="N1874">
        <v>338400</v>
      </c>
      <c r="O1874">
        <v>16650</v>
      </c>
      <c r="P1874">
        <v>0</v>
      </c>
      <c r="Q1874">
        <v>0</v>
      </c>
      <c r="R1874">
        <v>0</v>
      </c>
      <c r="S1874">
        <v>0</v>
      </c>
      <c r="T1874">
        <v>0</v>
      </c>
      <c r="U1874">
        <v>0</v>
      </c>
      <c r="V1874">
        <v>0</v>
      </c>
      <c r="W1874">
        <v>4771</v>
      </c>
      <c r="X1874">
        <v>984</v>
      </c>
      <c r="Y1874">
        <v>0</v>
      </c>
      <c r="Z1874" cm="1">
        <f t="array" ref="Z1874">MMULT($G1874:$Y1874,'Nelson Factor_2019'!$B$1:$B$19)/$G1874</f>
        <v>11.078049535603714</v>
      </c>
      <c r="AA1874" cm="1">
        <f t="array" ref="AA1874">MMULT($G1874:$R1874,'Nelson Factor_2019'!$B$1:$B$12)/$G1874</f>
        <v>10.346904024767802</v>
      </c>
    </row>
    <row r="1875" spans="1:27" x14ac:dyDescent="0.25">
      <c r="A1875">
        <v>2019</v>
      </c>
      <c r="B1875">
        <v>3</v>
      </c>
      <c r="C1875">
        <v>4</v>
      </c>
      <c r="D1875" t="s">
        <v>287</v>
      </c>
      <c r="E1875" t="s">
        <v>194</v>
      </c>
      <c r="F1875" t="s">
        <v>191</v>
      </c>
      <c r="G1875">
        <v>232750</v>
      </c>
      <c r="H1875">
        <v>100035</v>
      </c>
      <c r="I1875">
        <v>54000</v>
      </c>
      <c r="J1875">
        <v>0</v>
      </c>
      <c r="K1875">
        <v>72000</v>
      </c>
      <c r="L1875">
        <v>38700</v>
      </c>
      <c r="M1875">
        <v>0</v>
      </c>
      <c r="N1875">
        <v>238050</v>
      </c>
      <c r="O1875">
        <v>6030</v>
      </c>
      <c r="P1875">
        <v>0</v>
      </c>
      <c r="Q1875">
        <v>12240</v>
      </c>
      <c r="R1875">
        <v>7020</v>
      </c>
      <c r="S1875">
        <v>0</v>
      </c>
      <c r="T1875">
        <v>0</v>
      </c>
      <c r="U1875">
        <v>0</v>
      </c>
      <c r="V1875">
        <v>0</v>
      </c>
      <c r="W1875">
        <v>2611</v>
      </c>
      <c r="X1875">
        <v>731</v>
      </c>
      <c r="Y1875">
        <v>0</v>
      </c>
      <c r="Z1875" cm="1">
        <f t="array" ref="Z1875">MMULT($G1875:$Y1875,'Nelson Factor_2019'!$B$1:$B$19)/$G1875</f>
        <v>10.698262083780881</v>
      </c>
      <c r="AA1875" cm="1">
        <f t="array" ref="AA1875">MMULT($G1875:$R1875,'Nelson Factor_2019'!$B$1:$B$12)/$G1875</f>
        <v>9.9444919441460797</v>
      </c>
    </row>
    <row r="1876" spans="1:27" x14ac:dyDescent="0.25">
      <c r="A1876">
        <v>2019</v>
      </c>
      <c r="B1876">
        <v>3</v>
      </c>
      <c r="C1876">
        <v>6</v>
      </c>
      <c r="D1876" t="s">
        <v>287</v>
      </c>
      <c r="E1876" t="s">
        <v>66</v>
      </c>
      <c r="F1876" t="s">
        <v>191</v>
      </c>
      <c r="G1876">
        <v>394250</v>
      </c>
      <c r="H1876">
        <v>209000</v>
      </c>
      <c r="I1876">
        <v>89640</v>
      </c>
      <c r="J1876">
        <v>0</v>
      </c>
      <c r="K1876">
        <v>67500</v>
      </c>
      <c r="L1876">
        <v>49500</v>
      </c>
      <c r="M1876">
        <v>110700</v>
      </c>
      <c r="N1876">
        <v>298170</v>
      </c>
      <c r="O1876">
        <v>17550</v>
      </c>
      <c r="P1876">
        <v>0</v>
      </c>
      <c r="Q1876">
        <v>0</v>
      </c>
      <c r="R1876">
        <v>0</v>
      </c>
      <c r="S1876">
        <v>0</v>
      </c>
      <c r="T1876">
        <v>0</v>
      </c>
      <c r="U1876">
        <v>0</v>
      </c>
      <c r="V1876">
        <v>0</v>
      </c>
      <c r="W1876">
        <v>4385</v>
      </c>
      <c r="X1876">
        <v>1352</v>
      </c>
      <c r="Y1876">
        <v>0</v>
      </c>
      <c r="Z1876" cm="1">
        <f t="array" ref="Z1876">MMULT($G1876:$Y1876,'Nelson Factor_2019'!$B$1:$B$19)/$G1876</f>
        <v>10.454673430564362</v>
      </c>
      <c r="AA1876" cm="1">
        <f t="array" ref="AA1876">MMULT($G1876:$R1876,'Nelson Factor_2019'!$B$1:$B$12)/$G1876</f>
        <v>9.6316423589093212</v>
      </c>
    </row>
    <row r="1877" spans="1:27" x14ac:dyDescent="0.25">
      <c r="A1877">
        <v>2019</v>
      </c>
      <c r="B1877">
        <v>3</v>
      </c>
      <c r="C1877">
        <v>3</v>
      </c>
      <c r="D1877" t="s">
        <v>287</v>
      </c>
      <c r="E1877" t="s">
        <v>66</v>
      </c>
      <c r="F1877" t="s">
        <v>195</v>
      </c>
      <c r="G1877">
        <v>185250</v>
      </c>
      <c r="H1877">
        <v>47500</v>
      </c>
      <c r="I1877">
        <v>0</v>
      </c>
      <c r="J1877">
        <v>0</v>
      </c>
      <c r="K1877">
        <v>49050</v>
      </c>
      <c r="L1877">
        <v>42300</v>
      </c>
      <c r="M1877">
        <v>24300</v>
      </c>
      <c r="N1877">
        <v>117090</v>
      </c>
      <c r="O1877">
        <v>8820</v>
      </c>
      <c r="P1877">
        <v>0</v>
      </c>
      <c r="Q1877">
        <v>0</v>
      </c>
      <c r="R1877">
        <v>2700</v>
      </c>
      <c r="S1877">
        <v>0</v>
      </c>
      <c r="T1877">
        <v>0</v>
      </c>
      <c r="U1877">
        <v>30</v>
      </c>
      <c r="V1877">
        <v>0</v>
      </c>
      <c r="W1877">
        <v>0</v>
      </c>
      <c r="X1877">
        <v>68</v>
      </c>
      <c r="Y1877">
        <v>10800</v>
      </c>
      <c r="Z1877" cm="1">
        <f t="array" ref="Z1877">MMULT($G1877:$Y1877,'Nelson Factor_2019'!$B$1:$B$19)/$G1877</f>
        <v>7.3887989203778677</v>
      </c>
      <c r="AA1877" cm="1">
        <f t="array" ref="AA1877">MMULT($G1877:$R1877,'Nelson Factor_2019'!$B$1:$B$12)/$G1877</f>
        <v>7.213090418353576</v>
      </c>
    </row>
    <row r="1878" spans="1:27" x14ac:dyDescent="0.25">
      <c r="A1878">
        <v>2019</v>
      </c>
      <c r="B1878">
        <v>3</v>
      </c>
      <c r="C1878">
        <v>3</v>
      </c>
      <c r="D1878" t="s">
        <v>287</v>
      </c>
      <c r="E1878" t="s">
        <v>66</v>
      </c>
      <c r="F1878" t="s">
        <v>196</v>
      </c>
      <c r="G1878">
        <v>86450</v>
      </c>
      <c r="H1878">
        <v>31825</v>
      </c>
      <c r="I1878">
        <v>0</v>
      </c>
      <c r="J1878">
        <v>0</v>
      </c>
      <c r="K1878">
        <v>21150</v>
      </c>
      <c r="L1878">
        <v>30150</v>
      </c>
      <c r="M1878">
        <v>25200</v>
      </c>
      <c r="N1878">
        <v>71100</v>
      </c>
      <c r="O1878">
        <v>5850</v>
      </c>
      <c r="P1878">
        <v>0</v>
      </c>
      <c r="Q1878">
        <v>9720</v>
      </c>
      <c r="R1878">
        <v>2700</v>
      </c>
      <c r="S1878">
        <v>1710</v>
      </c>
      <c r="T1878">
        <v>0</v>
      </c>
      <c r="U1878">
        <v>0</v>
      </c>
      <c r="V1878">
        <v>0</v>
      </c>
      <c r="W1878">
        <v>0</v>
      </c>
      <c r="X1878">
        <v>122</v>
      </c>
      <c r="Y1878">
        <v>0</v>
      </c>
      <c r="Z1878" cm="1">
        <f t="array" ref="Z1878">MMULT($G1878:$Y1878,'Nelson Factor_2019'!$B$1:$B$19)/$G1878</f>
        <v>13.622932330827068</v>
      </c>
      <c r="AA1878" cm="1">
        <f t="array" ref="AA1878">MMULT($G1878:$R1878,'Nelson Factor_2019'!$B$1:$B$12)/$G1878</f>
        <v>12.097426257952574</v>
      </c>
    </row>
    <row r="1879" spans="1:27" x14ac:dyDescent="0.25">
      <c r="A1879">
        <v>2019</v>
      </c>
      <c r="B1879">
        <v>3</v>
      </c>
      <c r="C1879">
        <v>6</v>
      </c>
      <c r="D1879" t="s">
        <v>287</v>
      </c>
      <c r="E1879" t="s">
        <v>66</v>
      </c>
      <c r="F1879" t="s">
        <v>179</v>
      </c>
      <c r="G1879">
        <v>285000</v>
      </c>
      <c r="H1879">
        <v>92150</v>
      </c>
      <c r="I1879">
        <v>15300</v>
      </c>
      <c r="J1879">
        <v>0</v>
      </c>
      <c r="K1879">
        <v>85950</v>
      </c>
      <c r="L1879">
        <v>44100</v>
      </c>
      <c r="M1879">
        <v>45000</v>
      </c>
      <c r="N1879">
        <v>272025</v>
      </c>
      <c r="O1879">
        <v>19170</v>
      </c>
      <c r="P1879">
        <v>0</v>
      </c>
      <c r="Q1879">
        <v>13950</v>
      </c>
      <c r="R1879">
        <v>26100</v>
      </c>
      <c r="S1879">
        <v>0</v>
      </c>
      <c r="T1879">
        <v>0</v>
      </c>
      <c r="U1879">
        <v>275</v>
      </c>
      <c r="V1879">
        <v>0</v>
      </c>
      <c r="W1879">
        <v>853</v>
      </c>
      <c r="X1879">
        <v>1168</v>
      </c>
      <c r="Y1879">
        <v>34200</v>
      </c>
      <c r="Z1879" cm="1">
        <f t="array" ref="Z1879">MMULT($G1879:$Y1879,'Nelson Factor_2019'!$B$1:$B$19)/$G1879</f>
        <v>11.146324561403508</v>
      </c>
      <c r="AA1879" cm="1">
        <f t="array" ref="AA1879">MMULT($G1879:$R1879,'Nelson Factor_2019'!$B$1:$B$12)/$G1879</f>
        <v>9.9817807017543867</v>
      </c>
    </row>
    <row r="1880" spans="1:27" x14ac:dyDescent="0.25">
      <c r="A1880">
        <v>2019</v>
      </c>
      <c r="B1880">
        <v>3</v>
      </c>
      <c r="C1880">
        <v>3</v>
      </c>
      <c r="D1880" t="s">
        <v>287</v>
      </c>
      <c r="E1880" t="s">
        <v>66</v>
      </c>
      <c r="F1880" t="s">
        <v>190</v>
      </c>
      <c r="G1880">
        <v>198075</v>
      </c>
      <c r="H1880">
        <v>37050</v>
      </c>
      <c r="I1880">
        <v>0</v>
      </c>
      <c r="J1880">
        <v>0</v>
      </c>
      <c r="K1880">
        <v>67500</v>
      </c>
      <c r="L1880">
        <v>0</v>
      </c>
      <c r="M1880">
        <v>30600</v>
      </c>
      <c r="N1880">
        <v>86850</v>
      </c>
      <c r="O1880">
        <v>10800</v>
      </c>
      <c r="P1880">
        <v>0</v>
      </c>
      <c r="Q1880">
        <v>0</v>
      </c>
      <c r="R1880">
        <v>0</v>
      </c>
      <c r="S1880">
        <v>0</v>
      </c>
      <c r="T1880">
        <v>0</v>
      </c>
      <c r="U1880">
        <v>0</v>
      </c>
      <c r="V1880">
        <v>0</v>
      </c>
      <c r="W1880">
        <v>0</v>
      </c>
      <c r="X1880">
        <v>300</v>
      </c>
      <c r="Y1880">
        <v>0</v>
      </c>
      <c r="Z1880" cm="1">
        <f t="array" ref="Z1880">MMULT($G1880:$Y1880,'Nelson Factor_2019'!$B$1:$B$19)/$G1880</f>
        <v>6.5286633850814084</v>
      </c>
      <c r="AA1880" cm="1">
        <f t="array" ref="AA1880">MMULT($G1880:$R1880,'Nelson Factor_2019'!$B$1:$B$12)/$G1880</f>
        <v>6.1651647103369935</v>
      </c>
    </row>
    <row r="1881" spans="1:27" x14ac:dyDescent="0.25">
      <c r="A1881">
        <v>2019</v>
      </c>
      <c r="B1881">
        <v>3</v>
      </c>
      <c r="C1881">
        <v>4</v>
      </c>
      <c r="D1881" t="s">
        <v>287</v>
      </c>
      <c r="E1881" t="s">
        <v>66</v>
      </c>
      <c r="F1881" t="s">
        <v>178</v>
      </c>
      <c r="G1881">
        <v>219450</v>
      </c>
      <c r="H1881">
        <v>126825</v>
      </c>
      <c r="I1881">
        <v>48150</v>
      </c>
      <c r="J1881">
        <v>0</v>
      </c>
      <c r="K1881">
        <v>77400</v>
      </c>
      <c r="L1881">
        <v>16290</v>
      </c>
      <c r="M1881">
        <v>0</v>
      </c>
      <c r="N1881">
        <v>257400</v>
      </c>
      <c r="O1881">
        <v>13230</v>
      </c>
      <c r="P1881">
        <v>0</v>
      </c>
      <c r="Q1881">
        <v>0</v>
      </c>
      <c r="R1881">
        <v>5850</v>
      </c>
      <c r="S1881">
        <v>0</v>
      </c>
      <c r="T1881">
        <v>0</v>
      </c>
      <c r="U1881">
        <v>0</v>
      </c>
      <c r="V1881">
        <v>0</v>
      </c>
      <c r="W1881">
        <v>2584</v>
      </c>
      <c r="X1881">
        <v>617</v>
      </c>
      <c r="Y1881">
        <v>0</v>
      </c>
      <c r="Z1881" cm="1">
        <f t="array" ref="Z1881">MMULT($G1881:$Y1881,'Nelson Factor_2019'!$B$1:$B$19)/$G1881</f>
        <v>10.174196855775802</v>
      </c>
      <c r="AA1881" cm="1">
        <f t="array" ref="AA1881">MMULT($G1881:$R1881,'Nelson Factor_2019'!$B$1:$B$12)/$G1881</f>
        <v>9.4994190020505815</v>
      </c>
    </row>
    <row r="1882" spans="1:27" x14ac:dyDescent="0.25">
      <c r="A1882">
        <v>2019</v>
      </c>
      <c r="B1882">
        <v>3</v>
      </c>
      <c r="C1882">
        <v>1</v>
      </c>
      <c r="D1882" t="s">
        <v>287</v>
      </c>
      <c r="E1882" t="s">
        <v>246</v>
      </c>
      <c r="F1882" t="s">
        <v>198</v>
      </c>
      <c r="G1882">
        <v>131000</v>
      </c>
      <c r="H1882">
        <v>52200</v>
      </c>
      <c r="I1882">
        <v>0</v>
      </c>
      <c r="J1882">
        <v>0</v>
      </c>
      <c r="K1882">
        <v>33300</v>
      </c>
      <c r="L1882">
        <v>26600</v>
      </c>
      <c r="M1882">
        <v>0</v>
      </c>
      <c r="N1882">
        <v>122300</v>
      </c>
      <c r="O1882">
        <v>11900</v>
      </c>
      <c r="P1882">
        <v>0</v>
      </c>
      <c r="Q1882">
        <v>0</v>
      </c>
      <c r="R1882">
        <v>6900</v>
      </c>
      <c r="S1882">
        <v>0</v>
      </c>
      <c r="T1882">
        <v>0</v>
      </c>
      <c r="U1882">
        <v>12</v>
      </c>
      <c r="V1882">
        <v>0</v>
      </c>
      <c r="W1882">
        <v>0</v>
      </c>
      <c r="X1882">
        <v>0</v>
      </c>
      <c r="Y1882">
        <v>3800</v>
      </c>
      <c r="Z1882" cm="1">
        <f t="array" ref="Z1882">MMULT($G1882:$Y1882,'Nelson Factor_2019'!$B$1:$B$19)/$G1882</f>
        <v>7.5024580152671758</v>
      </c>
      <c r="AA1882" cm="1">
        <f t="array" ref="AA1882">MMULT($G1882:$R1882,'Nelson Factor_2019'!$B$1:$B$12)/$G1882</f>
        <v>7.4588549618320608</v>
      </c>
    </row>
    <row r="1883" spans="1:27" x14ac:dyDescent="0.25">
      <c r="A1883">
        <v>2019</v>
      </c>
      <c r="B1883">
        <v>3</v>
      </c>
      <c r="C1883">
        <v>4</v>
      </c>
      <c r="D1883" t="s">
        <v>287</v>
      </c>
      <c r="E1883" t="s">
        <v>377</v>
      </c>
      <c r="F1883" t="s">
        <v>181</v>
      </c>
      <c r="G1883">
        <v>149000</v>
      </c>
      <c r="H1883">
        <v>77000</v>
      </c>
      <c r="I1883">
        <v>27000</v>
      </c>
      <c r="J1883">
        <v>0</v>
      </c>
      <c r="K1883">
        <v>50000</v>
      </c>
      <c r="L1883">
        <v>28000</v>
      </c>
      <c r="M1883">
        <v>0</v>
      </c>
      <c r="N1883">
        <v>147000</v>
      </c>
      <c r="O1883">
        <v>17000</v>
      </c>
      <c r="P1883">
        <v>0</v>
      </c>
      <c r="Q1883">
        <v>0</v>
      </c>
      <c r="R1883">
        <v>43000</v>
      </c>
      <c r="S1883">
        <v>0</v>
      </c>
      <c r="T1883">
        <v>0</v>
      </c>
      <c r="U1883">
        <v>96</v>
      </c>
      <c r="V1883">
        <v>0</v>
      </c>
      <c r="W1883">
        <v>1250</v>
      </c>
      <c r="X1883">
        <v>340</v>
      </c>
      <c r="Y1883">
        <v>0</v>
      </c>
      <c r="Z1883" cm="1">
        <f t="array" ref="Z1883">MMULT($G1883:$Y1883,'Nelson Factor_2019'!$B$1:$B$19)/$G1883</f>
        <v>11.005342281879194</v>
      </c>
      <c r="AA1883" cm="1">
        <f t="array" ref="AA1883">MMULT($G1883:$R1883,'Nelson Factor_2019'!$B$1:$B$12)/$G1883</f>
        <v>10.457046979865773</v>
      </c>
    </row>
    <row r="1884" spans="1:27" x14ac:dyDescent="0.25">
      <c r="A1884">
        <v>2019</v>
      </c>
      <c r="B1884">
        <v>4</v>
      </c>
      <c r="C1884">
        <v>4</v>
      </c>
      <c r="D1884" t="s">
        <v>289</v>
      </c>
      <c r="E1884" t="s">
        <v>227</v>
      </c>
      <c r="F1884" t="s">
        <v>201</v>
      </c>
      <c r="G1884">
        <v>53000</v>
      </c>
      <c r="H1884">
        <v>25600</v>
      </c>
      <c r="I1884">
        <v>9000</v>
      </c>
      <c r="J1884">
        <v>0</v>
      </c>
      <c r="K1884">
        <v>14000</v>
      </c>
      <c r="L1884">
        <v>7600</v>
      </c>
      <c r="M1884">
        <v>0</v>
      </c>
      <c r="N1884">
        <v>41800</v>
      </c>
      <c r="O1884">
        <v>4500</v>
      </c>
      <c r="P1884">
        <v>0</v>
      </c>
      <c r="Q1884">
        <v>0</v>
      </c>
      <c r="R1884">
        <v>1000</v>
      </c>
      <c r="S1884">
        <v>0</v>
      </c>
      <c r="T1884">
        <v>0</v>
      </c>
      <c r="U1884">
        <v>0</v>
      </c>
      <c r="V1884">
        <v>0</v>
      </c>
      <c r="W1884">
        <v>281</v>
      </c>
      <c r="X1884">
        <v>56</v>
      </c>
      <c r="Y1884">
        <v>0</v>
      </c>
      <c r="Z1884" cm="1">
        <f t="array" ref="Z1884">MMULT($G1884:$Y1884,'Nelson Factor_2019'!$B$1:$B$19)/$G1884</f>
        <v>8.3343396226415098</v>
      </c>
      <c r="AA1884" cm="1">
        <f t="array" ref="AA1884">MMULT($G1884:$R1884,'Nelson Factor_2019'!$B$1:$B$12)/$G1884</f>
        <v>8.0807547169811329</v>
      </c>
    </row>
    <row r="1885" spans="1:27" x14ac:dyDescent="0.25">
      <c r="A1885">
        <v>2019</v>
      </c>
      <c r="B1885">
        <v>4</v>
      </c>
      <c r="C1885">
        <v>1</v>
      </c>
      <c r="D1885" t="s">
        <v>289</v>
      </c>
      <c r="E1885" t="s">
        <v>413</v>
      </c>
      <c r="F1885" t="s">
        <v>378</v>
      </c>
      <c r="G1885">
        <v>30400</v>
      </c>
      <c r="H1885">
        <v>0</v>
      </c>
      <c r="I1885">
        <v>0</v>
      </c>
      <c r="J1885">
        <v>0</v>
      </c>
      <c r="K1885">
        <v>10350</v>
      </c>
      <c r="L1885">
        <v>7650</v>
      </c>
      <c r="M1885">
        <v>0</v>
      </c>
      <c r="N1885">
        <v>20250</v>
      </c>
      <c r="O1885">
        <v>2700</v>
      </c>
      <c r="P1885">
        <v>0</v>
      </c>
      <c r="Q1885">
        <v>0</v>
      </c>
      <c r="R1885">
        <v>4410</v>
      </c>
      <c r="S1885">
        <v>0</v>
      </c>
      <c r="T1885">
        <v>0</v>
      </c>
      <c r="U1885">
        <v>0</v>
      </c>
      <c r="V1885">
        <v>0</v>
      </c>
      <c r="W1885">
        <v>0</v>
      </c>
      <c r="X1885">
        <v>4</v>
      </c>
      <c r="Y1885">
        <v>0</v>
      </c>
      <c r="Z1885" cm="1">
        <f t="array" ref="Z1885">MMULT($G1885:$Y1885,'Nelson Factor_2019'!$B$1:$B$19)/$G1885</f>
        <v>7.3212171052631581</v>
      </c>
      <c r="AA1885" cm="1">
        <f t="array" ref="AA1885">MMULT($G1885:$R1885,'Nelson Factor_2019'!$B$1:$B$12)/$G1885</f>
        <v>7.2896381578947365</v>
      </c>
    </row>
    <row r="1886" spans="1:27" x14ac:dyDescent="0.25">
      <c r="A1886">
        <v>2019</v>
      </c>
      <c r="B1886">
        <v>4</v>
      </c>
      <c r="C1886">
        <v>3</v>
      </c>
      <c r="D1886" t="s">
        <v>289</v>
      </c>
      <c r="E1886" t="s">
        <v>251</v>
      </c>
      <c r="F1886" t="s">
        <v>203</v>
      </c>
      <c r="G1886">
        <v>39330</v>
      </c>
      <c r="H1886">
        <v>0</v>
      </c>
      <c r="I1886">
        <v>0</v>
      </c>
      <c r="J1886">
        <v>0</v>
      </c>
      <c r="K1886">
        <v>15750</v>
      </c>
      <c r="L1886">
        <v>7560</v>
      </c>
      <c r="M1886">
        <v>13500</v>
      </c>
      <c r="N1886">
        <v>23580</v>
      </c>
      <c r="O1886">
        <v>4770</v>
      </c>
      <c r="P1886">
        <v>0</v>
      </c>
      <c r="Q1886">
        <v>0</v>
      </c>
      <c r="R1886">
        <v>2700</v>
      </c>
      <c r="S1886">
        <v>0</v>
      </c>
      <c r="T1886">
        <v>0</v>
      </c>
      <c r="U1886">
        <v>0</v>
      </c>
      <c r="V1886">
        <v>0</v>
      </c>
      <c r="W1886">
        <v>0</v>
      </c>
      <c r="X1886">
        <v>9</v>
      </c>
      <c r="Y1886">
        <v>1620</v>
      </c>
      <c r="Z1886" cm="1">
        <f t="array" ref="Z1886">MMULT($G1886:$Y1886,'Nelson Factor_2019'!$B$1:$B$19)/$G1886</f>
        <v>10.144164759725401</v>
      </c>
      <c r="AA1886" cm="1">
        <f t="array" ref="AA1886">MMULT($G1886:$R1886,'Nelson Factor_2019'!$B$1:$B$12)/$G1886</f>
        <v>10.027459954233409</v>
      </c>
    </row>
    <row r="1887" spans="1:27" x14ac:dyDescent="0.25">
      <c r="A1887">
        <v>2019</v>
      </c>
      <c r="B1887">
        <v>4</v>
      </c>
      <c r="C1887">
        <v>0</v>
      </c>
      <c r="D1887" t="s">
        <v>289</v>
      </c>
      <c r="E1887" t="s">
        <v>204</v>
      </c>
      <c r="F1887" t="s">
        <v>203</v>
      </c>
      <c r="G1887">
        <v>14915</v>
      </c>
      <c r="H1887">
        <v>6650</v>
      </c>
      <c r="I1887">
        <v>0</v>
      </c>
      <c r="J1887">
        <v>0</v>
      </c>
      <c r="K1887">
        <v>0</v>
      </c>
      <c r="L1887">
        <v>0</v>
      </c>
      <c r="M1887">
        <v>0</v>
      </c>
      <c r="N1887">
        <v>3600</v>
      </c>
      <c r="O1887">
        <v>0</v>
      </c>
      <c r="P1887">
        <v>0</v>
      </c>
      <c r="Q1887">
        <v>0</v>
      </c>
      <c r="R1887">
        <v>0</v>
      </c>
      <c r="S1887">
        <v>0</v>
      </c>
      <c r="T1887">
        <v>0</v>
      </c>
      <c r="U1887">
        <v>0</v>
      </c>
      <c r="V1887">
        <v>0</v>
      </c>
      <c r="W1887">
        <v>0</v>
      </c>
      <c r="X1887">
        <v>0</v>
      </c>
      <c r="Y1887">
        <v>0</v>
      </c>
      <c r="Z1887" cm="1">
        <f t="array" ref="Z1887">MMULT($G1887:$Y1887,'Nelson Factor_2019'!$B$1:$B$19)/$G1887</f>
        <v>2.1830372108615488</v>
      </c>
      <c r="AA1887" cm="1">
        <f t="array" ref="AA1887">MMULT($G1887:$R1887,'Nelson Factor_2019'!$B$1:$B$12)/$G1887</f>
        <v>2.1830372108615488</v>
      </c>
    </row>
    <row r="1888" spans="1:27" x14ac:dyDescent="0.25">
      <c r="A1888">
        <v>2019</v>
      </c>
      <c r="B1888">
        <v>4</v>
      </c>
      <c r="C1888">
        <v>1</v>
      </c>
      <c r="D1888" t="s">
        <v>289</v>
      </c>
      <c r="E1888" t="s">
        <v>246</v>
      </c>
      <c r="F1888" t="s">
        <v>201</v>
      </c>
      <c r="G1888">
        <v>61000</v>
      </c>
      <c r="H1888">
        <v>0</v>
      </c>
      <c r="I1888">
        <v>0</v>
      </c>
      <c r="J1888">
        <v>0</v>
      </c>
      <c r="K1888">
        <v>23300</v>
      </c>
      <c r="L1888">
        <v>10900</v>
      </c>
      <c r="M1888">
        <v>0</v>
      </c>
      <c r="N1888">
        <v>39900</v>
      </c>
      <c r="O1888">
        <v>7100</v>
      </c>
      <c r="P1888">
        <v>0</v>
      </c>
      <c r="Q1888">
        <v>0</v>
      </c>
      <c r="R1888">
        <v>0</v>
      </c>
      <c r="S1888">
        <v>0</v>
      </c>
      <c r="T1888">
        <v>0</v>
      </c>
      <c r="U1888">
        <v>0</v>
      </c>
      <c r="V1888">
        <v>0</v>
      </c>
      <c r="W1888">
        <v>0</v>
      </c>
      <c r="X1888">
        <v>16</v>
      </c>
      <c r="Y1888">
        <v>0</v>
      </c>
      <c r="Z1888" cm="1">
        <f t="array" ref="Z1888">MMULT($G1888:$Y1888,'Nelson Factor_2019'!$B$1:$B$19)/$G1888</f>
        <v>7.0473770491803283</v>
      </c>
      <c r="AA1888" cm="1">
        <f t="array" ref="AA1888">MMULT($G1888:$R1888,'Nelson Factor_2019'!$B$1:$B$12)/$G1888</f>
        <v>6.9844262295081965</v>
      </c>
    </row>
    <row r="1889" spans="1:27" x14ac:dyDescent="0.25">
      <c r="A1889">
        <v>2019</v>
      </c>
      <c r="B1889">
        <v>5</v>
      </c>
      <c r="C1889">
        <v>5</v>
      </c>
      <c r="D1889" t="s">
        <v>291</v>
      </c>
      <c r="E1889" t="s">
        <v>32</v>
      </c>
      <c r="F1889" t="s">
        <v>383</v>
      </c>
      <c r="G1889">
        <v>238450</v>
      </c>
      <c r="H1889">
        <v>132050</v>
      </c>
      <c r="I1889">
        <v>55350</v>
      </c>
      <c r="J1889">
        <v>0</v>
      </c>
      <c r="K1889">
        <v>0</v>
      </c>
      <c r="L1889">
        <v>58500</v>
      </c>
      <c r="M1889">
        <v>58500</v>
      </c>
      <c r="N1889">
        <v>155160</v>
      </c>
      <c r="O1889">
        <v>0</v>
      </c>
      <c r="P1889">
        <v>0</v>
      </c>
      <c r="Q1889">
        <v>0</v>
      </c>
      <c r="R1889">
        <v>21600</v>
      </c>
      <c r="S1889">
        <v>0</v>
      </c>
      <c r="T1889">
        <v>0</v>
      </c>
      <c r="U1889">
        <v>178.5</v>
      </c>
      <c r="V1889">
        <v>0</v>
      </c>
      <c r="W1889">
        <v>3250</v>
      </c>
      <c r="X1889">
        <v>249.00000000000003</v>
      </c>
      <c r="Y1889">
        <v>0</v>
      </c>
      <c r="Z1889" cm="1">
        <f t="array" ref="Z1889">MMULT($G1889:$Y1889,'Nelson Factor_2019'!$B$1:$B$19)/$G1889</f>
        <v>8.8000775843992454</v>
      </c>
      <c r="AA1889" cm="1">
        <f t="array" ref="AA1889">MMULT($G1889:$R1889,'Nelson Factor_2019'!$B$1:$B$12)/$G1889</f>
        <v>8.5487104214720073</v>
      </c>
    </row>
    <row r="1890" spans="1:27" x14ac:dyDescent="0.25">
      <c r="A1890">
        <v>2019</v>
      </c>
      <c r="B1890">
        <v>5</v>
      </c>
      <c r="C1890">
        <v>1</v>
      </c>
      <c r="D1890" t="s">
        <v>291</v>
      </c>
      <c r="E1890" t="s">
        <v>362</v>
      </c>
      <c r="F1890" t="s">
        <v>209</v>
      </c>
      <c r="G1890">
        <v>105000</v>
      </c>
      <c r="H1890">
        <v>48200</v>
      </c>
      <c r="I1890">
        <v>0</v>
      </c>
      <c r="J1890">
        <v>0</v>
      </c>
      <c r="K1890">
        <v>32500</v>
      </c>
      <c r="L1890">
        <v>16657</v>
      </c>
      <c r="M1890">
        <v>0</v>
      </c>
      <c r="N1890">
        <v>67473</v>
      </c>
      <c r="O1890">
        <v>10625</v>
      </c>
      <c r="P1890">
        <v>0</v>
      </c>
      <c r="Q1890">
        <v>0</v>
      </c>
      <c r="R1890">
        <v>4265</v>
      </c>
      <c r="S1890">
        <v>0</v>
      </c>
      <c r="T1890">
        <v>0</v>
      </c>
      <c r="U1890">
        <v>0</v>
      </c>
      <c r="V1890">
        <v>0</v>
      </c>
      <c r="W1890">
        <v>0</v>
      </c>
      <c r="X1890">
        <v>110</v>
      </c>
      <c r="Y1890">
        <v>0</v>
      </c>
      <c r="Z1890" cm="1">
        <f t="array" ref="Z1890">MMULT($G1890:$Y1890,'Nelson Factor_2019'!$B$1:$B$19)/$G1890</f>
        <v>7.2387857142857142</v>
      </c>
      <c r="AA1890" cm="1">
        <f t="array" ref="AA1890">MMULT($G1890:$R1890,'Nelson Factor_2019'!$B$1:$B$12)/$G1890</f>
        <v>6.9873571428571433</v>
      </c>
    </row>
    <row r="1891" spans="1:27" x14ac:dyDescent="0.25">
      <c r="A1891">
        <v>2019</v>
      </c>
      <c r="B1891">
        <v>5</v>
      </c>
      <c r="C1891">
        <v>4</v>
      </c>
      <c r="D1891" t="s">
        <v>291</v>
      </c>
      <c r="E1891" t="s">
        <v>388</v>
      </c>
      <c r="F1891" t="s">
        <v>210</v>
      </c>
      <c r="G1891">
        <v>141550</v>
      </c>
      <c r="H1891">
        <v>62510</v>
      </c>
      <c r="I1891">
        <v>22770</v>
      </c>
      <c r="J1891">
        <v>0</v>
      </c>
      <c r="K1891">
        <v>52110</v>
      </c>
      <c r="L1891">
        <v>19530</v>
      </c>
      <c r="M1891">
        <v>0</v>
      </c>
      <c r="N1891">
        <v>116010</v>
      </c>
      <c r="O1891">
        <v>10890</v>
      </c>
      <c r="P1891">
        <v>0</v>
      </c>
      <c r="Q1891">
        <v>0</v>
      </c>
      <c r="R1891">
        <v>0</v>
      </c>
      <c r="S1891">
        <v>0</v>
      </c>
      <c r="T1891">
        <v>0</v>
      </c>
      <c r="U1891">
        <v>0</v>
      </c>
      <c r="V1891">
        <v>0</v>
      </c>
      <c r="W1891">
        <v>1142</v>
      </c>
      <c r="X1891">
        <v>318</v>
      </c>
      <c r="Y1891">
        <v>0</v>
      </c>
      <c r="Z1891" cm="1">
        <f t="array" ref="Z1891">MMULT($G1891:$Y1891,'Nelson Factor_2019'!$B$1:$B$19)/$G1891</f>
        <v>9.0366866831508297</v>
      </c>
      <c r="AA1891" cm="1">
        <f t="array" ref="AA1891">MMULT($G1891:$R1891,'Nelson Factor_2019'!$B$1:$B$12)/$G1891</f>
        <v>8.4975132462027556</v>
      </c>
    </row>
    <row r="1892" spans="1:27" x14ac:dyDescent="0.25">
      <c r="A1892">
        <v>2019</v>
      </c>
      <c r="B1892">
        <v>5</v>
      </c>
      <c r="C1892">
        <v>1</v>
      </c>
      <c r="D1892" t="s">
        <v>291</v>
      </c>
      <c r="E1892" t="s">
        <v>246</v>
      </c>
      <c r="F1892" t="s">
        <v>210</v>
      </c>
      <c r="G1892">
        <v>119000</v>
      </c>
      <c r="H1892">
        <v>44700</v>
      </c>
      <c r="I1892">
        <v>0</v>
      </c>
      <c r="J1892">
        <v>0</v>
      </c>
      <c r="K1892">
        <v>47000</v>
      </c>
      <c r="L1892">
        <v>27100</v>
      </c>
      <c r="M1892">
        <v>0</v>
      </c>
      <c r="N1892">
        <v>121200</v>
      </c>
      <c r="O1892">
        <v>15200</v>
      </c>
      <c r="P1892">
        <v>0</v>
      </c>
      <c r="Q1892">
        <v>0</v>
      </c>
      <c r="R1892">
        <v>6200</v>
      </c>
      <c r="S1892">
        <v>0</v>
      </c>
      <c r="T1892">
        <v>0</v>
      </c>
      <c r="U1892">
        <v>0</v>
      </c>
      <c r="V1892">
        <v>0</v>
      </c>
      <c r="W1892">
        <v>0</v>
      </c>
      <c r="X1892">
        <v>102</v>
      </c>
      <c r="Y1892">
        <v>0</v>
      </c>
      <c r="Z1892" cm="1">
        <f t="array" ref="Z1892">MMULT($G1892:$Y1892,'Nelson Factor_2019'!$B$1:$B$19)/$G1892</f>
        <v>9.1822689075630244</v>
      </c>
      <c r="AA1892" cm="1">
        <f t="array" ref="AA1892">MMULT($G1892:$R1892,'Nelson Factor_2019'!$B$1:$B$12)/$G1892</f>
        <v>8.9765546218487398</v>
      </c>
    </row>
    <row r="1893" spans="1:27" x14ac:dyDescent="0.25">
      <c r="A1893">
        <v>2019</v>
      </c>
      <c r="B1893">
        <v>5</v>
      </c>
      <c r="C1893">
        <v>0</v>
      </c>
      <c r="D1893" t="s">
        <v>291</v>
      </c>
      <c r="E1893" t="s">
        <v>414</v>
      </c>
      <c r="F1893" t="s">
        <v>212</v>
      </c>
      <c r="G1893">
        <v>39900</v>
      </c>
      <c r="H1893">
        <v>18240</v>
      </c>
      <c r="I1893">
        <v>0</v>
      </c>
      <c r="J1893">
        <v>0</v>
      </c>
      <c r="K1893">
        <v>0</v>
      </c>
      <c r="L1893">
        <v>6120</v>
      </c>
      <c r="M1893">
        <v>0</v>
      </c>
      <c r="N1893">
        <v>16740</v>
      </c>
      <c r="O1893">
        <v>0</v>
      </c>
      <c r="P1893">
        <v>0</v>
      </c>
      <c r="Q1893">
        <v>0</v>
      </c>
      <c r="R1893">
        <v>4050</v>
      </c>
      <c r="S1893">
        <v>0</v>
      </c>
      <c r="T1893">
        <v>0</v>
      </c>
      <c r="U1893">
        <v>0</v>
      </c>
      <c r="V1893">
        <v>0</v>
      </c>
      <c r="W1893">
        <v>0</v>
      </c>
      <c r="X1893">
        <v>10</v>
      </c>
      <c r="Y1893">
        <v>7200</v>
      </c>
      <c r="Z1893" cm="1">
        <f t="array" ref="Z1893">MMULT($G1893:$Y1893,'Nelson Factor_2019'!$B$1:$B$19)/$G1893</f>
        <v>4.0454135338345862</v>
      </c>
      <c r="AA1893" cm="1">
        <f t="array" ref="AA1893">MMULT($G1893:$R1893,'Nelson Factor_2019'!$B$1:$B$12)/$G1893</f>
        <v>3.7145864661654135</v>
      </c>
    </row>
    <row r="1894" spans="1:27" x14ac:dyDescent="0.25">
      <c r="A1894">
        <v>2019</v>
      </c>
      <c r="B1894">
        <v>1</v>
      </c>
      <c r="C1894">
        <v>0</v>
      </c>
      <c r="D1894" t="s">
        <v>292</v>
      </c>
      <c r="E1894" t="s">
        <v>405</v>
      </c>
      <c r="F1894" t="s">
        <v>215</v>
      </c>
      <c r="G1894">
        <v>21850</v>
      </c>
      <c r="H1894">
        <v>8170</v>
      </c>
      <c r="I1894">
        <v>0</v>
      </c>
      <c r="J1894">
        <v>0</v>
      </c>
      <c r="K1894">
        <v>0</v>
      </c>
      <c r="L1894">
        <v>3555</v>
      </c>
      <c r="M1894">
        <v>0</v>
      </c>
      <c r="N1894">
        <v>17640</v>
      </c>
      <c r="O1894">
        <v>0</v>
      </c>
      <c r="P1894">
        <v>0</v>
      </c>
      <c r="Q1894">
        <v>0</v>
      </c>
      <c r="R1894">
        <v>0</v>
      </c>
      <c r="S1894">
        <v>5490</v>
      </c>
      <c r="T1894">
        <v>0</v>
      </c>
      <c r="U1894">
        <v>3</v>
      </c>
      <c r="V1894">
        <v>0</v>
      </c>
      <c r="W1894">
        <v>0</v>
      </c>
      <c r="X1894">
        <v>1</v>
      </c>
      <c r="Y1894">
        <v>630</v>
      </c>
      <c r="Z1894" cm="1">
        <f t="array" ref="Z1894">MMULT($G1894:$Y1894,'Nelson Factor_2019'!$B$1:$B$19)/$G1894</f>
        <v>19.447780320366132</v>
      </c>
      <c r="AA1894" cm="1">
        <f t="array" ref="AA1894">MMULT($G1894:$R1894,'Nelson Factor_2019'!$B$1:$B$12)/$G1894</f>
        <v>4.3178947368421055</v>
      </c>
    </row>
    <row r="1895" spans="1:27" x14ac:dyDescent="0.25">
      <c r="A1895">
        <v>2019</v>
      </c>
      <c r="B1895">
        <v>2</v>
      </c>
      <c r="C1895">
        <v>1</v>
      </c>
      <c r="D1895" t="s">
        <v>293</v>
      </c>
      <c r="E1895" t="s">
        <v>407</v>
      </c>
      <c r="F1895" t="s">
        <v>217</v>
      </c>
      <c r="G1895">
        <v>47500</v>
      </c>
      <c r="H1895">
        <v>19475</v>
      </c>
      <c r="I1895">
        <v>0</v>
      </c>
      <c r="J1895">
        <v>0</v>
      </c>
      <c r="K1895">
        <v>9900</v>
      </c>
      <c r="L1895">
        <v>7200</v>
      </c>
      <c r="M1895">
        <v>0</v>
      </c>
      <c r="N1895">
        <v>29430</v>
      </c>
      <c r="O1895">
        <v>1440</v>
      </c>
      <c r="P1895">
        <v>0</v>
      </c>
      <c r="Q1895">
        <v>5400</v>
      </c>
      <c r="R1895">
        <v>0</v>
      </c>
      <c r="S1895">
        <v>0</v>
      </c>
      <c r="T1895">
        <v>0</v>
      </c>
      <c r="U1895">
        <v>0</v>
      </c>
      <c r="V1895">
        <v>0</v>
      </c>
      <c r="W1895">
        <v>0</v>
      </c>
      <c r="X1895">
        <v>31</v>
      </c>
      <c r="Y1895">
        <v>7110</v>
      </c>
      <c r="Z1895" cm="1">
        <f t="array" ref="Z1895">MMULT($G1895:$Y1895,'Nelson Factor_2019'!$B$1:$B$19)/$G1895</f>
        <v>8.0483684210526309</v>
      </c>
      <c r="AA1895" cm="1">
        <f t="array" ref="AA1895">MMULT($G1895:$R1895,'Nelson Factor_2019'!$B$1:$B$12)/$G1895</f>
        <v>7.667210526315789</v>
      </c>
    </row>
    <row r="1896" spans="1:27" x14ac:dyDescent="0.25">
      <c r="A1896">
        <v>2019</v>
      </c>
      <c r="B1896">
        <v>4</v>
      </c>
      <c r="C1896">
        <v>4</v>
      </c>
      <c r="D1896" t="s">
        <v>294</v>
      </c>
      <c r="E1896" t="s">
        <v>251</v>
      </c>
      <c r="F1896" t="s">
        <v>220</v>
      </c>
      <c r="G1896">
        <v>49400</v>
      </c>
      <c r="H1896">
        <v>26600</v>
      </c>
      <c r="I1896">
        <v>12330</v>
      </c>
      <c r="J1896">
        <v>0</v>
      </c>
      <c r="K1896">
        <v>11250</v>
      </c>
      <c r="L1896">
        <v>8280</v>
      </c>
      <c r="M1896">
        <v>0</v>
      </c>
      <c r="N1896">
        <v>34200</v>
      </c>
      <c r="O1896">
        <v>3780</v>
      </c>
      <c r="P1896">
        <v>0</v>
      </c>
      <c r="Q1896">
        <v>0</v>
      </c>
      <c r="R1896">
        <v>0</v>
      </c>
      <c r="S1896">
        <v>0</v>
      </c>
      <c r="T1896">
        <v>0</v>
      </c>
      <c r="U1896">
        <v>10</v>
      </c>
      <c r="V1896">
        <v>0</v>
      </c>
      <c r="W1896">
        <v>639</v>
      </c>
      <c r="X1896">
        <v>105</v>
      </c>
      <c r="Y1896">
        <v>14400</v>
      </c>
      <c r="Z1896" cm="1">
        <f t="array" ref="Z1896">MMULT($G1896:$Y1896,'Nelson Factor_2019'!$B$1:$B$19)/$G1896</f>
        <v>9.2199392712550612</v>
      </c>
      <c r="AA1896" cm="1">
        <f t="array" ref="AA1896">MMULT($G1896:$R1896,'Nelson Factor_2019'!$B$1:$B$12)/$G1896</f>
        <v>8.2723684210526311</v>
      </c>
    </row>
    <row r="1897" spans="1:27" x14ac:dyDescent="0.25">
      <c r="A1897">
        <v>2019</v>
      </c>
      <c r="B1897">
        <v>4</v>
      </c>
      <c r="C1897">
        <v>1</v>
      </c>
      <c r="D1897" t="s">
        <v>294</v>
      </c>
      <c r="E1897" t="s">
        <v>396</v>
      </c>
      <c r="F1897" t="s">
        <v>225</v>
      </c>
      <c r="G1897">
        <v>17575</v>
      </c>
      <c r="H1897">
        <v>0</v>
      </c>
      <c r="I1897">
        <v>0</v>
      </c>
      <c r="J1897">
        <v>0</v>
      </c>
      <c r="K1897">
        <v>7020</v>
      </c>
      <c r="L1897">
        <v>3825</v>
      </c>
      <c r="M1897">
        <v>0</v>
      </c>
      <c r="N1897">
        <v>9828</v>
      </c>
      <c r="O1897">
        <v>1170</v>
      </c>
      <c r="P1897">
        <v>0</v>
      </c>
      <c r="Q1897">
        <v>0</v>
      </c>
      <c r="R1897">
        <v>0</v>
      </c>
      <c r="S1897">
        <v>0</v>
      </c>
      <c r="T1897">
        <v>0</v>
      </c>
      <c r="U1897">
        <v>0</v>
      </c>
      <c r="V1897">
        <v>0</v>
      </c>
      <c r="W1897">
        <v>0</v>
      </c>
      <c r="X1897">
        <v>0</v>
      </c>
      <c r="Y1897">
        <v>0</v>
      </c>
      <c r="Z1897" cm="1">
        <f t="array" ref="Z1897">MMULT($G1897:$Y1897,'Nelson Factor_2019'!$B$1:$B$19)/$G1897</f>
        <v>6.5485064011379803</v>
      </c>
      <c r="AA1897" cm="1">
        <f t="array" ref="AA1897">MMULT($G1897:$R1897,'Nelson Factor_2019'!$B$1:$B$12)/$G1897</f>
        <v>6.5485064011379803</v>
      </c>
    </row>
    <row r="1898" spans="1:27" x14ac:dyDescent="0.25">
      <c r="A1898">
        <v>2019</v>
      </c>
      <c r="B1898">
        <v>4</v>
      </c>
      <c r="C1898">
        <v>1</v>
      </c>
      <c r="D1898" t="s">
        <v>294</v>
      </c>
      <c r="E1898" t="s">
        <v>159</v>
      </c>
      <c r="F1898" t="s">
        <v>385</v>
      </c>
      <c r="G1898">
        <v>24225</v>
      </c>
      <c r="H1898">
        <v>0</v>
      </c>
      <c r="I1898">
        <v>0</v>
      </c>
      <c r="J1898">
        <v>0</v>
      </c>
      <c r="K1898">
        <v>10800</v>
      </c>
      <c r="L1898">
        <v>4500</v>
      </c>
      <c r="M1898">
        <v>0</v>
      </c>
      <c r="N1898">
        <v>22050</v>
      </c>
      <c r="O1898">
        <v>0</v>
      </c>
      <c r="P1898">
        <v>0</v>
      </c>
      <c r="Q1898">
        <v>0</v>
      </c>
      <c r="R1898">
        <v>0</v>
      </c>
      <c r="S1898">
        <v>0</v>
      </c>
      <c r="T1898">
        <v>0</v>
      </c>
      <c r="U1898">
        <v>0</v>
      </c>
      <c r="V1898">
        <v>0</v>
      </c>
      <c r="W1898">
        <v>0</v>
      </c>
      <c r="X1898">
        <v>9</v>
      </c>
      <c r="Y1898">
        <v>0</v>
      </c>
      <c r="Z1898" cm="1">
        <f t="array" ref="Z1898">MMULT($G1898:$Y1898,'Nelson Factor_2019'!$B$1:$B$19)/$G1898</f>
        <v>6.9684210526315793</v>
      </c>
      <c r="AA1898" cm="1">
        <f t="array" ref="AA1898">MMULT($G1898:$R1898,'Nelson Factor_2019'!$B$1:$B$12)/$G1898</f>
        <v>6.8792569659442728</v>
      </c>
    </row>
    <row r="1899" spans="1:27" x14ac:dyDescent="0.25">
      <c r="A1899">
        <v>2019</v>
      </c>
      <c r="B1899">
        <v>4</v>
      </c>
      <c r="C1899">
        <v>6</v>
      </c>
      <c r="D1899" t="s">
        <v>294</v>
      </c>
      <c r="E1899" t="s">
        <v>159</v>
      </c>
      <c r="F1899" t="s">
        <v>223</v>
      </c>
      <c r="G1899">
        <v>85500</v>
      </c>
      <c r="H1899">
        <v>38950</v>
      </c>
      <c r="I1899">
        <v>18000</v>
      </c>
      <c r="J1899">
        <v>0</v>
      </c>
      <c r="K1899">
        <v>19800</v>
      </c>
      <c r="L1899">
        <v>13050</v>
      </c>
      <c r="M1899">
        <v>14040</v>
      </c>
      <c r="N1899">
        <v>64800</v>
      </c>
      <c r="O1899">
        <v>4050</v>
      </c>
      <c r="P1899">
        <v>0</v>
      </c>
      <c r="Q1899">
        <v>0</v>
      </c>
      <c r="R1899">
        <v>0</v>
      </c>
      <c r="S1899">
        <v>0</v>
      </c>
      <c r="T1899">
        <v>0</v>
      </c>
      <c r="U1899">
        <v>52</v>
      </c>
      <c r="V1899">
        <v>0</v>
      </c>
      <c r="W1899">
        <v>952</v>
      </c>
      <c r="X1899">
        <v>188</v>
      </c>
      <c r="Y1899">
        <v>7200</v>
      </c>
      <c r="Z1899" cm="1">
        <f t="array" ref="Z1899">MMULT($G1899:$Y1899,'Nelson Factor_2019'!$B$1:$B$19)/$G1899</f>
        <v>9.660549707602339</v>
      </c>
      <c r="AA1899" cm="1">
        <f t="array" ref="AA1899">MMULT($G1899:$R1899,'Nelson Factor_2019'!$B$1:$B$12)/$G1899</f>
        <v>9.0059064327485387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C9820-8717-49A2-BD7C-5BD9F6B97B19}">
  <sheetPr codeName="Sheet3"/>
  <dimension ref="A1:C8"/>
  <sheetViews>
    <sheetView workbookViewId="0">
      <selection activeCell="B5" sqref="B5"/>
    </sheetView>
  </sheetViews>
  <sheetFormatPr defaultRowHeight="15" x14ac:dyDescent="0.25"/>
  <cols>
    <col min="2" max="2" width="20.5703125" bestFit="1" customWidth="1"/>
    <col min="3" max="3" width="31.85546875" bestFit="1" customWidth="1"/>
  </cols>
  <sheetData>
    <row r="1" spans="1:3" x14ac:dyDescent="0.25">
      <c r="A1" t="s">
        <v>428</v>
      </c>
      <c r="B1" t="s">
        <v>430</v>
      </c>
      <c r="C1" t="s">
        <v>429</v>
      </c>
    </row>
    <row r="2" spans="1:3" x14ac:dyDescent="0.25">
      <c r="A2">
        <v>0</v>
      </c>
      <c r="B2">
        <f>AVERAGEIF('Refinery Summary'!$C$2:$C$1899,'Avg CI Index'!$A2,'Refinery Summary'!$Z$2:$Z$1899)</f>
        <v>9.8380457823631602</v>
      </c>
      <c r="C2">
        <f>AVERAGEIF('Refinery Summary'!$C$2:$C$1899,'Avg CI Index'!$A2,'Refinery Summary'!$AA$2:$AA$1899)</f>
        <v>2.6868864125100815</v>
      </c>
    </row>
    <row r="3" spans="1:3" x14ac:dyDescent="0.25">
      <c r="A3">
        <v>1</v>
      </c>
      <c r="B3">
        <f>AVERAGEIF('Refinery Summary'!$C$2:$C$1899,'Avg CI Index'!$A3,'Refinery Summary'!$Z$2:$Z$1899)</f>
        <v>7.6416732633144928</v>
      </c>
      <c r="C3">
        <f>AVERAGEIF('Refinery Summary'!$C$2:$C$1899,'Avg CI Index'!$A3,'Refinery Summary'!$AA$2:$AA$1899)</f>
        <v>7.2772083099218507</v>
      </c>
    </row>
    <row r="4" spans="1:3" x14ac:dyDescent="0.25">
      <c r="A4">
        <v>2</v>
      </c>
      <c r="B4">
        <f>AVERAGEIF('Refinery Summary'!$C$2:$C$1899,'Avg CI Index'!$A4,'Refinery Summary'!$Z$2:$Z$1899)</f>
        <v>17.435845333655617</v>
      </c>
      <c r="C4">
        <f>AVERAGEIF('Refinery Summary'!$C$2:$C$1899,'Avg CI Index'!$A4,'Refinery Summary'!$AA$2:$AA$1899)</f>
        <v>6.2101557912676491</v>
      </c>
    </row>
    <row r="5" spans="1:3" x14ac:dyDescent="0.25">
      <c r="A5">
        <v>3</v>
      </c>
      <c r="B5">
        <f>AVERAGEIF('Refinery Summary'!$C$2:$C$1899,'Avg CI Index'!$A5,'Refinery Summary'!$Z$2:$Z$1899)</f>
        <v>10.588641137545562</v>
      </c>
      <c r="C5">
        <f>AVERAGEIF('Refinery Summary'!$C$2:$C$1899,'Avg CI Index'!$A5,'Refinery Summary'!$AA$2:$AA$1899)</f>
        <v>9.6211988755200881</v>
      </c>
    </row>
    <row r="6" spans="1:3" x14ac:dyDescent="0.25">
      <c r="A6">
        <v>4</v>
      </c>
      <c r="B6">
        <f>AVERAGEIF('Refinery Summary'!$C$2:$C$1899,'Avg CI Index'!$A6,'Refinery Summary'!$Z$2:$Z$1899)</f>
        <v>10.855189936851026</v>
      </c>
      <c r="C6">
        <f>AVERAGEIF('Refinery Summary'!$C$2:$C$1899,'Avg CI Index'!$A6,'Refinery Summary'!$AA$2:$AA$1899)</f>
        <v>9.9528576601994363</v>
      </c>
    </row>
    <row r="7" spans="1:3" x14ac:dyDescent="0.25">
      <c r="A7">
        <v>5</v>
      </c>
      <c r="B7">
        <f>AVERAGEIF('Refinery Summary'!$C$2:$C$1899,'Avg CI Index'!$A7,'Refinery Summary'!$Z$2:$Z$1899)</f>
        <v>10.922705918168031</v>
      </c>
      <c r="C7">
        <f>AVERAGEIF('Refinery Summary'!$C$2:$C$1899,'Avg CI Index'!$A7,'Refinery Summary'!$AA$2:$AA$1899)</f>
        <v>10.229085413796076</v>
      </c>
    </row>
    <row r="8" spans="1:3" x14ac:dyDescent="0.25">
      <c r="A8">
        <v>6</v>
      </c>
      <c r="B8">
        <f>AVERAGEIF('Refinery Summary'!$C$2:$C$1899,'Avg CI Index'!$A8,'Refinery Summary'!$Z$2:$Z$1899)</f>
        <v>12.297332771448929</v>
      </c>
      <c r="C8">
        <f>AVERAGEIF('Refinery Summary'!$C$2:$C$1899,'Avg CI Index'!$A8,'Refinery Summary'!$AA$2:$AA$1899)</f>
        <v>11.159593058658592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42B93-5B1F-478A-9DDA-B9AFE6A5913D}">
  <sheetPr codeName="Sheet4"/>
  <dimension ref="A1:L526"/>
  <sheetViews>
    <sheetView workbookViewId="0">
      <selection activeCell="I5" sqref="I5"/>
    </sheetView>
  </sheetViews>
  <sheetFormatPr defaultRowHeight="15" x14ac:dyDescent="0.25"/>
  <cols>
    <col min="9" max="9" width="12" bestFit="1" customWidth="1"/>
  </cols>
  <sheetData>
    <row r="1" spans="1:12" x14ac:dyDescent="0.25">
      <c r="A1" t="s">
        <v>1</v>
      </c>
      <c r="B1" t="s">
        <v>431</v>
      </c>
      <c r="C1" t="s">
        <v>432</v>
      </c>
      <c r="D1" t="s">
        <v>5</v>
      </c>
      <c r="E1" t="s">
        <v>433</v>
      </c>
      <c r="F1" t="s">
        <v>434</v>
      </c>
      <c r="H1" s="7" t="s">
        <v>538</v>
      </c>
      <c r="I1" s="7" t="s">
        <v>539</v>
      </c>
      <c r="J1" s="7" t="s">
        <v>540</v>
      </c>
      <c r="K1" s="7" t="s">
        <v>541</v>
      </c>
      <c r="L1" s="7" t="s">
        <v>542</v>
      </c>
    </row>
    <row r="2" spans="1:12" x14ac:dyDescent="0.25">
      <c r="A2">
        <v>1</v>
      </c>
      <c r="B2">
        <v>2005</v>
      </c>
      <c r="C2">
        <v>0</v>
      </c>
      <c r="D2">
        <f>SUMIFS('Refinery Summary'!$G$2:$G$1899,'Refinery Summary'!$B$2:$B$1899,RefCapacity!$A2,'Refinery Summary'!$A$2:$A$1899,RefCapacity!$B2,'Refinery Summary'!$C$2:$C$1899,RefCapacity!$C2)/1000</f>
        <v>29.4</v>
      </c>
      <c r="E2" cm="1">
        <f t="array" ref="E2">$D2-INDEX($D$2:$D$526,MATCH(1,($A$2:$A$526=$A2)*($B$2:$B$526=2019)*($C$2:$C$526=$C2),0))</f>
        <v>-3.6600000000000037</v>
      </c>
      <c r="F2" s="1" cm="1">
        <f t="array" ref="F2">IFERROR(E2/INDEX($D$2:$D$526,MATCH(1,($A$2:$A$526=$A2)*($B$2:$B$526=2019)*($C$2:$C$526=$C2),0)),0)</f>
        <v>-0.11070780399274058</v>
      </c>
      <c r="H2" s="7">
        <v>0</v>
      </c>
      <c r="I2" s="8">
        <f>AVERAGEIFS($F$2:$F$526,$F$2:$F$526,"&gt;0",$C$2:$C$526,$H2)</f>
        <v>1.7654850200753796</v>
      </c>
      <c r="J2" s="8">
        <f>AVERAGEIFS($F$2:$F$526,$F$2:$F$526,"&lt;0",$C$2:$C$526,$H2)</f>
        <v>-0.38693191179476843</v>
      </c>
      <c r="K2" s="8">
        <f>+I2*2</f>
        <v>3.5309700401507591</v>
      </c>
      <c r="L2" s="8">
        <f>IF(J2*2&lt;-1,-1,J2*2)</f>
        <v>-0.77386382358953687</v>
      </c>
    </row>
    <row r="3" spans="1:12" x14ac:dyDescent="0.25">
      <c r="A3">
        <v>1</v>
      </c>
      <c r="B3">
        <v>2005</v>
      </c>
      <c r="C3">
        <v>1</v>
      </c>
      <c r="D3">
        <f>SUMIFS('Refinery Summary'!$G$2:$G$1899,'Refinery Summary'!$B$2:$B$1899,RefCapacity!$A3,'Refinery Summary'!$A$2:$A$1899,RefCapacity!$B3,'Refinery Summary'!$C$2:$C$1899,RefCapacity!$C3)/1000</f>
        <v>959.7</v>
      </c>
      <c r="E3" cm="1">
        <f t="array" ref="E3">$D3-INDEX($D$2:$D$526,MATCH(1,($A$2:$A$526=$A3)*($B$2:$B$526=2019)*($C$2:$C$526=$C3),0))</f>
        <v>297.45000000000005</v>
      </c>
      <c r="F3" s="1" cm="1">
        <f t="array" ref="F3">IFERROR(E3/INDEX($D$2:$D$526,MATCH(1,($A$2:$A$526=$A3)*($B$2:$B$526=2019)*($C$2:$C$526=$C3),0)),0)</f>
        <v>0.44915062287655727</v>
      </c>
      <c r="H3" s="7">
        <v>1</v>
      </c>
      <c r="I3" s="8">
        <f t="shared" ref="I3:I8" si="0">AVERAGEIFS($F$2:$F$526,$F$2:$F$526,"&gt;0",$C$2:$C$526,$H3)</f>
        <v>0.34799647369060127</v>
      </c>
      <c r="J3" s="8">
        <f t="shared" ref="J3:J8" si="1">AVERAGEIFS($F$2:$F$526,$F$2:$F$526,"&lt;0",$C$2:$C$526,$H3)</f>
        <v>-1.6201131175494952E-2</v>
      </c>
      <c r="K3" s="8">
        <f t="shared" ref="K3:K8" si="2">+I3*2</f>
        <v>0.69599294738120254</v>
      </c>
      <c r="L3" s="8">
        <f t="shared" ref="L3:L8" si="3">IF(J3*2&lt;-1,-1,J3*2)</f>
        <v>-3.2402262350989905E-2</v>
      </c>
    </row>
    <row r="4" spans="1:12" x14ac:dyDescent="0.25">
      <c r="A4">
        <v>1</v>
      </c>
      <c r="B4">
        <v>2005</v>
      </c>
      <c r="C4">
        <v>2</v>
      </c>
      <c r="D4">
        <f>SUMIFS('Refinery Summary'!$G$2:$G$1899,'Refinery Summary'!$B$2:$B$1899,RefCapacity!$A4,'Refinery Summary'!$A$2:$A$1899,RefCapacity!$B4,'Refinery Summary'!$C$2:$C$1899,RefCapacity!$C4)/1000</f>
        <v>0</v>
      </c>
      <c r="E4" cm="1">
        <f t="array" ref="E4">$D4-INDEX($D$2:$D$526,MATCH(1,($A$2:$A$526=$A4)*($B$2:$B$526=2019)*($C$2:$C$526=$C4),0))</f>
        <v>0</v>
      </c>
      <c r="F4" s="1" cm="1">
        <f t="array" ref="F4">IFERROR(E4/INDEX($D$2:$D$526,MATCH(1,($A$2:$A$526=$A4)*($B$2:$B$526=2019)*($C$2:$C$526=$C4),0)),0)</f>
        <v>0</v>
      </c>
      <c r="H4" s="7">
        <v>2</v>
      </c>
      <c r="I4" s="8">
        <f t="shared" si="0"/>
        <v>3.3917655263586283E-2</v>
      </c>
      <c r="J4" s="8">
        <f t="shared" si="1"/>
        <v>-0.45430173581829636</v>
      </c>
      <c r="K4" s="8">
        <f t="shared" si="2"/>
        <v>6.7835310527172565E-2</v>
      </c>
      <c r="L4" s="8">
        <f t="shared" si="3"/>
        <v>-0.90860347163659272</v>
      </c>
    </row>
    <row r="5" spans="1:12" x14ac:dyDescent="0.25">
      <c r="A5">
        <v>1</v>
      </c>
      <c r="B5">
        <v>2005</v>
      </c>
      <c r="C5">
        <v>3</v>
      </c>
      <c r="D5">
        <f>SUMIFS('Refinery Summary'!$G$2:$G$1899,'Refinery Summary'!$B$2:$B$1899,RefCapacity!$A5,'Refinery Summary'!$A$2:$A$1899,RefCapacity!$B5,'Refinery Summary'!$C$2:$C$1899,RefCapacity!$C5)/1000</f>
        <v>185</v>
      </c>
      <c r="E5" cm="1">
        <f t="array" ref="E5">$D5-INDEX($D$2:$D$526,MATCH(1,($A$2:$A$526=$A5)*($B$2:$B$526=2019)*($C$2:$C$526=$C5),0))</f>
        <v>-12.599999999999994</v>
      </c>
      <c r="F5" s="1" cm="1">
        <f t="array" ref="F5">IFERROR(E5/INDEX($D$2:$D$526,MATCH(1,($A$2:$A$526=$A5)*($B$2:$B$526=2019)*($C$2:$C$526=$C5),0)),0)</f>
        <v>-6.3765182186234795E-2</v>
      </c>
      <c r="H5" s="7">
        <v>3</v>
      </c>
      <c r="I5" s="8">
        <f t="shared" si="0"/>
        <v>0.91464237516869096</v>
      </c>
      <c r="J5" s="8">
        <f t="shared" si="1"/>
        <v>-0.44285298945637275</v>
      </c>
      <c r="K5" s="8">
        <f t="shared" si="2"/>
        <v>1.8292847503373819</v>
      </c>
      <c r="L5" s="8">
        <f t="shared" si="3"/>
        <v>-0.8857059789127455</v>
      </c>
    </row>
    <row r="6" spans="1:12" x14ac:dyDescent="0.25">
      <c r="A6">
        <v>1</v>
      </c>
      <c r="B6">
        <v>2005</v>
      </c>
      <c r="C6">
        <v>4</v>
      </c>
      <c r="D6">
        <f>SUMIFS('Refinery Summary'!$G$2:$G$1899,'Refinery Summary'!$B$2:$B$1899,RefCapacity!$A6,'Refinery Summary'!$A$2:$A$1899,RefCapacity!$B6,'Refinery Summary'!$C$2:$C$1899,RefCapacity!$C6)/1000</f>
        <v>224.9</v>
      </c>
      <c r="E6" cm="1">
        <f t="array" ref="E6">$D6-INDEX($D$2:$D$526,MATCH(1,($A$2:$A$526=$A6)*($B$2:$B$526=2019)*($C$2:$C$526=$C6),0))</f>
        <v>67.200000000000017</v>
      </c>
      <c r="F6" s="1" cm="1">
        <f t="array" ref="F6">IFERROR(E6/INDEX($D$2:$D$526,MATCH(1,($A$2:$A$526=$A6)*($B$2:$B$526=2019)*($C$2:$C$526=$C6),0)),0)</f>
        <v>0.42612555485098302</v>
      </c>
      <c r="H6" s="7">
        <v>4</v>
      </c>
      <c r="I6" s="8">
        <f t="shared" si="0"/>
        <v>0.24163333431834821</v>
      </c>
      <c r="J6" s="8">
        <f t="shared" si="1"/>
        <v>-0.12698394255291368</v>
      </c>
      <c r="K6" s="8">
        <f t="shared" si="2"/>
        <v>0.48326666863669643</v>
      </c>
      <c r="L6" s="8">
        <f t="shared" si="3"/>
        <v>-0.25396788510582735</v>
      </c>
    </row>
    <row r="7" spans="1:12" x14ac:dyDescent="0.25">
      <c r="A7">
        <v>1</v>
      </c>
      <c r="B7">
        <v>2005</v>
      </c>
      <c r="C7">
        <v>5</v>
      </c>
      <c r="D7">
        <f>SUMIFS('Refinery Summary'!$G$2:$G$1899,'Refinery Summary'!$B$2:$B$1899,RefCapacity!$A7,'Refinery Summary'!$A$2:$A$1899,RefCapacity!$B7,'Refinery Summary'!$C$2:$C$1899,RefCapacity!$C7)/1000</f>
        <v>0</v>
      </c>
      <c r="E7" cm="1">
        <f t="array" ref="E7">$D7-INDEX($D$2:$D$526,MATCH(1,($A$2:$A$526=$A7)*($B$2:$B$526=2019)*($C$2:$C$526=$C7),0))</f>
        <v>0</v>
      </c>
      <c r="F7" s="1" cm="1">
        <f t="array" ref="F7">IFERROR(E7/INDEX($D$2:$D$526,MATCH(1,($A$2:$A$526=$A7)*($B$2:$B$526=2019)*($C$2:$C$526=$C7),0)),0)</f>
        <v>0</v>
      </c>
      <c r="H7" s="7">
        <v>5</v>
      </c>
      <c r="I7" s="8">
        <f t="shared" si="0"/>
        <v>0.41132240688076843</v>
      </c>
      <c r="J7" s="8">
        <f t="shared" si="1"/>
        <v>-0.52139170635474164</v>
      </c>
      <c r="K7" s="8">
        <f t="shared" si="2"/>
        <v>0.82264481376153686</v>
      </c>
      <c r="L7" s="8">
        <f t="shared" si="3"/>
        <v>-1</v>
      </c>
    </row>
    <row r="8" spans="1:12" x14ac:dyDescent="0.25">
      <c r="A8">
        <v>1</v>
      </c>
      <c r="B8">
        <v>2005</v>
      </c>
      <c r="C8">
        <v>6</v>
      </c>
      <c r="D8">
        <f>SUMIFS('Refinery Summary'!$G$2:$G$1899,'Refinery Summary'!$B$2:$B$1899,RefCapacity!$A8,'Refinery Summary'!$A$2:$A$1899,RefCapacity!$B8,'Refinery Summary'!$C$2:$C$1899,RefCapacity!$C8)/1000</f>
        <v>175</v>
      </c>
      <c r="E8" cm="1">
        <f t="array" ref="E8">$D8-INDEX($D$2:$D$526,MATCH(1,($A$2:$A$526=$A8)*($B$2:$B$526=2019)*($C$2:$C$526=$C8),0))</f>
        <v>-5.6899999999999977</v>
      </c>
      <c r="F8" s="1" cm="1">
        <f t="array" ref="F8">IFERROR(E8/INDEX($D$2:$D$526,MATCH(1,($A$2:$A$526=$A8)*($B$2:$B$526=2019)*($C$2:$C$526=$C8),0)),0)</f>
        <v>-3.1490397919087927E-2</v>
      </c>
      <c r="H8" s="7">
        <v>6</v>
      </c>
      <c r="I8" s="8">
        <f t="shared" si="0"/>
        <v>3.941519837116355E-2</v>
      </c>
      <c r="J8" s="8">
        <f t="shared" si="1"/>
        <v>-0.32420610331730265</v>
      </c>
      <c r="K8" s="8">
        <f t="shared" si="2"/>
        <v>7.88303967423271E-2</v>
      </c>
      <c r="L8" s="8">
        <f t="shared" si="3"/>
        <v>-0.6484122066346053</v>
      </c>
    </row>
    <row r="9" spans="1:12" x14ac:dyDescent="0.25">
      <c r="A9">
        <v>1</v>
      </c>
      <c r="B9">
        <v>2006</v>
      </c>
      <c r="C9">
        <v>0</v>
      </c>
      <c r="D9">
        <f>SUMIFS('Refinery Summary'!$G$2:$G$1899,'Refinery Summary'!$B$2:$B$1899,RefCapacity!$A9,'Refinery Summary'!$A$2:$A$1899,RefCapacity!$B9,'Refinery Summary'!$C$2:$C$1899,RefCapacity!$C9)/1000</f>
        <v>29.4</v>
      </c>
      <c r="E9" cm="1">
        <f t="array" ref="E9">$D9-INDEX($D$2:$D$526,MATCH(1,($A$2:$A$526=$A9)*($B$2:$B$526=2019)*($C$2:$C$526=$C9),0))</f>
        <v>-3.6600000000000037</v>
      </c>
      <c r="F9" s="1" cm="1">
        <f t="array" ref="F9">IFERROR(E9/INDEX($D$2:$D$526,MATCH(1,($A$2:$A$526=$A9)*($B$2:$B$526=2019)*($C$2:$C$526=$C9),0)),0)</f>
        <v>-0.11070780399274058</v>
      </c>
    </row>
    <row r="10" spans="1:12" x14ac:dyDescent="0.25">
      <c r="A10">
        <v>1</v>
      </c>
      <c r="B10">
        <v>2006</v>
      </c>
      <c r="C10">
        <v>1</v>
      </c>
      <c r="D10">
        <f>SUMIFS('Refinery Summary'!$G$2:$G$1899,'Refinery Summary'!$B$2:$B$1899,RefCapacity!$A10,'Refinery Summary'!$A$2:$A$1899,RefCapacity!$B10,'Refinery Summary'!$C$2:$C$1899,RefCapacity!$C10)/1000</f>
        <v>959.7</v>
      </c>
      <c r="E10" cm="1">
        <f t="array" ref="E10">$D10-INDEX($D$2:$D$526,MATCH(1,($A$2:$A$526=$A10)*($B$2:$B$526=2019)*($C$2:$C$526=$C10),0))</f>
        <v>297.45000000000005</v>
      </c>
      <c r="F10" s="1" cm="1">
        <f t="array" ref="F10">IFERROR(E10/INDEX($D$2:$D$526,MATCH(1,($A$2:$A$526=$A10)*($B$2:$B$526=2019)*($C$2:$C$526=$C10),0)),0)</f>
        <v>0.44915062287655727</v>
      </c>
    </row>
    <row r="11" spans="1:12" x14ac:dyDescent="0.25">
      <c r="A11">
        <v>1</v>
      </c>
      <c r="B11">
        <v>2006</v>
      </c>
      <c r="C11">
        <v>2</v>
      </c>
      <c r="D11">
        <f>SUMIFS('Refinery Summary'!$G$2:$G$1899,'Refinery Summary'!$B$2:$B$1899,RefCapacity!$A11,'Refinery Summary'!$A$2:$A$1899,RefCapacity!$B11,'Refinery Summary'!$C$2:$C$1899,RefCapacity!$C11)/1000</f>
        <v>0</v>
      </c>
      <c r="E11" cm="1">
        <f t="array" ref="E11">$D11-INDEX($D$2:$D$526,MATCH(1,($A$2:$A$526=$A11)*($B$2:$B$526=2019)*($C$2:$C$526=$C11),0))</f>
        <v>0</v>
      </c>
      <c r="F11" s="1" cm="1">
        <f t="array" ref="F11">IFERROR(E11/INDEX($D$2:$D$526,MATCH(1,($A$2:$A$526=$A11)*($B$2:$B$526=2019)*($C$2:$C$526=$C11),0)),0)</f>
        <v>0</v>
      </c>
    </row>
    <row r="12" spans="1:12" x14ac:dyDescent="0.25">
      <c r="A12">
        <v>1</v>
      </c>
      <c r="B12">
        <v>2006</v>
      </c>
      <c r="C12">
        <v>3</v>
      </c>
      <c r="D12">
        <f>SUMIFS('Refinery Summary'!$G$2:$G$1899,'Refinery Summary'!$B$2:$B$1899,RefCapacity!$A12,'Refinery Summary'!$A$2:$A$1899,RefCapacity!$B12,'Refinery Summary'!$C$2:$C$1899,RefCapacity!$C12)/1000</f>
        <v>185</v>
      </c>
      <c r="E12" cm="1">
        <f t="array" ref="E12">$D12-INDEX($D$2:$D$526,MATCH(1,($A$2:$A$526=$A12)*($B$2:$B$526=2019)*($C$2:$C$526=$C12),0))</f>
        <v>-12.599999999999994</v>
      </c>
      <c r="F12" s="1" cm="1">
        <f t="array" ref="F12">IFERROR(E12/INDEX($D$2:$D$526,MATCH(1,($A$2:$A$526=$A12)*($B$2:$B$526=2019)*($C$2:$C$526=$C12),0)),0)</f>
        <v>-6.3765182186234795E-2</v>
      </c>
    </row>
    <row r="13" spans="1:12" x14ac:dyDescent="0.25">
      <c r="A13">
        <v>1</v>
      </c>
      <c r="B13">
        <v>2006</v>
      </c>
      <c r="C13">
        <v>4</v>
      </c>
      <c r="D13">
        <f>SUMIFS('Refinery Summary'!$G$2:$G$1899,'Refinery Summary'!$B$2:$B$1899,RefCapacity!$A13,'Refinery Summary'!$A$2:$A$1899,RefCapacity!$B13,'Refinery Summary'!$C$2:$C$1899,RefCapacity!$C13)/1000</f>
        <v>224.9</v>
      </c>
      <c r="E13" cm="1">
        <f t="array" ref="E13">$D13-INDEX($D$2:$D$526,MATCH(1,($A$2:$A$526=$A13)*($B$2:$B$526=2019)*($C$2:$C$526=$C13),0))</f>
        <v>67.200000000000017</v>
      </c>
      <c r="F13" s="1" cm="1">
        <f t="array" ref="F13">IFERROR(E13/INDEX($D$2:$D$526,MATCH(1,($A$2:$A$526=$A13)*($B$2:$B$526=2019)*($C$2:$C$526=$C13),0)),0)</f>
        <v>0.42612555485098302</v>
      </c>
    </row>
    <row r="14" spans="1:12" x14ac:dyDescent="0.25">
      <c r="A14">
        <v>1</v>
      </c>
      <c r="B14">
        <v>2006</v>
      </c>
      <c r="C14">
        <v>5</v>
      </c>
      <c r="D14">
        <f>SUMIFS('Refinery Summary'!$G$2:$G$1899,'Refinery Summary'!$B$2:$B$1899,RefCapacity!$A14,'Refinery Summary'!$A$2:$A$1899,RefCapacity!$B14,'Refinery Summary'!$C$2:$C$1899,RefCapacity!$C14)/1000</f>
        <v>0</v>
      </c>
      <c r="E14" cm="1">
        <f t="array" ref="E14">$D14-INDEX($D$2:$D$526,MATCH(1,($A$2:$A$526=$A14)*($B$2:$B$526=2019)*($C$2:$C$526=$C14),0))</f>
        <v>0</v>
      </c>
      <c r="F14" s="1" cm="1">
        <f t="array" ref="F14">IFERROR(E14/INDEX($D$2:$D$526,MATCH(1,($A$2:$A$526=$A14)*($B$2:$B$526=2019)*($C$2:$C$526=$C14),0)),0)</f>
        <v>0</v>
      </c>
    </row>
    <row r="15" spans="1:12" x14ac:dyDescent="0.25">
      <c r="A15">
        <v>1</v>
      </c>
      <c r="B15">
        <v>2006</v>
      </c>
      <c r="C15">
        <v>6</v>
      </c>
      <c r="D15">
        <f>SUMIFS('Refinery Summary'!$G$2:$G$1899,'Refinery Summary'!$B$2:$B$1899,RefCapacity!$A15,'Refinery Summary'!$A$2:$A$1899,RefCapacity!$B15,'Refinery Summary'!$C$2:$C$1899,RefCapacity!$C15)/1000</f>
        <v>190</v>
      </c>
      <c r="E15" cm="1">
        <f t="array" ref="E15">$D15-INDEX($D$2:$D$526,MATCH(1,($A$2:$A$526=$A15)*($B$2:$B$526=2019)*($C$2:$C$526=$C15),0))</f>
        <v>9.3100000000000023</v>
      </c>
      <c r="F15" s="1" cm="1">
        <f t="array" ref="F15">IFERROR(E15/INDEX($D$2:$D$526,MATCH(1,($A$2:$A$526=$A15)*($B$2:$B$526=2019)*($C$2:$C$526=$C15),0)),0)</f>
        <v>5.1524710830704534E-2</v>
      </c>
    </row>
    <row r="16" spans="1:12" x14ac:dyDescent="0.25">
      <c r="A16">
        <v>1</v>
      </c>
      <c r="B16">
        <v>2007</v>
      </c>
      <c r="C16">
        <v>0</v>
      </c>
      <c r="D16">
        <f>SUMIFS('Refinery Summary'!$G$2:$G$1899,'Refinery Summary'!$B$2:$B$1899,RefCapacity!$A16,'Refinery Summary'!$A$2:$A$1899,RefCapacity!$B16,'Refinery Summary'!$C$2:$C$1899,RefCapacity!$C16)/1000</f>
        <v>29.4</v>
      </c>
      <c r="E16" cm="1">
        <f t="array" ref="E16">$D16-INDEX($D$2:$D$526,MATCH(1,($A$2:$A$526=$A16)*($B$2:$B$526=2019)*($C$2:$C$526=$C16),0))</f>
        <v>-3.6600000000000037</v>
      </c>
      <c r="F16" s="1" cm="1">
        <f t="array" ref="F16">IFERROR(E16/INDEX($D$2:$D$526,MATCH(1,($A$2:$A$526=$A16)*($B$2:$B$526=2019)*($C$2:$C$526=$C16),0)),0)</f>
        <v>-0.11070780399274058</v>
      </c>
    </row>
    <row r="17" spans="1:6" x14ac:dyDescent="0.25">
      <c r="A17">
        <v>1</v>
      </c>
      <c r="B17">
        <v>2007</v>
      </c>
      <c r="C17">
        <v>1</v>
      </c>
      <c r="D17">
        <f>SUMIFS('Refinery Summary'!$G$2:$G$1899,'Refinery Summary'!$B$2:$B$1899,RefCapacity!$A17,'Refinery Summary'!$A$2:$A$1899,RefCapacity!$B17,'Refinery Summary'!$C$2:$C$1899,RefCapacity!$C17)/1000</f>
        <v>959.7</v>
      </c>
      <c r="E17" cm="1">
        <f t="array" ref="E17">$D17-INDEX($D$2:$D$526,MATCH(1,($A$2:$A$526=$A17)*($B$2:$B$526=2019)*($C$2:$C$526=$C17),0))</f>
        <v>297.45000000000005</v>
      </c>
      <c r="F17" s="1" cm="1">
        <f t="array" ref="F17">IFERROR(E17/INDEX($D$2:$D$526,MATCH(1,($A$2:$A$526=$A17)*($B$2:$B$526=2019)*($C$2:$C$526=$C17),0)),0)</f>
        <v>0.44915062287655727</v>
      </c>
    </row>
    <row r="18" spans="1:6" x14ac:dyDescent="0.25">
      <c r="A18">
        <v>1</v>
      </c>
      <c r="B18">
        <v>2007</v>
      </c>
      <c r="C18">
        <v>2</v>
      </c>
      <c r="D18">
        <f>SUMIFS('Refinery Summary'!$G$2:$G$1899,'Refinery Summary'!$B$2:$B$1899,RefCapacity!$A18,'Refinery Summary'!$A$2:$A$1899,RefCapacity!$B18,'Refinery Summary'!$C$2:$C$1899,RefCapacity!$C18)/1000</f>
        <v>0</v>
      </c>
      <c r="E18" cm="1">
        <f t="array" ref="E18">$D18-INDEX($D$2:$D$526,MATCH(1,($A$2:$A$526=$A18)*($B$2:$B$526=2019)*($C$2:$C$526=$C18),0))</f>
        <v>0</v>
      </c>
      <c r="F18" s="1" cm="1">
        <f t="array" ref="F18">IFERROR(E18/INDEX($D$2:$D$526,MATCH(1,($A$2:$A$526=$A18)*($B$2:$B$526=2019)*($C$2:$C$526=$C18),0)),0)</f>
        <v>0</v>
      </c>
    </row>
    <row r="19" spans="1:6" x14ac:dyDescent="0.25">
      <c r="A19">
        <v>1</v>
      </c>
      <c r="B19">
        <v>2007</v>
      </c>
      <c r="C19">
        <v>3</v>
      </c>
      <c r="D19">
        <f>SUMIFS('Refinery Summary'!$G$2:$G$1899,'Refinery Summary'!$B$2:$B$1899,RefCapacity!$A19,'Refinery Summary'!$A$2:$A$1899,RefCapacity!$B19,'Refinery Summary'!$C$2:$C$1899,RefCapacity!$C19)/1000</f>
        <v>185</v>
      </c>
      <c r="E19" cm="1">
        <f t="array" ref="E19">$D19-INDEX($D$2:$D$526,MATCH(1,($A$2:$A$526=$A19)*($B$2:$B$526=2019)*($C$2:$C$526=$C19),0))</f>
        <v>-12.599999999999994</v>
      </c>
      <c r="F19" s="1" cm="1">
        <f t="array" ref="F19">IFERROR(E19/INDEX($D$2:$D$526,MATCH(1,($A$2:$A$526=$A19)*($B$2:$B$526=2019)*($C$2:$C$526=$C19),0)),0)</f>
        <v>-6.3765182186234795E-2</v>
      </c>
    </row>
    <row r="20" spans="1:6" x14ac:dyDescent="0.25">
      <c r="A20">
        <v>1</v>
      </c>
      <c r="B20">
        <v>2007</v>
      </c>
      <c r="C20">
        <v>4</v>
      </c>
      <c r="D20">
        <f>SUMIFS('Refinery Summary'!$G$2:$G$1899,'Refinery Summary'!$B$2:$B$1899,RefCapacity!$A20,'Refinery Summary'!$A$2:$A$1899,RefCapacity!$B20,'Refinery Summary'!$C$2:$C$1899,RefCapacity!$C20)/1000</f>
        <v>224.9</v>
      </c>
      <c r="E20" cm="1">
        <f t="array" ref="E20">$D20-INDEX($D$2:$D$526,MATCH(1,($A$2:$A$526=$A20)*($B$2:$B$526=2019)*($C$2:$C$526=$C20),0))</f>
        <v>67.200000000000017</v>
      </c>
      <c r="F20" s="1" cm="1">
        <f t="array" ref="F20">IFERROR(E20/INDEX($D$2:$D$526,MATCH(1,($A$2:$A$526=$A20)*($B$2:$B$526=2019)*($C$2:$C$526=$C20),0)),0)</f>
        <v>0.42612555485098302</v>
      </c>
    </row>
    <row r="21" spans="1:6" x14ac:dyDescent="0.25">
      <c r="A21">
        <v>1</v>
      </c>
      <c r="B21">
        <v>2007</v>
      </c>
      <c r="C21">
        <v>5</v>
      </c>
      <c r="D21">
        <f>SUMIFS('Refinery Summary'!$G$2:$G$1899,'Refinery Summary'!$B$2:$B$1899,RefCapacity!$A21,'Refinery Summary'!$A$2:$A$1899,RefCapacity!$B21,'Refinery Summary'!$C$2:$C$1899,RefCapacity!$C21)/1000</f>
        <v>0</v>
      </c>
      <c r="E21" cm="1">
        <f t="array" ref="E21">$D21-INDEX($D$2:$D$526,MATCH(1,($A$2:$A$526=$A21)*($B$2:$B$526=2019)*($C$2:$C$526=$C21),0))</f>
        <v>0</v>
      </c>
      <c r="F21" s="1" cm="1">
        <f t="array" ref="F21">IFERROR(E21/INDEX($D$2:$D$526,MATCH(1,($A$2:$A$526=$A21)*($B$2:$B$526=2019)*($C$2:$C$526=$C21),0)),0)</f>
        <v>0</v>
      </c>
    </row>
    <row r="22" spans="1:6" x14ac:dyDescent="0.25">
      <c r="A22">
        <v>1</v>
      </c>
      <c r="B22">
        <v>2007</v>
      </c>
      <c r="C22">
        <v>6</v>
      </c>
      <c r="D22">
        <f>SUMIFS('Refinery Summary'!$G$2:$G$1899,'Refinery Summary'!$B$2:$B$1899,RefCapacity!$A22,'Refinery Summary'!$A$2:$A$1899,RefCapacity!$B22,'Refinery Summary'!$C$2:$C$1899,RefCapacity!$C22)/1000</f>
        <v>190</v>
      </c>
      <c r="E22" cm="1">
        <f t="array" ref="E22">$D22-INDEX($D$2:$D$526,MATCH(1,($A$2:$A$526=$A22)*($B$2:$B$526=2019)*($C$2:$C$526=$C22),0))</f>
        <v>9.3100000000000023</v>
      </c>
      <c r="F22" s="1" cm="1">
        <f t="array" ref="F22">IFERROR(E22/INDEX($D$2:$D$526,MATCH(1,($A$2:$A$526=$A22)*($B$2:$B$526=2019)*($C$2:$C$526=$C22),0)),0)</f>
        <v>5.1524710830704534E-2</v>
      </c>
    </row>
    <row r="23" spans="1:6" x14ac:dyDescent="0.25">
      <c r="A23">
        <v>1</v>
      </c>
      <c r="B23">
        <v>2008</v>
      </c>
      <c r="C23">
        <v>0</v>
      </c>
      <c r="D23">
        <f>SUMIFS('Refinery Summary'!$G$2:$G$1899,'Refinery Summary'!$B$2:$B$1899,RefCapacity!$A23,'Refinery Summary'!$A$2:$A$1899,RefCapacity!$B23,'Refinery Summary'!$C$2:$C$1899,RefCapacity!$C23)/1000</f>
        <v>29.4</v>
      </c>
      <c r="E23" cm="1">
        <f t="array" ref="E23">$D23-INDEX($D$2:$D$526,MATCH(1,($A$2:$A$526=$A23)*($B$2:$B$526=2019)*($C$2:$C$526=$C23),0))</f>
        <v>-3.6600000000000037</v>
      </c>
      <c r="F23" s="1" cm="1">
        <f t="array" ref="F23">IFERROR(E23/INDEX($D$2:$D$526,MATCH(1,($A$2:$A$526=$A23)*($B$2:$B$526=2019)*($C$2:$C$526=$C23),0)),0)</f>
        <v>-0.11070780399274058</v>
      </c>
    </row>
    <row r="24" spans="1:6" x14ac:dyDescent="0.25">
      <c r="A24">
        <v>1</v>
      </c>
      <c r="B24">
        <v>2008</v>
      </c>
      <c r="C24">
        <v>1</v>
      </c>
      <c r="D24">
        <f>SUMIFS('Refinery Summary'!$G$2:$G$1899,'Refinery Summary'!$B$2:$B$1899,RefCapacity!$A24,'Refinery Summary'!$A$2:$A$1899,RefCapacity!$B24,'Refinery Summary'!$C$2:$C$1899,RefCapacity!$C24)/1000</f>
        <v>959.7</v>
      </c>
      <c r="E24" cm="1">
        <f t="array" ref="E24">$D24-INDEX($D$2:$D$526,MATCH(1,($A$2:$A$526=$A24)*($B$2:$B$526=2019)*($C$2:$C$526=$C24),0))</f>
        <v>297.45000000000005</v>
      </c>
      <c r="F24" s="1" cm="1">
        <f t="array" ref="F24">IFERROR(E24/INDEX($D$2:$D$526,MATCH(1,($A$2:$A$526=$A24)*($B$2:$B$526=2019)*($C$2:$C$526=$C24),0)),0)</f>
        <v>0.44915062287655727</v>
      </c>
    </row>
    <row r="25" spans="1:6" x14ac:dyDescent="0.25">
      <c r="A25">
        <v>1</v>
      </c>
      <c r="B25">
        <v>2008</v>
      </c>
      <c r="C25">
        <v>2</v>
      </c>
      <c r="D25">
        <f>SUMIFS('Refinery Summary'!$G$2:$G$1899,'Refinery Summary'!$B$2:$B$1899,RefCapacity!$A25,'Refinery Summary'!$A$2:$A$1899,RefCapacity!$B25,'Refinery Summary'!$C$2:$C$1899,RefCapacity!$C25)/1000</f>
        <v>0</v>
      </c>
      <c r="E25" cm="1">
        <f t="array" ref="E25">$D25-INDEX($D$2:$D$526,MATCH(1,($A$2:$A$526=$A25)*($B$2:$B$526=2019)*($C$2:$C$526=$C25),0))</f>
        <v>0</v>
      </c>
      <c r="F25" s="1" cm="1">
        <f t="array" ref="F25">IFERROR(E25/INDEX($D$2:$D$526,MATCH(1,($A$2:$A$526=$A25)*($B$2:$B$526=2019)*($C$2:$C$526=$C25),0)),0)</f>
        <v>0</v>
      </c>
    </row>
    <row r="26" spans="1:6" x14ac:dyDescent="0.25">
      <c r="A26">
        <v>1</v>
      </c>
      <c r="B26">
        <v>2008</v>
      </c>
      <c r="C26">
        <v>3</v>
      </c>
      <c r="D26">
        <f>SUMIFS('Refinery Summary'!$G$2:$G$1899,'Refinery Summary'!$B$2:$B$1899,RefCapacity!$A26,'Refinery Summary'!$A$2:$A$1899,RefCapacity!$B26,'Refinery Summary'!$C$2:$C$1899,RefCapacity!$C26)/1000</f>
        <v>185</v>
      </c>
      <c r="E26" cm="1">
        <f t="array" ref="E26">$D26-INDEX($D$2:$D$526,MATCH(1,($A$2:$A$526=$A26)*($B$2:$B$526=2019)*($C$2:$C$526=$C26),0))</f>
        <v>-12.599999999999994</v>
      </c>
      <c r="F26" s="1" cm="1">
        <f t="array" ref="F26">IFERROR(E26/INDEX($D$2:$D$526,MATCH(1,($A$2:$A$526=$A26)*($B$2:$B$526=2019)*($C$2:$C$526=$C26),0)),0)</f>
        <v>-6.3765182186234795E-2</v>
      </c>
    </row>
    <row r="27" spans="1:6" x14ac:dyDescent="0.25">
      <c r="A27">
        <v>1</v>
      </c>
      <c r="B27">
        <v>2008</v>
      </c>
      <c r="C27">
        <v>4</v>
      </c>
      <c r="D27">
        <f>SUMIFS('Refinery Summary'!$G$2:$G$1899,'Refinery Summary'!$B$2:$B$1899,RefCapacity!$A27,'Refinery Summary'!$A$2:$A$1899,RefCapacity!$B27,'Refinery Summary'!$C$2:$C$1899,RefCapacity!$C27)/1000</f>
        <v>224.9</v>
      </c>
      <c r="E27" cm="1">
        <f t="array" ref="E27">$D27-INDEX($D$2:$D$526,MATCH(1,($A$2:$A$526=$A27)*($B$2:$B$526=2019)*($C$2:$C$526=$C27),0))</f>
        <v>67.200000000000017</v>
      </c>
      <c r="F27" s="1" cm="1">
        <f t="array" ref="F27">IFERROR(E27/INDEX($D$2:$D$526,MATCH(1,($A$2:$A$526=$A27)*($B$2:$B$526=2019)*($C$2:$C$526=$C27),0)),0)</f>
        <v>0.42612555485098302</v>
      </c>
    </row>
    <row r="28" spans="1:6" x14ac:dyDescent="0.25">
      <c r="A28">
        <v>1</v>
      </c>
      <c r="B28">
        <v>2008</v>
      </c>
      <c r="C28">
        <v>5</v>
      </c>
      <c r="D28">
        <f>SUMIFS('Refinery Summary'!$G$2:$G$1899,'Refinery Summary'!$B$2:$B$1899,RefCapacity!$A28,'Refinery Summary'!$A$2:$A$1899,RefCapacity!$B28,'Refinery Summary'!$C$2:$C$1899,RefCapacity!$C28)/1000</f>
        <v>0</v>
      </c>
      <c r="E28" cm="1">
        <f t="array" ref="E28">$D28-INDEX($D$2:$D$526,MATCH(1,($A$2:$A$526=$A28)*($B$2:$B$526=2019)*($C$2:$C$526=$C28),0))</f>
        <v>0</v>
      </c>
      <c r="F28" s="1" cm="1">
        <f t="array" ref="F28">IFERROR(E28/INDEX($D$2:$D$526,MATCH(1,($A$2:$A$526=$A28)*($B$2:$B$526=2019)*($C$2:$C$526=$C28),0)),0)</f>
        <v>0</v>
      </c>
    </row>
    <row r="29" spans="1:6" x14ac:dyDescent="0.25">
      <c r="A29">
        <v>1</v>
      </c>
      <c r="B29">
        <v>2008</v>
      </c>
      <c r="C29">
        <v>6</v>
      </c>
      <c r="D29">
        <f>SUMIFS('Refinery Summary'!$G$2:$G$1899,'Refinery Summary'!$B$2:$B$1899,RefCapacity!$A29,'Refinery Summary'!$A$2:$A$1899,RefCapacity!$B29,'Refinery Summary'!$C$2:$C$1899,RefCapacity!$C29)/1000</f>
        <v>190</v>
      </c>
      <c r="E29" cm="1">
        <f t="array" ref="E29">$D29-INDEX($D$2:$D$526,MATCH(1,($A$2:$A$526=$A29)*($B$2:$B$526=2019)*($C$2:$C$526=$C29),0))</f>
        <v>9.3100000000000023</v>
      </c>
      <c r="F29" s="1" cm="1">
        <f t="array" ref="F29">IFERROR(E29/INDEX($D$2:$D$526,MATCH(1,($A$2:$A$526=$A29)*($B$2:$B$526=2019)*($C$2:$C$526=$C29),0)),0)</f>
        <v>5.1524710830704534E-2</v>
      </c>
    </row>
    <row r="30" spans="1:6" x14ac:dyDescent="0.25">
      <c r="A30">
        <v>1</v>
      </c>
      <c r="B30">
        <v>2009</v>
      </c>
      <c r="C30">
        <v>0</v>
      </c>
      <c r="D30">
        <f>SUMIFS('Refinery Summary'!$G$2:$G$1899,'Refinery Summary'!$B$2:$B$1899,RefCapacity!$A30,'Refinery Summary'!$A$2:$A$1899,RefCapacity!$B30,'Refinery Summary'!$C$2:$C$1899,RefCapacity!$C30)/1000</f>
        <v>29.4</v>
      </c>
      <c r="E30" cm="1">
        <f t="array" ref="E30">$D30-INDEX($D$2:$D$526,MATCH(1,($A$2:$A$526=$A30)*($B$2:$B$526=2019)*($C$2:$C$526=$C30),0))</f>
        <v>-3.6600000000000037</v>
      </c>
      <c r="F30" s="1" cm="1">
        <f t="array" ref="F30">IFERROR(E30/INDEX($D$2:$D$526,MATCH(1,($A$2:$A$526=$A30)*($B$2:$B$526=2019)*($C$2:$C$526=$C30),0)),0)</f>
        <v>-0.11070780399274058</v>
      </c>
    </row>
    <row r="31" spans="1:6" x14ac:dyDescent="0.25">
      <c r="A31">
        <v>1</v>
      </c>
      <c r="B31">
        <v>2009</v>
      </c>
      <c r="C31">
        <v>1</v>
      </c>
      <c r="D31">
        <f>SUMIFS('Refinery Summary'!$G$2:$G$1899,'Refinery Summary'!$B$2:$B$1899,RefCapacity!$A31,'Refinery Summary'!$A$2:$A$1899,RefCapacity!$B31,'Refinery Summary'!$C$2:$C$1899,RefCapacity!$C31)/1000</f>
        <v>959.7</v>
      </c>
      <c r="E31" cm="1">
        <f t="array" ref="E31">$D31-INDEX($D$2:$D$526,MATCH(1,($A$2:$A$526=$A31)*($B$2:$B$526=2019)*($C$2:$C$526=$C31),0))</f>
        <v>297.45000000000005</v>
      </c>
      <c r="F31" s="1" cm="1">
        <f t="array" ref="F31">IFERROR(E31/INDEX($D$2:$D$526,MATCH(1,($A$2:$A$526=$A31)*($B$2:$B$526=2019)*($C$2:$C$526=$C31),0)),0)</f>
        <v>0.44915062287655727</v>
      </c>
    </row>
    <row r="32" spans="1:6" x14ac:dyDescent="0.25">
      <c r="A32">
        <v>1</v>
      </c>
      <c r="B32">
        <v>2009</v>
      </c>
      <c r="C32">
        <v>2</v>
      </c>
      <c r="D32">
        <f>SUMIFS('Refinery Summary'!$G$2:$G$1899,'Refinery Summary'!$B$2:$B$1899,RefCapacity!$A32,'Refinery Summary'!$A$2:$A$1899,RefCapacity!$B32,'Refinery Summary'!$C$2:$C$1899,RefCapacity!$C32)/1000</f>
        <v>0</v>
      </c>
      <c r="E32" cm="1">
        <f t="array" ref="E32">$D32-INDEX($D$2:$D$526,MATCH(1,($A$2:$A$526=$A32)*($B$2:$B$526=2019)*($C$2:$C$526=$C32),0))</f>
        <v>0</v>
      </c>
      <c r="F32" s="1" cm="1">
        <f t="array" ref="F32">IFERROR(E32/INDEX($D$2:$D$526,MATCH(1,($A$2:$A$526=$A32)*($B$2:$B$526=2019)*($C$2:$C$526=$C32),0)),0)</f>
        <v>0</v>
      </c>
    </row>
    <row r="33" spans="1:6" x14ac:dyDescent="0.25">
      <c r="A33">
        <v>1</v>
      </c>
      <c r="B33">
        <v>2009</v>
      </c>
      <c r="C33">
        <v>3</v>
      </c>
      <c r="D33">
        <f>SUMIFS('Refinery Summary'!$G$2:$G$1899,'Refinery Summary'!$B$2:$B$1899,RefCapacity!$A33,'Refinery Summary'!$A$2:$A$1899,RefCapacity!$B33,'Refinery Summary'!$C$2:$C$1899,RefCapacity!$C33)/1000</f>
        <v>185</v>
      </c>
      <c r="E33" cm="1">
        <f t="array" ref="E33">$D33-INDEX($D$2:$D$526,MATCH(1,($A$2:$A$526=$A33)*($B$2:$B$526=2019)*($C$2:$C$526=$C33),0))</f>
        <v>-12.599999999999994</v>
      </c>
      <c r="F33" s="1" cm="1">
        <f t="array" ref="F33">IFERROR(E33/INDEX($D$2:$D$526,MATCH(1,($A$2:$A$526=$A33)*($B$2:$B$526=2019)*($C$2:$C$526=$C33),0)),0)</f>
        <v>-6.3765182186234795E-2</v>
      </c>
    </row>
    <row r="34" spans="1:6" x14ac:dyDescent="0.25">
      <c r="A34">
        <v>1</v>
      </c>
      <c r="B34">
        <v>2009</v>
      </c>
      <c r="C34">
        <v>4</v>
      </c>
      <c r="D34">
        <f>SUMIFS('Refinery Summary'!$G$2:$G$1899,'Refinery Summary'!$B$2:$B$1899,RefCapacity!$A34,'Refinery Summary'!$A$2:$A$1899,RefCapacity!$B34,'Refinery Summary'!$C$2:$C$1899,RefCapacity!$C34)/1000</f>
        <v>224.9</v>
      </c>
      <c r="E34" cm="1">
        <f t="array" ref="E34">$D34-INDEX($D$2:$D$526,MATCH(1,($A$2:$A$526=$A34)*($B$2:$B$526=2019)*($C$2:$C$526=$C34),0))</f>
        <v>67.200000000000017</v>
      </c>
      <c r="F34" s="1" cm="1">
        <f t="array" ref="F34">IFERROR(E34/INDEX($D$2:$D$526,MATCH(1,($A$2:$A$526=$A34)*($B$2:$B$526=2019)*($C$2:$C$526=$C34),0)),0)</f>
        <v>0.42612555485098302</v>
      </c>
    </row>
    <row r="35" spans="1:6" x14ac:dyDescent="0.25">
      <c r="A35">
        <v>1</v>
      </c>
      <c r="B35">
        <v>2009</v>
      </c>
      <c r="C35">
        <v>5</v>
      </c>
      <c r="D35">
        <f>SUMIFS('Refinery Summary'!$G$2:$G$1899,'Refinery Summary'!$B$2:$B$1899,RefCapacity!$A35,'Refinery Summary'!$A$2:$A$1899,RefCapacity!$B35,'Refinery Summary'!$C$2:$C$1899,RefCapacity!$C35)/1000</f>
        <v>0</v>
      </c>
      <c r="E35" cm="1">
        <f t="array" ref="E35">$D35-INDEX($D$2:$D$526,MATCH(1,($A$2:$A$526=$A35)*($B$2:$B$526=2019)*($C$2:$C$526=$C35),0))</f>
        <v>0</v>
      </c>
      <c r="F35" s="1" cm="1">
        <f t="array" ref="F35">IFERROR(E35/INDEX($D$2:$D$526,MATCH(1,($A$2:$A$526=$A35)*($B$2:$B$526=2019)*($C$2:$C$526=$C35),0)),0)</f>
        <v>0</v>
      </c>
    </row>
    <row r="36" spans="1:6" x14ac:dyDescent="0.25">
      <c r="A36">
        <v>1</v>
      </c>
      <c r="B36">
        <v>2009</v>
      </c>
      <c r="C36">
        <v>6</v>
      </c>
      <c r="D36">
        <f>SUMIFS('Refinery Summary'!$G$2:$G$1899,'Refinery Summary'!$B$2:$B$1899,RefCapacity!$A36,'Refinery Summary'!$A$2:$A$1899,RefCapacity!$B36,'Refinery Summary'!$C$2:$C$1899,RefCapacity!$C36)/1000</f>
        <v>190</v>
      </c>
      <c r="E36" cm="1">
        <f t="array" ref="E36">$D36-INDEX($D$2:$D$526,MATCH(1,($A$2:$A$526=$A36)*($B$2:$B$526=2019)*($C$2:$C$526=$C36),0))</f>
        <v>9.3100000000000023</v>
      </c>
      <c r="F36" s="1" cm="1">
        <f t="array" ref="F36">IFERROR(E36/INDEX($D$2:$D$526,MATCH(1,($A$2:$A$526=$A36)*($B$2:$B$526=2019)*($C$2:$C$526=$C36),0)),0)</f>
        <v>5.1524710830704534E-2</v>
      </c>
    </row>
    <row r="37" spans="1:6" x14ac:dyDescent="0.25">
      <c r="A37">
        <v>1</v>
      </c>
      <c r="B37">
        <v>2010</v>
      </c>
      <c r="C37">
        <v>0</v>
      </c>
      <c r="D37">
        <f>SUMIFS('Refinery Summary'!$G$2:$G$1899,'Refinery Summary'!$B$2:$B$1899,RefCapacity!$A37,'Refinery Summary'!$A$2:$A$1899,RefCapacity!$B37,'Refinery Summary'!$C$2:$C$1899,RefCapacity!$C37)/1000</f>
        <v>29.4</v>
      </c>
      <c r="E37" cm="1">
        <f t="array" ref="E37">$D37-INDEX($D$2:$D$526,MATCH(1,($A$2:$A$526=$A37)*($B$2:$B$526=2019)*($C$2:$C$526=$C37),0))</f>
        <v>-3.6600000000000037</v>
      </c>
      <c r="F37" s="1" cm="1">
        <f t="array" ref="F37">IFERROR(E37/INDEX($D$2:$D$526,MATCH(1,($A$2:$A$526=$A37)*($B$2:$B$526=2019)*($C$2:$C$526=$C37),0)),0)</f>
        <v>-0.11070780399274058</v>
      </c>
    </row>
    <row r="38" spans="1:6" x14ac:dyDescent="0.25">
      <c r="A38">
        <v>1</v>
      </c>
      <c r="B38">
        <v>2010</v>
      </c>
      <c r="C38">
        <v>1</v>
      </c>
      <c r="D38">
        <f>SUMIFS('Refinery Summary'!$G$2:$G$1899,'Refinery Summary'!$B$2:$B$1899,RefCapacity!$A38,'Refinery Summary'!$A$2:$A$1899,RefCapacity!$B38,'Refinery Summary'!$C$2:$C$1899,RefCapacity!$C38)/1000</f>
        <v>959.7</v>
      </c>
      <c r="E38" cm="1">
        <f t="array" ref="E38">$D38-INDEX($D$2:$D$526,MATCH(1,($A$2:$A$526=$A38)*($B$2:$B$526=2019)*($C$2:$C$526=$C38),0))</f>
        <v>297.45000000000005</v>
      </c>
      <c r="F38" s="1" cm="1">
        <f t="array" ref="F38">IFERROR(E38/INDEX($D$2:$D$526,MATCH(1,($A$2:$A$526=$A38)*($B$2:$B$526=2019)*($C$2:$C$526=$C38),0)),0)</f>
        <v>0.44915062287655727</v>
      </c>
    </row>
    <row r="39" spans="1:6" x14ac:dyDescent="0.25">
      <c r="A39">
        <v>1</v>
      </c>
      <c r="B39">
        <v>2010</v>
      </c>
      <c r="C39">
        <v>2</v>
      </c>
      <c r="D39">
        <f>SUMIFS('Refinery Summary'!$G$2:$G$1899,'Refinery Summary'!$B$2:$B$1899,RefCapacity!$A39,'Refinery Summary'!$A$2:$A$1899,RefCapacity!$B39,'Refinery Summary'!$C$2:$C$1899,RefCapacity!$C39)/1000</f>
        <v>0</v>
      </c>
      <c r="E39" cm="1">
        <f t="array" ref="E39">$D39-INDEX($D$2:$D$526,MATCH(1,($A$2:$A$526=$A39)*($B$2:$B$526=2019)*($C$2:$C$526=$C39),0))</f>
        <v>0</v>
      </c>
      <c r="F39" s="1" cm="1">
        <f t="array" ref="F39">IFERROR(E39/INDEX($D$2:$D$526,MATCH(1,($A$2:$A$526=$A39)*($B$2:$B$526=2019)*($C$2:$C$526=$C39),0)),0)</f>
        <v>0</v>
      </c>
    </row>
    <row r="40" spans="1:6" x14ac:dyDescent="0.25">
      <c r="A40">
        <v>1</v>
      </c>
      <c r="B40">
        <v>2010</v>
      </c>
      <c r="C40">
        <v>3</v>
      </c>
      <c r="D40">
        <f>SUMIFS('Refinery Summary'!$G$2:$G$1899,'Refinery Summary'!$B$2:$B$1899,RefCapacity!$A40,'Refinery Summary'!$A$2:$A$1899,RefCapacity!$B40,'Refinery Summary'!$C$2:$C$1899,RefCapacity!$C40)/1000</f>
        <v>395</v>
      </c>
      <c r="E40" cm="1">
        <f t="array" ref="E40">$D40-INDEX($D$2:$D$526,MATCH(1,($A$2:$A$526=$A40)*($B$2:$B$526=2019)*($C$2:$C$526=$C40),0))</f>
        <v>197.4</v>
      </c>
      <c r="F40" s="1" cm="1">
        <f t="array" ref="F40">IFERROR(E40/INDEX($D$2:$D$526,MATCH(1,($A$2:$A$526=$A40)*($B$2:$B$526=2019)*($C$2:$C$526=$C40),0)),0)</f>
        <v>0.99898785425101222</v>
      </c>
    </row>
    <row r="41" spans="1:6" x14ac:dyDescent="0.25">
      <c r="A41">
        <v>1</v>
      </c>
      <c r="B41">
        <v>2010</v>
      </c>
      <c r="C41">
        <v>4</v>
      </c>
      <c r="D41">
        <f>SUMIFS('Refinery Summary'!$G$2:$G$1899,'Refinery Summary'!$B$2:$B$1899,RefCapacity!$A41,'Refinery Summary'!$A$2:$A$1899,RefCapacity!$B41,'Refinery Summary'!$C$2:$C$1899,RefCapacity!$C41)/1000</f>
        <v>236</v>
      </c>
      <c r="E41" cm="1">
        <f t="array" ref="E41">$D41-INDEX($D$2:$D$526,MATCH(1,($A$2:$A$526=$A41)*($B$2:$B$526=2019)*($C$2:$C$526=$C41),0))</f>
        <v>78.300000000000011</v>
      </c>
      <c r="F41" s="1" cm="1">
        <f t="array" ref="F41">IFERROR(E41/INDEX($D$2:$D$526,MATCH(1,($A$2:$A$526=$A41)*($B$2:$B$526=2019)*($C$2:$C$526=$C41),0)),0)</f>
        <v>0.49651236525047571</v>
      </c>
    </row>
    <row r="42" spans="1:6" x14ac:dyDescent="0.25">
      <c r="A42">
        <v>1</v>
      </c>
      <c r="B42">
        <v>2010</v>
      </c>
      <c r="C42">
        <v>5</v>
      </c>
      <c r="D42">
        <f>SUMIFS('Refinery Summary'!$G$2:$G$1899,'Refinery Summary'!$B$2:$B$1899,RefCapacity!$A42,'Refinery Summary'!$A$2:$A$1899,RefCapacity!$B42,'Refinery Summary'!$C$2:$C$1899,RefCapacity!$C42)/1000</f>
        <v>0</v>
      </c>
      <c r="E42" cm="1">
        <f t="array" ref="E42">$D42-INDEX($D$2:$D$526,MATCH(1,($A$2:$A$526=$A42)*($B$2:$B$526=2019)*($C$2:$C$526=$C42),0))</f>
        <v>0</v>
      </c>
      <c r="F42" s="1" cm="1">
        <f t="array" ref="F42">IFERROR(E42/INDEX($D$2:$D$526,MATCH(1,($A$2:$A$526=$A42)*($B$2:$B$526=2019)*($C$2:$C$526=$C42),0)),0)</f>
        <v>0</v>
      </c>
    </row>
    <row r="43" spans="1:6" x14ac:dyDescent="0.25">
      <c r="A43">
        <v>1</v>
      </c>
      <c r="B43">
        <v>2010</v>
      </c>
      <c r="C43">
        <v>6</v>
      </c>
      <c r="D43">
        <f>SUMIFS('Refinery Summary'!$G$2:$G$1899,'Refinery Summary'!$B$2:$B$1899,RefCapacity!$A43,'Refinery Summary'!$A$2:$A$1899,RefCapacity!$B43,'Refinery Summary'!$C$2:$C$1899,RefCapacity!$C43)/1000</f>
        <v>0</v>
      </c>
      <c r="E43" cm="1">
        <f t="array" ref="E43">$D43-INDEX($D$2:$D$526,MATCH(1,($A$2:$A$526=$A43)*($B$2:$B$526=2019)*($C$2:$C$526=$C43),0))</f>
        <v>-180.69</v>
      </c>
      <c r="F43" s="1" cm="1">
        <f t="array" ref="F43">IFERROR(E43/INDEX($D$2:$D$526,MATCH(1,($A$2:$A$526=$A43)*($B$2:$B$526=2019)*($C$2:$C$526=$C43),0)),0)</f>
        <v>-1</v>
      </c>
    </row>
    <row r="44" spans="1:6" x14ac:dyDescent="0.25">
      <c r="A44">
        <v>1</v>
      </c>
      <c r="B44">
        <v>2011</v>
      </c>
      <c r="C44">
        <v>0</v>
      </c>
      <c r="D44">
        <f>SUMIFS('Refinery Summary'!$G$2:$G$1899,'Refinery Summary'!$B$2:$B$1899,RefCapacity!$A44,'Refinery Summary'!$A$2:$A$1899,RefCapacity!$B44,'Refinery Summary'!$C$2:$C$1899,RefCapacity!$C44)/1000</f>
        <v>29.4</v>
      </c>
      <c r="E44" cm="1">
        <f t="array" ref="E44">$D44-INDEX($D$2:$D$526,MATCH(1,($A$2:$A$526=$A44)*($B$2:$B$526=2019)*($C$2:$C$526=$C44),0))</f>
        <v>-3.6600000000000037</v>
      </c>
      <c r="F44" s="1" cm="1">
        <f t="array" ref="F44">IFERROR(E44/INDEX($D$2:$D$526,MATCH(1,($A$2:$A$526=$A44)*($B$2:$B$526=2019)*($C$2:$C$526=$C44),0)),0)</f>
        <v>-0.11070780399274058</v>
      </c>
    </row>
    <row r="45" spans="1:6" x14ac:dyDescent="0.25">
      <c r="A45">
        <v>1</v>
      </c>
      <c r="B45">
        <v>2011</v>
      </c>
      <c r="C45">
        <v>1</v>
      </c>
      <c r="D45">
        <f>SUMIFS('Refinery Summary'!$G$2:$G$1899,'Refinery Summary'!$B$2:$B$1899,RefCapacity!$A45,'Refinery Summary'!$A$2:$A$1899,RefCapacity!$B45,'Refinery Summary'!$C$2:$C$1899,RefCapacity!$C45)/1000</f>
        <v>959.7</v>
      </c>
      <c r="E45" cm="1">
        <f t="array" ref="E45">$D45-INDEX($D$2:$D$526,MATCH(1,($A$2:$A$526=$A45)*($B$2:$B$526=2019)*($C$2:$C$526=$C45),0))</f>
        <v>297.45000000000005</v>
      </c>
      <c r="F45" s="1" cm="1">
        <f t="array" ref="F45">IFERROR(E45/INDEX($D$2:$D$526,MATCH(1,($A$2:$A$526=$A45)*($B$2:$B$526=2019)*($C$2:$C$526=$C45),0)),0)</f>
        <v>0.44915062287655727</v>
      </c>
    </row>
    <row r="46" spans="1:6" x14ac:dyDescent="0.25">
      <c r="A46">
        <v>1</v>
      </c>
      <c r="B46">
        <v>2011</v>
      </c>
      <c r="C46">
        <v>2</v>
      </c>
      <c r="D46">
        <f>SUMIFS('Refinery Summary'!$G$2:$G$1899,'Refinery Summary'!$B$2:$B$1899,RefCapacity!$A46,'Refinery Summary'!$A$2:$A$1899,RefCapacity!$B46,'Refinery Summary'!$C$2:$C$1899,RefCapacity!$C46)/1000</f>
        <v>0</v>
      </c>
      <c r="E46" cm="1">
        <f t="array" ref="E46">$D46-INDEX($D$2:$D$526,MATCH(1,($A$2:$A$526=$A46)*($B$2:$B$526=2019)*($C$2:$C$526=$C46),0))</f>
        <v>0</v>
      </c>
      <c r="F46" s="1" cm="1">
        <f t="array" ref="F46">IFERROR(E46/INDEX($D$2:$D$526,MATCH(1,($A$2:$A$526=$A46)*($B$2:$B$526=2019)*($C$2:$C$526=$C46),0)),0)</f>
        <v>0</v>
      </c>
    </row>
    <row r="47" spans="1:6" x14ac:dyDescent="0.25">
      <c r="A47">
        <v>1</v>
      </c>
      <c r="B47">
        <v>2011</v>
      </c>
      <c r="C47">
        <v>3</v>
      </c>
      <c r="D47">
        <f>SUMIFS('Refinery Summary'!$G$2:$G$1899,'Refinery Summary'!$B$2:$B$1899,RefCapacity!$A47,'Refinery Summary'!$A$2:$A$1899,RefCapacity!$B47,'Refinery Summary'!$C$2:$C$1899,RefCapacity!$C47)/1000</f>
        <v>375</v>
      </c>
      <c r="E47" cm="1">
        <f t="array" ref="E47">$D47-INDEX($D$2:$D$526,MATCH(1,($A$2:$A$526=$A47)*($B$2:$B$526=2019)*($C$2:$C$526=$C47),0))</f>
        <v>177.4</v>
      </c>
      <c r="F47" s="1" cm="1">
        <f t="array" ref="F47">IFERROR(E47/INDEX($D$2:$D$526,MATCH(1,($A$2:$A$526=$A47)*($B$2:$B$526=2019)*($C$2:$C$526=$C47),0)),0)</f>
        <v>0.89777327935222673</v>
      </c>
    </row>
    <row r="48" spans="1:6" x14ac:dyDescent="0.25">
      <c r="A48">
        <v>1</v>
      </c>
      <c r="B48">
        <v>2011</v>
      </c>
      <c r="C48">
        <v>4</v>
      </c>
      <c r="D48">
        <f>SUMIFS('Refinery Summary'!$G$2:$G$1899,'Refinery Summary'!$B$2:$B$1899,RefCapacity!$A48,'Refinery Summary'!$A$2:$A$1899,RefCapacity!$B48,'Refinery Summary'!$C$2:$C$1899,RefCapacity!$C48)/1000</f>
        <v>255</v>
      </c>
      <c r="E48" cm="1">
        <f t="array" ref="E48">$D48-INDEX($D$2:$D$526,MATCH(1,($A$2:$A$526=$A48)*($B$2:$B$526=2019)*($C$2:$C$526=$C48),0))</f>
        <v>97.300000000000011</v>
      </c>
      <c r="F48" s="1" cm="1">
        <f t="array" ref="F48">IFERROR(E48/INDEX($D$2:$D$526,MATCH(1,($A$2:$A$526=$A48)*($B$2:$B$526=2019)*($C$2:$C$526=$C48),0)),0)</f>
        <v>0.61699429296131902</v>
      </c>
    </row>
    <row r="49" spans="1:6" x14ac:dyDescent="0.25">
      <c r="A49">
        <v>1</v>
      </c>
      <c r="B49">
        <v>2011</v>
      </c>
      <c r="C49">
        <v>5</v>
      </c>
      <c r="D49">
        <f>SUMIFS('Refinery Summary'!$G$2:$G$1899,'Refinery Summary'!$B$2:$B$1899,RefCapacity!$A49,'Refinery Summary'!$A$2:$A$1899,RefCapacity!$B49,'Refinery Summary'!$C$2:$C$1899,RefCapacity!$C49)/1000</f>
        <v>0</v>
      </c>
      <c r="E49" cm="1">
        <f t="array" ref="E49">$D49-INDEX($D$2:$D$526,MATCH(1,($A$2:$A$526=$A49)*($B$2:$B$526=2019)*($C$2:$C$526=$C49),0))</f>
        <v>0</v>
      </c>
      <c r="F49" s="1" cm="1">
        <f t="array" ref="F49">IFERROR(E49/INDEX($D$2:$D$526,MATCH(1,($A$2:$A$526=$A49)*($B$2:$B$526=2019)*($C$2:$C$526=$C49),0)),0)</f>
        <v>0</v>
      </c>
    </row>
    <row r="50" spans="1:6" x14ac:dyDescent="0.25">
      <c r="A50">
        <v>1</v>
      </c>
      <c r="B50">
        <v>2011</v>
      </c>
      <c r="C50">
        <v>6</v>
      </c>
      <c r="D50">
        <f>SUMIFS('Refinery Summary'!$G$2:$G$1899,'Refinery Summary'!$B$2:$B$1899,RefCapacity!$A50,'Refinery Summary'!$A$2:$A$1899,RefCapacity!$B50,'Refinery Summary'!$C$2:$C$1899,RefCapacity!$C50)/1000</f>
        <v>0</v>
      </c>
      <c r="E50" cm="1">
        <f t="array" ref="E50">$D50-INDEX($D$2:$D$526,MATCH(1,($A$2:$A$526=$A50)*($B$2:$B$526=2019)*($C$2:$C$526=$C50),0))</f>
        <v>-180.69</v>
      </c>
      <c r="F50" s="1" cm="1">
        <f t="array" ref="F50">IFERROR(E50/INDEX($D$2:$D$526,MATCH(1,($A$2:$A$526=$A50)*($B$2:$B$526=2019)*($C$2:$C$526=$C50),0)),0)</f>
        <v>-1</v>
      </c>
    </row>
    <row r="51" spans="1:6" x14ac:dyDescent="0.25">
      <c r="A51">
        <v>1</v>
      </c>
      <c r="B51">
        <v>2012</v>
      </c>
      <c r="C51">
        <v>0</v>
      </c>
      <c r="D51">
        <f>SUMIFS('Refinery Summary'!$G$2:$G$1899,'Refinery Summary'!$B$2:$B$1899,RefCapacity!$A51,'Refinery Summary'!$A$2:$A$1899,RefCapacity!$B51,'Refinery Summary'!$C$2:$C$1899,RefCapacity!$C51)/1000</f>
        <v>30</v>
      </c>
      <c r="E51" cm="1">
        <f t="array" ref="E51">$D51-INDEX($D$2:$D$526,MATCH(1,($A$2:$A$526=$A51)*($B$2:$B$526=2019)*($C$2:$C$526=$C51),0))</f>
        <v>-3.0600000000000023</v>
      </c>
      <c r="F51" s="1" cm="1">
        <f t="array" ref="F51">IFERROR(E51/INDEX($D$2:$D$526,MATCH(1,($A$2:$A$526=$A51)*($B$2:$B$526=2019)*($C$2:$C$526=$C51),0)),0)</f>
        <v>-9.2558983666061773E-2</v>
      </c>
    </row>
    <row r="52" spans="1:6" x14ac:dyDescent="0.25">
      <c r="A52">
        <v>1</v>
      </c>
      <c r="B52">
        <v>2012</v>
      </c>
      <c r="C52">
        <v>1</v>
      </c>
      <c r="D52">
        <f>SUMIFS('Refinery Summary'!$G$2:$G$1899,'Refinery Summary'!$B$2:$B$1899,RefCapacity!$A52,'Refinery Summary'!$A$2:$A$1899,RefCapacity!$B52,'Refinery Summary'!$C$2:$C$1899,RefCapacity!$C52)/1000</f>
        <v>809.7</v>
      </c>
      <c r="E52" cm="1">
        <f t="array" ref="E52">$D52-INDEX($D$2:$D$526,MATCH(1,($A$2:$A$526=$A52)*($B$2:$B$526=2019)*($C$2:$C$526=$C52),0))</f>
        <v>147.45000000000005</v>
      </c>
      <c r="F52" s="1" cm="1">
        <f t="array" ref="F52">IFERROR(E52/INDEX($D$2:$D$526,MATCH(1,($A$2:$A$526=$A52)*($B$2:$B$526=2019)*($C$2:$C$526=$C52),0)),0)</f>
        <v>0.22265005662514162</v>
      </c>
    </row>
    <row r="53" spans="1:6" x14ac:dyDescent="0.25">
      <c r="A53">
        <v>1</v>
      </c>
      <c r="B53">
        <v>2012</v>
      </c>
      <c r="C53">
        <v>2</v>
      </c>
      <c r="D53">
        <f>SUMIFS('Refinery Summary'!$G$2:$G$1899,'Refinery Summary'!$B$2:$B$1899,RefCapacity!$A53,'Refinery Summary'!$A$2:$A$1899,RefCapacity!$B53,'Refinery Summary'!$C$2:$C$1899,RefCapacity!$C53)/1000</f>
        <v>0</v>
      </c>
      <c r="E53" cm="1">
        <f t="array" ref="E53">$D53-INDEX($D$2:$D$526,MATCH(1,($A$2:$A$526=$A53)*($B$2:$B$526=2019)*($C$2:$C$526=$C53),0))</f>
        <v>0</v>
      </c>
      <c r="F53" s="1" cm="1">
        <f t="array" ref="F53">IFERROR(E53/INDEX($D$2:$D$526,MATCH(1,($A$2:$A$526=$A53)*($B$2:$B$526=2019)*($C$2:$C$526=$C53),0)),0)</f>
        <v>0</v>
      </c>
    </row>
    <row r="54" spans="1:6" x14ac:dyDescent="0.25">
      <c r="A54">
        <v>1</v>
      </c>
      <c r="B54">
        <v>2012</v>
      </c>
      <c r="C54">
        <v>3</v>
      </c>
      <c r="D54">
        <f>SUMIFS('Refinery Summary'!$G$2:$G$1899,'Refinery Summary'!$B$2:$B$1899,RefCapacity!$A54,'Refinery Summary'!$A$2:$A$1899,RefCapacity!$B54,'Refinery Summary'!$C$2:$C$1899,RefCapacity!$C54)/1000</f>
        <v>375</v>
      </c>
      <c r="E54" cm="1">
        <f t="array" ref="E54">$D54-INDEX($D$2:$D$526,MATCH(1,($A$2:$A$526=$A54)*($B$2:$B$526=2019)*($C$2:$C$526=$C54),0))</f>
        <v>177.4</v>
      </c>
      <c r="F54" s="1" cm="1">
        <f t="array" ref="F54">IFERROR(E54/INDEX($D$2:$D$526,MATCH(1,($A$2:$A$526=$A54)*($B$2:$B$526=2019)*($C$2:$C$526=$C54),0)),0)</f>
        <v>0.89777327935222673</v>
      </c>
    </row>
    <row r="55" spans="1:6" x14ac:dyDescent="0.25">
      <c r="A55">
        <v>1</v>
      </c>
      <c r="B55">
        <v>2012</v>
      </c>
      <c r="C55">
        <v>4</v>
      </c>
      <c r="D55">
        <f>SUMIFS('Refinery Summary'!$G$2:$G$1899,'Refinery Summary'!$B$2:$B$1899,RefCapacity!$A55,'Refinery Summary'!$A$2:$A$1899,RefCapacity!$B55,'Refinery Summary'!$C$2:$C$1899,RefCapacity!$C55)/1000</f>
        <v>185</v>
      </c>
      <c r="E55" cm="1">
        <f t="array" ref="E55">$D55-INDEX($D$2:$D$526,MATCH(1,($A$2:$A$526=$A55)*($B$2:$B$526=2019)*($C$2:$C$526=$C55),0))</f>
        <v>27.300000000000011</v>
      </c>
      <c r="F55" s="1" cm="1">
        <f t="array" ref="F55">IFERROR(E55/INDEX($D$2:$D$526,MATCH(1,($A$2:$A$526=$A55)*($B$2:$B$526=2019)*($C$2:$C$526=$C55),0)),0)</f>
        <v>0.17311350665821187</v>
      </c>
    </row>
    <row r="56" spans="1:6" x14ac:dyDescent="0.25">
      <c r="A56">
        <v>1</v>
      </c>
      <c r="B56">
        <v>2012</v>
      </c>
      <c r="C56">
        <v>5</v>
      </c>
      <c r="D56">
        <f>SUMIFS('Refinery Summary'!$G$2:$G$1899,'Refinery Summary'!$B$2:$B$1899,RefCapacity!$A56,'Refinery Summary'!$A$2:$A$1899,RefCapacity!$B56,'Refinery Summary'!$C$2:$C$1899,RefCapacity!$C56)/1000</f>
        <v>0</v>
      </c>
      <c r="E56" cm="1">
        <f t="array" ref="E56">$D56-INDEX($D$2:$D$526,MATCH(1,($A$2:$A$526=$A56)*($B$2:$B$526=2019)*($C$2:$C$526=$C56),0))</f>
        <v>0</v>
      </c>
      <c r="F56" s="1" cm="1">
        <f t="array" ref="F56">IFERROR(E56/INDEX($D$2:$D$526,MATCH(1,($A$2:$A$526=$A56)*($B$2:$B$526=2019)*($C$2:$C$526=$C56),0)),0)</f>
        <v>0</v>
      </c>
    </row>
    <row r="57" spans="1:6" x14ac:dyDescent="0.25">
      <c r="A57">
        <v>1</v>
      </c>
      <c r="B57">
        <v>2012</v>
      </c>
      <c r="C57">
        <v>6</v>
      </c>
      <c r="D57">
        <f>SUMIFS('Refinery Summary'!$G$2:$G$1899,'Refinery Summary'!$B$2:$B$1899,RefCapacity!$A57,'Refinery Summary'!$A$2:$A$1899,RefCapacity!$B57,'Refinery Summary'!$C$2:$C$1899,RefCapacity!$C57)/1000</f>
        <v>0</v>
      </c>
      <c r="E57" cm="1">
        <f t="array" ref="E57">$D57-INDEX($D$2:$D$526,MATCH(1,($A$2:$A$526=$A57)*($B$2:$B$526=2019)*($C$2:$C$526=$C57),0))</f>
        <v>-180.69</v>
      </c>
      <c r="F57" s="1" cm="1">
        <f t="array" ref="F57">IFERROR(E57/INDEX($D$2:$D$526,MATCH(1,($A$2:$A$526=$A57)*($B$2:$B$526=2019)*($C$2:$C$526=$C57),0)),0)</f>
        <v>-1</v>
      </c>
    </row>
    <row r="58" spans="1:6" x14ac:dyDescent="0.25">
      <c r="A58">
        <v>1</v>
      </c>
      <c r="B58">
        <v>2013</v>
      </c>
      <c r="C58">
        <v>0</v>
      </c>
      <c r="D58">
        <f>SUMIFS('Refinery Summary'!$G$2:$G$1899,'Refinery Summary'!$B$2:$B$1899,RefCapacity!$A58,'Refinery Summary'!$A$2:$A$1899,RefCapacity!$B58,'Refinery Summary'!$C$2:$C$1899,RefCapacity!$C58)/1000</f>
        <v>30</v>
      </c>
      <c r="E58" cm="1">
        <f t="array" ref="E58">$D58-INDEX($D$2:$D$526,MATCH(1,($A$2:$A$526=$A58)*($B$2:$B$526=2019)*($C$2:$C$526=$C58),0))</f>
        <v>-3.0600000000000023</v>
      </c>
      <c r="F58" s="1" cm="1">
        <f t="array" ref="F58">IFERROR(E58/INDEX($D$2:$D$526,MATCH(1,($A$2:$A$526=$A58)*($B$2:$B$526=2019)*($C$2:$C$526=$C58),0)),0)</f>
        <v>-9.2558983666061773E-2</v>
      </c>
    </row>
    <row r="59" spans="1:6" x14ac:dyDescent="0.25">
      <c r="A59">
        <v>1</v>
      </c>
      <c r="B59">
        <v>2013</v>
      </c>
      <c r="C59">
        <v>1</v>
      </c>
      <c r="D59">
        <f>SUMIFS('Refinery Summary'!$G$2:$G$1899,'Refinery Summary'!$B$2:$B$1899,RefCapacity!$A59,'Refinery Summary'!$A$2:$A$1899,RefCapacity!$B59,'Refinery Summary'!$C$2:$C$1899,RefCapacity!$C59)/1000</f>
        <v>809.7</v>
      </c>
      <c r="E59" cm="1">
        <f t="array" ref="E59">$D59-INDEX($D$2:$D$526,MATCH(1,($A$2:$A$526=$A59)*($B$2:$B$526=2019)*($C$2:$C$526=$C59),0))</f>
        <v>147.45000000000005</v>
      </c>
      <c r="F59" s="1" cm="1">
        <f t="array" ref="F59">IFERROR(E59/INDEX($D$2:$D$526,MATCH(1,($A$2:$A$526=$A59)*($B$2:$B$526=2019)*($C$2:$C$526=$C59),0)),0)</f>
        <v>0.22265005662514162</v>
      </c>
    </row>
    <row r="60" spans="1:6" x14ac:dyDescent="0.25">
      <c r="A60">
        <v>1</v>
      </c>
      <c r="B60">
        <v>2013</v>
      </c>
      <c r="C60">
        <v>2</v>
      </c>
      <c r="D60">
        <f>SUMIFS('Refinery Summary'!$G$2:$G$1899,'Refinery Summary'!$B$2:$B$1899,RefCapacity!$A60,'Refinery Summary'!$A$2:$A$1899,RefCapacity!$B60,'Refinery Summary'!$C$2:$C$1899,RefCapacity!$C60)/1000</f>
        <v>0</v>
      </c>
      <c r="E60" cm="1">
        <f t="array" ref="E60">$D60-INDEX($D$2:$D$526,MATCH(1,($A$2:$A$526=$A60)*($B$2:$B$526=2019)*($C$2:$C$526=$C60),0))</f>
        <v>0</v>
      </c>
      <c r="F60" s="1" cm="1">
        <f t="array" ref="F60">IFERROR(E60/INDEX($D$2:$D$526,MATCH(1,($A$2:$A$526=$A60)*($B$2:$B$526=2019)*($C$2:$C$526=$C60),0)),0)</f>
        <v>0</v>
      </c>
    </row>
    <row r="61" spans="1:6" x14ac:dyDescent="0.25">
      <c r="A61">
        <v>1</v>
      </c>
      <c r="B61">
        <v>2013</v>
      </c>
      <c r="C61">
        <v>3</v>
      </c>
      <c r="D61">
        <f>SUMIFS('Refinery Summary'!$G$2:$G$1899,'Refinery Summary'!$B$2:$B$1899,RefCapacity!$A61,'Refinery Summary'!$A$2:$A$1899,RefCapacity!$B61,'Refinery Summary'!$C$2:$C$1899,RefCapacity!$C61)/1000</f>
        <v>375</v>
      </c>
      <c r="E61" cm="1">
        <f t="array" ref="E61">$D61-INDEX($D$2:$D$526,MATCH(1,($A$2:$A$526=$A61)*($B$2:$B$526=2019)*($C$2:$C$526=$C61),0))</f>
        <v>177.4</v>
      </c>
      <c r="F61" s="1" cm="1">
        <f t="array" ref="F61">IFERROR(E61/INDEX($D$2:$D$526,MATCH(1,($A$2:$A$526=$A61)*($B$2:$B$526=2019)*($C$2:$C$526=$C61),0)),0)</f>
        <v>0.89777327935222673</v>
      </c>
    </row>
    <row r="62" spans="1:6" x14ac:dyDescent="0.25">
      <c r="A62">
        <v>1</v>
      </c>
      <c r="B62">
        <v>2013</v>
      </c>
      <c r="C62">
        <v>4</v>
      </c>
      <c r="D62">
        <f>SUMIFS('Refinery Summary'!$G$2:$G$1899,'Refinery Summary'!$B$2:$B$1899,RefCapacity!$A62,'Refinery Summary'!$A$2:$A$1899,RefCapacity!$B62,'Refinery Summary'!$C$2:$C$1899,RefCapacity!$C62)/1000</f>
        <v>185</v>
      </c>
      <c r="E62" cm="1">
        <f t="array" ref="E62">$D62-INDEX($D$2:$D$526,MATCH(1,($A$2:$A$526=$A62)*($B$2:$B$526=2019)*($C$2:$C$526=$C62),0))</f>
        <v>27.300000000000011</v>
      </c>
      <c r="F62" s="1" cm="1">
        <f t="array" ref="F62">IFERROR(E62/INDEX($D$2:$D$526,MATCH(1,($A$2:$A$526=$A62)*($B$2:$B$526=2019)*($C$2:$C$526=$C62),0)),0)</f>
        <v>0.17311350665821187</v>
      </c>
    </row>
    <row r="63" spans="1:6" x14ac:dyDescent="0.25">
      <c r="A63">
        <v>1</v>
      </c>
      <c r="B63">
        <v>2013</v>
      </c>
      <c r="C63">
        <v>5</v>
      </c>
      <c r="D63">
        <f>SUMIFS('Refinery Summary'!$G$2:$G$1899,'Refinery Summary'!$B$2:$B$1899,RefCapacity!$A63,'Refinery Summary'!$A$2:$A$1899,RefCapacity!$B63,'Refinery Summary'!$C$2:$C$1899,RefCapacity!$C63)/1000</f>
        <v>0</v>
      </c>
      <c r="E63" cm="1">
        <f t="array" ref="E63">$D63-INDEX($D$2:$D$526,MATCH(1,($A$2:$A$526=$A63)*($B$2:$B$526=2019)*($C$2:$C$526=$C63),0))</f>
        <v>0</v>
      </c>
      <c r="F63" s="1" cm="1">
        <f t="array" ref="F63">IFERROR(E63/INDEX($D$2:$D$526,MATCH(1,($A$2:$A$526=$A63)*($B$2:$B$526=2019)*($C$2:$C$526=$C63),0)),0)</f>
        <v>0</v>
      </c>
    </row>
    <row r="64" spans="1:6" x14ac:dyDescent="0.25">
      <c r="A64">
        <v>1</v>
      </c>
      <c r="B64">
        <v>2013</v>
      </c>
      <c r="C64">
        <v>6</v>
      </c>
      <c r="D64">
        <f>SUMIFS('Refinery Summary'!$G$2:$G$1899,'Refinery Summary'!$B$2:$B$1899,RefCapacity!$A64,'Refinery Summary'!$A$2:$A$1899,RefCapacity!$B64,'Refinery Summary'!$C$2:$C$1899,RefCapacity!$C64)/1000</f>
        <v>0</v>
      </c>
      <c r="E64" cm="1">
        <f t="array" ref="E64">$D64-INDEX($D$2:$D$526,MATCH(1,($A$2:$A$526=$A64)*($B$2:$B$526=2019)*($C$2:$C$526=$C64),0))</f>
        <v>-180.69</v>
      </c>
      <c r="F64" s="1" cm="1">
        <f t="array" ref="F64">IFERROR(E64/INDEX($D$2:$D$526,MATCH(1,($A$2:$A$526=$A64)*($B$2:$B$526=2019)*($C$2:$C$526=$C64),0)),0)</f>
        <v>-1</v>
      </c>
    </row>
    <row r="65" spans="1:6" x14ac:dyDescent="0.25">
      <c r="A65">
        <v>1</v>
      </c>
      <c r="B65">
        <v>2014</v>
      </c>
      <c r="C65">
        <v>0</v>
      </c>
      <c r="D65">
        <f>SUMIFS('Refinery Summary'!$G$2:$G$1899,'Refinery Summary'!$B$2:$B$1899,RefCapacity!$A65,'Refinery Summary'!$A$2:$A$1899,RefCapacity!$B65,'Refinery Summary'!$C$2:$C$1899,RefCapacity!$C65)/1000</f>
        <v>33</v>
      </c>
      <c r="E65" cm="1">
        <f t="array" ref="E65">$D65-INDEX($D$2:$D$526,MATCH(1,($A$2:$A$526=$A65)*($B$2:$B$526=2019)*($C$2:$C$526=$C65),0))</f>
        <v>-6.0000000000002274E-2</v>
      </c>
      <c r="F65" s="1" cm="1">
        <f t="array" ref="F65">IFERROR(E65/INDEX($D$2:$D$526,MATCH(1,($A$2:$A$526=$A65)*($B$2:$B$526=2019)*($C$2:$C$526=$C65),0)),0)</f>
        <v>-1.8148820326679453E-3</v>
      </c>
    </row>
    <row r="66" spans="1:6" x14ac:dyDescent="0.25">
      <c r="A66">
        <v>1</v>
      </c>
      <c r="B66">
        <v>2014</v>
      </c>
      <c r="C66">
        <v>1</v>
      </c>
      <c r="D66">
        <f>SUMIFS('Refinery Summary'!$G$2:$G$1899,'Refinery Summary'!$B$2:$B$1899,RefCapacity!$A66,'Refinery Summary'!$A$2:$A$1899,RefCapacity!$B66,'Refinery Summary'!$C$2:$C$1899,RefCapacity!$C66)/1000</f>
        <v>809.7</v>
      </c>
      <c r="E66" cm="1">
        <f t="array" ref="E66">$D66-INDEX($D$2:$D$526,MATCH(1,($A$2:$A$526=$A66)*($B$2:$B$526=2019)*($C$2:$C$526=$C66),0))</f>
        <v>147.45000000000005</v>
      </c>
      <c r="F66" s="1" cm="1">
        <f t="array" ref="F66">IFERROR(E66/INDEX($D$2:$D$526,MATCH(1,($A$2:$A$526=$A66)*($B$2:$B$526=2019)*($C$2:$C$526=$C66),0)),0)</f>
        <v>0.22265005662514162</v>
      </c>
    </row>
    <row r="67" spans="1:6" x14ac:dyDescent="0.25">
      <c r="A67">
        <v>1</v>
      </c>
      <c r="B67">
        <v>2014</v>
      </c>
      <c r="C67">
        <v>2</v>
      </c>
      <c r="D67">
        <f>SUMIFS('Refinery Summary'!$G$2:$G$1899,'Refinery Summary'!$B$2:$B$1899,RefCapacity!$A67,'Refinery Summary'!$A$2:$A$1899,RefCapacity!$B67,'Refinery Summary'!$C$2:$C$1899,RefCapacity!$C67)/1000</f>
        <v>0</v>
      </c>
      <c r="E67" cm="1">
        <f t="array" ref="E67">$D67-INDEX($D$2:$D$526,MATCH(1,($A$2:$A$526=$A67)*($B$2:$B$526=2019)*($C$2:$C$526=$C67),0))</f>
        <v>0</v>
      </c>
      <c r="F67" s="1" cm="1">
        <f t="array" ref="F67">IFERROR(E67/INDEX($D$2:$D$526,MATCH(1,($A$2:$A$526=$A67)*($B$2:$B$526=2019)*($C$2:$C$526=$C67),0)),0)</f>
        <v>0</v>
      </c>
    </row>
    <row r="68" spans="1:6" x14ac:dyDescent="0.25">
      <c r="A68">
        <v>1</v>
      </c>
      <c r="B68">
        <v>2014</v>
      </c>
      <c r="C68">
        <v>3</v>
      </c>
      <c r="D68">
        <f>SUMIFS('Refinery Summary'!$G$2:$G$1899,'Refinery Summary'!$B$2:$B$1899,RefCapacity!$A68,'Refinery Summary'!$A$2:$A$1899,RefCapacity!$B68,'Refinery Summary'!$C$2:$C$1899,RefCapacity!$C68)/1000</f>
        <v>375</v>
      </c>
      <c r="E68" cm="1">
        <f t="array" ref="E68">$D68-INDEX($D$2:$D$526,MATCH(1,($A$2:$A$526=$A68)*($B$2:$B$526=2019)*($C$2:$C$526=$C68),0))</f>
        <v>177.4</v>
      </c>
      <c r="F68" s="1" cm="1">
        <f t="array" ref="F68">IFERROR(E68/INDEX($D$2:$D$526,MATCH(1,($A$2:$A$526=$A68)*($B$2:$B$526=2019)*($C$2:$C$526=$C68),0)),0)</f>
        <v>0.89777327935222673</v>
      </c>
    </row>
    <row r="69" spans="1:6" x14ac:dyDescent="0.25">
      <c r="A69">
        <v>1</v>
      </c>
      <c r="B69">
        <v>2014</v>
      </c>
      <c r="C69">
        <v>4</v>
      </c>
      <c r="D69">
        <f>SUMIFS('Refinery Summary'!$G$2:$G$1899,'Refinery Summary'!$B$2:$B$1899,RefCapacity!$A69,'Refinery Summary'!$A$2:$A$1899,RefCapacity!$B69,'Refinery Summary'!$C$2:$C$1899,RefCapacity!$C69)/1000</f>
        <v>185</v>
      </c>
      <c r="E69" cm="1">
        <f t="array" ref="E69">$D69-INDEX($D$2:$D$526,MATCH(1,($A$2:$A$526=$A69)*($B$2:$B$526=2019)*($C$2:$C$526=$C69),0))</f>
        <v>27.300000000000011</v>
      </c>
      <c r="F69" s="1" cm="1">
        <f t="array" ref="F69">IFERROR(E69/INDEX($D$2:$D$526,MATCH(1,($A$2:$A$526=$A69)*($B$2:$B$526=2019)*($C$2:$C$526=$C69),0)),0)</f>
        <v>0.17311350665821187</v>
      </c>
    </row>
    <row r="70" spans="1:6" x14ac:dyDescent="0.25">
      <c r="A70">
        <v>1</v>
      </c>
      <c r="B70">
        <v>2014</v>
      </c>
      <c r="C70">
        <v>5</v>
      </c>
      <c r="D70">
        <f>SUMIFS('Refinery Summary'!$G$2:$G$1899,'Refinery Summary'!$B$2:$B$1899,RefCapacity!$A70,'Refinery Summary'!$A$2:$A$1899,RefCapacity!$B70,'Refinery Summary'!$C$2:$C$1899,RefCapacity!$C70)/1000</f>
        <v>0</v>
      </c>
      <c r="E70" cm="1">
        <f t="array" ref="E70">$D70-INDEX($D$2:$D$526,MATCH(1,($A$2:$A$526=$A70)*($B$2:$B$526=2019)*($C$2:$C$526=$C70),0))</f>
        <v>0</v>
      </c>
      <c r="F70" s="1" cm="1">
        <f t="array" ref="F70">IFERROR(E70/INDEX($D$2:$D$526,MATCH(1,($A$2:$A$526=$A70)*($B$2:$B$526=2019)*($C$2:$C$526=$C70),0)),0)</f>
        <v>0</v>
      </c>
    </row>
    <row r="71" spans="1:6" x14ac:dyDescent="0.25">
      <c r="A71">
        <v>1</v>
      </c>
      <c r="B71">
        <v>2014</v>
      </c>
      <c r="C71">
        <v>6</v>
      </c>
      <c r="D71">
        <f>SUMIFS('Refinery Summary'!$G$2:$G$1899,'Refinery Summary'!$B$2:$B$1899,RefCapacity!$A71,'Refinery Summary'!$A$2:$A$1899,RefCapacity!$B71,'Refinery Summary'!$C$2:$C$1899,RefCapacity!$C71)/1000</f>
        <v>0</v>
      </c>
      <c r="E71" cm="1">
        <f t="array" ref="E71">$D71-INDEX($D$2:$D$526,MATCH(1,($A$2:$A$526=$A71)*($B$2:$B$526=2019)*($C$2:$C$526=$C71),0))</f>
        <v>-180.69</v>
      </c>
      <c r="F71" s="1" cm="1">
        <f t="array" ref="F71">IFERROR(E71/INDEX($D$2:$D$526,MATCH(1,($A$2:$A$526=$A71)*($B$2:$B$526=2019)*($C$2:$C$526=$C71),0)),0)</f>
        <v>-1</v>
      </c>
    </row>
    <row r="72" spans="1:6" x14ac:dyDescent="0.25">
      <c r="A72">
        <v>1</v>
      </c>
      <c r="B72">
        <v>2015</v>
      </c>
      <c r="C72">
        <v>0</v>
      </c>
      <c r="D72">
        <f>SUMIFS('Refinery Summary'!$G$2:$G$1899,'Refinery Summary'!$B$2:$B$1899,RefCapacity!$A72,'Refinery Summary'!$A$2:$A$1899,RefCapacity!$B72,'Refinery Summary'!$C$2:$C$1899,RefCapacity!$C72)/1000</f>
        <v>34</v>
      </c>
      <c r="E72" cm="1">
        <f t="array" ref="E72">$D72-INDEX($D$2:$D$526,MATCH(1,($A$2:$A$526=$A72)*($B$2:$B$526=2019)*($C$2:$C$526=$C72),0))</f>
        <v>0.93999999999999773</v>
      </c>
      <c r="F72" s="1" cm="1">
        <f t="array" ref="F72">IFERROR(E72/INDEX($D$2:$D$526,MATCH(1,($A$2:$A$526=$A72)*($B$2:$B$526=2019)*($C$2:$C$526=$C72),0)),0)</f>
        <v>2.8433151845129997E-2</v>
      </c>
    </row>
    <row r="73" spans="1:6" x14ac:dyDescent="0.25">
      <c r="A73">
        <v>1</v>
      </c>
      <c r="B73">
        <v>2015</v>
      </c>
      <c r="C73">
        <v>1</v>
      </c>
      <c r="D73">
        <f>SUMIFS('Refinery Summary'!$G$2:$G$1899,'Refinery Summary'!$B$2:$B$1899,RefCapacity!$A73,'Refinery Summary'!$A$2:$A$1899,RefCapacity!$B73,'Refinery Summary'!$C$2:$C$1899,RefCapacity!$C73)/1000</f>
        <v>638</v>
      </c>
      <c r="E73" cm="1">
        <f t="array" ref="E73">$D73-INDEX($D$2:$D$526,MATCH(1,($A$2:$A$526=$A73)*($B$2:$B$526=2019)*($C$2:$C$526=$C73),0))</f>
        <v>-24.25</v>
      </c>
      <c r="F73" s="1" cm="1">
        <f t="array" ref="F73">IFERROR(E73/INDEX($D$2:$D$526,MATCH(1,($A$2:$A$526=$A73)*($B$2:$B$526=2019)*($C$2:$C$526=$C73),0)),0)</f>
        <v>-3.661759154397886E-2</v>
      </c>
    </row>
    <row r="74" spans="1:6" x14ac:dyDescent="0.25">
      <c r="A74">
        <v>1</v>
      </c>
      <c r="B74">
        <v>2015</v>
      </c>
      <c r="C74">
        <v>2</v>
      </c>
      <c r="D74">
        <f>SUMIFS('Refinery Summary'!$G$2:$G$1899,'Refinery Summary'!$B$2:$B$1899,RefCapacity!$A74,'Refinery Summary'!$A$2:$A$1899,RefCapacity!$B74,'Refinery Summary'!$C$2:$C$1899,RefCapacity!$C74)/1000</f>
        <v>0</v>
      </c>
      <c r="E74" cm="1">
        <f t="array" ref="E74">$D74-INDEX($D$2:$D$526,MATCH(1,($A$2:$A$526=$A74)*($B$2:$B$526=2019)*($C$2:$C$526=$C74),0))</f>
        <v>0</v>
      </c>
      <c r="F74" s="1" cm="1">
        <f t="array" ref="F74">IFERROR(E74/INDEX($D$2:$D$526,MATCH(1,($A$2:$A$526=$A74)*($B$2:$B$526=2019)*($C$2:$C$526=$C74),0)),0)</f>
        <v>0</v>
      </c>
    </row>
    <row r="75" spans="1:6" x14ac:dyDescent="0.25">
      <c r="A75">
        <v>1</v>
      </c>
      <c r="B75">
        <v>2015</v>
      </c>
      <c r="C75">
        <v>3</v>
      </c>
      <c r="D75">
        <f>SUMIFS('Refinery Summary'!$G$2:$G$1899,'Refinery Summary'!$B$2:$B$1899,RefCapacity!$A75,'Refinery Summary'!$A$2:$A$1899,RefCapacity!$B75,'Refinery Summary'!$C$2:$C$1899,RefCapacity!$C75)/1000</f>
        <v>375</v>
      </c>
      <c r="E75" cm="1">
        <f t="array" ref="E75">$D75-INDEX($D$2:$D$526,MATCH(1,($A$2:$A$526=$A75)*($B$2:$B$526=2019)*($C$2:$C$526=$C75),0))</f>
        <v>177.4</v>
      </c>
      <c r="F75" s="1" cm="1">
        <f t="array" ref="F75">IFERROR(E75/INDEX($D$2:$D$526,MATCH(1,($A$2:$A$526=$A75)*($B$2:$B$526=2019)*($C$2:$C$526=$C75),0)),0)</f>
        <v>0.89777327935222673</v>
      </c>
    </row>
    <row r="76" spans="1:6" x14ac:dyDescent="0.25">
      <c r="A76">
        <v>1</v>
      </c>
      <c r="B76">
        <v>2015</v>
      </c>
      <c r="C76">
        <v>4</v>
      </c>
      <c r="D76">
        <f>SUMIFS('Refinery Summary'!$G$2:$G$1899,'Refinery Summary'!$B$2:$B$1899,RefCapacity!$A76,'Refinery Summary'!$A$2:$A$1899,RefCapacity!$B76,'Refinery Summary'!$C$2:$C$1899,RefCapacity!$C76)/1000</f>
        <v>180</v>
      </c>
      <c r="E76" cm="1">
        <f t="array" ref="E76">$D76-INDEX($D$2:$D$526,MATCH(1,($A$2:$A$526=$A76)*($B$2:$B$526=2019)*($C$2:$C$526=$C76),0))</f>
        <v>22.300000000000011</v>
      </c>
      <c r="F76" s="1" cm="1">
        <f t="array" ref="F76">IFERROR(E76/INDEX($D$2:$D$526,MATCH(1,($A$2:$A$526=$A76)*($B$2:$B$526=2019)*($C$2:$C$526=$C76),0)),0)</f>
        <v>0.14140773620798994</v>
      </c>
    </row>
    <row r="77" spans="1:6" x14ac:dyDescent="0.25">
      <c r="A77">
        <v>1</v>
      </c>
      <c r="B77">
        <v>2015</v>
      </c>
      <c r="C77">
        <v>5</v>
      </c>
      <c r="D77">
        <f>SUMIFS('Refinery Summary'!$G$2:$G$1899,'Refinery Summary'!$B$2:$B$1899,RefCapacity!$A77,'Refinery Summary'!$A$2:$A$1899,RefCapacity!$B77,'Refinery Summary'!$C$2:$C$1899,RefCapacity!$C77)/1000</f>
        <v>0</v>
      </c>
      <c r="E77" cm="1">
        <f t="array" ref="E77">$D77-INDEX($D$2:$D$526,MATCH(1,($A$2:$A$526=$A77)*($B$2:$B$526=2019)*($C$2:$C$526=$C77),0))</f>
        <v>0</v>
      </c>
      <c r="F77" s="1" cm="1">
        <f t="array" ref="F77">IFERROR(E77/INDEX($D$2:$D$526,MATCH(1,($A$2:$A$526=$A77)*($B$2:$B$526=2019)*($C$2:$C$526=$C77),0)),0)</f>
        <v>0</v>
      </c>
    </row>
    <row r="78" spans="1:6" x14ac:dyDescent="0.25">
      <c r="A78">
        <v>1</v>
      </c>
      <c r="B78">
        <v>2015</v>
      </c>
      <c r="C78">
        <v>6</v>
      </c>
      <c r="D78">
        <f>SUMIFS('Refinery Summary'!$G$2:$G$1899,'Refinery Summary'!$B$2:$B$1899,RefCapacity!$A78,'Refinery Summary'!$A$2:$A$1899,RefCapacity!$B78,'Refinery Summary'!$C$2:$C$1899,RefCapacity!$C78)/1000</f>
        <v>0</v>
      </c>
      <c r="E78" cm="1">
        <f t="array" ref="E78">$D78-INDEX($D$2:$D$526,MATCH(1,($A$2:$A$526=$A78)*($B$2:$B$526=2019)*($C$2:$C$526=$C78),0))</f>
        <v>-180.69</v>
      </c>
      <c r="F78" s="1" cm="1">
        <f t="array" ref="F78">IFERROR(E78/INDEX($D$2:$D$526,MATCH(1,($A$2:$A$526=$A78)*($B$2:$B$526=2019)*($C$2:$C$526=$C78),0)),0)</f>
        <v>-1</v>
      </c>
    </row>
    <row r="79" spans="1:6" x14ac:dyDescent="0.25">
      <c r="A79">
        <v>1</v>
      </c>
      <c r="B79">
        <v>2016</v>
      </c>
      <c r="C79">
        <v>0</v>
      </c>
      <c r="D79">
        <f>SUMIFS('Refinery Summary'!$G$2:$G$1899,'Refinery Summary'!$B$2:$B$1899,RefCapacity!$A79,'Refinery Summary'!$A$2:$A$1899,RefCapacity!$B79,'Refinery Summary'!$C$2:$C$1899,RefCapacity!$C79)/1000</f>
        <v>34.21</v>
      </c>
      <c r="E79" cm="1">
        <f t="array" ref="E79">$D79-INDEX($D$2:$D$526,MATCH(1,($A$2:$A$526=$A79)*($B$2:$B$526=2019)*($C$2:$C$526=$C79),0))</f>
        <v>1.1499999999999986</v>
      </c>
      <c r="F79" s="1" cm="1">
        <f t="array" ref="F79">IFERROR(E79/INDEX($D$2:$D$526,MATCH(1,($A$2:$A$526=$A79)*($B$2:$B$526=2019)*($C$2:$C$526=$C79),0)),0)</f>
        <v>3.4785238959467592E-2</v>
      </c>
    </row>
    <row r="80" spans="1:6" x14ac:dyDescent="0.25">
      <c r="A80">
        <v>1</v>
      </c>
      <c r="B80">
        <v>2016</v>
      </c>
      <c r="C80">
        <v>1</v>
      </c>
      <c r="D80">
        <f>SUMIFS('Refinery Summary'!$G$2:$G$1899,'Refinery Summary'!$B$2:$B$1899,RefCapacity!$A80,'Refinery Summary'!$A$2:$A$1899,RefCapacity!$B80,'Refinery Summary'!$C$2:$C$1899,RefCapacity!$C80)/1000</f>
        <v>641.75</v>
      </c>
      <c r="E80" cm="1">
        <f t="array" ref="E80">$D80-INDEX($D$2:$D$526,MATCH(1,($A$2:$A$526=$A80)*($B$2:$B$526=2019)*($C$2:$C$526=$C80),0))</f>
        <v>-20.5</v>
      </c>
      <c r="F80" s="1" cm="1">
        <f t="array" ref="F80">IFERROR(E80/INDEX($D$2:$D$526,MATCH(1,($A$2:$A$526=$A80)*($B$2:$B$526=2019)*($C$2:$C$526=$C80),0)),0)</f>
        <v>-3.0955077387693469E-2</v>
      </c>
    </row>
    <row r="81" spans="1:6" x14ac:dyDescent="0.25">
      <c r="A81">
        <v>1</v>
      </c>
      <c r="B81">
        <v>2016</v>
      </c>
      <c r="C81">
        <v>2</v>
      </c>
      <c r="D81">
        <f>SUMIFS('Refinery Summary'!$G$2:$G$1899,'Refinery Summary'!$B$2:$B$1899,RefCapacity!$A81,'Refinery Summary'!$A$2:$A$1899,RefCapacity!$B81,'Refinery Summary'!$C$2:$C$1899,RefCapacity!$C81)/1000</f>
        <v>0</v>
      </c>
      <c r="E81" cm="1">
        <f t="array" ref="E81">$D81-INDEX($D$2:$D$526,MATCH(1,($A$2:$A$526=$A81)*($B$2:$B$526=2019)*($C$2:$C$526=$C81),0))</f>
        <v>0</v>
      </c>
      <c r="F81" s="1" cm="1">
        <f t="array" ref="F81">IFERROR(E81/INDEX($D$2:$D$526,MATCH(1,($A$2:$A$526=$A81)*($B$2:$B$526=2019)*($C$2:$C$526=$C81),0)),0)</f>
        <v>0</v>
      </c>
    </row>
    <row r="82" spans="1:6" x14ac:dyDescent="0.25">
      <c r="A82">
        <v>1</v>
      </c>
      <c r="B82">
        <v>2016</v>
      </c>
      <c r="C82">
        <v>3</v>
      </c>
      <c r="D82">
        <f>SUMIFS('Refinery Summary'!$G$2:$G$1899,'Refinery Summary'!$B$2:$B$1899,RefCapacity!$A82,'Refinery Summary'!$A$2:$A$1899,RefCapacity!$B82,'Refinery Summary'!$C$2:$C$1899,RefCapacity!$C82)/1000</f>
        <v>180.5</v>
      </c>
      <c r="E82" cm="1">
        <f t="array" ref="E82">$D82-INDEX($D$2:$D$526,MATCH(1,($A$2:$A$526=$A82)*($B$2:$B$526=2019)*($C$2:$C$526=$C82),0))</f>
        <v>-17.099999999999994</v>
      </c>
      <c r="F82" s="1" cm="1">
        <f t="array" ref="F82">IFERROR(E82/INDEX($D$2:$D$526,MATCH(1,($A$2:$A$526=$A82)*($B$2:$B$526=2019)*($C$2:$C$526=$C82),0)),0)</f>
        <v>-8.6538461538461509E-2</v>
      </c>
    </row>
    <row r="83" spans="1:6" x14ac:dyDescent="0.25">
      <c r="A83">
        <v>1</v>
      </c>
      <c r="B83">
        <v>2016</v>
      </c>
      <c r="C83">
        <v>4</v>
      </c>
      <c r="D83">
        <f>SUMIFS('Refinery Summary'!$G$2:$G$1899,'Refinery Summary'!$B$2:$B$1899,RefCapacity!$A83,'Refinery Summary'!$A$2:$A$1899,RefCapacity!$B83,'Refinery Summary'!$C$2:$C$1899,RefCapacity!$C83)/1000</f>
        <v>157.69999999999999</v>
      </c>
      <c r="E83" cm="1">
        <f t="array" ref="E83">$D83-INDEX($D$2:$D$526,MATCH(1,($A$2:$A$526=$A83)*($B$2:$B$526=2019)*($C$2:$C$526=$C83),0))</f>
        <v>0</v>
      </c>
      <c r="F83" s="1" cm="1">
        <f t="array" ref="F83">IFERROR(E83/INDEX($D$2:$D$526,MATCH(1,($A$2:$A$526=$A83)*($B$2:$B$526=2019)*($C$2:$C$526=$C83),0)),0)</f>
        <v>0</v>
      </c>
    </row>
    <row r="84" spans="1:6" x14ac:dyDescent="0.25">
      <c r="A84">
        <v>1</v>
      </c>
      <c r="B84">
        <v>2016</v>
      </c>
      <c r="C84">
        <v>5</v>
      </c>
      <c r="D84">
        <f>SUMIFS('Refinery Summary'!$G$2:$G$1899,'Refinery Summary'!$B$2:$B$1899,RefCapacity!$A84,'Refinery Summary'!$A$2:$A$1899,RefCapacity!$B84,'Refinery Summary'!$C$2:$C$1899,RefCapacity!$C84)/1000</f>
        <v>0</v>
      </c>
      <c r="E84" cm="1">
        <f t="array" ref="E84">$D84-INDEX($D$2:$D$526,MATCH(1,($A$2:$A$526=$A84)*($B$2:$B$526=2019)*($C$2:$C$526=$C84),0))</f>
        <v>0</v>
      </c>
      <c r="F84" s="1" cm="1">
        <f t="array" ref="F84">IFERROR(E84/INDEX($D$2:$D$526,MATCH(1,($A$2:$A$526=$A84)*($B$2:$B$526=2019)*($C$2:$C$526=$C84),0)),0)</f>
        <v>0</v>
      </c>
    </row>
    <row r="85" spans="1:6" x14ac:dyDescent="0.25">
      <c r="A85">
        <v>1</v>
      </c>
      <c r="B85">
        <v>2016</v>
      </c>
      <c r="C85">
        <v>6</v>
      </c>
      <c r="D85">
        <f>SUMIFS('Refinery Summary'!$G$2:$G$1899,'Refinery Summary'!$B$2:$B$1899,RefCapacity!$A85,'Refinery Summary'!$A$2:$A$1899,RefCapacity!$B85,'Refinery Summary'!$C$2:$C$1899,RefCapacity!$C85)/1000</f>
        <v>180.69</v>
      </c>
      <c r="E85" cm="1">
        <f t="array" ref="E85">$D85-INDEX($D$2:$D$526,MATCH(1,($A$2:$A$526=$A85)*($B$2:$B$526=2019)*($C$2:$C$526=$C85),0))</f>
        <v>0</v>
      </c>
      <c r="F85" s="1" cm="1">
        <f t="array" ref="F85">IFERROR(E85/INDEX($D$2:$D$526,MATCH(1,($A$2:$A$526=$A85)*($B$2:$B$526=2019)*($C$2:$C$526=$C85),0)),0)</f>
        <v>0</v>
      </c>
    </row>
    <row r="86" spans="1:6" x14ac:dyDescent="0.25">
      <c r="A86">
        <v>1</v>
      </c>
      <c r="B86">
        <v>2017</v>
      </c>
      <c r="C86">
        <v>0</v>
      </c>
      <c r="D86">
        <f>SUMIFS('Refinery Summary'!$G$2:$G$1899,'Refinery Summary'!$B$2:$B$1899,RefCapacity!$A86,'Refinery Summary'!$A$2:$A$1899,RefCapacity!$B86,'Refinery Summary'!$C$2:$C$1899,RefCapacity!$C86)/1000</f>
        <v>33.06</v>
      </c>
      <c r="E86" cm="1">
        <f t="array" ref="E86">$D86-INDEX($D$2:$D$526,MATCH(1,($A$2:$A$526=$A86)*($B$2:$B$526=2019)*($C$2:$C$526=$C86),0))</f>
        <v>0</v>
      </c>
      <c r="F86" s="1" cm="1">
        <f t="array" ref="F86">IFERROR(E86/INDEX($D$2:$D$526,MATCH(1,($A$2:$A$526=$A86)*($B$2:$B$526=2019)*($C$2:$C$526=$C86),0)),0)</f>
        <v>0</v>
      </c>
    </row>
    <row r="87" spans="1:6" x14ac:dyDescent="0.25">
      <c r="A87">
        <v>1</v>
      </c>
      <c r="B87">
        <v>2017</v>
      </c>
      <c r="C87">
        <v>1</v>
      </c>
      <c r="D87">
        <f>SUMIFS('Refinery Summary'!$G$2:$G$1899,'Refinery Summary'!$B$2:$B$1899,RefCapacity!$A87,'Refinery Summary'!$A$2:$A$1899,RefCapacity!$B87,'Refinery Summary'!$C$2:$C$1899,RefCapacity!$C87)/1000</f>
        <v>644.75</v>
      </c>
      <c r="E87" cm="1">
        <f t="array" ref="E87">$D87-INDEX($D$2:$D$526,MATCH(1,($A$2:$A$526=$A87)*($B$2:$B$526=2019)*($C$2:$C$526=$C87),0))</f>
        <v>-17.5</v>
      </c>
      <c r="F87" s="1" cm="1">
        <f t="array" ref="F87">IFERROR(E87/INDEX($D$2:$D$526,MATCH(1,($A$2:$A$526=$A87)*($B$2:$B$526=2019)*($C$2:$C$526=$C87),0)),0)</f>
        <v>-2.6425066062665158E-2</v>
      </c>
    </row>
    <row r="88" spans="1:6" x14ac:dyDescent="0.25">
      <c r="A88">
        <v>1</v>
      </c>
      <c r="B88">
        <v>2017</v>
      </c>
      <c r="C88">
        <v>2</v>
      </c>
      <c r="D88">
        <f>SUMIFS('Refinery Summary'!$G$2:$G$1899,'Refinery Summary'!$B$2:$B$1899,RefCapacity!$A88,'Refinery Summary'!$A$2:$A$1899,RefCapacity!$B88,'Refinery Summary'!$C$2:$C$1899,RefCapacity!$C88)/1000</f>
        <v>0</v>
      </c>
      <c r="E88" cm="1">
        <f t="array" ref="E88">$D88-INDEX($D$2:$D$526,MATCH(1,($A$2:$A$526=$A88)*($B$2:$B$526=2019)*($C$2:$C$526=$C88),0))</f>
        <v>0</v>
      </c>
      <c r="F88" s="1" cm="1">
        <f t="array" ref="F88">IFERROR(E88/INDEX($D$2:$D$526,MATCH(1,($A$2:$A$526=$A88)*($B$2:$B$526=2019)*($C$2:$C$526=$C88),0)),0)</f>
        <v>0</v>
      </c>
    </row>
    <row r="89" spans="1:6" x14ac:dyDescent="0.25">
      <c r="A89">
        <v>1</v>
      </c>
      <c r="B89">
        <v>2017</v>
      </c>
      <c r="C89">
        <v>3</v>
      </c>
      <c r="D89">
        <f>SUMIFS('Refinery Summary'!$G$2:$G$1899,'Refinery Summary'!$B$2:$B$1899,RefCapacity!$A89,'Refinery Summary'!$A$2:$A$1899,RefCapacity!$B89,'Refinery Summary'!$C$2:$C$1899,RefCapacity!$C89)/1000</f>
        <v>197.6</v>
      </c>
      <c r="E89" cm="1">
        <f t="array" ref="E89">$D89-INDEX($D$2:$D$526,MATCH(1,($A$2:$A$526=$A89)*($B$2:$B$526=2019)*($C$2:$C$526=$C89),0))</f>
        <v>0</v>
      </c>
      <c r="F89" s="1" cm="1">
        <f t="array" ref="F89">IFERROR(E89/INDEX($D$2:$D$526,MATCH(1,($A$2:$A$526=$A89)*($B$2:$B$526=2019)*($C$2:$C$526=$C89),0)),0)</f>
        <v>0</v>
      </c>
    </row>
    <row r="90" spans="1:6" x14ac:dyDescent="0.25">
      <c r="A90">
        <v>1</v>
      </c>
      <c r="B90">
        <v>2017</v>
      </c>
      <c r="C90">
        <v>4</v>
      </c>
      <c r="D90">
        <f>SUMIFS('Refinery Summary'!$G$2:$G$1899,'Refinery Summary'!$B$2:$B$1899,RefCapacity!$A90,'Refinery Summary'!$A$2:$A$1899,RefCapacity!$B90,'Refinery Summary'!$C$2:$C$1899,RefCapacity!$C90)/1000</f>
        <v>157.69999999999999</v>
      </c>
      <c r="E90" cm="1">
        <f t="array" ref="E90">$D90-INDEX($D$2:$D$526,MATCH(1,($A$2:$A$526=$A90)*($B$2:$B$526=2019)*($C$2:$C$526=$C90),0))</f>
        <v>0</v>
      </c>
      <c r="F90" s="1" cm="1">
        <f t="array" ref="F90">IFERROR(E90/INDEX($D$2:$D$526,MATCH(1,($A$2:$A$526=$A90)*($B$2:$B$526=2019)*($C$2:$C$526=$C90),0)),0)</f>
        <v>0</v>
      </c>
    </row>
    <row r="91" spans="1:6" x14ac:dyDescent="0.25">
      <c r="A91">
        <v>1</v>
      </c>
      <c r="B91">
        <v>2017</v>
      </c>
      <c r="C91">
        <v>5</v>
      </c>
      <c r="D91">
        <f>SUMIFS('Refinery Summary'!$G$2:$G$1899,'Refinery Summary'!$B$2:$B$1899,RefCapacity!$A91,'Refinery Summary'!$A$2:$A$1899,RefCapacity!$B91,'Refinery Summary'!$C$2:$C$1899,RefCapacity!$C91)/1000</f>
        <v>0</v>
      </c>
      <c r="E91" cm="1">
        <f t="array" ref="E91">$D91-INDEX($D$2:$D$526,MATCH(1,($A$2:$A$526=$A91)*($B$2:$B$526=2019)*($C$2:$C$526=$C91),0))</f>
        <v>0</v>
      </c>
      <c r="F91" s="1" cm="1">
        <f t="array" ref="F91">IFERROR(E91/INDEX($D$2:$D$526,MATCH(1,($A$2:$A$526=$A91)*($B$2:$B$526=2019)*($C$2:$C$526=$C91),0)),0)</f>
        <v>0</v>
      </c>
    </row>
    <row r="92" spans="1:6" x14ac:dyDescent="0.25">
      <c r="A92">
        <v>1</v>
      </c>
      <c r="B92">
        <v>2017</v>
      </c>
      <c r="C92">
        <v>6</v>
      </c>
      <c r="D92">
        <f>SUMIFS('Refinery Summary'!$G$2:$G$1899,'Refinery Summary'!$B$2:$B$1899,RefCapacity!$A92,'Refinery Summary'!$A$2:$A$1899,RefCapacity!$B92,'Refinery Summary'!$C$2:$C$1899,RefCapacity!$C92)/1000</f>
        <v>180.69</v>
      </c>
      <c r="E92" cm="1">
        <f t="array" ref="E92">$D92-INDEX($D$2:$D$526,MATCH(1,($A$2:$A$526=$A92)*($B$2:$B$526=2019)*($C$2:$C$526=$C92),0))</f>
        <v>0</v>
      </c>
      <c r="F92" s="1" cm="1">
        <f t="array" ref="F92">IFERROR(E92/INDEX($D$2:$D$526,MATCH(1,($A$2:$A$526=$A92)*($B$2:$B$526=2019)*($C$2:$C$526=$C92),0)),0)</f>
        <v>0</v>
      </c>
    </row>
    <row r="93" spans="1:6" x14ac:dyDescent="0.25">
      <c r="A93">
        <v>1</v>
      </c>
      <c r="B93">
        <v>2018</v>
      </c>
      <c r="C93">
        <v>0</v>
      </c>
      <c r="D93">
        <f>SUMIFS('Refinery Summary'!$G$2:$G$1899,'Refinery Summary'!$B$2:$B$1899,RefCapacity!$A93,'Refinery Summary'!$A$2:$A$1899,RefCapacity!$B93,'Refinery Summary'!$C$2:$C$1899,RefCapacity!$C93)/1000</f>
        <v>33.06</v>
      </c>
      <c r="E93" cm="1">
        <f t="array" ref="E93">$D93-INDEX($D$2:$D$526,MATCH(1,($A$2:$A$526=$A93)*($B$2:$B$526=2019)*($C$2:$C$526=$C93),0))</f>
        <v>0</v>
      </c>
      <c r="F93" s="1" cm="1">
        <f t="array" ref="F93">IFERROR(E93/INDEX($D$2:$D$526,MATCH(1,($A$2:$A$526=$A93)*($B$2:$B$526=2019)*($C$2:$C$526=$C93),0)),0)</f>
        <v>0</v>
      </c>
    </row>
    <row r="94" spans="1:6" x14ac:dyDescent="0.25">
      <c r="A94">
        <v>1</v>
      </c>
      <c r="B94">
        <v>2018</v>
      </c>
      <c r="C94">
        <v>1</v>
      </c>
      <c r="D94">
        <f>SUMIFS('Refinery Summary'!$G$2:$G$1899,'Refinery Summary'!$B$2:$B$1899,RefCapacity!$A94,'Refinery Summary'!$A$2:$A$1899,RefCapacity!$B94,'Refinery Summary'!$C$2:$C$1899,RefCapacity!$C94)/1000</f>
        <v>662.25</v>
      </c>
      <c r="E94" cm="1">
        <f t="array" ref="E94">$D94-INDEX($D$2:$D$526,MATCH(1,($A$2:$A$526=$A94)*($B$2:$B$526=2019)*($C$2:$C$526=$C94),0))</f>
        <v>0</v>
      </c>
      <c r="F94" s="1" cm="1">
        <f t="array" ref="F94">IFERROR(E94/INDEX($D$2:$D$526,MATCH(1,($A$2:$A$526=$A94)*($B$2:$B$526=2019)*($C$2:$C$526=$C94),0)),0)</f>
        <v>0</v>
      </c>
    </row>
    <row r="95" spans="1:6" x14ac:dyDescent="0.25">
      <c r="A95">
        <v>1</v>
      </c>
      <c r="B95">
        <v>2018</v>
      </c>
      <c r="C95">
        <v>2</v>
      </c>
      <c r="D95">
        <f>SUMIFS('Refinery Summary'!$G$2:$G$1899,'Refinery Summary'!$B$2:$B$1899,RefCapacity!$A95,'Refinery Summary'!$A$2:$A$1899,RefCapacity!$B95,'Refinery Summary'!$C$2:$C$1899,RefCapacity!$C95)/1000</f>
        <v>0</v>
      </c>
      <c r="E95" cm="1">
        <f t="array" ref="E95">$D95-INDEX($D$2:$D$526,MATCH(1,($A$2:$A$526=$A95)*($B$2:$B$526=2019)*($C$2:$C$526=$C95),0))</f>
        <v>0</v>
      </c>
      <c r="F95" s="1" cm="1">
        <f t="array" ref="F95">IFERROR(E95/INDEX($D$2:$D$526,MATCH(1,($A$2:$A$526=$A95)*($B$2:$B$526=2019)*($C$2:$C$526=$C95),0)),0)</f>
        <v>0</v>
      </c>
    </row>
    <row r="96" spans="1:6" x14ac:dyDescent="0.25">
      <c r="A96">
        <v>1</v>
      </c>
      <c r="B96">
        <v>2018</v>
      </c>
      <c r="C96">
        <v>3</v>
      </c>
      <c r="D96">
        <f>SUMIFS('Refinery Summary'!$G$2:$G$1899,'Refinery Summary'!$B$2:$B$1899,RefCapacity!$A96,'Refinery Summary'!$A$2:$A$1899,RefCapacity!$B96,'Refinery Summary'!$C$2:$C$1899,RefCapacity!$C96)/1000</f>
        <v>197.6</v>
      </c>
      <c r="E96" cm="1">
        <f t="array" ref="E96">$D96-INDEX($D$2:$D$526,MATCH(1,($A$2:$A$526=$A96)*($B$2:$B$526=2019)*($C$2:$C$526=$C96),0))</f>
        <v>0</v>
      </c>
      <c r="F96" s="1" cm="1">
        <f t="array" ref="F96">IFERROR(E96/INDEX($D$2:$D$526,MATCH(1,($A$2:$A$526=$A96)*($B$2:$B$526=2019)*($C$2:$C$526=$C96),0)),0)</f>
        <v>0</v>
      </c>
    </row>
    <row r="97" spans="1:6" x14ac:dyDescent="0.25">
      <c r="A97">
        <v>1</v>
      </c>
      <c r="B97">
        <v>2018</v>
      </c>
      <c r="C97">
        <v>4</v>
      </c>
      <c r="D97">
        <f>SUMIFS('Refinery Summary'!$G$2:$G$1899,'Refinery Summary'!$B$2:$B$1899,RefCapacity!$A97,'Refinery Summary'!$A$2:$A$1899,RefCapacity!$B97,'Refinery Summary'!$C$2:$C$1899,RefCapacity!$C97)/1000</f>
        <v>157.69999999999999</v>
      </c>
      <c r="E97" cm="1">
        <f t="array" ref="E97">$D97-INDEX($D$2:$D$526,MATCH(1,($A$2:$A$526=$A97)*($B$2:$B$526=2019)*($C$2:$C$526=$C97),0))</f>
        <v>0</v>
      </c>
      <c r="F97" s="1" cm="1">
        <f t="array" ref="F97">IFERROR(E97/INDEX($D$2:$D$526,MATCH(1,($A$2:$A$526=$A97)*($B$2:$B$526=2019)*($C$2:$C$526=$C97),0)),0)</f>
        <v>0</v>
      </c>
    </row>
    <row r="98" spans="1:6" x14ac:dyDescent="0.25">
      <c r="A98">
        <v>1</v>
      </c>
      <c r="B98">
        <v>2018</v>
      </c>
      <c r="C98">
        <v>5</v>
      </c>
      <c r="D98">
        <f>SUMIFS('Refinery Summary'!$G$2:$G$1899,'Refinery Summary'!$B$2:$B$1899,RefCapacity!$A98,'Refinery Summary'!$A$2:$A$1899,RefCapacity!$B98,'Refinery Summary'!$C$2:$C$1899,RefCapacity!$C98)/1000</f>
        <v>0</v>
      </c>
      <c r="E98" cm="1">
        <f t="array" ref="E98">$D98-INDEX($D$2:$D$526,MATCH(1,($A$2:$A$526=$A98)*($B$2:$B$526=2019)*($C$2:$C$526=$C98),0))</f>
        <v>0</v>
      </c>
      <c r="F98" s="1" cm="1">
        <f t="array" ref="F98">IFERROR(E98/INDEX($D$2:$D$526,MATCH(1,($A$2:$A$526=$A98)*($B$2:$B$526=2019)*($C$2:$C$526=$C98),0)),0)</f>
        <v>0</v>
      </c>
    </row>
    <row r="99" spans="1:6" x14ac:dyDescent="0.25">
      <c r="A99">
        <v>1</v>
      </c>
      <c r="B99">
        <v>2018</v>
      </c>
      <c r="C99">
        <v>6</v>
      </c>
      <c r="D99">
        <f>SUMIFS('Refinery Summary'!$G$2:$G$1899,'Refinery Summary'!$B$2:$B$1899,RefCapacity!$A99,'Refinery Summary'!$A$2:$A$1899,RefCapacity!$B99,'Refinery Summary'!$C$2:$C$1899,RefCapacity!$C99)/1000</f>
        <v>180.69</v>
      </c>
      <c r="E99" cm="1">
        <f t="array" ref="E99">$D99-INDEX($D$2:$D$526,MATCH(1,($A$2:$A$526=$A99)*($B$2:$B$526=2019)*($C$2:$C$526=$C99),0))</f>
        <v>0</v>
      </c>
      <c r="F99" s="1" cm="1">
        <f t="array" ref="F99">IFERROR(E99/INDEX($D$2:$D$526,MATCH(1,($A$2:$A$526=$A99)*($B$2:$B$526=2019)*($C$2:$C$526=$C99),0)),0)</f>
        <v>0</v>
      </c>
    </row>
    <row r="100" spans="1:6" x14ac:dyDescent="0.25">
      <c r="A100">
        <v>1</v>
      </c>
      <c r="B100">
        <v>2019</v>
      </c>
      <c r="C100">
        <v>0</v>
      </c>
      <c r="D100">
        <f>SUMIFS('Refinery Summary'!$G$2:$G$1899,'Refinery Summary'!$B$2:$B$1899,RefCapacity!$A100,'Refinery Summary'!$A$2:$A$1899,RefCapacity!$B100,'Refinery Summary'!$C$2:$C$1899,RefCapacity!$C100)/1000</f>
        <v>33.06</v>
      </c>
      <c r="E100" cm="1">
        <f t="array" ref="E100">$D100-INDEX($D$2:$D$526,MATCH(1,($A$2:$A$526=$A100)*($B$2:$B$526=2019)*($C$2:$C$526=$C100),0))</f>
        <v>0</v>
      </c>
      <c r="F100" s="1" cm="1">
        <f t="array" ref="F100">IFERROR(E100/INDEX($D$2:$D$526,MATCH(1,($A$2:$A$526=$A100)*($B$2:$B$526=2019)*($C$2:$C$526=$C100),0)),0)</f>
        <v>0</v>
      </c>
    </row>
    <row r="101" spans="1:6" x14ac:dyDescent="0.25">
      <c r="A101">
        <v>1</v>
      </c>
      <c r="B101">
        <v>2019</v>
      </c>
      <c r="C101">
        <v>1</v>
      </c>
      <c r="D101">
        <f>SUMIFS('Refinery Summary'!$G$2:$G$1899,'Refinery Summary'!$B$2:$B$1899,RefCapacity!$A101,'Refinery Summary'!$A$2:$A$1899,RefCapacity!$B101,'Refinery Summary'!$C$2:$C$1899,RefCapacity!$C101)/1000</f>
        <v>662.25</v>
      </c>
      <c r="E101" cm="1">
        <f t="array" ref="E101">$D101-INDEX($D$2:$D$526,MATCH(1,($A$2:$A$526=$A101)*($B$2:$B$526=2019)*($C$2:$C$526=$C101),0))</f>
        <v>0</v>
      </c>
      <c r="F101" s="1" cm="1">
        <f t="array" ref="F101">IFERROR(E101/INDEX($D$2:$D$526,MATCH(1,($A$2:$A$526=$A101)*($B$2:$B$526=2019)*($C$2:$C$526=$C101),0)),0)</f>
        <v>0</v>
      </c>
    </row>
    <row r="102" spans="1:6" x14ac:dyDescent="0.25">
      <c r="A102">
        <v>1</v>
      </c>
      <c r="B102">
        <v>2019</v>
      </c>
      <c r="C102">
        <v>2</v>
      </c>
      <c r="D102">
        <f>SUMIFS('Refinery Summary'!$G$2:$G$1899,'Refinery Summary'!$B$2:$B$1899,RefCapacity!$A102,'Refinery Summary'!$A$2:$A$1899,RefCapacity!$B102,'Refinery Summary'!$C$2:$C$1899,RefCapacity!$C102)/1000</f>
        <v>0</v>
      </c>
      <c r="E102" cm="1">
        <f t="array" ref="E102">$D102-INDEX($D$2:$D$526,MATCH(1,($A$2:$A$526=$A102)*($B$2:$B$526=2019)*($C$2:$C$526=$C102),0))</f>
        <v>0</v>
      </c>
      <c r="F102" s="1" cm="1">
        <f t="array" ref="F102">IFERROR(E102/INDEX($D$2:$D$526,MATCH(1,($A$2:$A$526=$A102)*($B$2:$B$526=2019)*($C$2:$C$526=$C102),0)),0)</f>
        <v>0</v>
      </c>
    </row>
    <row r="103" spans="1:6" x14ac:dyDescent="0.25">
      <c r="A103">
        <v>1</v>
      </c>
      <c r="B103">
        <v>2019</v>
      </c>
      <c r="C103">
        <v>3</v>
      </c>
      <c r="D103">
        <f>SUMIFS('Refinery Summary'!$G$2:$G$1899,'Refinery Summary'!$B$2:$B$1899,RefCapacity!$A103,'Refinery Summary'!$A$2:$A$1899,RefCapacity!$B103,'Refinery Summary'!$C$2:$C$1899,RefCapacity!$C103)/1000</f>
        <v>197.6</v>
      </c>
      <c r="E103" cm="1">
        <f t="array" ref="E103">$D103-INDEX($D$2:$D$526,MATCH(1,($A$2:$A$526=$A103)*($B$2:$B$526=2019)*($C$2:$C$526=$C103),0))</f>
        <v>0</v>
      </c>
      <c r="F103" s="1" cm="1">
        <f t="array" ref="F103">IFERROR(E103/INDEX($D$2:$D$526,MATCH(1,($A$2:$A$526=$A103)*($B$2:$B$526=2019)*($C$2:$C$526=$C103),0)),0)</f>
        <v>0</v>
      </c>
    </row>
    <row r="104" spans="1:6" x14ac:dyDescent="0.25">
      <c r="A104">
        <v>1</v>
      </c>
      <c r="B104">
        <v>2019</v>
      </c>
      <c r="C104">
        <v>4</v>
      </c>
      <c r="D104">
        <f>SUMIFS('Refinery Summary'!$G$2:$G$1899,'Refinery Summary'!$B$2:$B$1899,RefCapacity!$A104,'Refinery Summary'!$A$2:$A$1899,RefCapacity!$B104,'Refinery Summary'!$C$2:$C$1899,RefCapacity!$C104)/1000</f>
        <v>157.69999999999999</v>
      </c>
      <c r="E104" cm="1">
        <f t="array" ref="E104">$D104-INDEX($D$2:$D$526,MATCH(1,($A$2:$A$526=$A104)*($B$2:$B$526=2019)*($C$2:$C$526=$C104),0))</f>
        <v>0</v>
      </c>
      <c r="F104" s="1" cm="1">
        <f t="array" ref="F104">IFERROR(E104/INDEX($D$2:$D$526,MATCH(1,($A$2:$A$526=$A104)*($B$2:$B$526=2019)*($C$2:$C$526=$C104),0)),0)</f>
        <v>0</v>
      </c>
    </row>
    <row r="105" spans="1:6" x14ac:dyDescent="0.25">
      <c r="A105">
        <v>1</v>
      </c>
      <c r="B105">
        <v>2019</v>
      </c>
      <c r="C105">
        <v>5</v>
      </c>
      <c r="D105">
        <f>SUMIFS('Refinery Summary'!$G$2:$G$1899,'Refinery Summary'!$B$2:$B$1899,RefCapacity!$A105,'Refinery Summary'!$A$2:$A$1899,RefCapacity!$B105,'Refinery Summary'!$C$2:$C$1899,RefCapacity!$C105)/1000</f>
        <v>0</v>
      </c>
      <c r="E105" cm="1">
        <f t="array" ref="E105">$D105-INDEX($D$2:$D$526,MATCH(1,($A$2:$A$526=$A105)*($B$2:$B$526=2019)*($C$2:$C$526=$C105),0))</f>
        <v>0</v>
      </c>
      <c r="F105" s="1" cm="1">
        <f t="array" ref="F105">IFERROR(E105/INDEX($D$2:$D$526,MATCH(1,($A$2:$A$526=$A105)*($B$2:$B$526=2019)*($C$2:$C$526=$C105),0)),0)</f>
        <v>0</v>
      </c>
    </row>
    <row r="106" spans="1:6" x14ac:dyDescent="0.25">
      <c r="A106">
        <v>1</v>
      </c>
      <c r="B106">
        <v>2019</v>
      </c>
      <c r="C106">
        <v>6</v>
      </c>
      <c r="D106">
        <f>SUMIFS('Refinery Summary'!$G$2:$G$1899,'Refinery Summary'!$B$2:$B$1899,RefCapacity!$A106,'Refinery Summary'!$A$2:$A$1899,RefCapacity!$B106,'Refinery Summary'!$C$2:$C$1899,RefCapacity!$C106)/1000</f>
        <v>180.69</v>
      </c>
      <c r="E106" cm="1">
        <f t="array" ref="E106">$D106-INDEX($D$2:$D$526,MATCH(1,($A$2:$A$526=$A106)*($B$2:$B$526=2019)*($C$2:$C$526=$C106),0))</f>
        <v>0</v>
      </c>
      <c r="F106" s="1" cm="1">
        <f t="array" ref="F106">IFERROR(E106/INDEX($D$2:$D$526,MATCH(1,($A$2:$A$526=$A106)*($B$2:$B$526=2019)*($C$2:$C$526=$C106),0)),0)</f>
        <v>0</v>
      </c>
    </row>
    <row r="107" spans="1:6" x14ac:dyDescent="0.25">
      <c r="A107">
        <v>2</v>
      </c>
      <c r="B107">
        <v>2005</v>
      </c>
      <c r="C107">
        <v>0</v>
      </c>
      <c r="D107">
        <f>SUMIFS('Refinery Summary'!$G$2:$G$1899,'Refinery Summary'!$B$2:$B$1899,RefCapacity!$A107,'Refinery Summary'!$A$2:$A$1899,RefCapacity!$B107,'Refinery Summary'!$C$2:$C$1899,RefCapacity!$C107)/1000</f>
        <v>5.5</v>
      </c>
      <c r="E107" cm="1">
        <f t="array" ref="E107">$D107-INDEX($D$2:$D$526,MATCH(1,($A$2:$A$526=$A107)*($B$2:$B$526=2019)*($C$2:$C$526=$C107),0))</f>
        <v>-19.484999999999999</v>
      </c>
      <c r="F107" s="1" cm="1">
        <f t="array" ref="F107">IFERROR(E107/INDEX($D$2:$D$526,MATCH(1,($A$2:$A$526=$A107)*($B$2:$B$526=2019)*($C$2:$C$526=$C107),0)),0)</f>
        <v>-0.77986792075245148</v>
      </c>
    </row>
    <row r="108" spans="1:6" x14ac:dyDescent="0.25">
      <c r="A108">
        <v>2</v>
      </c>
      <c r="B108">
        <v>2005</v>
      </c>
      <c r="C108">
        <v>1</v>
      </c>
      <c r="D108">
        <f>SUMIFS('Refinery Summary'!$G$2:$G$1899,'Refinery Summary'!$B$2:$B$1899,RefCapacity!$A108,'Refinery Summary'!$A$2:$A$1899,RefCapacity!$B108,'Refinery Summary'!$C$2:$C$1899,RefCapacity!$C108)/1000</f>
        <v>878.75</v>
      </c>
      <c r="E108" cm="1">
        <f t="array" ref="E108">$D108-INDEX($D$2:$D$526,MATCH(1,($A$2:$A$526=$A108)*($B$2:$B$526=2019)*($C$2:$C$526=$C108),0))</f>
        <v>263.24325274725277</v>
      </c>
      <c r="F108" s="1" cm="1">
        <f t="array" ref="F108">IFERROR(E108/INDEX($D$2:$D$526,MATCH(1,($A$2:$A$526=$A108)*($B$2:$B$526=2019)*($C$2:$C$526=$C108),0)),0)</f>
        <v>0.42768540543578554</v>
      </c>
    </row>
    <row r="109" spans="1:6" x14ac:dyDescent="0.25">
      <c r="A109">
        <v>2</v>
      </c>
      <c r="B109">
        <v>2005</v>
      </c>
      <c r="C109">
        <v>2</v>
      </c>
      <c r="D109">
        <f>SUMIFS('Refinery Summary'!$G$2:$G$1899,'Refinery Summary'!$B$2:$B$1899,RefCapacity!$A109,'Refinery Summary'!$A$2:$A$1899,RefCapacity!$B109,'Refinery Summary'!$C$2:$C$1899,RefCapacity!$C109)/1000</f>
        <v>0</v>
      </c>
      <c r="E109" cm="1">
        <f t="array" ref="E109">$D109-INDEX($D$2:$D$526,MATCH(1,($A$2:$A$526=$A109)*($B$2:$B$526=2019)*($C$2:$C$526=$C109),0))</f>
        <v>0</v>
      </c>
      <c r="F109" s="1" cm="1">
        <f t="array" ref="F109">IFERROR(E109/INDEX($D$2:$D$526,MATCH(1,($A$2:$A$526=$A109)*($B$2:$B$526=2019)*($C$2:$C$526=$C109),0)),0)</f>
        <v>0</v>
      </c>
    </row>
    <row r="110" spans="1:6" x14ac:dyDescent="0.25">
      <c r="A110">
        <v>2</v>
      </c>
      <c r="B110">
        <v>2005</v>
      </c>
      <c r="C110">
        <v>3</v>
      </c>
      <c r="D110">
        <f>SUMIFS('Refinery Summary'!$G$2:$G$1899,'Refinery Summary'!$B$2:$B$1899,RefCapacity!$A110,'Refinery Summary'!$A$2:$A$1899,RefCapacity!$B110,'Refinery Summary'!$C$2:$C$1899,RefCapacity!$C110)/1000</f>
        <v>192.5</v>
      </c>
      <c r="E110" cm="1">
        <f t="array" ref="E110">$D110-INDEX($D$2:$D$526,MATCH(1,($A$2:$A$526=$A110)*($B$2:$B$526=2019)*($C$2:$C$526=$C110),0))</f>
        <v>-326.20000000000005</v>
      </c>
      <c r="F110" s="1" cm="1">
        <f t="array" ref="F110">IFERROR(E110/INDEX($D$2:$D$526,MATCH(1,($A$2:$A$526=$A110)*($B$2:$B$526=2019)*($C$2:$C$526=$C110),0)),0)</f>
        <v>-0.62887989203778683</v>
      </c>
    </row>
    <row r="111" spans="1:6" x14ac:dyDescent="0.25">
      <c r="A111">
        <v>2</v>
      </c>
      <c r="B111">
        <v>2005</v>
      </c>
      <c r="C111">
        <v>4</v>
      </c>
      <c r="D111">
        <f>SUMIFS('Refinery Summary'!$G$2:$G$1899,'Refinery Summary'!$B$2:$B$1899,RefCapacity!$A111,'Refinery Summary'!$A$2:$A$1899,RefCapacity!$B111,'Refinery Summary'!$C$2:$C$1899,RefCapacity!$C111)/1000</f>
        <v>1613.8630000000001</v>
      </c>
      <c r="E111" cm="1">
        <f t="array" ref="E111">$D111-INDEX($D$2:$D$526,MATCH(1,($A$2:$A$526=$A111)*($B$2:$B$526=2019)*($C$2:$C$526=$C111),0))</f>
        <v>9.9980000000000473</v>
      </c>
      <c r="F111" s="1" cm="1">
        <f t="array" ref="F111">IFERROR(E111/INDEX($D$2:$D$526,MATCH(1,($A$2:$A$526=$A111)*($B$2:$B$526=2019)*($C$2:$C$526=$C111),0)),0)</f>
        <v>6.2336917383944701E-3</v>
      </c>
    </row>
    <row r="112" spans="1:6" x14ac:dyDescent="0.25">
      <c r="A112">
        <v>2</v>
      </c>
      <c r="B112">
        <v>2005</v>
      </c>
      <c r="C112">
        <v>5</v>
      </c>
      <c r="D112">
        <f>SUMIFS('Refinery Summary'!$G$2:$G$1899,'Refinery Summary'!$B$2:$B$1899,RefCapacity!$A112,'Refinery Summary'!$A$2:$A$1899,RefCapacity!$B112,'Refinery Summary'!$C$2:$C$1899,RefCapacity!$C112)/1000</f>
        <v>0</v>
      </c>
      <c r="E112" cm="1">
        <f t="array" ref="E112">$D112-INDEX($D$2:$D$526,MATCH(1,($A$2:$A$526=$A112)*($B$2:$B$526=2019)*($C$2:$C$526=$C112),0))</f>
        <v>0</v>
      </c>
      <c r="F112" s="1" cm="1">
        <f t="array" ref="F112">IFERROR(E112/INDEX($D$2:$D$526,MATCH(1,($A$2:$A$526=$A112)*($B$2:$B$526=2019)*($C$2:$C$526=$C112),0)),0)</f>
        <v>0</v>
      </c>
    </row>
    <row r="113" spans="1:6" x14ac:dyDescent="0.25">
      <c r="A113">
        <v>2</v>
      </c>
      <c r="B113">
        <v>2005</v>
      </c>
      <c r="C113">
        <v>6</v>
      </c>
      <c r="D113">
        <f>SUMIFS('Refinery Summary'!$G$2:$G$1899,'Refinery Summary'!$B$2:$B$1899,RefCapacity!$A113,'Refinery Summary'!$A$2:$A$1899,RefCapacity!$B113,'Refinery Summary'!$C$2:$C$1899,RefCapacity!$C113)/1000</f>
        <v>802</v>
      </c>
      <c r="E113" cm="1">
        <f t="array" ref="E113">$D113-INDEX($D$2:$D$526,MATCH(1,($A$2:$A$526=$A113)*($B$2:$B$526=2019)*($C$2:$C$526=$C113),0))</f>
        <v>-506.54999999999995</v>
      </c>
      <c r="F113" s="1" cm="1">
        <f t="array" ref="F113">IFERROR(E113/INDEX($D$2:$D$526,MATCH(1,($A$2:$A$526=$A113)*($B$2:$B$526=2019)*($C$2:$C$526=$C113),0)),0)</f>
        <v>-0.38710786748691295</v>
      </c>
    </row>
    <row r="114" spans="1:6" x14ac:dyDescent="0.25">
      <c r="A114">
        <v>2</v>
      </c>
      <c r="B114">
        <v>2006</v>
      </c>
      <c r="C114">
        <v>0</v>
      </c>
      <c r="D114">
        <f>SUMIFS('Refinery Summary'!$G$2:$G$1899,'Refinery Summary'!$B$2:$B$1899,RefCapacity!$A114,'Refinery Summary'!$A$2:$A$1899,RefCapacity!$B114,'Refinery Summary'!$C$2:$C$1899,RefCapacity!$C114)/1000</f>
        <v>5.5</v>
      </c>
      <c r="E114" cm="1">
        <f t="array" ref="E114">$D114-INDEX($D$2:$D$526,MATCH(1,($A$2:$A$526=$A114)*($B$2:$B$526=2019)*($C$2:$C$526=$C114),0))</f>
        <v>-19.484999999999999</v>
      </c>
      <c r="F114" s="1" cm="1">
        <f t="array" ref="F114">IFERROR(E114/INDEX($D$2:$D$526,MATCH(1,($A$2:$A$526=$A114)*($B$2:$B$526=2019)*($C$2:$C$526=$C114),0)),0)</f>
        <v>-0.77986792075245148</v>
      </c>
    </row>
    <row r="115" spans="1:6" x14ac:dyDescent="0.25">
      <c r="A115">
        <v>2</v>
      </c>
      <c r="B115">
        <v>2006</v>
      </c>
      <c r="C115">
        <v>1</v>
      </c>
      <c r="D115">
        <f>SUMIFS('Refinery Summary'!$G$2:$G$1899,'Refinery Summary'!$B$2:$B$1899,RefCapacity!$A115,'Refinery Summary'!$A$2:$A$1899,RefCapacity!$B115,'Refinery Summary'!$C$2:$C$1899,RefCapacity!$C115)/1000</f>
        <v>907.62699999999995</v>
      </c>
      <c r="E115" cm="1">
        <f t="array" ref="E115">$D115-INDEX($D$2:$D$526,MATCH(1,($A$2:$A$526=$A115)*($B$2:$B$526=2019)*($C$2:$C$526=$C115),0))</f>
        <v>292.12025274725272</v>
      </c>
      <c r="F115" s="1" cm="1">
        <f t="array" ref="F115">IFERROR(E115/INDEX($D$2:$D$526,MATCH(1,($A$2:$A$526=$A115)*($B$2:$B$526=2019)*($C$2:$C$526=$C115),0)),0)</f>
        <v>0.47460121932229377</v>
      </c>
    </row>
    <row r="116" spans="1:6" x14ac:dyDescent="0.25">
      <c r="A116">
        <v>2</v>
      </c>
      <c r="B116">
        <v>2006</v>
      </c>
      <c r="C116">
        <v>2</v>
      </c>
      <c r="D116">
        <f>SUMIFS('Refinery Summary'!$G$2:$G$1899,'Refinery Summary'!$B$2:$B$1899,RefCapacity!$A116,'Refinery Summary'!$A$2:$A$1899,RefCapacity!$B116,'Refinery Summary'!$C$2:$C$1899,RefCapacity!$C116)/1000</f>
        <v>0</v>
      </c>
      <c r="E116" cm="1">
        <f t="array" ref="E116">$D116-INDEX($D$2:$D$526,MATCH(1,($A$2:$A$526=$A116)*($B$2:$B$526=2019)*($C$2:$C$526=$C116),0))</f>
        <v>0</v>
      </c>
      <c r="F116" s="1" cm="1">
        <f t="array" ref="F116">IFERROR(E116/INDEX($D$2:$D$526,MATCH(1,($A$2:$A$526=$A116)*($B$2:$B$526=2019)*($C$2:$C$526=$C116),0)),0)</f>
        <v>0</v>
      </c>
    </row>
    <row r="117" spans="1:6" x14ac:dyDescent="0.25">
      <c r="A117">
        <v>2</v>
      </c>
      <c r="B117">
        <v>2006</v>
      </c>
      <c r="C117">
        <v>3</v>
      </c>
      <c r="D117">
        <f>SUMIFS('Refinery Summary'!$G$2:$G$1899,'Refinery Summary'!$B$2:$B$1899,RefCapacity!$A117,'Refinery Summary'!$A$2:$A$1899,RefCapacity!$B117,'Refinery Summary'!$C$2:$C$1899,RefCapacity!$C117)/1000</f>
        <v>192.5</v>
      </c>
      <c r="E117" cm="1">
        <f t="array" ref="E117">$D117-INDEX($D$2:$D$526,MATCH(1,($A$2:$A$526=$A117)*($B$2:$B$526=2019)*($C$2:$C$526=$C117),0))</f>
        <v>-326.20000000000005</v>
      </c>
      <c r="F117" s="1" cm="1">
        <f t="array" ref="F117">IFERROR(E117/INDEX($D$2:$D$526,MATCH(1,($A$2:$A$526=$A117)*($B$2:$B$526=2019)*($C$2:$C$526=$C117),0)),0)</f>
        <v>-0.62887989203778683</v>
      </c>
    </row>
    <row r="118" spans="1:6" x14ac:dyDescent="0.25">
      <c r="A118">
        <v>2</v>
      </c>
      <c r="B118">
        <v>2006</v>
      </c>
      <c r="C118">
        <v>4</v>
      </c>
      <c r="D118">
        <f>SUMIFS('Refinery Summary'!$G$2:$G$1899,'Refinery Summary'!$B$2:$B$1899,RefCapacity!$A118,'Refinery Summary'!$A$2:$A$1899,RefCapacity!$B118,'Refinery Summary'!$C$2:$C$1899,RefCapacity!$C118)/1000</f>
        <v>1556.95</v>
      </c>
      <c r="E118" cm="1">
        <f t="array" ref="E118">$D118-INDEX($D$2:$D$526,MATCH(1,($A$2:$A$526=$A118)*($B$2:$B$526=2019)*($C$2:$C$526=$C118),0))</f>
        <v>-46.914999999999964</v>
      </c>
      <c r="F118" s="1" cm="1">
        <f t="array" ref="F118">IFERROR(E118/INDEX($D$2:$D$526,MATCH(1,($A$2:$A$526=$A118)*($B$2:$B$526=2019)*($C$2:$C$526=$C118),0)),0)</f>
        <v>-2.9251215033684233E-2</v>
      </c>
    </row>
    <row r="119" spans="1:6" x14ac:dyDescent="0.25">
      <c r="A119">
        <v>2</v>
      </c>
      <c r="B119">
        <v>2006</v>
      </c>
      <c r="C119">
        <v>5</v>
      </c>
      <c r="D119">
        <f>SUMIFS('Refinery Summary'!$G$2:$G$1899,'Refinery Summary'!$B$2:$B$1899,RefCapacity!$A119,'Refinery Summary'!$A$2:$A$1899,RefCapacity!$B119,'Refinery Summary'!$C$2:$C$1899,RefCapacity!$C119)/1000</f>
        <v>0</v>
      </c>
      <c r="E119" cm="1">
        <f t="array" ref="E119">$D119-INDEX($D$2:$D$526,MATCH(1,($A$2:$A$526=$A119)*($B$2:$B$526=2019)*($C$2:$C$526=$C119),0))</f>
        <v>0</v>
      </c>
      <c r="F119" s="1" cm="1">
        <f t="array" ref="F119">IFERROR(E119/INDEX($D$2:$D$526,MATCH(1,($A$2:$A$526=$A119)*($B$2:$B$526=2019)*($C$2:$C$526=$C119),0)),0)</f>
        <v>0</v>
      </c>
    </row>
    <row r="120" spans="1:6" x14ac:dyDescent="0.25">
      <c r="A120">
        <v>2</v>
      </c>
      <c r="B120">
        <v>2006</v>
      </c>
      <c r="C120">
        <v>6</v>
      </c>
      <c r="D120">
        <f>SUMIFS('Refinery Summary'!$G$2:$G$1899,'Refinery Summary'!$B$2:$B$1899,RefCapacity!$A120,'Refinery Summary'!$A$2:$A$1899,RefCapacity!$B120,'Refinery Summary'!$C$2:$C$1899,RefCapacity!$C120)/1000</f>
        <v>888.95</v>
      </c>
      <c r="E120" cm="1">
        <f t="array" ref="E120">$D120-INDEX($D$2:$D$526,MATCH(1,($A$2:$A$526=$A120)*($B$2:$B$526=2019)*($C$2:$C$526=$C120),0))</f>
        <v>-419.59999999999991</v>
      </c>
      <c r="F120" s="1" cm="1">
        <f t="array" ref="F120">IFERROR(E120/INDEX($D$2:$D$526,MATCH(1,($A$2:$A$526=$A120)*($B$2:$B$526=2019)*($C$2:$C$526=$C120),0)),0)</f>
        <v>-0.32066027282106141</v>
      </c>
    </row>
    <row r="121" spans="1:6" x14ac:dyDescent="0.25">
      <c r="A121">
        <v>2</v>
      </c>
      <c r="B121">
        <v>2007</v>
      </c>
      <c r="C121">
        <v>0</v>
      </c>
      <c r="D121">
        <f>SUMIFS('Refinery Summary'!$G$2:$G$1899,'Refinery Summary'!$B$2:$B$1899,RefCapacity!$A121,'Refinery Summary'!$A$2:$A$1899,RefCapacity!$B121,'Refinery Summary'!$C$2:$C$1899,RefCapacity!$C121)/1000</f>
        <v>5.5</v>
      </c>
      <c r="E121" cm="1">
        <f t="array" ref="E121">$D121-INDEX($D$2:$D$526,MATCH(1,($A$2:$A$526=$A121)*($B$2:$B$526=2019)*($C$2:$C$526=$C121),0))</f>
        <v>-19.484999999999999</v>
      </c>
      <c r="F121" s="1" cm="1">
        <f t="array" ref="F121">IFERROR(E121/INDEX($D$2:$D$526,MATCH(1,($A$2:$A$526=$A121)*($B$2:$B$526=2019)*($C$2:$C$526=$C121),0)),0)</f>
        <v>-0.77986792075245148</v>
      </c>
    </row>
    <row r="122" spans="1:6" x14ac:dyDescent="0.25">
      <c r="A122">
        <v>2</v>
      </c>
      <c r="B122">
        <v>2007</v>
      </c>
      <c r="C122">
        <v>1</v>
      </c>
      <c r="D122">
        <f>SUMIFS('Refinery Summary'!$G$2:$G$1899,'Refinery Summary'!$B$2:$B$1899,RefCapacity!$A122,'Refinery Summary'!$A$2:$A$1899,RefCapacity!$B122,'Refinery Summary'!$C$2:$C$1899,RefCapacity!$C122)/1000</f>
        <v>819.75</v>
      </c>
      <c r="E122" cm="1">
        <f t="array" ref="E122">$D122-INDEX($D$2:$D$526,MATCH(1,($A$2:$A$526=$A122)*($B$2:$B$526=2019)*($C$2:$C$526=$C122),0))</f>
        <v>204.24325274725277</v>
      </c>
      <c r="F122" s="1" cm="1">
        <f t="array" ref="F122">IFERROR(E122/INDEX($D$2:$D$526,MATCH(1,($A$2:$A$526=$A122)*($B$2:$B$526=2019)*($C$2:$C$526=$C122),0)),0)</f>
        <v>0.33182942942359622</v>
      </c>
    </row>
    <row r="123" spans="1:6" x14ac:dyDescent="0.25">
      <c r="A123">
        <v>2</v>
      </c>
      <c r="B123">
        <v>2007</v>
      </c>
      <c r="C123">
        <v>2</v>
      </c>
      <c r="D123">
        <f>SUMIFS('Refinery Summary'!$G$2:$G$1899,'Refinery Summary'!$B$2:$B$1899,RefCapacity!$A123,'Refinery Summary'!$A$2:$A$1899,RefCapacity!$B123,'Refinery Summary'!$C$2:$C$1899,RefCapacity!$C123)/1000</f>
        <v>0</v>
      </c>
      <c r="E123" cm="1">
        <f t="array" ref="E123">$D123-INDEX($D$2:$D$526,MATCH(1,($A$2:$A$526=$A123)*($B$2:$B$526=2019)*($C$2:$C$526=$C123),0))</f>
        <v>0</v>
      </c>
      <c r="F123" s="1" cm="1">
        <f t="array" ref="F123">IFERROR(E123/INDEX($D$2:$D$526,MATCH(1,($A$2:$A$526=$A123)*($B$2:$B$526=2019)*($C$2:$C$526=$C123),0)),0)</f>
        <v>0</v>
      </c>
    </row>
    <row r="124" spans="1:6" x14ac:dyDescent="0.25">
      <c r="A124">
        <v>2</v>
      </c>
      <c r="B124">
        <v>2007</v>
      </c>
      <c r="C124">
        <v>3</v>
      </c>
      <c r="D124">
        <f>SUMIFS('Refinery Summary'!$G$2:$G$1899,'Refinery Summary'!$B$2:$B$1899,RefCapacity!$A124,'Refinery Summary'!$A$2:$A$1899,RefCapacity!$B124,'Refinery Summary'!$C$2:$C$1899,RefCapacity!$C124)/1000</f>
        <v>284</v>
      </c>
      <c r="E124" cm="1">
        <f t="array" ref="E124">$D124-INDEX($D$2:$D$526,MATCH(1,($A$2:$A$526=$A124)*($B$2:$B$526=2019)*($C$2:$C$526=$C124),0))</f>
        <v>-234.70000000000005</v>
      </c>
      <c r="F124" s="1" cm="1">
        <f t="array" ref="F124">IFERROR(E124/INDEX($D$2:$D$526,MATCH(1,($A$2:$A$526=$A124)*($B$2:$B$526=2019)*($C$2:$C$526=$C124),0)),0)</f>
        <v>-0.45247734721418936</v>
      </c>
    </row>
    <row r="125" spans="1:6" x14ac:dyDescent="0.25">
      <c r="A125">
        <v>2</v>
      </c>
      <c r="B125">
        <v>2007</v>
      </c>
      <c r="C125">
        <v>4</v>
      </c>
      <c r="D125">
        <f>SUMIFS('Refinery Summary'!$G$2:$G$1899,'Refinery Summary'!$B$2:$B$1899,RefCapacity!$A125,'Refinery Summary'!$A$2:$A$1899,RefCapacity!$B125,'Refinery Summary'!$C$2:$C$1899,RefCapacity!$C125)/1000</f>
        <v>1556.95</v>
      </c>
      <c r="E125" cm="1">
        <f t="array" ref="E125">$D125-INDEX($D$2:$D$526,MATCH(1,($A$2:$A$526=$A125)*($B$2:$B$526=2019)*($C$2:$C$526=$C125),0))</f>
        <v>-46.914999999999964</v>
      </c>
      <c r="F125" s="1" cm="1">
        <f t="array" ref="F125">IFERROR(E125/INDEX($D$2:$D$526,MATCH(1,($A$2:$A$526=$A125)*($B$2:$B$526=2019)*($C$2:$C$526=$C125),0)),0)</f>
        <v>-2.9251215033684233E-2</v>
      </c>
    </row>
    <row r="126" spans="1:6" x14ac:dyDescent="0.25">
      <c r="A126">
        <v>2</v>
      </c>
      <c r="B126">
        <v>2007</v>
      </c>
      <c r="C126">
        <v>5</v>
      </c>
      <c r="D126">
        <f>SUMIFS('Refinery Summary'!$G$2:$G$1899,'Refinery Summary'!$B$2:$B$1899,RefCapacity!$A126,'Refinery Summary'!$A$2:$A$1899,RefCapacity!$B126,'Refinery Summary'!$C$2:$C$1899,RefCapacity!$C126)/1000</f>
        <v>0</v>
      </c>
      <c r="E126" cm="1">
        <f t="array" ref="E126">$D126-INDEX($D$2:$D$526,MATCH(1,($A$2:$A$526=$A126)*($B$2:$B$526=2019)*($C$2:$C$526=$C126),0))</f>
        <v>0</v>
      </c>
      <c r="F126" s="1" cm="1">
        <f t="array" ref="F126">IFERROR(E126/INDEX($D$2:$D$526,MATCH(1,($A$2:$A$526=$A126)*($B$2:$B$526=2019)*($C$2:$C$526=$C126),0)),0)</f>
        <v>0</v>
      </c>
    </row>
    <row r="127" spans="1:6" x14ac:dyDescent="0.25">
      <c r="A127">
        <v>2</v>
      </c>
      <c r="B127">
        <v>2007</v>
      </c>
      <c r="C127">
        <v>6</v>
      </c>
      <c r="D127">
        <f>SUMIFS('Refinery Summary'!$G$2:$G$1899,'Refinery Summary'!$B$2:$B$1899,RefCapacity!$A127,'Refinery Summary'!$A$2:$A$1899,RefCapacity!$B127,'Refinery Summary'!$C$2:$C$1899,RefCapacity!$C127)/1000</f>
        <v>887.95</v>
      </c>
      <c r="E127" cm="1">
        <f t="array" ref="E127">$D127-INDEX($D$2:$D$526,MATCH(1,($A$2:$A$526=$A127)*($B$2:$B$526=2019)*($C$2:$C$526=$C127),0))</f>
        <v>-420.59999999999991</v>
      </c>
      <c r="F127" s="1" cm="1">
        <f t="array" ref="F127">IFERROR(E127/INDEX($D$2:$D$526,MATCH(1,($A$2:$A$526=$A127)*($B$2:$B$526=2019)*($C$2:$C$526=$C127),0)),0)</f>
        <v>-0.32142447747506775</v>
      </c>
    </row>
    <row r="128" spans="1:6" x14ac:dyDescent="0.25">
      <c r="A128">
        <v>2</v>
      </c>
      <c r="B128">
        <v>2008</v>
      </c>
      <c r="C128">
        <v>0</v>
      </c>
      <c r="D128">
        <f>SUMIFS('Refinery Summary'!$G$2:$G$1899,'Refinery Summary'!$B$2:$B$1899,RefCapacity!$A128,'Refinery Summary'!$A$2:$A$1899,RefCapacity!$B128,'Refinery Summary'!$C$2:$C$1899,RefCapacity!$C128)/1000</f>
        <v>5.5</v>
      </c>
      <c r="E128" cm="1">
        <f t="array" ref="E128">$D128-INDEX($D$2:$D$526,MATCH(1,($A$2:$A$526=$A128)*($B$2:$B$526=2019)*($C$2:$C$526=$C128),0))</f>
        <v>-19.484999999999999</v>
      </c>
      <c r="F128" s="1" cm="1">
        <f t="array" ref="F128">IFERROR(E128/INDEX($D$2:$D$526,MATCH(1,($A$2:$A$526=$A128)*($B$2:$B$526=2019)*($C$2:$C$526=$C128),0)),0)</f>
        <v>-0.77986792075245148</v>
      </c>
    </row>
    <row r="129" spans="1:6" x14ac:dyDescent="0.25">
      <c r="A129">
        <v>2</v>
      </c>
      <c r="B129">
        <v>2008</v>
      </c>
      <c r="C129">
        <v>1</v>
      </c>
      <c r="D129">
        <f>SUMIFS('Refinery Summary'!$G$2:$G$1899,'Refinery Summary'!$B$2:$B$1899,RefCapacity!$A129,'Refinery Summary'!$A$2:$A$1899,RefCapacity!$B129,'Refinery Summary'!$C$2:$C$1899,RefCapacity!$C129)/1000</f>
        <v>839.75</v>
      </c>
      <c r="E129" cm="1">
        <f t="array" ref="E129">$D129-INDEX($D$2:$D$526,MATCH(1,($A$2:$A$526=$A129)*($B$2:$B$526=2019)*($C$2:$C$526=$C129),0))</f>
        <v>224.24325274725277</v>
      </c>
      <c r="F129" s="1" cm="1">
        <f t="array" ref="F129">IFERROR(E129/INDEX($D$2:$D$526,MATCH(1,($A$2:$A$526=$A129)*($B$2:$B$526=2019)*($C$2:$C$526=$C129),0)),0)</f>
        <v>0.36432298061416885</v>
      </c>
    </row>
    <row r="130" spans="1:6" x14ac:dyDescent="0.25">
      <c r="A130">
        <v>2</v>
      </c>
      <c r="B130">
        <v>2008</v>
      </c>
      <c r="C130">
        <v>2</v>
      </c>
      <c r="D130">
        <f>SUMIFS('Refinery Summary'!$G$2:$G$1899,'Refinery Summary'!$B$2:$B$1899,RefCapacity!$A130,'Refinery Summary'!$A$2:$A$1899,RefCapacity!$B130,'Refinery Summary'!$C$2:$C$1899,RefCapacity!$C130)/1000</f>
        <v>0</v>
      </c>
      <c r="E130" cm="1">
        <f t="array" ref="E130">$D130-INDEX($D$2:$D$526,MATCH(1,($A$2:$A$526=$A130)*($B$2:$B$526=2019)*($C$2:$C$526=$C130),0))</f>
        <v>0</v>
      </c>
      <c r="F130" s="1" cm="1">
        <f t="array" ref="F130">IFERROR(E130/INDEX($D$2:$D$526,MATCH(1,($A$2:$A$526=$A130)*($B$2:$B$526=2019)*($C$2:$C$526=$C130),0)),0)</f>
        <v>0</v>
      </c>
    </row>
    <row r="131" spans="1:6" x14ac:dyDescent="0.25">
      <c r="A131">
        <v>2</v>
      </c>
      <c r="B131">
        <v>2008</v>
      </c>
      <c r="C131">
        <v>3</v>
      </c>
      <c r="D131">
        <f>SUMIFS('Refinery Summary'!$G$2:$G$1899,'Refinery Summary'!$B$2:$B$1899,RefCapacity!$A131,'Refinery Summary'!$A$2:$A$1899,RefCapacity!$B131,'Refinery Summary'!$C$2:$C$1899,RefCapacity!$C131)/1000</f>
        <v>284</v>
      </c>
      <c r="E131" cm="1">
        <f t="array" ref="E131">$D131-INDEX($D$2:$D$526,MATCH(1,($A$2:$A$526=$A131)*($B$2:$B$526=2019)*($C$2:$C$526=$C131),0))</f>
        <v>-234.70000000000005</v>
      </c>
      <c r="F131" s="1" cm="1">
        <f t="array" ref="F131">IFERROR(E131/INDEX($D$2:$D$526,MATCH(1,($A$2:$A$526=$A131)*($B$2:$B$526=2019)*($C$2:$C$526=$C131),0)),0)</f>
        <v>-0.45247734721418936</v>
      </c>
    </row>
    <row r="132" spans="1:6" x14ac:dyDescent="0.25">
      <c r="A132">
        <v>2</v>
      </c>
      <c r="B132">
        <v>2008</v>
      </c>
      <c r="C132">
        <v>4</v>
      </c>
      <c r="D132">
        <f>SUMIFS('Refinery Summary'!$G$2:$G$1899,'Refinery Summary'!$B$2:$B$1899,RefCapacity!$A132,'Refinery Summary'!$A$2:$A$1899,RefCapacity!$B132,'Refinery Summary'!$C$2:$C$1899,RefCapacity!$C132)/1000</f>
        <v>1285.6500000000001</v>
      </c>
      <c r="E132" cm="1">
        <f t="array" ref="E132">$D132-INDEX($D$2:$D$526,MATCH(1,($A$2:$A$526=$A132)*($B$2:$B$526=2019)*($C$2:$C$526=$C132),0))</f>
        <v>-318.21499999999992</v>
      </c>
      <c r="F132" s="1" cm="1">
        <f t="array" ref="F132">IFERROR(E132/INDEX($D$2:$D$526,MATCH(1,($A$2:$A$526=$A132)*($B$2:$B$526=2019)*($C$2:$C$526=$C132),0)),0)</f>
        <v>-0.19840510267385342</v>
      </c>
    </row>
    <row r="133" spans="1:6" x14ac:dyDescent="0.25">
      <c r="A133">
        <v>2</v>
      </c>
      <c r="B133">
        <v>2008</v>
      </c>
      <c r="C133">
        <v>5</v>
      </c>
      <c r="D133">
        <f>SUMIFS('Refinery Summary'!$G$2:$G$1899,'Refinery Summary'!$B$2:$B$1899,RefCapacity!$A133,'Refinery Summary'!$A$2:$A$1899,RefCapacity!$B133,'Refinery Summary'!$C$2:$C$1899,RefCapacity!$C133)/1000</f>
        <v>160</v>
      </c>
      <c r="E133" cm="1">
        <f t="array" ref="E133">$D133-INDEX($D$2:$D$526,MATCH(1,($A$2:$A$526=$A133)*($B$2:$B$526=2019)*($C$2:$C$526=$C133),0))</f>
        <v>160</v>
      </c>
      <c r="F133" s="1" cm="1">
        <f t="array" ref="F133">IFERROR(E133/INDEX($D$2:$D$526,MATCH(1,($A$2:$A$526=$A133)*($B$2:$B$526=2019)*($C$2:$C$526=$C133),0)),0)</f>
        <v>0</v>
      </c>
    </row>
    <row r="134" spans="1:6" x14ac:dyDescent="0.25">
      <c r="A134">
        <v>2</v>
      </c>
      <c r="B134">
        <v>2008</v>
      </c>
      <c r="C134">
        <v>6</v>
      </c>
      <c r="D134">
        <f>SUMIFS('Refinery Summary'!$G$2:$G$1899,'Refinery Summary'!$B$2:$B$1899,RefCapacity!$A134,'Refinery Summary'!$A$2:$A$1899,RefCapacity!$B134,'Refinery Summary'!$C$2:$C$1899,RefCapacity!$C134)/1000</f>
        <v>1065.2</v>
      </c>
      <c r="E134" cm="1">
        <f t="array" ref="E134">$D134-INDEX($D$2:$D$526,MATCH(1,($A$2:$A$526=$A134)*($B$2:$B$526=2019)*($C$2:$C$526=$C134),0))</f>
        <v>-243.34999999999991</v>
      </c>
      <c r="F134" s="1" cm="1">
        <f t="array" ref="F134">IFERROR(E134/INDEX($D$2:$D$526,MATCH(1,($A$2:$A$526=$A134)*($B$2:$B$526=2019)*($C$2:$C$526=$C134),0)),0)</f>
        <v>-0.18596920255244348</v>
      </c>
    </row>
    <row r="135" spans="1:6" x14ac:dyDescent="0.25">
      <c r="A135">
        <v>2</v>
      </c>
      <c r="B135">
        <v>2009</v>
      </c>
      <c r="C135">
        <v>0</v>
      </c>
      <c r="D135">
        <f>SUMIFS('Refinery Summary'!$G$2:$G$1899,'Refinery Summary'!$B$2:$B$1899,RefCapacity!$A135,'Refinery Summary'!$A$2:$A$1899,RefCapacity!$B135,'Refinery Summary'!$C$2:$C$1899,RefCapacity!$C135)/1000</f>
        <v>5.5</v>
      </c>
      <c r="E135" cm="1">
        <f t="array" ref="E135">$D135-INDEX($D$2:$D$526,MATCH(1,($A$2:$A$526=$A135)*($B$2:$B$526=2019)*($C$2:$C$526=$C135),0))</f>
        <v>-19.484999999999999</v>
      </c>
      <c r="F135" s="1" cm="1">
        <f t="array" ref="F135">IFERROR(E135/INDEX($D$2:$D$526,MATCH(1,($A$2:$A$526=$A135)*($B$2:$B$526=2019)*($C$2:$C$526=$C135),0)),0)</f>
        <v>-0.77986792075245148</v>
      </c>
    </row>
    <row r="136" spans="1:6" x14ac:dyDescent="0.25">
      <c r="A136">
        <v>2</v>
      </c>
      <c r="B136">
        <v>2009</v>
      </c>
      <c r="C136">
        <v>1</v>
      </c>
      <c r="D136">
        <f>SUMIFS('Refinery Summary'!$G$2:$G$1899,'Refinery Summary'!$B$2:$B$1899,RefCapacity!$A136,'Refinery Summary'!$A$2:$A$1899,RefCapacity!$B136,'Refinery Summary'!$C$2:$C$1899,RefCapacity!$C136)/1000</f>
        <v>847.75</v>
      </c>
      <c r="E136" cm="1">
        <f t="array" ref="E136">$D136-INDEX($D$2:$D$526,MATCH(1,($A$2:$A$526=$A136)*($B$2:$B$526=2019)*($C$2:$C$526=$C136),0))</f>
        <v>232.24325274725277</v>
      </c>
      <c r="F136" s="1" cm="1">
        <f t="array" ref="F136">IFERROR(E136/INDEX($D$2:$D$526,MATCH(1,($A$2:$A$526=$A136)*($B$2:$B$526=2019)*($C$2:$C$526=$C136),0)),0)</f>
        <v>0.37732040109039794</v>
      </c>
    </row>
    <row r="137" spans="1:6" x14ac:dyDescent="0.25">
      <c r="A137">
        <v>2</v>
      </c>
      <c r="B137">
        <v>2009</v>
      </c>
      <c r="C137">
        <v>2</v>
      </c>
      <c r="D137">
        <f>SUMIFS('Refinery Summary'!$G$2:$G$1899,'Refinery Summary'!$B$2:$B$1899,RefCapacity!$A137,'Refinery Summary'!$A$2:$A$1899,RefCapacity!$B137,'Refinery Summary'!$C$2:$C$1899,RefCapacity!$C137)/1000</f>
        <v>0</v>
      </c>
      <c r="E137" cm="1">
        <f t="array" ref="E137">$D137-INDEX($D$2:$D$526,MATCH(1,($A$2:$A$526=$A137)*($B$2:$B$526=2019)*($C$2:$C$526=$C137),0))</f>
        <v>0</v>
      </c>
      <c r="F137" s="1" cm="1">
        <f t="array" ref="F137">IFERROR(E137/INDEX($D$2:$D$526,MATCH(1,($A$2:$A$526=$A137)*($B$2:$B$526=2019)*($C$2:$C$526=$C137),0)),0)</f>
        <v>0</v>
      </c>
    </row>
    <row r="138" spans="1:6" x14ac:dyDescent="0.25">
      <c r="A138">
        <v>2</v>
      </c>
      <c r="B138">
        <v>2009</v>
      </c>
      <c r="C138">
        <v>3</v>
      </c>
      <c r="D138">
        <f>SUMIFS('Refinery Summary'!$G$2:$G$1899,'Refinery Summary'!$B$2:$B$1899,RefCapacity!$A138,'Refinery Summary'!$A$2:$A$1899,RefCapacity!$B138,'Refinery Summary'!$C$2:$C$1899,RefCapacity!$C138)/1000</f>
        <v>284</v>
      </c>
      <c r="E138" cm="1">
        <f t="array" ref="E138">$D138-INDEX($D$2:$D$526,MATCH(1,($A$2:$A$526=$A138)*($B$2:$B$526=2019)*($C$2:$C$526=$C138),0))</f>
        <v>-234.70000000000005</v>
      </c>
      <c r="F138" s="1" cm="1">
        <f t="array" ref="F138">IFERROR(E138/INDEX($D$2:$D$526,MATCH(1,($A$2:$A$526=$A138)*($B$2:$B$526=2019)*($C$2:$C$526=$C138),0)),0)</f>
        <v>-0.45247734721418936</v>
      </c>
    </row>
    <row r="139" spans="1:6" x14ac:dyDescent="0.25">
      <c r="A139">
        <v>2</v>
      </c>
      <c r="B139">
        <v>2009</v>
      </c>
      <c r="C139">
        <v>4</v>
      </c>
      <c r="D139">
        <f>SUMIFS('Refinery Summary'!$G$2:$G$1899,'Refinery Summary'!$B$2:$B$1899,RefCapacity!$A139,'Refinery Summary'!$A$2:$A$1899,RefCapacity!$B139,'Refinery Summary'!$C$2:$C$1899,RefCapacity!$C139)/1000</f>
        <v>1281.4000000000001</v>
      </c>
      <c r="E139" cm="1">
        <f t="array" ref="E139">$D139-INDEX($D$2:$D$526,MATCH(1,($A$2:$A$526=$A139)*($B$2:$B$526=2019)*($C$2:$C$526=$C139),0))</f>
        <v>-322.46499999999992</v>
      </c>
      <c r="F139" s="1" cm="1">
        <f t="array" ref="F139">IFERROR(E139/INDEX($D$2:$D$526,MATCH(1,($A$2:$A$526=$A139)*($B$2:$B$526=2019)*($C$2:$C$526=$C139),0)),0)</f>
        <v>-0.20105495163246279</v>
      </c>
    </row>
    <row r="140" spans="1:6" x14ac:dyDescent="0.25">
      <c r="A140">
        <v>2</v>
      </c>
      <c r="B140">
        <v>2009</v>
      </c>
      <c r="C140">
        <v>5</v>
      </c>
      <c r="D140">
        <f>SUMIFS('Refinery Summary'!$G$2:$G$1899,'Refinery Summary'!$B$2:$B$1899,RefCapacity!$A140,'Refinery Summary'!$A$2:$A$1899,RefCapacity!$B140,'Refinery Summary'!$C$2:$C$1899,RefCapacity!$C140)/1000</f>
        <v>0</v>
      </c>
      <c r="E140" cm="1">
        <f t="array" ref="E140">$D140-INDEX($D$2:$D$526,MATCH(1,($A$2:$A$526=$A140)*($B$2:$B$526=2019)*($C$2:$C$526=$C140),0))</f>
        <v>0</v>
      </c>
      <c r="F140" s="1" cm="1">
        <f t="array" ref="F140">IFERROR(E140/INDEX($D$2:$D$526,MATCH(1,($A$2:$A$526=$A140)*($B$2:$B$526=2019)*($C$2:$C$526=$C140),0)),0)</f>
        <v>0</v>
      </c>
    </row>
    <row r="141" spans="1:6" x14ac:dyDescent="0.25">
      <c r="A141">
        <v>2</v>
      </c>
      <c r="B141">
        <v>2009</v>
      </c>
      <c r="C141">
        <v>6</v>
      </c>
      <c r="D141">
        <f>SUMIFS('Refinery Summary'!$G$2:$G$1899,'Refinery Summary'!$B$2:$B$1899,RefCapacity!$A141,'Refinery Summary'!$A$2:$A$1899,RefCapacity!$B141,'Refinery Summary'!$C$2:$C$1899,RefCapacity!$C141)/1000</f>
        <v>1229.2</v>
      </c>
      <c r="E141" cm="1">
        <f t="array" ref="E141">$D141-INDEX($D$2:$D$526,MATCH(1,($A$2:$A$526=$A141)*($B$2:$B$526=2019)*($C$2:$C$526=$C141),0))</f>
        <v>-79.349999999999909</v>
      </c>
      <c r="F141" s="1" cm="1">
        <f t="array" ref="F141">IFERROR(E141/INDEX($D$2:$D$526,MATCH(1,($A$2:$A$526=$A141)*($B$2:$B$526=2019)*($C$2:$C$526=$C141),0)),0)</f>
        <v>-6.0639639295403239E-2</v>
      </c>
    </row>
    <row r="142" spans="1:6" x14ac:dyDescent="0.25">
      <c r="A142">
        <v>2</v>
      </c>
      <c r="B142">
        <v>2010</v>
      </c>
      <c r="C142">
        <v>0</v>
      </c>
      <c r="D142">
        <f>SUMIFS('Refinery Summary'!$G$2:$G$1899,'Refinery Summary'!$B$2:$B$1899,RefCapacity!$A142,'Refinery Summary'!$A$2:$A$1899,RefCapacity!$B142,'Refinery Summary'!$C$2:$C$1899,RefCapacity!$C142)/1000</f>
        <v>5.5</v>
      </c>
      <c r="E142" cm="1">
        <f t="array" ref="E142">$D142-INDEX($D$2:$D$526,MATCH(1,($A$2:$A$526=$A142)*($B$2:$B$526=2019)*($C$2:$C$526=$C142),0))</f>
        <v>-19.484999999999999</v>
      </c>
      <c r="F142" s="1" cm="1">
        <f t="array" ref="F142">IFERROR(E142/INDEX($D$2:$D$526,MATCH(1,($A$2:$A$526=$A142)*($B$2:$B$526=2019)*($C$2:$C$526=$C142),0)),0)</f>
        <v>-0.77986792075245148</v>
      </c>
    </row>
    <row r="143" spans="1:6" x14ac:dyDescent="0.25">
      <c r="A143">
        <v>2</v>
      </c>
      <c r="B143">
        <v>2010</v>
      </c>
      <c r="C143">
        <v>1</v>
      </c>
      <c r="D143">
        <f>SUMIFS('Refinery Summary'!$G$2:$G$1899,'Refinery Summary'!$B$2:$B$1899,RefCapacity!$A143,'Refinery Summary'!$A$2:$A$1899,RefCapacity!$B143,'Refinery Summary'!$C$2:$C$1899,RefCapacity!$C143)/1000</f>
        <v>852.75</v>
      </c>
      <c r="E143" cm="1">
        <f t="array" ref="E143">$D143-INDEX($D$2:$D$526,MATCH(1,($A$2:$A$526=$A143)*($B$2:$B$526=2019)*($C$2:$C$526=$C143),0))</f>
        <v>237.24325274725277</v>
      </c>
      <c r="F143" s="1" cm="1">
        <f t="array" ref="F143">IFERROR(E143/INDEX($D$2:$D$526,MATCH(1,($A$2:$A$526=$A143)*($B$2:$B$526=2019)*($C$2:$C$526=$C143),0)),0)</f>
        <v>0.38544378888804109</v>
      </c>
    </row>
    <row r="144" spans="1:6" x14ac:dyDescent="0.25">
      <c r="A144">
        <v>2</v>
      </c>
      <c r="B144">
        <v>2010</v>
      </c>
      <c r="C144">
        <v>2</v>
      </c>
      <c r="D144">
        <f>SUMIFS('Refinery Summary'!$G$2:$G$1899,'Refinery Summary'!$B$2:$B$1899,RefCapacity!$A144,'Refinery Summary'!$A$2:$A$1899,RefCapacity!$B144,'Refinery Summary'!$C$2:$C$1899,RefCapacity!$C144)/1000</f>
        <v>0</v>
      </c>
      <c r="E144" cm="1">
        <f t="array" ref="E144">$D144-INDEX($D$2:$D$526,MATCH(1,($A$2:$A$526=$A144)*($B$2:$B$526=2019)*($C$2:$C$526=$C144),0))</f>
        <v>0</v>
      </c>
      <c r="F144" s="1" cm="1">
        <f t="array" ref="F144">IFERROR(E144/INDEX($D$2:$D$526,MATCH(1,($A$2:$A$526=$A144)*($B$2:$B$526=2019)*($C$2:$C$526=$C144),0)),0)</f>
        <v>0</v>
      </c>
    </row>
    <row r="145" spans="1:6" x14ac:dyDescent="0.25">
      <c r="A145">
        <v>2</v>
      </c>
      <c r="B145">
        <v>2010</v>
      </c>
      <c r="C145">
        <v>3</v>
      </c>
      <c r="D145">
        <f>SUMIFS('Refinery Summary'!$G$2:$G$1899,'Refinery Summary'!$B$2:$B$1899,RefCapacity!$A145,'Refinery Summary'!$A$2:$A$1899,RefCapacity!$B145,'Refinery Summary'!$C$2:$C$1899,RefCapacity!$C145)/1000</f>
        <v>314</v>
      </c>
      <c r="E145" cm="1">
        <f t="array" ref="E145">$D145-INDEX($D$2:$D$526,MATCH(1,($A$2:$A$526=$A145)*($B$2:$B$526=2019)*($C$2:$C$526=$C145),0))</f>
        <v>-204.70000000000005</v>
      </c>
      <c r="F145" s="1" cm="1">
        <f t="array" ref="F145">IFERROR(E145/INDEX($D$2:$D$526,MATCH(1,($A$2:$A$526=$A145)*($B$2:$B$526=2019)*($C$2:$C$526=$C145),0)),0)</f>
        <v>-0.3946404472720263</v>
      </c>
    </row>
    <row r="146" spans="1:6" x14ac:dyDescent="0.25">
      <c r="A146">
        <v>2</v>
      </c>
      <c r="B146">
        <v>2010</v>
      </c>
      <c r="C146">
        <v>4</v>
      </c>
      <c r="D146">
        <f>SUMIFS('Refinery Summary'!$G$2:$G$1899,'Refinery Summary'!$B$2:$B$1899,RefCapacity!$A146,'Refinery Summary'!$A$2:$A$1899,RefCapacity!$B146,'Refinery Summary'!$C$2:$C$1899,RefCapacity!$C146)/1000</f>
        <v>1302.4000000000001</v>
      </c>
      <c r="E146" cm="1">
        <f t="array" ref="E146">$D146-INDEX($D$2:$D$526,MATCH(1,($A$2:$A$526=$A146)*($B$2:$B$526=2019)*($C$2:$C$526=$C146),0))</f>
        <v>-301.46499999999992</v>
      </c>
      <c r="F146" s="1" cm="1">
        <f t="array" ref="F146">IFERROR(E146/INDEX($D$2:$D$526,MATCH(1,($A$2:$A$526=$A146)*($B$2:$B$526=2019)*($C$2:$C$526=$C146),0)),0)</f>
        <v>-0.18796158030756949</v>
      </c>
    </row>
    <row r="147" spans="1:6" x14ac:dyDescent="0.25">
      <c r="A147">
        <v>2</v>
      </c>
      <c r="B147">
        <v>2010</v>
      </c>
      <c r="C147">
        <v>5</v>
      </c>
      <c r="D147">
        <f>SUMIFS('Refinery Summary'!$G$2:$G$1899,'Refinery Summary'!$B$2:$B$1899,RefCapacity!$A147,'Refinery Summary'!$A$2:$A$1899,RefCapacity!$B147,'Refinery Summary'!$C$2:$C$1899,RefCapacity!$C147)/1000</f>
        <v>0</v>
      </c>
      <c r="E147" cm="1">
        <f t="array" ref="E147">$D147-INDEX($D$2:$D$526,MATCH(1,($A$2:$A$526=$A147)*($B$2:$B$526=2019)*($C$2:$C$526=$C147),0))</f>
        <v>0</v>
      </c>
      <c r="F147" s="1" cm="1">
        <f t="array" ref="F147">IFERROR(E147/INDEX($D$2:$D$526,MATCH(1,($A$2:$A$526=$A147)*($B$2:$B$526=2019)*($C$2:$C$526=$C147),0)),0)</f>
        <v>0</v>
      </c>
    </row>
    <row r="148" spans="1:6" x14ac:dyDescent="0.25">
      <c r="A148">
        <v>2</v>
      </c>
      <c r="B148">
        <v>2010</v>
      </c>
      <c r="C148">
        <v>6</v>
      </c>
      <c r="D148">
        <f>SUMIFS('Refinery Summary'!$G$2:$G$1899,'Refinery Summary'!$B$2:$B$1899,RefCapacity!$A148,'Refinery Summary'!$A$2:$A$1899,RefCapacity!$B148,'Refinery Summary'!$C$2:$C$1899,RefCapacity!$C148)/1000</f>
        <v>1228.25</v>
      </c>
      <c r="E148" cm="1">
        <f t="array" ref="E148">$D148-INDEX($D$2:$D$526,MATCH(1,($A$2:$A$526=$A148)*($B$2:$B$526=2019)*($C$2:$C$526=$C148),0))</f>
        <v>-80.299999999999955</v>
      </c>
      <c r="F148" s="1" cm="1">
        <f t="array" ref="F148">IFERROR(E148/INDEX($D$2:$D$526,MATCH(1,($A$2:$A$526=$A148)*($B$2:$B$526=2019)*($C$2:$C$526=$C148),0)),0)</f>
        <v>-6.1365633716709299E-2</v>
      </c>
    </row>
    <row r="149" spans="1:6" x14ac:dyDescent="0.25">
      <c r="A149">
        <v>2</v>
      </c>
      <c r="B149">
        <v>2011</v>
      </c>
      <c r="C149">
        <v>0</v>
      </c>
      <c r="D149">
        <f>SUMIFS('Refinery Summary'!$G$2:$G$1899,'Refinery Summary'!$B$2:$B$1899,RefCapacity!$A149,'Refinery Summary'!$A$2:$A$1899,RefCapacity!$B149,'Refinery Summary'!$C$2:$C$1899,RefCapacity!$C149)/1000</f>
        <v>5.5</v>
      </c>
      <c r="E149" cm="1">
        <f t="array" ref="E149">$D149-INDEX($D$2:$D$526,MATCH(1,($A$2:$A$526=$A149)*($B$2:$B$526=2019)*($C$2:$C$526=$C149),0))</f>
        <v>-19.484999999999999</v>
      </c>
      <c r="F149" s="1" cm="1">
        <f t="array" ref="F149">IFERROR(E149/INDEX($D$2:$D$526,MATCH(1,($A$2:$A$526=$A149)*($B$2:$B$526=2019)*($C$2:$C$526=$C149),0)),0)</f>
        <v>-0.77986792075245148</v>
      </c>
    </row>
    <row r="150" spans="1:6" x14ac:dyDescent="0.25">
      <c r="A150">
        <v>2</v>
      </c>
      <c r="B150">
        <v>2011</v>
      </c>
      <c r="C150">
        <v>1</v>
      </c>
      <c r="D150">
        <f>SUMIFS('Refinery Summary'!$G$2:$G$1899,'Refinery Summary'!$B$2:$B$1899,RefCapacity!$A150,'Refinery Summary'!$A$2:$A$1899,RefCapacity!$B150,'Refinery Summary'!$C$2:$C$1899,RefCapacity!$C150)/1000</f>
        <v>857.75</v>
      </c>
      <c r="E150" cm="1">
        <f t="array" ref="E150">$D150-INDEX($D$2:$D$526,MATCH(1,($A$2:$A$526=$A150)*($B$2:$B$526=2019)*($C$2:$C$526=$C150),0))</f>
        <v>242.24325274725277</v>
      </c>
      <c r="F150" s="1" cm="1">
        <f t="array" ref="F150">IFERROR(E150/INDEX($D$2:$D$526,MATCH(1,($A$2:$A$526=$A150)*($B$2:$B$526=2019)*($C$2:$C$526=$C150),0)),0)</f>
        <v>0.39356717668568425</v>
      </c>
    </row>
    <row r="151" spans="1:6" x14ac:dyDescent="0.25">
      <c r="A151">
        <v>2</v>
      </c>
      <c r="B151">
        <v>2011</v>
      </c>
      <c r="C151">
        <v>2</v>
      </c>
      <c r="D151">
        <f>SUMIFS('Refinery Summary'!$G$2:$G$1899,'Refinery Summary'!$B$2:$B$1899,RefCapacity!$A151,'Refinery Summary'!$A$2:$A$1899,RefCapacity!$B151,'Refinery Summary'!$C$2:$C$1899,RefCapacity!$C151)/1000</f>
        <v>0</v>
      </c>
      <c r="E151" cm="1">
        <f t="array" ref="E151">$D151-INDEX($D$2:$D$526,MATCH(1,($A$2:$A$526=$A151)*($B$2:$B$526=2019)*($C$2:$C$526=$C151),0))</f>
        <v>0</v>
      </c>
      <c r="F151" s="1" cm="1">
        <f t="array" ref="F151">IFERROR(E151/INDEX($D$2:$D$526,MATCH(1,($A$2:$A$526=$A151)*($B$2:$B$526=2019)*($C$2:$C$526=$C151),0)),0)</f>
        <v>0</v>
      </c>
    </row>
    <row r="152" spans="1:6" x14ac:dyDescent="0.25">
      <c r="A152">
        <v>2</v>
      </c>
      <c r="B152">
        <v>2011</v>
      </c>
      <c r="C152">
        <v>3</v>
      </c>
      <c r="D152">
        <f>SUMIFS('Refinery Summary'!$G$2:$G$1899,'Refinery Summary'!$B$2:$B$1899,RefCapacity!$A152,'Refinery Summary'!$A$2:$A$1899,RefCapacity!$B152,'Refinery Summary'!$C$2:$C$1899,RefCapacity!$C152)/1000</f>
        <v>314</v>
      </c>
      <c r="E152" cm="1">
        <f t="array" ref="E152">$D152-INDEX($D$2:$D$526,MATCH(1,($A$2:$A$526=$A152)*($B$2:$B$526=2019)*($C$2:$C$526=$C152),0))</f>
        <v>-204.70000000000005</v>
      </c>
      <c r="F152" s="1" cm="1">
        <f t="array" ref="F152">IFERROR(E152/INDEX($D$2:$D$526,MATCH(1,($A$2:$A$526=$A152)*($B$2:$B$526=2019)*($C$2:$C$526=$C152),0)),0)</f>
        <v>-0.3946404472720263</v>
      </c>
    </row>
    <row r="153" spans="1:6" x14ac:dyDescent="0.25">
      <c r="A153">
        <v>2</v>
      </c>
      <c r="B153">
        <v>2011</v>
      </c>
      <c r="C153">
        <v>4</v>
      </c>
      <c r="D153">
        <f>SUMIFS('Refinery Summary'!$G$2:$G$1899,'Refinery Summary'!$B$2:$B$1899,RefCapacity!$A153,'Refinery Summary'!$A$2:$A$1899,RefCapacity!$B153,'Refinery Summary'!$C$2:$C$1899,RefCapacity!$C153)/1000</f>
        <v>1308.4000000000001</v>
      </c>
      <c r="E153" cm="1">
        <f t="array" ref="E153">$D153-INDEX($D$2:$D$526,MATCH(1,($A$2:$A$526=$A153)*($B$2:$B$526=2019)*($C$2:$C$526=$C153),0))</f>
        <v>-295.46499999999992</v>
      </c>
      <c r="F153" s="1" cm="1">
        <f t="array" ref="F153">IFERROR(E153/INDEX($D$2:$D$526,MATCH(1,($A$2:$A$526=$A153)*($B$2:$B$526=2019)*($C$2:$C$526=$C153),0)),0)</f>
        <v>-0.18422061707188567</v>
      </c>
    </row>
    <row r="154" spans="1:6" x14ac:dyDescent="0.25">
      <c r="A154">
        <v>2</v>
      </c>
      <c r="B154">
        <v>2011</v>
      </c>
      <c r="C154">
        <v>5</v>
      </c>
      <c r="D154">
        <f>SUMIFS('Refinery Summary'!$G$2:$G$1899,'Refinery Summary'!$B$2:$B$1899,RefCapacity!$A154,'Refinery Summary'!$A$2:$A$1899,RefCapacity!$B154,'Refinery Summary'!$C$2:$C$1899,RefCapacity!$C154)/1000</f>
        <v>0</v>
      </c>
      <c r="E154" cm="1">
        <f t="array" ref="E154">$D154-INDEX($D$2:$D$526,MATCH(1,($A$2:$A$526=$A154)*($B$2:$B$526=2019)*($C$2:$C$526=$C154),0))</f>
        <v>0</v>
      </c>
      <c r="F154" s="1" cm="1">
        <f t="array" ref="F154">IFERROR(E154/INDEX($D$2:$D$526,MATCH(1,($A$2:$A$526=$A154)*($B$2:$B$526=2019)*($C$2:$C$526=$C154),0)),0)</f>
        <v>0</v>
      </c>
    </row>
    <row r="155" spans="1:6" x14ac:dyDescent="0.25">
      <c r="A155">
        <v>2</v>
      </c>
      <c r="B155">
        <v>2011</v>
      </c>
      <c r="C155">
        <v>6</v>
      </c>
      <c r="D155">
        <f>SUMIFS('Refinery Summary'!$G$2:$G$1899,'Refinery Summary'!$B$2:$B$1899,RefCapacity!$A155,'Refinery Summary'!$A$2:$A$1899,RefCapacity!$B155,'Refinery Summary'!$C$2:$C$1899,RefCapacity!$C155)/1000</f>
        <v>1230.25</v>
      </c>
      <c r="E155" cm="1">
        <f t="array" ref="E155">$D155-INDEX($D$2:$D$526,MATCH(1,($A$2:$A$526=$A155)*($B$2:$B$526=2019)*($C$2:$C$526=$C155),0))</f>
        <v>-78.299999999999955</v>
      </c>
      <c r="F155" s="1" cm="1">
        <f t="array" ref="F155">IFERROR(E155/INDEX($D$2:$D$526,MATCH(1,($A$2:$A$526=$A155)*($B$2:$B$526=2019)*($C$2:$C$526=$C155),0)),0)</f>
        <v>-5.983722440869662E-2</v>
      </c>
    </row>
    <row r="156" spans="1:6" x14ac:dyDescent="0.25">
      <c r="A156">
        <v>2</v>
      </c>
      <c r="B156">
        <v>2012</v>
      </c>
      <c r="C156">
        <v>0</v>
      </c>
      <c r="D156">
        <f>SUMIFS('Refinery Summary'!$G$2:$G$1899,'Refinery Summary'!$B$2:$B$1899,RefCapacity!$A156,'Refinery Summary'!$A$2:$A$1899,RefCapacity!$B156,'Refinery Summary'!$C$2:$C$1899,RefCapacity!$C156)/1000</f>
        <v>130.5</v>
      </c>
      <c r="E156" cm="1">
        <f t="array" ref="E156">$D156-INDEX($D$2:$D$526,MATCH(1,($A$2:$A$526=$A156)*($B$2:$B$526=2019)*($C$2:$C$526=$C156),0))</f>
        <v>105.515</v>
      </c>
      <c r="F156" s="1" cm="1">
        <f t="array" ref="F156">IFERROR(E156/INDEX($D$2:$D$526,MATCH(1,($A$2:$A$526=$A156)*($B$2:$B$526=2019)*($C$2:$C$526=$C156),0)),0)</f>
        <v>4.2231338803281968</v>
      </c>
    </row>
    <row r="157" spans="1:6" x14ac:dyDescent="0.25">
      <c r="A157">
        <v>2</v>
      </c>
      <c r="B157">
        <v>2012</v>
      </c>
      <c r="C157">
        <v>1</v>
      </c>
      <c r="D157">
        <f>SUMIFS('Refinery Summary'!$G$2:$G$1899,'Refinery Summary'!$B$2:$B$1899,RefCapacity!$A157,'Refinery Summary'!$A$2:$A$1899,RefCapacity!$B157,'Refinery Summary'!$C$2:$C$1899,RefCapacity!$C157)/1000</f>
        <v>803.75</v>
      </c>
      <c r="E157" cm="1">
        <f t="array" ref="E157">$D157-INDEX($D$2:$D$526,MATCH(1,($A$2:$A$526=$A157)*($B$2:$B$526=2019)*($C$2:$C$526=$C157),0))</f>
        <v>188.24325274725277</v>
      </c>
      <c r="F157" s="1" cm="1">
        <f t="array" ref="F157">IFERROR(E157/INDEX($D$2:$D$526,MATCH(1,($A$2:$A$526=$A157)*($B$2:$B$526=2019)*($C$2:$C$526=$C157),0)),0)</f>
        <v>0.30583458847113809</v>
      </c>
    </row>
    <row r="158" spans="1:6" x14ac:dyDescent="0.25">
      <c r="A158">
        <v>2</v>
      </c>
      <c r="B158">
        <v>2012</v>
      </c>
      <c r="C158">
        <v>2</v>
      </c>
      <c r="D158">
        <f>SUMIFS('Refinery Summary'!$G$2:$G$1899,'Refinery Summary'!$B$2:$B$1899,RefCapacity!$A158,'Refinery Summary'!$A$2:$A$1899,RefCapacity!$B158,'Refinery Summary'!$C$2:$C$1899,RefCapacity!$C158)/1000</f>
        <v>0</v>
      </c>
      <c r="E158" cm="1">
        <f t="array" ref="E158">$D158-INDEX($D$2:$D$526,MATCH(1,($A$2:$A$526=$A158)*($B$2:$B$526=2019)*($C$2:$C$526=$C158),0))</f>
        <v>0</v>
      </c>
      <c r="F158" s="1" cm="1">
        <f t="array" ref="F158">IFERROR(E158/INDEX($D$2:$D$526,MATCH(1,($A$2:$A$526=$A158)*($B$2:$B$526=2019)*($C$2:$C$526=$C158),0)),0)</f>
        <v>0</v>
      </c>
    </row>
    <row r="159" spans="1:6" x14ac:dyDescent="0.25">
      <c r="A159">
        <v>2</v>
      </c>
      <c r="B159">
        <v>2012</v>
      </c>
      <c r="C159">
        <v>3</v>
      </c>
      <c r="D159">
        <f>SUMIFS('Refinery Summary'!$G$2:$G$1899,'Refinery Summary'!$B$2:$B$1899,RefCapacity!$A159,'Refinery Summary'!$A$2:$A$1899,RefCapacity!$B159,'Refinery Summary'!$C$2:$C$1899,RefCapacity!$C159)/1000</f>
        <v>314</v>
      </c>
      <c r="E159" cm="1">
        <f t="array" ref="E159">$D159-INDEX($D$2:$D$526,MATCH(1,($A$2:$A$526=$A159)*($B$2:$B$526=2019)*($C$2:$C$526=$C159),0))</f>
        <v>-204.70000000000005</v>
      </c>
      <c r="F159" s="1" cm="1">
        <f t="array" ref="F159">IFERROR(E159/INDEX($D$2:$D$526,MATCH(1,($A$2:$A$526=$A159)*($B$2:$B$526=2019)*($C$2:$C$526=$C159),0)),0)</f>
        <v>-0.3946404472720263</v>
      </c>
    </row>
    <row r="160" spans="1:6" x14ac:dyDescent="0.25">
      <c r="A160">
        <v>2</v>
      </c>
      <c r="B160">
        <v>2012</v>
      </c>
      <c r="C160">
        <v>4</v>
      </c>
      <c r="D160">
        <f>SUMIFS('Refinery Summary'!$G$2:$G$1899,'Refinery Summary'!$B$2:$B$1899,RefCapacity!$A160,'Refinery Summary'!$A$2:$A$1899,RefCapacity!$B160,'Refinery Summary'!$C$2:$C$1899,RefCapacity!$C160)/1000</f>
        <v>1229</v>
      </c>
      <c r="E160" cm="1">
        <f t="array" ref="E160">$D160-INDEX($D$2:$D$526,MATCH(1,($A$2:$A$526=$A160)*($B$2:$B$526=2019)*($C$2:$C$526=$C160),0))</f>
        <v>-374.86500000000001</v>
      </c>
      <c r="F160" s="1" cm="1">
        <f t="array" ref="F160">IFERROR(E160/INDEX($D$2:$D$526,MATCH(1,($A$2:$A$526=$A160)*($B$2:$B$526=2019)*($C$2:$C$526=$C160),0)),0)</f>
        <v>-0.23372603055743471</v>
      </c>
    </row>
    <row r="161" spans="1:6" x14ac:dyDescent="0.25">
      <c r="A161">
        <v>2</v>
      </c>
      <c r="B161">
        <v>2012</v>
      </c>
      <c r="C161">
        <v>5</v>
      </c>
      <c r="D161">
        <f>SUMIFS('Refinery Summary'!$G$2:$G$1899,'Refinery Summary'!$B$2:$B$1899,RefCapacity!$A161,'Refinery Summary'!$A$2:$A$1899,RefCapacity!$B161,'Refinery Summary'!$C$2:$C$1899,RefCapacity!$C161)/1000</f>
        <v>0</v>
      </c>
      <c r="E161" cm="1">
        <f t="array" ref="E161">$D161-INDEX($D$2:$D$526,MATCH(1,($A$2:$A$526=$A161)*($B$2:$B$526=2019)*($C$2:$C$526=$C161),0))</f>
        <v>0</v>
      </c>
      <c r="F161" s="1" cm="1">
        <f t="array" ref="F161">IFERROR(E161/INDEX($D$2:$D$526,MATCH(1,($A$2:$A$526=$A161)*($B$2:$B$526=2019)*($C$2:$C$526=$C161),0)),0)</f>
        <v>0</v>
      </c>
    </row>
    <row r="162" spans="1:6" x14ac:dyDescent="0.25">
      <c r="A162">
        <v>2</v>
      </c>
      <c r="B162">
        <v>2012</v>
      </c>
      <c r="C162">
        <v>6</v>
      </c>
      <c r="D162">
        <f>SUMIFS('Refinery Summary'!$G$2:$G$1899,'Refinery Summary'!$B$2:$B$1899,RefCapacity!$A162,'Refinery Summary'!$A$2:$A$1899,RefCapacity!$B162,'Refinery Summary'!$C$2:$C$1899,RefCapacity!$C162)/1000</f>
        <v>1280.25</v>
      </c>
      <c r="E162" cm="1">
        <f t="array" ref="E162">$D162-INDEX($D$2:$D$526,MATCH(1,($A$2:$A$526=$A162)*($B$2:$B$526=2019)*($C$2:$C$526=$C162),0))</f>
        <v>-28.299999999999955</v>
      </c>
      <c r="F162" s="1" cm="1">
        <f t="array" ref="F162">IFERROR(E162/INDEX($D$2:$D$526,MATCH(1,($A$2:$A$526=$A162)*($B$2:$B$526=2019)*($C$2:$C$526=$C162),0)),0)</f>
        <v>-2.1626991708379471E-2</v>
      </c>
    </row>
    <row r="163" spans="1:6" x14ac:dyDescent="0.25">
      <c r="A163">
        <v>2</v>
      </c>
      <c r="B163">
        <v>2013</v>
      </c>
      <c r="C163">
        <v>0</v>
      </c>
      <c r="D163">
        <f>SUMIFS('Refinery Summary'!$G$2:$G$1899,'Refinery Summary'!$B$2:$B$1899,RefCapacity!$A163,'Refinery Summary'!$A$2:$A$1899,RefCapacity!$B163,'Refinery Summary'!$C$2:$C$1899,RefCapacity!$C163)/1000</f>
        <v>130.5</v>
      </c>
      <c r="E163" cm="1">
        <f t="array" ref="E163">$D163-INDEX($D$2:$D$526,MATCH(1,($A$2:$A$526=$A163)*($B$2:$B$526=2019)*($C$2:$C$526=$C163),0))</f>
        <v>105.515</v>
      </c>
      <c r="F163" s="1" cm="1">
        <f t="array" ref="F163">IFERROR(E163/INDEX($D$2:$D$526,MATCH(1,($A$2:$A$526=$A163)*($B$2:$B$526=2019)*($C$2:$C$526=$C163),0)),0)</f>
        <v>4.2231338803281968</v>
      </c>
    </row>
    <row r="164" spans="1:6" x14ac:dyDescent="0.25">
      <c r="A164">
        <v>2</v>
      </c>
      <c r="B164">
        <v>2013</v>
      </c>
      <c r="C164">
        <v>1</v>
      </c>
      <c r="D164">
        <f>SUMIFS('Refinery Summary'!$G$2:$G$1899,'Refinery Summary'!$B$2:$B$1899,RefCapacity!$A164,'Refinery Summary'!$A$2:$A$1899,RefCapacity!$B164,'Refinery Summary'!$C$2:$C$1899,RefCapacity!$C164)/1000</f>
        <v>827.25</v>
      </c>
      <c r="E164" cm="1">
        <f t="array" ref="E164">$D164-INDEX($D$2:$D$526,MATCH(1,($A$2:$A$526=$A164)*($B$2:$B$526=2019)*($C$2:$C$526=$C164),0))</f>
        <v>211.74325274725277</v>
      </c>
      <c r="F164" s="1" cm="1">
        <f t="array" ref="F164">IFERROR(E164/INDEX($D$2:$D$526,MATCH(1,($A$2:$A$526=$A164)*($B$2:$B$526=2019)*($C$2:$C$526=$C164),0)),0)</f>
        <v>0.34401451112006098</v>
      </c>
    </row>
    <row r="165" spans="1:6" x14ac:dyDescent="0.25">
      <c r="A165">
        <v>2</v>
      </c>
      <c r="B165">
        <v>2013</v>
      </c>
      <c r="C165">
        <v>2</v>
      </c>
      <c r="D165">
        <f>SUMIFS('Refinery Summary'!$G$2:$G$1899,'Refinery Summary'!$B$2:$B$1899,RefCapacity!$A165,'Refinery Summary'!$A$2:$A$1899,RefCapacity!$B165,'Refinery Summary'!$C$2:$C$1899,RefCapacity!$C165)/1000</f>
        <v>0</v>
      </c>
      <c r="E165" cm="1">
        <f t="array" ref="E165">$D165-INDEX($D$2:$D$526,MATCH(1,($A$2:$A$526=$A165)*($B$2:$B$526=2019)*($C$2:$C$526=$C165),0))</f>
        <v>0</v>
      </c>
      <c r="F165" s="1" cm="1">
        <f t="array" ref="F165">IFERROR(E165/INDEX($D$2:$D$526,MATCH(1,($A$2:$A$526=$A165)*($B$2:$B$526=2019)*($C$2:$C$526=$C165),0)),0)</f>
        <v>0</v>
      </c>
    </row>
    <row r="166" spans="1:6" x14ac:dyDescent="0.25">
      <c r="A166">
        <v>2</v>
      </c>
      <c r="B166">
        <v>2013</v>
      </c>
      <c r="C166">
        <v>3</v>
      </c>
      <c r="D166">
        <f>SUMIFS('Refinery Summary'!$G$2:$G$1899,'Refinery Summary'!$B$2:$B$1899,RefCapacity!$A166,'Refinery Summary'!$A$2:$A$1899,RefCapacity!$B166,'Refinery Summary'!$C$2:$C$1899,RefCapacity!$C166)/1000</f>
        <v>331.5</v>
      </c>
      <c r="E166" cm="1">
        <f t="array" ref="E166">$D166-INDEX($D$2:$D$526,MATCH(1,($A$2:$A$526=$A166)*($B$2:$B$526=2019)*($C$2:$C$526=$C166),0))</f>
        <v>-187.20000000000005</v>
      </c>
      <c r="F166" s="1" cm="1">
        <f t="array" ref="F166">IFERROR(E166/INDEX($D$2:$D$526,MATCH(1,($A$2:$A$526=$A166)*($B$2:$B$526=2019)*($C$2:$C$526=$C166),0)),0)</f>
        <v>-0.36090225563909778</v>
      </c>
    </row>
    <row r="167" spans="1:6" x14ac:dyDescent="0.25">
      <c r="A167">
        <v>2</v>
      </c>
      <c r="B167">
        <v>2013</v>
      </c>
      <c r="C167">
        <v>4</v>
      </c>
      <c r="D167">
        <f>SUMIFS('Refinery Summary'!$G$2:$G$1899,'Refinery Summary'!$B$2:$B$1899,RefCapacity!$A167,'Refinery Summary'!$A$2:$A$1899,RefCapacity!$B167,'Refinery Summary'!$C$2:$C$1899,RefCapacity!$C167)/1000</f>
        <v>1232</v>
      </c>
      <c r="E167" cm="1">
        <f t="array" ref="E167">$D167-INDEX($D$2:$D$526,MATCH(1,($A$2:$A$526=$A167)*($B$2:$B$526=2019)*($C$2:$C$526=$C167),0))</f>
        <v>-371.86500000000001</v>
      </c>
      <c r="F167" s="1" cm="1">
        <f t="array" ref="F167">IFERROR(E167/INDEX($D$2:$D$526,MATCH(1,($A$2:$A$526=$A167)*($B$2:$B$526=2019)*($C$2:$C$526=$C167),0)),0)</f>
        <v>-0.23185554893959279</v>
      </c>
    </row>
    <row r="168" spans="1:6" x14ac:dyDescent="0.25">
      <c r="A168">
        <v>2</v>
      </c>
      <c r="B168">
        <v>2013</v>
      </c>
      <c r="C168">
        <v>5</v>
      </c>
      <c r="D168">
        <f>SUMIFS('Refinery Summary'!$G$2:$G$1899,'Refinery Summary'!$B$2:$B$1899,RefCapacity!$A168,'Refinery Summary'!$A$2:$A$1899,RefCapacity!$B168,'Refinery Summary'!$C$2:$C$1899,RefCapacity!$C168)/1000</f>
        <v>0</v>
      </c>
      <c r="E168" cm="1">
        <f t="array" ref="E168">$D168-INDEX($D$2:$D$526,MATCH(1,($A$2:$A$526=$A168)*($B$2:$B$526=2019)*($C$2:$C$526=$C168),0))</f>
        <v>0</v>
      </c>
      <c r="F168" s="1" cm="1">
        <f t="array" ref="F168">IFERROR(E168/INDEX($D$2:$D$526,MATCH(1,($A$2:$A$526=$A168)*($B$2:$B$526=2019)*($C$2:$C$526=$C168),0)),0)</f>
        <v>0</v>
      </c>
    </row>
    <row r="169" spans="1:6" x14ac:dyDescent="0.25">
      <c r="A169">
        <v>2</v>
      </c>
      <c r="B169">
        <v>2013</v>
      </c>
      <c r="C169">
        <v>6</v>
      </c>
      <c r="D169">
        <f>SUMIFS('Refinery Summary'!$G$2:$G$1899,'Refinery Summary'!$B$2:$B$1899,RefCapacity!$A169,'Refinery Summary'!$A$2:$A$1899,RefCapacity!$B169,'Refinery Summary'!$C$2:$C$1899,RefCapacity!$C169)/1000</f>
        <v>1217.2</v>
      </c>
      <c r="E169" cm="1">
        <f t="array" ref="E169">$D169-INDEX($D$2:$D$526,MATCH(1,($A$2:$A$526=$A169)*($B$2:$B$526=2019)*($C$2:$C$526=$C169),0))</f>
        <v>-91.349999999999909</v>
      </c>
      <c r="F169" s="1" cm="1">
        <f t="array" ref="F169">IFERROR(E169/INDEX($D$2:$D$526,MATCH(1,($A$2:$A$526=$A169)*($B$2:$B$526=2019)*($C$2:$C$526=$C169),0)),0)</f>
        <v>-6.9810095143479356E-2</v>
      </c>
    </row>
    <row r="170" spans="1:6" x14ac:dyDescent="0.25">
      <c r="A170">
        <v>2</v>
      </c>
      <c r="B170">
        <v>2014</v>
      </c>
      <c r="C170">
        <v>0</v>
      </c>
      <c r="D170">
        <f>SUMIFS('Refinery Summary'!$G$2:$G$1899,'Refinery Summary'!$B$2:$B$1899,RefCapacity!$A170,'Refinery Summary'!$A$2:$A$1899,RefCapacity!$B170,'Refinery Summary'!$C$2:$C$1899,RefCapacity!$C170)/1000</f>
        <v>130.5</v>
      </c>
      <c r="E170" cm="1">
        <f t="array" ref="E170">$D170-INDEX($D$2:$D$526,MATCH(1,($A$2:$A$526=$A170)*($B$2:$B$526=2019)*($C$2:$C$526=$C170),0))</f>
        <v>105.515</v>
      </c>
      <c r="F170" s="1" cm="1">
        <f t="array" ref="F170">IFERROR(E170/INDEX($D$2:$D$526,MATCH(1,($A$2:$A$526=$A170)*($B$2:$B$526=2019)*($C$2:$C$526=$C170),0)),0)</f>
        <v>4.2231338803281968</v>
      </c>
    </row>
    <row r="171" spans="1:6" x14ac:dyDescent="0.25">
      <c r="A171">
        <v>2</v>
      </c>
      <c r="B171">
        <v>2014</v>
      </c>
      <c r="C171">
        <v>1</v>
      </c>
      <c r="D171">
        <f>SUMIFS('Refinery Summary'!$G$2:$G$1899,'Refinery Summary'!$B$2:$B$1899,RefCapacity!$A171,'Refinery Summary'!$A$2:$A$1899,RefCapacity!$B171,'Refinery Summary'!$C$2:$C$1899,RefCapacity!$C171)/1000</f>
        <v>709.25</v>
      </c>
      <c r="E171" cm="1">
        <f t="array" ref="E171">$D171-INDEX($D$2:$D$526,MATCH(1,($A$2:$A$526=$A171)*($B$2:$B$526=2019)*($C$2:$C$526=$C171),0))</f>
        <v>93.743252747252768</v>
      </c>
      <c r="F171" s="1" cm="1">
        <f t="array" ref="F171">IFERROR(E171/INDEX($D$2:$D$526,MATCH(1,($A$2:$A$526=$A171)*($B$2:$B$526=2019)*($C$2:$C$526=$C171),0)),0)</f>
        <v>0.15230255909568238</v>
      </c>
    </row>
    <row r="172" spans="1:6" x14ac:dyDescent="0.25">
      <c r="A172">
        <v>2</v>
      </c>
      <c r="B172">
        <v>2014</v>
      </c>
      <c r="C172">
        <v>2</v>
      </c>
      <c r="D172">
        <f>SUMIFS('Refinery Summary'!$G$2:$G$1899,'Refinery Summary'!$B$2:$B$1899,RefCapacity!$A172,'Refinery Summary'!$A$2:$A$1899,RefCapacity!$B172,'Refinery Summary'!$C$2:$C$1899,RefCapacity!$C172)/1000</f>
        <v>0</v>
      </c>
      <c r="E172" cm="1">
        <f t="array" ref="E172">$D172-INDEX($D$2:$D$526,MATCH(1,($A$2:$A$526=$A172)*($B$2:$B$526=2019)*($C$2:$C$526=$C172),0))</f>
        <v>0</v>
      </c>
      <c r="F172" s="1" cm="1">
        <f t="array" ref="F172">IFERROR(E172/INDEX($D$2:$D$526,MATCH(1,($A$2:$A$526=$A172)*($B$2:$B$526=2019)*($C$2:$C$526=$C172),0)),0)</f>
        <v>0</v>
      </c>
    </row>
    <row r="173" spans="1:6" x14ac:dyDescent="0.25">
      <c r="A173">
        <v>2</v>
      </c>
      <c r="B173">
        <v>2014</v>
      </c>
      <c r="C173">
        <v>3</v>
      </c>
      <c r="D173">
        <f>SUMIFS('Refinery Summary'!$G$2:$G$1899,'Refinery Summary'!$B$2:$B$1899,RefCapacity!$A173,'Refinery Summary'!$A$2:$A$1899,RefCapacity!$B173,'Refinery Summary'!$C$2:$C$1899,RefCapacity!$C173)/1000</f>
        <v>331.5</v>
      </c>
      <c r="E173" cm="1">
        <f t="array" ref="E173">$D173-INDEX($D$2:$D$526,MATCH(1,($A$2:$A$526=$A173)*($B$2:$B$526=2019)*($C$2:$C$526=$C173),0))</f>
        <v>-187.20000000000005</v>
      </c>
      <c r="F173" s="1" cm="1">
        <f t="array" ref="F173">IFERROR(E173/INDEX($D$2:$D$526,MATCH(1,($A$2:$A$526=$A173)*($B$2:$B$526=2019)*($C$2:$C$526=$C173),0)),0)</f>
        <v>-0.36090225563909778</v>
      </c>
    </row>
    <row r="174" spans="1:6" x14ac:dyDescent="0.25">
      <c r="A174">
        <v>2</v>
      </c>
      <c r="B174">
        <v>2014</v>
      </c>
      <c r="C174">
        <v>4</v>
      </c>
      <c r="D174">
        <f>SUMIFS('Refinery Summary'!$G$2:$G$1899,'Refinery Summary'!$B$2:$B$1899,RefCapacity!$A174,'Refinery Summary'!$A$2:$A$1899,RefCapacity!$B174,'Refinery Summary'!$C$2:$C$1899,RefCapacity!$C174)/1000</f>
        <v>1375.25</v>
      </c>
      <c r="E174" cm="1">
        <f t="array" ref="E174">$D174-INDEX($D$2:$D$526,MATCH(1,($A$2:$A$526=$A174)*($B$2:$B$526=2019)*($C$2:$C$526=$C174),0))</f>
        <v>-228.61500000000001</v>
      </c>
      <c r="F174" s="1" cm="1">
        <f t="array" ref="F174">IFERROR(E174/INDEX($D$2:$D$526,MATCH(1,($A$2:$A$526=$A174)*($B$2:$B$526=2019)*($C$2:$C$526=$C174),0)),0)</f>
        <v>-0.14254005168764206</v>
      </c>
    </row>
    <row r="175" spans="1:6" x14ac:dyDescent="0.25">
      <c r="A175">
        <v>2</v>
      </c>
      <c r="B175">
        <v>2014</v>
      </c>
      <c r="C175">
        <v>5</v>
      </c>
      <c r="D175">
        <f>SUMIFS('Refinery Summary'!$G$2:$G$1899,'Refinery Summary'!$B$2:$B$1899,RefCapacity!$A175,'Refinery Summary'!$A$2:$A$1899,RefCapacity!$B175,'Refinery Summary'!$C$2:$C$1899,RefCapacity!$C175)/1000</f>
        <v>0</v>
      </c>
      <c r="E175" cm="1">
        <f t="array" ref="E175">$D175-INDEX($D$2:$D$526,MATCH(1,($A$2:$A$526=$A175)*($B$2:$B$526=2019)*($C$2:$C$526=$C175),0))</f>
        <v>0</v>
      </c>
      <c r="F175" s="1" cm="1">
        <f t="array" ref="F175">IFERROR(E175/INDEX($D$2:$D$526,MATCH(1,($A$2:$A$526=$A175)*($B$2:$B$526=2019)*($C$2:$C$526=$C175),0)),0)</f>
        <v>0</v>
      </c>
    </row>
    <row r="176" spans="1:6" x14ac:dyDescent="0.25">
      <c r="A176">
        <v>2</v>
      </c>
      <c r="B176">
        <v>2014</v>
      </c>
      <c r="C176">
        <v>6</v>
      </c>
      <c r="D176">
        <f>SUMIFS('Refinery Summary'!$G$2:$G$1899,'Refinery Summary'!$B$2:$B$1899,RefCapacity!$A176,'Refinery Summary'!$A$2:$A$1899,RefCapacity!$B176,'Refinery Summary'!$C$2:$C$1899,RefCapacity!$C176)/1000</f>
        <v>1226.2</v>
      </c>
      <c r="E176" cm="1">
        <f t="array" ref="E176">$D176-INDEX($D$2:$D$526,MATCH(1,($A$2:$A$526=$A176)*($B$2:$B$526=2019)*($C$2:$C$526=$C176),0))</f>
        <v>-82.349999999999909</v>
      </c>
      <c r="F176" s="1" cm="1">
        <f t="array" ref="F176">IFERROR(E176/INDEX($D$2:$D$526,MATCH(1,($A$2:$A$526=$A176)*($B$2:$B$526=2019)*($C$2:$C$526=$C176),0)),0)</f>
        <v>-6.2932253257422271E-2</v>
      </c>
    </row>
    <row r="177" spans="1:6" x14ac:dyDescent="0.25">
      <c r="A177">
        <v>2</v>
      </c>
      <c r="B177">
        <v>2015</v>
      </c>
      <c r="C177">
        <v>0</v>
      </c>
      <c r="D177">
        <f>SUMIFS('Refinery Summary'!$G$2:$G$1899,'Refinery Summary'!$B$2:$B$1899,RefCapacity!$A177,'Refinery Summary'!$A$2:$A$1899,RefCapacity!$B177,'Refinery Summary'!$C$2:$C$1899,RefCapacity!$C177)/1000</f>
        <v>150.5</v>
      </c>
      <c r="E177" cm="1">
        <f t="array" ref="E177">$D177-INDEX($D$2:$D$526,MATCH(1,($A$2:$A$526=$A177)*($B$2:$B$526=2019)*($C$2:$C$526=$C177),0))</f>
        <v>125.515</v>
      </c>
      <c r="F177" s="1" cm="1">
        <f t="array" ref="F177">IFERROR(E177/INDEX($D$2:$D$526,MATCH(1,($A$2:$A$526=$A177)*($B$2:$B$526=2019)*($C$2:$C$526=$C177),0)),0)</f>
        <v>5.0236141685011004</v>
      </c>
    </row>
    <row r="178" spans="1:6" x14ac:dyDescent="0.25">
      <c r="A178">
        <v>2</v>
      </c>
      <c r="B178">
        <v>2015</v>
      </c>
      <c r="C178">
        <v>1</v>
      </c>
      <c r="D178">
        <f>SUMIFS('Refinery Summary'!$G$2:$G$1899,'Refinery Summary'!$B$2:$B$1899,RefCapacity!$A178,'Refinery Summary'!$A$2:$A$1899,RefCapacity!$B178,'Refinery Summary'!$C$2:$C$1899,RefCapacity!$C178)/1000</f>
        <v>759.5</v>
      </c>
      <c r="E178" cm="1">
        <f t="array" ref="E178">$D178-INDEX($D$2:$D$526,MATCH(1,($A$2:$A$526=$A178)*($B$2:$B$526=2019)*($C$2:$C$526=$C178),0))</f>
        <v>143.99325274725277</v>
      </c>
      <c r="F178" s="1" cm="1">
        <f t="array" ref="F178">IFERROR(E178/INDEX($D$2:$D$526,MATCH(1,($A$2:$A$526=$A178)*($B$2:$B$526=2019)*($C$2:$C$526=$C178),0)),0)</f>
        <v>0.23394260646199613</v>
      </c>
    </row>
    <row r="179" spans="1:6" x14ac:dyDescent="0.25">
      <c r="A179">
        <v>2</v>
      </c>
      <c r="B179">
        <v>2015</v>
      </c>
      <c r="C179">
        <v>2</v>
      </c>
      <c r="D179">
        <f>SUMIFS('Refinery Summary'!$G$2:$G$1899,'Refinery Summary'!$B$2:$B$1899,RefCapacity!$A179,'Refinery Summary'!$A$2:$A$1899,RefCapacity!$B179,'Refinery Summary'!$C$2:$C$1899,RefCapacity!$C179)/1000</f>
        <v>0</v>
      </c>
      <c r="E179" cm="1">
        <f t="array" ref="E179">$D179-INDEX($D$2:$D$526,MATCH(1,($A$2:$A$526=$A179)*($B$2:$B$526=2019)*($C$2:$C$526=$C179),0))</f>
        <v>0</v>
      </c>
      <c r="F179" s="1" cm="1">
        <f t="array" ref="F179">IFERROR(E179/INDEX($D$2:$D$526,MATCH(1,($A$2:$A$526=$A179)*($B$2:$B$526=2019)*($C$2:$C$526=$C179),0)),0)</f>
        <v>0</v>
      </c>
    </row>
    <row r="180" spans="1:6" x14ac:dyDescent="0.25">
      <c r="A180">
        <v>2</v>
      </c>
      <c r="B180">
        <v>2015</v>
      </c>
      <c r="C180">
        <v>3</v>
      </c>
      <c r="D180">
        <f>SUMIFS('Refinery Summary'!$G$2:$G$1899,'Refinery Summary'!$B$2:$B$1899,RefCapacity!$A180,'Refinery Summary'!$A$2:$A$1899,RefCapacity!$B180,'Refinery Summary'!$C$2:$C$1899,RefCapacity!$C180)/1000</f>
        <v>330</v>
      </c>
      <c r="E180" cm="1">
        <f t="array" ref="E180">$D180-INDEX($D$2:$D$526,MATCH(1,($A$2:$A$526=$A180)*($B$2:$B$526=2019)*($C$2:$C$526=$C180),0))</f>
        <v>-188.70000000000005</v>
      </c>
      <c r="F180" s="1" cm="1">
        <f t="array" ref="F180">IFERROR(E180/INDEX($D$2:$D$526,MATCH(1,($A$2:$A$526=$A180)*($B$2:$B$526=2019)*($C$2:$C$526=$C180),0)),0)</f>
        <v>-0.36379410063620593</v>
      </c>
    </row>
    <row r="181" spans="1:6" x14ac:dyDescent="0.25">
      <c r="A181">
        <v>2</v>
      </c>
      <c r="B181">
        <v>2015</v>
      </c>
      <c r="C181">
        <v>4</v>
      </c>
      <c r="D181">
        <f>SUMIFS('Refinery Summary'!$G$2:$G$1899,'Refinery Summary'!$B$2:$B$1899,RefCapacity!$A181,'Refinery Summary'!$A$2:$A$1899,RefCapacity!$B181,'Refinery Summary'!$C$2:$C$1899,RefCapacity!$C181)/1000</f>
        <v>1392.6</v>
      </c>
      <c r="E181" cm="1">
        <f t="array" ref="E181">$D181-INDEX($D$2:$D$526,MATCH(1,($A$2:$A$526=$A181)*($B$2:$B$526=2019)*($C$2:$C$526=$C181),0))</f>
        <v>-211.2650000000001</v>
      </c>
      <c r="F181" s="1" cm="1">
        <f t="array" ref="F181">IFERROR(E181/INDEX($D$2:$D$526,MATCH(1,($A$2:$A$526=$A181)*($B$2:$B$526=2019)*($C$2:$C$526=$C181),0)),0)</f>
        <v>-0.13172243299778977</v>
      </c>
    </row>
    <row r="182" spans="1:6" x14ac:dyDescent="0.25">
      <c r="A182">
        <v>2</v>
      </c>
      <c r="B182">
        <v>2015</v>
      </c>
      <c r="C182">
        <v>5</v>
      </c>
      <c r="D182">
        <f>SUMIFS('Refinery Summary'!$G$2:$G$1899,'Refinery Summary'!$B$2:$B$1899,RefCapacity!$A182,'Refinery Summary'!$A$2:$A$1899,RefCapacity!$B182,'Refinery Summary'!$C$2:$C$1899,RefCapacity!$C182)/1000</f>
        <v>0</v>
      </c>
      <c r="E182" cm="1">
        <f t="array" ref="E182">$D182-INDEX($D$2:$D$526,MATCH(1,($A$2:$A$526=$A182)*($B$2:$B$526=2019)*($C$2:$C$526=$C182),0))</f>
        <v>0</v>
      </c>
      <c r="F182" s="1" cm="1">
        <f t="array" ref="F182">IFERROR(E182/INDEX($D$2:$D$526,MATCH(1,($A$2:$A$526=$A182)*($B$2:$B$526=2019)*($C$2:$C$526=$C182),0)),0)</f>
        <v>0</v>
      </c>
    </row>
    <row r="183" spans="1:6" x14ac:dyDescent="0.25">
      <c r="A183">
        <v>2</v>
      </c>
      <c r="B183">
        <v>2015</v>
      </c>
      <c r="C183">
        <v>6</v>
      </c>
      <c r="D183">
        <f>SUMIFS('Refinery Summary'!$G$2:$G$1899,'Refinery Summary'!$B$2:$B$1899,RefCapacity!$A183,'Refinery Summary'!$A$2:$A$1899,RefCapacity!$B183,'Refinery Summary'!$C$2:$C$1899,RefCapacity!$C183)/1000</f>
        <v>1227</v>
      </c>
      <c r="E183" cm="1">
        <f t="array" ref="E183">$D183-INDEX($D$2:$D$526,MATCH(1,($A$2:$A$526=$A183)*($B$2:$B$526=2019)*($C$2:$C$526=$C183),0))</f>
        <v>-81.549999999999955</v>
      </c>
      <c r="F183" s="1" cm="1">
        <f t="array" ref="F183">IFERROR(E183/INDEX($D$2:$D$526,MATCH(1,($A$2:$A$526=$A183)*($B$2:$B$526=2019)*($C$2:$C$526=$C183),0)),0)</f>
        <v>-6.232088953421723E-2</v>
      </c>
    </row>
    <row r="184" spans="1:6" x14ac:dyDescent="0.25">
      <c r="A184">
        <v>2</v>
      </c>
      <c r="B184">
        <v>2016</v>
      </c>
      <c r="C184">
        <v>0</v>
      </c>
      <c r="D184">
        <f>SUMIFS('Refinery Summary'!$G$2:$G$1899,'Refinery Summary'!$B$2:$B$1899,RefCapacity!$A184,'Refinery Summary'!$A$2:$A$1899,RefCapacity!$B184,'Refinery Summary'!$C$2:$C$1899,RefCapacity!$C184)/1000</f>
        <v>24.984999999999999</v>
      </c>
      <c r="E184" cm="1">
        <f t="array" ref="E184">$D184-INDEX($D$2:$D$526,MATCH(1,($A$2:$A$526=$A184)*($B$2:$B$526=2019)*($C$2:$C$526=$C184),0))</f>
        <v>0</v>
      </c>
      <c r="F184" s="1" cm="1">
        <f t="array" ref="F184">IFERROR(E184/INDEX($D$2:$D$526,MATCH(1,($A$2:$A$526=$A184)*($B$2:$B$526=2019)*($C$2:$C$526=$C184),0)),0)</f>
        <v>0</v>
      </c>
    </row>
    <row r="185" spans="1:6" x14ac:dyDescent="0.25">
      <c r="A185">
        <v>2</v>
      </c>
      <c r="B185">
        <v>2016</v>
      </c>
      <c r="C185">
        <v>1</v>
      </c>
      <c r="D185">
        <f>SUMIFS('Refinery Summary'!$G$2:$G$1899,'Refinery Summary'!$B$2:$B$1899,RefCapacity!$A185,'Refinery Summary'!$A$2:$A$1899,RefCapacity!$B185,'Refinery Summary'!$C$2:$C$1899,RefCapacity!$C185)/1000</f>
        <v>604.64</v>
      </c>
      <c r="E185" cm="1">
        <f t="array" ref="E185">$D185-INDEX($D$2:$D$526,MATCH(1,($A$2:$A$526=$A185)*($B$2:$B$526=2019)*($C$2:$C$526=$C185),0))</f>
        <v>-10.866747252747246</v>
      </c>
      <c r="F185" s="1" cm="1">
        <f t="array" ref="F185">IFERROR(E185/INDEX($D$2:$D$526,MATCH(1,($A$2:$A$526=$A185)*($B$2:$B$526=2019)*($C$2:$C$526=$C185),0)),0)</f>
        <v>-1.7654960406607863E-2</v>
      </c>
    </row>
    <row r="186" spans="1:6" x14ac:dyDescent="0.25">
      <c r="A186">
        <v>2</v>
      </c>
      <c r="B186">
        <v>2016</v>
      </c>
      <c r="C186">
        <v>2</v>
      </c>
      <c r="D186">
        <f>SUMIFS('Refinery Summary'!$G$2:$G$1899,'Refinery Summary'!$B$2:$B$1899,RefCapacity!$A186,'Refinery Summary'!$A$2:$A$1899,RefCapacity!$B186,'Refinery Summary'!$C$2:$C$1899,RefCapacity!$C186)/1000</f>
        <v>0</v>
      </c>
      <c r="E186" cm="1">
        <f t="array" ref="E186">$D186-INDEX($D$2:$D$526,MATCH(1,($A$2:$A$526=$A186)*($B$2:$B$526=2019)*($C$2:$C$526=$C186),0))</f>
        <v>0</v>
      </c>
      <c r="F186" s="1" cm="1">
        <f t="array" ref="F186">IFERROR(E186/INDEX($D$2:$D$526,MATCH(1,($A$2:$A$526=$A186)*($B$2:$B$526=2019)*($C$2:$C$526=$C186),0)),0)</f>
        <v>0</v>
      </c>
    </row>
    <row r="187" spans="1:6" x14ac:dyDescent="0.25">
      <c r="A187">
        <v>2</v>
      </c>
      <c r="B187">
        <v>2016</v>
      </c>
      <c r="C187">
        <v>3</v>
      </c>
      <c r="D187">
        <f>SUMIFS('Refinery Summary'!$G$2:$G$1899,'Refinery Summary'!$B$2:$B$1899,RefCapacity!$A187,'Refinery Summary'!$A$2:$A$1899,RefCapacity!$B187,'Refinery Summary'!$C$2:$C$1899,RefCapacity!$C187)/1000</f>
        <v>342</v>
      </c>
      <c r="E187" cm="1">
        <f t="array" ref="E187">$D187-INDEX($D$2:$D$526,MATCH(1,($A$2:$A$526=$A187)*($B$2:$B$526=2019)*($C$2:$C$526=$C187),0))</f>
        <v>-176.70000000000005</v>
      </c>
      <c r="F187" s="1" cm="1">
        <f t="array" ref="F187">IFERROR(E187/INDEX($D$2:$D$526,MATCH(1,($A$2:$A$526=$A187)*($B$2:$B$526=2019)*($C$2:$C$526=$C187),0)),0)</f>
        <v>-0.34065934065934073</v>
      </c>
    </row>
    <row r="188" spans="1:6" x14ac:dyDescent="0.25">
      <c r="A188">
        <v>2</v>
      </c>
      <c r="B188">
        <v>2016</v>
      </c>
      <c r="C188">
        <v>4</v>
      </c>
      <c r="D188">
        <f>SUMIFS('Refinery Summary'!$G$2:$G$1899,'Refinery Summary'!$B$2:$B$1899,RefCapacity!$A188,'Refinery Summary'!$A$2:$A$1899,RefCapacity!$B188,'Refinery Summary'!$C$2:$C$1899,RefCapacity!$C188)/1000</f>
        <v>1397.575</v>
      </c>
      <c r="E188" cm="1">
        <f t="array" ref="E188">$D188-INDEX($D$2:$D$526,MATCH(1,($A$2:$A$526=$A188)*($B$2:$B$526=2019)*($C$2:$C$526=$C188),0))</f>
        <v>-206.28999999999996</v>
      </c>
      <c r="F188" s="1" cm="1">
        <f t="array" ref="F188">IFERROR(E188/INDEX($D$2:$D$526,MATCH(1,($A$2:$A$526=$A188)*($B$2:$B$526=2019)*($C$2:$C$526=$C188),0)),0)</f>
        <v>-0.12862055098153521</v>
      </c>
    </row>
    <row r="189" spans="1:6" x14ac:dyDescent="0.25">
      <c r="A189">
        <v>2</v>
      </c>
      <c r="B189">
        <v>2016</v>
      </c>
      <c r="C189">
        <v>5</v>
      </c>
      <c r="D189">
        <f>SUMIFS('Refinery Summary'!$G$2:$G$1899,'Refinery Summary'!$B$2:$B$1899,RefCapacity!$A189,'Refinery Summary'!$A$2:$A$1899,RefCapacity!$B189,'Refinery Summary'!$C$2:$C$1899,RefCapacity!$C189)/1000</f>
        <v>0</v>
      </c>
      <c r="E189" cm="1">
        <f t="array" ref="E189">$D189-INDEX($D$2:$D$526,MATCH(1,($A$2:$A$526=$A189)*($B$2:$B$526=2019)*($C$2:$C$526=$C189),0))</f>
        <v>0</v>
      </c>
      <c r="F189" s="1" cm="1">
        <f t="array" ref="F189">IFERROR(E189/INDEX($D$2:$D$526,MATCH(1,($A$2:$A$526=$A189)*($B$2:$B$526=2019)*($C$2:$C$526=$C189),0)),0)</f>
        <v>0</v>
      </c>
    </row>
    <row r="190" spans="1:6" x14ac:dyDescent="0.25">
      <c r="A190">
        <v>2</v>
      </c>
      <c r="B190">
        <v>2016</v>
      </c>
      <c r="C190">
        <v>6</v>
      </c>
      <c r="D190">
        <f>SUMIFS('Refinery Summary'!$G$2:$G$1899,'Refinery Summary'!$B$2:$B$1899,RefCapacity!$A190,'Refinery Summary'!$A$2:$A$1899,RefCapacity!$B190,'Refinery Summary'!$C$2:$C$1899,RefCapacity!$C190)/1000</f>
        <v>1576.89</v>
      </c>
      <c r="E190" cm="1">
        <f t="array" ref="E190">$D190-INDEX($D$2:$D$526,MATCH(1,($A$2:$A$526=$A190)*($B$2:$B$526=2019)*($C$2:$C$526=$C190),0))</f>
        <v>268.34000000000015</v>
      </c>
      <c r="F190" s="1" cm="1">
        <f t="array" ref="F190">IFERROR(E190/INDEX($D$2:$D$526,MATCH(1,($A$2:$A$526=$A190)*($B$2:$B$526=2019)*($C$2:$C$526=$C190),0)),0)</f>
        <v>0.20506667685606217</v>
      </c>
    </row>
    <row r="191" spans="1:6" x14ac:dyDescent="0.25">
      <c r="A191">
        <v>2</v>
      </c>
      <c r="B191">
        <v>2017</v>
      </c>
      <c r="C191">
        <v>0</v>
      </c>
      <c r="D191">
        <f>SUMIFS('Refinery Summary'!$G$2:$G$1899,'Refinery Summary'!$B$2:$B$1899,RefCapacity!$A191,'Refinery Summary'!$A$2:$A$1899,RefCapacity!$B191,'Refinery Summary'!$C$2:$C$1899,RefCapacity!$C191)/1000</f>
        <v>24.984999999999999</v>
      </c>
      <c r="E191" cm="1">
        <f t="array" ref="E191">$D191-INDEX($D$2:$D$526,MATCH(1,($A$2:$A$526=$A191)*($B$2:$B$526=2019)*($C$2:$C$526=$C191),0))</f>
        <v>0</v>
      </c>
      <c r="F191" s="1" cm="1">
        <f t="array" ref="F191">IFERROR(E191/INDEX($D$2:$D$526,MATCH(1,($A$2:$A$526=$A191)*($B$2:$B$526=2019)*($C$2:$C$526=$C191),0)),0)</f>
        <v>0</v>
      </c>
    </row>
    <row r="192" spans="1:6" x14ac:dyDescent="0.25">
      <c r="A192">
        <v>2</v>
      </c>
      <c r="B192">
        <v>2017</v>
      </c>
      <c r="C192">
        <v>1</v>
      </c>
      <c r="D192">
        <f>SUMIFS('Refinery Summary'!$G$2:$G$1899,'Refinery Summary'!$B$2:$B$1899,RefCapacity!$A192,'Refinery Summary'!$A$2:$A$1899,RefCapacity!$B192,'Refinery Summary'!$C$2:$C$1899,RefCapacity!$C192)/1000</f>
        <v>608.44000000000005</v>
      </c>
      <c r="E192" cm="1">
        <f t="array" ref="E192">$D192-INDEX($D$2:$D$526,MATCH(1,($A$2:$A$526=$A192)*($B$2:$B$526=2019)*($C$2:$C$526=$C192),0))</f>
        <v>-7.0667472527471773</v>
      </c>
      <c r="F192" s="1" cm="1">
        <f t="array" ref="F192">IFERROR(E192/INDEX($D$2:$D$526,MATCH(1,($A$2:$A$526=$A192)*($B$2:$B$526=2019)*($C$2:$C$526=$C192),0)),0)</f>
        <v>-1.148118568039895E-2</v>
      </c>
    </row>
    <row r="193" spans="1:6" x14ac:dyDescent="0.25">
      <c r="A193">
        <v>2</v>
      </c>
      <c r="B193">
        <v>2017</v>
      </c>
      <c r="C193">
        <v>2</v>
      </c>
      <c r="D193">
        <f>SUMIFS('Refinery Summary'!$G$2:$G$1899,'Refinery Summary'!$B$2:$B$1899,RefCapacity!$A193,'Refinery Summary'!$A$2:$A$1899,RefCapacity!$B193,'Refinery Summary'!$C$2:$C$1899,RefCapacity!$C193)/1000</f>
        <v>0</v>
      </c>
      <c r="E193" cm="1">
        <f t="array" ref="E193">$D193-INDEX($D$2:$D$526,MATCH(1,($A$2:$A$526=$A193)*($B$2:$B$526=2019)*($C$2:$C$526=$C193),0))</f>
        <v>0</v>
      </c>
      <c r="F193" s="1" cm="1">
        <f t="array" ref="F193">IFERROR(E193/INDEX($D$2:$D$526,MATCH(1,($A$2:$A$526=$A193)*($B$2:$B$526=2019)*($C$2:$C$526=$C193),0)),0)</f>
        <v>0</v>
      </c>
    </row>
    <row r="194" spans="1:6" x14ac:dyDescent="0.25">
      <c r="A194">
        <v>2</v>
      </c>
      <c r="B194">
        <v>2017</v>
      </c>
      <c r="C194">
        <v>3</v>
      </c>
      <c r="D194">
        <f>SUMIFS('Refinery Summary'!$G$2:$G$1899,'Refinery Summary'!$B$2:$B$1899,RefCapacity!$A194,'Refinery Summary'!$A$2:$A$1899,RefCapacity!$B194,'Refinery Summary'!$C$2:$C$1899,RefCapacity!$C194)/1000</f>
        <v>518.70000000000005</v>
      </c>
      <c r="E194" cm="1">
        <f t="array" ref="E194">$D194-INDEX($D$2:$D$526,MATCH(1,($A$2:$A$526=$A194)*($B$2:$B$526=2019)*($C$2:$C$526=$C194),0))</f>
        <v>0</v>
      </c>
      <c r="F194" s="1" cm="1">
        <f t="array" ref="F194">IFERROR(E194/INDEX($D$2:$D$526,MATCH(1,($A$2:$A$526=$A194)*($B$2:$B$526=2019)*($C$2:$C$526=$C194),0)),0)</f>
        <v>0</v>
      </c>
    </row>
    <row r="195" spans="1:6" x14ac:dyDescent="0.25">
      <c r="A195">
        <v>2</v>
      </c>
      <c r="B195">
        <v>2017</v>
      </c>
      <c r="C195">
        <v>4</v>
      </c>
      <c r="D195">
        <f>SUMIFS('Refinery Summary'!$G$2:$G$1899,'Refinery Summary'!$B$2:$B$1899,RefCapacity!$A195,'Refinery Summary'!$A$2:$A$1899,RefCapacity!$B195,'Refinery Summary'!$C$2:$C$1899,RefCapacity!$C195)/1000</f>
        <v>1576.365</v>
      </c>
      <c r="E195" cm="1">
        <f t="array" ref="E195">$D195-INDEX($D$2:$D$526,MATCH(1,($A$2:$A$526=$A195)*($B$2:$B$526=2019)*($C$2:$C$526=$C195),0))</f>
        <v>-27.5</v>
      </c>
      <c r="F195" s="1" cm="1">
        <f t="array" ref="F195">IFERROR(E195/INDEX($D$2:$D$526,MATCH(1,($A$2:$A$526=$A195)*($B$2:$B$526=2019)*($C$2:$C$526=$C195),0)),0)</f>
        <v>-1.714608149688409E-2</v>
      </c>
    </row>
    <row r="196" spans="1:6" x14ac:dyDescent="0.25">
      <c r="A196">
        <v>2</v>
      </c>
      <c r="B196">
        <v>2017</v>
      </c>
      <c r="C196">
        <v>5</v>
      </c>
      <c r="D196">
        <f>SUMIFS('Refinery Summary'!$G$2:$G$1899,'Refinery Summary'!$B$2:$B$1899,RefCapacity!$A196,'Refinery Summary'!$A$2:$A$1899,RefCapacity!$B196,'Refinery Summary'!$C$2:$C$1899,RefCapacity!$C196)/1000</f>
        <v>0</v>
      </c>
      <c r="E196" cm="1">
        <f t="array" ref="E196">$D196-INDEX($D$2:$D$526,MATCH(1,($A$2:$A$526=$A196)*($B$2:$B$526=2019)*($C$2:$C$526=$C196),0))</f>
        <v>0</v>
      </c>
      <c r="F196" s="1" cm="1">
        <f t="array" ref="F196">IFERROR(E196/INDEX($D$2:$D$526,MATCH(1,($A$2:$A$526=$A196)*($B$2:$B$526=2019)*($C$2:$C$526=$C196),0)),0)</f>
        <v>0</v>
      </c>
    </row>
    <row r="197" spans="1:6" x14ac:dyDescent="0.25">
      <c r="A197">
        <v>2</v>
      </c>
      <c r="B197">
        <v>2017</v>
      </c>
      <c r="C197">
        <v>6</v>
      </c>
      <c r="D197">
        <f>SUMIFS('Refinery Summary'!$G$2:$G$1899,'Refinery Summary'!$B$2:$B$1899,RefCapacity!$A197,'Refinery Summary'!$A$2:$A$1899,RefCapacity!$B197,'Refinery Summary'!$C$2:$C$1899,RefCapacity!$C197)/1000</f>
        <v>1275.55</v>
      </c>
      <c r="E197" cm="1">
        <f t="array" ref="E197">$D197-INDEX($D$2:$D$526,MATCH(1,($A$2:$A$526=$A197)*($B$2:$B$526=2019)*($C$2:$C$526=$C197),0))</f>
        <v>-33</v>
      </c>
      <c r="F197" s="1" cm="1">
        <f t="array" ref="F197">IFERROR(E197/INDEX($D$2:$D$526,MATCH(1,($A$2:$A$526=$A197)*($B$2:$B$526=2019)*($C$2:$C$526=$C197),0)),0)</f>
        <v>-2.5218753582209315E-2</v>
      </c>
    </row>
    <row r="198" spans="1:6" x14ac:dyDescent="0.25">
      <c r="A198">
        <v>2</v>
      </c>
      <c r="B198">
        <v>2018</v>
      </c>
      <c r="C198">
        <v>0</v>
      </c>
      <c r="D198">
        <f>SUMIFS('Refinery Summary'!$G$2:$G$1899,'Refinery Summary'!$B$2:$B$1899,RefCapacity!$A198,'Refinery Summary'!$A$2:$A$1899,RefCapacity!$B198,'Refinery Summary'!$C$2:$C$1899,RefCapacity!$C198)/1000</f>
        <v>24.984999999999999</v>
      </c>
      <c r="E198" cm="1">
        <f t="array" ref="E198">$D198-INDEX($D$2:$D$526,MATCH(1,($A$2:$A$526=$A198)*($B$2:$B$526=2019)*($C$2:$C$526=$C198),0))</f>
        <v>0</v>
      </c>
      <c r="F198" s="1" cm="1">
        <f t="array" ref="F198">IFERROR(E198/INDEX($D$2:$D$526,MATCH(1,($A$2:$A$526=$A198)*($B$2:$B$526=2019)*($C$2:$C$526=$C198),0)),0)</f>
        <v>0</v>
      </c>
    </row>
    <row r="199" spans="1:6" x14ac:dyDescent="0.25">
      <c r="A199">
        <v>2</v>
      </c>
      <c r="B199">
        <v>2018</v>
      </c>
      <c r="C199">
        <v>1</v>
      </c>
      <c r="D199">
        <f>SUMIFS('Refinery Summary'!$G$2:$G$1899,'Refinery Summary'!$B$2:$B$1899,RefCapacity!$A199,'Refinery Summary'!$A$2:$A$1899,RefCapacity!$B199,'Refinery Summary'!$C$2:$C$1899,RefCapacity!$C199)/1000</f>
        <v>614.08674725274716</v>
      </c>
      <c r="E199" cm="1">
        <f t="array" ref="E199">$D199-INDEX($D$2:$D$526,MATCH(1,($A$2:$A$526=$A199)*($B$2:$B$526=2019)*($C$2:$C$526=$C199),0))</f>
        <v>-1.4200000000000728</v>
      </c>
      <c r="F199" s="1" cm="1">
        <f t="array" ref="F199">IFERROR(E199/INDEX($D$2:$D$526,MATCH(1,($A$2:$A$526=$A199)*($B$2:$B$526=2019)*($C$2:$C$526=$C199),0)),0)</f>
        <v>-2.3070421345307759E-3</v>
      </c>
    </row>
    <row r="200" spans="1:6" x14ac:dyDescent="0.25">
      <c r="A200">
        <v>2</v>
      </c>
      <c r="B200">
        <v>2018</v>
      </c>
      <c r="C200">
        <v>2</v>
      </c>
      <c r="D200">
        <f>SUMIFS('Refinery Summary'!$G$2:$G$1899,'Refinery Summary'!$B$2:$B$1899,RefCapacity!$A200,'Refinery Summary'!$A$2:$A$1899,RefCapacity!$B200,'Refinery Summary'!$C$2:$C$1899,RefCapacity!$C200)/1000</f>
        <v>0</v>
      </c>
      <c r="E200" cm="1">
        <f t="array" ref="E200">$D200-INDEX($D$2:$D$526,MATCH(1,($A$2:$A$526=$A200)*($B$2:$B$526=2019)*($C$2:$C$526=$C200),0))</f>
        <v>0</v>
      </c>
      <c r="F200" s="1" cm="1">
        <f t="array" ref="F200">IFERROR(E200/INDEX($D$2:$D$526,MATCH(1,($A$2:$A$526=$A200)*($B$2:$B$526=2019)*($C$2:$C$526=$C200),0)),0)</f>
        <v>0</v>
      </c>
    </row>
    <row r="201" spans="1:6" x14ac:dyDescent="0.25">
      <c r="A201">
        <v>2</v>
      </c>
      <c r="B201">
        <v>2018</v>
      </c>
      <c r="C201">
        <v>3</v>
      </c>
      <c r="D201">
        <f>SUMIFS('Refinery Summary'!$G$2:$G$1899,'Refinery Summary'!$B$2:$B$1899,RefCapacity!$A201,'Refinery Summary'!$A$2:$A$1899,RefCapacity!$B201,'Refinery Summary'!$C$2:$C$1899,RefCapacity!$C201)/1000</f>
        <v>518.70000000000005</v>
      </c>
      <c r="E201" cm="1">
        <f t="array" ref="E201">$D201-INDEX($D$2:$D$526,MATCH(1,($A$2:$A$526=$A201)*($B$2:$B$526=2019)*($C$2:$C$526=$C201),0))</f>
        <v>0</v>
      </c>
      <c r="F201" s="1" cm="1">
        <f t="array" ref="F201">IFERROR(E201/INDEX($D$2:$D$526,MATCH(1,($A$2:$A$526=$A201)*($B$2:$B$526=2019)*($C$2:$C$526=$C201),0)),0)</f>
        <v>0</v>
      </c>
    </row>
    <row r="202" spans="1:6" x14ac:dyDescent="0.25">
      <c r="A202">
        <v>2</v>
      </c>
      <c r="B202">
        <v>2018</v>
      </c>
      <c r="C202">
        <v>4</v>
      </c>
      <c r="D202">
        <f>SUMIFS('Refinery Summary'!$G$2:$G$1899,'Refinery Summary'!$B$2:$B$1899,RefCapacity!$A202,'Refinery Summary'!$A$2:$A$1899,RefCapacity!$B202,'Refinery Summary'!$C$2:$C$1899,RefCapacity!$C202)/1000</f>
        <v>1583.365</v>
      </c>
      <c r="E202" cm="1">
        <f t="array" ref="E202">$D202-INDEX($D$2:$D$526,MATCH(1,($A$2:$A$526=$A202)*($B$2:$B$526=2019)*($C$2:$C$526=$C202),0))</f>
        <v>-20.5</v>
      </c>
      <c r="F202" s="1" cm="1">
        <f t="array" ref="F202">IFERROR(E202/INDEX($D$2:$D$526,MATCH(1,($A$2:$A$526=$A202)*($B$2:$B$526=2019)*($C$2:$C$526=$C202),0)),0)</f>
        <v>-1.2781624388586321E-2</v>
      </c>
    </row>
    <row r="203" spans="1:6" x14ac:dyDescent="0.25">
      <c r="A203">
        <v>2</v>
      </c>
      <c r="B203">
        <v>2018</v>
      </c>
      <c r="C203">
        <v>5</v>
      </c>
      <c r="D203">
        <f>SUMIFS('Refinery Summary'!$G$2:$G$1899,'Refinery Summary'!$B$2:$B$1899,RefCapacity!$A203,'Refinery Summary'!$A$2:$A$1899,RefCapacity!$B203,'Refinery Summary'!$C$2:$C$1899,RefCapacity!$C203)/1000</f>
        <v>0</v>
      </c>
      <c r="E203" cm="1">
        <f t="array" ref="E203">$D203-INDEX($D$2:$D$526,MATCH(1,($A$2:$A$526=$A203)*($B$2:$B$526=2019)*($C$2:$C$526=$C203),0))</f>
        <v>0</v>
      </c>
      <c r="F203" s="1" cm="1">
        <f t="array" ref="F203">IFERROR(E203/INDEX($D$2:$D$526,MATCH(1,($A$2:$A$526=$A203)*($B$2:$B$526=2019)*($C$2:$C$526=$C203),0)),0)</f>
        <v>0</v>
      </c>
    </row>
    <row r="204" spans="1:6" x14ac:dyDescent="0.25">
      <c r="A204">
        <v>2</v>
      </c>
      <c r="B204">
        <v>2018</v>
      </c>
      <c r="C204">
        <v>6</v>
      </c>
      <c r="D204">
        <f>SUMIFS('Refinery Summary'!$G$2:$G$1899,'Refinery Summary'!$B$2:$B$1899,RefCapacity!$A204,'Refinery Summary'!$A$2:$A$1899,RefCapacity!$B204,'Refinery Summary'!$C$2:$C$1899,RefCapacity!$C204)/1000</f>
        <v>1289.55</v>
      </c>
      <c r="E204" cm="1">
        <f t="array" ref="E204">$D204-INDEX($D$2:$D$526,MATCH(1,($A$2:$A$526=$A204)*($B$2:$B$526=2019)*($C$2:$C$526=$C204),0))</f>
        <v>-19</v>
      </c>
      <c r="F204" s="1" cm="1">
        <f t="array" ref="F204">IFERROR(E204/INDEX($D$2:$D$526,MATCH(1,($A$2:$A$526=$A204)*($B$2:$B$526=2019)*($C$2:$C$526=$C204),0)),0)</f>
        <v>-1.4519888426120516E-2</v>
      </c>
    </row>
    <row r="205" spans="1:6" x14ac:dyDescent="0.25">
      <c r="A205">
        <v>2</v>
      </c>
      <c r="B205">
        <v>2019</v>
      </c>
      <c r="C205">
        <v>0</v>
      </c>
      <c r="D205">
        <f>SUMIFS('Refinery Summary'!$G$2:$G$1899,'Refinery Summary'!$B$2:$B$1899,RefCapacity!$A205,'Refinery Summary'!$A$2:$A$1899,RefCapacity!$B205,'Refinery Summary'!$C$2:$C$1899,RefCapacity!$C205)/1000</f>
        <v>24.984999999999999</v>
      </c>
      <c r="E205" cm="1">
        <f t="array" ref="E205">$D205-INDEX($D$2:$D$526,MATCH(1,($A$2:$A$526=$A205)*($B$2:$B$526=2019)*($C$2:$C$526=$C205),0))</f>
        <v>0</v>
      </c>
      <c r="F205" s="1" cm="1">
        <f t="array" ref="F205">IFERROR(E205/INDEX($D$2:$D$526,MATCH(1,($A$2:$A$526=$A205)*($B$2:$B$526=2019)*($C$2:$C$526=$C205),0)),0)</f>
        <v>0</v>
      </c>
    </row>
    <row r="206" spans="1:6" x14ac:dyDescent="0.25">
      <c r="A206">
        <v>2</v>
      </c>
      <c r="B206">
        <v>2019</v>
      </c>
      <c r="C206">
        <v>1</v>
      </c>
      <c r="D206">
        <f>SUMIFS('Refinery Summary'!$G$2:$G$1899,'Refinery Summary'!$B$2:$B$1899,RefCapacity!$A206,'Refinery Summary'!$A$2:$A$1899,RefCapacity!$B206,'Refinery Summary'!$C$2:$C$1899,RefCapacity!$C206)/1000</f>
        <v>615.50674725274723</v>
      </c>
      <c r="E206" cm="1">
        <f t="array" ref="E206">$D206-INDEX($D$2:$D$526,MATCH(1,($A$2:$A$526=$A206)*($B$2:$B$526=2019)*($C$2:$C$526=$C206),0))</f>
        <v>0</v>
      </c>
      <c r="F206" s="1" cm="1">
        <f t="array" ref="F206">IFERROR(E206/INDEX($D$2:$D$526,MATCH(1,($A$2:$A$526=$A206)*($B$2:$B$526=2019)*($C$2:$C$526=$C206),0)),0)</f>
        <v>0</v>
      </c>
    </row>
    <row r="207" spans="1:6" x14ac:dyDescent="0.25">
      <c r="A207">
        <v>2</v>
      </c>
      <c r="B207">
        <v>2019</v>
      </c>
      <c r="C207">
        <v>2</v>
      </c>
      <c r="D207">
        <f>SUMIFS('Refinery Summary'!$G$2:$G$1899,'Refinery Summary'!$B$2:$B$1899,RefCapacity!$A207,'Refinery Summary'!$A$2:$A$1899,RefCapacity!$B207,'Refinery Summary'!$C$2:$C$1899,RefCapacity!$C207)/1000</f>
        <v>0</v>
      </c>
      <c r="E207" cm="1">
        <f t="array" ref="E207">$D207-INDEX($D$2:$D$526,MATCH(1,($A$2:$A$526=$A207)*($B$2:$B$526=2019)*($C$2:$C$526=$C207),0))</f>
        <v>0</v>
      </c>
      <c r="F207" s="1" cm="1">
        <f t="array" ref="F207">IFERROR(E207/INDEX($D$2:$D$526,MATCH(1,($A$2:$A$526=$A207)*($B$2:$B$526=2019)*($C$2:$C$526=$C207),0)),0)</f>
        <v>0</v>
      </c>
    </row>
    <row r="208" spans="1:6" x14ac:dyDescent="0.25">
      <c r="A208">
        <v>2</v>
      </c>
      <c r="B208">
        <v>2019</v>
      </c>
      <c r="C208">
        <v>3</v>
      </c>
      <c r="D208">
        <f>SUMIFS('Refinery Summary'!$G$2:$G$1899,'Refinery Summary'!$B$2:$B$1899,RefCapacity!$A208,'Refinery Summary'!$A$2:$A$1899,RefCapacity!$B208,'Refinery Summary'!$C$2:$C$1899,RefCapacity!$C208)/1000</f>
        <v>518.70000000000005</v>
      </c>
      <c r="E208" cm="1">
        <f t="array" ref="E208">$D208-INDEX($D$2:$D$526,MATCH(1,($A$2:$A$526=$A208)*($B$2:$B$526=2019)*($C$2:$C$526=$C208),0))</f>
        <v>0</v>
      </c>
      <c r="F208" s="1" cm="1">
        <f t="array" ref="F208">IFERROR(E208/INDEX($D$2:$D$526,MATCH(1,($A$2:$A$526=$A208)*($B$2:$B$526=2019)*($C$2:$C$526=$C208),0)),0)</f>
        <v>0</v>
      </c>
    </row>
    <row r="209" spans="1:6" x14ac:dyDescent="0.25">
      <c r="A209">
        <v>2</v>
      </c>
      <c r="B209">
        <v>2019</v>
      </c>
      <c r="C209">
        <v>4</v>
      </c>
      <c r="D209">
        <f>SUMIFS('Refinery Summary'!$G$2:$G$1899,'Refinery Summary'!$B$2:$B$1899,RefCapacity!$A209,'Refinery Summary'!$A$2:$A$1899,RefCapacity!$B209,'Refinery Summary'!$C$2:$C$1899,RefCapacity!$C209)/1000</f>
        <v>1603.865</v>
      </c>
      <c r="E209" cm="1">
        <f t="array" ref="E209">$D209-INDEX($D$2:$D$526,MATCH(1,($A$2:$A$526=$A209)*($B$2:$B$526=2019)*($C$2:$C$526=$C209),0))</f>
        <v>0</v>
      </c>
      <c r="F209" s="1" cm="1">
        <f t="array" ref="F209">IFERROR(E209/INDEX($D$2:$D$526,MATCH(1,($A$2:$A$526=$A209)*($B$2:$B$526=2019)*($C$2:$C$526=$C209),0)),0)</f>
        <v>0</v>
      </c>
    </row>
    <row r="210" spans="1:6" x14ac:dyDescent="0.25">
      <c r="A210">
        <v>2</v>
      </c>
      <c r="B210">
        <v>2019</v>
      </c>
      <c r="C210">
        <v>5</v>
      </c>
      <c r="D210">
        <f>SUMIFS('Refinery Summary'!$G$2:$G$1899,'Refinery Summary'!$B$2:$B$1899,RefCapacity!$A210,'Refinery Summary'!$A$2:$A$1899,RefCapacity!$B210,'Refinery Summary'!$C$2:$C$1899,RefCapacity!$C210)/1000</f>
        <v>0</v>
      </c>
      <c r="E210" cm="1">
        <f t="array" ref="E210">$D210-INDEX($D$2:$D$526,MATCH(1,($A$2:$A$526=$A210)*($B$2:$B$526=2019)*($C$2:$C$526=$C210),0))</f>
        <v>0</v>
      </c>
      <c r="F210" s="1" cm="1">
        <f t="array" ref="F210">IFERROR(E210/INDEX($D$2:$D$526,MATCH(1,($A$2:$A$526=$A210)*($B$2:$B$526=2019)*($C$2:$C$526=$C210),0)),0)</f>
        <v>0</v>
      </c>
    </row>
    <row r="211" spans="1:6" x14ac:dyDescent="0.25">
      <c r="A211">
        <v>2</v>
      </c>
      <c r="B211">
        <v>2019</v>
      </c>
      <c r="C211">
        <v>6</v>
      </c>
      <c r="D211">
        <f>SUMIFS('Refinery Summary'!$G$2:$G$1899,'Refinery Summary'!$B$2:$B$1899,RefCapacity!$A211,'Refinery Summary'!$A$2:$A$1899,RefCapacity!$B211,'Refinery Summary'!$C$2:$C$1899,RefCapacity!$C211)/1000</f>
        <v>1308.55</v>
      </c>
      <c r="E211" cm="1">
        <f t="array" ref="E211">$D211-INDEX($D$2:$D$526,MATCH(1,($A$2:$A$526=$A211)*($B$2:$B$526=2019)*($C$2:$C$526=$C211),0))</f>
        <v>0</v>
      </c>
      <c r="F211" s="1" cm="1">
        <f t="array" ref="F211">IFERROR(E211/INDEX($D$2:$D$526,MATCH(1,($A$2:$A$526=$A211)*($B$2:$B$526=2019)*($C$2:$C$526=$C211),0)),0)</f>
        <v>0</v>
      </c>
    </row>
    <row r="212" spans="1:6" x14ac:dyDescent="0.25">
      <c r="A212">
        <v>3</v>
      </c>
      <c r="B212">
        <v>2005</v>
      </c>
      <c r="C212">
        <v>0</v>
      </c>
      <c r="D212">
        <f>SUMIFS('Refinery Summary'!$G$2:$G$1899,'Refinery Summary'!$B$2:$B$1899,RefCapacity!$A212,'Refinery Summary'!$A$2:$A$1899,RefCapacity!$B212,'Refinery Summary'!$C$2:$C$1899,RefCapacity!$C212)/1000</f>
        <v>139.18</v>
      </c>
      <c r="E212" cm="1">
        <f t="array" ref="E212">$D212-INDEX($D$2:$D$526,MATCH(1,($A$2:$A$526=$A212)*($B$2:$B$526=2019)*($C$2:$C$526=$C212),0))</f>
        <v>-156.935</v>
      </c>
      <c r="F212" s="1" cm="1">
        <f t="array" ref="F212">IFERROR(E212/INDEX($D$2:$D$526,MATCH(1,($A$2:$A$526=$A212)*($B$2:$B$526=2019)*($C$2:$C$526=$C212),0)),0)</f>
        <v>-0.52997990645526227</v>
      </c>
    </row>
    <row r="213" spans="1:6" x14ac:dyDescent="0.25">
      <c r="A213">
        <v>3</v>
      </c>
      <c r="B213">
        <v>2005</v>
      </c>
      <c r="C213">
        <v>1</v>
      </c>
      <c r="D213">
        <f>SUMIFS('Refinery Summary'!$G$2:$G$1899,'Refinery Summary'!$B$2:$B$1899,RefCapacity!$A213,'Refinery Summary'!$A$2:$A$1899,RefCapacity!$B213,'Refinery Summary'!$C$2:$C$1899,RefCapacity!$C213)/1000</f>
        <v>1060.175</v>
      </c>
      <c r="E213" cm="1">
        <f t="array" ref="E213">$D213-INDEX($D$2:$D$526,MATCH(1,($A$2:$A$526=$A213)*($B$2:$B$526=2019)*($C$2:$C$526=$C213),0))</f>
        <v>372.1099999999999</v>
      </c>
      <c r="F213" s="1" cm="1">
        <f t="array" ref="F213">IFERROR(E213/INDEX($D$2:$D$526,MATCH(1,($A$2:$A$526=$A213)*($B$2:$B$526=2019)*($C$2:$C$526=$C213),0)),0)</f>
        <v>0.54080646450553349</v>
      </c>
    </row>
    <row r="214" spans="1:6" x14ac:dyDescent="0.25">
      <c r="A214">
        <v>3</v>
      </c>
      <c r="B214">
        <v>2005</v>
      </c>
      <c r="C214">
        <v>2</v>
      </c>
      <c r="D214">
        <f>SUMIFS('Refinery Summary'!$G$2:$G$1899,'Refinery Summary'!$B$2:$B$1899,RefCapacity!$A214,'Refinery Summary'!$A$2:$A$1899,RefCapacity!$B214,'Refinery Summary'!$C$2:$C$1899,RefCapacity!$C214)/1000</f>
        <v>109.5</v>
      </c>
      <c r="E214" cm="1">
        <f t="array" ref="E214">$D214-INDEX($D$2:$D$526,MATCH(1,($A$2:$A$526=$A214)*($B$2:$B$526=2019)*($C$2:$C$526=$C214),0))</f>
        <v>-186.322</v>
      </c>
      <c r="F214" s="1" cm="1">
        <f t="array" ref="F214">IFERROR(E214/INDEX($D$2:$D$526,MATCH(1,($A$2:$A$526=$A214)*($B$2:$B$526=2019)*($C$2:$C$526=$C214),0)),0)</f>
        <v>-0.62984497434267905</v>
      </c>
    </row>
    <row r="215" spans="1:6" x14ac:dyDescent="0.25">
      <c r="A215">
        <v>3</v>
      </c>
      <c r="B215">
        <v>2005</v>
      </c>
      <c r="C215">
        <v>3</v>
      </c>
      <c r="D215">
        <f>SUMIFS('Refinery Summary'!$G$2:$G$1899,'Refinery Summary'!$B$2:$B$1899,RefCapacity!$A215,'Refinery Summary'!$A$2:$A$1899,RefCapacity!$B215,'Refinery Summary'!$C$2:$C$1899,RefCapacity!$C215)/1000</f>
        <v>496</v>
      </c>
      <c r="E215" cm="1">
        <f t="array" ref="E215">$D215-INDEX($D$2:$D$526,MATCH(1,($A$2:$A$526=$A215)*($B$2:$B$526=2019)*($C$2:$C$526=$C215),0))</f>
        <v>-514.02499999999998</v>
      </c>
      <c r="F215" s="1" cm="1">
        <f t="array" ref="F215">IFERROR(E215/INDEX($D$2:$D$526,MATCH(1,($A$2:$A$526=$A215)*($B$2:$B$526=2019)*($C$2:$C$526=$C215),0)),0)</f>
        <v>-0.50892304645924602</v>
      </c>
    </row>
    <row r="216" spans="1:6" x14ac:dyDescent="0.25">
      <c r="A216">
        <v>3</v>
      </c>
      <c r="B216">
        <v>2005</v>
      </c>
      <c r="C216">
        <v>4</v>
      </c>
      <c r="D216">
        <f>SUMIFS('Refinery Summary'!$G$2:$G$1899,'Refinery Summary'!$B$2:$B$1899,RefCapacity!$A216,'Refinery Summary'!$A$2:$A$1899,RefCapacity!$B216,'Refinery Summary'!$C$2:$C$1899,RefCapacity!$C216)/1000</f>
        <v>1733.5250000000001</v>
      </c>
      <c r="E216" cm="1">
        <f t="array" ref="E216">$D216-INDEX($D$2:$D$526,MATCH(1,($A$2:$A$526=$A216)*($B$2:$B$526=2019)*($C$2:$C$526=$C216),0))</f>
        <v>-332.08500000000004</v>
      </c>
      <c r="F216" s="1" cm="1">
        <f t="array" ref="F216">IFERROR(E216/INDEX($D$2:$D$526,MATCH(1,($A$2:$A$526=$A216)*($B$2:$B$526=2019)*($C$2:$C$526=$C216),0)),0)</f>
        <v>-0.16076848969553789</v>
      </c>
    </row>
    <row r="217" spans="1:6" x14ac:dyDescent="0.25">
      <c r="A217">
        <v>3</v>
      </c>
      <c r="B217">
        <v>2005</v>
      </c>
      <c r="C217">
        <v>5</v>
      </c>
      <c r="D217">
        <f>SUMIFS('Refinery Summary'!$G$2:$G$1899,'Refinery Summary'!$B$2:$B$1899,RefCapacity!$A217,'Refinery Summary'!$A$2:$A$1899,RefCapacity!$B217,'Refinery Summary'!$C$2:$C$1899,RefCapacity!$C217)/1000</f>
        <v>0</v>
      </c>
      <c r="E217" cm="1">
        <f t="array" ref="E217">$D217-INDEX($D$2:$D$526,MATCH(1,($A$2:$A$526=$A217)*($B$2:$B$526=2019)*($C$2:$C$526=$C217),0))</f>
        <v>-38</v>
      </c>
      <c r="F217" s="1" cm="1">
        <f t="array" ref="F217">IFERROR(E217/INDEX($D$2:$D$526,MATCH(1,($A$2:$A$526=$A217)*($B$2:$B$526=2019)*($C$2:$C$526=$C217),0)),0)</f>
        <v>-1</v>
      </c>
    </row>
    <row r="218" spans="1:6" x14ac:dyDescent="0.25">
      <c r="A218">
        <v>3</v>
      </c>
      <c r="B218">
        <v>2005</v>
      </c>
      <c r="C218">
        <v>6</v>
      </c>
      <c r="D218">
        <f>SUMIFS('Refinery Summary'!$G$2:$G$1899,'Refinery Summary'!$B$2:$B$1899,RefCapacity!$A218,'Refinery Summary'!$A$2:$A$1899,RefCapacity!$B218,'Refinery Summary'!$C$2:$C$1899,RefCapacity!$C218)/1000</f>
        <v>4514.585</v>
      </c>
      <c r="E218" cm="1">
        <f t="array" ref="E218">$D218-INDEX($D$2:$D$526,MATCH(1,($A$2:$A$526=$A218)*($B$2:$B$526=2019)*($C$2:$C$526=$C218),0))</f>
        <v>-837.24499999999989</v>
      </c>
      <c r="F218" s="1" cm="1">
        <f t="array" ref="F218">IFERROR(E218/INDEX($D$2:$D$526,MATCH(1,($A$2:$A$526=$A218)*($B$2:$B$526=2019)*($C$2:$C$526=$C218),0)),0)</f>
        <v>-0.15644088096968697</v>
      </c>
    </row>
    <row r="219" spans="1:6" x14ac:dyDescent="0.25">
      <c r="A219">
        <v>3</v>
      </c>
      <c r="B219">
        <v>2006</v>
      </c>
      <c r="C219">
        <v>0</v>
      </c>
      <c r="D219">
        <f>SUMIFS('Refinery Summary'!$G$2:$G$1899,'Refinery Summary'!$B$2:$B$1899,RefCapacity!$A219,'Refinery Summary'!$A$2:$A$1899,RefCapacity!$B219,'Refinery Summary'!$C$2:$C$1899,RefCapacity!$C219)/1000</f>
        <v>142.18</v>
      </c>
      <c r="E219" cm="1">
        <f t="array" ref="E219">$D219-INDEX($D$2:$D$526,MATCH(1,($A$2:$A$526=$A219)*($B$2:$B$526=2019)*($C$2:$C$526=$C219),0))</f>
        <v>-153.935</v>
      </c>
      <c r="F219" s="1" cm="1">
        <f t="array" ref="F219">IFERROR(E219/INDEX($D$2:$D$526,MATCH(1,($A$2:$A$526=$A219)*($B$2:$B$526=2019)*($C$2:$C$526=$C219),0)),0)</f>
        <v>-0.51984870742785738</v>
      </c>
    </row>
    <row r="220" spans="1:6" x14ac:dyDescent="0.25">
      <c r="A220">
        <v>3</v>
      </c>
      <c r="B220">
        <v>2006</v>
      </c>
      <c r="C220">
        <v>1</v>
      </c>
      <c r="D220">
        <f>SUMIFS('Refinery Summary'!$G$2:$G$1899,'Refinery Summary'!$B$2:$B$1899,RefCapacity!$A220,'Refinery Summary'!$A$2:$A$1899,RefCapacity!$B220,'Refinery Summary'!$C$2:$C$1899,RefCapacity!$C220)/1000</f>
        <v>1136.952</v>
      </c>
      <c r="E220" cm="1">
        <f t="array" ref="E220">$D220-INDEX($D$2:$D$526,MATCH(1,($A$2:$A$526=$A220)*($B$2:$B$526=2019)*($C$2:$C$526=$C220),0))</f>
        <v>448.88699999999994</v>
      </c>
      <c r="F220" s="1" cm="1">
        <f t="array" ref="F220">IFERROR(E220/INDEX($D$2:$D$526,MATCH(1,($A$2:$A$526=$A220)*($B$2:$B$526=2019)*($C$2:$C$526=$C220),0)),0)</f>
        <v>0.65239039916286967</v>
      </c>
    </row>
    <row r="221" spans="1:6" x14ac:dyDescent="0.25">
      <c r="A221">
        <v>3</v>
      </c>
      <c r="B221">
        <v>2006</v>
      </c>
      <c r="C221">
        <v>2</v>
      </c>
      <c r="D221">
        <f>SUMIFS('Refinery Summary'!$G$2:$G$1899,'Refinery Summary'!$B$2:$B$1899,RefCapacity!$A221,'Refinery Summary'!$A$2:$A$1899,RefCapacity!$B221,'Refinery Summary'!$C$2:$C$1899,RefCapacity!$C221)/1000</f>
        <v>129.5</v>
      </c>
      <c r="E221" cm="1">
        <f t="array" ref="E221">$D221-INDEX($D$2:$D$526,MATCH(1,($A$2:$A$526=$A221)*($B$2:$B$526=2019)*($C$2:$C$526=$C221),0))</f>
        <v>-166.322</v>
      </c>
      <c r="F221" s="1" cm="1">
        <f t="array" ref="F221">IFERROR(E221/INDEX($D$2:$D$526,MATCH(1,($A$2:$A$526=$A221)*($B$2:$B$526=2019)*($C$2:$C$526=$C221),0)),0)</f>
        <v>-0.56223675047832822</v>
      </c>
    </row>
    <row r="222" spans="1:6" x14ac:dyDescent="0.25">
      <c r="A222">
        <v>3</v>
      </c>
      <c r="B222">
        <v>2006</v>
      </c>
      <c r="C222">
        <v>3</v>
      </c>
      <c r="D222">
        <f>SUMIFS('Refinery Summary'!$G$2:$G$1899,'Refinery Summary'!$B$2:$B$1899,RefCapacity!$A222,'Refinery Summary'!$A$2:$A$1899,RefCapacity!$B222,'Refinery Summary'!$C$2:$C$1899,RefCapacity!$C222)/1000</f>
        <v>497.66</v>
      </c>
      <c r="E222" cm="1">
        <f t="array" ref="E222">$D222-INDEX($D$2:$D$526,MATCH(1,($A$2:$A$526=$A222)*($B$2:$B$526=2019)*($C$2:$C$526=$C222),0))</f>
        <v>-512.36500000000001</v>
      </c>
      <c r="F222" s="1" cm="1">
        <f t="array" ref="F222">IFERROR(E222/INDEX($D$2:$D$526,MATCH(1,($A$2:$A$526=$A222)*($B$2:$B$526=2019)*($C$2:$C$526=$C222),0)),0)</f>
        <v>-0.5072795227840895</v>
      </c>
    </row>
    <row r="223" spans="1:6" x14ac:dyDescent="0.25">
      <c r="A223">
        <v>3</v>
      </c>
      <c r="B223">
        <v>2006</v>
      </c>
      <c r="C223">
        <v>4</v>
      </c>
      <c r="D223">
        <f>SUMIFS('Refinery Summary'!$G$2:$G$1899,'Refinery Summary'!$B$2:$B$1899,RefCapacity!$A223,'Refinery Summary'!$A$2:$A$1899,RefCapacity!$B223,'Refinery Summary'!$C$2:$C$1899,RefCapacity!$C223)/1000</f>
        <v>2077.5749999999998</v>
      </c>
      <c r="E223" cm="1">
        <f t="array" ref="E223">$D223-INDEX($D$2:$D$526,MATCH(1,($A$2:$A$526=$A223)*($B$2:$B$526=2019)*($C$2:$C$526=$C223),0))</f>
        <v>11.964999999999691</v>
      </c>
      <c r="F223" s="1" cm="1">
        <f t="array" ref="F223">IFERROR(E223/INDEX($D$2:$D$526,MATCH(1,($A$2:$A$526=$A223)*($B$2:$B$526=2019)*($C$2:$C$526=$C223),0)),0)</f>
        <v>5.7924777668580665E-3</v>
      </c>
    </row>
    <row r="224" spans="1:6" x14ac:dyDescent="0.25">
      <c r="A224">
        <v>3</v>
      </c>
      <c r="B224">
        <v>2006</v>
      </c>
      <c r="C224">
        <v>5</v>
      </c>
      <c r="D224">
        <f>SUMIFS('Refinery Summary'!$G$2:$G$1899,'Refinery Summary'!$B$2:$B$1899,RefCapacity!$A224,'Refinery Summary'!$A$2:$A$1899,RefCapacity!$B224,'Refinery Summary'!$C$2:$C$1899,RefCapacity!$C224)/1000</f>
        <v>0</v>
      </c>
      <c r="E224" cm="1">
        <f t="array" ref="E224">$D224-INDEX($D$2:$D$526,MATCH(1,($A$2:$A$526=$A224)*($B$2:$B$526=2019)*($C$2:$C$526=$C224),0))</f>
        <v>-38</v>
      </c>
      <c r="F224" s="1" cm="1">
        <f t="array" ref="F224">IFERROR(E224/INDEX($D$2:$D$526,MATCH(1,($A$2:$A$526=$A224)*($B$2:$B$526=2019)*($C$2:$C$526=$C224),0)),0)</f>
        <v>-1</v>
      </c>
    </row>
    <row r="225" spans="1:6" x14ac:dyDescent="0.25">
      <c r="A225">
        <v>3</v>
      </c>
      <c r="B225">
        <v>2006</v>
      </c>
      <c r="C225">
        <v>6</v>
      </c>
      <c r="D225">
        <f>SUMIFS('Refinery Summary'!$G$2:$G$1899,'Refinery Summary'!$B$2:$B$1899,RefCapacity!$A225,'Refinery Summary'!$A$2:$A$1899,RefCapacity!$B225,'Refinery Summary'!$C$2:$C$1899,RefCapacity!$C225)/1000</f>
        <v>4339</v>
      </c>
      <c r="E225" cm="1">
        <f t="array" ref="E225">$D225-INDEX($D$2:$D$526,MATCH(1,($A$2:$A$526=$A225)*($B$2:$B$526=2019)*($C$2:$C$526=$C225),0))</f>
        <v>-1012.8299999999999</v>
      </c>
      <c r="F225" s="1" cm="1">
        <f t="array" ref="F225">IFERROR(E225/INDEX($D$2:$D$526,MATCH(1,($A$2:$A$526=$A225)*($B$2:$B$526=2019)*($C$2:$C$526=$C225),0)),0)</f>
        <v>-0.18924928482406952</v>
      </c>
    </row>
    <row r="226" spans="1:6" x14ac:dyDescent="0.25">
      <c r="A226">
        <v>3</v>
      </c>
      <c r="B226">
        <v>2007</v>
      </c>
      <c r="C226">
        <v>0</v>
      </c>
      <c r="D226">
        <f>SUMIFS('Refinery Summary'!$G$2:$G$1899,'Refinery Summary'!$B$2:$B$1899,RefCapacity!$A226,'Refinery Summary'!$A$2:$A$1899,RefCapacity!$B226,'Refinery Summary'!$C$2:$C$1899,RefCapacity!$C226)/1000</f>
        <v>158.5</v>
      </c>
      <c r="E226" cm="1">
        <f t="array" ref="E226">$D226-INDEX($D$2:$D$526,MATCH(1,($A$2:$A$526=$A226)*($B$2:$B$526=2019)*($C$2:$C$526=$C226),0))</f>
        <v>-137.61500000000001</v>
      </c>
      <c r="F226" s="1" cm="1">
        <f t="array" ref="F226">IFERROR(E226/INDEX($D$2:$D$526,MATCH(1,($A$2:$A$526=$A226)*($B$2:$B$526=2019)*($C$2:$C$526=$C226),0)),0)</f>
        <v>-0.46473498471877484</v>
      </c>
    </row>
    <row r="227" spans="1:6" x14ac:dyDescent="0.25">
      <c r="A227">
        <v>3</v>
      </c>
      <c r="B227">
        <v>2007</v>
      </c>
      <c r="C227">
        <v>1</v>
      </c>
      <c r="D227">
        <f>SUMIFS('Refinery Summary'!$G$2:$G$1899,'Refinery Summary'!$B$2:$B$1899,RefCapacity!$A227,'Refinery Summary'!$A$2:$A$1899,RefCapacity!$B227,'Refinery Summary'!$C$2:$C$1899,RefCapacity!$C227)/1000</f>
        <v>1164.0519999999999</v>
      </c>
      <c r="E227" cm="1">
        <f t="array" ref="E227">$D227-INDEX($D$2:$D$526,MATCH(1,($A$2:$A$526=$A227)*($B$2:$B$526=2019)*($C$2:$C$526=$C227),0))</f>
        <v>475.98699999999985</v>
      </c>
      <c r="F227" s="1" cm="1">
        <f t="array" ref="F227">IFERROR(E227/INDEX($D$2:$D$526,MATCH(1,($A$2:$A$526=$A227)*($B$2:$B$526=2019)*($C$2:$C$526=$C227),0)),0)</f>
        <v>0.69177621300313175</v>
      </c>
    </row>
    <row r="228" spans="1:6" x14ac:dyDescent="0.25">
      <c r="A228">
        <v>3</v>
      </c>
      <c r="B228">
        <v>2007</v>
      </c>
      <c r="C228">
        <v>2</v>
      </c>
      <c r="D228">
        <f>SUMIFS('Refinery Summary'!$G$2:$G$1899,'Refinery Summary'!$B$2:$B$1899,RefCapacity!$A228,'Refinery Summary'!$A$2:$A$1899,RefCapacity!$B228,'Refinery Summary'!$C$2:$C$1899,RefCapacity!$C228)/1000</f>
        <v>129.5</v>
      </c>
      <c r="E228" cm="1">
        <f t="array" ref="E228">$D228-INDEX($D$2:$D$526,MATCH(1,($A$2:$A$526=$A228)*($B$2:$B$526=2019)*($C$2:$C$526=$C228),0))</f>
        <v>-166.322</v>
      </c>
      <c r="F228" s="1" cm="1">
        <f t="array" ref="F228">IFERROR(E228/INDEX($D$2:$D$526,MATCH(1,($A$2:$A$526=$A228)*($B$2:$B$526=2019)*($C$2:$C$526=$C228),0)),0)</f>
        <v>-0.56223675047832822</v>
      </c>
    </row>
    <row r="229" spans="1:6" x14ac:dyDescent="0.25">
      <c r="A229">
        <v>3</v>
      </c>
      <c r="B229">
        <v>2007</v>
      </c>
      <c r="C229">
        <v>3</v>
      </c>
      <c r="D229">
        <f>SUMIFS('Refinery Summary'!$G$2:$G$1899,'Refinery Summary'!$B$2:$B$1899,RefCapacity!$A229,'Refinery Summary'!$A$2:$A$1899,RefCapacity!$B229,'Refinery Summary'!$C$2:$C$1899,RefCapacity!$C229)/1000</f>
        <v>497.66</v>
      </c>
      <c r="E229" cm="1">
        <f t="array" ref="E229">$D229-INDEX($D$2:$D$526,MATCH(1,($A$2:$A$526=$A229)*($B$2:$B$526=2019)*($C$2:$C$526=$C229),0))</f>
        <v>-512.36500000000001</v>
      </c>
      <c r="F229" s="1" cm="1">
        <f t="array" ref="F229">IFERROR(E229/INDEX($D$2:$D$526,MATCH(1,($A$2:$A$526=$A229)*($B$2:$B$526=2019)*($C$2:$C$526=$C229),0)),0)</f>
        <v>-0.5072795227840895</v>
      </c>
    </row>
    <row r="230" spans="1:6" x14ac:dyDescent="0.25">
      <c r="A230">
        <v>3</v>
      </c>
      <c r="B230">
        <v>2007</v>
      </c>
      <c r="C230">
        <v>4</v>
      </c>
      <c r="D230">
        <f>SUMIFS('Refinery Summary'!$G$2:$G$1899,'Refinery Summary'!$B$2:$B$1899,RefCapacity!$A230,'Refinery Summary'!$A$2:$A$1899,RefCapacity!$B230,'Refinery Summary'!$C$2:$C$1899,RefCapacity!$C230)/1000</f>
        <v>2091.35</v>
      </c>
      <c r="E230" cm="1">
        <f t="array" ref="E230">$D230-INDEX($D$2:$D$526,MATCH(1,($A$2:$A$526=$A230)*($B$2:$B$526=2019)*($C$2:$C$526=$C230),0))</f>
        <v>25.739999999999782</v>
      </c>
      <c r="F230" s="1" cm="1">
        <f t="array" ref="F230">IFERROR(E230/INDEX($D$2:$D$526,MATCH(1,($A$2:$A$526=$A230)*($B$2:$B$526=2019)*($C$2:$C$526=$C230),0)),0)</f>
        <v>1.2461210005760904E-2</v>
      </c>
    </row>
    <row r="231" spans="1:6" x14ac:dyDescent="0.25">
      <c r="A231">
        <v>3</v>
      </c>
      <c r="B231">
        <v>2007</v>
      </c>
      <c r="C231">
        <v>5</v>
      </c>
      <c r="D231">
        <f>SUMIFS('Refinery Summary'!$G$2:$G$1899,'Refinery Summary'!$B$2:$B$1899,RefCapacity!$A231,'Refinery Summary'!$A$2:$A$1899,RefCapacity!$B231,'Refinery Summary'!$C$2:$C$1899,RefCapacity!$C231)/1000</f>
        <v>0</v>
      </c>
      <c r="E231" cm="1">
        <f t="array" ref="E231">$D231-INDEX($D$2:$D$526,MATCH(1,($A$2:$A$526=$A231)*($B$2:$B$526=2019)*($C$2:$C$526=$C231),0))</f>
        <v>-38</v>
      </c>
      <c r="F231" s="1" cm="1">
        <f t="array" ref="F231">IFERROR(E231/INDEX($D$2:$D$526,MATCH(1,($A$2:$A$526=$A231)*($B$2:$B$526=2019)*($C$2:$C$526=$C231),0)),0)</f>
        <v>-1</v>
      </c>
    </row>
    <row r="232" spans="1:6" x14ac:dyDescent="0.25">
      <c r="A232">
        <v>3</v>
      </c>
      <c r="B232">
        <v>2007</v>
      </c>
      <c r="C232">
        <v>6</v>
      </c>
      <c r="D232">
        <f>SUMIFS('Refinery Summary'!$G$2:$G$1899,'Refinery Summary'!$B$2:$B$1899,RefCapacity!$A232,'Refinery Summary'!$A$2:$A$1899,RefCapacity!$B232,'Refinery Summary'!$C$2:$C$1899,RefCapacity!$C232)/1000</f>
        <v>4348.5</v>
      </c>
      <c r="E232" cm="1">
        <f t="array" ref="E232">$D232-INDEX($D$2:$D$526,MATCH(1,($A$2:$A$526=$A232)*($B$2:$B$526=2019)*($C$2:$C$526=$C232),0))</f>
        <v>-1003.3299999999999</v>
      </c>
      <c r="F232" s="1" cm="1">
        <f t="array" ref="F232">IFERROR(E232/INDEX($D$2:$D$526,MATCH(1,($A$2:$A$526=$A232)*($B$2:$B$526=2019)*($C$2:$C$526=$C232),0)),0)</f>
        <v>-0.18747419107109156</v>
      </c>
    </row>
    <row r="233" spans="1:6" x14ac:dyDescent="0.25">
      <c r="A233">
        <v>3</v>
      </c>
      <c r="B233">
        <v>2008</v>
      </c>
      <c r="C233">
        <v>0</v>
      </c>
      <c r="D233">
        <f>SUMIFS('Refinery Summary'!$G$2:$G$1899,'Refinery Summary'!$B$2:$B$1899,RefCapacity!$A233,'Refinery Summary'!$A$2:$A$1899,RefCapacity!$B233,'Refinery Summary'!$C$2:$C$1899,RefCapacity!$C233)/1000</f>
        <v>158.5</v>
      </c>
      <c r="E233" cm="1">
        <f t="array" ref="E233">$D233-INDEX($D$2:$D$526,MATCH(1,($A$2:$A$526=$A233)*($B$2:$B$526=2019)*($C$2:$C$526=$C233),0))</f>
        <v>-137.61500000000001</v>
      </c>
      <c r="F233" s="1" cm="1">
        <f t="array" ref="F233">IFERROR(E233/INDEX($D$2:$D$526,MATCH(1,($A$2:$A$526=$A233)*($B$2:$B$526=2019)*($C$2:$C$526=$C233),0)),0)</f>
        <v>-0.46473498471877484</v>
      </c>
    </row>
    <row r="234" spans="1:6" x14ac:dyDescent="0.25">
      <c r="A234">
        <v>3</v>
      </c>
      <c r="B234">
        <v>2008</v>
      </c>
      <c r="C234">
        <v>1</v>
      </c>
      <c r="D234">
        <f>SUMIFS('Refinery Summary'!$G$2:$G$1899,'Refinery Summary'!$B$2:$B$1899,RefCapacity!$A234,'Refinery Summary'!$A$2:$A$1899,RefCapacity!$B234,'Refinery Summary'!$C$2:$C$1899,RefCapacity!$C234)/1000</f>
        <v>1049.152</v>
      </c>
      <c r="E234" cm="1">
        <f t="array" ref="E234">$D234-INDEX($D$2:$D$526,MATCH(1,($A$2:$A$526=$A234)*($B$2:$B$526=2019)*($C$2:$C$526=$C234),0))</f>
        <v>361.08699999999999</v>
      </c>
      <c r="F234" s="1" cm="1">
        <f t="array" ref="F234">IFERROR(E234/INDEX($D$2:$D$526,MATCH(1,($A$2:$A$526=$A234)*($B$2:$B$526=2019)*($C$2:$C$526=$C234),0)),0)</f>
        <v>0.52478617572467712</v>
      </c>
    </row>
    <row r="235" spans="1:6" x14ac:dyDescent="0.25">
      <c r="A235">
        <v>3</v>
      </c>
      <c r="B235">
        <v>2008</v>
      </c>
      <c r="C235">
        <v>2</v>
      </c>
      <c r="D235">
        <f>SUMIFS('Refinery Summary'!$G$2:$G$1899,'Refinery Summary'!$B$2:$B$1899,RefCapacity!$A235,'Refinery Summary'!$A$2:$A$1899,RefCapacity!$B235,'Refinery Summary'!$C$2:$C$1899,RefCapacity!$C235)/1000</f>
        <v>129.5</v>
      </c>
      <c r="E235" cm="1">
        <f t="array" ref="E235">$D235-INDEX($D$2:$D$526,MATCH(1,($A$2:$A$526=$A235)*($B$2:$B$526=2019)*($C$2:$C$526=$C235),0))</f>
        <v>-166.322</v>
      </c>
      <c r="F235" s="1" cm="1">
        <f t="array" ref="F235">IFERROR(E235/INDEX($D$2:$D$526,MATCH(1,($A$2:$A$526=$A235)*($B$2:$B$526=2019)*($C$2:$C$526=$C235),0)),0)</f>
        <v>-0.56223675047832822</v>
      </c>
    </row>
    <row r="236" spans="1:6" x14ac:dyDescent="0.25">
      <c r="A236">
        <v>3</v>
      </c>
      <c r="B236">
        <v>2008</v>
      </c>
      <c r="C236">
        <v>3</v>
      </c>
      <c r="D236">
        <f>SUMIFS('Refinery Summary'!$G$2:$G$1899,'Refinery Summary'!$B$2:$B$1899,RefCapacity!$A236,'Refinery Summary'!$A$2:$A$1899,RefCapacity!$B236,'Refinery Summary'!$C$2:$C$1899,RefCapacity!$C236)/1000</f>
        <v>491.66</v>
      </c>
      <c r="E236" cm="1">
        <f t="array" ref="E236">$D236-INDEX($D$2:$D$526,MATCH(1,($A$2:$A$526=$A236)*($B$2:$B$526=2019)*($C$2:$C$526=$C236),0))</f>
        <v>-518.36500000000001</v>
      </c>
      <c r="F236" s="1" cm="1">
        <f t="array" ref="F236">IFERROR(E236/INDEX($D$2:$D$526,MATCH(1,($A$2:$A$526=$A236)*($B$2:$B$526=2019)*($C$2:$C$526=$C236),0)),0)</f>
        <v>-0.51321996980272766</v>
      </c>
    </row>
    <row r="237" spans="1:6" x14ac:dyDescent="0.25">
      <c r="A237">
        <v>3</v>
      </c>
      <c r="B237">
        <v>2008</v>
      </c>
      <c r="C237">
        <v>4</v>
      </c>
      <c r="D237">
        <f>SUMIFS('Refinery Summary'!$G$2:$G$1899,'Refinery Summary'!$B$2:$B$1899,RefCapacity!$A237,'Refinery Summary'!$A$2:$A$1899,RefCapacity!$B237,'Refinery Summary'!$C$2:$C$1899,RefCapacity!$C237)/1000</f>
        <v>1947.35</v>
      </c>
      <c r="E237" cm="1">
        <f t="array" ref="E237">$D237-INDEX($D$2:$D$526,MATCH(1,($A$2:$A$526=$A237)*($B$2:$B$526=2019)*($C$2:$C$526=$C237),0))</f>
        <v>-118.26000000000022</v>
      </c>
      <c r="F237" s="1" cm="1">
        <f t="array" ref="F237">IFERROR(E237/INDEX($D$2:$D$526,MATCH(1,($A$2:$A$526=$A237)*($B$2:$B$526=2019)*($C$2:$C$526=$C237),0)),0)</f>
        <v>-5.7251852963531455E-2</v>
      </c>
    </row>
    <row r="238" spans="1:6" x14ac:dyDescent="0.25">
      <c r="A238">
        <v>3</v>
      </c>
      <c r="B238">
        <v>2008</v>
      </c>
      <c r="C238">
        <v>5</v>
      </c>
      <c r="D238">
        <f>SUMIFS('Refinery Summary'!$G$2:$G$1899,'Refinery Summary'!$B$2:$B$1899,RefCapacity!$A238,'Refinery Summary'!$A$2:$A$1899,RefCapacity!$B238,'Refinery Summary'!$C$2:$C$1899,RefCapacity!$C238)/1000</f>
        <v>0</v>
      </c>
      <c r="E238" cm="1">
        <f t="array" ref="E238">$D238-INDEX($D$2:$D$526,MATCH(1,($A$2:$A$526=$A238)*($B$2:$B$526=2019)*($C$2:$C$526=$C238),0))</f>
        <v>-38</v>
      </c>
      <c r="F238" s="1" cm="1">
        <f t="array" ref="F238">IFERROR(E238/INDEX($D$2:$D$526,MATCH(1,($A$2:$A$526=$A238)*($B$2:$B$526=2019)*($C$2:$C$526=$C238),0)),0)</f>
        <v>-1</v>
      </c>
    </row>
    <row r="239" spans="1:6" x14ac:dyDescent="0.25">
      <c r="A239">
        <v>3</v>
      </c>
      <c r="B239">
        <v>2008</v>
      </c>
      <c r="C239">
        <v>6</v>
      </c>
      <c r="D239">
        <f>SUMIFS('Refinery Summary'!$G$2:$G$1899,'Refinery Summary'!$B$2:$B$1899,RefCapacity!$A239,'Refinery Summary'!$A$2:$A$1899,RefCapacity!$B239,'Refinery Summary'!$C$2:$C$1899,RefCapacity!$C239)/1000</f>
        <v>4664.1000000000004</v>
      </c>
      <c r="E239" cm="1">
        <f t="array" ref="E239">$D239-INDEX($D$2:$D$526,MATCH(1,($A$2:$A$526=$A239)*($B$2:$B$526=2019)*($C$2:$C$526=$C239),0))</f>
        <v>-687.72999999999956</v>
      </c>
      <c r="F239" s="1" cm="1">
        <f t="array" ref="F239">IFERROR(E239/INDEX($D$2:$D$526,MATCH(1,($A$2:$A$526=$A239)*($B$2:$B$526=2019)*($C$2:$C$526=$C239),0)),0)</f>
        <v>-0.12850370807742389</v>
      </c>
    </row>
    <row r="240" spans="1:6" x14ac:dyDescent="0.25">
      <c r="A240">
        <v>3</v>
      </c>
      <c r="B240">
        <v>2009</v>
      </c>
      <c r="C240">
        <v>0</v>
      </c>
      <c r="D240">
        <f>SUMIFS('Refinery Summary'!$G$2:$G$1899,'Refinery Summary'!$B$2:$B$1899,RefCapacity!$A240,'Refinery Summary'!$A$2:$A$1899,RefCapacity!$B240,'Refinery Summary'!$C$2:$C$1899,RefCapacity!$C240)/1000</f>
        <v>158.5</v>
      </c>
      <c r="E240" cm="1">
        <f t="array" ref="E240">$D240-INDEX($D$2:$D$526,MATCH(1,($A$2:$A$526=$A240)*($B$2:$B$526=2019)*($C$2:$C$526=$C240),0))</f>
        <v>-137.61500000000001</v>
      </c>
      <c r="F240" s="1" cm="1">
        <f t="array" ref="F240">IFERROR(E240/INDEX($D$2:$D$526,MATCH(1,($A$2:$A$526=$A240)*($B$2:$B$526=2019)*($C$2:$C$526=$C240),0)),0)</f>
        <v>-0.46473498471877484</v>
      </c>
    </row>
    <row r="241" spans="1:6" x14ac:dyDescent="0.25">
      <c r="A241">
        <v>3</v>
      </c>
      <c r="B241">
        <v>2009</v>
      </c>
      <c r="C241">
        <v>1</v>
      </c>
      <c r="D241">
        <f>SUMIFS('Refinery Summary'!$G$2:$G$1899,'Refinery Summary'!$B$2:$B$1899,RefCapacity!$A241,'Refinery Summary'!$A$2:$A$1899,RefCapacity!$B241,'Refinery Summary'!$C$2:$C$1899,RefCapacity!$C241)/1000</f>
        <v>1053.152</v>
      </c>
      <c r="E241" cm="1">
        <f t="array" ref="E241">$D241-INDEX($D$2:$D$526,MATCH(1,($A$2:$A$526=$A241)*($B$2:$B$526=2019)*($C$2:$C$526=$C241),0))</f>
        <v>365.08699999999999</v>
      </c>
      <c r="F241" s="1" cm="1">
        <f t="array" ref="F241">IFERROR(E241/INDEX($D$2:$D$526,MATCH(1,($A$2:$A$526=$A241)*($B$2:$B$526=2019)*($C$2:$C$526=$C241),0)),0)</f>
        <v>0.53059957998154239</v>
      </c>
    </row>
    <row r="242" spans="1:6" x14ac:dyDescent="0.25">
      <c r="A242">
        <v>3</v>
      </c>
      <c r="B242">
        <v>2009</v>
      </c>
      <c r="C242">
        <v>2</v>
      </c>
      <c r="D242">
        <f>SUMIFS('Refinery Summary'!$G$2:$G$1899,'Refinery Summary'!$B$2:$B$1899,RefCapacity!$A242,'Refinery Summary'!$A$2:$A$1899,RefCapacity!$B242,'Refinery Summary'!$C$2:$C$1899,RefCapacity!$C242)/1000</f>
        <v>129.5</v>
      </c>
      <c r="E242" cm="1">
        <f t="array" ref="E242">$D242-INDEX($D$2:$D$526,MATCH(1,($A$2:$A$526=$A242)*($B$2:$B$526=2019)*($C$2:$C$526=$C242),0))</f>
        <v>-166.322</v>
      </c>
      <c r="F242" s="1" cm="1">
        <f t="array" ref="F242">IFERROR(E242/INDEX($D$2:$D$526,MATCH(1,($A$2:$A$526=$A242)*($B$2:$B$526=2019)*($C$2:$C$526=$C242),0)),0)</f>
        <v>-0.56223675047832822</v>
      </c>
    </row>
    <row r="243" spans="1:6" x14ac:dyDescent="0.25">
      <c r="A243">
        <v>3</v>
      </c>
      <c r="B243">
        <v>2009</v>
      </c>
      <c r="C243">
        <v>3</v>
      </c>
      <c r="D243">
        <f>SUMIFS('Refinery Summary'!$G$2:$G$1899,'Refinery Summary'!$B$2:$B$1899,RefCapacity!$A243,'Refinery Summary'!$A$2:$A$1899,RefCapacity!$B243,'Refinery Summary'!$C$2:$C$1899,RefCapacity!$C243)/1000</f>
        <v>491.66</v>
      </c>
      <c r="E243" cm="1">
        <f t="array" ref="E243">$D243-INDEX($D$2:$D$526,MATCH(1,($A$2:$A$526=$A243)*($B$2:$B$526=2019)*($C$2:$C$526=$C243),0))</f>
        <v>-518.36500000000001</v>
      </c>
      <c r="F243" s="1" cm="1">
        <f t="array" ref="F243">IFERROR(E243/INDEX($D$2:$D$526,MATCH(1,($A$2:$A$526=$A243)*($B$2:$B$526=2019)*($C$2:$C$526=$C243),0)),0)</f>
        <v>-0.51321996980272766</v>
      </c>
    </row>
    <row r="244" spans="1:6" x14ac:dyDescent="0.25">
      <c r="A244">
        <v>3</v>
      </c>
      <c r="B244">
        <v>2009</v>
      </c>
      <c r="C244">
        <v>4</v>
      </c>
      <c r="D244">
        <f>SUMIFS('Refinery Summary'!$G$2:$G$1899,'Refinery Summary'!$B$2:$B$1899,RefCapacity!$A244,'Refinery Summary'!$A$2:$A$1899,RefCapacity!$B244,'Refinery Summary'!$C$2:$C$1899,RefCapacity!$C244)/1000</f>
        <v>1943.75</v>
      </c>
      <c r="E244" cm="1">
        <f t="array" ref="E244">$D244-INDEX($D$2:$D$526,MATCH(1,($A$2:$A$526=$A244)*($B$2:$B$526=2019)*($C$2:$C$526=$C244),0))</f>
        <v>-121.86000000000013</v>
      </c>
      <c r="F244" s="1" cm="1">
        <f t="array" ref="F244">IFERROR(E244/INDEX($D$2:$D$526,MATCH(1,($A$2:$A$526=$A244)*($B$2:$B$526=2019)*($C$2:$C$526=$C244),0)),0)</f>
        <v>-5.8994679537763724E-2</v>
      </c>
    </row>
    <row r="245" spans="1:6" x14ac:dyDescent="0.25">
      <c r="A245">
        <v>3</v>
      </c>
      <c r="B245">
        <v>2009</v>
      </c>
      <c r="C245">
        <v>5</v>
      </c>
      <c r="D245">
        <f>SUMIFS('Refinery Summary'!$G$2:$G$1899,'Refinery Summary'!$B$2:$B$1899,RefCapacity!$A245,'Refinery Summary'!$A$2:$A$1899,RefCapacity!$B245,'Refinery Summary'!$C$2:$C$1899,RefCapacity!$C245)/1000</f>
        <v>0</v>
      </c>
      <c r="E245" cm="1">
        <f t="array" ref="E245">$D245-INDEX($D$2:$D$526,MATCH(1,($A$2:$A$526=$A245)*($B$2:$B$526=2019)*($C$2:$C$526=$C245),0))</f>
        <v>-38</v>
      </c>
      <c r="F245" s="1" cm="1">
        <f t="array" ref="F245">IFERROR(E245/INDEX($D$2:$D$526,MATCH(1,($A$2:$A$526=$A245)*($B$2:$B$526=2019)*($C$2:$C$526=$C245),0)),0)</f>
        <v>-1</v>
      </c>
    </row>
    <row r="246" spans="1:6" x14ac:dyDescent="0.25">
      <c r="A246">
        <v>3</v>
      </c>
      <c r="B246">
        <v>2009</v>
      </c>
      <c r="C246">
        <v>6</v>
      </c>
      <c r="D246">
        <f>SUMIFS('Refinery Summary'!$G$2:$G$1899,'Refinery Summary'!$B$2:$B$1899,RefCapacity!$A246,'Refinery Summary'!$A$2:$A$1899,RefCapacity!$B246,'Refinery Summary'!$C$2:$C$1899,RefCapacity!$C246)/1000</f>
        <v>4637.3500000000004</v>
      </c>
      <c r="E246" cm="1">
        <f t="array" ref="E246">$D246-INDEX($D$2:$D$526,MATCH(1,($A$2:$A$526=$A246)*($B$2:$B$526=2019)*($C$2:$C$526=$C246),0))</f>
        <v>-714.47999999999956</v>
      </c>
      <c r="F246" s="1" cm="1">
        <f t="array" ref="F246">IFERROR(E246/INDEX($D$2:$D$526,MATCH(1,($A$2:$A$526=$A246)*($B$2:$B$526=2019)*($C$2:$C$526=$C246),0)),0)</f>
        <v>-0.13350199838186183</v>
      </c>
    </row>
    <row r="247" spans="1:6" x14ac:dyDescent="0.25">
      <c r="A247">
        <v>3</v>
      </c>
      <c r="B247">
        <v>2010</v>
      </c>
      <c r="C247">
        <v>0</v>
      </c>
      <c r="D247">
        <f>SUMIFS('Refinery Summary'!$G$2:$G$1899,'Refinery Summary'!$B$2:$B$1899,RefCapacity!$A247,'Refinery Summary'!$A$2:$A$1899,RefCapacity!$B247,'Refinery Summary'!$C$2:$C$1899,RefCapacity!$C247)/1000</f>
        <v>158.5</v>
      </c>
      <c r="E247" cm="1">
        <f t="array" ref="E247">$D247-INDEX($D$2:$D$526,MATCH(1,($A$2:$A$526=$A247)*($B$2:$B$526=2019)*($C$2:$C$526=$C247),0))</f>
        <v>-137.61500000000001</v>
      </c>
      <c r="F247" s="1" cm="1">
        <f t="array" ref="F247">IFERROR(E247/INDEX($D$2:$D$526,MATCH(1,($A$2:$A$526=$A247)*($B$2:$B$526=2019)*($C$2:$C$526=$C247),0)),0)</f>
        <v>-0.46473498471877484</v>
      </c>
    </row>
    <row r="248" spans="1:6" x14ac:dyDescent="0.25">
      <c r="A248">
        <v>3</v>
      </c>
      <c r="B248">
        <v>2010</v>
      </c>
      <c r="C248">
        <v>1</v>
      </c>
      <c r="D248">
        <f>SUMIFS('Refinery Summary'!$G$2:$G$1899,'Refinery Summary'!$B$2:$B$1899,RefCapacity!$A248,'Refinery Summary'!$A$2:$A$1899,RefCapacity!$B248,'Refinery Summary'!$C$2:$C$1899,RefCapacity!$C248)/1000</f>
        <v>1013.689</v>
      </c>
      <c r="E248" cm="1">
        <f t="array" ref="E248">$D248-INDEX($D$2:$D$526,MATCH(1,($A$2:$A$526=$A248)*($B$2:$B$526=2019)*($C$2:$C$526=$C248),0))</f>
        <v>325.62399999999991</v>
      </c>
      <c r="F248" s="1" cm="1">
        <f t="array" ref="F248">IFERROR(E248/INDEX($D$2:$D$526,MATCH(1,($A$2:$A$526=$A248)*($B$2:$B$526=2019)*($C$2:$C$526=$C248),0)),0)</f>
        <v>0.47324598693437375</v>
      </c>
    </row>
    <row r="249" spans="1:6" x14ac:dyDescent="0.25">
      <c r="A249">
        <v>3</v>
      </c>
      <c r="B249">
        <v>2010</v>
      </c>
      <c r="C249">
        <v>2</v>
      </c>
      <c r="D249">
        <f>SUMIFS('Refinery Summary'!$G$2:$G$1899,'Refinery Summary'!$B$2:$B$1899,RefCapacity!$A249,'Refinery Summary'!$A$2:$A$1899,RefCapacity!$B249,'Refinery Summary'!$C$2:$C$1899,RefCapacity!$C249)/1000</f>
        <v>334.5</v>
      </c>
      <c r="E249" cm="1">
        <f t="array" ref="E249">$D249-INDEX($D$2:$D$526,MATCH(1,($A$2:$A$526=$A249)*($B$2:$B$526=2019)*($C$2:$C$526=$C249),0))</f>
        <v>38.677999999999997</v>
      </c>
      <c r="F249" s="1" cm="1">
        <f t="array" ref="F249">IFERROR(E249/INDEX($D$2:$D$526,MATCH(1,($A$2:$A$526=$A249)*($B$2:$B$526=2019)*($C$2:$C$526=$C249),0)),0)</f>
        <v>0.13074754413126813</v>
      </c>
    </row>
    <row r="250" spans="1:6" x14ac:dyDescent="0.25">
      <c r="A250">
        <v>3</v>
      </c>
      <c r="B250">
        <v>2010</v>
      </c>
      <c r="C250">
        <v>3</v>
      </c>
      <c r="D250">
        <f>SUMIFS('Refinery Summary'!$G$2:$G$1899,'Refinery Summary'!$B$2:$B$1899,RefCapacity!$A250,'Refinery Summary'!$A$2:$A$1899,RefCapacity!$B250,'Refinery Summary'!$C$2:$C$1899,RefCapacity!$C250)/1000</f>
        <v>483.66</v>
      </c>
      <c r="E250" cm="1">
        <f t="array" ref="E250">$D250-INDEX($D$2:$D$526,MATCH(1,($A$2:$A$526=$A250)*($B$2:$B$526=2019)*($C$2:$C$526=$C250),0))</f>
        <v>-526.36500000000001</v>
      </c>
      <c r="F250" s="1" cm="1">
        <f t="array" ref="F250">IFERROR(E250/INDEX($D$2:$D$526,MATCH(1,($A$2:$A$526=$A250)*($B$2:$B$526=2019)*($C$2:$C$526=$C250),0)),0)</f>
        <v>-0.52114056582757851</v>
      </c>
    </row>
    <row r="251" spans="1:6" x14ac:dyDescent="0.25">
      <c r="A251">
        <v>3</v>
      </c>
      <c r="B251">
        <v>2010</v>
      </c>
      <c r="C251">
        <v>4</v>
      </c>
      <c r="D251">
        <f>SUMIFS('Refinery Summary'!$G$2:$G$1899,'Refinery Summary'!$B$2:$B$1899,RefCapacity!$A251,'Refinery Summary'!$A$2:$A$1899,RefCapacity!$B251,'Refinery Summary'!$C$2:$C$1899,RefCapacity!$C251)/1000</f>
        <v>1811.75</v>
      </c>
      <c r="E251" cm="1">
        <f t="array" ref="E251">$D251-INDEX($D$2:$D$526,MATCH(1,($A$2:$A$526=$A251)*($B$2:$B$526=2019)*($C$2:$C$526=$C251),0))</f>
        <v>-253.86000000000013</v>
      </c>
      <c r="F251" s="1" cm="1">
        <f t="array" ref="F251">IFERROR(E251/INDEX($D$2:$D$526,MATCH(1,($A$2:$A$526=$A251)*($B$2:$B$526=2019)*($C$2:$C$526=$C251),0)),0)</f>
        <v>-0.12289832059294839</v>
      </c>
    </row>
    <row r="252" spans="1:6" x14ac:dyDescent="0.25">
      <c r="A252">
        <v>3</v>
      </c>
      <c r="B252">
        <v>2010</v>
      </c>
      <c r="C252">
        <v>5</v>
      </c>
      <c r="D252">
        <f>SUMIFS('Refinery Summary'!$G$2:$G$1899,'Refinery Summary'!$B$2:$B$1899,RefCapacity!$A252,'Refinery Summary'!$A$2:$A$1899,RefCapacity!$B252,'Refinery Summary'!$C$2:$C$1899,RefCapacity!$C252)/1000</f>
        <v>0</v>
      </c>
      <c r="E252" cm="1">
        <f t="array" ref="E252">$D252-INDEX($D$2:$D$526,MATCH(1,($A$2:$A$526=$A252)*($B$2:$B$526=2019)*($C$2:$C$526=$C252),0))</f>
        <v>-38</v>
      </c>
      <c r="F252" s="1" cm="1">
        <f t="array" ref="F252">IFERROR(E252/INDEX($D$2:$D$526,MATCH(1,($A$2:$A$526=$A252)*($B$2:$B$526=2019)*($C$2:$C$526=$C252),0)),0)</f>
        <v>-1</v>
      </c>
    </row>
    <row r="253" spans="1:6" x14ac:dyDescent="0.25">
      <c r="A253">
        <v>3</v>
      </c>
      <c r="B253">
        <v>2010</v>
      </c>
      <c r="C253">
        <v>6</v>
      </c>
      <c r="D253">
        <f>SUMIFS('Refinery Summary'!$G$2:$G$1899,'Refinery Summary'!$B$2:$B$1899,RefCapacity!$A253,'Refinery Summary'!$A$2:$A$1899,RefCapacity!$B253,'Refinery Summary'!$C$2:$C$1899,RefCapacity!$C253)/1000</f>
        <v>4875.05</v>
      </c>
      <c r="E253" cm="1">
        <f t="array" ref="E253">$D253-INDEX($D$2:$D$526,MATCH(1,($A$2:$A$526=$A253)*($B$2:$B$526=2019)*($C$2:$C$526=$C253),0))</f>
        <v>-476.77999999999975</v>
      </c>
      <c r="F253" s="1" cm="1">
        <f t="array" ref="F253">IFERROR(E253/INDEX($D$2:$D$526,MATCH(1,($A$2:$A$526=$A253)*($B$2:$B$526=2019)*($C$2:$C$526=$C253),0)),0)</f>
        <v>-8.9087284162613495E-2</v>
      </c>
    </row>
    <row r="254" spans="1:6" x14ac:dyDescent="0.25">
      <c r="A254">
        <v>3</v>
      </c>
      <c r="B254">
        <v>2011</v>
      </c>
      <c r="C254">
        <v>0</v>
      </c>
      <c r="D254">
        <f>SUMIFS('Refinery Summary'!$G$2:$G$1899,'Refinery Summary'!$B$2:$B$1899,RefCapacity!$A254,'Refinery Summary'!$A$2:$A$1899,RefCapacity!$B254,'Refinery Summary'!$C$2:$C$1899,RefCapacity!$C254)/1000</f>
        <v>158.5</v>
      </c>
      <c r="E254" cm="1">
        <f t="array" ref="E254">$D254-INDEX($D$2:$D$526,MATCH(1,($A$2:$A$526=$A254)*($B$2:$B$526=2019)*($C$2:$C$526=$C254),0))</f>
        <v>-137.61500000000001</v>
      </c>
      <c r="F254" s="1" cm="1">
        <f t="array" ref="F254">IFERROR(E254/INDEX($D$2:$D$526,MATCH(1,($A$2:$A$526=$A254)*($B$2:$B$526=2019)*($C$2:$C$526=$C254),0)),0)</f>
        <v>-0.46473498471877484</v>
      </c>
    </row>
    <row r="255" spans="1:6" x14ac:dyDescent="0.25">
      <c r="A255">
        <v>3</v>
      </c>
      <c r="B255">
        <v>2011</v>
      </c>
      <c r="C255">
        <v>1</v>
      </c>
      <c r="D255">
        <f>SUMIFS('Refinery Summary'!$G$2:$G$1899,'Refinery Summary'!$B$2:$B$1899,RefCapacity!$A255,'Refinery Summary'!$A$2:$A$1899,RefCapacity!$B255,'Refinery Summary'!$C$2:$C$1899,RefCapacity!$C255)/1000</f>
        <v>845.05</v>
      </c>
      <c r="E255" cm="1">
        <f t="array" ref="E255">$D255-INDEX($D$2:$D$526,MATCH(1,($A$2:$A$526=$A255)*($B$2:$B$526=2019)*($C$2:$C$526=$C255),0))</f>
        <v>156.9849999999999</v>
      </c>
      <c r="F255" s="1" cm="1">
        <f t="array" ref="F255">IFERROR(E255/INDEX($D$2:$D$526,MATCH(1,($A$2:$A$526=$A255)*($B$2:$B$526=2019)*($C$2:$C$526=$C255),0)),0)</f>
        <v>0.22815431681599832</v>
      </c>
    </row>
    <row r="256" spans="1:6" x14ac:dyDescent="0.25">
      <c r="A256">
        <v>3</v>
      </c>
      <c r="B256">
        <v>2011</v>
      </c>
      <c r="C256">
        <v>2</v>
      </c>
      <c r="D256">
        <f>SUMIFS('Refinery Summary'!$G$2:$G$1899,'Refinery Summary'!$B$2:$B$1899,RefCapacity!$A256,'Refinery Summary'!$A$2:$A$1899,RefCapacity!$B256,'Refinery Summary'!$C$2:$C$1899,RefCapacity!$C256)/1000</f>
        <v>129.5</v>
      </c>
      <c r="E256" cm="1">
        <f t="array" ref="E256">$D256-INDEX($D$2:$D$526,MATCH(1,($A$2:$A$526=$A256)*($B$2:$B$526=2019)*($C$2:$C$526=$C256),0))</f>
        <v>-166.322</v>
      </c>
      <c r="F256" s="1" cm="1">
        <f t="array" ref="F256">IFERROR(E256/INDEX($D$2:$D$526,MATCH(1,($A$2:$A$526=$A256)*($B$2:$B$526=2019)*($C$2:$C$526=$C256),0)),0)</f>
        <v>-0.56223675047832822</v>
      </c>
    </row>
    <row r="257" spans="1:6" x14ac:dyDescent="0.25">
      <c r="A257">
        <v>3</v>
      </c>
      <c r="B257">
        <v>2011</v>
      </c>
      <c r="C257">
        <v>3</v>
      </c>
      <c r="D257">
        <f>SUMIFS('Refinery Summary'!$G$2:$G$1899,'Refinery Summary'!$B$2:$B$1899,RefCapacity!$A257,'Refinery Summary'!$A$2:$A$1899,RefCapacity!$B257,'Refinery Summary'!$C$2:$C$1899,RefCapacity!$C257)/1000</f>
        <v>487</v>
      </c>
      <c r="E257" cm="1">
        <f t="array" ref="E257">$D257-INDEX($D$2:$D$526,MATCH(1,($A$2:$A$526=$A257)*($B$2:$B$526=2019)*($C$2:$C$526=$C257),0))</f>
        <v>-523.02499999999998</v>
      </c>
      <c r="F257" s="1" cm="1">
        <f t="array" ref="F257">IFERROR(E257/INDEX($D$2:$D$526,MATCH(1,($A$2:$A$526=$A257)*($B$2:$B$526=2019)*($C$2:$C$526=$C257),0)),0)</f>
        <v>-0.51783371698720326</v>
      </c>
    </row>
    <row r="258" spans="1:6" x14ac:dyDescent="0.25">
      <c r="A258">
        <v>3</v>
      </c>
      <c r="B258">
        <v>2011</v>
      </c>
      <c r="C258">
        <v>4</v>
      </c>
      <c r="D258">
        <f>SUMIFS('Refinery Summary'!$G$2:$G$1899,'Refinery Summary'!$B$2:$B$1899,RefCapacity!$A258,'Refinery Summary'!$A$2:$A$1899,RefCapacity!$B258,'Refinery Summary'!$C$2:$C$1899,RefCapacity!$C258)/1000</f>
        <v>2134.3389999999999</v>
      </c>
      <c r="E258" cm="1">
        <f t="array" ref="E258">$D258-INDEX($D$2:$D$526,MATCH(1,($A$2:$A$526=$A258)*($B$2:$B$526=2019)*($C$2:$C$526=$C258),0))</f>
        <v>68.728999999999814</v>
      </c>
      <c r="F258" s="1" cm="1">
        <f t="array" ref="F258">IFERROR(E258/INDEX($D$2:$D$526,MATCH(1,($A$2:$A$526=$A258)*($B$2:$B$526=2019)*($C$2:$C$526=$C258),0)),0)</f>
        <v>3.32729798945589E-2</v>
      </c>
    </row>
    <row r="259" spans="1:6" x14ac:dyDescent="0.25">
      <c r="A259">
        <v>3</v>
      </c>
      <c r="B259">
        <v>2011</v>
      </c>
      <c r="C259">
        <v>5</v>
      </c>
      <c r="D259">
        <f>SUMIFS('Refinery Summary'!$G$2:$G$1899,'Refinery Summary'!$B$2:$B$1899,RefCapacity!$A259,'Refinery Summary'!$A$2:$A$1899,RefCapacity!$B259,'Refinery Summary'!$C$2:$C$1899,RefCapacity!$C259)/1000</f>
        <v>0</v>
      </c>
      <c r="E259" cm="1">
        <f t="array" ref="E259">$D259-INDEX($D$2:$D$526,MATCH(1,($A$2:$A$526=$A259)*($B$2:$B$526=2019)*($C$2:$C$526=$C259),0))</f>
        <v>-38</v>
      </c>
      <c r="F259" s="1" cm="1">
        <f t="array" ref="F259">IFERROR(E259/INDEX($D$2:$D$526,MATCH(1,($A$2:$A$526=$A259)*($B$2:$B$526=2019)*($C$2:$C$526=$C259),0)),0)</f>
        <v>-1</v>
      </c>
    </row>
    <row r="260" spans="1:6" x14ac:dyDescent="0.25">
      <c r="A260">
        <v>3</v>
      </c>
      <c r="B260">
        <v>2011</v>
      </c>
      <c r="C260">
        <v>6</v>
      </c>
      <c r="D260">
        <f>SUMIFS('Refinery Summary'!$G$2:$G$1899,'Refinery Summary'!$B$2:$B$1899,RefCapacity!$A260,'Refinery Summary'!$A$2:$A$1899,RefCapacity!$B260,'Refinery Summary'!$C$2:$C$1899,RefCapacity!$C260)/1000</f>
        <v>4931.05</v>
      </c>
      <c r="E260" cm="1">
        <f t="array" ref="E260">$D260-INDEX($D$2:$D$526,MATCH(1,($A$2:$A$526=$A260)*($B$2:$B$526=2019)*($C$2:$C$526=$C260),0))</f>
        <v>-420.77999999999975</v>
      </c>
      <c r="F260" s="1" cm="1">
        <f t="array" ref="F260">IFERROR(E260/INDEX($D$2:$D$526,MATCH(1,($A$2:$A$526=$A260)*($B$2:$B$526=2019)*($C$2:$C$526=$C260),0)),0)</f>
        <v>-7.8623573618743448E-2</v>
      </c>
    </row>
    <row r="261" spans="1:6" x14ac:dyDescent="0.25">
      <c r="A261">
        <v>3</v>
      </c>
      <c r="B261">
        <v>2012</v>
      </c>
      <c r="C261">
        <v>0</v>
      </c>
      <c r="D261">
        <f>SUMIFS('Refinery Summary'!$G$2:$G$1899,'Refinery Summary'!$B$2:$B$1899,RefCapacity!$A261,'Refinery Summary'!$A$2:$A$1899,RefCapacity!$B261,'Refinery Summary'!$C$2:$C$1899,RefCapacity!$C261)/1000</f>
        <v>161</v>
      </c>
      <c r="E261" cm="1">
        <f t="array" ref="E261">$D261-INDEX($D$2:$D$526,MATCH(1,($A$2:$A$526=$A261)*($B$2:$B$526=2019)*($C$2:$C$526=$C261),0))</f>
        <v>-135.11500000000001</v>
      </c>
      <c r="F261" s="1" cm="1">
        <f t="array" ref="F261">IFERROR(E261/INDEX($D$2:$D$526,MATCH(1,($A$2:$A$526=$A261)*($B$2:$B$526=2019)*($C$2:$C$526=$C261),0)),0)</f>
        <v>-0.45629231886260407</v>
      </c>
    </row>
    <row r="262" spans="1:6" x14ac:dyDescent="0.25">
      <c r="A262">
        <v>3</v>
      </c>
      <c r="B262">
        <v>2012</v>
      </c>
      <c r="C262">
        <v>1</v>
      </c>
      <c r="D262">
        <f>SUMIFS('Refinery Summary'!$G$2:$G$1899,'Refinery Summary'!$B$2:$B$1899,RefCapacity!$A262,'Refinery Summary'!$A$2:$A$1899,RefCapacity!$B262,'Refinery Summary'!$C$2:$C$1899,RefCapacity!$C262)/1000</f>
        <v>859.05</v>
      </c>
      <c r="E262" cm="1">
        <f t="array" ref="E262">$D262-INDEX($D$2:$D$526,MATCH(1,($A$2:$A$526=$A262)*($B$2:$B$526=2019)*($C$2:$C$526=$C262),0))</f>
        <v>170.9849999999999</v>
      </c>
      <c r="F262" s="1" cm="1">
        <f t="array" ref="F262">IFERROR(E262/INDEX($D$2:$D$526,MATCH(1,($A$2:$A$526=$A262)*($B$2:$B$526=2019)*($C$2:$C$526=$C262),0)),0)</f>
        <v>0.24850123171502675</v>
      </c>
    </row>
    <row r="263" spans="1:6" x14ac:dyDescent="0.25">
      <c r="A263">
        <v>3</v>
      </c>
      <c r="B263">
        <v>2012</v>
      </c>
      <c r="C263">
        <v>2</v>
      </c>
      <c r="D263">
        <f>SUMIFS('Refinery Summary'!$G$2:$G$1899,'Refinery Summary'!$B$2:$B$1899,RefCapacity!$A263,'Refinery Summary'!$A$2:$A$1899,RefCapacity!$B263,'Refinery Summary'!$C$2:$C$1899,RefCapacity!$C263)/1000</f>
        <v>129.5</v>
      </c>
      <c r="E263" cm="1">
        <f t="array" ref="E263">$D263-INDEX($D$2:$D$526,MATCH(1,($A$2:$A$526=$A263)*($B$2:$B$526=2019)*($C$2:$C$526=$C263),0))</f>
        <v>-166.322</v>
      </c>
      <c r="F263" s="1" cm="1">
        <f t="array" ref="F263">IFERROR(E263/INDEX($D$2:$D$526,MATCH(1,($A$2:$A$526=$A263)*($B$2:$B$526=2019)*($C$2:$C$526=$C263),0)),0)</f>
        <v>-0.56223675047832822</v>
      </c>
    </row>
    <row r="264" spans="1:6" x14ac:dyDescent="0.25">
      <c r="A264">
        <v>3</v>
      </c>
      <c r="B264">
        <v>2012</v>
      </c>
      <c r="C264">
        <v>3</v>
      </c>
      <c r="D264">
        <f>SUMIFS('Refinery Summary'!$G$2:$G$1899,'Refinery Summary'!$B$2:$B$1899,RefCapacity!$A264,'Refinery Summary'!$A$2:$A$1899,RefCapacity!$B264,'Refinery Summary'!$C$2:$C$1899,RefCapacity!$C264)/1000</f>
        <v>487</v>
      </c>
      <c r="E264" cm="1">
        <f t="array" ref="E264">$D264-INDEX($D$2:$D$526,MATCH(1,($A$2:$A$526=$A264)*($B$2:$B$526=2019)*($C$2:$C$526=$C264),0))</f>
        <v>-523.02499999999998</v>
      </c>
      <c r="F264" s="1" cm="1">
        <f t="array" ref="F264">IFERROR(E264/INDEX($D$2:$D$526,MATCH(1,($A$2:$A$526=$A264)*($B$2:$B$526=2019)*($C$2:$C$526=$C264),0)),0)</f>
        <v>-0.51783371698720326</v>
      </c>
    </row>
    <row r="265" spans="1:6" x14ac:dyDescent="0.25">
      <c r="A265">
        <v>3</v>
      </c>
      <c r="B265">
        <v>2012</v>
      </c>
      <c r="C265">
        <v>4</v>
      </c>
      <c r="D265">
        <f>SUMIFS('Refinery Summary'!$G$2:$G$1899,'Refinery Summary'!$B$2:$B$1899,RefCapacity!$A265,'Refinery Summary'!$A$2:$A$1899,RefCapacity!$B265,'Refinery Summary'!$C$2:$C$1899,RefCapacity!$C265)/1000</f>
        <v>2099.3389999999999</v>
      </c>
      <c r="E265" cm="1">
        <f t="array" ref="E265">$D265-INDEX($D$2:$D$526,MATCH(1,($A$2:$A$526=$A265)*($B$2:$B$526=2019)*($C$2:$C$526=$C265),0))</f>
        <v>33.728999999999814</v>
      </c>
      <c r="F265" s="1" cm="1">
        <f t="array" ref="F265">IFERROR(E265/INDEX($D$2:$D$526,MATCH(1,($A$2:$A$526=$A265)*($B$2:$B$526=2019)*($C$2:$C$526=$C265),0)),0)</f>
        <v>1.6328832645078117E-2</v>
      </c>
    </row>
    <row r="266" spans="1:6" x14ac:dyDescent="0.25">
      <c r="A266">
        <v>3</v>
      </c>
      <c r="B266">
        <v>2012</v>
      </c>
      <c r="C266">
        <v>5</v>
      </c>
      <c r="D266">
        <f>SUMIFS('Refinery Summary'!$G$2:$G$1899,'Refinery Summary'!$B$2:$B$1899,RefCapacity!$A266,'Refinery Summary'!$A$2:$A$1899,RefCapacity!$B266,'Refinery Summary'!$C$2:$C$1899,RefCapacity!$C266)/1000</f>
        <v>72</v>
      </c>
      <c r="E266" cm="1">
        <f t="array" ref="E266">$D266-INDEX($D$2:$D$526,MATCH(1,($A$2:$A$526=$A266)*($B$2:$B$526=2019)*($C$2:$C$526=$C266),0))</f>
        <v>34</v>
      </c>
      <c r="F266" s="1" cm="1">
        <f t="array" ref="F266">IFERROR(E266/INDEX($D$2:$D$526,MATCH(1,($A$2:$A$526=$A266)*($B$2:$B$526=2019)*($C$2:$C$526=$C266),0)),0)</f>
        <v>0.89473684210526316</v>
      </c>
    </row>
    <row r="267" spans="1:6" x14ac:dyDescent="0.25">
      <c r="A267">
        <v>3</v>
      </c>
      <c r="B267">
        <v>2012</v>
      </c>
      <c r="C267">
        <v>6</v>
      </c>
      <c r="D267">
        <f>SUMIFS('Refinery Summary'!$G$2:$G$1899,'Refinery Summary'!$B$2:$B$1899,RefCapacity!$A267,'Refinery Summary'!$A$2:$A$1899,RefCapacity!$B267,'Refinery Summary'!$C$2:$C$1899,RefCapacity!$C267)/1000</f>
        <v>5024.05</v>
      </c>
      <c r="E267" cm="1">
        <f t="array" ref="E267">$D267-INDEX($D$2:$D$526,MATCH(1,($A$2:$A$526=$A267)*($B$2:$B$526=2019)*($C$2:$C$526=$C267),0))</f>
        <v>-327.77999999999975</v>
      </c>
      <c r="F267" s="1" cm="1">
        <f t="array" ref="F267">IFERROR(E267/INDEX($D$2:$D$526,MATCH(1,($A$2:$A$526=$A267)*($B$2:$B$526=2019)*($C$2:$C$526=$C267),0)),0)</f>
        <v>-6.1246340036959272E-2</v>
      </c>
    </row>
    <row r="268" spans="1:6" x14ac:dyDescent="0.25">
      <c r="A268">
        <v>3</v>
      </c>
      <c r="B268">
        <v>2013</v>
      </c>
      <c r="C268">
        <v>0</v>
      </c>
      <c r="D268">
        <f>SUMIFS('Refinery Summary'!$G$2:$G$1899,'Refinery Summary'!$B$2:$B$1899,RefCapacity!$A268,'Refinery Summary'!$A$2:$A$1899,RefCapacity!$B268,'Refinery Summary'!$C$2:$C$1899,RefCapacity!$C268)/1000</f>
        <v>161</v>
      </c>
      <c r="E268" cm="1">
        <f t="array" ref="E268">$D268-INDEX($D$2:$D$526,MATCH(1,($A$2:$A$526=$A268)*($B$2:$B$526=2019)*($C$2:$C$526=$C268),0))</f>
        <v>-135.11500000000001</v>
      </c>
      <c r="F268" s="1" cm="1">
        <f t="array" ref="F268">IFERROR(E268/INDEX($D$2:$D$526,MATCH(1,($A$2:$A$526=$A268)*($B$2:$B$526=2019)*($C$2:$C$526=$C268),0)),0)</f>
        <v>-0.45629231886260407</v>
      </c>
    </row>
    <row r="269" spans="1:6" x14ac:dyDescent="0.25">
      <c r="A269">
        <v>3</v>
      </c>
      <c r="B269">
        <v>2013</v>
      </c>
      <c r="C269">
        <v>1</v>
      </c>
      <c r="D269">
        <f>SUMIFS('Refinery Summary'!$G$2:$G$1899,'Refinery Summary'!$B$2:$B$1899,RefCapacity!$A269,'Refinery Summary'!$A$2:$A$1899,RefCapacity!$B269,'Refinery Summary'!$C$2:$C$1899,RefCapacity!$C269)/1000</f>
        <v>789.05</v>
      </c>
      <c r="E269" cm="1">
        <f t="array" ref="E269">$D269-INDEX($D$2:$D$526,MATCH(1,($A$2:$A$526=$A269)*($B$2:$B$526=2019)*($C$2:$C$526=$C269),0))</f>
        <v>100.9849999999999</v>
      </c>
      <c r="F269" s="1" cm="1">
        <f t="array" ref="F269">IFERROR(E269/INDEX($D$2:$D$526,MATCH(1,($A$2:$A$526=$A269)*($B$2:$B$526=2019)*($C$2:$C$526=$C269),0)),0)</f>
        <v>0.14676665721988461</v>
      </c>
    </row>
    <row r="270" spans="1:6" x14ac:dyDescent="0.25">
      <c r="A270">
        <v>3</v>
      </c>
      <c r="B270">
        <v>2013</v>
      </c>
      <c r="C270">
        <v>2</v>
      </c>
      <c r="D270">
        <f>SUMIFS('Refinery Summary'!$G$2:$G$1899,'Refinery Summary'!$B$2:$B$1899,RefCapacity!$A270,'Refinery Summary'!$A$2:$A$1899,RefCapacity!$B270,'Refinery Summary'!$C$2:$C$1899,RefCapacity!$C270)/1000</f>
        <v>129.5</v>
      </c>
      <c r="E270" cm="1">
        <f t="array" ref="E270">$D270-INDEX($D$2:$D$526,MATCH(1,($A$2:$A$526=$A270)*($B$2:$B$526=2019)*($C$2:$C$526=$C270),0))</f>
        <v>-166.322</v>
      </c>
      <c r="F270" s="1" cm="1">
        <f t="array" ref="F270">IFERROR(E270/INDEX($D$2:$D$526,MATCH(1,($A$2:$A$526=$A270)*($B$2:$B$526=2019)*($C$2:$C$526=$C270),0)),0)</f>
        <v>-0.56223675047832822</v>
      </c>
    </row>
    <row r="271" spans="1:6" x14ac:dyDescent="0.25">
      <c r="A271">
        <v>3</v>
      </c>
      <c r="B271">
        <v>2013</v>
      </c>
      <c r="C271">
        <v>3</v>
      </c>
      <c r="D271">
        <f>SUMIFS('Refinery Summary'!$G$2:$G$1899,'Refinery Summary'!$B$2:$B$1899,RefCapacity!$A271,'Refinery Summary'!$A$2:$A$1899,RefCapacity!$B271,'Refinery Summary'!$C$2:$C$1899,RefCapacity!$C271)/1000</f>
        <v>487</v>
      </c>
      <c r="E271" cm="1">
        <f t="array" ref="E271">$D271-INDEX($D$2:$D$526,MATCH(1,($A$2:$A$526=$A271)*($B$2:$B$526=2019)*($C$2:$C$526=$C271),0))</f>
        <v>-523.02499999999998</v>
      </c>
      <c r="F271" s="1" cm="1">
        <f t="array" ref="F271">IFERROR(E271/INDEX($D$2:$D$526,MATCH(1,($A$2:$A$526=$A271)*($B$2:$B$526=2019)*($C$2:$C$526=$C271),0)),0)</f>
        <v>-0.51783371698720326</v>
      </c>
    </row>
    <row r="272" spans="1:6" x14ac:dyDescent="0.25">
      <c r="A272">
        <v>3</v>
      </c>
      <c r="B272">
        <v>2013</v>
      </c>
      <c r="C272">
        <v>4</v>
      </c>
      <c r="D272">
        <f>SUMIFS('Refinery Summary'!$G$2:$G$1899,'Refinery Summary'!$B$2:$B$1899,RefCapacity!$A272,'Refinery Summary'!$A$2:$A$1899,RefCapacity!$B272,'Refinery Summary'!$C$2:$C$1899,RefCapacity!$C272)/1000</f>
        <v>2234.5169999999998</v>
      </c>
      <c r="E272" cm="1">
        <f t="array" ref="E272">$D272-INDEX($D$2:$D$526,MATCH(1,($A$2:$A$526=$A272)*($B$2:$B$526=2019)*($C$2:$C$526=$C272),0))</f>
        <v>168.9069999999997</v>
      </c>
      <c r="F272" s="1" cm="1">
        <f t="array" ref="F272">IFERROR(E272/INDEX($D$2:$D$526,MATCH(1,($A$2:$A$526=$A272)*($B$2:$B$526=2019)*($C$2:$C$526=$C272),0)),0)</f>
        <v>8.1771002270515578E-2</v>
      </c>
    </row>
    <row r="273" spans="1:6" x14ac:dyDescent="0.25">
      <c r="A273">
        <v>3</v>
      </c>
      <c r="B273">
        <v>2013</v>
      </c>
      <c r="C273">
        <v>5</v>
      </c>
      <c r="D273">
        <f>SUMIFS('Refinery Summary'!$G$2:$G$1899,'Refinery Summary'!$B$2:$B$1899,RefCapacity!$A273,'Refinery Summary'!$A$2:$A$1899,RefCapacity!$B273,'Refinery Summary'!$C$2:$C$1899,RefCapacity!$C273)/1000</f>
        <v>72</v>
      </c>
      <c r="E273" cm="1">
        <f t="array" ref="E273">$D273-INDEX($D$2:$D$526,MATCH(1,($A$2:$A$526=$A273)*($B$2:$B$526=2019)*($C$2:$C$526=$C273),0))</f>
        <v>34</v>
      </c>
      <c r="F273" s="1" cm="1">
        <f t="array" ref="F273">IFERROR(E273/INDEX($D$2:$D$526,MATCH(1,($A$2:$A$526=$A273)*($B$2:$B$526=2019)*($C$2:$C$526=$C273),0)),0)</f>
        <v>0.89473684210526316</v>
      </c>
    </row>
    <row r="274" spans="1:6" x14ac:dyDescent="0.25">
      <c r="A274">
        <v>3</v>
      </c>
      <c r="B274">
        <v>2013</v>
      </c>
      <c r="C274">
        <v>6</v>
      </c>
      <c r="D274">
        <f>SUMIFS('Refinery Summary'!$G$2:$G$1899,'Refinery Summary'!$B$2:$B$1899,RefCapacity!$A274,'Refinery Summary'!$A$2:$A$1899,RefCapacity!$B274,'Refinery Summary'!$C$2:$C$1899,RefCapacity!$C274)/1000</f>
        <v>5331.05</v>
      </c>
      <c r="E274" cm="1">
        <f t="array" ref="E274">$D274-INDEX($D$2:$D$526,MATCH(1,($A$2:$A$526=$A274)*($B$2:$B$526=2019)*($C$2:$C$526=$C274),0))</f>
        <v>-20.779999999999745</v>
      </c>
      <c r="F274" s="1" cm="1">
        <f t="array" ref="F274">IFERROR(E274/INDEX($D$2:$D$526,MATCH(1,($A$2:$A$526=$A274)*($B$2:$B$526=2019)*($C$2:$C$526=$C274),0)),0)</f>
        <v>-3.8827840196717285E-3</v>
      </c>
    </row>
    <row r="275" spans="1:6" x14ac:dyDescent="0.25">
      <c r="A275">
        <v>3</v>
      </c>
      <c r="B275">
        <v>2014</v>
      </c>
      <c r="C275">
        <v>0</v>
      </c>
      <c r="D275">
        <f>SUMIFS('Refinery Summary'!$G$2:$G$1899,'Refinery Summary'!$B$2:$B$1899,RefCapacity!$A275,'Refinery Summary'!$A$2:$A$1899,RefCapacity!$B275,'Refinery Summary'!$C$2:$C$1899,RefCapacity!$C275)/1000</f>
        <v>161</v>
      </c>
      <c r="E275" cm="1">
        <f t="array" ref="E275">$D275-INDEX($D$2:$D$526,MATCH(1,($A$2:$A$526=$A275)*($B$2:$B$526=2019)*($C$2:$C$526=$C275),0))</f>
        <v>-135.11500000000001</v>
      </c>
      <c r="F275" s="1" cm="1">
        <f t="array" ref="F275">IFERROR(E275/INDEX($D$2:$D$526,MATCH(1,($A$2:$A$526=$A275)*($B$2:$B$526=2019)*($C$2:$C$526=$C275),0)),0)</f>
        <v>-0.45629231886260407</v>
      </c>
    </row>
    <row r="276" spans="1:6" x14ac:dyDescent="0.25">
      <c r="A276">
        <v>3</v>
      </c>
      <c r="B276">
        <v>2014</v>
      </c>
      <c r="C276">
        <v>1</v>
      </c>
      <c r="D276">
        <f>SUMIFS('Refinery Summary'!$G$2:$G$1899,'Refinery Summary'!$B$2:$B$1899,RefCapacity!$A276,'Refinery Summary'!$A$2:$A$1899,RefCapacity!$B276,'Refinery Summary'!$C$2:$C$1899,RefCapacity!$C276)/1000</f>
        <v>797</v>
      </c>
      <c r="E276" cm="1">
        <f t="array" ref="E276">$D276-INDEX($D$2:$D$526,MATCH(1,($A$2:$A$526=$A276)*($B$2:$B$526=2019)*($C$2:$C$526=$C276),0))</f>
        <v>108.93499999999995</v>
      </c>
      <c r="F276" s="1" cm="1">
        <f t="array" ref="F276">IFERROR(E276/INDEX($D$2:$D$526,MATCH(1,($A$2:$A$526=$A276)*($B$2:$B$526=2019)*($C$2:$C$526=$C276),0)),0)</f>
        <v>0.15832079818040437</v>
      </c>
    </row>
    <row r="277" spans="1:6" x14ac:dyDescent="0.25">
      <c r="A277">
        <v>3</v>
      </c>
      <c r="B277">
        <v>2014</v>
      </c>
      <c r="C277">
        <v>2</v>
      </c>
      <c r="D277">
        <f>SUMIFS('Refinery Summary'!$G$2:$G$1899,'Refinery Summary'!$B$2:$B$1899,RefCapacity!$A277,'Refinery Summary'!$A$2:$A$1899,RefCapacity!$B277,'Refinery Summary'!$C$2:$C$1899,RefCapacity!$C277)/1000</f>
        <v>129.5</v>
      </c>
      <c r="E277" cm="1">
        <f t="array" ref="E277">$D277-INDEX($D$2:$D$526,MATCH(1,($A$2:$A$526=$A277)*($B$2:$B$526=2019)*($C$2:$C$526=$C277),0))</f>
        <v>-166.322</v>
      </c>
      <c r="F277" s="1" cm="1">
        <f t="array" ref="F277">IFERROR(E277/INDEX($D$2:$D$526,MATCH(1,($A$2:$A$526=$A277)*($B$2:$B$526=2019)*($C$2:$C$526=$C277),0)),0)</f>
        <v>-0.56223675047832822</v>
      </c>
    </row>
    <row r="278" spans="1:6" x14ac:dyDescent="0.25">
      <c r="A278">
        <v>3</v>
      </c>
      <c r="B278">
        <v>2014</v>
      </c>
      <c r="C278">
        <v>3</v>
      </c>
      <c r="D278">
        <f>SUMIFS('Refinery Summary'!$G$2:$G$1899,'Refinery Summary'!$B$2:$B$1899,RefCapacity!$A278,'Refinery Summary'!$A$2:$A$1899,RefCapacity!$B278,'Refinery Summary'!$C$2:$C$1899,RefCapacity!$C278)/1000</f>
        <v>487</v>
      </c>
      <c r="E278" cm="1">
        <f t="array" ref="E278">$D278-INDEX($D$2:$D$526,MATCH(1,($A$2:$A$526=$A278)*($B$2:$B$526=2019)*($C$2:$C$526=$C278),0))</f>
        <v>-523.02499999999998</v>
      </c>
      <c r="F278" s="1" cm="1">
        <f t="array" ref="F278">IFERROR(E278/INDEX($D$2:$D$526,MATCH(1,($A$2:$A$526=$A278)*($B$2:$B$526=2019)*($C$2:$C$526=$C278),0)),0)</f>
        <v>-0.51783371698720326</v>
      </c>
    </row>
    <row r="279" spans="1:6" x14ac:dyDescent="0.25">
      <c r="A279">
        <v>3</v>
      </c>
      <c r="B279">
        <v>2014</v>
      </c>
      <c r="C279">
        <v>4</v>
      </c>
      <c r="D279">
        <f>SUMIFS('Refinery Summary'!$G$2:$G$1899,'Refinery Summary'!$B$2:$B$1899,RefCapacity!$A279,'Refinery Summary'!$A$2:$A$1899,RefCapacity!$B279,'Refinery Summary'!$C$2:$C$1899,RefCapacity!$C279)/1000</f>
        <v>2234.5169999999998</v>
      </c>
      <c r="E279" cm="1">
        <f t="array" ref="E279">$D279-INDEX($D$2:$D$526,MATCH(1,($A$2:$A$526=$A279)*($B$2:$B$526=2019)*($C$2:$C$526=$C279),0))</f>
        <v>168.9069999999997</v>
      </c>
      <c r="F279" s="1" cm="1">
        <f t="array" ref="F279">IFERROR(E279/INDEX($D$2:$D$526,MATCH(1,($A$2:$A$526=$A279)*($B$2:$B$526=2019)*($C$2:$C$526=$C279),0)),0)</f>
        <v>8.1771002270515578E-2</v>
      </c>
    </row>
    <row r="280" spans="1:6" x14ac:dyDescent="0.25">
      <c r="A280">
        <v>3</v>
      </c>
      <c r="B280">
        <v>2014</v>
      </c>
      <c r="C280">
        <v>5</v>
      </c>
      <c r="D280">
        <f>SUMIFS('Refinery Summary'!$G$2:$G$1899,'Refinery Summary'!$B$2:$B$1899,RefCapacity!$A280,'Refinery Summary'!$A$2:$A$1899,RefCapacity!$B280,'Refinery Summary'!$C$2:$C$1899,RefCapacity!$C280)/1000</f>
        <v>72</v>
      </c>
      <c r="E280" cm="1">
        <f t="array" ref="E280">$D280-INDEX($D$2:$D$526,MATCH(1,($A$2:$A$526=$A280)*($B$2:$B$526=2019)*($C$2:$C$526=$C280),0))</f>
        <v>34</v>
      </c>
      <c r="F280" s="1" cm="1">
        <f t="array" ref="F280">IFERROR(E280/INDEX($D$2:$D$526,MATCH(1,($A$2:$A$526=$A280)*($B$2:$B$526=2019)*($C$2:$C$526=$C280),0)),0)</f>
        <v>0.89473684210526316</v>
      </c>
    </row>
    <row r="281" spans="1:6" x14ac:dyDescent="0.25">
      <c r="A281">
        <v>3</v>
      </c>
      <c r="B281">
        <v>2014</v>
      </c>
      <c r="C281">
        <v>6</v>
      </c>
      <c r="D281">
        <f>SUMIFS('Refinery Summary'!$G$2:$G$1899,'Refinery Summary'!$B$2:$B$1899,RefCapacity!$A281,'Refinery Summary'!$A$2:$A$1899,RefCapacity!$B281,'Refinery Summary'!$C$2:$C$1899,RefCapacity!$C281)/1000</f>
        <v>5329.85</v>
      </c>
      <c r="E281" cm="1">
        <f t="array" ref="E281">$D281-INDEX($D$2:$D$526,MATCH(1,($A$2:$A$526=$A281)*($B$2:$B$526=2019)*($C$2:$C$526=$C281),0))</f>
        <v>-21.979999999999563</v>
      </c>
      <c r="F281" s="1" cm="1">
        <f t="array" ref="F281">IFERROR(E281/INDEX($D$2:$D$526,MATCH(1,($A$2:$A$526=$A281)*($B$2:$B$526=2019)*($C$2:$C$526=$C281),0)),0)</f>
        <v>-4.1070063884689097E-3</v>
      </c>
    </row>
    <row r="282" spans="1:6" x14ac:dyDescent="0.25">
      <c r="A282">
        <v>3</v>
      </c>
      <c r="B282">
        <v>2015</v>
      </c>
      <c r="C282">
        <v>0</v>
      </c>
      <c r="D282">
        <f>SUMIFS('Refinery Summary'!$G$2:$G$1899,'Refinery Summary'!$B$2:$B$1899,RefCapacity!$A282,'Refinery Summary'!$A$2:$A$1899,RefCapacity!$B282,'Refinery Summary'!$C$2:$C$1899,RefCapacity!$C282)/1000</f>
        <v>188</v>
      </c>
      <c r="E282" cm="1">
        <f t="array" ref="E282">$D282-INDEX($D$2:$D$526,MATCH(1,($A$2:$A$526=$A282)*($B$2:$B$526=2019)*($C$2:$C$526=$C282),0))</f>
        <v>-108.11500000000001</v>
      </c>
      <c r="F282" s="1" cm="1">
        <f t="array" ref="F282">IFERROR(E282/INDEX($D$2:$D$526,MATCH(1,($A$2:$A$526=$A282)*($B$2:$B$526=2019)*($C$2:$C$526=$C282),0)),0)</f>
        <v>-0.36511152761596005</v>
      </c>
    </row>
    <row r="283" spans="1:6" x14ac:dyDescent="0.25">
      <c r="A283">
        <v>3</v>
      </c>
      <c r="B283">
        <v>2015</v>
      </c>
      <c r="C283">
        <v>1</v>
      </c>
      <c r="D283">
        <f>SUMIFS('Refinery Summary'!$G$2:$G$1899,'Refinery Summary'!$B$2:$B$1899,RefCapacity!$A283,'Refinery Summary'!$A$2:$A$1899,RefCapacity!$B283,'Refinery Summary'!$C$2:$C$1899,RefCapacity!$C283)/1000</f>
        <v>801</v>
      </c>
      <c r="E283" cm="1">
        <f t="array" ref="E283">$D283-INDEX($D$2:$D$526,MATCH(1,($A$2:$A$526=$A283)*($B$2:$B$526=2019)*($C$2:$C$526=$C283),0))</f>
        <v>112.93499999999995</v>
      </c>
      <c r="F283" s="1" cm="1">
        <f t="array" ref="F283">IFERROR(E283/INDEX($D$2:$D$526,MATCH(1,($A$2:$A$526=$A283)*($B$2:$B$526=2019)*($C$2:$C$526=$C283),0)),0)</f>
        <v>0.16413420243726964</v>
      </c>
    </row>
    <row r="284" spans="1:6" x14ac:dyDescent="0.25">
      <c r="A284">
        <v>3</v>
      </c>
      <c r="B284">
        <v>2015</v>
      </c>
      <c r="C284">
        <v>2</v>
      </c>
      <c r="D284">
        <f>SUMIFS('Refinery Summary'!$G$2:$G$1899,'Refinery Summary'!$B$2:$B$1899,RefCapacity!$A284,'Refinery Summary'!$A$2:$A$1899,RefCapacity!$B284,'Refinery Summary'!$C$2:$C$1899,RefCapacity!$C284)/1000</f>
        <v>149</v>
      </c>
      <c r="E284" cm="1">
        <f t="array" ref="E284">$D284-INDEX($D$2:$D$526,MATCH(1,($A$2:$A$526=$A284)*($B$2:$B$526=2019)*($C$2:$C$526=$C284),0))</f>
        <v>-146.822</v>
      </c>
      <c r="F284" s="1" cm="1">
        <f t="array" ref="F284">IFERROR(E284/INDEX($D$2:$D$526,MATCH(1,($A$2:$A$526=$A284)*($B$2:$B$526=2019)*($C$2:$C$526=$C284),0)),0)</f>
        <v>-0.49631873221058609</v>
      </c>
    </row>
    <row r="285" spans="1:6" x14ac:dyDescent="0.25">
      <c r="A285">
        <v>3</v>
      </c>
      <c r="B285">
        <v>2015</v>
      </c>
      <c r="C285">
        <v>3</v>
      </c>
      <c r="D285">
        <f>SUMIFS('Refinery Summary'!$G$2:$G$1899,'Refinery Summary'!$B$2:$B$1899,RefCapacity!$A285,'Refinery Summary'!$A$2:$A$1899,RefCapacity!$B285,'Refinery Summary'!$C$2:$C$1899,RefCapacity!$C285)/1000</f>
        <v>497</v>
      </c>
      <c r="E285" cm="1">
        <f t="array" ref="E285">$D285-INDEX($D$2:$D$526,MATCH(1,($A$2:$A$526=$A285)*($B$2:$B$526=2019)*($C$2:$C$526=$C285),0))</f>
        <v>-513.02499999999998</v>
      </c>
      <c r="F285" s="1" cm="1">
        <f t="array" ref="F285">IFERROR(E285/INDEX($D$2:$D$526,MATCH(1,($A$2:$A$526=$A285)*($B$2:$B$526=2019)*($C$2:$C$526=$C285),0)),0)</f>
        <v>-0.50793297195613973</v>
      </c>
    </row>
    <row r="286" spans="1:6" x14ac:dyDescent="0.25">
      <c r="A286">
        <v>3</v>
      </c>
      <c r="B286">
        <v>2015</v>
      </c>
      <c r="C286">
        <v>4</v>
      </c>
      <c r="D286">
        <f>SUMIFS('Refinery Summary'!$G$2:$G$1899,'Refinery Summary'!$B$2:$B$1899,RefCapacity!$A286,'Refinery Summary'!$A$2:$A$1899,RefCapacity!$B286,'Refinery Summary'!$C$2:$C$1899,RefCapacity!$C286)/1000</f>
        <v>1926.75</v>
      </c>
      <c r="E286" cm="1">
        <f t="array" ref="E286">$D286-INDEX($D$2:$D$526,MATCH(1,($A$2:$A$526=$A286)*($B$2:$B$526=2019)*($C$2:$C$526=$C286),0))</f>
        <v>-138.86000000000013</v>
      </c>
      <c r="F286" s="1" cm="1">
        <f t="array" ref="F286">IFERROR(E286/INDEX($D$2:$D$526,MATCH(1,($A$2:$A$526=$A286)*($B$2:$B$526=2019)*($C$2:$C$526=$C286),0)),0)</f>
        <v>-6.7224693916082962E-2</v>
      </c>
    </row>
    <row r="287" spans="1:6" x14ac:dyDescent="0.25">
      <c r="A287">
        <v>3</v>
      </c>
      <c r="B287">
        <v>2015</v>
      </c>
      <c r="C287">
        <v>5</v>
      </c>
      <c r="D287">
        <f>SUMIFS('Refinery Summary'!$G$2:$G$1899,'Refinery Summary'!$B$2:$B$1899,RefCapacity!$A287,'Refinery Summary'!$A$2:$A$1899,RefCapacity!$B287,'Refinery Summary'!$C$2:$C$1899,RefCapacity!$C287)/1000</f>
        <v>72</v>
      </c>
      <c r="E287" cm="1">
        <f t="array" ref="E287">$D287-INDEX($D$2:$D$526,MATCH(1,($A$2:$A$526=$A287)*($B$2:$B$526=2019)*($C$2:$C$526=$C287),0))</f>
        <v>34</v>
      </c>
      <c r="F287" s="1" cm="1">
        <f t="array" ref="F287">IFERROR(E287/INDEX($D$2:$D$526,MATCH(1,($A$2:$A$526=$A287)*($B$2:$B$526=2019)*($C$2:$C$526=$C287),0)),0)</f>
        <v>0.89473684210526316</v>
      </c>
    </row>
    <row r="288" spans="1:6" x14ac:dyDescent="0.25">
      <c r="A288">
        <v>3</v>
      </c>
      <c r="B288">
        <v>2015</v>
      </c>
      <c r="C288">
        <v>6</v>
      </c>
      <c r="D288">
        <f>SUMIFS('Refinery Summary'!$G$2:$G$1899,'Refinery Summary'!$B$2:$B$1899,RefCapacity!$A288,'Refinery Summary'!$A$2:$A$1899,RefCapacity!$B288,'Refinery Summary'!$C$2:$C$1899,RefCapacity!$C288)/1000</f>
        <v>5682.85</v>
      </c>
      <c r="E288" cm="1">
        <f t="array" ref="E288">$D288-INDEX($D$2:$D$526,MATCH(1,($A$2:$A$526=$A288)*($B$2:$B$526=2019)*($C$2:$C$526=$C288),0))</f>
        <v>331.02000000000044</v>
      </c>
      <c r="F288" s="1" cm="1">
        <f t="array" ref="F288">IFERROR(E288/INDEX($D$2:$D$526,MATCH(1,($A$2:$A$526=$A288)*($B$2:$B$526=2019)*($C$2:$C$526=$C288),0)),0)</f>
        <v>6.1851740432711882E-2</v>
      </c>
    </row>
    <row r="289" spans="1:6" x14ac:dyDescent="0.25">
      <c r="A289">
        <v>3</v>
      </c>
      <c r="B289">
        <v>2016</v>
      </c>
      <c r="C289">
        <v>0</v>
      </c>
      <c r="D289">
        <f>SUMIFS('Refinery Summary'!$G$2:$G$1899,'Refinery Summary'!$B$2:$B$1899,RefCapacity!$A289,'Refinery Summary'!$A$2:$A$1899,RefCapacity!$B289,'Refinery Summary'!$C$2:$C$1899,RefCapacity!$C289)/1000</f>
        <v>274.64</v>
      </c>
      <c r="E289" cm="1">
        <f t="array" ref="E289">$D289-INDEX($D$2:$D$526,MATCH(1,($A$2:$A$526=$A289)*($B$2:$B$526=2019)*($C$2:$C$526=$C289),0))</f>
        <v>-21.475000000000023</v>
      </c>
      <c r="F289" s="1" cm="1">
        <f t="array" ref="F289">IFERROR(E289/INDEX($D$2:$D$526,MATCH(1,($A$2:$A$526=$A289)*($B$2:$B$526=2019)*($C$2:$C$526=$C289),0)),0)</f>
        <v>-7.2522499704506777E-2</v>
      </c>
    </row>
    <row r="290" spans="1:6" x14ac:dyDescent="0.25">
      <c r="A290">
        <v>3</v>
      </c>
      <c r="B290">
        <v>2016</v>
      </c>
      <c r="C290">
        <v>1</v>
      </c>
      <c r="D290">
        <f>SUMIFS('Refinery Summary'!$G$2:$G$1899,'Refinery Summary'!$B$2:$B$1899,RefCapacity!$A290,'Refinery Summary'!$A$2:$A$1899,RefCapacity!$B290,'Refinery Summary'!$C$2:$C$1899,RefCapacity!$C290)/1000</f>
        <v>752.42499999999995</v>
      </c>
      <c r="E290" cm="1">
        <f t="array" ref="E290">$D290-INDEX($D$2:$D$526,MATCH(1,($A$2:$A$526=$A290)*($B$2:$B$526=2019)*($C$2:$C$526=$C290),0))</f>
        <v>64.3599999999999</v>
      </c>
      <c r="F290" s="1" cm="1">
        <f t="array" ref="F290">IFERROR(E290/INDEX($D$2:$D$526,MATCH(1,($A$2:$A$526=$A290)*($B$2:$B$526=2019)*($C$2:$C$526=$C290),0)),0)</f>
        <v>9.3537674492961992E-2</v>
      </c>
    </row>
    <row r="291" spans="1:6" x14ac:dyDescent="0.25">
      <c r="A291">
        <v>3</v>
      </c>
      <c r="B291">
        <v>2016</v>
      </c>
      <c r="C291">
        <v>2</v>
      </c>
      <c r="D291">
        <f>SUMIFS('Refinery Summary'!$G$2:$G$1899,'Refinery Summary'!$B$2:$B$1899,RefCapacity!$A291,'Refinery Summary'!$A$2:$A$1899,RefCapacity!$B291,'Refinery Summary'!$C$2:$C$1899,RefCapacity!$C291)/1000</f>
        <v>158.22200000000001</v>
      </c>
      <c r="E291" cm="1">
        <f t="array" ref="E291">$D291-INDEX($D$2:$D$526,MATCH(1,($A$2:$A$526=$A291)*($B$2:$B$526=2019)*($C$2:$C$526=$C291),0))</f>
        <v>-137.6</v>
      </c>
      <c r="F291" s="1" cm="1">
        <f t="array" ref="F291">IFERROR(E291/INDEX($D$2:$D$526,MATCH(1,($A$2:$A$526=$A291)*($B$2:$B$526=2019)*($C$2:$C$526=$C291),0)),0)</f>
        <v>-0.46514458018673388</v>
      </c>
    </row>
    <row r="292" spans="1:6" x14ac:dyDescent="0.25">
      <c r="A292">
        <v>3</v>
      </c>
      <c r="B292">
        <v>2016</v>
      </c>
      <c r="C292">
        <v>3</v>
      </c>
      <c r="D292">
        <f>SUMIFS('Refinery Summary'!$G$2:$G$1899,'Refinery Summary'!$B$2:$B$1899,RefCapacity!$A292,'Refinery Summary'!$A$2:$A$1899,RefCapacity!$B292,'Refinery Summary'!$C$2:$C$1899,RefCapacity!$C292)/1000</f>
        <v>713.7</v>
      </c>
      <c r="E292" cm="1">
        <f t="array" ref="E292">$D292-INDEX($D$2:$D$526,MATCH(1,($A$2:$A$526=$A292)*($B$2:$B$526=2019)*($C$2:$C$526=$C292),0))</f>
        <v>-296.32499999999993</v>
      </c>
      <c r="F292" s="1" cm="1">
        <f t="array" ref="F292">IFERROR(E292/INDEX($D$2:$D$526,MATCH(1,($A$2:$A$526=$A292)*($B$2:$B$526=2019)*($C$2:$C$526=$C292),0)),0)</f>
        <v>-0.29338382713299171</v>
      </c>
    </row>
    <row r="293" spans="1:6" x14ac:dyDescent="0.25">
      <c r="A293">
        <v>3</v>
      </c>
      <c r="B293">
        <v>2016</v>
      </c>
      <c r="C293">
        <v>4</v>
      </c>
      <c r="D293">
        <f>SUMIFS('Refinery Summary'!$G$2:$G$1899,'Refinery Summary'!$B$2:$B$1899,RefCapacity!$A293,'Refinery Summary'!$A$2:$A$1899,RefCapacity!$B293,'Refinery Summary'!$C$2:$C$1899,RefCapacity!$C293)/1000</f>
        <v>1788.21</v>
      </c>
      <c r="E293" cm="1">
        <f t="array" ref="E293">$D293-INDEX($D$2:$D$526,MATCH(1,($A$2:$A$526=$A293)*($B$2:$B$526=2019)*($C$2:$C$526=$C293),0))</f>
        <v>-277.40000000000009</v>
      </c>
      <c r="F293" s="1" cm="1">
        <f t="array" ref="F293">IFERROR(E293/INDEX($D$2:$D$526,MATCH(1,($A$2:$A$526=$A293)*($B$2:$B$526=2019)*($C$2:$C$526=$C293),0)),0)</f>
        <v>-0.13429446991445629</v>
      </c>
    </row>
    <row r="294" spans="1:6" x14ac:dyDescent="0.25">
      <c r="A294">
        <v>3</v>
      </c>
      <c r="B294">
        <v>2016</v>
      </c>
      <c r="C294">
        <v>5</v>
      </c>
      <c r="D294">
        <f>SUMIFS('Refinery Summary'!$G$2:$G$1899,'Refinery Summary'!$B$2:$B$1899,RefCapacity!$A294,'Refinery Summary'!$A$2:$A$1899,RefCapacity!$B294,'Refinery Summary'!$C$2:$C$1899,RefCapacity!$C294)/1000</f>
        <v>38</v>
      </c>
      <c r="E294" cm="1">
        <f t="array" ref="E294">$D294-INDEX($D$2:$D$526,MATCH(1,($A$2:$A$526=$A294)*($B$2:$B$526=2019)*($C$2:$C$526=$C294),0))</f>
        <v>0</v>
      </c>
      <c r="F294" s="1" cm="1">
        <f t="array" ref="F294">IFERROR(E294/INDEX($D$2:$D$526,MATCH(1,($A$2:$A$526=$A294)*($B$2:$B$526=2019)*($C$2:$C$526=$C294),0)),0)</f>
        <v>0</v>
      </c>
    </row>
    <row r="295" spans="1:6" x14ac:dyDescent="0.25">
      <c r="A295">
        <v>3</v>
      </c>
      <c r="B295">
        <v>2016</v>
      </c>
      <c r="C295">
        <v>6</v>
      </c>
      <c r="D295">
        <f>SUMIFS('Refinery Summary'!$G$2:$G$1899,'Refinery Summary'!$B$2:$B$1899,RefCapacity!$A295,'Refinery Summary'!$A$2:$A$1899,RefCapacity!$B295,'Refinery Summary'!$C$2:$C$1899,RefCapacity!$C295)/1000</f>
        <v>5667.83</v>
      </c>
      <c r="E295" cm="1">
        <f t="array" ref="E295">$D295-INDEX($D$2:$D$526,MATCH(1,($A$2:$A$526=$A295)*($B$2:$B$526=2019)*($C$2:$C$526=$C295),0))</f>
        <v>316</v>
      </c>
      <c r="F295" s="1" cm="1">
        <f t="array" ref="F295">IFERROR(E295/INDEX($D$2:$D$526,MATCH(1,($A$2:$A$526=$A295)*($B$2:$B$526=2019)*($C$2:$C$526=$C295),0)),0)</f>
        <v>5.9045223783266661E-2</v>
      </c>
    </row>
    <row r="296" spans="1:6" x14ac:dyDescent="0.25">
      <c r="A296">
        <v>3</v>
      </c>
      <c r="B296">
        <v>2017</v>
      </c>
      <c r="C296">
        <v>0</v>
      </c>
      <c r="D296">
        <f>SUMIFS('Refinery Summary'!$G$2:$G$1899,'Refinery Summary'!$B$2:$B$1899,RefCapacity!$A296,'Refinery Summary'!$A$2:$A$1899,RefCapacity!$B296,'Refinery Summary'!$C$2:$C$1899,RefCapacity!$C296)/1000</f>
        <v>296.11500000000001</v>
      </c>
      <c r="E296" cm="1">
        <f t="array" ref="E296">$D296-INDEX($D$2:$D$526,MATCH(1,($A$2:$A$526=$A296)*($B$2:$B$526=2019)*($C$2:$C$526=$C296),0))</f>
        <v>0</v>
      </c>
      <c r="F296" s="1" cm="1">
        <f t="array" ref="F296">IFERROR(E296/INDEX($D$2:$D$526,MATCH(1,($A$2:$A$526=$A296)*($B$2:$B$526=2019)*($C$2:$C$526=$C296),0)),0)</f>
        <v>0</v>
      </c>
    </row>
    <row r="297" spans="1:6" x14ac:dyDescent="0.25">
      <c r="A297">
        <v>3</v>
      </c>
      <c r="B297">
        <v>2017</v>
      </c>
      <c r="C297">
        <v>1</v>
      </c>
      <c r="D297">
        <f>SUMIFS('Refinery Summary'!$G$2:$G$1899,'Refinery Summary'!$B$2:$B$1899,RefCapacity!$A297,'Refinery Summary'!$A$2:$A$1899,RefCapacity!$B297,'Refinery Summary'!$C$2:$C$1899,RefCapacity!$C297)/1000</f>
        <v>765.44</v>
      </c>
      <c r="E297" cm="1">
        <f t="array" ref="E297">$D297-INDEX($D$2:$D$526,MATCH(1,($A$2:$A$526=$A297)*($B$2:$B$526=2019)*($C$2:$C$526=$C297),0))</f>
        <v>77.375</v>
      </c>
      <c r="F297" s="1" cm="1">
        <f t="array" ref="F297">IFERROR(E297/INDEX($D$2:$D$526,MATCH(1,($A$2:$A$526=$A297)*($B$2:$B$526=2019)*($C$2:$C$526=$C297),0)),0)</f>
        <v>0.11245303859373749</v>
      </c>
    </row>
    <row r="298" spans="1:6" x14ac:dyDescent="0.25">
      <c r="A298">
        <v>3</v>
      </c>
      <c r="B298">
        <v>2017</v>
      </c>
      <c r="C298">
        <v>2</v>
      </c>
      <c r="D298">
        <f>SUMIFS('Refinery Summary'!$G$2:$G$1899,'Refinery Summary'!$B$2:$B$1899,RefCapacity!$A298,'Refinery Summary'!$A$2:$A$1899,RefCapacity!$B298,'Refinery Summary'!$C$2:$C$1899,RefCapacity!$C298)/1000</f>
        <v>295.822</v>
      </c>
      <c r="E298" cm="1">
        <f t="array" ref="E298">$D298-INDEX($D$2:$D$526,MATCH(1,($A$2:$A$526=$A298)*($B$2:$B$526=2019)*($C$2:$C$526=$C298),0))</f>
        <v>0</v>
      </c>
      <c r="F298" s="1" cm="1">
        <f t="array" ref="F298">IFERROR(E298/INDEX($D$2:$D$526,MATCH(1,($A$2:$A$526=$A298)*($B$2:$B$526=2019)*($C$2:$C$526=$C298),0)),0)</f>
        <v>0</v>
      </c>
    </row>
    <row r="299" spans="1:6" x14ac:dyDescent="0.25">
      <c r="A299">
        <v>3</v>
      </c>
      <c r="B299">
        <v>2017</v>
      </c>
      <c r="C299">
        <v>3</v>
      </c>
      <c r="D299">
        <f>SUMIFS('Refinery Summary'!$G$2:$G$1899,'Refinery Summary'!$B$2:$B$1899,RefCapacity!$A299,'Refinery Summary'!$A$2:$A$1899,RefCapacity!$B299,'Refinery Summary'!$C$2:$C$1899,RefCapacity!$C299)/1000</f>
        <v>992.45</v>
      </c>
      <c r="E299" cm="1">
        <f t="array" ref="E299">$D299-INDEX($D$2:$D$526,MATCH(1,($A$2:$A$526=$A299)*($B$2:$B$526=2019)*($C$2:$C$526=$C299),0))</f>
        <v>-17.574999999999932</v>
      </c>
      <c r="F299" s="1" cm="1">
        <f t="array" ref="F299">IFERROR(E299/INDEX($D$2:$D$526,MATCH(1,($A$2:$A$526=$A299)*($B$2:$B$526=2019)*($C$2:$C$526=$C299),0)),0)</f>
        <v>-1.7400559392094186E-2</v>
      </c>
    </row>
    <row r="300" spans="1:6" x14ac:dyDescent="0.25">
      <c r="A300">
        <v>3</v>
      </c>
      <c r="B300">
        <v>2017</v>
      </c>
      <c r="C300">
        <v>4</v>
      </c>
      <c r="D300">
        <f>SUMIFS('Refinery Summary'!$G$2:$G$1899,'Refinery Summary'!$B$2:$B$1899,RefCapacity!$A300,'Refinery Summary'!$A$2:$A$1899,RefCapacity!$B300,'Refinery Summary'!$C$2:$C$1899,RefCapacity!$C300)/1000</f>
        <v>1790.11</v>
      </c>
      <c r="E300" cm="1">
        <f t="array" ref="E300">$D300-INDEX($D$2:$D$526,MATCH(1,($A$2:$A$526=$A300)*($B$2:$B$526=2019)*($C$2:$C$526=$C300),0))</f>
        <v>-275.50000000000023</v>
      </c>
      <c r="F300" s="1" cm="1">
        <f t="array" ref="F300">IFERROR(E300/INDEX($D$2:$D$526,MATCH(1,($A$2:$A$526=$A300)*($B$2:$B$526=2019)*($C$2:$C$526=$C300),0)),0)</f>
        <v>-0.13337464477805597</v>
      </c>
    </row>
    <row r="301" spans="1:6" x14ac:dyDescent="0.25">
      <c r="A301">
        <v>3</v>
      </c>
      <c r="B301">
        <v>2017</v>
      </c>
      <c r="C301">
        <v>5</v>
      </c>
      <c r="D301">
        <f>SUMIFS('Refinery Summary'!$G$2:$G$1899,'Refinery Summary'!$B$2:$B$1899,RefCapacity!$A301,'Refinery Summary'!$A$2:$A$1899,RefCapacity!$B301,'Refinery Summary'!$C$2:$C$1899,RefCapacity!$C301)/1000</f>
        <v>38</v>
      </c>
      <c r="E301" cm="1">
        <f t="array" ref="E301">$D301-INDEX($D$2:$D$526,MATCH(1,($A$2:$A$526=$A301)*($B$2:$B$526=2019)*($C$2:$C$526=$C301),0))</f>
        <v>0</v>
      </c>
      <c r="F301" s="1" cm="1">
        <f t="array" ref="F301">IFERROR(E301/INDEX($D$2:$D$526,MATCH(1,($A$2:$A$526=$A301)*($B$2:$B$526=2019)*($C$2:$C$526=$C301),0)),0)</f>
        <v>0</v>
      </c>
    </row>
    <row r="302" spans="1:6" x14ac:dyDescent="0.25">
      <c r="A302">
        <v>3</v>
      </c>
      <c r="B302">
        <v>2017</v>
      </c>
      <c r="C302">
        <v>6</v>
      </c>
      <c r="D302">
        <f>SUMIFS('Refinery Summary'!$G$2:$G$1899,'Refinery Summary'!$B$2:$B$1899,RefCapacity!$A302,'Refinery Summary'!$A$2:$A$1899,RefCapacity!$B302,'Refinery Summary'!$C$2:$C$1899,RefCapacity!$C302)/1000</f>
        <v>5443.83</v>
      </c>
      <c r="E302" cm="1">
        <f t="array" ref="E302">$D302-INDEX($D$2:$D$526,MATCH(1,($A$2:$A$526=$A302)*($B$2:$B$526=2019)*($C$2:$C$526=$C302),0))</f>
        <v>92</v>
      </c>
      <c r="F302" s="1" cm="1">
        <f t="array" ref="F302">IFERROR(E302/INDEX($D$2:$D$526,MATCH(1,($A$2:$A$526=$A302)*($B$2:$B$526=2019)*($C$2:$C$526=$C302),0)),0)</f>
        <v>1.7190381607786496E-2</v>
      </c>
    </row>
    <row r="303" spans="1:6" x14ac:dyDescent="0.25">
      <c r="A303">
        <v>3</v>
      </c>
      <c r="B303">
        <v>2018</v>
      </c>
      <c r="C303">
        <v>0</v>
      </c>
      <c r="D303">
        <f>SUMIFS('Refinery Summary'!$G$2:$G$1899,'Refinery Summary'!$B$2:$B$1899,RefCapacity!$A303,'Refinery Summary'!$A$2:$A$1899,RefCapacity!$B303,'Refinery Summary'!$C$2:$C$1899,RefCapacity!$C303)/1000</f>
        <v>296.11500000000001</v>
      </c>
      <c r="E303" cm="1">
        <f t="array" ref="E303">$D303-INDEX($D$2:$D$526,MATCH(1,($A$2:$A$526=$A303)*($B$2:$B$526=2019)*($C$2:$C$526=$C303),0))</f>
        <v>0</v>
      </c>
      <c r="F303" s="1" cm="1">
        <f t="array" ref="F303">IFERROR(E303/INDEX($D$2:$D$526,MATCH(1,($A$2:$A$526=$A303)*($B$2:$B$526=2019)*($C$2:$C$526=$C303),0)),0)</f>
        <v>0</v>
      </c>
    </row>
    <row r="304" spans="1:6" x14ac:dyDescent="0.25">
      <c r="A304">
        <v>3</v>
      </c>
      <c r="B304">
        <v>2018</v>
      </c>
      <c r="C304">
        <v>1</v>
      </c>
      <c r="D304">
        <f>SUMIFS('Refinery Summary'!$G$2:$G$1899,'Refinery Summary'!$B$2:$B$1899,RefCapacity!$A304,'Refinery Summary'!$A$2:$A$1899,RefCapacity!$B304,'Refinery Summary'!$C$2:$C$1899,RefCapacity!$C304)/1000</f>
        <v>683.06500000000005</v>
      </c>
      <c r="E304" cm="1">
        <f t="array" ref="E304">$D304-INDEX($D$2:$D$526,MATCH(1,($A$2:$A$526=$A304)*($B$2:$B$526=2019)*($C$2:$C$526=$C304),0))</f>
        <v>-5</v>
      </c>
      <c r="F304" s="1" cm="1">
        <f t="array" ref="F304">IFERROR(E304/INDEX($D$2:$D$526,MATCH(1,($A$2:$A$526=$A304)*($B$2:$B$526=2019)*($C$2:$C$526=$C304),0)),0)</f>
        <v>-7.2667553210815829E-3</v>
      </c>
    </row>
    <row r="305" spans="1:6" x14ac:dyDescent="0.25">
      <c r="A305">
        <v>3</v>
      </c>
      <c r="B305">
        <v>2018</v>
      </c>
      <c r="C305">
        <v>2</v>
      </c>
      <c r="D305">
        <f>SUMIFS('Refinery Summary'!$G$2:$G$1899,'Refinery Summary'!$B$2:$B$1899,RefCapacity!$A305,'Refinery Summary'!$A$2:$A$1899,RefCapacity!$B305,'Refinery Summary'!$C$2:$C$1899,RefCapacity!$C305)/1000</f>
        <v>295.822</v>
      </c>
      <c r="E305" cm="1">
        <f t="array" ref="E305">$D305-INDEX($D$2:$D$526,MATCH(1,($A$2:$A$526=$A305)*($B$2:$B$526=2019)*($C$2:$C$526=$C305),0))</f>
        <v>0</v>
      </c>
      <c r="F305" s="1" cm="1">
        <f t="array" ref="F305">IFERROR(E305/INDEX($D$2:$D$526,MATCH(1,($A$2:$A$526=$A305)*($B$2:$B$526=2019)*($C$2:$C$526=$C305),0)),0)</f>
        <v>0</v>
      </c>
    </row>
    <row r="306" spans="1:6" x14ac:dyDescent="0.25">
      <c r="A306">
        <v>3</v>
      </c>
      <c r="B306">
        <v>2018</v>
      </c>
      <c r="C306">
        <v>3</v>
      </c>
      <c r="D306">
        <f>SUMIFS('Refinery Summary'!$G$2:$G$1899,'Refinery Summary'!$B$2:$B$1899,RefCapacity!$A306,'Refinery Summary'!$A$2:$A$1899,RefCapacity!$B306,'Refinery Summary'!$C$2:$C$1899,RefCapacity!$C306)/1000</f>
        <v>992.45</v>
      </c>
      <c r="E306" cm="1">
        <f t="array" ref="E306">$D306-INDEX($D$2:$D$526,MATCH(1,($A$2:$A$526=$A306)*($B$2:$B$526=2019)*($C$2:$C$526=$C306),0))</f>
        <v>-17.574999999999932</v>
      </c>
      <c r="F306" s="1" cm="1">
        <f t="array" ref="F306">IFERROR(E306/INDEX($D$2:$D$526,MATCH(1,($A$2:$A$526=$A306)*($B$2:$B$526=2019)*($C$2:$C$526=$C306),0)),0)</f>
        <v>-1.7400559392094186E-2</v>
      </c>
    </row>
    <row r="307" spans="1:6" x14ac:dyDescent="0.25">
      <c r="A307">
        <v>3</v>
      </c>
      <c r="B307">
        <v>2018</v>
      </c>
      <c r="C307">
        <v>4</v>
      </c>
      <c r="D307">
        <f>SUMIFS('Refinery Summary'!$G$2:$G$1899,'Refinery Summary'!$B$2:$B$1899,RefCapacity!$A307,'Refinery Summary'!$A$2:$A$1899,RefCapacity!$B307,'Refinery Summary'!$C$2:$C$1899,RefCapacity!$C307)/1000</f>
        <v>1799.11</v>
      </c>
      <c r="E307" cm="1">
        <f t="array" ref="E307">$D307-INDEX($D$2:$D$526,MATCH(1,($A$2:$A$526=$A307)*($B$2:$B$526=2019)*($C$2:$C$526=$C307),0))</f>
        <v>-266.50000000000023</v>
      </c>
      <c r="F307" s="1" cm="1">
        <f t="array" ref="F307">IFERROR(E307/INDEX($D$2:$D$526,MATCH(1,($A$2:$A$526=$A307)*($B$2:$B$526=2019)*($C$2:$C$526=$C307),0)),0)</f>
        <v>-0.12901757834247521</v>
      </c>
    </row>
    <row r="308" spans="1:6" x14ac:dyDescent="0.25">
      <c r="A308">
        <v>3</v>
      </c>
      <c r="B308">
        <v>2018</v>
      </c>
      <c r="C308">
        <v>5</v>
      </c>
      <c r="D308">
        <f>SUMIFS('Refinery Summary'!$G$2:$G$1899,'Refinery Summary'!$B$2:$B$1899,RefCapacity!$A308,'Refinery Summary'!$A$2:$A$1899,RefCapacity!$B308,'Refinery Summary'!$C$2:$C$1899,RefCapacity!$C308)/1000</f>
        <v>38</v>
      </c>
      <c r="E308" cm="1">
        <f t="array" ref="E308">$D308-INDEX($D$2:$D$526,MATCH(1,($A$2:$A$526=$A308)*($B$2:$B$526=2019)*($C$2:$C$526=$C308),0))</f>
        <v>0</v>
      </c>
      <c r="F308" s="1" cm="1">
        <f t="array" ref="F308">IFERROR(E308/INDEX($D$2:$D$526,MATCH(1,($A$2:$A$526=$A308)*($B$2:$B$526=2019)*($C$2:$C$526=$C308),0)),0)</f>
        <v>0</v>
      </c>
    </row>
    <row r="309" spans="1:6" x14ac:dyDescent="0.25">
      <c r="A309">
        <v>3</v>
      </c>
      <c r="B309">
        <v>2018</v>
      </c>
      <c r="C309">
        <v>6</v>
      </c>
      <c r="D309">
        <f>SUMIFS('Refinery Summary'!$G$2:$G$1899,'Refinery Summary'!$B$2:$B$1899,RefCapacity!$A309,'Refinery Summary'!$A$2:$A$1899,RefCapacity!$B309,'Refinery Summary'!$C$2:$C$1899,RefCapacity!$C309)/1000</f>
        <v>5578.83</v>
      </c>
      <c r="E309" cm="1">
        <f t="array" ref="E309">$D309-INDEX($D$2:$D$526,MATCH(1,($A$2:$A$526=$A309)*($B$2:$B$526=2019)*($C$2:$C$526=$C309),0))</f>
        <v>227</v>
      </c>
      <c r="F309" s="1" cm="1">
        <f t="array" ref="F309">IFERROR(E309/INDEX($D$2:$D$526,MATCH(1,($A$2:$A$526=$A309)*($B$2:$B$526=2019)*($C$2:$C$526=$C309),0)),0)</f>
        <v>4.2415398097473203E-2</v>
      </c>
    </row>
    <row r="310" spans="1:6" x14ac:dyDescent="0.25">
      <c r="A310">
        <v>3</v>
      </c>
      <c r="B310">
        <v>2019</v>
      </c>
      <c r="C310">
        <v>0</v>
      </c>
      <c r="D310">
        <f>SUMIFS('Refinery Summary'!$G$2:$G$1899,'Refinery Summary'!$B$2:$B$1899,RefCapacity!$A310,'Refinery Summary'!$A$2:$A$1899,RefCapacity!$B310,'Refinery Summary'!$C$2:$C$1899,RefCapacity!$C310)/1000</f>
        <v>296.11500000000001</v>
      </c>
      <c r="E310" cm="1">
        <f t="array" ref="E310">$D310-INDEX($D$2:$D$526,MATCH(1,($A$2:$A$526=$A310)*($B$2:$B$526=2019)*($C$2:$C$526=$C310),0))</f>
        <v>0</v>
      </c>
      <c r="F310" s="1" cm="1">
        <f t="array" ref="F310">IFERROR(E310/INDEX($D$2:$D$526,MATCH(1,($A$2:$A$526=$A310)*($B$2:$B$526=2019)*($C$2:$C$526=$C310),0)),0)</f>
        <v>0</v>
      </c>
    </row>
    <row r="311" spans="1:6" x14ac:dyDescent="0.25">
      <c r="A311">
        <v>3</v>
      </c>
      <c r="B311">
        <v>2019</v>
      </c>
      <c r="C311">
        <v>1</v>
      </c>
      <c r="D311">
        <f>SUMIFS('Refinery Summary'!$G$2:$G$1899,'Refinery Summary'!$B$2:$B$1899,RefCapacity!$A311,'Refinery Summary'!$A$2:$A$1899,RefCapacity!$B311,'Refinery Summary'!$C$2:$C$1899,RefCapacity!$C311)/1000</f>
        <v>688.06500000000005</v>
      </c>
      <c r="E311" cm="1">
        <f t="array" ref="E311">$D311-INDEX($D$2:$D$526,MATCH(1,($A$2:$A$526=$A311)*($B$2:$B$526=2019)*($C$2:$C$526=$C311),0))</f>
        <v>0</v>
      </c>
      <c r="F311" s="1" cm="1">
        <f t="array" ref="F311">IFERROR(E311/INDEX($D$2:$D$526,MATCH(1,($A$2:$A$526=$A311)*($B$2:$B$526=2019)*($C$2:$C$526=$C311),0)),0)</f>
        <v>0</v>
      </c>
    </row>
    <row r="312" spans="1:6" x14ac:dyDescent="0.25">
      <c r="A312">
        <v>3</v>
      </c>
      <c r="B312">
        <v>2019</v>
      </c>
      <c r="C312">
        <v>2</v>
      </c>
      <c r="D312">
        <f>SUMIFS('Refinery Summary'!$G$2:$G$1899,'Refinery Summary'!$B$2:$B$1899,RefCapacity!$A312,'Refinery Summary'!$A$2:$A$1899,RefCapacity!$B312,'Refinery Summary'!$C$2:$C$1899,RefCapacity!$C312)/1000</f>
        <v>295.822</v>
      </c>
      <c r="E312" cm="1">
        <f t="array" ref="E312">$D312-INDEX($D$2:$D$526,MATCH(1,($A$2:$A$526=$A312)*($B$2:$B$526=2019)*($C$2:$C$526=$C312),0))</f>
        <v>0</v>
      </c>
      <c r="F312" s="1" cm="1">
        <f t="array" ref="F312">IFERROR(E312/INDEX($D$2:$D$526,MATCH(1,($A$2:$A$526=$A312)*($B$2:$B$526=2019)*($C$2:$C$526=$C312),0)),0)</f>
        <v>0</v>
      </c>
    </row>
    <row r="313" spans="1:6" x14ac:dyDescent="0.25">
      <c r="A313">
        <v>3</v>
      </c>
      <c r="B313">
        <v>2019</v>
      </c>
      <c r="C313">
        <v>3</v>
      </c>
      <c r="D313">
        <f>SUMIFS('Refinery Summary'!$G$2:$G$1899,'Refinery Summary'!$B$2:$B$1899,RefCapacity!$A313,'Refinery Summary'!$A$2:$A$1899,RefCapacity!$B313,'Refinery Summary'!$C$2:$C$1899,RefCapacity!$C313)/1000</f>
        <v>1010.025</v>
      </c>
      <c r="E313" cm="1">
        <f t="array" ref="E313">$D313-INDEX($D$2:$D$526,MATCH(1,($A$2:$A$526=$A313)*($B$2:$B$526=2019)*($C$2:$C$526=$C313),0))</f>
        <v>0</v>
      </c>
      <c r="F313" s="1" cm="1">
        <f t="array" ref="F313">IFERROR(E313/INDEX($D$2:$D$526,MATCH(1,($A$2:$A$526=$A313)*($B$2:$B$526=2019)*($C$2:$C$526=$C313),0)),0)</f>
        <v>0</v>
      </c>
    </row>
    <row r="314" spans="1:6" x14ac:dyDescent="0.25">
      <c r="A314">
        <v>3</v>
      </c>
      <c r="B314">
        <v>2019</v>
      </c>
      <c r="C314">
        <v>4</v>
      </c>
      <c r="D314">
        <f>SUMIFS('Refinery Summary'!$G$2:$G$1899,'Refinery Summary'!$B$2:$B$1899,RefCapacity!$A314,'Refinery Summary'!$A$2:$A$1899,RefCapacity!$B314,'Refinery Summary'!$C$2:$C$1899,RefCapacity!$C314)/1000</f>
        <v>2065.61</v>
      </c>
      <c r="E314" cm="1">
        <f t="array" ref="E314">$D314-INDEX($D$2:$D$526,MATCH(1,($A$2:$A$526=$A314)*($B$2:$B$526=2019)*($C$2:$C$526=$C314),0))</f>
        <v>0</v>
      </c>
      <c r="F314" s="1" cm="1">
        <f t="array" ref="F314">IFERROR(E314/INDEX($D$2:$D$526,MATCH(1,($A$2:$A$526=$A314)*($B$2:$B$526=2019)*($C$2:$C$526=$C314),0)),0)</f>
        <v>0</v>
      </c>
    </row>
    <row r="315" spans="1:6" x14ac:dyDescent="0.25">
      <c r="A315">
        <v>3</v>
      </c>
      <c r="B315">
        <v>2019</v>
      </c>
      <c r="C315">
        <v>5</v>
      </c>
      <c r="D315">
        <f>SUMIFS('Refinery Summary'!$G$2:$G$1899,'Refinery Summary'!$B$2:$B$1899,RefCapacity!$A315,'Refinery Summary'!$A$2:$A$1899,RefCapacity!$B315,'Refinery Summary'!$C$2:$C$1899,RefCapacity!$C315)/1000</f>
        <v>38</v>
      </c>
      <c r="E315" cm="1">
        <f t="array" ref="E315">$D315-INDEX($D$2:$D$526,MATCH(1,($A$2:$A$526=$A315)*($B$2:$B$526=2019)*($C$2:$C$526=$C315),0))</f>
        <v>0</v>
      </c>
      <c r="F315" s="1" cm="1">
        <f t="array" ref="F315">IFERROR(E315/INDEX($D$2:$D$526,MATCH(1,($A$2:$A$526=$A315)*($B$2:$B$526=2019)*($C$2:$C$526=$C315),0)),0)</f>
        <v>0</v>
      </c>
    </row>
    <row r="316" spans="1:6" x14ac:dyDescent="0.25">
      <c r="A316">
        <v>3</v>
      </c>
      <c r="B316">
        <v>2019</v>
      </c>
      <c r="C316">
        <v>6</v>
      </c>
      <c r="D316">
        <f>SUMIFS('Refinery Summary'!$G$2:$G$1899,'Refinery Summary'!$B$2:$B$1899,RefCapacity!$A316,'Refinery Summary'!$A$2:$A$1899,RefCapacity!$B316,'Refinery Summary'!$C$2:$C$1899,RefCapacity!$C316)/1000</f>
        <v>5351.83</v>
      </c>
      <c r="E316" cm="1">
        <f t="array" ref="E316">$D316-INDEX($D$2:$D$526,MATCH(1,($A$2:$A$526=$A316)*($B$2:$B$526=2019)*($C$2:$C$526=$C316),0))</f>
        <v>0</v>
      </c>
      <c r="F316" s="1" cm="1">
        <f t="array" ref="F316">IFERROR(E316/INDEX($D$2:$D$526,MATCH(1,($A$2:$A$526=$A316)*($B$2:$B$526=2019)*($C$2:$C$526=$C316),0)),0)</f>
        <v>0</v>
      </c>
    </row>
    <row r="317" spans="1:6" x14ac:dyDescent="0.25">
      <c r="A317">
        <v>4</v>
      </c>
      <c r="B317">
        <v>2005</v>
      </c>
      <c r="C317">
        <v>0</v>
      </c>
      <c r="D317">
        <f>SUMIFS('Refinery Summary'!$G$2:$G$1899,'Refinery Summary'!$B$2:$B$1899,RefCapacity!$A317,'Refinery Summary'!$A$2:$A$1899,RefCapacity!$B317,'Refinery Summary'!$C$2:$C$1899,RefCapacity!$C317)/1000</f>
        <v>12.5</v>
      </c>
      <c r="E317" cm="1">
        <f t="array" ref="E317">$D317-INDEX($D$2:$D$526,MATCH(1,($A$2:$A$526=$A317)*($B$2:$B$526=2019)*($C$2:$C$526=$C317),0))</f>
        <v>-2.4149999999999991</v>
      </c>
      <c r="F317" s="1" cm="1">
        <f t="array" ref="F317">IFERROR(E317/INDEX($D$2:$D$526,MATCH(1,($A$2:$A$526=$A317)*($B$2:$B$526=2019)*($C$2:$C$526=$C317),0)),0)</f>
        <v>-0.16191753268521616</v>
      </c>
    </row>
    <row r="318" spans="1:6" x14ac:dyDescent="0.25">
      <c r="A318">
        <v>4</v>
      </c>
      <c r="B318">
        <v>2005</v>
      </c>
      <c r="C318">
        <v>1</v>
      </c>
      <c r="D318">
        <f>SUMIFS('Refinery Summary'!$G$2:$G$1899,'Refinery Summary'!$B$2:$B$1899,RefCapacity!$A318,'Refinery Summary'!$A$2:$A$1899,RefCapacity!$B318,'Refinery Summary'!$C$2:$C$1899,RefCapacity!$C318)/1000</f>
        <v>369.2</v>
      </c>
      <c r="E318" cm="1">
        <f t="array" ref="E318">$D318-INDEX($D$2:$D$526,MATCH(1,($A$2:$A$526=$A318)*($B$2:$B$526=2019)*($C$2:$C$526=$C318),0))</f>
        <v>138</v>
      </c>
      <c r="F318" s="1" cm="1">
        <f t="array" ref="F318">IFERROR(E318/INDEX($D$2:$D$526,MATCH(1,($A$2:$A$526=$A318)*($B$2:$B$526=2019)*($C$2:$C$526=$C318),0)),0)</f>
        <v>0.59688581314878897</v>
      </c>
    </row>
    <row r="319" spans="1:6" x14ac:dyDescent="0.25">
      <c r="A319">
        <v>4</v>
      </c>
      <c r="B319">
        <v>2005</v>
      </c>
      <c r="C319">
        <v>2</v>
      </c>
      <c r="D319">
        <f>SUMIFS('Refinery Summary'!$G$2:$G$1899,'Refinery Summary'!$B$2:$B$1899,RefCapacity!$A319,'Refinery Summary'!$A$2:$A$1899,RefCapacity!$B319,'Refinery Summary'!$C$2:$C$1899,RefCapacity!$C319)/1000</f>
        <v>0</v>
      </c>
      <c r="E319" cm="1">
        <f t="array" ref="E319">$D319-INDEX($D$2:$D$526,MATCH(1,($A$2:$A$526=$A319)*($B$2:$B$526=2019)*($C$2:$C$526=$C319),0))</f>
        <v>0</v>
      </c>
      <c r="F319" s="1" cm="1">
        <f t="array" ref="F319">IFERROR(E319/INDEX($D$2:$D$526,MATCH(1,($A$2:$A$526=$A319)*($B$2:$B$526=2019)*($C$2:$C$526=$C319),0)),0)</f>
        <v>0</v>
      </c>
    </row>
    <row r="320" spans="1:6" x14ac:dyDescent="0.25">
      <c r="A320">
        <v>4</v>
      </c>
      <c r="B320">
        <v>2005</v>
      </c>
      <c r="C320">
        <v>3</v>
      </c>
      <c r="D320">
        <f>SUMIFS('Refinery Summary'!$G$2:$G$1899,'Refinery Summary'!$B$2:$B$1899,RefCapacity!$A320,'Refinery Summary'!$A$2:$A$1899,RefCapacity!$B320,'Refinery Summary'!$C$2:$C$1899,RefCapacity!$C320)/1000</f>
        <v>0</v>
      </c>
      <c r="E320" cm="1">
        <f t="array" ref="E320">$D320-INDEX($D$2:$D$526,MATCH(1,($A$2:$A$526=$A320)*($B$2:$B$526=2019)*($C$2:$C$526=$C320),0))</f>
        <v>-72.58</v>
      </c>
      <c r="F320" s="1" cm="1">
        <f t="array" ref="F320">IFERROR(E320/INDEX($D$2:$D$526,MATCH(1,($A$2:$A$526=$A320)*($B$2:$B$526=2019)*($C$2:$C$526=$C320),0)),0)</f>
        <v>-1</v>
      </c>
    </row>
    <row r="321" spans="1:6" x14ac:dyDescent="0.25">
      <c r="A321">
        <v>4</v>
      </c>
      <c r="B321">
        <v>2005</v>
      </c>
      <c r="C321">
        <v>4</v>
      </c>
      <c r="D321">
        <f>SUMIFS('Refinery Summary'!$G$2:$G$1899,'Refinery Summary'!$B$2:$B$1899,RefCapacity!$A321,'Refinery Summary'!$A$2:$A$1899,RefCapacity!$B321,'Refinery Summary'!$C$2:$C$1899,RefCapacity!$C321)/1000</f>
        <v>149</v>
      </c>
      <c r="E321" cm="1">
        <f t="array" ref="E321">$D321-INDEX($D$2:$D$526,MATCH(1,($A$2:$A$526=$A321)*($B$2:$B$526=2019)*($C$2:$C$526=$C321),0))</f>
        <v>-71.444999999999993</v>
      </c>
      <c r="F321" s="1" cm="1">
        <f t="array" ref="F321">IFERROR(E321/INDEX($D$2:$D$526,MATCH(1,($A$2:$A$526=$A321)*($B$2:$B$526=2019)*($C$2:$C$526=$C321),0)),0)</f>
        <v>-0.32409444532649867</v>
      </c>
    </row>
    <row r="322" spans="1:6" x14ac:dyDescent="0.25">
      <c r="A322">
        <v>4</v>
      </c>
      <c r="B322">
        <v>2005</v>
      </c>
      <c r="C322">
        <v>5</v>
      </c>
      <c r="D322">
        <f>SUMIFS('Refinery Summary'!$G$2:$G$1899,'Refinery Summary'!$B$2:$B$1899,RefCapacity!$A322,'Refinery Summary'!$A$2:$A$1899,RefCapacity!$B322,'Refinery Summary'!$C$2:$C$1899,RefCapacity!$C322)/1000</f>
        <v>0</v>
      </c>
      <c r="E322" cm="1">
        <f t="array" ref="E322">$D322-INDEX($D$2:$D$526,MATCH(1,($A$2:$A$526=$A322)*($B$2:$B$526=2019)*($C$2:$C$526=$C322),0))</f>
        <v>0</v>
      </c>
      <c r="F322" s="1" cm="1">
        <f t="array" ref="F322">IFERROR(E322/INDEX($D$2:$D$526,MATCH(1,($A$2:$A$526=$A322)*($B$2:$B$526=2019)*($C$2:$C$526=$C322),0)),0)</f>
        <v>0</v>
      </c>
    </row>
    <row r="323" spans="1:6" x14ac:dyDescent="0.25">
      <c r="A323">
        <v>4</v>
      </c>
      <c r="B323">
        <v>2005</v>
      </c>
      <c r="C323">
        <v>6</v>
      </c>
      <c r="D323">
        <f>SUMIFS('Refinery Summary'!$G$2:$G$1899,'Refinery Summary'!$B$2:$B$1899,RefCapacity!$A323,'Refinery Summary'!$A$2:$A$1899,RefCapacity!$B323,'Refinery Summary'!$C$2:$C$1899,RefCapacity!$C323)/1000</f>
        <v>60</v>
      </c>
      <c r="E323" cm="1">
        <f t="array" ref="E323">$D323-INDEX($D$2:$D$526,MATCH(1,($A$2:$A$526=$A323)*($B$2:$B$526=2019)*($C$2:$C$526=$C323),0))</f>
        <v>-85.254999999999995</v>
      </c>
      <c r="F323" s="1" cm="1">
        <f t="array" ref="F323">IFERROR(E323/INDEX($D$2:$D$526,MATCH(1,($A$2:$A$526=$A323)*($B$2:$B$526=2019)*($C$2:$C$526=$C323),0)),0)</f>
        <v>-0.58693332415407384</v>
      </c>
    </row>
    <row r="324" spans="1:6" x14ac:dyDescent="0.25">
      <c r="A324">
        <v>4</v>
      </c>
      <c r="B324">
        <v>2006</v>
      </c>
      <c r="C324">
        <v>0</v>
      </c>
      <c r="D324">
        <f>SUMIFS('Refinery Summary'!$G$2:$G$1899,'Refinery Summary'!$B$2:$B$1899,RefCapacity!$A324,'Refinery Summary'!$A$2:$A$1899,RefCapacity!$B324,'Refinery Summary'!$C$2:$C$1899,RefCapacity!$C324)/1000</f>
        <v>12.5</v>
      </c>
      <c r="E324" cm="1">
        <f t="array" ref="E324">$D324-INDEX($D$2:$D$526,MATCH(1,($A$2:$A$526=$A324)*($B$2:$B$526=2019)*($C$2:$C$526=$C324),0))</f>
        <v>-2.4149999999999991</v>
      </c>
      <c r="F324" s="1" cm="1">
        <f t="array" ref="F324">IFERROR(E324/INDEX($D$2:$D$526,MATCH(1,($A$2:$A$526=$A324)*($B$2:$B$526=2019)*($C$2:$C$526=$C324),0)),0)</f>
        <v>-0.16191753268521616</v>
      </c>
    </row>
    <row r="325" spans="1:6" x14ac:dyDescent="0.25">
      <c r="A325">
        <v>4</v>
      </c>
      <c r="B325">
        <v>2006</v>
      </c>
      <c r="C325">
        <v>1</v>
      </c>
      <c r="D325">
        <f>SUMIFS('Refinery Summary'!$G$2:$G$1899,'Refinery Summary'!$B$2:$B$1899,RefCapacity!$A325,'Refinery Summary'!$A$2:$A$1899,RefCapacity!$B325,'Refinery Summary'!$C$2:$C$1899,RefCapacity!$C325)/1000</f>
        <v>352.7</v>
      </c>
      <c r="E325" cm="1">
        <f t="array" ref="E325">$D325-INDEX($D$2:$D$526,MATCH(1,($A$2:$A$526=$A325)*($B$2:$B$526=2019)*($C$2:$C$526=$C325),0))</f>
        <v>121.5</v>
      </c>
      <c r="F325" s="1" cm="1">
        <f t="array" ref="F325">IFERROR(E325/INDEX($D$2:$D$526,MATCH(1,($A$2:$A$526=$A325)*($B$2:$B$526=2019)*($C$2:$C$526=$C325),0)),0)</f>
        <v>0.52551903114186849</v>
      </c>
    </row>
    <row r="326" spans="1:6" x14ac:dyDescent="0.25">
      <c r="A326">
        <v>4</v>
      </c>
      <c r="B326">
        <v>2006</v>
      </c>
      <c r="C326">
        <v>2</v>
      </c>
      <c r="D326">
        <f>SUMIFS('Refinery Summary'!$G$2:$G$1899,'Refinery Summary'!$B$2:$B$1899,RefCapacity!$A326,'Refinery Summary'!$A$2:$A$1899,RefCapacity!$B326,'Refinery Summary'!$C$2:$C$1899,RefCapacity!$C326)/1000</f>
        <v>0</v>
      </c>
      <c r="E326" cm="1">
        <f t="array" ref="E326">$D326-INDEX($D$2:$D$526,MATCH(1,($A$2:$A$526=$A326)*($B$2:$B$526=2019)*($C$2:$C$526=$C326),0))</f>
        <v>0</v>
      </c>
      <c r="F326" s="1" cm="1">
        <f t="array" ref="F326">IFERROR(E326/INDEX($D$2:$D$526,MATCH(1,($A$2:$A$526=$A326)*($B$2:$B$526=2019)*($C$2:$C$526=$C326),0)),0)</f>
        <v>0</v>
      </c>
    </row>
    <row r="327" spans="1:6" x14ac:dyDescent="0.25">
      <c r="A327">
        <v>4</v>
      </c>
      <c r="B327">
        <v>2006</v>
      </c>
      <c r="C327">
        <v>3</v>
      </c>
      <c r="D327">
        <f>SUMIFS('Refinery Summary'!$G$2:$G$1899,'Refinery Summary'!$B$2:$B$1899,RefCapacity!$A327,'Refinery Summary'!$A$2:$A$1899,RefCapacity!$B327,'Refinery Summary'!$C$2:$C$1899,RefCapacity!$C327)/1000</f>
        <v>0</v>
      </c>
      <c r="E327" cm="1">
        <f t="array" ref="E327">$D327-INDEX($D$2:$D$526,MATCH(1,($A$2:$A$526=$A327)*($B$2:$B$526=2019)*($C$2:$C$526=$C327),0))</f>
        <v>-72.58</v>
      </c>
      <c r="F327" s="1" cm="1">
        <f t="array" ref="F327">IFERROR(E327/INDEX($D$2:$D$526,MATCH(1,($A$2:$A$526=$A327)*($B$2:$B$526=2019)*($C$2:$C$526=$C327),0)),0)</f>
        <v>-1</v>
      </c>
    </row>
    <row r="328" spans="1:6" x14ac:dyDescent="0.25">
      <c r="A328">
        <v>4</v>
      </c>
      <c r="B328">
        <v>2006</v>
      </c>
      <c r="C328">
        <v>4</v>
      </c>
      <c r="D328">
        <f>SUMIFS('Refinery Summary'!$G$2:$G$1899,'Refinery Summary'!$B$2:$B$1899,RefCapacity!$A328,'Refinery Summary'!$A$2:$A$1899,RefCapacity!$B328,'Refinery Summary'!$C$2:$C$1899,RefCapacity!$C328)/1000</f>
        <v>149</v>
      </c>
      <c r="E328" cm="1">
        <f t="array" ref="E328">$D328-INDEX($D$2:$D$526,MATCH(1,($A$2:$A$526=$A328)*($B$2:$B$526=2019)*($C$2:$C$526=$C328),0))</f>
        <v>-71.444999999999993</v>
      </c>
      <c r="F328" s="1" cm="1">
        <f t="array" ref="F328">IFERROR(E328/INDEX($D$2:$D$526,MATCH(1,($A$2:$A$526=$A328)*($B$2:$B$526=2019)*($C$2:$C$526=$C328),0)),0)</f>
        <v>-0.32409444532649867</v>
      </c>
    </row>
    <row r="329" spans="1:6" x14ac:dyDescent="0.25">
      <c r="A329">
        <v>4</v>
      </c>
      <c r="B329">
        <v>2006</v>
      </c>
      <c r="C329">
        <v>5</v>
      </c>
      <c r="D329">
        <f>SUMIFS('Refinery Summary'!$G$2:$G$1899,'Refinery Summary'!$B$2:$B$1899,RefCapacity!$A329,'Refinery Summary'!$A$2:$A$1899,RefCapacity!$B329,'Refinery Summary'!$C$2:$C$1899,RefCapacity!$C329)/1000</f>
        <v>0</v>
      </c>
      <c r="E329" cm="1">
        <f t="array" ref="E329">$D329-INDEX($D$2:$D$526,MATCH(1,($A$2:$A$526=$A329)*($B$2:$B$526=2019)*($C$2:$C$526=$C329),0))</f>
        <v>0</v>
      </c>
      <c r="F329" s="1" cm="1">
        <f t="array" ref="F329">IFERROR(E329/INDEX($D$2:$D$526,MATCH(1,($A$2:$A$526=$A329)*($B$2:$B$526=2019)*($C$2:$C$526=$C329),0)),0)</f>
        <v>0</v>
      </c>
    </row>
    <row r="330" spans="1:6" x14ac:dyDescent="0.25">
      <c r="A330">
        <v>4</v>
      </c>
      <c r="B330">
        <v>2006</v>
      </c>
      <c r="C330">
        <v>6</v>
      </c>
      <c r="D330">
        <f>SUMIFS('Refinery Summary'!$G$2:$G$1899,'Refinery Summary'!$B$2:$B$1899,RefCapacity!$A330,'Refinery Summary'!$A$2:$A$1899,RefCapacity!$B330,'Refinery Summary'!$C$2:$C$1899,RefCapacity!$C330)/1000</f>
        <v>60</v>
      </c>
      <c r="E330" cm="1">
        <f t="array" ref="E330">$D330-INDEX($D$2:$D$526,MATCH(1,($A$2:$A$526=$A330)*($B$2:$B$526=2019)*($C$2:$C$526=$C330),0))</f>
        <v>-85.254999999999995</v>
      </c>
      <c r="F330" s="1" cm="1">
        <f t="array" ref="F330">IFERROR(E330/INDEX($D$2:$D$526,MATCH(1,($A$2:$A$526=$A330)*($B$2:$B$526=2019)*($C$2:$C$526=$C330),0)),0)</f>
        <v>-0.58693332415407384</v>
      </c>
    </row>
    <row r="331" spans="1:6" x14ac:dyDescent="0.25">
      <c r="A331">
        <v>4</v>
      </c>
      <c r="B331">
        <v>2007</v>
      </c>
      <c r="C331">
        <v>0</v>
      </c>
      <c r="D331">
        <f>SUMIFS('Refinery Summary'!$G$2:$G$1899,'Refinery Summary'!$B$2:$B$1899,RefCapacity!$A331,'Refinery Summary'!$A$2:$A$1899,RefCapacity!$B331,'Refinery Summary'!$C$2:$C$1899,RefCapacity!$C331)/1000</f>
        <v>12.5</v>
      </c>
      <c r="E331" cm="1">
        <f t="array" ref="E331">$D331-INDEX($D$2:$D$526,MATCH(1,($A$2:$A$526=$A331)*($B$2:$B$526=2019)*($C$2:$C$526=$C331),0))</f>
        <v>-2.4149999999999991</v>
      </c>
      <c r="F331" s="1" cm="1">
        <f t="array" ref="F331">IFERROR(E331/INDEX($D$2:$D$526,MATCH(1,($A$2:$A$526=$A331)*($B$2:$B$526=2019)*($C$2:$C$526=$C331),0)),0)</f>
        <v>-0.16191753268521616</v>
      </c>
    </row>
    <row r="332" spans="1:6" x14ac:dyDescent="0.25">
      <c r="A332">
        <v>4</v>
      </c>
      <c r="B332">
        <v>2007</v>
      </c>
      <c r="C332">
        <v>1</v>
      </c>
      <c r="D332">
        <f>SUMIFS('Refinery Summary'!$G$2:$G$1899,'Refinery Summary'!$B$2:$B$1899,RefCapacity!$A332,'Refinery Summary'!$A$2:$A$1899,RefCapacity!$B332,'Refinery Summary'!$C$2:$C$1899,RefCapacity!$C332)/1000</f>
        <v>408.6</v>
      </c>
      <c r="E332" cm="1">
        <f t="array" ref="E332">$D332-INDEX($D$2:$D$526,MATCH(1,($A$2:$A$526=$A332)*($B$2:$B$526=2019)*($C$2:$C$526=$C332),0))</f>
        <v>177.40000000000003</v>
      </c>
      <c r="F332" s="1" cm="1">
        <f t="array" ref="F332">IFERROR(E332/INDEX($D$2:$D$526,MATCH(1,($A$2:$A$526=$A332)*($B$2:$B$526=2019)*($C$2:$C$526=$C332),0)),0)</f>
        <v>0.76730103806228389</v>
      </c>
    </row>
    <row r="333" spans="1:6" x14ac:dyDescent="0.25">
      <c r="A333">
        <v>4</v>
      </c>
      <c r="B333">
        <v>2007</v>
      </c>
      <c r="C333">
        <v>2</v>
      </c>
      <c r="D333">
        <f>SUMIFS('Refinery Summary'!$G$2:$G$1899,'Refinery Summary'!$B$2:$B$1899,RefCapacity!$A333,'Refinery Summary'!$A$2:$A$1899,RefCapacity!$B333,'Refinery Summary'!$C$2:$C$1899,RefCapacity!$C333)/1000</f>
        <v>0</v>
      </c>
      <c r="E333" cm="1">
        <f t="array" ref="E333">$D333-INDEX($D$2:$D$526,MATCH(1,($A$2:$A$526=$A333)*($B$2:$B$526=2019)*($C$2:$C$526=$C333),0))</f>
        <v>0</v>
      </c>
      <c r="F333" s="1" cm="1">
        <f t="array" ref="F333">IFERROR(E333/INDEX($D$2:$D$526,MATCH(1,($A$2:$A$526=$A333)*($B$2:$B$526=2019)*($C$2:$C$526=$C333),0)),0)</f>
        <v>0</v>
      </c>
    </row>
    <row r="334" spans="1:6" x14ac:dyDescent="0.25">
      <c r="A334">
        <v>4</v>
      </c>
      <c r="B334">
        <v>2007</v>
      </c>
      <c r="C334">
        <v>3</v>
      </c>
      <c r="D334">
        <f>SUMIFS('Refinery Summary'!$G$2:$G$1899,'Refinery Summary'!$B$2:$B$1899,RefCapacity!$A334,'Refinery Summary'!$A$2:$A$1899,RefCapacity!$B334,'Refinery Summary'!$C$2:$C$1899,RefCapacity!$C334)/1000</f>
        <v>0</v>
      </c>
      <c r="E334" cm="1">
        <f t="array" ref="E334">$D334-INDEX($D$2:$D$526,MATCH(1,($A$2:$A$526=$A334)*($B$2:$B$526=2019)*($C$2:$C$526=$C334),0))</f>
        <v>-72.58</v>
      </c>
      <c r="F334" s="1" cm="1">
        <f t="array" ref="F334">IFERROR(E334/INDEX($D$2:$D$526,MATCH(1,($A$2:$A$526=$A334)*($B$2:$B$526=2019)*($C$2:$C$526=$C334),0)),0)</f>
        <v>-1</v>
      </c>
    </row>
    <row r="335" spans="1:6" x14ac:dyDescent="0.25">
      <c r="A335">
        <v>4</v>
      </c>
      <c r="B335">
        <v>2007</v>
      </c>
      <c r="C335">
        <v>4</v>
      </c>
      <c r="D335">
        <f>SUMIFS('Refinery Summary'!$G$2:$G$1899,'Refinery Summary'!$B$2:$B$1899,RefCapacity!$A335,'Refinery Summary'!$A$2:$A$1899,RefCapacity!$B335,'Refinery Summary'!$C$2:$C$1899,RefCapacity!$C335)/1000</f>
        <v>149</v>
      </c>
      <c r="E335" cm="1">
        <f t="array" ref="E335">$D335-INDEX($D$2:$D$526,MATCH(1,($A$2:$A$526=$A335)*($B$2:$B$526=2019)*($C$2:$C$526=$C335),0))</f>
        <v>-71.444999999999993</v>
      </c>
      <c r="F335" s="1" cm="1">
        <f t="array" ref="F335">IFERROR(E335/INDEX($D$2:$D$526,MATCH(1,($A$2:$A$526=$A335)*($B$2:$B$526=2019)*($C$2:$C$526=$C335),0)),0)</f>
        <v>-0.32409444532649867</v>
      </c>
    </row>
    <row r="336" spans="1:6" x14ac:dyDescent="0.25">
      <c r="A336">
        <v>4</v>
      </c>
      <c r="B336">
        <v>2007</v>
      </c>
      <c r="C336">
        <v>5</v>
      </c>
      <c r="D336">
        <f>SUMIFS('Refinery Summary'!$G$2:$G$1899,'Refinery Summary'!$B$2:$B$1899,RefCapacity!$A336,'Refinery Summary'!$A$2:$A$1899,RefCapacity!$B336,'Refinery Summary'!$C$2:$C$1899,RefCapacity!$C336)/1000</f>
        <v>0</v>
      </c>
      <c r="E336" cm="1">
        <f t="array" ref="E336">$D336-INDEX($D$2:$D$526,MATCH(1,($A$2:$A$526=$A336)*($B$2:$B$526=2019)*($C$2:$C$526=$C336),0))</f>
        <v>0</v>
      </c>
      <c r="F336" s="1" cm="1">
        <f t="array" ref="F336">IFERROR(E336/INDEX($D$2:$D$526,MATCH(1,($A$2:$A$526=$A336)*($B$2:$B$526=2019)*($C$2:$C$526=$C336),0)),0)</f>
        <v>0</v>
      </c>
    </row>
    <row r="337" spans="1:6" x14ac:dyDescent="0.25">
      <c r="A337">
        <v>4</v>
      </c>
      <c r="B337">
        <v>2007</v>
      </c>
      <c r="C337">
        <v>6</v>
      </c>
      <c r="D337">
        <f>SUMIFS('Refinery Summary'!$G$2:$G$1899,'Refinery Summary'!$B$2:$B$1899,RefCapacity!$A337,'Refinery Summary'!$A$2:$A$1899,RefCapacity!$B337,'Refinery Summary'!$C$2:$C$1899,RefCapacity!$C337)/1000</f>
        <v>60</v>
      </c>
      <c r="E337" cm="1">
        <f t="array" ref="E337">$D337-INDEX($D$2:$D$526,MATCH(1,($A$2:$A$526=$A337)*($B$2:$B$526=2019)*($C$2:$C$526=$C337),0))</f>
        <v>-85.254999999999995</v>
      </c>
      <c r="F337" s="1" cm="1">
        <f t="array" ref="F337">IFERROR(E337/INDEX($D$2:$D$526,MATCH(1,($A$2:$A$526=$A337)*($B$2:$B$526=2019)*($C$2:$C$526=$C337),0)),0)</f>
        <v>-0.58693332415407384</v>
      </c>
    </row>
    <row r="338" spans="1:6" x14ac:dyDescent="0.25">
      <c r="A338">
        <v>4</v>
      </c>
      <c r="B338">
        <v>2008</v>
      </c>
      <c r="C338">
        <v>0</v>
      </c>
      <c r="D338">
        <f>SUMIFS('Refinery Summary'!$G$2:$G$1899,'Refinery Summary'!$B$2:$B$1899,RefCapacity!$A338,'Refinery Summary'!$A$2:$A$1899,RefCapacity!$B338,'Refinery Summary'!$C$2:$C$1899,RefCapacity!$C338)/1000</f>
        <v>12.5</v>
      </c>
      <c r="E338" cm="1">
        <f t="array" ref="E338">$D338-INDEX($D$2:$D$526,MATCH(1,($A$2:$A$526=$A338)*($B$2:$B$526=2019)*($C$2:$C$526=$C338),0))</f>
        <v>-2.4149999999999991</v>
      </c>
      <c r="F338" s="1" cm="1">
        <f t="array" ref="F338">IFERROR(E338/INDEX($D$2:$D$526,MATCH(1,($A$2:$A$526=$A338)*($B$2:$B$526=2019)*($C$2:$C$526=$C338),0)),0)</f>
        <v>-0.16191753268521616</v>
      </c>
    </row>
    <row r="339" spans="1:6" x14ac:dyDescent="0.25">
      <c r="A339">
        <v>4</v>
      </c>
      <c r="B339">
        <v>2008</v>
      </c>
      <c r="C339">
        <v>1</v>
      </c>
      <c r="D339">
        <f>SUMIFS('Refinery Summary'!$G$2:$G$1899,'Refinery Summary'!$B$2:$B$1899,RefCapacity!$A339,'Refinery Summary'!$A$2:$A$1899,RefCapacity!$B339,'Refinery Summary'!$C$2:$C$1899,RefCapacity!$C339)/1000</f>
        <v>378.5</v>
      </c>
      <c r="E339" cm="1">
        <f t="array" ref="E339">$D339-INDEX($D$2:$D$526,MATCH(1,($A$2:$A$526=$A339)*($B$2:$B$526=2019)*($C$2:$C$526=$C339),0))</f>
        <v>147.30000000000001</v>
      </c>
      <c r="F339" s="1" cm="1">
        <f t="array" ref="F339">IFERROR(E339/INDEX($D$2:$D$526,MATCH(1,($A$2:$A$526=$A339)*($B$2:$B$526=2019)*($C$2:$C$526=$C339),0)),0)</f>
        <v>0.63711072664359869</v>
      </c>
    </row>
    <row r="340" spans="1:6" x14ac:dyDescent="0.25">
      <c r="A340">
        <v>4</v>
      </c>
      <c r="B340">
        <v>2008</v>
      </c>
      <c r="C340">
        <v>2</v>
      </c>
      <c r="D340">
        <f>SUMIFS('Refinery Summary'!$G$2:$G$1899,'Refinery Summary'!$B$2:$B$1899,RefCapacity!$A340,'Refinery Summary'!$A$2:$A$1899,RefCapacity!$B340,'Refinery Summary'!$C$2:$C$1899,RefCapacity!$C340)/1000</f>
        <v>0</v>
      </c>
      <c r="E340" cm="1">
        <f t="array" ref="E340">$D340-INDEX($D$2:$D$526,MATCH(1,($A$2:$A$526=$A340)*($B$2:$B$526=2019)*($C$2:$C$526=$C340),0))</f>
        <v>0</v>
      </c>
      <c r="F340" s="1" cm="1">
        <f t="array" ref="F340">IFERROR(E340/INDEX($D$2:$D$526,MATCH(1,($A$2:$A$526=$A340)*($B$2:$B$526=2019)*($C$2:$C$526=$C340),0)),0)</f>
        <v>0</v>
      </c>
    </row>
    <row r="341" spans="1:6" x14ac:dyDescent="0.25">
      <c r="A341">
        <v>4</v>
      </c>
      <c r="B341">
        <v>2008</v>
      </c>
      <c r="C341">
        <v>3</v>
      </c>
      <c r="D341">
        <f>SUMIFS('Refinery Summary'!$G$2:$G$1899,'Refinery Summary'!$B$2:$B$1899,RefCapacity!$A341,'Refinery Summary'!$A$2:$A$1899,RefCapacity!$B341,'Refinery Summary'!$C$2:$C$1899,RefCapacity!$C341)/1000</f>
        <v>30</v>
      </c>
      <c r="E341" cm="1">
        <f t="array" ref="E341">$D341-INDEX($D$2:$D$526,MATCH(1,($A$2:$A$526=$A341)*($B$2:$B$526=2019)*($C$2:$C$526=$C341),0))</f>
        <v>-42.58</v>
      </c>
      <c r="F341" s="1" cm="1">
        <f t="array" ref="F341">IFERROR(E341/INDEX($D$2:$D$526,MATCH(1,($A$2:$A$526=$A341)*($B$2:$B$526=2019)*($C$2:$C$526=$C341),0)),0)</f>
        <v>-0.58666299255993382</v>
      </c>
    </row>
    <row r="342" spans="1:6" x14ac:dyDescent="0.25">
      <c r="A342">
        <v>4</v>
      </c>
      <c r="B342">
        <v>2008</v>
      </c>
      <c r="C342">
        <v>4</v>
      </c>
      <c r="D342">
        <f>SUMIFS('Refinery Summary'!$G$2:$G$1899,'Refinery Summary'!$B$2:$B$1899,RefCapacity!$A342,'Refinery Summary'!$A$2:$A$1899,RefCapacity!$B342,'Refinery Summary'!$C$2:$C$1899,RefCapacity!$C342)/1000</f>
        <v>149</v>
      </c>
      <c r="E342" cm="1">
        <f t="array" ref="E342">$D342-INDEX($D$2:$D$526,MATCH(1,($A$2:$A$526=$A342)*($B$2:$B$526=2019)*($C$2:$C$526=$C342),0))</f>
        <v>-71.444999999999993</v>
      </c>
      <c r="F342" s="1" cm="1">
        <f t="array" ref="F342">IFERROR(E342/INDEX($D$2:$D$526,MATCH(1,($A$2:$A$526=$A342)*($B$2:$B$526=2019)*($C$2:$C$526=$C342),0)),0)</f>
        <v>-0.32409444532649867</v>
      </c>
    </row>
    <row r="343" spans="1:6" x14ac:dyDescent="0.25">
      <c r="A343">
        <v>4</v>
      </c>
      <c r="B343">
        <v>2008</v>
      </c>
      <c r="C343">
        <v>5</v>
      </c>
      <c r="D343">
        <f>SUMIFS('Refinery Summary'!$G$2:$G$1899,'Refinery Summary'!$B$2:$B$1899,RefCapacity!$A343,'Refinery Summary'!$A$2:$A$1899,RefCapacity!$B343,'Refinery Summary'!$C$2:$C$1899,RefCapacity!$C343)/1000</f>
        <v>0</v>
      </c>
      <c r="E343" cm="1">
        <f t="array" ref="E343">$D343-INDEX($D$2:$D$526,MATCH(1,($A$2:$A$526=$A343)*($B$2:$B$526=2019)*($C$2:$C$526=$C343),0))</f>
        <v>0</v>
      </c>
      <c r="F343" s="1" cm="1">
        <f t="array" ref="F343">IFERROR(E343/INDEX($D$2:$D$526,MATCH(1,($A$2:$A$526=$A343)*($B$2:$B$526=2019)*($C$2:$C$526=$C343),0)),0)</f>
        <v>0</v>
      </c>
    </row>
    <row r="344" spans="1:6" x14ac:dyDescent="0.25">
      <c r="A344">
        <v>4</v>
      </c>
      <c r="B344">
        <v>2008</v>
      </c>
      <c r="C344">
        <v>6</v>
      </c>
      <c r="D344">
        <f>SUMIFS('Refinery Summary'!$G$2:$G$1899,'Refinery Summary'!$B$2:$B$1899,RefCapacity!$A344,'Refinery Summary'!$A$2:$A$1899,RefCapacity!$B344,'Refinery Summary'!$C$2:$C$1899,RefCapacity!$C344)/1000</f>
        <v>60</v>
      </c>
      <c r="E344" cm="1">
        <f t="array" ref="E344">$D344-INDEX($D$2:$D$526,MATCH(1,($A$2:$A$526=$A344)*($B$2:$B$526=2019)*($C$2:$C$526=$C344),0))</f>
        <v>-85.254999999999995</v>
      </c>
      <c r="F344" s="1" cm="1">
        <f t="array" ref="F344">IFERROR(E344/INDEX($D$2:$D$526,MATCH(1,($A$2:$A$526=$A344)*($B$2:$B$526=2019)*($C$2:$C$526=$C344),0)),0)</f>
        <v>-0.58693332415407384</v>
      </c>
    </row>
    <row r="345" spans="1:6" x14ac:dyDescent="0.25">
      <c r="A345">
        <v>4</v>
      </c>
      <c r="B345">
        <v>2009</v>
      </c>
      <c r="C345">
        <v>0</v>
      </c>
      <c r="D345">
        <f>SUMIFS('Refinery Summary'!$G$2:$G$1899,'Refinery Summary'!$B$2:$B$1899,RefCapacity!$A345,'Refinery Summary'!$A$2:$A$1899,RefCapacity!$B345,'Refinery Summary'!$C$2:$C$1899,RefCapacity!$C345)/1000</f>
        <v>12.5</v>
      </c>
      <c r="E345" cm="1">
        <f t="array" ref="E345">$D345-INDEX($D$2:$D$526,MATCH(1,($A$2:$A$526=$A345)*($B$2:$B$526=2019)*($C$2:$C$526=$C345),0))</f>
        <v>-2.4149999999999991</v>
      </c>
      <c r="F345" s="1" cm="1">
        <f t="array" ref="F345">IFERROR(E345/INDEX($D$2:$D$526,MATCH(1,($A$2:$A$526=$A345)*($B$2:$B$526=2019)*($C$2:$C$526=$C345),0)),0)</f>
        <v>-0.16191753268521616</v>
      </c>
    </row>
    <row r="346" spans="1:6" x14ac:dyDescent="0.25">
      <c r="A346">
        <v>4</v>
      </c>
      <c r="B346">
        <v>2009</v>
      </c>
      <c r="C346">
        <v>1</v>
      </c>
      <c r="D346">
        <f>SUMIFS('Refinery Summary'!$G$2:$G$1899,'Refinery Summary'!$B$2:$B$1899,RefCapacity!$A346,'Refinery Summary'!$A$2:$A$1899,RefCapacity!$B346,'Refinery Summary'!$C$2:$C$1899,RefCapacity!$C346)/1000</f>
        <v>319.89999999999998</v>
      </c>
      <c r="E346" cm="1">
        <f t="array" ref="E346">$D346-INDEX($D$2:$D$526,MATCH(1,($A$2:$A$526=$A346)*($B$2:$B$526=2019)*($C$2:$C$526=$C346),0))</f>
        <v>88.699999999999989</v>
      </c>
      <c r="F346" s="1" cm="1">
        <f t="array" ref="F346">IFERROR(E346/INDEX($D$2:$D$526,MATCH(1,($A$2:$A$526=$A346)*($B$2:$B$526=2019)*($C$2:$C$526=$C346),0)),0)</f>
        <v>0.38365051903114183</v>
      </c>
    </row>
    <row r="347" spans="1:6" x14ac:dyDescent="0.25">
      <c r="A347">
        <v>4</v>
      </c>
      <c r="B347">
        <v>2009</v>
      </c>
      <c r="C347">
        <v>2</v>
      </c>
      <c r="D347">
        <f>SUMIFS('Refinery Summary'!$G$2:$G$1899,'Refinery Summary'!$B$2:$B$1899,RefCapacity!$A347,'Refinery Summary'!$A$2:$A$1899,RefCapacity!$B347,'Refinery Summary'!$C$2:$C$1899,RefCapacity!$C347)/1000</f>
        <v>0</v>
      </c>
      <c r="E347" cm="1">
        <f t="array" ref="E347">$D347-INDEX($D$2:$D$526,MATCH(1,($A$2:$A$526=$A347)*($B$2:$B$526=2019)*($C$2:$C$526=$C347),0))</f>
        <v>0</v>
      </c>
      <c r="F347" s="1" cm="1">
        <f t="array" ref="F347">IFERROR(E347/INDEX($D$2:$D$526,MATCH(1,($A$2:$A$526=$A347)*($B$2:$B$526=2019)*($C$2:$C$526=$C347),0)),0)</f>
        <v>0</v>
      </c>
    </row>
    <row r="348" spans="1:6" x14ac:dyDescent="0.25">
      <c r="A348">
        <v>4</v>
      </c>
      <c r="B348">
        <v>2009</v>
      </c>
      <c r="C348">
        <v>3</v>
      </c>
      <c r="D348">
        <f>SUMIFS('Refinery Summary'!$G$2:$G$1899,'Refinery Summary'!$B$2:$B$1899,RefCapacity!$A348,'Refinery Summary'!$A$2:$A$1899,RefCapacity!$B348,'Refinery Summary'!$C$2:$C$1899,RefCapacity!$C348)/1000</f>
        <v>0</v>
      </c>
      <c r="E348" cm="1">
        <f t="array" ref="E348">$D348-INDEX($D$2:$D$526,MATCH(1,($A$2:$A$526=$A348)*($B$2:$B$526=2019)*($C$2:$C$526=$C348),0))</f>
        <v>-72.58</v>
      </c>
      <c r="F348" s="1" cm="1">
        <f t="array" ref="F348">IFERROR(E348/INDEX($D$2:$D$526,MATCH(1,($A$2:$A$526=$A348)*($B$2:$B$526=2019)*($C$2:$C$526=$C348),0)),0)</f>
        <v>-1</v>
      </c>
    </row>
    <row r="349" spans="1:6" x14ac:dyDescent="0.25">
      <c r="A349">
        <v>4</v>
      </c>
      <c r="B349">
        <v>2009</v>
      </c>
      <c r="C349">
        <v>4</v>
      </c>
      <c r="D349">
        <f>SUMIFS('Refinery Summary'!$G$2:$G$1899,'Refinery Summary'!$B$2:$B$1899,RefCapacity!$A349,'Refinery Summary'!$A$2:$A$1899,RefCapacity!$B349,'Refinery Summary'!$C$2:$C$1899,RefCapacity!$C349)/1000</f>
        <v>208.6</v>
      </c>
      <c r="E349" cm="1">
        <f t="array" ref="E349">$D349-INDEX($D$2:$D$526,MATCH(1,($A$2:$A$526=$A349)*($B$2:$B$526=2019)*($C$2:$C$526=$C349),0))</f>
        <v>-11.844999999999999</v>
      </c>
      <c r="F349" s="1" cm="1">
        <f t="array" ref="F349">IFERROR(E349/INDEX($D$2:$D$526,MATCH(1,($A$2:$A$526=$A349)*($B$2:$B$526=2019)*($C$2:$C$526=$C349),0)),0)</f>
        <v>-5.373222345709814E-2</v>
      </c>
    </row>
    <row r="350" spans="1:6" x14ac:dyDescent="0.25">
      <c r="A350">
        <v>4</v>
      </c>
      <c r="B350">
        <v>2009</v>
      </c>
      <c r="C350">
        <v>5</v>
      </c>
      <c r="D350">
        <f>SUMIFS('Refinery Summary'!$G$2:$G$1899,'Refinery Summary'!$B$2:$B$1899,RefCapacity!$A350,'Refinery Summary'!$A$2:$A$1899,RefCapacity!$B350,'Refinery Summary'!$C$2:$C$1899,RefCapacity!$C350)/1000</f>
        <v>0</v>
      </c>
      <c r="E350" cm="1">
        <f t="array" ref="E350">$D350-INDEX($D$2:$D$526,MATCH(1,($A$2:$A$526=$A350)*($B$2:$B$526=2019)*($C$2:$C$526=$C350),0))</f>
        <v>0</v>
      </c>
      <c r="F350" s="1" cm="1">
        <f t="array" ref="F350">IFERROR(E350/INDEX($D$2:$D$526,MATCH(1,($A$2:$A$526=$A350)*($B$2:$B$526=2019)*($C$2:$C$526=$C350),0)),0)</f>
        <v>0</v>
      </c>
    </row>
    <row r="351" spans="1:6" x14ac:dyDescent="0.25">
      <c r="A351">
        <v>4</v>
      </c>
      <c r="B351">
        <v>2009</v>
      </c>
      <c r="C351">
        <v>6</v>
      </c>
      <c r="D351">
        <f>SUMIFS('Refinery Summary'!$G$2:$G$1899,'Refinery Summary'!$B$2:$B$1899,RefCapacity!$A351,'Refinery Summary'!$A$2:$A$1899,RefCapacity!$B351,'Refinery Summary'!$C$2:$C$1899,RefCapacity!$C351)/1000</f>
        <v>60</v>
      </c>
      <c r="E351" cm="1">
        <f t="array" ref="E351">$D351-INDEX($D$2:$D$526,MATCH(1,($A$2:$A$526=$A351)*($B$2:$B$526=2019)*($C$2:$C$526=$C351),0))</f>
        <v>-85.254999999999995</v>
      </c>
      <c r="F351" s="1" cm="1">
        <f t="array" ref="F351">IFERROR(E351/INDEX($D$2:$D$526,MATCH(1,($A$2:$A$526=$A351)*($B$2:$B$526=2019)*($C$2:$C$526=$C351),0)),0)</f>
        <v>-0.58693332415407384</v>
      </c>
    </row>
    <row r="352" spans="1:6" x14ac:dyDescent="0.25">
      <c r="A352">
        <v>4</v>
      </c>
      <c r="B352">
        <v>2010</v>
      </c>
      <c r="C352">
        <v>0</v>
      </c>
      <c r="D352">
        <f>SUMIFS('Refinery Summary'!$G$2:$G$1899,'Refinery Summary'!$B$2:$B$1899,RefCapacity!$A352,'Refinery Summary'!$A$2:$A$1899,RefCapacity!$B352,'Refinery Summary'!$C$2:$C$1899,RefCapacity!$C352)/1000</f>
        <v>12.5</v>
      </c>
      <c r="E352" cm="1">
        <f t="array" ref="E352">$D352-INDEX($D$2:$D$526,MATCH(1,($A$2:$A$526=$A352)*($B$2:$B$526=2019)*($C$2:$C$526=$C352),0))</f>
        <v>-2.4149999999999991</v>
      </c>
      <c r="F352" s="1" cm="1">
        <f t="array" ref="F352">IFERROR(E352/INDEX($D$2:$D$526,MATCH(1,($A$2:$A$526=$A352)*($B$2:$B$526=2019)*($C$2:$C$526=$C352),0)),0)</f>
        <v>-0.16191753268521616</v>
      </c>
    </row>
    <row r="353" spans="1:6" x14ac:dyDescent="0.25">
      <c r="A353">
        <v>4</v>
      </c>
      <c r="B353">
        <v>2010</v>
      </c>
      <c r="C353">
        <v>1</v>
      </c>
      <c r="D353">
        <f>SUMIFS('Refinery Summary'!$G$2:$G$1899,'Refinery Summary'!$B$2:$B$1899,RefCapacity!$A353,'Refinery Summary'!$A$2:$A$1899,RefCapacity!$B353,'Refinery Summary'!$C$2:$C$1899,RefCapacity!$C353)/1000</f>
        <v>322.95</v>
      </c>
      <c r="E353" cm="1">
        <f t="array" ref="E353">$D353-INDEX($D$2:$D$526,MATCH(1,($A$2:$A$526=$A353)*($B$2:$B$526=2019)*($C$2:$C$526=$C353),0))</f>
        <v>91.75</v>
      </c>
      <c r="F353" s="1" cm="1">
        <f t="array" ref="F353">IFERROR(E353/INDEX($D$2:$D$526,MATCH(1,($A$2:$A$526=$A353)*($B$2:$B$526=2019)*($C$2:$C$526=$C353),0)),0)</f>
        <v>0.39684256055363326</v>
      </c>
    </row>
    <row r="354" spans="1:6" x14ac:dyDescent="0.25">
      <c r="A354">
        <v>4</v>
      </c>
      <c r="B354">
        <v>2010</v>
      </c>
      <c r="C354">
        <v>2</v>
      </c>
      <c r="D354">
        <f>SUMIFS('Refinery Summary'!$G$2:$G$1899,'Refinery Summary'!$B$2:$B$1899,RefCapacity!$A354,'Refinery Summary'!$A$2:$A$1899,RefCapacity!$B354,'Refinery Summary'!$C$2:$C$1899,RefCapacity!$C354)/1000</f>
        <v>0</v>
      </c>
      <c r="E354" cm="1">
        <f t="array" ref="E354">$D354-INDEX($D$2:$D$526,MATCH(1,($A$2:$A$526=$A354)*($B$2:$B$526=2019)*($C$2:$C$526=$C354),0))</f>
        <v>0</v>
      </c>
      <c r="F354" s="1" cm="1">
        <f t="array" ref="F354">IFERROR(E354/INDEX($D$2:$D$526,MATCH(1,($A$2:$A$526=$A354)*($B$2:$B$526=2019)*($C$2:$C$526=$C354),0)),0)</f>
        <v>0</v>
      </c>
    </row>
    <row r="355" spans="1:6" x14ac:dyDescent="0.25">
      <c r="A355">
        <v>4</v>
      </c>
      <c r="B355">
        <v>2010</v>
      </c>
      <c r="C355">
        <v>3</v>
      </c>
      <c r="D355">
        <f>SUMIFS('Refinery Summary'!$G$2:$G$1899,'Refinery Summary'!$B$2:$B$1899,RefCapacity!$A355,'Refinery Summary'!$A$2:$A$1899,RefCapacity!$B355,'Refinery Summary'!$C$2:$C$1899,RefCapacity!$C355)/1000</f>
        <v>0</v>
      </c>
      <c r="E355" cm="1">
        <f t="array" ref="E355">$D355-INDEX($D$2:$D$526,MATCH(1,($A$2:$A$526=$A355)*($B$2:$B$526=2019)*($C$2:$C$526=$C355),0))</f>
        <v>-72.58</v>
      </c>
      <c r="F355" s="1" cm="1">
        <f t="array" ref="F355">IFERROR(E355/INDEX($D$2:$D$526,MATCH(1,($A$2:$A$526=$A355)*($B$2:$B$526=2019)*($C$2:$C$526=$C355),0)),0)</f>
        <v>-1</v>
      </c>
    </row>
    <row r="356" spans="1:6" x14ac:dyDescent="0.25">
      <c r="A356">
        <v>4</v>
      </c>
      <c r="B356">
        <v>2010</v>
      </c>
      <c r="C356">
        <v>4</v>
      </c>
      <c r="D356">
        <f>SUMIFS('Refinery Summary'!$G$2:$G$1899,'Refinery Summary'!$B$2:$B$1899,RefCapacity!$A356,'Refinery Summary'!$A$2:$A$1899,RefCapacity!$B356,'Refinery Summary'!$C$2:$C$1899,RefCapacity!$C356)/1000</f>
        <v>214.6</v>
      </c>
      <c r="E356" cm="1">
        <f t="array" ref="E356">$D356-INDEX($D$2:$D$526,MATCH(1,($A$2:$A$526=$A356)*($B$2:$B$526=2019)*($C$2:$C$526=$C356),0))</f>
        <v>-5.8449999999999989</v>
      </c>
      <c r="F356" s="1" cm="1">
        <f t="array" ref="F356">IFERROR(E356/INDEX($D$2:$D$526,MATCH(1,($A$2:$A$526=$A356)*($B$2:$B$526=2019)*($C$2:$C$526=$C356),0)),0)</f>
        <v>-2.6514550114541038E-2</v>
      </c>
    </row>
    <row r="357" spans="1:6" x14ac:dyDescent="0.25">
      <c r="A357">
        <v>4</v>
      </c>
      <c r="B357">
        <v>2010</v>
      </c>
      <c r="C357">
        <v>5</v>
      </c>
      <c r="D357">
        <f>SUMIFS('Refinery Summary'!$G$2:$G$1899,'Refinery Summary'!$B$2:$B$1899,RefCapacity!$A357,'Refinery Summary'!$A$2:$A$1899,RefCapacity!$B357,'Refinery Summary'!$C$2:$C$1899,RefCapacity!$C357)/1000</f>
        <v>0</v>
      </c>
      <c r="E357" cm="1">
        <f t="array" ref="E357">$D357-INDEX($D$2:$D$526,MATCH(1,($A$2:$A$526=$A357)*($B$2:$B$526=2019)*($C$2:$C$526=$C357),0))</f>
        <v>0</v>
      </c>
      <c r="F357" s="1" cm="1">
        <f t="array" ref="F357">IFERROR(E357/INDEX($D$2:$D$526,MATCH(1,($A$2:$A$526=$A357)*($B$2:$B$526=2019)*($C$2:$C$526=$C357),0)),0)</f>
        <v>0</v>
      </c>
    </row>
    <row r="358" spans="1:6" x14ac:dyDescent="0.25">
      <c r="A358">
        <v>4</v>
      </c>
      <c r="B358">
        <v>2010</v>
      </c>
      <c r="C358">
        <v>6</v>
      </c>
      <c r="D358">
        <f>SUMIFS('Refinery Summary'!$G$2:$G$1899,'Refinery Summary'!$B$2:$B$1899,RefCapacity!$A358,'Refinery Summary'!$A$2:$A$1899,RefCapacity!$B358,'Refinery Summary'!$C$2:$C$1899,RefCapacity!$C358)/1000</f>
        <v>60</v>
      </c>
      <c r="E358" cm="1">
        <f t="array" ref="E358">$D358-INDEX($D$2:$D$526,MATCH(1,($A$2:$A$526=$A358)*($B$2:$B$526=2019)*($C$2:$C$526=$C358),0))</f>
        <v>-85.254999999999995</v>
      </c>
      <c r="F358" s="1" cm="1">
        <f t="array" ref="F358">IFERROR(E358/INDEX($D$2:$D$526,MATCH(1,($A$2:$A$526=$A358)*($B$2:$B$526=2019)*($C$2:$C$526=$C358),0)),0)</f>
        <v>-0.58693332415407384</v>
      </c>
    </row>
    <row r="359" spans="1:6" x14ac:dyDescent="0.25">
      <c r="A359">
        <v>4</v>
      </c>
      <c r="B359">
        <v>2011</v>
      </c>
      <c r="C359">
        <v>0</v>
      </c>
      <c r="D359">
        <f>SUMIFS('Refinery Summary'!$G$2:$G$1899,'Refinery Summary'!$B$2:$B$1899,RefCapacity!$A359,'Refinery Summary'!$A$2:$A$1899,RefCapacity!$B359,'Refinery Summary'!$C$2:$C$1899,RefCapacity!$C359)/1000</f>
        <v>6.25</v>
      </c>
      <c r="E359" cm="1">
        <f t="array" ref="E359">$D359-INDEX($D$2:$D$526,MATCH(1,($A$2:$A$526=$A359)*($B$2:$B$526=2019)*($C$2:$C$526=$C359),0))</f>
        <v>-8.6649999999999991</v>
      </c>
      <c r="F359" s="1" cm="1">
        <f t="array" ref="F359">IFERROR(E359/INDEX($D$2:$D$526,MATCH(1,($A$2:$A$526=$A359)*($B$2:$B$526=2019)*($C$2:$C$526=$C359),0)),0)</f>
        <v>-0.58095876634260812</v>
      </c>
    </row>
    <row r="360" spans="1:6" x14ac:dyDescent="0.25">
      <c r="A360">
        <v>4</v>
      </c>
      <c r="B360">
        <v>2011</v>
      </c>
      <c r="C360">
        <v>1</v>
      </c>
      <c r="D360">
        <f>SUMIFS('Refinery Summary'!$G$2:$G$1899,'Refinery Summary'!$B$2:$B$1899,RefCapacity!$A360,'Refinery Summary'!$A$2:$A$1899,RefCapacity!$B360,'Refinery Summary'!$C$2:$C$1899,RefCapacity!$C360)/1000</f>
        <v>322.95</v>
      </c>
      <c r="E360" cm="1">
        <f t="array" ref="E360">$D360-INDEX($D$2:$D$526,MATCH(1,($A$2:$A$526=$A360)*($B$2:$B$526=2019)*($C$2:$C$526=$C360),0))</f>
        <v>91.75</v>
      </c>
      <c r="F360" s="1" cm="1">
        <f t="array" ref="F360">IFERROR(E360/INDEX($D$2:$D$526,MATCH(1,($A$2:$A$526=$A360)*($B$2:$B$526=2019)*($C$2:$C$526=$C360),0)),0)</f>
        <v>0.39684256055363326</v>
      </c>
    </row>
    <row r="361" spans="1:6" x14ac:dyDescent="0.25">
      <c r="A361">
        <v>4</v>
      </c>
      <c r="B361">
        <v>2011</v>
      </c>
      <c r="C361">
        <v>2</v>
      </c>
      <c r="D361">
        <f>SUMIFS('Refinery Summary'!$G$2:$G$1899,'Refinery Summary'!$B$2:$B$1899,RefCapacity!$A361,'Refinery Summary'!$A$2:$A$1899,RefCapacity!$B361,'Refinery Summary'!$C$2:$C$1899,RefCapacity!$C361)/1000</f>
        <v>0</v>
      </c>
      <c r="E361" cm="1">
        <f t="array" ref="E361">$D361-INDEX($D$2:$D$526,MATCH(1,($A$2:$A$526=$A361)*($B$2:$B$526=2019)*($C$2:$C$526=$C361),0))</f>
        <v>0</v>
      </c>
      <c r="F361" s="1" cm="1">
        <f t="array" ref="F361">IFERROR(E361/INDEX($D$2:$D$526,MATCH(1,($A$2:$A$526=$A361)*($B$2:$B$526=2019)*($C$2:$C$526=$C361),0)),0)</f>
        <v>0</v>
      </c>
    </row>
    <row r="362" spans="1:6" x14ac:dyDescent="0.25">
      <c r="A362">
        <v>4</v>
      </c>
      <c r="B362">
        <v>2011</v>
      </c>
      <c r="C362">
        <v>3</v>
      </c>
      <c r="D362">
        <f>SUMIFS('Refinery Summary'!$G$2:$G$1899,'Refinery Summary'!$B$2:$B$1899,RefCapacity!$A362,'Refinery Summary'!$A$2:$A$1899,RefCapacity!$B362,'Refinery Summary'!$C$2:$C$1899,RefCapacity!$C362)/1000</f>
        <v>0</v>
      </c>
      <c r="E362" cm="1">
        <f t="array" ref="E362">$D362-INDEX($D$2:$D$526,MATCH(1,($A$2:$A$526=$A362)*($B$2:$B$526=2019)*($C$2:$C$526=$C362),0))</f>
        <v>-72.58</v>
      </c>
      <c r="F362" s="1" cm="1">
        <f t="array" ref="F362">IFERROR(E362/INDEX($D$2:$D$526,MATCH(1,($A$2:$A$526=$A362)*($B$2:$B$526=2019)*($C$2:$C$526=$C362),0)),0)</f>
        <v>-1</v>
      </c>
    </row>
    <row r="363" spans="1:6" x14ac:dyDescent="0.25">
      <c r="A363">
        <v>4</v>
      </c>
      <c r="B363">
        <v>2011</v>
      </c>
      <c r="C363">
        <v>4</v>
      </c>
      <c r="D363">
        <f>SUMIFS('Refinery Summary'!$G$2:$G$1899,'Refinery Summary'!$B$2:$B$1899,RefCapacity!$A363,'Refinery Summary'!$A$2:$A$1899,RefCapacity!$B363,'Refinery Summary'!$C$2:$C$1899,RefCapacity!$C363)/1000</f>
        <v>210</v>
      </c>
      <c r="E363" cm="1">
        <f t="array" ref="E363">$D363-INDEX($D$2:$D$526,MATCH(1,($A$2:$A$526=$A363)*($B$2:$B$526=2019)*($C$2:$C$526=$C363),0))</f>
        <v>-10.444999999999993</v>
      </c>
      <c r="F363" s="1" cm="1">
        <f t="array" ref="F363">IFERROR(E363/INDEX($D$2:$D$526,MATCH(1,($A$2:$A$526=$A363)*($B$2:$B$526=2019)*($C$2:$C$526=$C363),0)),0)</f>
        <v>-4.7381433010501454E-2</v>
      </c>
    </row>
    <row r="364" spans="1:6" x14ac:dyDescent="0.25">
      <c r="A364">
        <v>4</v>
      </c>
      <c r="B364">
        <v>2011</v>
      </c>
      <c r="C364">
        <v>5</v>
      </c>
      <c r="D364">
        <f>SUMIFS('Refinery Summary'!$G$2:$G$1899,'Refinery Summary'!$B$2:$B$1899,RefCapacity!$A364,'Refinery Summary'!$A$2:$A$1899,RefCapacity!$B364,'Refinery Summary'!$C$2:$C$1899,RefCapacity!$C364)/1000</f>
        <v>0</v>
      </c>
      <c r="E364" cm="1">
        <f t="array" ref="E364">$D364-INDEX($D$2:$D$526,MATCH(1,($A$2:$A$526=$A364)*($B$2:$B$526=2019)*($C$2:$C$526=$C364),0))</f>
        <v>0</v>
      </c>
      <c r="F364" s="1" cm="1">
        <f t="array" ref="F364">IFERROR(E364/INDEX($D$2:$D$526,MATCH(1,($A$2:$A$526=$A364)*($B$2:$B$526=2019)*($C$2:$C$526=$C364),0)),0)</f>
        <v>0</v>
      </c>
    </row>
    <row r="365" spans="1:6" x14ac:dyDescent="0.25">
      <c r="A365">
        <v>4</v>
      </c>
      <c r="B365">
        <v>2011</v>
      </c>
      <c r="C365">
        <v>6</v>
      </c>
      <c r="D365">
        <f>SUMIFS('Refinery Summary'!$G$2:$G$1899,'Refinery Summary'!$B$2:$B$1899,RefCapacity!$A365,'Refinery Summary'!$A$2:$A$1899,RefCapacity!$B365,'Refinery Summary'!$C$2:$C$1899,RefCapacity!$C365)/1000</f>
        <v>60</v>
      </c>
      <c r="E365" cm="1">
        <f t="array" ref="E365">$D365-INDEX($D$2:$D$526,MATCH(1,($A$2:$A$526=$A365)*($B$2:$B$526=2019)*($C$2:$C$526=$C365),0))</f>
        <v>-85.254999999999995</v>
      </c>
      <c r="F365" s="1" cm="1">
        <f t="array" ref="F365">IFERROR(E365/INDEX($D$2:$D$526,MATCH(1,($A$2:$A$526=$A365)*($B$2:$B$526=2019)*($C$2:$C$526=$C365),0)),0)</f>
        <v>-0.58693332415407384</v>
      </c>
    </row>
    <row r="366" spans="1:6" x14ac:dyDescent="0.25">
      <c r="A366">
        <v>4</v>
      </c>
      <c r="B366">
        <v>2012</v>
      </c>
      <c r="C366">
        <v>0</v>
      </c>
      <c r="D366">
        <f>SUMIFS('Refinery Summary'!$G$2:$G$1899,'Refinery Summary'!$B$2:$B$1899,RefCapacity!$A366,'Refinery Summary'!$A$2:$A$1899,RefCapacity!$B366,'Refinery Summary'!$C$2:$C$1899,RefCapacity!$C366)/1000</f>
        <v>6.25</v>
      </c>
      <c r="E366" cm="1">
        <f t="array" ref="E366">$D366-INDEX($D$2:$D$526,MATCH(1,($A$2:$A$526=$A366)*($B$2:$B$526=2019)*($C$2:$C$526=$C366),0))</f>
        <v>-8.6649999999999991</v>
      </c>
      <c r="F366" s="1" cm="1">
        <f t="array" ref="F366">IFERROR(E366/INDEX($D$2:$D$526,MATCH(1,($A$2:$A$526=$A366)*($B$2:$B$526=2019)*($C$2:$C$526=$C366),0)),0)</f>
        <v>-0.58095876634260812</v>
      </c>
    </row>
    <row r="367" spans="1:6" x14ac:dyDescent="0.25">
      <c r="A367">
        <v>4</v>
      </c>
      <c r="B367">
        <v>2012</v>
      </c>
      <c r="C367">
        <v>1</v>
      </c>
      <c r="D367">
        <f>SUMIFS('Refinery Summary'!$G$2:$G$1899,'Refinery Summary'!$B$2:$B$1899,RefCapacity!$A367,'Refinery Summary'!$A$2:$A$1899,RefCapacity!$B367,'Refinery Summary'!$C$2:$C$1899,RefCapacity!$C367)/1000</f>
        <v>327.95</v>
      </c>
      <c r="E367" cm="1">
        <f t="array" ref="E367">$D367-INDEX($D$2:$D$526,MATCH(1,($A$2:$A$526=$A367)*($B$2:$B$526=2019)*($C$2:$C$526=$C367),0))</f>
        <v>96.75</v>
      </c>
      <c r="F367" s="1" cm="1">
        <f t="array" ref="F367">IFERROR(E367/INDEX($D$2:$D$526,MATCH(1,($A$2:$A$526=$A367)*($B$2:$B$526=2019)*($C$2:$C$526=$C367),0)),0)</f>
        <v>0.41846885813148793</v>
      </c>
    </row>
    <row r="368" spans="1:6" x14ac:dyDescent="0.25">
      <c r="A368">
        <v>4</v>
      </c>
      <c r="B368">
        <v>2012</v>
      </c>
      <c r="C368">
        <v>2</v>
      </c>
      <c r="D368">
        <f>SUMIFS('Refinery Summary'!$G$2:$G$1899,'Refinery Summary'!$B$2:$B$1899,RefCapacity!$A368,'Refinery Summary'!$A$2:$A$1899,RefCapacity!$B368,'Refinery Summary'!$C$2:$C$1899,RefCapacity!$C368)/1000</f>
        <v>0</v>
      </c>
      <c r="E368" cm="1">
        <f t="array" ref="E368">$D368-INDEX($D$2:$D$526,MATCH(1,($A$2:$A$526=$A368)*($B$2:$B$526=2019)*($C$2:$C$526=$C368),0))</f>
        <v>0</v>
      </c>
      <c r="F368" s="1" cm="1">
        <f t="array" ref="F368">IFERROR(E368/INDEX($D$2:$D$526,MATCH(1,($A$2:$A$526=$A368)*($B$2:$B$526=2019)*($C$2:$C$526=$C368),0)),0)</f>
        <v>0</v>
      </c>
    </row>
    <row r="369" spans="1:6" x14ac:dyDescent="0.25">
      <c r="A369">
        <v>4</v>
      </c>
      <c r="B369">
        <v>2012</v>
      </c>
      <c r="C369">
        <v>3</v>
      </c>
      <c r="D369">
        <f>SUMIFS('Refinery Summary'!$G$2:$G$1899,'Refinery Summary'!$B$2:$B$1899,RefCapacity!$A369,'Refinery Summary'!$A$2:$A$1899,RefCapacity!$B369,'Refinery Summary'!$C$2:$C$1899,RefCapacity!$C369)/1000</f>
        <v>0</v>
      </c>
      <c r="E369" cm="1">
        <f t="array" ref="E369">$D369-INDEX($D$2:$D$526,MATCH(1,($A$2:$A$526=$A369)*($B$2:$B$526=2019)*($C$2:$C$526=$C369),0))</f>
        <v>-72.58</v>
      </c>
      <c r="F369" s="1" cm="1">
        <f t="array" ref="F369">IFERROR(E369/INDEX($D$2:$D$526,MATCH(1,($A$2:$A$526=$A369)*($B$2:$B$526=2019)*($C$2:$C$526=$C369),0)),0)</f>
        <v>-1</v>
      </c>
    </row>
    <row r="370" spans="1:6" x14ac:dyDescent="0.25">
      <c r="A370">
        <v>4</v>
      </c>
      <c r="B370">
        <v>2012</v>
      </c>
      <c r="C370">
        <v>4</v>
      </c>
      <c r="D370">
        <f>SUMIFS('Refinery Summary'!$G$2:$G$1899,'Refinery Summary'!$B$2:$B$1899,RefCapacity!$A370,'Refinery Summary'!$A$2:$A$1899,RefCapacity!$B370,'Refinery Summary'!$C$2:$C$1899,RefCapacity!$C370)/1000</f>
        <v>210</v>
      </c>
      <c r="E370" cm="1">
        <f t="array" ref="E370">$D370-INDEX($D$2:$D$526,MATCH(1,($A$2:$A$526=$A370)*($B$2:$B$526=2019)*($C$2:$C$526=$C370),0))</f>
        <v>-10.444999999999993</v>
      </c>
      <c r="F370" s="1" cm="1">
        <f t="array" ref="F370">IFERROR(E370/INDEX($D$2:$D$526,MATCH(1,($A$2:$A$526=$A370)*($B$2:$B$526=2019)*($C$2:$C$526=$C370),0)),0)</f>
        <v>-4.7381433010501454E-2</v>
      </c>
    </row>
    <row r="371" spans="1:6" x14ac:dyDescent="0.25">
      <c r="A371">
        <v>4</v>
      </c>
      <c r="B371">
        <v>2012</v>
      </c>
      <c r="C371">
        <v>5</v>
      </c>
      <c r="D371">
        <f>SUMIFS('Refinery Summary'!$G$2:$G$1899,'Refinery Summary'!$B$2:$B$1899,RefCapacity!$A371,'Refinery Summary'!$A$2:$A$1899,RefCapacity!$B371,'Refinery Summary'!$C$2:$C$1899,RefCapacity!$C371)/1000</f>
        <v>0</v>
      </c>
      <c r="E371" cm="1">
        <f t="array" ref="E371">$D371-INDEX($D$2:$D$526,MATCH(1,($A$2:$A$526=$A371)*($B$2:$B$526=2019)*($C$2:$C$526=$C371),0))</f>
        <v>0</v>
      </c>
      <c r="F371" s="1" cm="1">
        <f t="array" ref="F371">IFERROR(E371/INDEX($D$2:$D$526,MATCH(1,($A$2:$A$526=$A371)*($B$2:$B$526=2019)*($C$2:$C$526=$C371),0)),0)</f>
        <v>0</v>
      </c>
    </row>
    <row r="372" spans="1:6" x14ac:dyDescent="0.25">
      <c r="A372">
        <v>4</v>
      </c>
      <c r="B372">
        <v>2012</v>
      </c>
      <c r="C372">
        <v>6</v>
      </c>
      <c r="D372">
        <f>SUMIFS('Refinery Summary'!$G$2:$G$1899,'Refinery Summary'!$B$2:$B$1899,RefCapacity!$A372,'Refinery Summary'!$A$2:$A$1899,RefCapacity!$B372,'Refinery Summary'!$C$2:$C$1899,RefCapacity!$C372)/1000</f>
        <v>60</v>
      </c>
      <c r="E372" cm="1">
        <f t="array" ref="E372">$D372-INDEX($D$2:$D$526,MATCH(1,($A$2:$A$526=$A372)*($B$2:$B$526=2019)*($C$2:$C$526=$C372),0))</f>
        <v>-85.254999999999995</v>
      </c>
      <c r="F372" s="1" cm="1">
        <f t="array" ref="F372">IFERROR(E372/INDEX($D$2:$D$526,MATCH(1,($A$2:$A$526=$A372)*($B$2:$B$526=2019)*($C$2:$C$526=$C372),0)),0)</f>
        <v>-0.58693332415407384</v>
      </c>
    </row>
    <row r="373" spans="1:6" x14ac:dyDescent="0.25">
      <c r="A373">
        <v>4</v>
      </c>
      <c r="B373">
        <v>2013</v>
      </c>
      <c r="C373">
        <v>0</v>
      </c>
      <c r="D373">
        <f>SUMIFS('Refinery Summary'!$G$2:$G$1899,'Refinery Summary'!$B$2:$B$1899,RefCapacity!$A373,'Refinery Summary'!$A$2:$A$1899,RefCapacity!$B373,'Refinery Summary'!$C$2:$C$1899,RefCapacity!$C373)/1000</f>
        <v>6.25</v>
      </c>
      <c r="E373" cm="1">
        <f t="array" ref="E373">$D373-INDEX($D$2:$D$526,MATCH(1,($A$2:$A$526=$A373)*($B$2:$B$526=2019)*($C$2:$C$526=$C373),0))</f>
        <v>-8.6649999999999991</v>
      </c>
      <c r="F373" s="1" cm="1">
        <f t="array" ref="F373">IFERROR(E373/INDEX($D$2:$D$526,MATCH(1,($A$2:$A$526=$A373)*($B$2:$B$526=2019)*($C$2:$C$526=$C373),0)),0)</f>
        <v>-0.58095876634260812</v>
      </c>
    </row>
    <row r="374" spans="1:6" x14ac:dyDescent="0.25">
      <c r="A374">
        <v>4</v>
      </c>
      <c r="B374">
        <v>2013</v>
      </c>
      <c r="C374">
        <v>1</v>
      </c>
      <c r="D374">
        <f>SUMIFS('Refinery Summary'!$G$2:$G$1899,'Refinery Summary'!$B$2:$B$1899,RefCapacity!$A374,'Refinery Summary'!$A$2:$A$1899,RefCapacity!$B374,'Refinery Summary'!$C$2:$C$1899,RefCapacity!$C374)/1000</f>
        <v>327.95</v>
      </c>
      <c r="E374" cm="1">
        <f t="array" ref="E374">$D374-INDEX($D$2:$D$526,MATCH(1,($A$2:$A$526=$A374)*($B$2:$B$526=2019)*($C$2:$C$526=$C374),0))</f>
        <v>96.75</v>
      </c>
      <c r="F374" s="1" cm="1">
        <f t="array" ref="F374">IFERROR(E374/INDEX($D$2:$D$526,MATCH(1,($A$2:$A$526=$A374)*($B$2:$B$526=2019)*($C$2:$C$526=$C374),0)),0)</f>
        <v>0.41846885813148793</v>
      </c>
    </row>
    <row r="375" spans="1:6" x14ac:dyDescent="0.25">
      <c r="A375">
        <v>4</v>
      </c>
      <c r="B375">
        <v>2013</v>
      </c>
      <c r="C375">
        <v>2</v>
      </c>
      <c r="D375">
        <f>SUMIFS('Refinery Summary'!$G$2:$G$1899,'Refinery Summary'!$B$2:$B$1899,RefCapacity!$A375,'Refinery Summary'!$A$2:$A$1899,RefCapacity!$B375,'Refinery Summary'!$C$2:$C$1899,RefCapacity!$C375)/1000</f>
        <v>0</v>
      </c>
      <c r="E375" cm="1">
        <f t="array" ref="E375">$D375-INDEX($D$2:$D$526,MATCH(1,($A$2:$A$526=$A375)*($B$2:$B$526=2019)*($C$2:$C$526=$C375),0))</f>
        <v>0</v>
      </c>
      <c r="F375" s="1" cm="1">
        <f t="array" ref="F375">IFERROR(E375/INDEX($D$2:$D$526,MATCH(1,($A$2:$A$526=$A375)*($B$2:$B$526=2019)*($C$2:$C$526=$C375),0)),0)</f>
        <v>0</v>
      </c>
    </row>
    <row r="376" spans="1:6" x14ac:dyDescent="0.25">
      <c r="A376">
        <v>4</v>
      </c>
      <c r="B376">
        <v>2013</v>
      </c>
      <c r="C376">
        <v>3</v>
      </c>
      <c r="D376">
        <f>SUMIFS('Refinery Summary'!$G$2:$G$1899,'Refinery Summary'!$B$2:$B$1899,RefCapacity!$A376,'Refinery Summary'!$A$2:$A$1899,RefCapacity!$B376,'Refinery Summary'!$C$2:$C$1899,RefCapacity!$C376)/1000</f>
        <v>0</v>
      </c>
      <c r="E376" cm="1">
        <f t="array" ref="E376">$D376-INDEX($D$2:$D$526,MATCH(1,($A$2:$A$526=$A376)*($B$2:$B$526=2019)*($C$2:$C$526=$C376),0))</f>
        <v>-72.58</v>
      </c>
      <c r="F376" s="1" cm="1">
        <f t="array" ref="F376">IFERROR(E376/INDEX($D$2:$D$526,MATCH(1,($A$2:$A$526=$A376)*($B$2:$B$526=2019)*($C$2:$C$526=$C376),0)),0)</f>
        <v>-1</v>
      </c>
    </row>
    <row r="377" spans="1:6" x14ac:dyDescent="0.25">
      <c r="A377">
        <v>4</v>
      </c>
      <c r="B377">
        <v>2013</v>
      </c>
      <c r="C377">
        <v>4</v>
      </c>
      <c r="D377">
        <f>SUMIFS('Refinery Summary'!$G$2:$G$1899,'Refinery Summary'!$B$2:$B$1899,RefCapacity!$A377,'Refinery Summary'!$A$2:$A$1899,RefCapacity!$B377,'Refinery Summary'!$C$2:$C$1899,RefCapacity!$C377)/1000</f>
        <v>210</v>
      </c>
      <c r="E377" cm="1">
        <f t="array" ref="E377">$D377-INDEX($D$2:$D$526,MATCH(1,($A$2:$A$526=$A377)*($B$2:$B$526=2019)*($C$2:$C$526=$C377),0))</f>
        <v>-10.444999999999993</v>
      </c>
      <c r="F377" s="1" cm="1">
        <f t="array" ref="F377">IFERROR(E377/INDEX($D$2:$D$526,MATCH(1,($A$2:$A$526=$A377)*($B$2:$B$526=2019)*($C$2:$C$526=$C377),0)),0)</f>
        <v>-4.7381433010501454E-2</v>
      </c>
    </row>
    <row r="378" spans="1:6" x14ac:dyDescent="0.25">
      <c r="A378">
        <v>4</v>
      </c>
      <c r="B378">
        <v>2013</v>
      </c>
      <c r="C378">
        <v>5</v>
      </c>
      <c r="D378">
        <f>SUMIFS('Refinery Summary'!$G$2:$G$1899,'Refinery Summary'!$B$2:$B$1899,RefCapacity!$A378,'Refinery Summary'!$A$2:$A$1899,RefCapacity!$B378,'Refinery Summary'!$C$2:$C$1899,RefCapacity!$C378)/1000</f>
        <v>0</v>
      </c>
      <c r="E378" cm="1">
        <f t="array" ref="E378">$D378-INDEX($D$2:$D$526,MATCH(1,($A$2:$A$526=$A378)*($B$2:$B$526=2019)*($C$2:$C$526=$C378),0))</f>
        <v>0</v>
      </c>
      <c r="F378" s="1" cm="1">
        <f t="array" ref="F378">IFERROR(E378/INDEX($D$2:$D$526,MATCH(1,($A$2:$A$526=$A378)*($B$2:$B$526=2019)*($C$2:$C$526=$C378),0)),0)</f>
        <v>0</v>
      </c>
    </row>
    <row r="379" spans="1:6" x14ac:dyDescent="0.25">
      <c r="A379">
        <v>4</v>
      </c>
      <c r="B379">
        <v>2013</v>
      </c>
      <c r="C379">
        <v>6</v>
      </c>
      <c r="D379">
        <f>SUMIFS('Refinery Summary'!$G$2:$G$1899,'Refinery Summary'!$B$2:$B$1899,RefCapacity!$A379,'Refinery Summary'!$A$2:$A$1899,RefCapacity!$B379,'Refinery Summary'!$C$2:$C$1899,RefCapacity!$C379)/1000</f>
        <v>60</v>
      </c>
      <c r="E379" cm="1">
        <f t="array" ref="E379">$D379-INDEX($D$2:$D$526,MATCH(1,($A$2:$A$526=$A379)*($B$2:$B$526=2019)*($C$2:$C$526=$C379),0))</f>
        <v>-85.254999999999995</v>
      </c>
      <c r="F379" s="1" cm="1">
        <f t="array" ref="F379">IFERROR(E379/INDEX($D$2:$D$526,MATCH(1,($A$2:$A$526=$A379)*($B$2:$B$526=2019)*($C$2:$C$526=$C379),0)),0)</f>
        <v>-0.58693332415407384</v>
      </c>
    </row>
    <row r="380" spans="1:6" x14ac:dyDescent="0.25">
      <c r="A380">
        <v>4</v>
      </c>
      <c r="B380">
        <v>2014</v>
      </c>
      <c r="C380">
        <v>0</v>
      </c>
      <c r="D380">
        <f>SUMIFS('Refinery Summary'!$G$2:$G$1899,'Refinery Summary'!$B$2:$B$1899,RefCapacity!$A380,'Refinery Summary'!$A$2:$A$1899,RefCapacity!$B380,'Refinery Summary'!$C$2:$C$1899,RefCapacity!$C380)/1000</f>
        <v>6.25</v>
      </c>
      <c r="E380" cm="1">
        <f t="array" ref="E380">$D380-INDEX($D$2:$D$526,MATCH(1,($A$2:$A$526=$A380)*($B$2:$B$526=2019)*($C$2:$C$526=$C380),0))</f>
        <v>-8.6649999999999991</v>
      </c>
      <c r="F380" s="1" cm="1">
        <f t="array" ref="F380">IFERROR(E380/INDEX($D$2:$D$526,MATCH(1,($A$2:$A$526=$A380)*($B$2:$B$526=2019)*($C$2:$C$526=$C380),0)),0)</f>
        <v>-0.58095876634260812</v>
      </c>
    </row>
    <row r="381" spans="1:6" x14ac:dyDescent="0.25">
      <c r="A381">
        <v>4</v>
      </c>
      <c r="B381">
        <v>2014</v>
      </c>
      <c r="C381">
        <v>1</v>
      </c>
      <c r="D381">
        <f>SUMIFS('Refinery Summary'!$G$2:$G$1899,'Refinery Summary'!$B$2:$B$1899,RefCapacity!$A381,'Refinery Summary'!$A$2:$A$1899,RefCapacity!$B381,'Refinery Summary'!$C$2:$C$1899,RefCapacity!$C381)/1000</f>
        <v>327.95</v>
      </c>
      <c r="E381" cm="1">
        <f t="array" ref="E381">$D381-INDEX($D$2:$D$526,MATCH(1,($A$2:$A$526=$A381)*($B$2:$B$526=2019)*($C$2:$C$526=$C381),0))</f>
        <v>96.75</v>
      </c>
      <c r="F381" s="1" cm="1">
        <f t="array" ref="F381">IFERROR(E381/INDEX($D$2:$D$526,MATCH(1,($A$2:$A$526=$A381)*($B$2:$B$526=2019)*($C$2:$C$526=$C381),0)),0)</f>
        <v>0.41846885813148793</v>
      </c>
    </row>
    <row r="382" spans="1:6" x14ac:dyDescent="0.25">
      <c r="A382">
        <v>4</v>
      </c>
      <c r="B382">
        <v>2014</v>
      </c>
      <c r="C382">
        <v>2</v>
      </c>
      <c r="D382">
        <f>SUMIFS('Refinery Summary'!$G$2:$G$1899,'Refinery Summary'!$B$2:$B$1899,RefCapacity!$A382,'Refinery Summary'!$A$2:$A$1899,RefCapacity!$B382,'Refinery Summary'!$C$2:$C$1899,RefCapacity!$C382)/1000</f>
        <v>0</v>
      </c>
      <c r="E382" cm="1">
        <f t="array" ref="E382">$D382-INDEX($D$2:$D$526,MATCH(1,($A$2:$A$526=$A382)*($B$2:$B$526=2019)*($C$2:$C$526=$C382),0))</f>
        <v>0</v>
      </c>
      <c r="F382" s="1" cm="1">
        <f t="array" ref="F382">IFERROR(E382/INDEX($D$2:$D$526,MATCH(1,($A$2:$A$526=$A382)*($B$2:$B$526=2019)*($C$2:$C$526=$C382),0)),0)</f>
        <v>0</v>
      </c>
    </row>
    <row r="383" spans="1:6" x14ac:dyDescent="0.25">
      <c r="A383">
        <v>4</v>
      </c>
      <c r="B383">
        <v>2014</v>
      </c>
      <c r="C383">
        <v>3</v>
      </c>
      <c r="D383">
        <f>SUMIFS('Refinery Summary'!$G$2:$G$1899,'Refinery Summary'!$B$2:$B$1899,RefCapacity!$A383,'Refinery Summary'!$A$2:$A$1899,RefCapacity!$B383,'Refinery Summary'!$C$2:$C$1899,RefCapacity!$C383)/1000</f>
        <v>0</v>
      </c>
      <c r="E383" cm="1">
        <f t="array" ref="E383">$D383-INDEX($D$2:$D$526,MATCH(1,($A$2:$A$526=$A383)*($B$2:$B$526=2019)*($C$2:$C$526=$C383),0))</f>
        <v>-72.58</v>
      </c>
      <c r="F383" s="1" cm="1">
        <f t="array" ref="F383">IFERROR(E383/INDEX($D$2:$D$526,MATCH(1,($A$2:$A$526=$A383)*($B$2:$B$526=2019)*($C$2:$C$526=$C383),0)),0)</f>
        <v>-1</v>
      </c>
    </row>
    <row r="384" spans="1:6" x14ac:dyDescent="0.25">
      <c r="A384">
        <v>4</v>
      </c>
      <c r="B384">
        <v>2014</v>
      </c>
      <c r="C384">
        <v>4</v>
      </c>
      <c r="D384">
        <f>SUMIFS('Refinery Summary'!$G$2:$G$1899,'Refinery Summary'!$B$2:$B$1899,RefCapacity!$A384,'Refinery Summary'!$A$2:$A$1899,RefCapacity!$B384,'Refinery Summary'!$C$2:$C$1899,RefCapacity!$C384)/1000</f>
        <v>211</v>
      </c>
      <c r="E384" cm="1">
        <f t="array" ref="E384">$D384-INDEX($D$2:$D$526,MATCH(1,($A$2:$A$526=$A384)*($B$2:$B$526=2019)*($C$2:$C$526=$C384),0))</f>
        <v>-9.4449999999999932</v>
      </c>
      <c r="F384" s="1" cm="1">
        <f t="array" ref="F384">IFERROR(E384/INDEX($D$2:$D$526,MATCH(1,($A$2:$A$526=$A384)*($B$2:$B$526=2019)*($C$2:$C$526=$C384),0)),0)</f>
        <v>-4.2845154120075273E-2</v>
      </c>
    </row>
    <row r="385" spans="1:6" x14ac:dyDescent="0.25">
      <c r="A385">
        <v>4</v>
      </c>
      <c r="B385">
        <v>2014</v>
      </c>
      <c r="C385">
        <v>5</v>
      </c>
      <c r="D385">
        <f>SUMIFS('Refinery Summary'!$G$2:$G$1899,'Refinery Summary'!$B$2:$B$1899,RefCapacity!$A385,'Refinery Summary'!$A$2:$A$1899,RefCapacity!$B385,'Refinery Summary'!$C$2:$C$1899,RefCapacity!$C385)/1000</f>
        <v>0</v>
      </c>
      <c r="E385" cm="1">
        <f t="array" ref="E385">$D385-INDEX($D$2:$D$526,MATCH(1,($A$2:$A$526=$A385)*($B$2:$B$526=2019)*($C$2:$C$526=$C385),0))</f>
        <v>0</v>
      </c>
      <c r="F385" s="1" cm="1">
        <f t="array" ref="F385">IFERROR(E385/INDEX($D$2:$D$526,MATCH(1,($A$2:$A$526=$A385)*($B$2:$B$526=2019)*($C$2:$C$526=$C385),0)),0)</f>
        <v>0</v>
      </c>
    </row>
    <row r="386" spans="1:6" x14ac:dyDescent="0.25">
      <c r="A386">
        <v>4</v>
      </c>
      <c r="B386">
        <v>2014</v>
      </c>
      <c r="C386">
        <v>6</v>
      </c>
      <c r="D386">
        <f>SUMIFS('Refinery Summary'!$G$2:$G$1899,'Refinery Summary'!$B$2:$B$1899,RefCapacity!$A386,'Refinery Summary'!$A$2:$A$1899,RefCapacity!$B386,'Refinery Summary'!$C$2:$C$1899,RefCapacity!$C386)/1000</f>
        <v>59.5</v>
      </c>
      <c r="E386" cm="1">
        <f t="array" ref="E386">$D386-INDEX($D$2:$D$526,MATCH(1,($A$2:$A$526=$A386)*($B$2:$B$526=2019)*($C$2:$C$526=$C386),0))</f>
        <v>-85.754999999999995</v>
      </c>
      <c r="F386" s="1" cm="1">
        <f t="array" ref="F386">IFERROR(E386/INDEX($D$2:$D$526,MATCH(1,($A$2:$A$526=$A386)*($B$2:$B$526=2019)*($C$2:$C$526=$C386),0)),0)</f>
        <v>-0.59037554645278989</v>
      </c>
    </row>
    <row r="387" spans="1:6" x14ac:dyDescent="0.25">
      <c r="A387">
        <v>4</v>
      </c>
      <c r="B387">
        <v>2015</v>
      </c>
      <c r="C387">
        <v>0</v>
      </c>
      <c r="D387">
        <f>SUMIFS('Refinery Summary'!$G$2:$G$1899,'Refinery Summary'!$B$2:$B$1899,RefCapacity!$A387,'Refinery Summary'!$A$2:$A$1899,RefCapacity!$B387,'Refinery Summary'!$C$2:$C$1899,RefCapacity!$C387)/1000</f>
        <v>6.25</v>
      </c>
      <c r="E387" cm="1">
        <f t="array" ref="E387">$D387-INDEX($D$2:$D$526,MATCH(1,($A$2:$A$526=$A387)*($B$2:$B$526=2019)*($C$2:$C$526=$C387),0))</f>
        <v>-8.6649999999999991</v>
      </c>
      <c r="F387" s="1" cm="1">
        <f t="array" ref="F387">IFERROR(E387/INDEX($D$2:$D$526,MATCH(1,($A$2:$A$526=$A387)*($B$2:$B$526=2019)*($C$2:$C$526=$C387),0)),0)</f>
        <v>-0.58095876634260812</v>
      </c>
    </row>
    <row r="388" spans="1:6" x14ac:dyDescent="0.25">
      <c r="A388">
        <v>4</v>
      </c>
      <c r="B388">
        <v>2015</v>
      </c>
      <c r="C388">
        <v>1</v>
      </c>
      <c r="D388">
        <f>SUMIFS('Refinery Summary'!$G$2:$G$1899,'Refinery Summary'!$B$2:$B$1899,RefCapacity!$A388,'Refinery Summary'!$A$2:$A$1899,RefCapacity!$B388,'Refinery Summary'!$C$2:$C$1899,RefCapacity!$C388)/1000</f>
        <v>344.5</v>
      </c>
      <c r="E388" cm="1">
        <f t="array" ref="E388">$D388-INDEX($D$2:$D$526,MATCH(1,($A$2:$A$526=$A388)*($B$2:$B$526=2019)*($C$2:$C$526=$C388),0))</f>
        <v>113.30000000000001</v>
      </c>
      <c r="F388" s="1" cm="1">
        <f t="array" ref="F388">IFERROR(E388/INDEX($D$2:$D$526,MATCH(1,($A$2:$A$526=$A388)*($B$2:$B$526=2019)*($C$2:$C$526=$C388),0)),0)</f>
        <v>0.49005190311418695</v>
      </c>
    </row>
    <row r="389" spans="1:6" x14ac:dyDescent="0.25">
      <c r="A389">
        <v>4</v>
      </c>
      <c r="B389">
        <v>2015</v>
      </c>
      <c r="C389">
        <v>2</v>
      </c>
      <c r="D389">
        <f>SUMIFS('Refinery Summary'!$G$2:$G$1899,'Refinery Summary'!$B$2:$B$1899,RefCapacity!$A389,'Refinery Summary'!$A$2:$A$1899,RefCapacity!$B389,'Refinery Summary'!$C$2:$C$1899,RefCapacity!$C389)/1000</f>
        <v>0</v>
      </c>
      <c r="E389" cm="1">
        <f t="array" ref="E389">$D389-INDEX($D$2:$D$526,MATCH(1,($A$2:$A$526=$A389)*($B$2:$B$526=2019)*($C$2:$C$526=$C389),0))</f>
        <v>0</v>
      </c>
      <c r="F389" s="1" cm="1">
        <f t="array" ref="F389">IFERROR(E389/INDEX($D$2:$D$526,MATCH(1,($A$2:$A$526=$A389)*($B$2:$B$526=2019)*($C$2:$C$526=$C389),0)),0)</f>
        <v>0</v>
      </c>
    </row>
    <row r="390" spans="1:6" x14ac:dyDescent="0.25">
      <c r="A390">
        <v>4</v>
      </c>
      <c r="B390">
        <v>2015</v>
      </c>
      <c r="C390">
        <v>3</v>
      </c>
      <c r="D390">
        <f>SUMIFS('Refinery Summary'!$G$2:$G$1899,'Refinery Summary'!$B$2:$B$1899,RefCapacity!$A390,'Refinery Summary'!$A$2:$A$1899,RefCapacity!$B390,'Refinery Summary'!$C$2:$C$1899,RefCapacity!$C390)/1000</f>
        <v>0</v>
      </c>
      <c r="E390" cm="1">
        <f t="array" ref="E390">$D390-INDEX($D$2:$D$526,MATCH(1,($A$2:$A$526=$A390)*($B$2:$B$526=2019)*($C$2:$C$526=$C390),0))</f>
        <v>-72.58</v>
      </c>
      <c r="F390" s="1" cm="1">
        <f t="array" ref="F390">IFERROR(E390/INDEX($D$2:$D$526,MATCH(1,($A$2:$A$526=$A390)*($B$2:$B$526=2019)*($C$2:$C$526=$C390),0)),0)</f>
        <v>-1</v>
      </c>
    </row>
    <row r="391" spans="1:6" x14ac:dyDescent="0.25">
      <c r="A391">
        <v>4</v>
      </c>
      <c r="B391">
        <v>2015</v>
      </c>
      <c r="C391">
        <v>4</v>
      </c>
      <c r="D391">
        <f>SUMIFS('Refinery Summary'!$G$2:$G$1899,'Refinery Summary'!$B$2:$B$1899,RefCapacity!$A391,'Refinery Summary'!$A$2:$A$1899,RefCapacity!$B391,'Refinery Summary'!$C$2:$C$1899,RefCapacity!$C391)/1000</f>
        <v>216</v>
      </c>
      <c r="E391" cm="1">
        <f t="array" ref="E391">$D391-INDEX($D$2:$D$526,MATCH(1,($A$2:$A$526=$A391)*($B$2:$B$526=2019)*($C$2:$C$526=$C391),0))</f>
        <v>-4.4449999999999932</v>
      </c>
      <c r="F391" s="1" cm="1">
        <f t="array" ref="F391">IFERROR(E391/INDEX($D$2:$D$526,MATCH(1,($A$2:$A$526=$A391)*($B$2:$B$526=2019)*($C$2:$C$526=$C391),0)),0)</f>
        <v>-2.0163759667944356E-2</v>
      </c>
    </row>
    <row r="392" spans="1:6" x14ac:dyDescent="0.25">
      <c r="A392">
        <v>4</v>
      </c>
      <c r="B392">
        <v>2015</v>
      </c>
      <c r="C392">
        <v>5</v>
      </c>
      <c r="D392">
        <f>SUMIFS('Refinery Summary'!$G$2:$G$1899,'Refinery Summary'!$B$2:$B$1899,RefCapacity!$A392,'Refinery Summary'!$A$2:$A$1899,RefCapacity!$B392,'Refinery Summary'!$C$2:$C$1899,RefCapacity!$C392)/1000</f>
        <v>0</v>
      </c>
      <c r="E392" cm="1">
        <f t="array" ref="E392">$D392-INDEX($D$2:$D$526,MATCH(1,($A$2:$A$526=$A392)*($B$2:$B$526=2019)*($C$2:$C$526=$C392),0))</f>
        <v>0</v>
      </c>
      <c r="F392" s="1" cm="1">
        <f t="array" ref="F392">IFERROR(E392/INDEX($D$2:$D$526,MATCH(1,($A$2:$A$526=$A392)*($B$2:$B$526=2019)*($C$2:$C$526=$C392),0)),0)</f>
        <v>0</v>
      </c>
    </row>
    <row r="393" spans="1:6" x14ac:dyDescent="0.25">
      <c r="A393">
        <v>4</v>
      </c>
      <c r="B393">
        <v>2015</v>
      </c>
      <c r="C393">
        <v>6</v>
      </c>
      <c r="D393">
        <f>SUMIFS('Refinery Summary'!$G$2:$G$1899,'Refinery Summary'!$B$2:$B$1899,RefCapacity!$A393,'Refinery Summary'!$A$2:$A$1899,RefCapacity!$B393,'Refinery Summary'!$C$2:$C$1899,RefCapacity!$C393)/1000</f>
        <v>60.5</v>
      </c>
      <c r="E393" cm="1">
        <f t="array" ref="E393">$D393-INDEX($D$2:$D$526,MATCH(1,($A$2:$A$526=$A393)*($B$2:$B$526=2019)*($C$2:$C$526=$C393),0))</f>
        <v>-84.754999999999995</v>
      </c>
      <c r="F393" s="1" cm="1">
        <f t="array" ref="F393">IFERROR(E393/INDEX($D$2:$D$526,MATCH(1,($A$2:$A$526=$A393)*($B$2:$B$526=2019)*($C$2:$C$526=$C393),0)),0)</f>
        <v>-0.5834911018553578</v>
      </c>
    </row>
    <row r="394" spans="1:6" x14ac:dyDescent="0.25">
      <c r="A394">
        <v>4</v>
      </c>
      <c r="B394">
        <v>2016</v>
      </c>
      <c r="C394">
        <v>0</v>
      </c>
      <c r="D394">
        <f>SUMIFS('Refinery Summary'!$G$2:$G$1899,'Refinery Summary'!$B$2:$B$1899,RefCapacity!$A394,'Refinery Summary'!$A$2:$A$1899,RefCapacity!$B394,'Refinery Summary'!$C$2:$C$1899,RefCapacity!$C394)/1000</f>
        <v>14.914999999999999</v>
      </c>
      <c r="E394" cm="1">
        <f t="array" ref="E394">$D394-INDEX($D$2:$D$526,MATCH(1,($A$2:$A$526=$A394)*($B$2:$B$526=2019)*($C$2:$C$526=$C394),0))</f>
        <v>0</v>
      </c>
      <c r="F394" s="1" cm="1">
        <f t="array" ref="F394">IFERROR(E394/INDEX($D$2:$D$526,MATCH(1,($A$2:$A$526=$A394)*($B$2:$B$526=2019)*($C$2:$C$526=$C394),0)),0)</f>
        <v>0</v>
      </c>
    </row>
    <row r="395" spans="1:6" x14ac:dyDescent="0.25">
      <c r="A395">
        <v>4</v>
      </c>
      <c r="B395">
        <v>2016</v>
      </c>
      <c r="C395">
        <v>1</v>
      </c>
      <c r="D395">
        <f>SUMIFS('Refinery Summary'!$G$2:$G$1899,'Refinery Summary'!$B$2:$B$1899,RefCapacity!$A395,'Refinery Summary'!$A$2:$A$1899,RefCapacity!$B395,'Refinery Summary'!$C$2:$C$1899,RefCapacity!$C395)/1000</f>
        <v>226.72499999999999</v>
      </c>
      <c r="E395" cm="1">
        <f t="array" ref="E395">$D395-INDEX($D$2:$D$526,MATCH(1,($A$2:$A$526=$A395)*($B$2:$B$526=2019)*($C$2:$C$526=$C395),0))</f>
        <v>-4.4749999999999943</v>
      </c>
      <c r="F395" s="1" cm="1">
        <f t="array" ref="F395">IFERROR(E395/INDEX($D$2:$D$526,MATCH(1,($A$2:$A$526=$A395)*($B$2:$B$526=2019)*($C$2:$C$526=$C395),0)),0)</f>
        <v>-1.9355536332179908E-2</v>
      </c>
    </row>
    <row r="396" spans="1:6" x14ac:dyDescent="0.25">
      <c r="A396">
        <v>4</v>
      </c>
      <c r="B396">
        <v>2016</v>
      </c>
      <c r="C396">
        <v>2</v>
      </c>
      <c r="D396">
        <f>SUMIFS('Refinery Summary'!$G$2:$G$1899,'Refinery Summary'!$B$2:$B$1899,RefCapacity!$A396,'Refinery Summary'!$A$2:$A$1899,RefCapacity!$B396,'Refinery Summary'!$C$2:$C$1899,RefCapacity!$C396)/1000</f>
        <v>0</v>
      </c>
      <c r="E396" cm="1">
        <f t="array" ref="E396">$D396-INDEX($D$2:$D$526,MATCH(1,($A$2:$A$526=$A396)*($B$2:$B$526=2019)*($C$2:$C$526=$C396),0))</f>
        <v>0</v>
      </c>
      <c r="F396" s="1" cm="1">
        <f t="array" ref="F396">IFERROR(E396/INDEX($D$2:$D$526,MATCH(1,($A$2:$A$526=$A396)*($B$2:$B$526=2019)*($C$2:$C$526=$C396),0)),0)</f>
        <v>0</v>
      </c>
    </row>
    <row r="397" spans="1:6" x14ac:dyDescent="0.25">
      <c r="A397">
        <v>4</v>
      </c>
      <c r="B397">
        <v>2016</v>
      </c>
      <c r="C397">
        <v>3</v>
      </c>
      <c r="D397">
        <f>SUMIFS('Refinery Summary'!$G$2:$G$1899,'Refinery Summary'!$B$2:$B$1899,RefCapacity!$A397,'Refinery Summary'!$A$2:$A$1899,RefCapacity!$B397,'Refinery Summary'!$C$2:$C$1899,RefCapacity!$C397)/1000</f>
        <v>53.58</v>
      </c>
      <c r="E397" cm="1">
        <f t="array" ref="E397">$D397-INDEX($D$2:$D$526,MATCH(1,($A$2:$A$526=$A397)*($B$2:$B$526=2019)*($C$2:$C$526=$C397),0))</f>
        <v>-19</v>
      </c>
      <c r="F397" s="1" cm="1">
        <f t="array" ref="F397">IFERROR(E397/INDEX($D$2:$D$526,MATCH(1,($A$2:$A$526=$A397)*($B$2:$B$526=2019)*($C$2:$C$526=$C397),0)),0)</f>
        <v>-0.26178010471204188</v>
      </c>
    </row>
    <row r="398" spans="1:6" x14ac:dyDescent="0.25">
      <c r="A398">
        <v>4</v>
      </c>
      <c r="B398">
        <v>2016</v>
      </c>
      <c r="C398">
        <v>4</v>
      </c>
      <c r="D398">
        <f>SUMIFS('Refinery Summary'!$G$2:$G$1899,'Refinery Summary'!$B$2:$B$1899,RefCapacity!$A398,'Refinery Summary'!$A$2:$A$1899,RefCapacity!$B398,'Refinery Summary'!$C$2:$C$1899,RefCapacity!$C398)/1000</f>
        <v>216.845</v>
      </c>
      <c r="E398" cm="1">
        <f t="array" ref="E398">$D398-INDEX($D$2:$D$526,MATCH(1,($A$2:$A$526=$A398)*($B$2:$B$526=2019)*($C$2:$C$526=$C398),0))</f>
        <v>-3.5999999999999943</v>
      </c>
      <c r="F398" s="1" cm="1">
        <f t="array" ref="F398">IFERROR(E398/INDEX($D$2:$D$526,MATCH(1,($A$2:$A$526=$A398)*($B$2:$B$526=2019)*($C$2:$C$526=$C398),0)),0)</f>
        <v>-1.6330604005534235E-2</v>
      </c>
    </row>
    <row r="399" spans="1:6" x14ac:dyDescent="0.25">
      <c r="A399">
        <v>4</v>
      </c>
      <c r="B399">
        <v>2016</v>
      </c>
      <c r="C399">
        <v>5</v>
      </c>
      <c r="D399">
        <f>SUMIFS('Refinery Summary'!$G$2:$G$1899,'Refinery Summary'!$B$2:$B$1899,RefCapacity!$A399,'Refinery Summary'!$A$2:$A$1899,RefCapacity!$B399,'Refinery Summary'!$C$2:$C$1899,RefCapacity!$C399)/1000</f>
        <v>0</v>
      </c>
      <c r="E399" cm="1">
        <f t="array" ref="E399">$D399-INDEX($D$2:$D$526,MATCH(1,($A$2:$A$526=$A399)*($B$2:$B$526=2019)*($C$2:$C$526=$C399),0))</f>
        <v>0</v>
      </c>
      <c r="F399" s="1" cm="1">
        <f t="array" ref="F399">IFERROR(E399/INDEX($D$2:$D$526,MATCH(1,($A$2:$A$526=$A399)*($B$2:$B$526=2019)*($C$2:$C$526=$C399),0)),0)</f>
        <v>0</v>
      </c>
    </row>
    <row r="400" spans="1:6" x14ac:dyDescent="0.25">
      <c r="A400">
        <v>4</v>
      </c>
      <c r="B400">
        <v>2016</v>
      </c>
      <c r="C400">
        <v>6</v>
      </c>
      <c r="D400">
        <f>SUMIFS('Refinery Summary'!$G$2:$G$1899,'Refinery Summary'!$B$2:$B$1899,RefCapacity!$A400,'Refinery Summary'!$A$2:$A$1899,RefCapacity!$B400,'Refinery Summary'!$C$2:$C$1899,RefCapacity!$C400)/1000</f>
        <v>145.255</v>
      </c>
      <c r="E400" cm="1">
        <f t="array" ref="E400">$D400-INDEX($D$2:$D$526,MATCH(1,($A$2:$A$526=$A400)*($B$2:$B$526=2019)*($C$2:$C$526=$C400),0))</f>
        <v>0</v>
      </c>
      <c r="F400" s="1" cm="1">
        <f t="array" ref="F400">IFERROR(E400/INDEX($D$2:$D$526,MATCH(1,($A$2:$A$526=$A400)*($B$2:$B$526=2019)*($C$2:$C$526=$C400),0)),0)</f>
        <v>0</v>
      </c>
    </row>
    <row r="401" spans="1:6" x14ac:dyDescent="0.25">
      <c r="A401">
        <v>4</v>
      </c>
      <c r="B401">
        <v>2017</v>
      </c>
      <c r="C401">
        <v>0</v>
      </c>
      <c r="D401">
        <f>SUMIFS('Refinery Summary'!$G$2:$G$1899,'Refinery Summary'!$B$2:$B$1899,RefCapacity!$A401,'Refinery Summary'!$A$2:$A$1899,RefCapacity!$B401,'Refinery Summary'!$C$2:$C$1899,RefCapacity!$C401)/1000</f>
        <v>14.914999999999999</v>
      </c>
      <c r="E401" cm="1">
        <f t="array" ref="E401">$D401-INDEX($D$2:$D$526,MATCH(1,($A$2:$A$526=$A401)*($B$2:$B$526=2019)*($C$2:$C$526=$C401),0))</f>
        <v>0</v>
      </c>
      <c r="F401" s="1" cm="1">
        <f t="array" ref="F401">IFERROR(E401/INDEX($D$2:$D$526,MATCH(1,($A$2:$A$526=$A401)*($B$2:$B$526=2019)*($C$2:$C$526=$C401),0)),0)</f>
        <v>0</v>
      </c>
    </row>
    <row r="402" spans="1:6" x14ac:dyDescent="0.25">
      <c r="A402">
        <v>4</v>
      </c>
      <c r="B402">
        <v>2017</v>
      </c>
      <c r="C402">
        <v>1</v>
      </c>
      <c r="D402">
        <f>SUMIFS('Refinery Summary'!$G$2:$G$1899,'Refinery Summary'!$B$2:$B$1899,RefCapacity!$A402,'Refinery Summary'!$A$2:$A$1899,RefCapacity!$B402,'Refinery Summary'!$C$2:$C$1899,RefCapacity!$C402)/1000</f>
        <v>230.05</v>
      </c>
      <c r="E402" cm="1">
        <f t="array" ref="E402">$D402-INDEX($D$2:$D$526,MATCH(1,($A$2:$A$526=$A402)*($B$2:$B$526=2019)*($C$2:$C$526=$C402),0))</f>
        <v>-1.1499999999999773</v>
      </c>
      <c r="F402" s="1" cm="1">
        <f t="array" ref="F402">IFERROR(E402/INDEX($D$2:$D$526,MATCH(1,($A$2:$A$526=$A402)*($B$2:$B$526=2019)*($C$2:$C$526=$C402),0)),0)</f>
        <v>-4.9740484429064763E-3</v>
      </c>
    </row>
    <row r="403" spans="1:6" x14ac:dyDescent="0.25">
      <c r="A403">
        <v>4</v>
      </c>
      <c r="B403">
        <v>2017</v>
      </c>
      <c r="C403">
        <v>2</v>
      </c>
      <c r="D403">
        <f>SUMIFS('Refinery Summary'!$G$2:$G$1899,'Refinery Summary'!$B$2:$B$1899,RefCapacity!$A403,'Refinery Summary'!$A$2:$A$1899,RefCapacity!$B403,'Refinery Summary'!$C$2:$C$1899,RefCapacity!$C403)/1000</f>
        <v>0</v>
      </c>
      <c r="E403" cm="1">
        <f t="array" ref="E403">$D403-INDEX($D$2:$D$526,MATCH(1,($A$2:$A$526=$A403)*($B$2:$B$526=2019)*($C$2:$C$526=$C403),0))</f>
        <v>0</v>
      </c>
      <c r="F403" s="1" cm="1">
        <f t="array" ref="F403">IFERROR(E403/INDEX($D$2:$D$526,MATCH(1,($A$2:$A$526=$A403)*($B$2:$B$526=2019)*($C$2:$C$526=$C403),0)),0)</f>
        <v>0</v>
      </c>
    </row>
    <row r="404" spans="1:6" x14ac:dyDescent="0.25">
      <c r="A404">
        <v>4</v>
      </c>
      <c r="B404">
        <v>2017</v>
      </c>
      <c r="C404">
        <v>3</v>
      </c>
      <c r="D404">
        <f>SUMIFS('Refinery Summary'!$G$2:$G$1899,'Refinery Summary'!$B$2:$B$1899,RefCapacity!$A404,'Refinery Summary'!$A$2:$A$1899,RefCapacity!$B404,'Refinery Summary'!$C$2:$C$1899,RefCapacity!$C404)/1000</f>
        <v>72.58</v>
      </c>
      <c r="E404" cm="1">
        <f t="array" ref="E404">$D404-INDEX($D$2:$D$526,MATCH(1,($A$2:$A$526=$A404)*($B$2:$B$526=2019)*($C$2:$C$526=$C404),0))</f>
        <v>0</v>
      </c>
      <c r="F404" s="1" cm="1">
        <f t="array" ref="F404">IFERROR(E404/INDEX($D$2:$D$526,MATCH(1,($A$2:$A$526=$A404)*($B$2:$B$526=2019)*($C$2:$C$526=$C404),0)),0)</f>
        <v>0</v>
      </c>
    </row>
    <row r="405" spans="1:6" x14ac:dyDescent="0.25">
      <c r="A405">
        <v>4</v>
      </c>
      <c r="B405">
        <v>2017</v>
      </c>
      <c r="C405">
        <v>4</v>
      </c>
      <c r="D405">
        <f>SUMIFS('Refinery Summary'!$G$2:$G$1899,'Refinery Summary'!$B$2:$B$1899,RefCapacity!$A405,'Refinery Summary'!$A$2:$A$1899,RefCapacity!$B405,'Refinery Summary'!$C$2:$C$1899,RefCapacity!$C405)/1000</f>
        <v>220.44499999999999</v>
      </c>
      <c r="E405" cm="1">
        <f t="array" ref="E405">$D405-INDEX($D$2:$D$526,MATCH(1,($A$2:$A$526=$A405)*($B$2:$B$526=2019)*($C$2:$C$526=$C405),0))</f>
        <v>0</v>
      </c>
      <c r="F405" s="1" cm="1">
        <f t="array" ref="F405">IFERROR(E405/INDEX($D$2:$D$526,MATCH(1,($A$2:$A$526=$A405)*($B$2:$B$526=2019)*($C$2:$C$526=$C405),0)),0)</f>
        <v>0</v>
      </c>
    </row>
    <row r="406" spans="1:6" x14ac:dyDescent="0.25">
      <c r="A406">
        <v>4</v>
      </c>
      <c r="B406">
        <v>2017</v>
      </c>
      <c r="C406">
        <v>5</v>
      </c>
      <c r="D406">
        <f>SUMIFS('Refinery Summary'!$G$2:$G$1899,'Refinery Summary'!$B$2:$B$1899,RefCapacity!$A406,'Refinery Summary'!$A$2:$A$1899,RefCapacity!$B406,'Refinery Summary'!$C$2:$C$1899,RefCapacity!$C406)/1000</f>
        <v>0</v>
      </c>
      <c r="E406" cm="1">
        <f t="array" ref="E406">$D406-INDEX($D$2:$D$526,MATCH(1,($A$2:$A$526=$A406)*($B$2:$B$526=2019)*($C$2:$C$526=$C406),0))</f>
        <v>0</v>
      </c>
      <c r="F406" s="1" cm="1">
        <f t="array" ref="F406">IFERROR(E406/INDEX($D$2:$D$526,MATCH(1,($A$2:$A$526=$A406)*($B$2:$B$526=2019)*($C$2:$C$526=$C406),0)),0)</f>
        <v>0</v>
      </c>
    </row>
    <row r="407" spans="1:6" x14ac:dyDescent="0.25">
      <c r="A407">
        <v>4</v>
      </c>
      <c r="B407">
        <v>2017</v>
      </c>
      <c r="C407">
        <v>6</v>
      </c>
      <c r="D407">
        <f>SUMIFS('Refinery Summary'!$G$2:$G$1899,'Refinery Summary'!$B$2:$B$1899,RefCapacity!$A407,'Refinery Summary'!$A$2:$A$1899,RefCapacity!$B407,'Refinery Summary'!$C$2:$C$1899,RefCapacity!$C407)/1000</f>
        <v>145.255</v>
      </c>
      <c r="E407" cm="1">
        <f t="array" ref="E407">$D407-INDEX($D$2:$D$526,MATCH(1,($A$2:$A$526=$A407)*($B$2:$B$526=2019)*($C$2:$C$526=$C407),0))</f>
        <v>0</v>
      </c>
      <c r="F407" s="1" cm="1">
        <f t="array" ref="F407">IFERROR(E407/INDEX($D$2:$D$526,MATCH(1,($A$2:$A$526=$A407)*($B$2:$B$526=2019)*($C$2:$C$526=$C407),0)),0)</f>
        <v>0</v>
      </c>
    </row>
    <row r="408" spans="1:6" x14ac:dyDescent="0.25">
      <c r="A408">
        <v>4</v>
      </c>
      <c r="B408">
        <v>2018</v>
      </c>
      <c r="C408">
        <v>0</v>
      </c>
      <c r="D408">
        <f>SUMIFS('Refinery Summary'!$G$2:$G$1899,'Refinery Summary'!$B$2:$B$1899,RefCapacity!$A408,'Refinery Summary'!$A$2:$A$1899,RefCapacity!$B408,'Refinery Summary'!$C$2:$C$1899,RefCapacity!$C408)/1000</f>
        <v>14.914999999999999</v>
      </c>
      <c r="E408" cm="1">
        <f t="array" ref="E408">$D408-INDEX($D$2:$D$526,MATCH(1,($A$2:$A$526=$A408)*($B$2:$B$526=2019)*($C$2:$C$526=$C408),0))</f>
        <v>0</v>
      </c>
      <c r="F408" s="1" cm="1">
        <f t="array" ref="F408">IFERROR(E408/INDEX($D$2:$D$526,MATCH(1,($A$2:$A$526=$A408)*($B$2:$B$526=2019)*($C$2:$C$526=$C408),0)),0)</f>
        <v>0</v>
      </c>
    </row>
    <row r="409" spans="1:6" x14ac:dyDescent="0.25">
      <c r="A409">
        <v>4</v>
      </c>
      <c r="B409">
        <v>2018</v>
      </c>
      <c r="C409">
        <v>1</v>
      </c>
      <c r="D409">
        <f>SUMIFS('Refinery Summary'!$G$2:$G$1899,'Refinery Summary'!$B$2:$B$1899,RefCapacity!$A409,'Refinery Summary'!$A$2:$A$1899,RefCapacity!$B409,'Refinery Summary'!$C$2:$C$1899,RefCapacity!$C409)/1000</f>
        <v>230.05</v>
      </c>
      <c r="E409" cm="1">
        <f t="array" ref="E409">$D409-INDEX($D$2:$D$526,MATCH(1,($A$2:$A$526=$A409)*($B$2:$B$526=2019)*($C$2:$C$526=$C409),0))</f>
        <v>-1.1499999999999773</v>
      </c>
      <c r="F409" s="1" cm="1">
        <f t="array" ref="F409">IFERROR(E409/INDEX($D$2:$D$526,MATCH(1,($A$2:$A$526=$A409)*($B$2:$B$526=2019)*($C$2:$C$526=$C409),0)),0)</f>
        <v>-4.9740484429064763E-3</v>
      </c>
    </row>
    <row r="410" spans="1:6" x14ac:dyDescent="0.25">
      <c r="A410">
        <v>4</v>
      </c>
      <c r="B410">
        <v>2018</v>
      </c>
      <c r="C410">
        <v>2</v>
      </c>
      <c r="D410">
        <f>SUMIFS('Refinery Summary'!$G$2:$G$1899,'Refinery Summary'!$B$2:$B$1899,RefCapacity!$A410,'Refinery Summary'!$A$2:$A$1899,RefCapacity!$B410,'Refinery Summary'!$C$2:$C$1899,RefCapacity!$C410)/1000</f>
        <v>0</v>
      </c>
      <c r="E410" cm="1">
        <f t="array" ref="E410">$D410-INDEX($D$2:$D$526,MATCH(1,($A$2:$A$526=$A410)*($B$2:$B$526=2019)*($C$2:$C$526=$C410),0))</f>
        <v>0</v>
      </c>
      <c r="F410" s="1" cm="1">
        <f t="array" ref="F410">IFERROR(E410/INDEX($D$2:$D$526,MATCH(1,($A$2:$A$526=$A410)*($B$2:$B$526=2019)*($C$2:$C$526=$C410),0)),0)</f>
        <v>0</v>
      </c>
    </row>
    <row r="411" spans="1:6" x14ac:dyDescent="0.25">
      <c r="A411">
        <v>4</v>
      </c>
      <c r="B411">
        <v>2018</v>
      </c>
      <c r="C411">
        <v>3</v>
      </c>
      <c r="D411">
        <f>SUMIFS('Refinery Summary'!$G$2:$G$1899,'Refinery Summary'!$B$2:$B$1899,RefCapacity!$A411,'Refinery Summary'!$A$2:$A$1899,RefCapacity!$B411,'Refinery Summary'!$C$2:$C$1899,RefCapacity!$C411)/1000</f>
        <v>72.58</v>
      </c>
      <c r="E411" cm="1">
        <f t="array" ref="E411">$D411-INDEX($D$2:$D$526,MATCH(1,($A$2:$A$526=$A411)*($B$2:$B$526=2019)*($C$2:$C$526=$C411),0))</f>
        <v>0</v>
      </c>
      <c r="F411" s="1" cm="1">
        <f t="array" ref="F411">IFERROR(E411/INDEX($D$2:$D$526,MATCH(1,($A$2:$A$526=$A411)*($B$2:$B$526=2019)*($C$2:$C$526=$C411),0)),0)</f>
        <v>0</v>
      </c>
    </row>
    <row r="412" spans="1:6" x14ac:dyDescent="0.25">
      <c r="A412">
        <v>4</v>
      </c>
      <c r="B412">
        <v>2018</v>
      </c>
      <c r="C412">
        <v>4</v>
      </c>
      <c r="D412">
        <f>SUMIFS('Refinery Summary'!$G$2:$G$1899,'Refinery Summary'!$B$2:$B$1899,RefCapacity!$A412,'Refinery Summary'!$A$2:$A$1899,RefCapacity!$B412,'Refinery Summary'!$C$2:$C$1899,RefCapacity!$C412)/1000</f>
        <v>220.44499999999999</v>
      </c>
      <c r="E412" cm="1">
        <f t="array" ref="E412">$D412-INDEX($D$2:$D$526,MATCH(1,($A$2:$A$526=$A412)*($B$2:$B$526=2019)*($C$2:$C$526=$C412),0))</f>
        <v>0</v>
      </c>
      <c r="F412" s="1" cm="1">
        <f t="array" ref="F412">IFERROR(E412/INDEX($D$2:$D$526,MATCH(1,($A$2:$A$526=$A412)*($B$2:$B$526=2019)*($C$2:$C$526=$C412),0)),0)</f>
        <v>0</v>
      </c>
    </row>
    <row r="413" spans="1:6" x14ac:dyDescent="0.25">
      <c r="A413">
        <v>4</v>
      </c>
      <c r="B413">
        <v>2018</v>
      </c>
      <c r="C413">
        <v>5</v>
      </c>
      <c r="D413">
        <f>SUMIFS('Refinery Summary'!$G$2:$G$1899,'Refinery Summary'!$B$2:$B$1899,RefCapacity!$A413,'Refinery Summary'!$A$2:$A$1899,RefCapacity!$B413,'Refinery Summary'!$C$2:$C$1899,RefCapacity!$C413)/1000</f>
        <v>0</v>
      </c>
      <c r="E413" cm="1">
        <f t="array" ref="E413">$D413-INDEX($D$2:$D$526,MATCH(1,($A$2:$A$526=$A413)*($B$2:$B$526=2019)*($C$2:$C$526=$C413),0))</f>
        <v>0</v>
      </c>
      <c r="F413" s="1" cm="1">
        <f t="array" ref="F413">IFERROR(E413/INDEX($D$2:$D$526,MATCH(1,($A$2:$A$526=$A413)*($B$2:$B$526=2019)*($C$2:$C$526=$C413),0)),0)</f>
        <v>0</v>
      </c>
    </row>
    <row r="414" spans="1:6" x14ac:dyDescent="0.25">
      <c r="A414">
        <v>4</v>
      </c>
      <c r="B414">
        <v>2018</v>
      </c>
      <c r="C414">
        <v>6</v>
      </c>
      <c r="D414">
        <f>SUMIFS('Refinery Summary'!$G$2:$G$1899,'Refinery Summary'!$B$2:$B$1899,RefCapacity!$A414,'Refinery Summary'!$A$2:$A$1899,RefCapacity!$B414,'Refinery Summary'!$C$2:$C$1899,RefCapacity!$C414)/1000</f>
        <v>145.255</v>
      </c>
      <c r="E414" cm="1">
        <f t="array" ref="E414">$D414-INDEX($D$2:$D$526,MATCH(1,($A$2:$A$526=$A414)*($B$2:$B$526=2019)*($C$2:$C$526=$C414),0))</f>
        <v>0</v>
      </c>
      <c r="F414" s="1" cm="1">
        <f t="array" ref="F414">IFERROR(E414/INDEX($D$2:$D$526,MATCH(1,($A$2:$A$526=$A414)*($B$2:$B$526=2019)*($C$2:$C$526=$C414),0)),0)</f>
        <v>0</v>
      </c>
    </row>
    <row r="415" spans="1:6" x14ac:dyDescent="0.25">
      <c r="A415">
        <v>4</v>
      </c>
      <c r="B415">
        <v>2019</v>
      </c>
      <c r="C415">
        <v>0</v>
      </c>
      <c r="D415">
        <f>SUMIFS('Refinery Summary'!$G$2:$G$1899,'Refinery Summary'!$B$2:$B$1899,RefCapacity!$A415,'Refinery Summary'!$A$2:$A$1899,RefCapacity!$B415,'Refinery Summary'!$C$2:$C$1899,RefCapacity!$C415)/1000</f>
        <v>14.914999999999999</v>
      </c>
      <c r="E415" cm="1">
        <f t="array" ref="E415">$D415-INDEX($D$2:$D$526,MATCH(1,($A$2:$A$526=$A415)*($B$2:$B$526=2019)*($C$2:$C$526=$C415),0))</f>
        <v>0</v>
      </c>
      <c r="F415" s="1" cm="1">
        <f t="array" ref="F415">IFERROR(E415/INDEX($D$2:$D$526,MATCH(1,($A$2:$A$526=$A415)*($B$2:$B$526=2019)*($C$2:$C$526=$C415),0)),0)</f>
        <v>0</v>
      </c>
    </row>
    <row r="416" spans="1:6" x14ac:dyDescent="0.25">
      <c r="A416">
        <v>4</v>
      </c>
      <c r="B416">
        <v>2019</v>
      </c>
      <c r="C416">
        <v>1</v>
      </c>
      <c r="D416">
        <f>SUMIFS('Refinery Summary'!$G$2:$G$1899,'Refinery Summary'!$B$2:$B$1899,RefCapacity!$A416,'Refinery Summary'!$A$2:$A$1899,RefCapacity!$B416,'Refinery Summary'!$C$2:$C$1899,RefCapacity!$C416)/1000</f>
        <v>231.2</v>
      </c>
      <c r="E416" cm="1">
        <f t="array" ref="E416">$D416-INDEX($D$2:$D$526,MATCH(1,($A$2:$A$526=$A416)*($B$2:$B$526=2019)*($C$2:$C$526=$C416),0))</f>
        <v>0</v>
      </c>
      <c r="F416" s="1" cm="1">
        <f t="array" ref="F416">IFERROR(E416/INDEX($D$2:$D$526,MATCH(1,($A$2:$A$526=$A416)*($B$2:$B$526=2019)*($C$2:$C$526=$C416),0)),0)</f>
        <v>0</v>
      </c>
    </row>
    <row r="417" spans="1:6" x14ac:dyDescent="0.25">
      <c r="A417">
        <v>4</v>
      </c>
      <c r="B417">
        <v>2019</v>
      </c>
      <c r="C417">
        <v>2</v>
      </c>
      <c r="D417">
        <f>SUMIFS('Refinery Summary'!$G$2:$G$1899,'Refinery Summary'!$B$2:$B$1899,RefCapacity!$A417,'Refinery Summary'!$A$2:$A$1899,RefCapacity!$B417,'Refinery Summary'!$C$2:$C$1899,RefCapacity!$C417)/1000</f>
        <v>0</v>
      </c>
      <c r="E417" cm="1">
        <f t="array" ref="E417">$D417-INDEX($D$2:$D$526,MATCH(1,($A$2:$A$526=$A417)*($B$2:$B$526=2019)*($C$2:$C$526=$C417),0))</f>
        <v>0</v>
      </c>
      <c r="F417" s="1" cm="1">
        <f t="array" ref="F417">IFERROR(E417/INDEX($D$2:$D$526,MATCH(1,($A$2:$A$526=$A417)*($B$2:$B$526=2019)*($C$2:$C$526=$C417),0)),0)</f>
        <v>0</v>
      </c>
    </row>
    <row r="418" spans="1:6" x14ac:dyDescent="0.25">
      <c r="A418">
        <v>4</v>
      </c>
      <c r="B418">
        <v>2019</v>
      </c>
      <c r="C418">
        <v>3</v>
      </c>
      <c r="D418">
        <f>SUMIFS('Refinery Summary'!$G$2:$G$1899,'Refinery Summary'!$B$2:$B$1899,RefCapacity!$A418,'Refinery Summary'!$A$2:$A$1899,RefCapacity!$B418,'Refinery Summary'!$C$2:$C$1899,RefCapacity!$C418)/1000</f>
        <v>72.58</v>
      </c>
      <c r="E418" cm="1">
        <f t="array" ref="E418">$D418-INDEX($D$2:$D$526,MATCH(1,($A$2:$A$526=$A418)*($B$2:$B$526=2019)*($C$2:$C$526=$C418),0))</f>
        <v>0</v>
      </c>
      <c r="F418" s="1" cm="1">
        <f t="array" ref="F418">IFERROR(E418/INDEX($D$2:$D$526,MATCH(1,($A$2:$A$526=$A418)*($B$2:$B$526=2019)*($C$2:$C$526=$C418),0)),0)</f>
        <v>0</v>
      </c>
    </row>
    <row r="419" spans="1:6" x14ac:dyDescent="0.25">
      <c r="A419">
        <v>4</v>
      </c>
      <c r="B419">
        <v>2019</v>
      </c>
      <c r="C419">
        <v>4</v>
      </c>
      <c r="D419">
        <f>SUMIFS('Refinery Summary'!$G$2:$G$1899,'Refinery Summary'!$B$2:$B$1899,RefCapacity!$A419,'Refinery Summary'!$A$2:$A$1899,RefCapacity!$B419,'Refinery Summary'!$C$2:$C$1899,RefCapacity!$C419)/1000</f>
        <v>220.44499999999999</v>
      </c>
      <c r="E419" cm="1">
        <f t="array" ref="E419">$D419-INDEX($D$2:$D$526,MATCH(1,($A$2:$A$526=$A419)*($B$2:$B$526=2019)*($C$2:$C$526=$C419),0))</f>
        <v>0</v>
      </c>
      <c r="F419" s="1" cm="1">
        <f t="array" ref="F419">IFERROR(E419/INDEX($D$2:$D$526,MATCH(1,($A$2:$A$526=$A419)*($B$2:$B$526=2019)*($C$2:$C$526=$C419),0)),0)</f>
        <v>0</v>
      </c>
    </row>
    <row r="420" spans="1:6" x14ac:dyDescent="0.25">
      <c r="A420">
        <v>4</v>
      </c>
      <c r="B420">
        <v>2019</v>
      </c>
      <c r="C420">
        <v>5</v>
      </c>
      <c r="D420">
        <f>SUMIFS('Refinery Summary'!$G$2:$G$1899,'Refinery Summary'!$B$2:$B$1899,RefCapacity!$A420,'Refinery Summary'!$A$2:$A$1899,RefCapacity!$B420,'Refinery Summary'!$C$2:$C$1899,RefCapacity!$C420)/1000</f>
        <v>0</v>
      </c>
      <c r="E420" cm="1">
        <f t="array" ref="E420">$D420-INDEX($D$2:$D$526,MATCH(1,($A$2:$A$526=$A420)*($B$2:$B$526=2019)*($C$2:$C$526=$C420),0))</f>
        <v>0</v>
      </c>
      <c r="F420" s="1" cm="1">
        <f t="array" ref="F420">IFERROR(E420/INDEX($D$2:$D$526,MATCH(1,($A$2:$A$526=$A420)*($B$2:$B$526=2019)*($C$2:$C$526=$C420),0)),0)</f>
        <v>0</v>
      </c>
    </row>
    <row r="421" spans="1:6" x14ac:dyDescent="0.25">
      <c r="A421">
        <v>4</v>
      </c>
      <c r="B421">
        <v>2019</v>
      </c>
      <c r="C421">
        <v>6</v>
      </c>
      <c r="D421">
        <f>SUMIFS('Refinery Summary'!$G$2:$G$1899,'Refinery Summary'!$B$2:$B$1899,RefCapacity!$A421,'Refinery Summary'!$A$2:$A$1899,RefCapacity!$B421,'Refinery Summary'!$C$2:$C$1899,RefCapacity!$C421)/1000</f>
        <v>145.255</v>
      </c>
      <c r="E421" cm="1">
        <f t="array" ref="E421">$D421-INDEX($D$2:$D$526,MATCH(1,($A$2:$A$526=$A421)*($B$2:$B$526=2019)*($C$2:$C$526=$C421),0))</f>
        <v>0</v>
      </c>
      <c r="F421" s="1" cm="1">
        <f t="array" ref="F421">IFERROR(E421/INDEX($D$2:$D$526,MATCH(1,($A$2:$A$526=$A421)*($B$2:$B$526=2019)*($C$2:$C$526=$C421),0)),0)</f>
        <v>0</v>
      </c>
    </row>
    <row r="422" spans="1:6" x14ac:dyDescent="0.25">
      <c r="A422">
        <v>5</v>
      </c>
      <c r="B422">
        <v>2005</v>
      </c>
      <c r="C422">
        <v>0</v>
      </c>
      <c r="D422">
        <f>SUMIFS('Refinery Summary'!$G$2:$G$1899,'Refinery Summary'!$B$2:$B$1899,RefCapacity!$A422,'Refinery Summary'!$A$2:$A$1899,RefCapacity!$B422,'Refinery Summary'!$C$2:$C$1899,RefCapacity!$C422)/1000</f>
        <v>411.6</v>
      </c>
      <c r="E422" cm="1">
        <f t="array" ref="E422">$D422-INDEX($D$2:$D$526,MATCH(1,($A$2:$A$526=$A422)*($B$2:$B$526=2019)*($C$2:$C$526=$C422),0))</f>
        <v>216.37500000000003</v>
      </c>
      <c r="F422" s="1" cm="1">
        <f t="array" ref="F422">IFERROR(E422/INDEX($D$2:$D$526,MATCH(1,($A$2:$A$526=$A422)*($B$2:$B$526=2019)*($C$2:$C$526=$C422),0)),0)</f>
        <v>1.108336534767576</v>
      </c>
    </row>
    <row r="423" spans="1:6" x14ac:dyDescent="0.25">
      <c r="A423">
        <v>5</v>
      </c>
      <c r="B423">
        <v>2005</v>
      </c>
      <c r="C423">
        <v>1</v>
      </c>
      <c r="D423">
        <f>SUMIFS('Refinery Summary'!$G$2:$G$1899,'Refinery Summary'!$B$2:$B$1899,RefCapacity!$A423,'Refinery Summary'!$A$2:$A$1899,RefCapacity!$B423,'Refinery Summary'!$C$2:$C$1899,RefCapacity!$C423)/1000</f>
        <v>261.5</v>
      </c>
      <c r="E423" cm="1">
        <f t="array" ref="E423">$D423-INDEX($D$2:$D$526,MATCH(1,($A$2:$A$526=$A423)*($B$2:$B$526=2019)*($C$2:$C$526=$C423),0))</f>
        <v>37.5</v>
      </c>
      <c r="F423" s="1" cm="1">
        <f t="array" ref="F423">IFERROR(E423/INDEX($D$2:$D$526,MATCH(1,($A$2:$A$526=$A423)*($B$2:$B$526=2019)*($C$2:$C$526=$C423),0)),0)</f>
        <v>0.16741071428571427</v>
      </c>
    </row>
    <row r="424" spans="1:6" x14ac:dyDescent="0.25">
      <c r="A424">
        <v>5</v>
      </c>
      <c r="B424">
        <v>2005</v>
      </c>
      <c r="C424">
        <v>2</v>
      </c>
      <c r="D424">
        <f>SUMIFS('Refinery Summary'!$G$2:$G$1899,'Refinery Summary'!$B$2:$B$1899,RefCapacity!$A424,'Refinery Summary'!$A$2:$A$1899,RefCapacity!$B424,'Refinery Summary'!$C$2:$C$1899,RefCapacity!$C424)/1000</f>
        <v>165.7</v>
      </c>
      <c r="E424" cm="1">
        <f t="array" ref="E424">$D424-INDEX($D$2:$D$526,MATCH(1,($A$2:$A$526=$A424)*($B$2:$B$526=2019)*($C$2:$C$526=$C424),0))</f>
        <v>-78.050000000000011</v>
      </c>
      <c r="F424" s="1" cm="1">
        <f t="array" ref="F424">IFERROR(E424/INDEX($D$2:$D$526,MATCH(1,($A$2:$A$526=$A424)*($B$2:$B$526=2019)*($C$2:$C$526=$C424),0)),0)</f>
        <v>-0.32020512820512825</v>
      </c>
    </row>
    <row r="425" spans="1:6" x14ac:dyDescent="0.25">
      <c r="A425">
        <v>5</v>
      </c>
      <c r="B425">
        <v>2005</v>
      </c>
      <c r="C425">
        <v>3</v>
      </c>
      <c r="D425">
        <f>SUMIFS('Refinery Summary'!$G$2:$G$1899,'Refinery Summary'!$B$2:$B$1899,RefCapacity!$A425,'Refinery Summary'!$A$2:$A$1899,RefCapacity!$B425,'Refinery Summary'!$C$2:$C$1899,RefCapacity!$C425)/1000</f>
        <v>225</v>
      </c>
      <c r="E425" cm="1">
        <f t="array" ref="E425">$D425-INDEX($D$2:$D$526,MATCH(1,($A$2:$A$526=$A425)*($B$2:$B$526=2019)*($C$2:$C$526=$C425),0))</f>
        <v>-32</v>
      </c>
      <c r="F425" s="1" cm="1">
        <f t="array" ref="F425">IFERROR(E425/INDEX($D$2:$D$526,MATCH(1,($A$2:$A$526=$A425)*($B$2:$B$526=2019)*($C$2:$C$526=$C425),0)),0)</f>
        <v>-0.1245136186770428</v>
      </c>
    </row>
    <row r="426" spans="1:6" x14ac:dyDescent="0.25">
      <c r="A426">
        <v>5</v>
      </c>
      <c r="B426">
        <v>2005</v>
      </c>
      <c r="C426">
        <v>4</v>
      </c>
      <c r="D426">
        <f>SUMIFS('Refinery Summary'!$G$2:$G$1899,'Refinery Summary'!$B$2:$B$1899,RefCapacity!$A426,'Refinery Summary'!$A$2:$A$1899,RefCapacity!$B426,'Refinery Summary'!$C$2:$C$1899,RefCapacity!$C426)/1000</f>
        <v>256.10000000000002</v>
      </c>
      <c r="E426" cm="1">
        <f t="array" ref="E426">$D426-INDEX($D$2:$D$526,MATCH(1,($A$2:$A$526=$A426)*($B$2:$B$526=2019)*($C$2:$C$526=$C426),0))</f>
        <v>31.900000000000034</v>
      </c>
      <c r="F426" s="1" cm="1">
        <f t="array" ref="F426">IFERROR(E426/INDEX($D$2:$D$526,MATCH(1,($A$2:$A$526=$A426)*($B$2:$B$526=2019)*($C$2:$C$526=$C426),0)),0)</f>
        <v>0.14228367528991986</v>
      </c>
    </row>
    <row r="427" spans="1:6" x14ac:dyDescent="0.25">
      <c r="A427">
        <v>5</v>
      </c>
      <c r="B427">
        <v>2005</v>
      </c>
      <c r="C427">
        <v>5</v>
      </c>
      <c r="D427">
        <f>SUMIFS('Refinery Summary'!$G$2:$G$1899,'Refinery Summary'!$B$2:$B$1899,RefCapacity!$A427,'Refinery Summary'!$A$2:$A$1899,RefCapacity!$B427,'Refinery Summary'!$C$2:$C$1899,RefCapacity!$C427)/1000</f>
        <v>391.4</v>
      </c>
      <c r="E427" cm="1">
        <f t="array" ref="E427">$D427-INDEX($D$2:$D$526,MATCH(1,($A$2:$A$526=$A427)*($B$2:$B$526=2019)*($C$2:$C$526=$C427),0))</f>
        <v>32.949999999999989</v>
      </c>
      <c r="F427" s="1" cm="1">
        <f t="array" ref="F427">IFERROR(E427/INDEX($D$2:$D$526,MATCH(1,($A$2:$A$526=$A427)*($B$2:$B$526=2019)*($C$2:$C$526=$C427),0)),0)</f>
        <v>9.1923559771237243E-2</v>
      </c>
    </row>
    <row r="428" spans="1:6" x14ac:dyDescent="0.25">
      <c r="A428">
        <v>5</v>
      </c>
      <c r="B428">
        <v>2005</v>
      </c>
      <c r="C428">
        <v>6</v>
      </c>
      <c r="D428">
        <f>SUMIFS('Refinery Summary'!$G$2:$G$1899,'Refinery Summary'!$B$2:$B$1899,RefCapacity!$A428,'Refinery Summary'!$A$2:$A$1899,RefCapacity!$B428,'Refinery Summary'!$C$2:$C$1899,RefCapacity!$C428)/1000</f>
        <v>1353.3</v>
      </c>
      <c r="E428" cm="1">
        <f t="array" ref="E428">$D428-INDEX($D$2:$D$526,MATCH(1,($A$2:$A$526=$A428)*($B$2:$B$526=2019)*($C$2:$C$526=$C428),0))</f>
        <v>-19.960000000000036</v>
      </c>
      <c r="F428" s="1" cm="1">
        <f t="array" ref="F428">IFERROR(E428/INDEX($D$2:$D$526,MATCH(1,($A$2:$A$526=$A428)*($B$2:$B$526=2019)*($C$2:$C$526=$C428),0)),0)</f>
        <v>-1.45347567103098E-2</v>
      </c>
    </row>
    <row r="429" spans="1:6" x14ac:dyDescent="0.25">
      <c r="A429">
        <v>5</v>
      </c>
      <c r="B429">
        <v>2006</v>
      </c>
      <c r="C429">
        <v>0</v>
      </c>
      <c r="D429">
        <f>SUMIFS('Refinery Summary'!$G$2:$G$1899,'Refinery Summary'!$B$2:$B$1899,RefCapacity!$A429,'Refinery Summary'!$A$2:$A$1899,RefCapacity!$B429,'Refinery Summary'!$C$2:$C$1899,RefCapacity!$C429)/1000</f>
        <v>417.77499999999998</v>
      </c>
      <c r="E429" cm="1">
        <f t="array" ref="E429">$D429-INDEX($D$2:$D$526,MATCH(1,($A$2:$A$526=$A429)*($B$2:$B$526=2019)*($C$2:$C$526=$C429),0))</f>
        <v>222.54999999999998</v>
      </c>
      <c r="F429" s="1" cm="1">
        <f t="array" ref="F429">IFERROR(E429/INDEX($D$2:$D$526,MATCH(1,($A$2:$A$526=$A429)*($B$2:$B$526=2019)*($C$2:$C$526=$C429),0)),0)</f>
        <v>1.1399667050838775</v>
      </c>
    </row>
    <row r="430" spans="1:6" x14ac:dyDescent="0.25">
      <c r="A430">
        <v>5</v>
      </c>
      <c r="B430">
        <v>2006</v>
      </c>
      <c r="C430">
        <v>1</v>
      </c>
      <c r="D430">
        <f>SUMIFS('Refinery Summary'!$G$2:$G$1899,'Refinery Summary'!$B$2:$B$1899,RefCapacity!$A430,'Refinery Summary'!$A$2:$A$1899,RefCapacity!$B430,'Refinery Summary'!$C$2:$C$1899,RefCapacity!$C430)/1000</f>
        <v>263.3</v>
      </c>
      <c r="E430" cm="1">
        <f t="array" ref="E430">$D430-INDEX($D$2:$D$526,MATCH(1,($A$2:$A$526=$A430)*($B$2:$B$526=2019)*($C$2:$C$526=$C430),0))</f>
        <v>39.300000000000011</v>
      </c>
      <c r="F430" s="1" cm="1">
        <f t="array" ref="F430">IFERROR(E430/INDEX($D$2:$D$526,MATCH(1,($A$2:$A$526=$A430)*($B$2:$B$526=2019)*($C$2:$C$526=$C430),0)),0)</f>
        <v>0.17544642857142861</v>
      </c>
    </row>
    <row r="431" spans="1:6" x14ac:dyDescent="0.25">
      <c r="A431">
        <v>5</v>
      </c>
      <c r="B431">
        <v>2006</v>
      </c>
      <c r="C431">
        <v>2</v>
      </c>
      <c r="D431">
        <f>SUMIFS('Refinery Summary'!$G$2:$G$1899,'Refinery Summary'!$B$2:$B$1899,RefCapacity!$A431,'Refinery Summary'!$A$2:$A$1899,RefCapacity!$B431,'Refinery Summary'!$C$2:$C$1899,RefCapacity!$C431)/1000</f>
        <v>165.7</v>
      </c>
      <c r="E431" cm="1">
        <f t="array" ref="E431">$D431-INDEX($D$2:$D$526,MATCH(1,($A$2:$A$526=$A431)*($B$2:$B$526=2019)*($C$2:$C$526=$C431),0))</f>
        <v>-78.050000000000011</v>
      </c>
      <c r="F431" s="1" cm="1">
        <f t="array" ref="F431">IFERROR(E431/INDEX($D$2:$D$526,MATCH(1,($A$2:$A$526=$A431)*($B$2:$B$526=2019)*($C$2:$C$526=$C431),0)),0)</f>
        <v>-0.32020512820512825</v>
      </c>
    </row>
    <row r="432" spans="1:6" x14ac:dyDescent="0.25">
      <c r="A432">
        <v>5</v>
      </c>
      <c r="B432">
        <v>2006</v>
      </c>
      <c r="C432">
        <v>3</v>
      </c>
      <c r="D432">
        <f>SUMIFS('Refinery Summary'!$G$2:$G$1899,'Refinery Summary'!$B$2:$B$1899,RefCapacity!$A432,'Refinery Summary'!$A$2:$A$1899,RefCapacity!$B432,'Refinery Summary'!$C$2:$C$1899,RefCapacity!$C432)/1000</f>
        <v>225</v>
      </c>
      <c r="E432" cm="1">
        <f t="array" ref="E432">$D432-INDEX($D$2:$D$526,MATCH(1,($A$2:$A$526=$A432)*($B$2:$B$526=2019)*($C$2:$C$526=$C432),0))</f>
        <v>-32</v>
      </c>
      <c r="F432" s="1" cm="1">
        <f t="array" ref="F432">IFERROR(E432/INDEX($D$2:$D$526,MATCH(1,($A$2:$A$526=$A432)*($B$2:$B$526=2019)*($C$2:$C$526=$C432),0)),0)</f>
        <v>-0.1245136186770428</v>
      </c>
    </row>
    <row r="433" spans="1:6" x14ac:dyDescent="0.25">
      <c r="A433">
        <v>5</v>
      </c>
      <c r="B433">
        <v>2006</v>
      </c>
      <c r="C433">
        <v>4</v>
      </c>
      <c r="D433">
        <f>SUMIFS('Refinery Summary'!$G$2:$G$1899,'Refinery Summary'!$B$2:$B$1899,RefCapacity!$A433,'Refinery Summary'!$A$2:$A$1899,RefCapacity!$B433,'Refinery Summary'!$C$2:$C$1899,RefCapacity!$C433)/1000</f>
        <v>258.10000000000002</v>
      </c>
      <c r="E433" cm="1">
        <f t="array" ref="E433">$D433-INDEX($D$2:$D$526,MATCH(1,($A$2:$A$526=$A433)*($B$2:$B$526=2019)*($C$2:$C$526=$C433),0))</f>
        <v>33.900000000000034</v>
      </c>
      <c r="F433" s="1" cm="1">
        <f t="array" ref="F433">IFERROR(E433/INDEX($D$2:$D$526,MATCH(1,($A$2:$A$526=$A433)*($B$2:$B$526=2019)*($C$2:$C$526=$C433),0)),0)</f>
        <v>0.15120428189116875</v>
      </c>
    </row>
    <row r="434" spans="1:6" x14ac:dyDescent="0.25">
      <c r="A434">
        <v>5</v>
      </c>
      <c r="B434">
        <v>2006</v>
      </c>
      <c r="C434">
        <v>5</v>
      </c>
      <c r="D434">
        <f>SUMIFS('Refinery Summary'!$G$2:$G$1899,'Refinery Summary'!$B$2:$B$1899,RefCapacity!$A434,'Refinery Summary'!$A$2:$A$1899,RefCapacity!$B434,'Refinery Summary'!$C$2:$C$1899,RefCapacity!$C434)/1000</f>
        <v>405.4</v>
      </c>
      <c r="E434" cm="1">
        <f t="array" ref="E434">$D434-INDEX($D$2:$D$526,MATCH(1,($A$2:$A$526=$A434)*($B$2:$B$526=2019)*($C$2:$C$526=$C434),0))</f>
        <v>46.949999999999989</v>
      </c>
      <c r="F434" s="1" cm="1">
        <f t="array" ref="F434">IFERROR(E434/INDEX($D$2:$D$526,MATCH(1,($A$2:$A$526=$A434)*($B$2:$B$526=2019)*($C$2:$C$526=$C434),0)),0)</f>
        <v>0.1309806109638722</v>
      </c>
    </row>
    <row r="435" spans="1:6" x14ac:dyDescent="0.25">
      <c r="A435">
        <v>5</v>
      </c>
      <c r="B435">
        <v>2006</v>
      </c>
      <c r="C435">
        <v>6</v>
      </c>
      <c r="D435">
        <f>SUMIFS('Refinery Summary'!$G$2:$G$1899,'Refinery Summary'!$B$2:$B$1899,RefCapacity!$A435,'Refinery Summary'!$A$2:$A$1899,RefCapacity!$B435,'Refinery Summary'!$C$2:$C$1899,RefCapacity!$C435)/1000</f>
        <v>1353.3</v>
      </c>
      <c r="E435" cm="1">
        <f t="array" ref="E435">$D435-INDEX($D$2:$D$526,MATCH(1,($A$2:$A$526=$A435)*($B$2:$B$526=2019)*($C$2:$C$526=$C435),0))</f>
        <v>-19.960000000000036</v>
      </c>
      <c r="F435" s="1" cm="1">
        <f t="array" ref="F435">IFERROR(E435/INDEX($D$2:$D$526,MATCH(1,($A$2:$A$526=$A435)*($B$2:$B$526=2019)*($C$2:$C$526=$C435),0)),0)</f>
        <v>-1.45347567103098E-2</v>
      </c>
    </row>
    <row r="436" spans="1:6" x14ac:dyDescent="0.25">
      <c r="A436">
        <v>5</v>
      </c>
      <c r="B436">
        <v>2007</v>
      </c>
      <c r="C436">
        <v>0</v>
      </c>
      <c r="D436">
        <f>SUMIFS('Refinery Summary'!$G$2:$G$1899,'Refinery Summary'!$B$2:$B$1899,RefCapacity!$A436,'Refinery Summary'!$A$2:$A$1899,RefCapacity!$B436,'Refinery Summary'!$C$2:$C$1899,RefCapacity!$C436)/1000</f>
        <v>420.97500000000002</v>
      </c>
      <c r="E436" cm="1">
        <f t="array" ref="E436">$D436-INDEX($D$2:$D$526,MATCH(1,($A$2:$A$526=$A436)*($B$2:$B$526=2019)*($C$2:$C$526=$C436),0))</f>
        <v>225.75000000000003</v>
      </c>
      <c r="F436" s="1" cm="1">
        <f t="array" ref="F436">IFERROR(E436/INDEX($D$2:$D$526,MATCH(1,($A$2:$A$526=$A436)*($B$2:$B$526=2019)*($C$2:$C$526=$C436),0)),0)</f>
        <v>1.1563580484056859</v>
      </c>
    </row>
    <row r="437" spans="1:6" x14ac:dyDescent="0.25">
      <c r="A437">
        <v>5</v>
      </c>
      <c r="B437">
        <v>2007</v>
      </c>
      <c r="C437">
        <v>1</v>
      </c>
      <c r="D437">
        <f>SUMIFS('Refinery Summary'!$G$2:$G$1899,'Refinery Summary'!$B$2:$B$1899,RefCapacity!$A437,'Refinery Summary'!$A$2:$A$1899,RefCapacity!$B437,'Refinery Summary'!$C$2:$C$1899,RefCapacity!$C437)/1000</f>
        <v>263.3</v>
      </c>
      <c r="E437" cm="1">
        <f t="array" ref="E437">$D437-INDEX($D$2:$D$526,MATCH(1,($A$2:$A$526=$A437)*($B$2:$B$526=2019)*($C$2:$C$526=$C437),0))</f>
        <v>39.300000000000011</v>
      </c>
      <c r="F437" s="1" cm="1">
        <f t="array" ref="F437">IFERROR(E437/INDEX($D$2:$D$526,MATCH(1,($A$2:$A$526=$A437)*($B$2:$B$526=2019)*($C$2:$C$526=$C437),0)),0)</f>
        <v>0.17544642857142861</v>
      </c>
    </row>
    <row r="438" spans="1:6" x14ac:dyDescent="0.25">
      <c r="A438">
        <v>5</v>
      </c>
      <c r="B438">
        <v>2007</v>
      </c>
      <c r="C438">
        <v>2</v>
      </c>
      <c r="D438">
        <f>SUMIFS('Refinery Summary'!$G$2:$G$1899,'Refinery Summary'!$B$2:$B$1899,RefCapacity!$A438,'Refinery Summary'!$A$2:$A$1899,RefCapacity!$B438,'Refinery Summary'!$C$2:$C$1899,RefCapacity!$C438)/1000</f>
        <v>165.7</v>
      </c>
      <c r="E438" cm="1">
        <f t="array" ref="E438">$D438-INDEX($D$2:$D$526,MATCH(1,($A$2:$A$526=$A438)*($B$2:$B$526=2019)*($C$2:$C$526=$C438),0))</f>
        <v>-78.050000000000011</v>
      </c>
      <c r="F438" s="1" cm="1">
        <f t="array" ref="F438">IFERROR(E438/INDEX($D$2:$D$526,MATCH(1,($A$2:$A$526=$A438)*($B$2:$B$526=2019)*($C$2:$C$526=$C438),0)),0)</f>
        <v>-0.32020512820512825</v>
      </c>
    </row>
    <row r="439" spans="1:6" x14ac:dyDescent="0.25">
      <c r="A439">
        <v>5</v>
      </c>
      <c r="B439">
        <v>2007</v>
      </c>
      <c r="C439">
        <v>3</v>
      </c>
      <c r="D439">
        <f>SUMIFS('Refinery Summary'!$G$2:$G$1899,'Refinery Summary'!$B$2:$B$1899,RefCapacity!$A439,'Refinery Summary'!$A$2:$A$1899,RefCapacity!$B439,'Refinery Summary'!$C$2:$C$1899,RefCapacity!$C439)/1000</f>
        <v>243</v>
      </c>
      <c r="E439" cm="1">
        <f t="array" ref="E439">$D439-INDEX($D$2:$D$526,MATCH(1,($A$2:$A$526=$A439)*($B$2:$B$526=2019)*($C$2:$C$526=$C439),0))</f>
        <v>-14</v>
      </c>
      <c r="F439" s="1" cm="1">
        <f t="array" ref="F439">IFERROR(E439/INDEX($D$2:$D$526,MATCH(1,($A$2:$A$526=$A439)*($B$2:$B$526=2019)*($C$2:$C$526=$C439),0)),0)</f>
        <v>-5.4474708171206226E-2</v>
      </c>
    </row>
    <row r="440" spans="1:6" x14ac:dyDescent="0.25">
      <c r="A440">
        <v>5</v>
      </c>
      <c r="B440">
        <v>2007</v>
      </c>
      <c r="C440">
        <v>4</v>
      </c>
      <c r="D440">
        <f>SUMIFS('Refinery Summary'!$G$2:$G$1899,'Refinery Summary'!$B$2:$B$1899,RefCapacity!$A440,'Refinery Summary'!$A$2:$A$1899,RefCapacity!$B440,'Refinery Summary'!$C$2:$C$1899,RefCapacity!$C440)/1000</f>
        <v>258.10000000000002</v>
      </c>
      <c r="E440" cm="1">
        <f t="array" ref="E440">$D440-INDEX($D$2:$D$526,MATCH(1,($A$2:$A$526=$A440)*($B$2:$B$526=2019)*($C$2:$C$526=$C440),0))</f>
        <v>33.900000000000034</v>
      </c>
      <c r="F440" s="1" cm="1">
        <f t="array" ref="F440">IFERROR(E440/INDEX($D$2:$D$526,MATCH(1,($A$2:$A$526=$A440)*($B$2:$B$526=2019)*($C$2:$C$526=$C440),0)),0)</f>
        <v>0.15120428189116875</v>
      </c>
    </row>
    <row r="441" spans="1:6" x14ac:dyDescent="0.25">
      <c r="A441">
        <v>5</v>
      </c>
      <c r="B441">
        <v>2007</v>
      </c>
      <c r="C441">
        <v>5</v>
      </c>
      <c r="D441">
        <f>SUMIFS('Refinery Summary'!$G$2:$G$1899,'Refinery Summary'!$B$2:$B$1899,RefCapacity!$A441,'Refinery Summary'!$A$2:$A$1899,RefCapacity!$B441,'Refinery Summary'!$C$2:$C$1899,RefCapacity!$C441)/1000</f>
        <v>405.4</v>
      </c>
      <c r="E441" cm="1">
        <f t="array" ref="E441">$D441-INDEX($D$2:$D$526,MATCH(1,($A$2:$A$526=$A441)*($B$2:$B$526=2019)*($C$2:$C$526=$C441),0))</f>
        <v>46.949999999999989</v>
      </c>
      <c r="F441" s="1" cm="1">
        <f t="array" ref="F441">IFERROR(E441/INDEX($D$2:$D$526,MATCH(1,($A$2:$A$526=$A441)*($B$2:$B$526=2019)*($C$2:$C$526=$C441),0)),0)</f>
        <v>0.1309806109638722</v>
      </c>
    </row>
    <row r="442" spans="1:6" x14ac:dyDescent="0.25">
      <c r="A442">
        <v>5</v>
      </c>
      <c r="B442">
        <v>2007</v>
      </c>
      <c r="C442">
        <v>6</v>
      </c>
      <c r="D442">
        <f>SUMIFS('Refinery Summary'!$G$2:$G$1899,'Refinery Summary'!$B$2:$B$1899,RefCapacity!$A442,'Refinery Summary'!$A$2:$A$1899,RefCapacity!$B442,'Refinery Summary'!$C$2:$C$1899,RefCapacity!$C442)/1000</f>
        <v>1353.3</v>
      </c>
      <c r="E442" cm="1">
        <f t="array" ref="E442">$D442-INDEX($D$2:$D$526,MATCH(1,($A$2:$A$526=$A442)*($B$2:$B$526=2019)*($C$2:$C$526=$C442),0))</f>
        <v>-19.960000000000036</v>
      </c>
      <c r="F442" s="1" cm="1">
        <f t="array" ref="F442">IFERROR(E442/INDEX($D$2:$D$526,MATCH(1,($A$2:$A$526=$A442)*($B$2:$B$526=2019)*($C$2:$C$526=$C442),0)),0)</f>
        <v>-1.45347567103098E-2</v>
      </c>
    </row>
    <row r="443" spans="1:6" x14ac:dyDescent="0.25">
      <c r="A443">
        <v>5</v>
      </c>
      <c r="B443">
        <v>2008</v>
      </c>
      <c r="C443">
        <v>0</v>
      </c>
      <c r="D443">
        <f>SUMIFS('Refinery Summary'!$G$2:$G$1899,'Refinery Summary'!$B$2:$B$1899,RefCapacity!$A443,'Refinery Summary'!$A$2:$A$1899,RefCapacity!$B443,'Refinery Summary'!$C$2:$C$1899,RefCapacity!$C443)/1000</f>
        <v>422.97500000000002</v>
      </c>
      <c r="E443" cm="1">
        <f t="array" ref="E443">$D443-INDEX($D$2:$D$526,MATCH(1,($A$2:$A$526=$A443)*($B$2:$B$526=2019)*($C$2:$C$526=$C443),0))</f>
        <v>227.75000000000003</v>
      </c>
      <c r="F443" s="1" cm="1">
        <f t="array" ref="F443">IFERROR(E443/INDEX($D$2:$D$526,MATCH(1,($A$2:$A$526=$A443)*($B$2:$B$526=2019)*($C$2:$C$526=$C443),0)),0)</f>
        <v>1.166602637981816</v>
      </c>
    </row>
    <row r="444" spans="1:6" x14ac:dyDescent="0.25">
      <c r="A444">
        <v>5</v>
      </c>
      <c r="B444">
        <v>2008</v>
      </c>
      <c r="C444">
        <v>1</v>
      </c>
      <c r="D444">
        <f>SUMIFS('Refinery Summary'!$G$2:$G$1899,'Refinery Summary'!$B$2:$B$1899,RefCapacity!$A444,'Refinery Summary'!$A$2:$A$1899,RefCapacity!$B444,'Refinery Summary'!$C$2:$C$1899,RefCapacity!$C444)/1000</f>
        <v>267.3</v>
      </c>
      <c r="E444" cm="1">
        <f t="array" ref="E444">$D444-INDEX($D$2:$D$526,MATCH(1,($A$2:$A$526=$A444)*($B$2:$B$526=2019)*($C$2:$C$526=$C444),0))</f>
        <v>43.300000000000011</v>
      </c>
      <c r="F444" s="1" cm="1">
        <f t="array" ref="F444">IFERROR(E444/INDEX($D$2:$D$526,MATCH(1,($A$2:$A$526=$A444)*($B$2:$B$526=2019)*($C$2:$C$526=$C444),0)),0)</f>
        <v>0.19330357142857149</v>
      </c>
    </row>
    <row r="445" spans="1:6" x14ac:dyDescent="0.25">
      <c r="A445">
        <v>5</v>
      </c>
      <c r="B445">
        <v>2008</v>
      </c>
      <c r="C445">
        <v>2</v>
      </c>
      <c r="D445">
        <f>SUMIFS('Refinery Summary'!$G$2:$G$1899,'Refinery Summary'!$B$2:$B$1899,RefCapacity!$A445,'Refinery Summary'!$A$2:$A$1899,RefCapacity!$B445,'Refinery Summary'!$C$2:$C$1899,RefCapacity!$C445)/1000</f>
        <v>165.7</v>
      </c>
      <c r="E445" cm="1">
        <f t="array" ref="E445">$D445-INDEX($D$2:$D$526,MATCH(1,($A$2:$A$526=$A445)*($B$2:$B$526=2019)*($C$2:$C$526=$C445),0))</f>
        <v>-78.050000000000011</v>
      </c>
      <c r="F445" s="1" cm="1">
        <f t="array" ref="F445">IFERROR(E445/INDEX($D$2:$D$526,MATCH(1,($A$2:$A$526=$A445)*($B$2:$B$526=2019)*($C$2:$C$526=$C445),0)),0)</f>
        <v>-0.32020512820512825</v>
      </c>
    </row>
    <row r="446" spans="1:6" x14ac:dyDescent="0.25">
      <c r="A446">
        <v>5</v>
      </c>
      <c r="B446">
        <v>2008</v>
      </c>
      <c r="C446">
        <v>3</v>
      </c>
      <c r="D446">
        <f>SUMIFS('Refinery Summary'!$G$2:$G$1899,'Refinery Summary'!$B$2:$B$1899,RefCapacity!$A446,'Refinery Summary'!$A$2:$A$1899,RefCapacity!$B446,'Refinery Summary'!$C$2:$C$1899,RefCapacity!$C446)/1000</f>
        <v>243</v>
      </c>
      <c r="E446" cm="1">
        <f t="array" ref="E446">$D446-INDEX($D$2:$D$526,MATCH(1,($A$2:$A$526=$A446)*($B$2:$B$526=2019)*($C$2:$C$526=$C446),0))</f>
        <v>-14</v>
      </c>
      <c r="F446" s="1" cm="1">
        <f t="array" ref="F446">IFERROR(E446/INDEX($D$2:$D$526,MATCH(1,($A$2:$A$526=$A446)*($B$2:$B$526=2019)*($C$2:$C$526=$C446),0)),0)</f>
        <v>-5.4474708171206226E-2</v>
      </c>
    </row>
    <row r="447" spans="1:6" x14ac:dyDescent="0.25">
      <c r="A447">
        <v>5</v>
      </c>
      <c r="B447">
        <v>2008</v>
      </c>
      <c r="C447">
        <v>4</v>
      </c>
      <c r="D447">
        <f>SUMIFS('Refinery Summary'!$G$2:$G$1899,'Refinery Summary'!$B$2:$B$1899,RefCapacity!$A447,'Refinery Summary'!$A$2:$A$1899,RefCapacity!$B447,'Refinery Summary'!$C$2:$C$1899,RefCapacity!$C447)/1000</f>
        <v>258.10000000000002</v>
      </c>
      <c r="E447" cm="1">
        <f t="array" ref="E447">$D447-INDEX($D$2:$D$526,MATCH(1,($A$2:$A$526=$A447)*($B$2:$B$526=2019)*($C$2:$C$526=$C447),0))</f>
        <v>33.900000000000034</v>
      </c>
      <c r="F447" s="1" cm="1">
        <f t="array" ref="F447">IFERROR(E447/INDEX($D$2:$D$526,MATCH(1,($A$2:$A$526=$A447)*($B$2:$B$526=2019)*($C$2:$C$526=$C447),0)),0)</f>
        <v>0.15120428189116875</v>
      </c>
    </row>
    <row r="448" spans="1:6" x14ac:dyDescent="0.25">
      <c r="A448">
        <v>5</v>
      </c>
      <c r="B448">
        <v>2008</v>
      </c>
      <c r="C448">
        <v>5</v>
      </c>
      <c r="D448">
        <f>SUMIFS('Refinery Summary'!$G$2:$G$1899,'Refinery Summary'!$B$2:$B$1899,RefCapacity!$A448,'Refinery Summary'!$A$2:$A$1899,RefCapacity!$B448,'Refinery Summary'!$C$2:$C$1899,RefCapacity!$C448)/1000</f>
        <v>419</v>
      </c>
      <c r="E448" cm="1">
        <f t="array" ref="E448">$D448-INDEX($D$2:$D$526,MATCH(1,($A$2:$A$526=$A448)*($B$2:$B$526=2019)*($C$2:$C$526=$C448),0))</f>
        <v>60.550000000000011</v>
      </c>
      <c r="F448" s="1" cm="1">
        <f t="array" ref="F448">IFERROR(E448/INDEX($D$2:$D$526,MATCH(1,($A$2:$A$526=$A448)*($B$2:$B$526=2019)*($C$2:$C$526=$C448),0)),0)</f>
        <v>0.16892174640814622</v>
      </c>
    </row>
    <row r="449" spans="1:6" x14ac:dyDescent="0.25">
      <c r="A449">
        <v>5</v>
      </c>
      <c r="B449">
        <v>2008</v>
      </c>
      <c r="C449">
        <v>6</v>
      </c>
      <c r="D449">
        <f>SUMIFS('Refinery Summary'!$G$2:$G$1899,'Refinery Summary'!$B$2:$B$1899,RefCapacity!$A449,'Refinery Summary'!$A$2:$A$1899,RefCapacity!$B449,'Refinery Summary'!$C$2:$C$1899,RefCapacity!$C449)/1000</f>
        <v>1371.8</v>
      </c>
      <c r="E449" cm="1">
        <f t="array" ref="E449">$D449-INDEX($D$2:$D$526,MATCH(1,($A$2:$A$526=$A449)*($B$2:$B$526=2019)*($C$2:$C$526=$C449),0))</f>
        <v>-1.4600000000000364</v>
      </c>
      <c r="F449" s="1" cm="1">
        <f t="array" ref="F449">IFERROR(E449/INDEX($D$2:$D$526,MATCH(1,($A$2:$A$526=$A449)*($B$2:$B$526=2019)*($C$2:$C$526=$C449),0)),0)</f>
        <v>-1.0631635669866133E-3</v>
      </c>
    </row>
    <row r="450" spans="1:6" x14ac:dyDescent="0.25">
      <c r="A450">
        <v>5</v>
      </c>
      <c r="B450">
        <v>2009</v>
      </c>
      <c r="C450">
        <v>0</v>
      </c>
      <c r="D450">
        <f>SUMIFS('Refinery Summary'!$G$2:$G$1899,'Refinery Summary'!$B$2:$B$1899,RefCapacity!$A450,'Refinery Summary'!$A$2:$A$1899,RefCapacity!$B450,'Refinery Summary'!$C$2:$C$1899,RefCapacity!$C450)/1000</f>
        <v>421.97500000000002</v>
      </c>
      <c r="E450" cm="1">
        <f t="array" ref="E450">$D450-INDEX($D$2:$D$526,MATCH(1,($A$2:$A$526=$A450)*($B$2:$B$526=2019)*($C$2:$C$526=$C450),0))</f>
        <v>226.75000000000003</v>
      </c>
      <c r="F450" s="1" cm="1">
        <f t="array" ref="F450">IFERROR(E450/INDEX($D$2:$D$526,MATCH(1,($A$2:$A$526=$A450)*($B$2:$B$526=2019)*($C$2:$C$526=$C450),0)),0)</f>
        <v>1.161480343193751</v>
      </c>
    </row>
    <row r="451" spans="1:6" x14ac:dyDescent="0.25">
      <c r="A451">
        <v>5</v>
      </c>
      <c r="B451">
        <v>2009</v>
      </c>
      <c r="C451">
        <v>1</v>
      </c>
      <c r="D451">
        <f>SUMIFS('Refinery Summary'!$G$2:$G$1899,'Refinery Summary'!$B$2:$B$1899,RefCapacity!$A451,'Refinery Summary'!$A$2:$A$1899,RefCapacity!$B451,'Refinery Summary'!$C$2:$C$1899,RefCapacity!$C451)/1000</f>
        <v>267.3</v>
      </c>
      <c r="E451" cm="1">
        <f t="array" ref="E451">$D451-INDEX($D$2:$D$526,MATCH(1,($A$2:$A$526=$A451)*($B$2:$B$526=2019)*($C$2:$C$526=$C451),0))</f>
        <v>43.300000000000011</v>
      </c>
      <c r="F451" s="1" cm="1">
        <f t="array" ref="F451">IFERROR(E451/INDEX($D$2:$D$526,MATCH(1,($A$2:$A$526=$A451)*($B$2:$B$526=2019)*($C$2:$C$526=$C451),0)),0)</f>
        <v>0.19330357142857149</v>
      </c>
    </row>
    <row r="452" spans="1:6" x14ac:dyDescent="0.25">
      <c r="A452">
        <v>5</v>
      </c>
      <c r="B452">
        <v>2009</v>
      </c>
      <c r="C452">
        <v>2</v>
      </c>
      <c r="D452">
        <f>SUMIFS('Refinery Summary'!$G$2:$G$1899,'Refinery Summary'!$B$2:$B$1899,RefCapacity!$A452,'Refinery Summary'!$A$2:$A$1899,RefCapacity!$B452,'Refinery Summary'!$C$2:$C$1899,RefCapacity!$C452)/1000</f>
        <v>165.7</v>
      </c>
      <c r="E452" cm="1">
        <f t="array" ref="E452">$D452-INDEX($D$2:$D$526,MATCH(1,($A$2:$A$526=$A452)*($B$2:$B$526=2019)*($C$2:$C$526=$C452),0))</f>
        <v>-78.050000000000011</v>
      </c>
      <c r="F452" s="1" cm="1">
        <f t="array" ref="F452">IFERROR(E452/INDEX($D$2:$D$526,MATCH(1,($A$2:$A$526=$A452)*($B$2:$B$526=2019)*($C$2:$C$526=$C452),0)),0)</f>
        <v>-0.32020512820512825</v>
      </c>
    </row>
    <row r="453" spans="1:6" x14ac:dyDescent="0.25">
      <c r="A453">
        <v>5</v>
      </c>
      <c r="B453">
        <v>2009</v>
      </c>
      <c r="C453">
        <v>3</v>
      </c>
      <c r="D453">
        <f>SUMIFS('Refinery Summary'!$G$2:$G$1899,'Refinery Summary'!$B$2:$B$1899,RefCapacity!$A453,'Refinery Summary'!$A$2:$A$1899,RefCapacity!$B453,'Refinery Summary'!$C$2:$C$1899,RefCapacity!$C453)/1000</f>
        <v>243</v>
      </c>
      <c r="E453" cm="1">
        <f t="array" ref="E453">$D453-INDEX($D$2:$D$526,MATCH(1,($A$2:$A$526=$A453)*($B$2:$B$526=2019)*($C$2:$C$526=$C453),0))</f>
        <v>-14</v>
      </c>
      <c r="F453" s="1" cm="1">
        <f t="array" ref="F453">IFERROR(E453/INDEX($D$2:$D$526,MATCH(1,($A$2:$A$526=$A453)*($B$2:$B$526=2019)*($C$2:$C$526=$C453),0)),0)</f>
        <v>-5.4474708171206226E-2</v>
      </c>
    </row>
    <row r="454" spans="1:6" x14ac:dyDescent="0.25">
      <c r="A454">
        <v>5</v>
      </c>
      <c r="B454">
        <v>2009</v>
      </c>
      <c r="C454">
        <v>4</v>
      </c>
      <c r="D454">
        <f>SUMIFS('Refinery Summary'!$G$2:$G$1899,'Refinery Summary'!$B$2:$B$1899,RefCapacity!$A454,'Refinery Summary'!$A$2:$A$1899,RefCapacity!$B454,'Refinery Summary'!$C$2:$C$1899,RefCapacity!$C454)/1000</f>
        <v>258.10000000000002</v>
      </c>
      <c r="E454" cm="1">
        <f t="array" ref="E454">$D454-INDEX($D$2:$D$526,MATCH(1,($A$2:$A$526=$A454)*($B$2:$B$526=2019)*($C$2:$C$526=$C454),0))</f>
        <v>33.900000000000034</v>
      </c>
      <c r="F454" s="1" cm="1">
        <f t="array" ref="F454">IFERROR(E454/INDEX($D$2:$D$526,MATCH(1,($A$2:$A$526=$A454)*($B$2:$B$526=2019)*($C$2:$C$526=$C454),0)),0)</f>
        <v>0.15120428189116875</v>
      </c>
    </row>
    <row r="455" spans="1:6" x14ac:dyDescent="0.25">
      <c r="A455">
        <v>5</v>
      </c>
      <c r="B455">
        <v>2009</v>
      </c>
      <c r="C455">
        <v>5</v>
      </c>
      <c r="D455">
        <f>SUMIFS('Refinery Summary'!$G$2:$G$1899,'Refinery Summary'!$B$2:$B$1899,RefCapacity!$A455,'Refinery Summary'!$A$2:$A$1899,RefCapacity!$B455,'Refinery Summary'!$C$2:$C$1899,RefCapacity!$C455)/1000</f>
        <v>407.3</v>
      </c>
      <c r="E455" cm="1">
        <f t="array" ref="E455">$D455-INDEX($D$2:$D$526,MATCH(1,($A$2:$A$526=$A455)*($B$2:$B$526=2019)*($C$2:$C$526=$C455),0))</f>
        <v>48.850000000000023</v>
      </c>
      <c r="F455" s="1" cm="1">
        <f t="array" ref="F455">IFERROR(E455/INDEX($D$2:$D$526,MATCH(1,($A$2:$A$526=$A455)*($B$2:$B$526=2019)*($C$2:$C$526=$C455),0)),0)</f>
        <v>0.13628121076858704</v>
      </c>
    </row>
    <row r="456" spans="1:6" x14ac:dyDescent="0.25">
      <c r="A456">
        <v>5</v>
      </c>
      <c r="B456">
        <v>2009</v>
      </c>
      <c r="C456">
        <v>6</v>
      </c>
      <c r="D456">
        <f>SUMIFS('Refinery Summary'!$G$2:$G$1899,'Refinery Summary'!$B$2:$B$1899,RefCapacity!$A456,'Refinery Summary'!$A$2:$A$1899,RefCapacity!$B456,'Refinery Summary'!$C$2:$C$1899,RefCapacity!$C456)/1000</f>
        <v>1364.5250000000001</v>
      </c>
      <c r="E456" cm="1">
        <f t="array" ref="E456">$D456-INDEX($D$2:$D$526,MATCH(1,($A$2:$A$526=$A456)*($B$2:$B$526=2019)*($C$2:$C$526=$C456),0))</f>
        <v>-8.7349999999999</v>
      </c>
      <c r="F456" s="1" cm="1">
        <f t="array" ref="F456">IFERROR(E456/INDEX($D$2:$D$526,MATCH(1,($A$2:$A$526=$A456)*($B$2:$B$526=2019)*($C$2:$C$526=$C456),0)),0)</f>
        <v>-6.3607765463203616E-3</v>
      </c>
    </row>
    <row r="457" spans="1:6" x14ac:dyDescent="0.25">
      <c r="A457">
        <v>5</v>
      </c>
      <c r="B457">
        <v>2010</v>
      </c>
      <c r="C457">
        <v>0</v>
      </c>
      <c r="D457">
        <f>SUMIFS('Refinery Summary'!$G$2:$G$1899,'Refinery Summary'!$B$2:$B$1899,RefCapacity!$A457,'Refinery Summary'!$A$2:$A$1899,RefCapacity!$B457,'Refinery Summary'!$C$2:$C$1899,RefCapacity!$C457)/1000</f>
        <v>456.97500000000002</v>
      </c>
      <c r="E457" cm="1">
        <f t="array" ref="E457">$D457-INDEX($D$2:$D$526,MATCH(1,($A$2:$A$526=$A457)*($B$2:$B$526=2019)*($C$2:$C$526=$C457),0))</f>
        <v>261.75</v>
      </c>
      <c r="F457" s="1" cm="1">
        <f t="array" ref="F457">IFERROR(E457/INDEX($D$2:$D$526,MATCH(1,($A$2:$A$526=$A457)*($B$2:$B$526=2019)*($C$2:$C$526=$C457),0)),0)</f>
        <v>1.3407606607760276</v>
      </c>
    </row>
    <row r="458" spans="1:6" x14ac:dyDescent="0.25">
      <c r="A458">
        <v>5</v>
      </c>
      <c r="B458">
        <v>2010</v>
      </c>
      <c r="C458">
        <v>1</v>
      </c>
      <c r="D458">
        <f>SUMIFS('Refinery Summary'!$G$2:$G$1899,'Refinery Summary'!$B$2:$B$1899,RefCapacity!$A458,'Refinery Summary'!$A$2:$A$1899,RefCapacity!$B458,'Refinery Summary'!$C$2:$C$1899,RefCapacity!$C458)/1000</f>
        <v>267.3</v>
      </c>
      <c r="E458" cm="1">
        <f t="array" ref="E458">$D458-INDEX($D$2:$D$526,MATCH(1,($A$2:$A$526=$A458)*($B$2:$B$526=2019)*($C$2:$C$526=$C458),0))</f>
        <v>43.300000000000011</v>
      </c>
      <c r="F458" s="1" cm="1">
        <f t="array" ref="F458">IFERROR(E458/INDEX($D$2:$D$526,MATCH(1,($A$2:$A$526=$A458)*($B$2:$B$526=2019)*($C$2:$C$526=$C458),0)),0)</f>
        <v>0.19330357142857149</v>
      </c>
    </row>
    <row r="459" spans="1:6" x14ac:dyDescent="0.25">
      <c r="A459">
        <v>5</v>
      </c>
      <c r="B459">
        <v>2010</v>
      </c>
      <c r="C459">
        <v>2</v>
      </c>
      <c r="D459">
        <f>SUMIFS('Refinery Summary'!$G$2:$G$1899,'Refinery Summary'!$B$2:$B$1899,RefCapacity!$A459,'Refinery Summary'!$A$2:$A$1899,RefCapacity!$B459,'Refinery Summary'!$C$2:$C$1899,RefCapacity!$C459)/1000</f>
        <v>165.7</v>
      </c>
      <c r="E459" cm="1">
        <f t="array" ref="E459">$D459-INDEX($D$2:$D$526,MATCH(1,($A$2:$A$526=$A459)*($B$2:$B$526=2019)*($C$2:$C$526=$C459),0))</f>
        <v>-78.050000000000011</v>
      </c>
      <c r="F459" s="1" cm="1">
        <f t="array" ref="F459">IFERROR(E459/INDEX($D$2:$D$526,MATCH(1,($A$2:$A$526=$A459)*($B$2:$B$526=2019)*($C$2:$C$526=$C459),0)),0)</f>
        <v>-0.32020512820512825</v>
      </c>
    </row>
    <row r="460" spans="1:6" x14ac:dyDescent="0.25">
      <c r="A460">
        <v>5</v>
      </c>
      <c r="B460">
        <v>2010</v>
      </c>
      <c r="C460">
        <v>3</v>
      </c>
      <c r="D460">
        <f>SUMIFS('Refinery Summary'!$G$2:$G$1899,'Refinery Summary'!$B$2:$B$1899,RefCapacity!$A460,'Refinery Summary'!$A$2:$A$1899,RefCapacity!$B460,'Refinery Summary'!$C$2:$C$1899,RefCapacity!$C460)/1000</f>
        <v>243</v>
      </c>
      <c r="E460" cm="1">
        <f t="array" ref="E460">$D460-INDEX($D$2:$D$526,MATCH(1,($A$2:$A$526=$A460)*($B$2:$B$526=2019)*($C$2:$C$526=$C460),0))</f>
        <v>-14</v>
      </c>
      <c r="F460" s="1" cm="1">
        <f t="array" ref="F460">IFERROR(E460/INDEX($D$2:$D$526,MATCH(1,($A$2:$A$526=$A460)*($B$2:$B$526=2019)*($C$2:$C$526=$C460),0)),0)</f>
        <v>-5.4474708171206226E-2</v>
      </c>
    </row>
    <row r="461" spans="1:6" x14ac:dyDescent="0.25">
      <c r="A461">
        <v>5</v>
      </c>
      <c r="B461">
        <v>2010</v>
      </c>
      <c r="C461">
        <v>4</v>
      </c>
      <c r="D461">
        <f>SUMIFS('Refinery Summary'!$G$2:$G$1899,'Refinery Summary'!$B$2:$B$1899,RefCapacity!$A461,'Refinery Summary'!$A$2:$A$1899,RefCapacity!$B461,'Refinery Summary'!$C$2:$C$1899,RefCapacity!$C461)/1000</f>
        <v>258.10000000000002</v>
      </c>
      <c r="E461" cm="1">
        <f t="array" ref="E461">$D461-INDEX($D$2:$D$526,MATCH(1,($A$2:$A$526=$A461)*($B$2:$B$526=2019)*($C$2:$C$526=$C461),0))</f>
        <v>33.900000000000034</v>
      </c>
      <c r="F461" s="1" cm="1">
        <f t="array" ref="F461">IFERROR(E461/INDEX($D$2:$D$526,MATCH(1,($A$2:$A$526=$A461)*($B$2:$B$526=2019)*($C$2:$C$526=$C461),0)),0)</f>
        <v>0.15120428189116875</v>
      </c>
    </row>
    <row r="462" spans="1:6" x14ac:dyDescent="0.25">
      <c r="A462">
        <v>5</v>
      </c>
      <c r="B462">
        <v>2010</v>
      </c>
      <c r="C462">
        <v>5</v>
      </c>
      <c r="D462">
        <f>SUMIFS('Refinery Summary'!$G$2:$G$1899,'Refinery Summary'!$B$2:$B$1899,RefCapacity!$A462,'Refinery Summary'!$A$2:$A$1899,RefCapacity!$B462,'Refinery Summary'!$C$2:$C$1899,RefCapacity!$C462)/1000</f>
        <v>407.3</v>
      </c>
      <c r="E462" cm="1">
        <f t="array" ref="E462">$D462-INDEX($D$2:$D$526,MATCH(1,($A$2:$A$526=$A462)*($B$2:$B$526=2019)*($C$2:$C$526=$C462),0))</f>
        <v>48.850000000000023</v>
      </c>
      <c r="F462" s="1" cm="1">
        <f t="array" ref="F462">IFERROR(E462/INDEX($D$2:$D$526,MATCH(1,($A$2:$A$526=$A462)*($B$2:$B$526=2019)*($C$2:$C$526=$C462),0)),0)</f>
        <v>0.13628121076858704</v>
      </c>
    </row>
    <row r="463" spans="1:6" x14ac:dyDescent="0.25">
      <c r="A463">
        <v>5</v>
      </c>
      <c r="B463">
        <v>2010</v>
      </c>
      <c r="C463">
        <v>6</v>
      </c>
      <c r="D463">
        <f>SUMIFS('Refinery Summary'!$G$2:$G$1899,'Refinery Summary'!$B$2:$B$1899,RefCapacity!$A463,'Refinery Summary'!$A$2:$A$1899,RefCapacity!$B463,'Refinery Summary'!$C$2:$C$1899,RefCapacity!$C463)/1000</f>
        <v>1354.925</v>
      </c>
      <c r="E463" cm="1">
        <f t="array" ref="E463">$D463-INDEX($D$2:$D$526,MATCH(1,($A$2:$A$526=$A463)*($B$2:$B$526=2019)*($C$2:$C$526=$C463),0))</f>
        <v>-18.335000000000036</v>
      </c>
      <c r="F463" s="1" cm="1">
        <f t="array" ref="F463">IFERROR(E463/INDEX($D$2:$D$526,MATCH(1,($A$2:$A$526=$A463)*($B$2:$B$526=2019)*($C$2:$C$526=$C463),0)),0)</f>
        <v>-1.335144109636925E-2</v>
      </c>
    </row>
    <row r="464" spans="1:6" x14ac:dyDescent="0.25">
      <c r="A464">
        <v>5</v>
      </c>
      <c r="B464">
        <v>2011</v>
      </c>
      <c r="C464">
        <v>0</v>
      </c>
      <c r="D464">
        <f>SUMIFS('Refinery Summary'!$G$2:$G$1899,'Refinery Summary'!$B$2:$B$1899,RefCapacity!$A464,'Refinery Summary'!$A$2:$A$1899,RefCapacity!$B464,'Refinery Summary'!$C$2:$C$1899,RefCapacity!$C464)/1000</f>
        <v>456.97500000000002</v>
      </c>
      <c r="E464" cm="1">
        <f t="array" ref="E464">$D464-INDEX($D$2:$D$526,MATCH(1,($A$2:$A$526=$A464)*($B$2:$B$526=2019)*($C$2:$C$526=$C464),0))</f>
        <v>261.75</v>
      </c>
      <c r="F464" s="1" cm="1">
        <f t="array" ref="F464">IFERROR(E464/INDEX($D$2:$D$526,MATCH(1,($A$2:$A$526=$A464)*($B$2:$B$526=2019)*($C$2:$C$526=$C464),0)),0)</f>
        <v>1.3407606607760276</v>
      </c>
    </row>
    <row r="465" spans="1:6" x14ac:dyDescent="0.25">
      <c r="A465">
        <v>5</v>
      </c>
      <c r="B465">
        <v>2011</v>
      </c>
      <c r="C465">
        <v>1</v>
      </c>
      <c r="D465">
        <f>SUMIFS('Refinery Summary'!$G$2:$G$1899,'Refinery Summary'!$B$2:$B$1899,RefCapacity!$A465,'Refinery Summary'!$A$2:$A$1899,RefCapacity!$B465,'Refinery Summary'!$C$2:$C$1899,RefCapacity!$C465)/1000</f>
        <v>274</v>
      </c>
      <c r="E465" cm="1">
        <f t="array" ref="E465">$D465-INDEX($D$2:$D$526,MATCH(1,($A$2:$A$526=$A465)*($B$2:$B$526=2019)*($C$2:$C$526=$C465),0))</f>
        <v>50</v>
      </c>
      <c r="F465" s="1" cm="1">
        <f t="array" ref="F465">IFERROR(E465/INDEX($D$2:$D$526,MATCH(1,($A$2:$A$526=$A465)*($B$2:$B$526=2019)*($C$2:$C$526=$C465),0)),0)</f>
        <v>0.22321428571428573</v>
      </c>
    </row>
    <row r="466" spans="1:6" x14ac:dyDescent="0.25">
      <c r="A466">
        <v>5</v>
      </c>
      <c r="B466">
        <v>2011</v>
      </c>
      <c r="C466">
        <v>2</v>
      </c>
      <c r="D466">
        <f>SUMIFS('Refinery Summary'!$G$2:$G$1899,'Refinery Summary'!$B$2:$B$1899,RefCapacity!$A466,'Refinery Summary'!$A$2:$A$1899,RefCapacity!$B466,'Refinery Summary'!$C$2:$C$1899,RefCapacity!$C466)/1000</f>
        <v>165.7</v>
      </c>
      <c r="E466" cm="1">
        <f t="array" ref="E466">$D466-INDEX($D$2:$D$526,MATCH(1,($A$2:$A$526=$A466)*($B$2:$B$526=2019)*($C$2:$C$526=$C466),0))</f>
        <v>-78.050000000000011</v>
      </c>
      <c r="F466" s="1" cm="1">
        <f t="array" ref="F466">IFERROR(E466/INDEX($D$2:$D$526,MATCH(1,($A$2:$A$526=$A466)*($B$2:$B$526=2019)*($C$2:$C$526=$C466),0)),0)</f>
        <v>-0.32020512820512825</v>
      </c>
    </row>
    <row r="467" spans="1:6" x14ac:dyDescent="0.25">
      <c r="A467">
        <v>5</v>
      </c>
      <c r="B467">
        <v>2011</v>
      </c>
      <c r="C467">
        <v>3</v>
      </c>
      <c r="D467">
        <f>SUMIFS('Refinery Summary'!$G$2:$G$1899,'Refinery Summary'!$B$2:$B$1899,RefCapacity!$A467,'Refinery Summary'!$A$2:$A$1899,RefCapacity!$B467,'Refinery Summary'!$C$2:$C$1899,RefCapacity!$C467)/1000</f>
        <v>243</v>
      </c>
      <c r="E467" cm="1">
        <f t="array" ref="E467">$D467-INDEX($D$2:$D$526,MATCH(1,($A$2:$A$526=$A467)*($B$2:$B$526=2019)*($C$2:$C$526=$C467),0))</f>
        <v>-14</v>
      </c>
      <c r="F467" s="1" cm="1">
        <f t="array" ref="F467">IFERROR(E467/INDEX($D$2:$D$526,MATCH(1,($A$2:$A$526=$A467)*($B$2:$B$526=2019)*($C$2:$C$526=$C467),0)),0)</f>
        <v>-5.4474708171206226E-2</v>
      </c>
    </row>
    <row r="468" spans="1:6" x14ac:dyDescent="0.25">
      <c r="A468">
        <v>5</v>
      </c>
      <c r="B468">
        <v>2011</v>
      </c>
      <c r="C468">
        <v>4</v>
      </c>
      <c r="D468">
        <f>SUMIFS('Refinery Summary'!$G$2:$G$1899,'Refinery Summary'!$B$2:$B$1899,RefCapacity!$A468,'Refinery Summary'!$A$2:$A$1899,RefCapacity!$B468,'Refinery Summary'!$C$2:$C$1899,RefCapacity!$C468)/1000</f>
        <v>313.10000000000002</v>
      </c>
      <c r="E468" cm="1">
        <f t="array" ref="E468">$D468-INDEX($D$2:$D$526,MATCH(1,($A$2:$A$526=$A468)*($B$2:$B$526=2019)*($C$2:$C$526=$C468),0))</f>
        <v>88.900000000000034</v>
      </c>
      <c r="F468" s="1" cm="1">
        <f t="array" ref="F468">IFERROR(E468/INDEX($D$2:$D$526,MATCH(1,($A$2:$A$526=$A468)*($B$2:$B$526=2019)*($C$2:$C$526=$C468),0)),0)</f>
        <v>0.39652096342551313</v>
      </c>
    </row>
    <row r="469" spans="1:6" x14ac:dyDescent="0.25">
      <c r="A469">
        <v>5</v>
      </c>
      <c r="B469">
        <v>2011</v>
      </c>
      <c r="C469">
        <v>5</v>
      </c>
      <c r="D469">
        <f>SUMIFS('Refinery Summary'!$G$2:$G$1899,'Refinery Summary'!$B$2:$B$1899,RefCapacity!$A469,'Refinery Summary'!$A$2:$A$1899,RefCapacity!$B469,'Refinery Summary'!$C$2:$C$1899,RefCapacity!$C469)/1000</f>
        <v>412.3</v>
      </c>
      <c r="E469" cm="1">
        <f t="array" ref="E469">$D469-INDEX($D$2:$D$526,MATCH(1,($A$2:$A$526=$A469)*($B$2:$B$526=2019)*($C$2:$C$526=$C469),0))</f>
        <v>53.850000000000023</v>
      </c>
      <c r="F469" s="1" cm="1">
        <f t="array" ref="F469">IFERROR(E469/INDEX($D$2:$D$526,MATCH(1,($A$2:$A$526=$A469)*($B$2:$B$526=2019)*($C$2:$C$526=$C469),0)),0)</f>
        <v>0.15023015762309952</v>
      </c>
    </row>
    <row r="470" spans="1:6" x14ac:dyDescent="0.25">
      <c r="A470">
        <v>5</v>
      </c>
      <c r="B470">
        <v>2011</v>
      </c>
      <c r="C470">
        <v>6</v>
      </c>
      <c r="D470">
        <f>SUMIFS('Refinery Summary'!$G$2:$G$1899,'Refinery Summary'!$B$2:$B$1899,RefCapacity!$A470,'Refinery Summary'!$A$2:$A$1899,RefCapacity!$B470,'Refinery Summary'!$C$2:$C$1899,RefCapacity!$C470)/1000</f>
        <v>1384.4749999999999</v>
      </c>
      <c r="E470" cm="1">
        <f t="array" ref="E470">$D470-INDEX($D$2:$D$526,MATCH(1,($A$2:$A$526=$A470)*($B$2:$B$526=2019)*($C$2:$C$526=$C470),0))</f>
        <v>11.214999999999918</v>
      </c>
      <c r="F470" s="1" cm="1">
        <f t="array" ref="F470">IFERROR(E470/INDEX($D$2:$D$526,MATCH(1,($A$2:$A$526=$A470)*($B$2:$B$526=2019)*($C$2:$C$526=$C470),0)),0)</f>
        <v>8.1666982217496447E-3</v>
      </c>
    </row>
    <row r="471" spans="1:6" x14ac:dyDescent="0.25">
      <c r="A471">
        <v>5</v>
      </c>
      <c r="B471">
        <v>2012</v>
      </c>
      <c r="C471">
        <v>0</v>
      </c>
      <c r="D471">
        <f>SUMIFS('Refinery Summary'!$G$2:$G$1899,'Refinery Summary'!$B$2:$B$1899,RefCapacity!$A471,'Refinery Summary'!$A$2:$A$1899,RefCapacity!$B471,'Refinery Summary'!$C$2:$C$1899,RefCapacity!$C471)/1000</f>
        <v>456.97500000000002</v>
      </c>
      <c r="E471" cm="1">
        <f t="array" ref="E471">$D471-INDEX($D$2:$D$526,MATCH(1,($A$2:$A$526=$A471)*($B$2:$B$526=2019)*($C$2:$C$526=$C471),0))</f>
        <v>261.75</v>
      </c>
      <c r="F471" s="1" cm="1">
        <f t="array" ref="F471">IFERROR(E471/INDEX($D$2:$D$526,MATCH(1,($A$2:$A$526=$A471)*($B$2:$B$526=2019)*($C$2:$C$526=$C471),0)),0)</f>
        <v>1.3407606607760276</v>
      </c>
    </row>
    <row r="472" spans="1:6" x14ac:dyDescent="0.25">
      <c r="A472">
        <v>5</v>
      </c>
      <c r="B472">
        <v>2012</v>
      </c>
      <c r="C472">
        <v>1</v>
      </c>
      <c r="D472">
        <f>SUMIFS('Refinery Summary'!$G$2:$G$1899,'Refinery Summary'!$B$2:$B$1899,RefCapacity!$A472,'Refinery Summary'!$A$2:$A$1899,RefCapacity!$B472,'Refinery Summary'!$C$2:$C$1899,RefCapacity!$C472)/1000</f>
        <v>274</v>
      </c>
      <c r="E472" cm="1">
        <f t="array" ref="E472">$D472-INDEX($D$2:$D$526,MATCH(1,($A$2:$A$526=$A472)*($B$2:$B$526=2019)*($C$2:$C$526=$C472),0))</f>
        <v>50</v>
      </c>
      <c r="F472" s="1" cm="1">
        <f t="array" ref="F472">IFERROR(E472/INDEX($D$2:$D$526,MATCH(1,($A$2:$A$526=$A472)*($B$2:$B$526=2019)*($C$2:$C$526=$C472),0)),0)</f>
        <v>0.22321428571428573</v>
      </c>
    </row>
    <row r="473" spans="1:6" x14ac:dyDescent="0.25">
      <c r="A473">
        <v>5</v>
      </c>
      <c r="B473">
        <v>2012</v>
      </c>
      <c r="C473">
        <v>2</v>
      </c>
      <c r="D473">
        <f>SUMIFS('Refinery Summary'!$G$2:$G$1899,'Refinery Summary'!$B$2:$B$1899,RefCapacity!$A473,'Refinery Summary'!$A$2:$A$1899,RefCapacity!$B473,'Refinery Summary'!$C$2:$C$1899,RefCapacity!$C473)/1000</f>
        <v>165.7</v>
      </c>
      <c r="E473" cm="1">
        <f t="array" ref="E473">$D473-INDEX($D$2:$D$526,MATCH(1,($A$2:$A$526=$A473)*($B$2:$B$526=2019)*($C$2:$C$526=$C473),0))</f>
        <v>-78.050000000000011</v>
      </c>
      <c r="F473" s="1" cm="1">
        <f t="array" ref="F473">IFERROR(E473/INDEX($D$2:$D$526,MATCH(1,($A$2:$A$526=$A473)*($B$2:$B$526=2019)*($C$2:$C$526=$C473),0)),0)</f>
        <v>-0.32020512820512825</v>
      </c>
    </row>
    <row r="474" spans="1:6" x14ac:dyDescent="0.25">
      <c r="A474">
        <v>5</v>
      </c>
      <c r="B474">
        <v>2012</v>
      </c>
      <c r="C474">
        <v>3</v>
      </c>
      <c r="D474">
        <f>SUMIFS('Refinery Summary'!$G$2:$G$1899,'Refinery Summary'!$B$2:$B$1899,RefCapacity!$A474,'Refinery Summary'!$A$2:$A$1899,RefCapacity!$B474,'Refinery Summary'!$C$2:$C$1899,RefCapacity!$C474)/1000</f>
        <v>257</v>
      </c>
      <c r="E474" cm="1">
        <f t="array" ref="E474">$D474-INDEX($D$2:$D$526,MATCH(1,($A$2:$A$526=$A474)*($B$2:$B$526=2019)*($C$2:$C$526=$C474),0))</f>
        <v>0</v>
      </c>
      <c r="F474" s="1" cm="1">
        <f t="array" ref="F474">IFERROR(E474/INDEX($D$2:$D$526,MATCH(1,($A$2:$A$526=$A474)*($B$2:$B$526=2019)*($C$2:$C$526=$C474),0)),0)</f>
        <v>0</v>
      </c>
    </row>
    <row r="475" spans="1:6" x14ac:dyDescent="0.25">
      <c r="A475">
        <v>5</v>
      </c>
      <c r="B475">
        <v>2012</v>
      </c>
      <c r="C475">
        <v>4</v>
      </c>
      <c r="D475">
        <f>SUMIFS('Refinery Summary'!$G$2:$G$1899,'Refinery Summary'!$B$2:$B$1899,RefCapacity!$A475,'Refinery Summary'!$A$2:$A$1899,RefCapacity!$B475,'Refinery Summary'!$C$2:$C$1899,RefCapacity!$C475)/1000</f>
        <v>313.10000000000002</v>
      </c>
      <c r="E475" cm="1">
        <f t="array" ref="E475">$D475-INDEX($D$2:$D$526,MATCH(1,($A$2:$A$526=$A475)*($B$2:$B$526=2019)*($C$2:$C$526=$C475),0))</f>
        <v>88.900000000000034</v>
      </c>
      <c r="F475" s="1" cm="1">
        <f t="array" ref="F475">IFERROR(E475/INDEX($D$2:$D$526,MATCH(1,($A$2:$A$526=$A475)*($B$2:$B$526=2019)*($C$2:$C$526=$C475),0)),0)</f>
        <v>0.39652096342551313</v>
      </c>
    </row>
    <row r="476" spans="1:6" x14ac:dyDescent="0.25">
      <c r="A476">
        <v>5</v>
      </c>
      <c r="B476">
        <v>2012</v>
      </c>
      <c r="C476">
        <v>5</v>
      </c>
      <c r="D476">
        <f>SUMIFS('Refinery Summary'!$G$2:$G$1899,'Refinery Summary'!$B$2:$B$1899,RefCapacity!$A476,'Refinery Summary'!$A$2:$A$1899,RefCapacity!$B476,'Refinery Summary'!$C$2:$C$1899,RefCapacity!$C476)/1000</f>
        <v>342.3</v>
      </c>
      <c r="E476" cm="1">
        <f t="array" ref="E476">$D476-INDEX($D$2:$D$526,MATCH(1,($A$2:$A$526=$A476)*($B$2:$B$526=2019)*($C$2:$C$526=$C476),0))</f>
        <v>-16.149999999999977</v>
      </c>
      <c r="F476" s="1" cm="1">
        <f t="array" ref="F476">IFERROR(E476/INDEX($D$2:$D$526,MATCH(1,($A$2:$A$526=$A476)*($B$2:$B$526=2019)*($C$2:$C$526=$C476),0)),0)</f>
        <v>-4.5055098340075261E-2</v>
      </c>
    </row>
    <row r="477" spans="1:6" x14ac:dyDescent="0.25">
      <c r="A477">
        <v>5</v>
      </c>
      <c r="B477">
        <v>2012</v>
      </c>
      <c r="C477">
        <v>6</v>
      </c>
      <c r="D477">
        <f>SUMIFS('Refinery Summary'!$G$2:$G$1899,'Refinery Summary'!$B$2:$B$1899,RefCapacity!$A477,'Refinery Summary'!$A$2:$A$1899,RefCapacity!$B477,'Refinery Summary'!$C$2:$C$1899,RefCapacity!$C477)/1000</f>
        <v>1385.9</v>
      </c>
      <c r="E477" cm="1">
        <f t="array" ref="E477">$D477-INDEX($D$2:$D$526,MATCH(1,($A$2:$A$526=$A477)*($B$2:$B$526=2019)*($C$2:$C$526=$C477),0))</f>
        <v>12.6400000000001</v>
      </c>
      <c r="F477" s="1" cm="1">
        <f t="array" ref="F477">IFERROR(E477/INDEX($D$2:$D$526,MATCH(1,($A$2:$A$526=$A477)*($B$2:$B$526=2019)*($C$2:$C$526=$C477),0)),0)</f>
        <v>9.2043749908976447E-3</v>
      </c>
    </row>
    <row r="478" spans="1:6" x14ac:dyDescent="0.25">
      <c r="A478">
        <v>5</v>
      </c>
      <c r="B478">
        <v>2013</v>
      </c>
      <c r="C478">
        <v>0</v>
      </c>
      <c r="D478">
        <f>SUMIFS('Refinery Summary'!$G$2:$G$1899,'Refinery Summary'!$B$2:$B$1899,RefCapacity!$A478,'Refinery Summary'!$A$2:$A$1899,RefCapacity!$B478,'Refinery Summary'!$C$2:$C$1899,RefCapacity!$C478)/1000</f>
        <v>456.97500000000002</v>
      </c>
      <c r="E478" cm="1">
        <f t="array" ref="E478">$D478-INDEX($D$2:$D$526,MATCH(1,($A$2:$A$526=$A478)*($B$2:$B$526=2019)*($C$2:$C$526=$C478),0))</f>
        <v>261.75</v>
      </c>
      <c r="F478" s="1" cm="1">
        <f t="array" ref="F478">IFERROR(E478/INDEX($D$2:$D$526,MATCH(1,($A$2:$A$526=$A478)*($B$2:$B$526=2019)*($C$2:$C$526=$C478),0)),0)</f>
        <v>1.3407606607760276</v>
      </c>
    </row>
    <row r="479" spans="1:6" x14ac:dyDescent="0.25">
      <c r="A479">
        <v>5</v>
      </c>
      <c r="B479">
        <v>2013</v>
      </c>
      <c r="C479">
        <v>1</v>
      </c>
      <c r="D479">
        <f>SUMIFS('Refinery Summary'!$G$2:$G$1899,'Refinery Summary'!$B$2:$B$1899,RefCapacity!$A479,'Refinery Summary'!$A$2:$A$1899,RefCapacity!$B479,'Refinery Summary'!$C$2:$C$1899,RefCapacity!$C479)/1000</f>
        <v>275</v>
      </c>
      <c r="E479" cm="1">
        <f t="array" ref="E479">$D479-INDEX($D$2:$D$526,MATCH(1,($A$2:$A$526=$A479)*($B$2:$B$526=2019)*($C$2:$C$526=$C479),0))</f>
        <v>51</v>
      </c>
      <c r="F479" s="1" cm="1">
        <f t="array" ref="F479">IFERROR(E479/INDEX($D$2:$D$526,MATCH(1,($A$2:$A$526=$A479)*($B$2:$B$526=2019)*($C$2:$C$526=$C479),0)),0)</f>
        <v>0.22767857142857142</v>
      </c>
    </row>
    <row r="480" spans="1:6" x14ac:dyDescent="0.25">
      <c r="A480">
        <v>5</v>
      </c>
      <c r="B480">
        <v>2013</v>
      </c>
      <c r="C480">
        <v>2</v>
      </c>
      <c r="D480">
        <f>SUMIFS('Refinery Summary'!$G$2:$G$1899,'Refinery Summary'!$B$2:$B$1899,RefCapacity!$A480,'Refinery Summary'!$A$2:$A$1899,RefCapacity!$B480,'Refinery Summary'!$C$2:$C$1899,RefCapacity!$C480)/1000</f>
        <v>165.7</v>
      </c>
      <c r="E480" cm="1">
        <f t="array" ref="E480">$D480-INDEX($D$2:$D$526,MATCH(1,($A$2:$A$526=$A480)*($B$2:$B$526=2019)*($C$2:$C$526=$C480),0))</f>
        <v>-78.050000000000011</v>
      </c>
      <c r="F480" s="1" cm="1">
        <f t="array" ref="F480">IFERROR(E480/INDEX($D$2:$D$526,MATCH(1,($A$2:$A$526=$A480)*($B$2:$B$526=2019)*($C$2:$C$526=$C480),0)),0)</f>
        <v>-0.32020512820512825</v>
      </c>
    </row>
    <row r="481" spans="1:6" x14ac:dyDescent="0.25">
      <c r="A481">
        <v>5</v>
      </c>
      <c r="B481">
        <v>2013</v>
      </c>
      <c r="C481">
        <v>3</v>
      </c>
      <c r="D481">
        <f>SUMIFS('Refinery Summary'!$G$2:$G$1899,'Refinery Summary'!$B$2:$B$1899,RefCapacity!$A481,'Refinery Summary'!$A$2:$A$1899,RefCapacity!$B481,'Refinery Summary'!$C$2:$C$1899,RefCapacity!$C481)/1000</f>
        <v>257</v>
      </c>
      <c r="E481" cm="1">
        <f t="array" ref="E481">$D481-INDEX($D$2:$D$526,MATCH(1,($A$2:$A$526=$A481)*($B$2:$B$526=2019)*($C$2:$C$526=$C481),0))</f>
        <v>0</v>
      </c>
      <c r="F481" s="1" cm="1">
        <f t="array" ref="F481">IFERROR(E481/INDEX($D$2:$D$526,MATCH(1,($A$2:$A$526=$A481)*($B$2:$B$526=2019)*($C$2:$C$526=$C481),0)),0)</f>
        <v>0</v>
      </c>
    </row>
    <row r="482" spans="1:6" x14ac:dyDescent="0.25">
      <c r="A482">
        <v>5</v>
      </c>
      <c r="B482">
        <v>2013</v>
      </c>
      <c r="C482">
        <v>4</v>
      </c>
      <c r="D482">
        <f>SUMIFS('Refinery Summary'!$G$2:$G$1899,'Refinery Summary'!$B$2:$B$1899,RefCapacity!$A482,'Refinery Summary'!$A$2:$A$1899,RefCapacity!$B482,'Refinery Summary'!$C$2:$C$1899,RefCapacity!$C482)/1000</f>
        <v>313.10000000000002</v>
      </c>
      <c r="E482" cm="1">
        <f t="array" ref="E482">$D482-INDEX($D$2:$D$526,MATCH(1,($A$2:$A$526=$A482)*($B$2:$B$526=2019)*($C$2:$C$526=$C482),0))</f>
        <v>88.900000000000034</v>
      </c>
      <c r="F482" s="1" cm="1">
        <f t="array" ref="F482">IFERROR(E482/INDEX($D$2:$D$526,MATCH(1,($A$2:$A$526=$A482)*($B$2:$B$526=2019)*($C$2:$C$526=$C482),0)),0)</f>
        <v>0.39652096342551313</v>
      </c>
    </row>
    <row r="483" spans="1:6" x14ac:dyDescent="0.25">
      <c r="A483">
        <v>5</v>
      </c>
      <c r="B483">
        <v>2013</v>
      </c>
      <c r="C483">
        <v>5</v>
      </c>
      <c r="D483">
        <f>SUMIFS('Refinery Summary'!$G$2:$G$1899,'Refinery Summary'!$B$2:$B$1899,RefCapacity!$A483,'Refinery Summary'!$A$2:$A$1899,RefCapacity!$B483,'Refinery Summary'!$C$2:$C$1899,RefCapacity!$C483)/1000</f>
        <v>342.3</v>
      </c>
      <c r="E483" cm="1">
        <f t="array" ref="E483">$D483-INDEX($D$2:$D$526,MATCH(1,($A$2:$A$526=$A483)*($B$2:$B$526=2019)*($C$2:$C$526=$C483),0))</f>
        <v>-16.149999999999977</v>
      </c>
      <c r="F483" s="1" cm="1">
        <f t="array" ref="F483">IFERROR(E483/INDEX($D$2:$D$526,MATCH(1,($A$2:$A$526=$A483)*($B$2:$B$526=2019)*($C$2:$C$526=$C483),0)),0)</f>
        <v>-4.5055098340075261E-2</v>
      </c>
    </row>
    <row r="484" spans="1:6" x14ac:dyDescent="0.25">
      <c r="A484">
        <v>5</v>
      </c>
      <c r="B484">
        <v>2013</v>
      </c>
      <c r="C484">
        <v>6</v>
      </c>
      <c r="D484">
        <f>SUMIFS('Refinery Summary'!$G$2:$G$1899,'Refinery Summary'!$B$2:$B$1899,RefCapacity!$A484,'Refinery Summary'!$A$2:$A$1899,RefCapacity!$B484,'Refinery Summary'!$C$2:$C$1899,RefCapacity!$C484)/1000</f>
        <v>1385.9</v>
      </c>
      <c r="E484" cm="1">
        <f t="array" ref="E484">$D484-INDEX($D$2:$D$526,MATCH(1,($A$2:$A$526=$A484)*($B$2:$B$526=2019)*($C$2:$C$526=$C484),0))</f>
        <v>12.6400000000001</v>
      </c>
      <c r="F484" s="1" cm="1">
        <f t="array" ref="F484">IFERROR(E484/INDEX($D$2:$D$526,MATCH(1,($A$2:$A$526=$A484)*($B$2:$B$526=2019)*($C$2:$C$526=$C484),0)),0)</f>
        <v>9.2043749908976447E-3</v>
      </c>
    </row>
    <row r="485" spans="1:6" x14ac:dyDescent="0.25">
      <c r="A485">
        <v>5</v>
      </c>
      <c r="B485">
        <v>2014</v>
      </c>
      <c r="C485">
        <v>0</v>
      </c>
      <c r="D485">
        <f>SUMIFS('Refinery Summary'!$G$2:$G$1899,'Refinery Summary'!$B$2:$B$1899,RefCapacity!$A485,'Refinery Summary'!$A$2:$A$1899,RefCapacity!$B485,'Refinery Summary'!$C$2:$C$1899,RefCapacity!$C485)/1000</f>
        <v>373.85</v>
      </c>
      <c r="E485" cm="1">
        <f t="array" ref="E485">$D485-INDEX($D$2:$D$526,MATCH(1,($A$2:$A$526=$A485)*($B$2:$B$526=2019)*($C$2:$C$526=$C485),0))</f>
        <v>178.62500000000003</v>
      </c>
      <c r="F485" s="1" cm="1">
        <f t="array" ref="F485">IFERROR(E485/INDEX($D$2:$D$526,MATCH(1,($A$2:$A$526=$A485)*($B$2:$B$526=2019)*($C$2:$C$526=$C485),0)),0)</f>
        <v>0.91496990651812027</v>
      </c>
    </row>
    <row r="486" spans="1:6" x14ac:dyDescent="0.25">
      <c r="A486">
        <v>5</v>
      </c>
      <c r="B486">
        <v>2014</v>
      </c>
      <c r="C486">
        <v>1</v>
      </c>
      <c r="D486">
        <f>SUMIFS('Refinery Summary'!$G$2:$G$1899,'Refinery Summary'!$B$2:$B$1899,RefCapacity!$A486,'Refinery Summary'!$A$2:$A$1899,RefCapacity!$B486,'Refinery Summary'!$C$2:$C$1899,RefCapacity!$C486)/1000</f>
        <v>275</v>
      </c>
      <c r="E486" cm="1">
        <f t="array" ref="E486">$D486-INDEX($D$2:$D$526,MATCH(1,($A$2:$A$526=$A486)*($B$2:$B$526=2019)*($C$2:$C$526=$C486),0))</f>
        <v>51</v>
      </c>
      <c r="F486" s="1" cm="1">
        <f t="array" ref="F486">IFERROR(E486/INDEX($D$2:$D$526,MATCH(1,($A$2:$A$526=$A486)*($B$2:$B$526=2019)*($C$2:$C$526=$C486),0)),0)</f>
        <v>0.22767857142857142</v>
      </c>
    </row>
    <row r="487" spans="1:6" x14ac:dyDescent="0.25">
      <c r="A487">
        <v>5</v>
      </c>
      <c r="B487">
        <v>2014</v>
      </c>
      <c r="C487">
        <v>2</v>
      </c>
      <c r="D487">
        <f>SUMIFS('Refinery Summary'!$G$2:$G$1899,'Refinery Summary'!$B$2:$B$1899,RefCapacity!$A487,'Refinery Summary'!$A$2:$A$1899,RefCapacity!$B487,'Refinery Summary'!$C$2:$C$1899,RefCapacity!$C487)/1000</f>
        <v>72</v>
      </c>
      <c r="E487" cm="1">
        <f t="array" ref="E487">$D487-INDEX($D$2:$D$526,MATCH(1,($A$2:$A$526=$A487)*($B$2:$B$526=2019)*($C$2:$C$526=$C487),0))</f>
        <v>-171.75</v>
      </c>
      <c r="F487" s="1" cm="1">
        <f t="array" ref="F487">IFERROR(E487/INDEX($D$2:$D$526,MATCH(1,($A$2:$A$526=$A487)*($B$2:$B$526=2019)*($C$2:$C$526=$C487),0)),0)</f>
        <v>-0.70461538461538464</v>
      </c>
    </row>
    <row r="488" spans="1:6" x14ac:dyDescent="0.25">
      <c r="A488">
        <v>5</v>
      </c>
      <c r="B488">
        <v>2014</v>
      </c>
      <c r="C488">
        <v>3</v>
      </c>
      <c r="D488">
        <f>SUMIFS('Refinery Summary'!$G$2:$G$1899,'Refinery Summary'!$B$2:$B$1899,RefCapacity!$A488,'Refinery Summary'!$A$2:$A$1899,RefCapacity!$B488,'Refinery Summary'!$C$2:$C$1899,RefCapacity!$C488)/1000</f>
        <v>257</v>
      </c>
      <c r="E488" cm="1">
        <f t="array" ref="E488">$D488-INDEX($D$2:$D$526,MATCH(1,($A$2:$A$526=$A488)*($B$2:$B$526=2019)*($C$2:$C$526=$C488),0))</f>
        <v>0</v>
      </c>
      <c r="F488" s="1" cm="1">
        <f t="array" ref="F488">IFERROR(E488/INDEX($D$2:$D$526,MATCH(1,($A$2:$A$526=$A488)*($B$2:$B$526=2019)*($C$2:$C$526=$C488),0)),0)</f>
        <v>0</v>
      </c>
    </row>
    <row r="489" spans="1:6" x14ac:dyDescent="0.25">
      <c r="A489">
        <v>5</v>
      </c>
      <c r="B489">
        <v>2014</v>
      </c>
      <c r="C489">
        <v>4</v>
      </c>
      <c r="D489">
        <f>SUMIFS('Refinery Summary'!$G$2:$G$1899,'Refinery Summary'!$B$2:$B$1899,RefCapacity!$A489,'Refinery Summary'!$A$2:$A$1899,RefCapacity!$B489,'Refinery Summary'!$C$2:$C$1899,RefCapacity!$C489)/1000</f>
        <v>313.10000000000002</v>
      </c>
      <c r="E489" cm="1">
        <f t="array" ref="E489">$D489-INDEX($D$2:$D$526,MATCH(1,($A$2:$A$526=$A489)*($B$2:$B$526=2019)*($C$2:$C$526=$C489),0))</f>
        <v>88.900000000000034</v>
      </c>
      <c r="F489" s="1" cm="1">
        <f t="array" ref="F489">IFERROR(E489/INDEX($D$2:$D$526,MATCH(1,($A$2:$A$526=$A489)*($B$2:$B$526=2019)*($C$2:$C$526=$C489),0)),0)</f>
        <v>0.39652096342551313</v>
      </c>
    </row>
    <row r="490" spans="1:6" x14ac:dyDescent="0.25">
      <c r="A490">
        <v>5</v>
      </c>
      <c r="B490">
        <v>2014</v>
      </c>
      <c r="C490">
        <v>5</v>
      </c>
      <c r="D490">
        <f>SUMIFS('Refinery Summary'!$G$2:$G$1899,'Refinery Summary'!$B$2:$B$1899,RefCapacity!$A490,'Refinery Summary'!$A$2:$A$1899,RefCapacity!$B490,'Refinery Summary'!$C$2:$C$1899,RefCapacity!$C490)/1000</f>
        <v>342.3</v>
      </c>
      <c r="E490" cm="1">
        <f t="array" ref="E490">$D490-INDEX($D$2:$D$526,MATCH(1,($A$2:$A$526=$A490)*($B$2:$B$526=2019)*($C$2:$C$526=$C490),0))</f>
        <v>-16.149999999999977</v>
      </c>
      <c r="F490" s="1" cm="1">
        <f t="array" ref="F490">IFERROR(E490/INDEX($D$2:$D$526,MATCH(1,($A$2:$A$526=$A490)*($B$2:$B$526=2019)*($C$2:$C$526=$C490),0)),0)</f>
        <v>-4.5055098340075261E-2</v>
      </c>
    </row>
    <row r="491" spans="1:6" x14ac:dyDescent="0.25">
      <c r="A491">
        <v>5</v>
      </c>
      <c r="B491">
        <v>2014</v>
      </c>
      <c r="C491">
        <v>6</v>
      </c>
      <c r="D491">
        <f>SUMIFS('Refinery Summary'!$G$2:$G$1899,'Refinery Summary'!$B$2:$B$1899,RefCapacity!$A491,'Refinery Summary'!$A$2:$A$1899,RefCapacity!$B491,'Refinery Summary'!$C$2:$C$1899,RefCapacity!$C491)/1000</f>
        <v>1385.9</v>
      </c>
      <c r="E491" cm="1">
        <f t="array" ref="E491">$D491-INDEX($D$2:$D$526,MATCH(1,($A$2:$A$526=$A491)*($B$2:$B$526=2019)*($C$2:$C$526=$C491),0))</f>
        <v>12.6400000000001</v>
      </c>
      <c r="F491" s="1" cm="1">
        <f t="array" ref="F491">IFERROR(E491/INDEX($D$2:$D$526,MATCH(1,($A$2:$A$526=$A491)*($B$2:$B$526=2019)*($C$2:$C$526=$C491),0)),0)</f>
        <v>9.2043749908976447E-3</v>
      </c>
    </row>
    <row r="492" spans="1:6" x14ac:dyDescent="0.25">
      <c r="A492">
        <v>5</v>
      </c>
      <c r="B492">
        <v>2015</v>
      </c>
      <c r="C492">
        <v>0</v>
      </c>
      <c r="D492">
        <f>SUMIFS('Refinery Summary'!$G$2:$G$1899,'Refinery Summary'!$B$2:$B$1899,RefCapacity!$A492,'Refinery Summary'!$A$2:$A$1899,RefCapacity!$B492,'Refinery Summary'!$C$2:$C$1899,RefCapacity!$C492)/1000</f>
        <v>243.3</v>
      </c>
      <c r="E492" cm="1">
        <f t="array" ref="E492">$D492-INDEX($D$2:$D$526,MATCH(1,($A$2:$A$526=$A492)*($B$2:$B$526=2019)*($C$2:$C$526=$C492),0))</f>
        <v>48.075000000000017</v>
      </c>
      <c r="F492" s="1" cm="1">
        <f t="array" ref="F492">IFERROR(E492/INDEX($D$2:$D$526,MATCH(1,($A$2:$A$526=$A492)*($B$2:$B$526=2019)*($C$2:$C$526=$C492),0)),0)</f>
        <v>0.24625432193622754</v>
      </c>
    </row>
    <row r="493" spans="1:6" x14ac:dyDescent="0.25">
      <c r="A493">
        <v>5</v>
      </c>
      <c r="B493">
        <v>2015</v>
      </c>
      <c r="C493">
        <v>1</v>
      </c>
      <c r="D493">
        <f>SUMIFS('Refinery Summary'!$G$2:$G$1899,'Refinery Summary'!$B$2:$B$1899,RefCapacity!$A493,'Refinery Summary'!$A$2:$A$1899,RefCapacity!$B493,'Refinery Summary'!$C$2:$C$1899,RefCapacity!$C493)/1000</f>
        <v>275</v>
      </c>
      <c r="E493" cm="1">
        <f t="array" ref="E493">$D493-INDEX($D$2:$D$526,MATCH(1,($A$2:$A$526=$A493)*($B$2:$B$526=2019)*($C$2:$C$526=$C493),0))</f>
        <v>51</v>
      </c>
      <c r="F493" s="1" cm="1">
        <f t="array" ref="F493">IFERROR(E493/INDEX($D$2:$D$526,MATCH(1,($A$2:$A$526=$A493)*($B$2:$B$526=2019)*($C$2:$C$526=$C493),0)),0)</f>
        <v>0.22767857142857142</v>
      </c>
    </row>
    <row r="494" spans="1:6" x14ac:dyDescent="0.25">
      <c r="A494">
        <v>5</v>
      </c>
      <c r="B494">
        <v>2015</v>
      </c>
      <c r="C494">
        <v>2</v>
      </c>
      <c r="D494">
        <f>SUMIFS('Refinery Summary'!$G$2:$G$1899,'Refinery Summary'!$B$2:$B$1899,RefCapacity!$A494,'Refinery Summary'!$A$2:$A$1899,RefCapacity!$B494,'Refinery Summary'!$C$2:$C$1899,RefCapacity!$C494)/1000</f>
        <v>166</v>
      </c>
      <c r="E494" cm="1">
        <f t="array" ref="E494">$D494-INDEX($D$2:$D$526,MATCH(1,($A$2:$A$526=$A494)*($B$2:$B$526=2019)*($C$2:$C$526=$C494),0))</f>
        <v>-77.75</v>
      </c>
      <c r="F494" s="1" cm="1">
        <f t="array" ref="F494">IFERROR(E494/INDEX($D$2:$D$526,MATCH(1,($A$2:$A$526=$A494)*($B$2:$B$526=2019)*($C$2:$C$526=$C494),0)),0)</f>
        <v>-0.318974358974359</v>
      </c>
    </row>
    <row r="495" spans="1:6" x14ac:dyDescent="0.25">
      <c r="A495">
        <v>5</v>
      </c>
      <c r="B495">
        <v>2015</v>
      </c>
      <c r="C495">
        <v>3</v>
      </c>
      <c r="D495">
        <f>SUMIFS('Refinery Summary'!$G$2:$G$1899,'Refinery Summary'!$B$2:$B$1899,RefCapacity!$A495,'Refinery Summary'!$A$2:$A$1899,RefCapacity!$B495,'Refinery Summary'!$C$2:$C$1899,RefCapacity!$C495)/1000</f>
        <v>257</v>
      </c>
      <c r="E495" cm="1">
        <f t="array" ref="E495">$D495-INDEX($D$2:$D$526,MATCH(1,($A$2:$A$526=$A495)*($B$2:$B$526=2019)*($C$2:$C$526=$C495),0))</f>
        <v>0</v>
      </c>
      <c r="F495" s="1" cm="1">
        <f t="array" ref="F495">IFERROR(E495/INDEX($D$2:$D$526,MATCH(1,($A$2:$A$526=$A495)*($B$2:$B$526=2019)*($C$2:$C$526=$C495),0)),0)</f>
        <v>0</v>
      </c>
    </row>
    <row r="496" spans="1:6" x14ac:dyDescent="0.25">
      <c r="A496">
        <v>5</v>
      </c>
      <c r="B496">
        <v>2015</v>
      </c>
      <c r="C496">
        <v>4</v>
      </c>
      <c r="D496">
        <f>SUMIFS('Refinery Summary'!$G$2:$G$1899,'Refinery Summary'!$B$2:$B$1899,RefCapacity!$A496,'Refinery Summary'!$A$2:$A$1899,RefCapacity!$B496,'Refinery Summary'!$C$2:$C$1899,RefCapacity!$C496)/1000</f>
        <v>309.5</v>
      </c>
      <c r="E496" cm="1">
        <f t="array" ref="E496">$D496-INDEX($D$2:$D$526,MATCH(1,($A$2:$A$526=$A496)*($B$2:$B$526=2019)*($C$2:$C$526=$C496),0))</f>
        <v>85.300000000000011</v>
      </c>
      <c r="F496" s="1" cm="1">
        <f t="array" ref="F496">IFERROR(E496/INDEX($D$2:$D$526,MATCH(1,($A$2:$A$526=$A496)*($B$2:$B$526=2019)*($C$2:$C$526=$C496),0)),0)</f>
        <v>0.380463871543265</v>
      </c>
    </row>
    <row r="497" spans="1:6" x14ac:dyDescent="0.25">
      <c r="A497">
        <v>5</v>
      </c>
      <c r="B497">
        <v>2015</v>
      </c>
      <c r="C497">
        <v>5</v>
      </c>
      <c r="D497">
        <f>SUMIFS('Refinery Summary'!$G$2:$G$1899,'Refinery Summary'!$B$2:$B$1899,RefCapacity!$A497,'Refinery Summary'!$A$2:$A$1899,RefCapacity!$B497,'Refinery Summary'!$C$2:$C$1899,RefCapacity!$C497)/1000</f>
        <v>342.3</v>
      </c>
      <c r="E497" cm="1">
        <f t="array" ref="E497">$D497-INDEX($D$2:$D$526,MATCH(1,($A$2:$A$526=$A497)*($B$2:$B$526=2019)*($C$2:$C$526=$C497),0))</f>
        <v>-16.149999999999977</v>
      </c>
      <c r="F497" s="1" cm="1">
        <f t="array" ref="F497">IFERROR(E497/INDEX($D$2:$D$526,MATCH(1,($A$2:$A$526=$A497)*($B$2:$B$526=2019)*($C$2:$C$526=$C497),0)),0)</f>
        <v>-4.5055098340075261E-2</v>
      </c>
    </row>
    <row r="498" spans="1:6" x14ac:dyDescent="0.25">
      <c r="A498">
        <v>5</v>
      </c>
      <c r="B498">
        <v>2015</v>
      </c>
      <c r="C498">
        <v>6</v>
      </c>
      <c r="D498">
        <f>SUMIFS('Refinery Summary'!$G$2:$G$1899,'Refinery Summary'!$B$2:$B$1899,RefCapacity!$A498,'Refinery Summary'!$A$2:$A$1899,RefCapacity!$B498,'Refinery Summary'!$C$2:$C$1899,RefCapacity!$C498)/1000</f>
        <v>1401.2</v>
      </c>
      <c r="E498" cm="1">
        <f t="array" ref="E498">$D498-INDEX($D$2:$D$526,MATCH(1,($A$2:$A$526=$A498)*($B$2:$B$526=2019)*($C$2:$C$526=$C498),0))</f>
        <v>27.940000000000055</v>
      </c>
      <c r="F498" s="1" cm="1">
        <f t="array" ref="F498">IFERROR(E498/INDEX($D$2:$D$526,MATCH(1,($A$2:$A$526=$A498)*($B$2:$B$526=2019)*($C$2:$C$526=$C498),0)),0)</f>
        <v>2.0345746617537869E-2</v>
      </c>
    </row>
    <row r="499" spans="1:6" x14ac:dyDescent="0.25">
      <c r="A499">
        <v>5</v>
      </c>
      <c r="B499">
        <v>2016</v>
      </c>
      <c r="C499">
        <v>0</v>
      </c>
      <c r="D499">
        <f>SUMIFS('Refinery Summary'!$G$2:$G$1899,'Refinery Summary'!$B$2:$B$1899,RefCapacity!$A499,'Refinery Summary'!$A$2:$A$1899,RefCapacity!$B499,'Refinery Summary'!$C$2:$C$1899,RefCapacity!$C499)/1000</f>
        <v>195.22499999999999</v>
      </c>
      <c r="E499" cm="1">
        <f t="array" ref="E499">$D499-INDEX($D$2:$D$526,MATCH(1,($A$2:$A$526=$A499)*($B$2:$B$526=2019)*($C$2:$C$526=$C499),0))</f>
        <v>0</v>
      </c>
      <c r="F499" s="1" cm="1">
        <f t="array" ref="F499">IFERROR(E499/INDEX($D$2:$D$526,MATCH(1,($A$2:$A$526=$A499)*($B$2:$B$526=2019)*($C$2:$C$526=$C499),0)),0)</f>
        <v>0</v>
      </c>
    </row>
    <row r="500" spans="1:6" x14ac:dyDescent="0.25">
      <c r="A500">
        <v>5</v>
      </c>
      <c r="B500">
        <v>2016</v>
      </c>
      <c r="C500">
        <v>1</v>
      </c>
      <c r="D500">
        <f>SUMIFS('Refinery Summary'!$G$2:$G$1899,'Refinery Summary'!$B$2:$B$1899,RefCapacity!$A500,'Refinery Summary'!$A$2:$A$1899,RefCapacity!$B500,'Refinery Summary'!$C$2:$C$1899,RefCapacity!$C500)/1000</f>
        <v>273.89999999999998</v>
      </c>
      <c r="E500" cm="1">
        <f t="array" ref="E500">$D500-INDEX($D$2:$D$526,MATCH(1,($A$2:$A$526=$A500)*($B$2:$B$526=2019)*($C$2:$C$526=$C500),0))</f>
        <v>49.899999999999977</v>
      </c>
      <c r="F500" s="1" cm="1">
        <f t="array" ref="F500">IFERROR(E500/INDEX($D$2:$D$526,MATCH(1,($A$2:$A$526=$A500)*($B$2:$B$526=2019)*($C$2:$C$526=$C500),0)),0)</f>
        <v>0.22276785714285705</v>
      </c>
    </row>
    <row r="501" spans="1:6" x14ac:dyDescent="0.25">
      <c r="A501">
        <v>5</v>
      </c>
      <c r="B501">
        <v>2016</v>
      </c>
      <c r="C501">
        <v>2</v>
      </c>
      <c r="D501">
        <f>SUMIFS('Refinery Summary'!$G$2:$G$1899,'Refinery Summary'!$B$2:$B$1899,RefCapacity!$A501,'Refinery Summary'!$A$2:$A$1899,RefCapacity!$B501,'Refinery Summary'!$C$2:$C$1899,RefCapacity!$C501)/1000</f>
        <v>244.15</v>
      </c>
      <c r="E501" cm="1">
        <f t="array" ref="E501">$D501-INDEX($D$2:$D$526,MATCH(1,($A$2:$A$526=$A501)*($B$2:$B$526=2019)*($C$2:$C$526=$C501),0))</f>
        <v>0.40000000000000568</v>
      </c>
      <c r="F501" s="1" cm="1">
        <f t="array" ref="F501">IFERROR(E501/INDEX($D$2:$D$526,MATCH(1,($A$2:$A$526=$A501)*($B$2:$B$526=2019)*($C$2:$C$526=$C501),0)),0)</f>
        <v>1.6410256410256644E-3</v>
      </c>
    </row>
    <row r="502" spans="1:6" x14ac:dyDescent="0.25">
      <c r="A502">
        <v>5</v>
      </c>
      <c r="B502">
        <v>2016</v>
      </c>
      <c r="C502">
        <v>3</v>
      </c>
      <c r="D502">
        <f>SUMIFS('Refinery Summary'!$G$2:$G$1899,'Refinery Summary'!$B$2:$B$1899,RefCapacity!$A502,'Refinery Summary'!$A$2:$A$1899,RefCapacity!$B502,'Refinery Summary'!$C$2:$C$1899,RefCapacity!$C502)/1000</f>
        <v>244.34</v>
      </c>
      <c r="E502" cm="1">
        <f t="array" ref="E502">$D502-INDEX($D$2:$D$526,MATCH(1,($A$2:$A$526=$A502)*($B$2:$B$526=2019)*($C$2:$C$526=$C502),0))</f>
        <v>-12.659999999999997</v>
      </c>
      <c r="F502" s="1" cm="1">
        <f t="array" ref="F502">IFERROR(E502/INDEX($D$2:$D$526,MATCH(1,($A$2:$A$526=$A502)*($B$2:$B$526=2019)*($C$2:$C$526=$C502),0)),0)</f>
        <v>-4.9260700389105044E-2</v>
      </c>
    </row>
    <row r="503" spans="1:6" x14ac:dyDescent="0.25">
      <c r="A503">
        <v>5</v>
      </c>
      <c r="B503">
        <v>2016</v>
      </c>
      <c r="C503">
        <v>4</v>
      </c>
      <c r="D503">
        <f>SUMIFS('Refinery Summary'!$G$2:$G$1899,'Refinery Summary'!$B$2:$B$1899,RefCapacity!$A503,'Refinery Summary'!$A$2:$A$1899,RefCapacity!$B503,'Refinery Summary'!$C$2:$C$1899,RefCapacity!$C503)/1000</f>
        <v>224.2</v>
      </c>
      <c r="E503" cm="1">
        <f t="array" ref="E503">$D503-INDEX($D$2:$D$526,MATCH(1,($A$2:$A$526=$A503)*($B$2:$B$526=2019)*($C$2:$C$526=$C503),0))</f>
        <v>0</v>
      </c>
      <c r="F503" s="1" cm="1">
        <f t="array" ref="F503">IFERROR(E503/INDEX($D$2:$D$526,MATCH(1,($A$2:$A$526=$A503)*($B$2:$B$526=2019)*($C$2:$C$526=$C503),0)),0)</f>
        <v>0</v>
      </c>
    </row>
    <row r="504" spans="1:6" x14ac:dyDescent="0.25">
      <c r="A504">
        <v>5</v>
      </c>
      <c r="B504">
        <v>2016</v>
      </c>
      <c r="C504">
        <v>5</v>
      </c>
      <c r="D504">
        <f>SUMIFS('Refinery Summary'!$G$2:$G$1899,'Refinery Summary'!$B$2:$B$1899,RefCapacity!$A504,'Refinery Summary'!$A$2:$A$1899,RefCapacity!$B504,'Refinery Summary'!$C$2:$C$1899,RefCapacity!$C504)/1000</f>
        <v>344.2</v>
      </c>
      <c r="E504" cm="1">
        <f t="array" ref="E504">$D504-INDEX($D$2:$D$526,MATCH(1,($A$2:$A$526=$A504)*($B$2:$B$526=2019)*($C$2:$C$526=$C504),0))</f>
        <v>-14.25</v>
      </c>
      <c r="F504" s="1" cm="1">
        <f t="array" ref="F504">IFERROR(E504/INDEX($D$2:$D$526,MATCH(1,($A$2:$A$526=$A504)*($B$2:$B$526=2019)*($C$2:$C$526=$C504),0)),0)</f>
        <v>-3.9754498535360581E-2</v>
      </c>
    </row>
    <row r="505" spans="1:6" x14ac:dyDescent="0.25">
      <c r="A505">
        <v>5</v>
      </c>
      <c r="B505">
        <v>2016</v>
      </c>
      <c r="C505">
        <v>6</v>
      </c>
      <c r="D505">
        <f>SUMIFS('Refinery Summary'!$G$2:$G$1899,'Refinery Summary'!$B$2:$B$1899,RefCapacity!$A505,'Refinery Summary'!$A$2:$A$1899,RefCapacity!$B505,'Refinery Summary'!$C$2:$C$1899,RefCapacity!$C505)/1000</f>
        <v>1379.635</v>
      </c>
      <c r="E505" cm="1">
        <f t="array" ref="E505">$D505-INDEX($D$2:$D$526,MATCH(1,($A$2:$A$526=$A505)*($B$2:$B$526=2019)*($C$2:$C$526=$C505),0))</f>
        <v>6.375</v>
      </c>
      <c r="F505" s="1" cm="1">
        <f t="array" ref="F505">IFERROR(E505/INDEX($D$2:$D$526,MATCH(1,($A$2:$A$526=$A505)*($B$2:$B$526=2019)*($C$2:$C$526=$C505),0)),0)</f>
        <v>4.6422381777667743E-3</v>
      </c>
    </row>
    <row r="506" spans="1:6" x14ac:dyDescent="0.25">
      <c r="A506">
        <v>5</v>
      </c>
      <c r="B506">
        <v>2017</v>
      </c>
      <c r="C506">
        <v>0</v>
      </c>
      <c r="D506">
        <f>SUMIFS('Refinery Summary'!$G$2:$G$1899,'Refinery Summary'!$B$2:$B$1899,RefCapacity!$A506,'Refinery Summary'!$A$2:$A$1899,RefCapacity!$B506,'Refinery Summary'!$C$2:$C$1899,RefCapacity!$C506)/1000</f>
        <v>195.22499999999999</v>
      </c>
      <c r="E506" cm="1">
        <f t="array" ref="E506">$D506-INDEX($D$2:$D$526,MATCH(1,($A$2:$A$526=$A506)*($B$2:$B$526=2019)*($C$2:$C$526=$C506),0))</f>
        <v>0</v>
      </c>
      <c r="F506" s="1" cm="1">
        <f t="array" ref="F506">IFERROR(E506/INDEX($D$2:$D$526,MATCH(1,($A$2:$A$526=$A506)*($B$2:$B$526=2019)*($C$2:$C$526=$C506),0)),0)</f>
        <v>0</v>
      </c>
    </row>
    <row r="507" spans="1:6" x14ac:dyDescent="0.25">
      <c r="A507">
        <v>5</v>
      </c>
      <c r="B507">
        <v>2017</v>
      </c>
      <c r="C507">
        <v>1</v>
      </c>
      <c r="D507">
        <f>SUMIFS('Refinery Summary'!$G$2:$G$1899,'Refinery Summary'!$B$2:$B$1899,RefCapacity!$A507,'Refinery Summary'!$A$2:$A$1899,RefCapacity!$B507,'Refinery Summary'!$C$2:$C$1899,RefCapacity!$C507)/1000</f>
        <v>273.89999999999998</v>
      </c>
      <c r="E507" cm="1">
        <f t="array" ref="E507">$D507-INDEX($D$2:$D$526,MATCH(1,($A$2:$A$526=$A507)*($B$2:$B$526=2019)*($C$2:$C$526=$C507),0))</f>
        <v>49.899999999999977</v>
      </c>
      <c r="F507" s="1" cm="1">
        <f t="array" ref="F507">IFERROR(E507/INDEX($D$2:$D$526,MATCH(1,($A$2:$A$526=$A507)*($B$2:$B$526=2019)*($C$2:$C$526=$C507),0)),0)</f>
        <v>0.22276785714285705</v>
      </c>
    </row>
    <row r="508" spans="1:6" x14ac:dyDescent="0.25">
      <c r="A508">
        <v>5</v>
      </c>
      <c r="B508">
        <v>2017</v>
      </c>
      <c r="C508">
        <v>2</v>
      </c>
      <c r="D508">
        <f>SUMIFS('Refinery Summary'!$G$2:$G$1899,'Refinery Summary'!$B$2:$B$1899,RefCapacity!$A508,'Refinery Summary'!$A$2:$A$1899,RefCapacity!$B508,'Refinery Summary'!$C$2:$C$1899,RefCapacity!$C508)/1000</f>
        <v>244.15</v>
      </c>
      <c r="E508" cm="1">
        <f t="array" ref="E508">$D508-INDEX($D$2:$D$526,MATCH(1,($A$2:$A$526=$A508)*($B$2:$B$526=2019)*($C$2:$C$526=$C508),0))</f>
        <v>0.40000000000000568</v>
      </c>
      <c r="F508" s="1" cm="1">
        <f t="array" ref="F508">IFERROR(E508/INDEX($D$2:$D$526,MATCH(1,($A$2:$A$526=$A508)*($B$2:$B$526=2019)*($C$2:$C$526=$C508),0)),0)</f>
        <v>1.6410256410256644E-3</v>
      </c>
    </row>
    <row r="509" spans="1:6" x14ac:dyDescent="0.25">
      <c r="A509">
        <v>5</v>
      </c>
      <c r="B509">
        <v>2017</v>
      </c>
      <c r="C509">
        <v>3</v>
      </c>
      <c r="D509">
        <f>SUMIFS('Refinery Summary'!$G$2:$G$1899,'Refinery Summary'!$B$2:$B$1899,RefCapacity!$A509,'Refinery Summary'!$A$2:$A$1899,RefCapacity!$B509,'Refinery Summary'!$C$2:$C$1899,RefCapacity!$C509)/1000</f>
        <v>257</v>
      </c>
      <c r="E509" cm="1">
        <f t="array" ref="E509">$D509-INDEX($D$2:$D$526,MATCH(1,($A$2:$A$526=$A509)*($B$2:$B$526=2019)*($C$2:$C$526=$C509),0))</f>
        <v>0</v>
      </c>
      <c r="F509" s="1" cm="1">
        <f t="array" ref="F509">IFERROR(E509/INDEX($D$2:$D$526,MATCH(1,($A$2:$A$526=$A509)*($B$2:$B$526=2019)*($C$2:$C$526=$C509),0)),0)</f>
        <v>0</v>
      </c>
    </row>
    <row r="510" spans="1:6" x14ac:dyDescent="0.25">
      <c r="A510">
        <v>5</v>
      </c>
      <c r="B510">
        <v>2017</v>
      </c>
      <c r="C510">
        <v>4</v>
      </c>
      <c r="D510">
        <f>SUMIFS('Refinery Summary'!$G$2:$G$1899,'Refinery Summary'!$B$2:$B$1899,RefCapacity!$A510,'Refinery Summary'!$A$2:$A$1899,RefCapacity!$B510,'Refinery Summary'!$C$2:$C$1899,RefCapacity!$C510)/1000</f>
        <v>224.2</v>
      </c>
      <c r="E510" cm="1">
        <f t="array" ref="E510">$D510-INDEX($D$2:$D$526,MATCH(1,($A$2:$A$526=$A510)*($B$2:$B$526=2019)*($C$2:$C$526=$C510),0))</f>
        <v>0</v>
      </c>
      <c r="F510" s="1" cm="1">
        <f t="array" ref="F510">IFERROR(E510/INDEX($D$2:$D$526,MATCH(1,($A$2:$A$526=$A510)*($B$2:$B$526=2019)*($C$2:$C$526=$C510),0)),0)</f>
        <v>0</v>
      </c>
    </row>
    <row r="511" spans="1:6" x14ac:dyDescent="0.25">
      <c r="A511">
        <v>5</v>
      </c>
      <c r="B511">
        <v>2017</v>
      </c>
      <c r="C511">
        <v>5</v>
      </c>
      <c r="D511">
        <f>SUMIFS('Refinery Summary'!$G$2:$G$1899,'Refinery Summary'!$B$2:$B$1899,RefCapacity!$A511,'Refinery Summary'!$A$2:$A$1899,RefCapacity!$B511,'Refinery Summary'!$C$2:$C$1899,RefCapacity!$C511)/1000</f>
        <v>344.2</v>
      </c>
      <c r="E511" cm="1">
        <f t="array" ref="E511">$D511-INDEX($D$2:$D$526,MATCH(1,($A$2:$A$526=$A511)*($B$2:$B$526=2019)*($C$2:$C$526=$C511),0))</f>
        <v>-14.25</v>
      </c>
      <c r="F511" s="1" cm="1">
        <f t="array" ref="F511">IFERROR(E511/INDEX($D$2:$D$526,MATCH(1,($A$2:$A$526=$A511)*($B$2:$B$526=2019)*($C$2:$C$526=$C511),0)),0)</f>
        <v>-3.9754498535360581E-2</v>
      </c>
    </row>
    <row r="512" spans="1:6" x14ac:dyDescent="0.25">
      <c r="A512">
        <v>5</v>
      </c>
      <c r="B512">
        <v>2017</v>
      </c>
      <c r="C512">
        <v>6</v>
      </c>
      <c r="D512">
        <f>SUMIFS('Refinery Summary'!$G$2:$G$1899,'Refinery Summary'!$B$2:$B$1899,RefCapacity!$A512,'Refinery Summary'!$A$2:$A$1899,RefCapacity!$B512,'Refinery Summary'!$C$2:$C$1899,RefCapacity!$C512)/1000</f>
        <v>1396.11</v>
      </c>
      <c r="E512" cm="1">
        <f t="array" ref="E512">$D512-INDEX($D$2:$D$526,MATCH(1,($A$2:$A$526=$A512)*($B$2:$B$526=2019)*($C$2:$C$526=$C512),0))</f>
        <v>22.849999999999909</v>
      </c>
      <c r="F512" s="1" cm="1">
        <f t="array" ref="F512">IFERROR(E512/INDEX($D$2:$D$526,MATCH(1,($A$2:$A$526=$A512)*($B$2:$B$526=2019)*($C$2:$C$526=$C512),0)),0)</f>
        <v>1.6639238017563979E-2</v>
      </c>
    </row>
    <row r="513" spans="1:6" x14ac:dyDescent="0.25">
      <c r="A513">
        <v>5</v>
      </c>
      <c r="B513">
        <v>2018</v>
      </c>
      <c r="C513">
        <v>0</v>
      </c>
      <c r="D513">
        <f>SUMIFS('Refinery Summary'!$G$2:$G$1899,'Refinery Summary'!$B$2:$B$1899,RefCapacity!$A513,'Refinery Summary'!$A$2:$A$1899,RefCapacity!$B513,'Refinery Summary'!$C$2:$C$1899,RefCapacity!$C513)/1000</f>
        <v>195.22499999999999</v>
      </c>
      <c r="E513" cm="1">
        <f t="array" ref="E513">$D513-INDEX($D$2:$D$526,MATCH(1,($A$2:$A$526=$A513)*($B$2:$B$526=2019)*($C$2:$C$526=$C513),0))</f>
        <v>0</v>
      </c>
      <c r="F513" s="1" cm="1">
        <f t="array" ref="F513">IFERROR(E513/INDEX($D$2:$D$526,MATCH(1,($A$2:$A$526=$A513)*($B$2:$B$526=2019)*($C$2:$C$526=$C513),0)),0)</f>
        <v>0</v>
      </c>
    </row>
    <row r="514" spans="1:6" x14ac:dyDescent="0.25">
      <c r="A514">
        <v>5</v>
      </c>
      <c r="B514">
        <v>2018</v>
      </c>
      <c r="C514">
        <v>1</v>
      </c>
      <c r="D514">
        <f>SUMIFS('Refinery Summary'!$G$2:$G$1899,'Refinery Summary'!$B$2:$B$1899,RefCapacity!$A514,'Refinery Summary'!$A$2:$A$1899,RefCapacity!$B514,'Refinery Summary'!$C$2:$C$1899,RefCapacity!$C514)/1000</f>
        <v>277.89999999999998</v>
      </c>
      <c r="E514" cm="1">
        <f t="array" ref="E514">$D514-INDEX($D$2:$D$526,MATCH(1,($A$2:$A$526=$A514)*($B$2:$B$526=2019)*($C$2:$C$526=$C514),0))</f>
        <v>53.899999999999977</v>
      </c>
      <c r="F514" s="1" cm="1">
        <f t="array" ref="F514">IFERROR(E514/INDEX($D$2:$D$526,MATCH(1,($A$2:$A$526=$A514)*($B$2:$B$526=2019)*($C$2:$C$526=$C514),0)),0)</f>
        <v>0.24062499999999989</v>
      </c>
    </row>
    <row r="515" spans="1:6" x14ac:dyDescent="0.25">
      <c r="A515">
        <v>5</v>
      </c>
      <c r="B515">
        <v>2018</v>
      </c>
      <c r="C515">
        <v>2</v>
      </c>
      <c r="D515">
        <f>SUMIFS('Refinery Summary'!$G$2:$G$1899,'Refinery Summary'!$B$2:$B$1899,RefCapacity!$A515,'Refinery Summary'!$A$2:$A$1899,RefCapacity!$B515,'Refinery Summary'!$C$2:$C$1899,RefCapacity!$C515)/1000</f>
        <v>244.15</v>
      </c>
      <c r="E515" cm="1">
        <f t="array" ref="E515">$D515-INDEX($D$2:$D$526,MATCH(1,($A$2:$A$526=$A515)*($B$2:$B$526=2019)*($C$2:$C$526=$C515),0))</f>
        <v>0.40000000000000568</v>
      </c>
      <c r="F515" s="1" cm="1">
        <f t="array" ref="F515">IFERROR(E515/INDEX($D$2:$D$526,MATCH(1,($A$2:$A$526=$A515)*($B$2:$B$526=2019)*($C$2:$C$526=$C515),0)),0)</f>
        <v>1.6410256410256644E-3</v>
      </c>
    </row>
    <row r="516" spans="1:6" x14ac:dyDescent="0.25">
      <c r="A516">
        <v>5</v>
      </c>
      <c r="B516">
        <v>2018</v>
      </c>
      <c r="C516">
        <v>3</v>
      </c>
      <c r="D516">
        <f>SUMIFS('Refinery Summary'!$G$2:$G$1899,'Refinery Summary'!$B$2:$B$1899,RefCapacity!$A516,'Refinery Summary'!$A$2:$A$1899,RefCapacity!$B516,'Refinery Summary'!$C$2:$C$1899,RefCapacity!$C516)/1000</f>
        <v>257</v>
      </c>
      <c r="E516" cm="1">
        <f t="array" ref="E516">$D516-INDEX($D$2:$D$526,MATCH(1,($A$2:$A$526=$A516)*($B$2:$B$526=2019)*($C$2:$C$526=$C516),0))</f>
        <v>0</v>
      </c>
      <c r="F516" s="1" cm="1">
        <f t="array" ref="F516">IFERROR(E516/INDEX($D$2:$D$526,MATCH(1,($A$2:$A$526=$A516)*($B$2:$B$526=2019)*($C$2:$C$526=$C516),0)),0)</f>
        <v>0</v>
      </c>
    </row>
    <row r="517" spans="1:6" x14ac:dyDescent="0.25">
      <c r="A517">
        <v>5</v>
      </c>
      <c r="B517">
        <v>2018</v>
      </c>
      <c r="C517">
        <v>4</v>
      </c>
      <c r="D517">
        <f>SUMIFS('Refinery Summary'!$G$2:$G$1899,'Refinery Summary'!$B$2:$B$1899,RefCapacity!$A517,'Refinery Summary'!$A$2:$A$1899,RefCapacity!$B517,'Refinery Summary'!$C$2:$C$1899,RefCapacity!$C517)/1000</f>
        <v>224.2</v>
      </c>
      <c r="E517" cm="1">
        <f t="array" ref="E517">$D517-INDEX($D$2:$D$526,MATCH(1,($A$2:$A$526=$A517)*($B$2:$B$526=2019)*($C$2:$C$526=$C517),0))</f>
        <v>0</v>
      </c>
      <c r="F517" s="1" cm="1">
        <f t="array" ref="F517">IFERROR(E517/INDEX($D$2:$D$526,MATCH(1,($A$2:$A$526=$A517)*($B$2:$B$526=2019)*($C$2:$C$526=$C517),0)),0)</f>
        <v>0</v>
      </c>
    </row>
    <row r="518" spans="1:6" x14ac:dyDescent="0.25">
      <c r="A518">
        <v>5</v>
      </c>
      <c r="B518">
        <v>2018</v>
      </c>
      <c r="C518">
        <v>5</v>
      </c>
      <c r="D518">
        <f>SUMIFS('Refinery Summary'!$G$2:$G$1899,'Refinery Summary'!$B$2:$B$1899,RefCapacity!$A518,'Refinery Summary'!$A$2:$A$1899,RefCapacity!$B518,'Refinery Summary'!$C$2:$C$1899,RefCapacity!$C518)/1000</f>
        <v>344.2</v>
      </c>
      <c r="E518" cm="1">
        <f t="array" ref="E518">$D518-INDEX($D$2:$D$526,MATCH(1,($A$2:$A$526=$A518)*($B$2:$B$526=2019)*($C$2:$C$526=$C518),0))</f>
        <v>-14.25</v>
      </c>
      <c r="F518" s="1" cm="1">
        <f t="array" ref="F518">IFERROR(E518/INDEX($D$2:$D$526,MATCH(1,($A$2:$A$526=$A518)*($B$2:$B$526=2019)*($C$2:$C$526=$C518),0)),0)</f>
        <v>-3.9754498535360581E-2</v>
      </c>
    </row>
    <row r="519" spans="1:6" x14ac:dyDescent="0.25">
      <c r="A519">
        <v>5</v>
      </c>
      <c r="B519">
        <v>2018</v>
      </c>
      <c r="C519">
        <v>6</v>
      </c>
      <c r="D519">
        <f>SUMIFS('Refinery Summary'!$G$2:$G$1899,'Refinery Summary'!$B$2:$B$1899,RefCapacity!$A519,'Refinery Summary'!$A$2:$A$1899,RefCapacity!$B519,'Refinery Summary'!$C$2:$C$1899,RefCapacity!$C519)/1000</f>
        <v>1374.61</v>
      </c>
      <c r="E519" cm="1">
        <f t="array" ref="E519">$D519-INDEX($D$2:$D$526,MATCH(1,($A$2:$A$526=$A519)*($B$2:$B$526=2019)*($C$2:$C$526=$C519),0))</f>
        <v>1.3499999999999091</v>
      </c>
      <c r="F519" s="1" cm="1">
        <f t="array" ref="F519">IFERROR(E519/INDEX($D$2:$D$526,MATCH(1,($A$2:$A$526=$A519)*($B$2:$B$526=2019)*($C$2:$C$526=$C519),0)),0)</f>
        <v>9.8306220235054478E-4</v>
      </c>
    </row>
    <row r="520" spans="1:6" x14ac:dyDescent="0.25">
      <c r="A520">
        <v>5</v>
      </c>
      <c r="B520">
        <v>2019</v>
      </c>
      <c r="C520">
        <v>0</v>
      </c>
      <c r="D520">
        <f>SUMIFS('Refinery Summary'!$G$2:$G$1899,'Refinery Summary'!$B$2:$B$1899,RefCapacity!$A520,'Refinery Summary'!$A$2:$A$1899,RefCapacity!$B520,'Refinery Summary'!$C$2:$C$1899,RefCapacity!$C520)/1000</f>
        <v>195.22499999999999</v>
      </c>
      <c r="E520" cm="1">
        <f t="array" ref="E520">$D520-INDEX($D$2:$D$526,MATCH(1,($A$2:$A$526=$A520)*($B$2:$B$526=2019)*($C$2:$C$526=$C520),0))</f>
        <v>0</v>
      </c>
      <c r="F520" s="1" cm="1">
        <f t="array" ref="F520">IFERROR(E520/INDEX($D$2:$D$526,MATCH(1,($A$2:$A$526=$A520)*($B$2:$B$526=2019)*($C$2:$C$526=$C520),0)),0)</f>
        <v>0</v>
      </c>
    </row>
    <row r="521" spans="1:6" x14ac:dyDescent="0.25">
      <c r="A521">
        <v>5</v>
      </c>
      <c r="B521">
        <v>2019</v>
      </c>
      <c r="C521">
        <v>1</v>
      </c>
      <c r="D521">
        <f>SUMIFS('Refinery Summary'!$G$2:$G$1899,'Refinery Summary'!$B$2:$B$1899,RefCapacity!$A521,'Refinery Summary'!$A$2:$A$1899,RefCapacity!$B521,'Refinery Summary'!$C$2:$C$1899,RefCapacity!$C521)/1000</f>
        <v>224</v>
      </c>
      <c r="E521" cm="1">
        <f t="array" ref="E521">$D521-INDEX($D$2:$D$526,MATCH(1,($A$2:$A$526=$A521)*($B$2:$B$526=2019)*($C$2:$C$526=$C521),0))</f>
        <v>0</v>
      </c>
      <c r="F521" s="1" cm="1">
        <f t="array" ref="F521">IFERROR(E521/INDEX($D$2:$D$526,MATCH(1,($A$2:$A$526=$A521)*($B$2:$B$526=2019)*($C$2:$C$526=$C521),0)),0)</f>
        <v>0</v>
      </c>
    </row>
    <row r="522" spans="1:6" x14ac:dyDescent="0.25">
      <c r="A522">
        <v>5</v>
      </c>
      <c r="B522">
        <v>2019</v>
      </c>
      <c r="C522">
        <v>2</v>
      </c>
      <c r="D522">
        <f>SUMIFS('Refinery Summary'!$G$2:$G$1899,'Refinery Summary'!$B$2:$B$1899,RefCapacity!$A522,'Refinery Summary'!$A$2:$A$1899,RefCapacity!$B522,'Refinery Summary'!$C$2:$C$1899,RefCapacity!$C522)/1000</f>
        <v>243.75</v>
      </c>
      <c r="E522" cm="1">
        <f t="array" ref="E522">$D522-INDEX($D$2:$D$526,MATCH(1,($A$2:$A$526=$A522)*($B$2:$B$526=2019)*($C$2:$C$526=$C522),0))</f>
        <v>0</v>
      </c>
      <c r="F522" s="1" cm="1">
        <f t="array" ref="F522">IFERROR(E522/INDEX($D$2:$D$526,MATCH(1,($A$2:$A$526=$A522)*($B$2:$B$526=2019)*($C$2:$C$526=$C522),0)),0)</f>
        <v>0</v>
      </c>
    </row>
    <row r="523" spans="1:6" x14ac:dyDescent="0.25">
      <c r="A523">
        <v>5</v>
      </c>
      <c r="B523">
        <v>2019</v>
      </c>
      <c r="C523">
        <v>3</v>
      </c>
      <c r="D523">
        <f>SUMIFS('Refinery Summary'!$G$2:$G$1899,'Refinery Summary'!$B$2:$B$1899,RefCapacity!$A523,'Refinery Summary'!$A$2:$A$1899,RefCapacity!$B523,'Refinery Summary'!$C$2:$C$1899,RefCapacity!$C523)/1000</f>
        <v>257</v>
      </c>
      <c r="E523" cm="1">
        <f t="array" ref="E523">$D523-INDEX($D$2:$D$526,MATCH(1,($A$2:$A$526=$A523)*($B$2:$B$526=2019)*($C$2:$C$526=$C523),0))</f>
        <v>0</v>
      </c>
      <c r="F523" s="1" cm="1">
        <f t="array" ref="F523">IFERROR(E523/INDEX($D$2:$D$526,MATCH(1,($A$2:$A$526=$A523)*($B$2:$B$526=2019)*($C$2:$C$526=$C523),0)),0)</f>
        <v>0</v>
      </c>
    </row>
    <row r="524" spans="1:6" x14ac:dyDescent="0.25">
      <c r="A524">
        <v>5</v>
      </c>
      <c r="B524">
        <v>2019</v>
      </c>
      <c r="C524">
        <v>4</v>
      </c>
      <c r="D524">
        <f>SUMIFS('Refinery Summary'!$G$2:$G$1899,'Refinery Summary'!$B$2:$B$1899,RefCapacity!$A524,'Refinery Summary'!$A$2:$A$1899,RefCapacity!$B524,'Refinery Summary'!$C$2:$C$1899,RefCapacity!$C524)/1000</f>
        <v>224.2</v>
      </c>
      <c r="E524" cm="1">
        <f t="array" ref="E524">$D524-INDEX($D$2:$D$526,MATCH(1,($A$2:$A$526=$A524)*($B$2:$B$526=2019)*($C$2:$C$526=$C524),0))</f>
        <v>0</v>
      </c>
      <c r="F524" s="1" cm="1">
        <f t="array" ref="F524">IFERROR(E524/INDEX($D$2:$D$526,MATCH(1,($A$2:$A$526=$A524)*($B$2:$B$526=2019)*($C$2:$C$526=$C524),0)),0)</f>
        <v>0</v>
      </c>
    </row>
    <row r="525" spans="1:6" x14ac:dyDescent="0.25">
      <c r="A525">
        <v>5</v>
      </c>
      <c r="B525">
        <v>2019</v>
      </c>
      <c r="C525">
        <v>5</v>
      </c>
      <c r="D525">
        <f>SUMIFS('Refinery Summary'!$G$2:$G$1899,'Refinery Summary'!$B$2:$B$1899,RefCapacity!$A525,'Refinery Summary'!$A$2:$A$1899,RefCapacity!$B525,'Refinery Summary'!$C$2:$C$1899,RefCapacity!$C525)/1000</f>
        <v>358.45</v>
      </c>
      <c r="E525" cm="1">
        <f t="array" ref="E525">$D525-INDEX($D$2:$D$526,MATCH(1,($A$2:$A$526=$A525)*($B$2:$B$526=2019)*($C$2:$C$526=$C525),0))</f>
        <v>0</v>
      </c>
      <c r="F525" s="1" cm="1">
        <f t="array" ref="F525">IFERROR(E525/INDEX($D$2:$D$526,MATCH(1,($A$2:$A$526=$A525)*($B$2:$B$526=2019)*($C$2:$C$526=$C525),0)),0)</f>
        <v>0</v>
      </c>
    </row>
    <row r="526" spans="1:6" x14ac:dyDescent="0.25">
      <c r="A526">
        <v>5</v>
      </c>
      <c r="B526">
        <v>2019</v>
      </c>
      <c r="C526">
        <v>6</v>
      </c>
      <c r="D526">
        <f>SUMIFS('Refinery Summary'!$G$2:$G$1899,'Refinery Summary'!$B$2:$B$1899,RefCapacity!$A526,'Refinery Summary'!$A$2:$A$1899,RefCapacity!$B526,'Refinery Summary'!$C$2:$C$1899,RefCapacity!$C526)/1000</f>
        <v>1373.26</v>
      </c>
      <c r="E526" cm="1">
        <f t="array" ref="E526">$D526-INDEX($D$2:$D$526,MATCH(1,($A$2:$A$526=$A526)*($B$2:$B$526=2019)*($C$2:$C$526=$C526),0))</f>
        <v>0</v>
      </c>
      <c r="F526" s="1" cm="1">
        <f t="array" ref="F526">IFERROR(E526/INDEX($D$2:$D$526,MATCH(1,($A$2:$A$526=$A526)*($B$2:$B$526=2019)*($C$2:$C$526=$C526),0)),0)</f>
        <v>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7B7877-7450-409B-BF6F-13D927D3AEF4}">
  <sheetPr codeName="Sheet5"/>
  <dimension ref="A1:U76"/>
  <sheetViews>
    <sheetView workbookViewId="0">
      <selection activeCell="U12" sqref="U12"/>
    </sheetView>
  </sheetViews>
  <sheetFormatPr defaultRowHeight="15" x14ac:dyDescent="0.25"/>
  <cols>
    <col min="3" max="3" width="15.28515625" bestFit="1" customWidth="1"/>
    <col min="14" max="14" width="19.5703125" bestFit="1" customWidth="1"/>
    <col min="15" max="15" width="18.28515625" bestFit="1" customWidth="1"/>
    <col min="21" max="21" width="20.42578125" bestFit="1" customWidth="1"/>
  </cols>
  <sheetData>
    <row r="1" spans="1:21" x14ac:dyDescent="0.25">
      <c r="A1" t="s">
        <v>1</v>
      </c>
      <c r="B1" t="s">
        <v>431</v>
      </c>
      <c r="C1" t="s">
        <v>435</v>
      </c>
      <c r="D1">
        <v>0</v>
      </c>
      <c r="E1">
        <v>1</v>
      </c>
      <c r="F1">
        <v>2</v>
      </c>
      <c r="G1">
        <v>3</v>
      </c>
      <c r="H1">
        <v>4</v>
      </c>
      <c r="I1">
        <v>5</v>
      </c>
      <c r="J1">
        <v>6</v>
      </c>
      <c r="K1" t="s">
        <v>440</v>
      </c>
      <c r="L1" t="s">
        <v>441</v>
      </c>
      <c r="M1" t="s">
        <v>442</v>
      </c>
      <c r="N1" t="s">
        <v>443</v>
      </c>
      <c r="O1" t="s">
        <v>444</v>
      </c>
      <c r="P1" t="s">
        <v>445</v>
      </c>
      <c r="Q1" t="s">
        <v>436</v>
      </c>
      <c r="R1" t="s">
        <v>437</v>
      </c>
      <c r="S1" t="s">
        <v>438</v>
      </c>
      <c r="T1" t="s">
        <v>439</v>
      </c>
      <c r="U1" t="s">
        <v>460</v>
      </c>
    </row>
    <row r="2" spans="1:21" x14ac:dyDescent="0.25">
      <c r="A2">
        <v>1</v>
      </c>
      <c r="B2">
        <v>2005</v>
      </c>
      <c r="C2">
        <f>SUMIFS(RefCapacity!$D$2:$D$526,RefCapacity!$A$2:$A$526,'MultiRegModel Validation'!$A2,RefCapacity!$B$2:$B$526,'MultiRegModel Validation'!$B2)</f>
        <v>1574</v>
      </c>
      <c r="D2" cm="1">
        <f t="array" ref="D2">INDEX(RefCapacity!$D$2:$D$526,MATCH(1,(RefCapacity!$A$2:$A$526='MultiRegModel Validation'!$A2)*(RefCapacity!$B$2:$B$526='MultiRegModel Validation'!$B2)*(RefCapacity!$C$2:$C$526='MultiRegModel Validation'!D$1),0))</f>
        <v>29.4</v>
      </c>
      <c r="E2" cm="1">
        <f t="array" ref="E2">INDEX(RefCapacity!$D$2:$D$526,MATCH(1,(RefCapacity!$A$2:$A$526='MultiRegModel Validation'!$A2)*(RefCapacity!$B$2:$B$526='MultiRegModel Validation'!$B2)*(RefCapacity!$C$2:$C$526='MultiRegModel Validation'!E$1),0))</f>
        <v>959.7</v>
      </c>
      <c r="F2" cm="1">
        <f t="array" ref="F2">INDEX(RefCapacity!$D$2:$D$526,MATCH(1,(RefCapacity!$A$2:$A$526='MultiRegModel Validation'!$A2)*(RefCapacity!$B$2:$B$526='MultiRegModel Validation'!$B2)*(RefCapacity!$C$2:$C$526='MultiRegModel Validation'!F$1),0))</f>
        <v>0</v>
      </c>
      <c r="G2" cm="1">
        <f t="array" ref="G2">INDEX(RefCapacity!$D$2:$D$526,MATCH(1,(RefCapacity!$A$2:$A$526='MultiRegModel Validation'!$A2)*(RefCapacity!$B$2:$B$526='MultiRegModel Validation'!$B2)*(RefCapacity!$C$2:$C$526='MultiRegModel Validation'!G$1),0))</f>
        <v>185</v>
      </c>
      <c r="H2" cm="1">
        <f t="array" ref="H2">INDEX(RefCapacity!$D$2:$D$526,MATCH(1,(RefCapacity!$A$2:$A$526='MultiRegModel Validation'!$A2)*(RefCapacity!$B$2:$B$526='MultiRegModel Validation'!$B2)*(RefCapacity!$C$2:$C$526='MultiRegModel Validation'!H$1),0))</f>
        <v>224.9</v>
      </c>
      <c r="I2" cm="1">
        <f t="array" ref="I2">INDEX(RefCapacity!$D$2:$D$526,MATCH(1,(RefCapacity!$A$2:$A$526='MultiRegModel Validation'!$A2)*(RefCapacity!$B$2:$B$526='MultiRegModel Validation'!$B2)*(RefCapacity!$C$2:$C$526='MultiRegModel Validation'!I$1),0))</f>
        <v>0</v>
      </c>
      <c r="J2" cm="1">
        <f t="array" ref="J2">INDEX(RefCapacity!$D$2:$D$526,MATCH(1,(RefCapacity!$A$2:$A$526='MultiRegModel Validation'!$A2)*(RefCapacity!$B$2:$B$526='MultiRegModel Validation'!$B2)*(RefCapacity!$C$2:$C$526='MultiRegModel Validation'!J$1),0))</f>
        <v>175</v>
      </c>
      <c r="K2">
        <v>0.51096491228070162</v>
      </c>
      <c r="L2">
        <v>7.3464912280701747E-2</v>
      </c>
      <c r="M2">
        <v>0.24315789473684205</v>
      </c>
      <c r="N2">
        <v>7.2631578947368408E-2</v>
      </c>
      <c r="O2">
        <v>6.7982456140350866E-2</v>
      </c>
      <c r="P2">
        <v>3.1798245614035082E-2</v>
      </c>
      <c r="Q2">
        <f>K2/M2</f>
        <v>2.1013708513708513</v>
      </c>
      <c r="R2">
        <v>0.83</v>
      </c>
      <c r="S2">
        <v>32.39</v>
      </c>
      <c r="T2" cm="1">
        <f t="array" ref="T2">MMULT($D2:$J2,'Avg CI Index'!$C$2:$C$8)/$C2</f>
        <v>8.2809272811786041</v>
      </c>
      <c r="U2">
        <f>VLOOKUP($A2,'MultiReg Model'!$A$5:$G$9,2,FALSE)+'MultiRegModel Validation'!S2*VLOOKUP($A2,'MultiReg Model'!$A$5:$G$9,3,FALSE)+'MultiRegModel Validation'!R2*VLOOKUP($A2,'MultiReg Model'!$A$5:$G$9,4,FALSE)+'MultiRegModel Validation'!K2*VLOOKUP($A2,'MultiReg Model'!$A$5:$G$9,5,FALSE)+'MultiRegModel Validation'!M2*VLOOKUP($A2,'MultiReg Model'!$A$5:$G$9,6,FALSE)+$L2*VLOOKUP($A2,'MultiReg Model'!$A$5:$G$9,7,FALSE)</f>
        <v>14.149055266240557</v>
      </c>
    </row>
    <row r="3" spans="1:21" x14ac:dyDescent="0.25">
      <c r="A3">
        <v>1</v>
      </c>
      <c r="B3">
        <v>2006</v>
      </c>
      <c r="C3">
        <f>SUMIFS(RefCapacity!$D$2:$D$526,RefCapacity!$A$2:$A$526,'MultiRegModel Validation'!$A3,RefCapacity!$B$2:$B$526,'MultiRegModel Validation'!$B3)</f>
        <v>1589</v>
      </c>
      <c r="D3" cm="1">
        <f t="array" ref="D3">INDEX(RefCapacity!$D$2:$D$526,MATCH(1,(RefCapacity!$A$2:$A$526='MultiRegModel Validation'!$A3)*(RefCapacity!$B$2:$B$526='MultiRegModel Validation'!$B3)*(RefCapacity!$C$2:$C$526='MultiRegModel Validation'!D$1),0))</f>
        <v>29.4</v>
      </c>
      <c r="E3" cm="1">
        <f t="array" ref="E3">INDEX(RefCapacity!$D$2:$D$526,MATCH(1,(RefCapacity!$A$2:$A$526='MultiRegModel Validation'!$A3)*(RefCapacity!$B$2:$B$526='MultiRegModel Validation'!$B3)*(RefCapacity!$C$2:$C$526='MultiRegModel Validation'!E$1),0))</f>
        <v>959.7</v>
      </c>
      <c r="F3" cm="1">
        <f t="array" ref="F3">INDEX(RefCapacity!$D$2:$D$526,MATCH(1,(RefCapacity!$A$2:$A$526='MultiRegModel Validation'!$A3)*(RefCapacity!$B$2:$B$526='MultiRegModel Validation'!$B3)*(RefCapacity!$C$2:$C$526='MultiRegModel Validation'!F$1),0))</f>
        <v>0</v>
      </c>
      <c r="G3" cm="1">
        <f t="array" ref="G3">INDEX(RefCapacity!$D$2:$D$526,MATCH(1,(RefCapacity!$A$2:$A$526='MultiRegModel Validation'!$A3)*(RefCapacity!$B$2:$B$526='MultiRegModel Validation'!$B3)*(RefCapacity!$C$2:$C$526='MultiRegModel Validation'!G$1),0))</f>
        <v>185</v>
      </c>
      <c r="H3" cm="1">
        <f t="array" ref="H3">INDEX(RefCapacity!$D$2:$D$526,MATCH(1,(RefCapacity!$A$2:$A$526='MultiRegModel Validation'!$A3)*(RefCapacity!$B$2:$B$526='MultiRegModel Validation'!$B3)*(RefCapacity!$C$2:$C$526='MultiRegModel Validation'!H$1),0))</f>
        <v>224.9</v>
      </c>
      <c r="I3" cm="1">
        <f t="array" ref="I3">INDEX(RefCapacity!$D$2:$D$526,MATCH(1,(RefCapacity!$A$2:$A$526='MultiRegModel Validation'!$A3)*(RefCapacity!$B$2:$B$526='MultiRegModel Validation'!$B3)*(RefCapacity!$C$2:$C$526='MultiRegModel Validation'!I$1),0))</f>
        <v>0</v>
      </c>
      <c r="J3" cm="1">
        <f t="array" ref="J3">INDEX(RefCapacity!$D$2:$D$526,MATCH(1,(RefCapacity!$A$2:$A$526='MultiRegModel Validation'!$A3)*(RefCapacity!$B$2:$B$526='MultiRegModel Validation'!$B3)*(RefCapacity!$C$2:$C$526='MultiRegModel Validation'!J$1),0))</f>
        <v>190</v>
      </c>
      <c r="K3">
        <v>0.50551876379690952</v>
      </c>
      <c r="L3">
        <v>6.070640176600442E-2</v>
      </c>
      <c r="M3">
        <v>0.24816777041942609</v>
      </c>
      <c r="N3">
        <v>7.4128035320088298E-2</v>
      </c>
      <c r="O3">
        <v>7.8366445916114788E-2</v>
      </c>
      <c r="P3">
        <v>3.3112582781456956E-2</v>
      </c>
      <c r="Q3">
        <f t="shared" ref="Q3:Q66" si="0">K3/M3</f>
        <v>2.0370040917986123</v>
      </c>
      <c r="R3">
        <v>0.83</v>
      </c>
      <c r="S3">
        <v>32.25</v>
      </c>
      <c r="T3" cm="1">
        <f t="array" ref="T3">MMULT($D3:$J3,'Avg CI Index'!$C$2:$C$8)/$C3</f>
        <v>8.3081015962586537</v>
      </c>
      <c r="U3">
        <f>VLOOKUP($A3,'MultiReg Model'!$A$5:$G$9,2,FALSE)+'MultiRegModel Validation'!S3*VLOOKUP($A3,'MultiReg Model'!$A$5:$G$9,3,FALSE)+'MultiRegModel Validation'!R3*VLOOKUP($A3,'MultiReg Model'!$A$5:$G$9,4,FALSE)+'MultiRegModel Validation'!K3*VLOOKUP($A3,'MultiReg Model'!$A$5:$G$9,5,FALSE)+'MultiRegModel Validation'!M3*VLOOKUP($A3,'MultiReg Model'!$A$5:$G$9,6,FALSE)+$L3*VLOOKUP($A3,'MultiReg Model'!$A$5:$G$9,7,FALSE)</f>
        <v>14.159651749745782</v>
      </c>
    </row>
    <row r="4" spans="1:21" x14ac:dyDescent="0.25">
      <c r="A4">
        <v>1</v>
      </c>
      <c r="B4">
        <v>2007</v>
      </c>
      <c r="C4">
        <f>SUMIFS(RefCapacity!$D$2:$D$526,RefCapacity!$A$2:$A$526,'MultiRegModel Validation'!$A4,RefCapacity!$B$2:$B$526,'MultiRegModel Validation'!$B4)</f>
        <v>1589</v>
      </c>
      <c r="D4" cm="1">
        <f t="array" ref="D4">INDEX(RefCapacity!$D$2:$D$526,MATCH(1,(RefCapacity!$A$2:$A$526='MultiRegModel Validation'!$A4)*(RefCapacity!$B$2:$B$526='MultiRegModel Validation'!$B4)*(RefCapacity!$C$2:$C$526='MultiRegModel Validation'!D$1),0))</f>
        <v>29.4</v>
      </c>
      <c r="E4" cm="1">
        <f t="array" ref="E4">INDEX(RefCapacity!$D$2:$D$526,MATCH(1,(RefCapacity!$A$2:$A$526='MultiRegModel Validation'!$A4)*(RefCapacity!$B$2:$B$526='MultiRegModel Validation'!$B4)*(RefCapacity!$C$2:$C$526='MultiRegModel Validation'!E$1),0))</f>
        <v>959.7</v>
      </c>
      <c r="F4" cm="1">
        <f t="array" ref="F4">INDEX(RefCapacity!$D$2:$D$526,MATCH(1,(RefCapacity!$A$2:$A$526='MultiRegModel Validation'!$A4)*(RefCapacity!$B$2:$B$526='MultiRegModel Validation'!$B4)*(RefCapacity!$C$2:$C$526='MultiRegModel Validation'!F$1),0))</f>
        <v>0</v>
      </c>
      <c r="G4" cm="1">
        <f t="array" ref="G4">INDEX(RefCapacity!$D$2:$D$526,MATCH(1,(RefCapacity!$A$2:$A$526='MultiRegModel Validation'!$A4)*(RefCapacity!$B$2:$B$526='MultiRegModel Validation'!$B4)*(RefCapacity!$C$2:$C$526='MultiRegModel Validation'!G$1),0))</f>
        <v>185</v>
      </c>
      <c r="H4" cm="1">
        <f t="array" ref="H4">INDEX(RefCapacity!$D$2:$D$526,MATCH(1,(RefCapacity!$A$2:$A$526='MultiRegModel Validation'!$A4)*(RefCapacity!$B$2:$B$526='MultiRegModel Validation'!$B4)*(RefCapacity!$C$2:$C$526='MultiRegModel Validation'!H$1),0))</f>
        <v>224.9</v>
      </c>
      <c r="I4" cm="1">
        <f t="array" ref="I4">INDEX(RefCapacity!$D$2:$D$526,MATCH(1,(RefCapacity!$A$2:$A$526='MultiRegModel Validation'!$A4)*(RefCapacity!$B$2:$B$526='MultiRegModel Validation'!$B4)*(RefCapacity!$C$2:$C$526='MultiRegModel Validation'!I$1),0))</f>
        <v>0</v>
      </c>
      <c r="J4" cm="1">
        <f t="array" ref="J4">INDEX(RefCapacity!$D$2:$D$526,MATCH(1,(RefCapacity!$A$2:$A$526='MultiRegModel Validation'!$A4)*(RefCapacity!$B$2:$B$526='MultiRegModel Validation'!$B4)*(RefCapacity!$C$2:$C$526='MultiRegModel Validation'!J$1),0))</f>
        <v>190</v>
      </c>
      <c r="K4">
        <v>0.50055005500550054</v>
      </c>
      <c r="L4">
        <v>6.1606160616061598E-2</v>
      </c>
      <c r="M4">
        <v>0.24904290429042902</v>
      </c>
      <c r="N4">
        <v>7.4389438943894381E-2</v>
      </c>
      <c r="O4">
        <v>7.9207920792079209E-2</v>
      </c>
      <c r="P4">
        <v>3.5203520352035202E-2</v>
      </c>
      <c r="Q4">
        <f t="shared" si="0"/>
        <v>2.0098948670377244</v>
      </c>
      <c r="R4">
        <v>0.84</v>
      </c>
      <c r="S4">
        <v>32.21</v>
      </c>
      <c r="T4" cm="1">
        <f t="array" ref="T4">MMULT($D4:$J4,'Avg CI Index'!$C$2:$C$8)/$C4</f>
        <v>8.3081015962586537</v>
      </c>
      <c r="U4">
        <f>VLOOKUP($A4,'MultiReg Model'!$A$5:$G$9,2,FALSE)+'MultiRegModel Validation'!S4*VLOOKUP($A4,'MultiReg Model'!$A$5:$G$9,3,FALSE)+'MultiRegModel Validation'!R4*VLOOKUP($A4,'MultiReg Model'!$A$5:$G$9,4,FALSE)+'MultiRegModel Validation'!K4*VLOOKUP($A4,'MultiReg Model'!$A$5:$G$9,5,FALSE)+'MultiRegModel Validation'!M4*VLOOKUP($A4,'MultiReg Model'!$A$5:$G$9,6,FALSE)+$L4*VLOOKUP($A4,'MultiReg Model'!$A$5:$G$9,7,FALSE)</f>
        <v>14.186182266359094</v>
      </c>
    </row>
    <row r="5" spans="1:21" x14ac:dyDescent="0.25">
      <c r="A5">
        <v>1</v>
      </c>
      <c r="B5">
        <v>2008</v>
      </c>
      <c r="C5">
        <f>SUMIFS(RefCapacity!$D$2:$D$526,RefCapacity!$A$2:$A$526,'MultiRegModel Validation'!$A5,RefCapacity!$B$2:$B$526,'MultiRegModel Validation'!$B5)</f>
        <v>1589</v>
      </c>
      <c r="D5" cm="1">
        <f t="array" ref="D5">INDEX(RefCapacity!$D$2:$D$526,MATCH(1,(RefCapacity!$A$2:$A$526='MultiRegModel Validation'!$A5)*(RefCapacity!$B$2:$B$526='MultiRegModel Validation'!$B5)*(RefCapacity!$C$2:$C$526='MultiRegModel Validation'!D$1),0))</f>
        <v>29.4</v>
      </c>
      <c r="E5" cm="1">
        <f t="array" ref="E5">INDEX(RefCapacity!$D$2:$D$526,MATCH(1,(RefCapacity!$A$2:$A$526='MultiRegModel Validation'!$A5)*(RefCapacity!$B$2:$B$526='MultiRegModel Validation'!$B5)*(RefCapacity!$C$2:$C$526='MultiRegModel Validation'!E$1),0))</f>
        <v>959.7</v>
      </c>
      <c r="F5" cm="1">
        <f t="array" ref="F5">INDEX(RefCapacity!$D$2:$D$526,MATCH(1,(RefCapacity!$A$2:$A$526='MultiRegModel Validation'!$A5)*(RefCapacity!$B$2:$B$526='MultiRegModel Validation'!$B5)*(RefCapacity!$C$2:$C$526='MultiRegModel Validation'!F$1),0))</f>
        <v>0</v>
      </c>
      <c r="G5" cm="1">
        <f t="array" ref="G5">INDEX(RefCapacity!$D$2:$D$526,MATCH(1,(RefCapacity!$A$2:$A$526='MultiRegModel Validation'!$A5)*(RefCapacity!$B$2:$B$526='MultiRegModel Validation'!$B5)*(RefCapacity!$C$2:$C$526='MultiRegModel Validation'!G$1),0))</f>
        <v>185</v>
      </c>
      <c r="H5" cm="1">
        <f t="array" ref="H5">INDEX(RefCapacity!$D$2:$D$526,MATCH(1,(RefCapacity!$A$2:$A$526='MultiRegModel Validation'!$A5)*(RefCapacity!$B$2:$B$526='MultiRegModel Validation'!$B5)*(RefCapacity!$C$2:$C$526='MultiRegModel Validation'!H$1),0))</f>
        <v>224.9</v>
      </c>
      <c r="I5" cm="1">
        <f t="array" ref="I5">INDEX(RefCapacity!$D$2:$D$526,MATCH(1,(RefCapacity!$A$2:$A$526='MultiRegModel Validation'!$A5)*(RefCapacity!$B$2:$B$526='MultiRegModel Validation'!$B5)*(RefCapacity!$C$2:$C$526='MultiRegModel Validation'!I$1),0))</f>
        <v>0</v>
      </c>
      <c r="J5" cm="1">
        <f t="array" ref="J5">INDEX(RefCapacity!$D$2:$D$526,MATCH(1,(RefCapacity!$A$2:$A$526='MultiRegModel Validation'!$A5)*(RefCapacity!$B$2:$B$526='MultiRegModel Validation'!$B5)*(RefCapacity!$C$2:$C$526='MultiRegModel Validation'!J$1),0))</f>
        <v>190</v>
      </c>
      <c r="K5">
        <v>0.49064906490649068</v>
      </c>
      <c r="L5">
        <v>6.9306930693069313E-2</v>
      </c>
      <c r="M5">
        <v>0.25073707370737075</v>
      </c>
      <c r="N5">
        <v>7.4895489548954919E-2</v>
      </c>
      <c r="O5">
        <v>7.8107810781078105E-2</v>
      </c>
      <c r="P5">
        <v>3.6303630363036306E-2</v>
      </c>
      <c r="Q5">
        <f t="shared" si="0"/>
        <v>1.956826956826957</v>
      </c>
      <c r="R5">
        <v>0.82</v>
      </c>
      <c r="S5">
        <v>32.340000000000003</v>
      </c>
      <c r="T5" cm="1">
        <f t="array" ref="T5">MMULT($D5:$J5,'Avg CI Index'!$C$2:$C$8)/$C5</f>
        <v>8.3081015962586537</v>
      </c>
      <c r="U5">
        <f>VLOOKUP($A5,'MultiReg Model'!$A$5:$G$9,2,FALSE)+'MultiRegModel Validation'!S5*VLOOKUP($A5,'MultiReg Model'!$A$5:$G$9,3,FALSE)+'MultiRegModel Validation'!R5*VLOOKUP($A5,'MultiReg Model'!$A$5:$G$9,4,FALSE)+'MultiRegModel Validation'!K5*VLOOKUP($A5,'MultiReg Model'!$A$5:$G$9,5,FALSE)+'MultiRegModel Validation'!M5*VLOOKUP($A5,'MultiReg Model'!$A$5:$G$9,6,FALSE)+$L5*VLOOKUP($A5,'MultiReg Model'!$A$5:$G$9,7,FALSE)</f>
        <v>13.981779864292928</v>
      </c>
    </row>
    <row r="6" spans="1:21" x14ac:dyDescent="0.25">
      <c r="A6">
        <v>1</v>
      </c>
      <c r="B6">
        <v>2009</v>
      </c>
      <c r="C6">
        <f>SUMIFS(RefCapacity!$D$2:$D$526,RefCapacity!$A$2:$A$526,'MultiRegModel Validation'!$A6,RefCapacity!$B$2:$B$526,'MultiRegModel Validation'!$B6)</f>
        <v>1589</v>
      </c>
      <c r="D6" cm="1">
        <f t="array" ref="D6">INDEX(RefCapacity!$D$2:$D$526,MATCH(1,(RefCapacity!$A$2:$A$526='MultiRegModel Validation'!$A6)*(RefCapacity!$B$2:$B$526='MultiRegModel Validation'!$B6)*(RefCapacity!$C$2:$C$526='MultiRegModel Validation'!D$1),0))</f>
        <v>29.4</v>
      </c>
      <c r="E6" cm="1">
        <f t="array" ref="E6">INDEX(RefCapacity!$D$2:$D$526,MATCH(1,(RefCapacity!$A$2:$A$526='MultiRegModel Validation'!$A6)*(RefCapacity!$B$2:$B$526='MultiRegModel Validation'!$B6)*(RefCapacity!$C$2:$C$526='MultiRegModel Validation'!E$1),0))</f>
        <v>959.7</v>
      </c>
      <c r="F6" cm="1">
        <f t="array" ref="F6">INDEX(RefCapacity!$D$2:$D$526,MATCH(1,(RefCapacity!$A$2:$A$526='MultiRegModel Validation'!$A6)*(RefCapacity!$B$2:$B$526='MultiRegModel Validation'!$B6)*(RefCapacity!$C$2:$C$526='MultiRegModel Validation'!F$1),0))</f>
        <v>0</v>
      </c>
      <c r="G6" cm="1">
        <f t="array" ref="G6">INDEX(RefCapacity!$D$2:$D$526,MATCH(1,(RefCapacity!$A$2:$A$526='MultiRegModel Validation'!$A6)*(RefCapacity!$B$2:$B$526='MultiRegModel Validation'!$B6)*(RefCapacity!$C$2:$C$526='MultiRegModel Validation'!G$1),0))</f>
        <v>185</v>
      </c>
      <c r="H6" cm="1">
        <f t="array" ref="H6">INDEX(RefCapacity!$D$2:$D$526,MATCH(1,(RefCapacity!$A$2:$A$526='MultiRegModel Validation'!$A6)*(RefCapacity!$B$2:$B$526='MultiRegModel Validation'!$B6)*(RefCapacity!$C$2:$C$526='MultiRegModel Validation'!H$1),0))</f>
        <v>224.9</v>
      </c>
      <c r="I6" cm="1">
        <f t="array" ref="I6">INDEX(RefCapacity!$D$2:$D$526,MATCH(1,(RefCapacity!$A$2:$A$526='MultiRegModel Validation'!$A6)*(RefCapacity!$B$2:$B$526='MultiRegModel Validation'!$B6)*(RefCapacity!$C$2:$C$526='MultiRegModel Validation'!I$1),0))</f>
        <v>0</v>
      </c>
      <c r="J6" cm="1">
        <f t="array" ref="J6">INDEX(RefCapacity!$D$2:$D$526,MATCH(1,(RefCapacity!$A$2:$A$526='MultiRegModel Validation'!$A6)*(RefCapacity!$B$2:$B$526='MultiRegModel Validation'!$B6)*(RefCapacity!$C$2:$C$526='MultiRegModel Validation'!J$1),0))</f>
        <v>190</v>
      </c>
      <c r="K6">
        <v>0.51705170517051702</v>
      </c>
      <c r="L6">
        <v>6.4906490649064896E-2</v>
      </c>
      <c r="M6">
        <v>0.23464246424642463</v>
      </c>
      <c r="N6">
        <v>7.0088008800880092E-2</v>
      </c>
      <c r="O6">
        <v>8.1408140814081403E-2</v>
      </c>
      <c r="P6">
        <v>3.1903190319031903E-2</v>
      </c>
      <c r="Q6">
        <f t="shared" si="0"/>
        <v>2.203572600684514</v>
      </c>
      <c r="R6">
        <v>0.76</v>
      </c>
      <c r="S6">
        <v>32.450000000000003</v>
      </c>
      <c r="T6" cm="1">
        <f t="array" ref="T6">MMULT($D6:$J6,'Avg CI Index'!$C$2:$C$8)/$C6</f>
        <v>8.3081015962586537</v>
      </c>
      <c r="U6">
        <f>VLOOKUP($A6,'MultiReg Model'!$A$5:$G$9,2,FALSE)+'MultiRegModel Validation'!S6*VLOOKUP($A6,'MultiReg Model'!$A$5:$G$9,3,FALSE)+'MultiRegModel Validation'!R6*VLOOKUP($A6,'MultiReg Model'!$A$5:$G$9,4,FALSE)+'MultiRegModel Validation'!K6*VLOOKUP($A6,'MultiReg Model'!$A$5:$G$9,5,FALSE)+'MultiRegModel Validation'!M6*VLOOKUP($A6,'MultiReg Model'!$A$5:$G$9,6,FALSE)+$L6*VLOOKUP($A6,'MultiReg Model'!$A$5:$G$9,7,FALSE)</f>
        <v>13.716561318352387</v>
      </c>
    </row>
    <row r="7" spans="1:21" x14ac:dyDescent="0.25">
      <c r="A7">
        <v>1</v>
      </c>
      <c r="B7">
        <v>2010</v>
      </c>
      <c r="C7">
        <f>SUMIFS(RefCapacity!$D$2:$D$526,RefCapacity!$A$2:$A$526,'MultiRegModel Validation'!$A7,RefCapacity!$B$2:$B$526,'MultiRegModel Validation'!$B7)</f>
        <v>1620.1</v>
      </c>
      <c r="D7" cm="1">
        <f t="array" ref="D7">INDEX(RefCapacity!$D$2:$D$526,MATCH(1,(RefCapacity!$A$2:$A$526='MultiRegModel Validation'!$A7)*(RefCapacity!$B$2:$B$526='MultiRegModel Validation'!$B7)*(RefCapacity!$C$2:$C$526='MultiRegModel Validation'!D$1),0))</f>
        <v>29.4</v>
      </c>
      <c r="E7" cm="1">
        <f t="array" ref="E7">INDEX(RefCapacity!$D$2:$D$526,MATCH(1,(RefCapacity!$A$2:$A$526='MultiRegModel Validation'!$A7)*(RefCapacity!$B$2:$B$526='MultiRegModel Validation'!$B7)*(RefCapacity!$C$2:$C$526='MultiRegModel Validation'!E$1),0))</f>
        <v>959.7</v>
      </c>
      <c r="F7" cm="1">
        <f t="array" ref="F7">INDEX(RefCapacity!$D$2:$D$526,MATCH(1,(RefCapacity!$A$2:$A$526='MultiRegModel Validation'!$A7)*(RefCapacity!$B$2:$B$526='MultiRegModel Validation'!$B7)*(RefCapacity!$C$2:$C$526='MultiRegModel Validation'!F$1),0))</f>
        <v>0</v>
      </c>
      <c r="G7" cm="1">
        <f t="array" ref="G7">INDEX(RefCapacity!$D$2:$D$526,MATCH(1,(RefCapacity!$A$2:$A$526='MultiRegModel Validation'!$A7)*(RefCapacity!$B$2:$B$526='MultiRegModel Validation'!$B7)*(RefCapacity!$C$2:$C$526='MultiRegModel Validation'!G$1),0))</f>
        <v>395</v>
      </c>
      <c r="H7" cm="1">
        <f t="array" ref="H7">INDEX(RefCapacity!$D$2:$D$526,MATCH(1,(RefCapacity!$A$2:$A$526='MultiRegModel Validation'!$A7)*(RefCapacity!$B$2:$B$526='MultiRegModel Validation'!$B7)*(RefCapacity!$C$2:$C$526='MultiRegModel Validation'!H$1),0))</f>
        <v>236</v>
      </c>
      <c r="I7" cm="1">
        <f t="array" ref="I7">INDEX(RefCapacity!$D$2:$D$526,MATCH(1,(RefCapacity!$A$2:$A$526='MultiRegModel Validation'!$A7)*(RefCapacity!$B$2:$B$526='MultiRegModel Validation'!$B7)*(RefCapacity!$C$2:$C$526='MultiRegModel Validation'!I$1),0))</f>
        <v>0</v>
      </c>
      <c r="J7" cm="1">
        <f t="array" ref="J7">INDEX(RefCapacity!$D$2:$D$526,MATCH(1,(RefCapacity!$A$2:$A$526='MultiRegModel Validation'!$A7)*(RefCapacity!$B$2:$B$526='MultiRegModel Validation'!$B7)*(RefCapacity!$C$2:$C$526='MultiRegModel Validation'!J$1),0))</f>
        <v>0</v>
      </c>
      <c r="K7">
        <v>0.51375137513751379</v>
      </c>
      <c r="L7">
        <v>6.7106710671067105E-2</v>
      </c>
      <c r="M7">
        <v>0.25327832783278326</v>
      </c>
      <c r="N7">
        <v>7.5654565456545642E-2</v>
      </c>
      <c r="O7">
        <v>5.9405940594059403E-2</v>
      </c>
      <c r="P7">
        <v>3.0803080308030799E-2</v>
      </c>
      <c r="Q7">
        <f t="shared" si="0"/>
        <v>2.0284063762324633</v>
      </c>
      <c r="R7">
        <v>0.65</v>
      </c>
      <c r="S7">
        <v>33.22</v>
      </c>
      <c r="T7" cm="1">
        <f t="array" ref="T7">MMULT($D7:$J7,'Avg CI Index'!$C$2:$C$8)/$C7</f>
        <v>8.1551627919247576</v>
      </c>
      <c r="U7">
        <f>VLOOKUP($A7,'MultiReg Model'!$A$5:$G$9,2,FALSE)+'MultiRegModel Validation'!S7*VLOOKUP($A7,'MultiReg Model'!$A$5:$G$9,3,FALSE)+'MultiRegModel Validation'!R7*VLOOKUP($A7,'MultiReg Model'!$A$5:$G$9,4,FALSE)+'MultiRegModel Validation'!K7*VLOOKUP($A7,'MultiReg Model'!$A$5:$G$9,5,FALSE)+'MultiRegModel Validation'!M7*VLOOKUP($A7,'MultiReg Model'!$A$5:$G$9,6,FALSE)+$L7*VLOOKUP($A7,'MultiReg Model'!$A$5:$G$9,7,FALSE)</f>
        <v>13.113798919449252</v>
      </c>
    </row>
    <row r="8" spans="1:21" x14ac:dyDescent="0.25">
      <c r="A8">
        <v>1</v>
      </c>
      <c r="B8">
        <v>2011</v>
      </c>
      <c r="C8">
        <f>SUMIFS(RefCapacity!$D$2:$D$526,RefCapacity!$A$2:$A$526,'MultiRegModel Validation'!$A8,RefCapacity!$B$2:$B$526,'MultiRegModel Validation'!$B8)</f>
        <v>1619.1</v>
      </c>
      <c r="D8" cm="1">
        <f t="array" ref="D8">INDEX(RefCapacity!$D$2:$D$526,MATCH(1,(RefCapacity!$A$2:$A$526='MultiRegModel Validation'!$A8)*(RefCapacity!$B$2:$B$526='MultiRegModel Validation'!$B8)*(RefCapacity!$C$2:$C$526='MultiRegModel Validation'!D$1),0))</f>
        <v>29.4</v>
      </c>
      <c r="E8" cm="1">
        <f t="array" ref="E8">INDEX(RefCapacity!$D$2:$D$526,MATCH(1,(RefCapacity!$A$2:$A$526='MultiRegModel Validation'!$A8)*(RefCapacity!$B$2:$B$526='MultiRegModel Validation'!$B8)*(RefCapacity!$C$2:$C$526='MultiRegModel Validation'!E$1),0))</f>
        <v>959.7</v>
      </c>
      <c r="F8" cm="1">
        <f t="array" ref="F8">INDEX(RefCapacity!$D$2:$D$526,MATCH(1,(RefCapacity!$A$2:$A$526='MultiRegModel Validation'!$A8)*(RefCapacity!$B$2:$B$526='MultiRegModel Validation'!$B8)*(RefCapacity!$C$2:$C$526='MultiRegModel Validation'!F$1),0))</f>
        <v>0</v>
      </c>
      <c r="G8" cm="1">
        <f t="array" ref="G8">INDEX(RefCapacity!$D$2:$D$526,MATCH(1,(RefCapacity!$A$2:$A$526='MultiRegModel Validation'!$A8)*(RefCapacity!$B$2:$B$526='MultiRegModel Validation'!$B8)*(RefCapacity!$C$2:$C$526='MultiRegModel Validation'!G$1),0))</f>
        <v>375</v>
      </c>
      <c r="H8" cm="1">
        <f t="array" ref="H8">INDEX(RefCapacity!$D$2:$D$526,MATCH(1,(RefCapacity!$A$2:$A$526='MultiRegModel Validation'!$A8)*(RefCapacity!$B$2:$B$526='MultiRegModel Validation'!$B8)*(RefCapacity!$C$2:$C$526='MultiRegModel Validation'!H$1),0))</f>
        <v>255</v>
      </c>
      <c r="I8" cm="1">
        <f t="array" ref="I8">INDEX(RefCapacity!$D$2:$D$526,MATCH(1,(RefCapacity!$A$2:$A$526='MultiRegModel Validation'!$A8)*(RefCapacity!$B$2:$B$526='MultiRegModel Validation'!$B8)*(RefCapacity!$C$2:$C$526='MultiRegModel Validation'!I$1),0))</f>
        <v>0</v>
      </c>
      <c r="J8" cm="1">
        <f t="array" ref="J8">INDEX(RefCapacity!$D$2:$D$526,MATCH(1,(RefCapacity!$A$2:$A$526='MultiRegModel Validation'!$A8)*(RefCapacity!$B$2:$B$526='MultiRegModel Validation'!$B8)*(RefCapacity!$C$2:$C$526='MultiRegModel Validation'!J$1),0))</f>
        <v>0</v>
      </c>
      <c r="K8">
        <v>0.50767543859649122</v>
      </c>
      <c r="L8">
        <v>7.6754385964912283E-2</v>
      </c>
      <c r="M8">
        <v>0.25328947368421056</v>
      </c>
      <c r="N8">
        <v>7.5657894736842091E-2</v>
      </c>
      <c r="O8">
        <v>5.2631578947368425E-2</v>
      </c>
      <c r="P8">
        <v>3.3991228070175447E-2</v>
      </c>
      <c r="Q8">
        <f t="shared" si="0"/>
        <v>2.0043290043290041</v>
      </c>
      <c r="R8">
        <v>0.71</v>
      </c>
      <c r="S8">
        <v>32.83</v>
      </c>
      <c r="T8" cm="1">
        <f t="array" ref="T8">MMULT($D8:$J8,'Avg CI Index'!$C$2:$C$8)/$C8</f>
        <v>8.1581493158116771</v>
      </c>
      <c r="U8">
        <f>VLOOKUP($A8,'MultiReg Model'!$A$5:$G$9,2,FALSE)+'MultiRegModel Validation'!S8*VLOOKUP($A8,'MultiReg Model'!$A$5:$G$9,3,FALSE)+'MultiRegModel Validation'!R8*VLOOKUP($A8,'MultiReg Model'!$A$5:$G$9,4,FALSE)+'MultiRegModel Validation'!K8*VLOOKUP($A8,'MultiReg Model'!$A$5:$G$9,5,FALSE)+'MultiRegModel Validation'!M8*VLOOKUP($A8,'MultiReg Model'!$A$5:$G$9,6,FALSE)+$L8*VLOOKUP($A8,'MultiReg Model'!$A$5:$G$9,7,FALSE)</f>
        <v>13.455851497060092</v>
      </c>
    </row>
    <row r="9" spans="1:21" x14ac:dyDescent="0.25">
      <c r="A9">
        <v>1</v>
      </c>
      <c r="B9">
        <v>2012</v>
      </c>
      <c r="C9">
        <f>SUMIFS(RefCapacity!$D$2:$D$526,RefCapacity!$A$2:$A$526,'MultiRegModel Validation'!$A9,RefCapacity!$B$2:$B$526,'MultiRegModel Validation'!$B9)</f>
        <v>1399.7</v>
      </c>
      <c r="D9" cm="1">
        <f t="array" ref="D9">INDEX(RefCapacity!$D$2:$D$526,MATCH(1,(RefCapacity!$A$2:$A$526='MultiRegModel Validation'!$A9)*(RefCapacity!$B$2:$B$526='MultiRegModel Validation'!$B9)*(RefCapacity!$C$2:$C$526='MultiRegModel Validation'!D$1),0))</f>
        <v>30</v>
      </c>
      <c r="E9" cm="1">
        <f t="array" ref="E9">INDEX(RefCapacity!$D$2:$D$526,MATCH(1,(RefCapacity!$A$2:$A$526='MultiRegModel Validation'!$A9)*(RefCapacity!$B$2:$B$526='MultiRegModel Validation'!$B9)*(RefCapacity!$C$2:$C$526='MultiRegModel Validation'!E$1),0))</f>
        <v>809.7</v>
      </c>
      <c r="F9" cm="1">
        <f t="array" ref="F9">INDEX(RefCapacity!$D$2:$D$526,MATCH(1,(RefCapacity!$A$2:$A$526='MultiRegModel Validation'!$A9)*(RefCapacity!$B$2:$B$526='MultiRegModel Validation'!$B9)*(RefCapacity!$C$2:$C$526='MultiRegModel Validation'!F$1),0))</f>
        <v>0</v>
      </c>
      <c r="G9" cm="1">
        <f t="array" ref="G9">INDEX(RefCapacity!$D$2:$D$526,MATCH(1,(RefCapacity!$A$2:$A$526='MultiRegModel Validation'!$A9)*(RefCapacity!$B$2:$B$526='MultiRegModel Validation'!$B9)*(RefCapacity!$C$2:$C$526='MultiRegModel Validation'!G$1),0))</f>
        <v>375</v>
      </c>
      <c r="H9" cm="1">
        <f t="array" ref="H9">INDEX(RefCapacity!$D$2:$D$526,MATCH(1,(RefCapacity!$A$2:$A$526='MultiRegModel Validation'!$A9)*(RefCapacity!$B$2:$B$526='MultiRegModel Validation'!$B9)*(RefCapacity!$C$2:$C$526='MultiRegModel Validation'!H$1),0))</f>
        <v>185</v>
      </c>
      <c r="I9" cm="1">
        <f t="array" ref="I9">INDEX(RefCapacity!$D$2:$D$526,MATCH(1,(RefCapacity!$A$2:$A$526='MultiRegModel Validation'!$A9)*(RefCapacity!$B$2:$B$526='MultiRegModel Validation'!$B9)*(RefCapacity!$C$2:$C$526='MultiRegModel Validation'!I$1),0))</f>
        <v>0</v>
      </c>
      <c r="J9" cm="1">
        <f t="array" ref="J9">INDEX(RefCapacity!$D$2:$D$526,MATCH(1,(RefCapacity!$A$2:$A$526='MultiRegModel Validation'!$A9)*(RefCapacity!$B$2:$B$526='MultiRegModel Validation'!$B9)*(RefCapacity!$C$2:$C$526='MultiRegModel Validation'!J$1),0))</f>
        <v>0</v>
      </c>
      <c r="K9">
        <v>0.50937155457552363</v>
      </c>
      <c r="L9">
        <v>5.4024255788313102E-2</v>
      </c>
      <c r="M9">
        <v>0.26572216097023149</v>
      </c>
      <c r="N9">
        <v>7.9371554575523695E-2</v>
      </c>
      <c r="O9">
        <v>5.4024255788313116E-2</v>
      </c>
      <c r="P9">
        <v>3.7486218302094809E-2</v>
      </c>
      <c r="Q9">
        <f t="shared" si="0"/>
        <v>1.9169329073482428</v>
      </c>
      <c r="R9">
        <v>0.84</v>
      </c>
      <c r="S9">
        <v>33.159999999999997</v>
      </c>
      <c r="T9" cm="1">
        <f t="array" ref="T9">MMULT($D9:$J9,'Avg CI Index'!$C$2:$C$8)/$C9</f>
        <v>8.1604561022904569</v>
      </c>
      <c r="U9">
        <f>VLOOKUP($A9,'MultiReg Model'!$A$5:$G$9,2,FALSE)+'MultiRegModel Validation'!S9*VLOOKUP($A9,'MultiReg Model'!$A$5:$G$9,3,FALSE)+'MultiRegModel Validation'!R9*VLOOKUP($A9,'MultiReg Model'!$A$5:$G$9,4,FALSE)+'MultiRegModel Validation'!K9*VLOOKUP($A9,'MultiReg Model'!$A$5:$G$9,5,FALSE)+'MultiRegModel Validation'!M9*VLOOKUP($A9,'MultiReg Model'!$A$5:$G$9,6,FALSE)+$L9*VLOOKUP($A9,'MultiReg Model'!$A$5:$G$9,7,FALSE)</f>
        <v>14.291221810521636</v>
      </c>
    </row>
    <row r="10" spans="1:21" x14ac:dyDescent="0.25">
      <c r="A10">
        <v>1</v>
      </c>
      <c r="B10">
        <v>2013</v>
      </c>
      <c r="C10">
        <f>SUMIFS(RefCapacity!$D$2:$D$526,RefCapacity!$A$2:$A$526,'MultiRegModel Validation'!$A10,RefCapacity!$B$2:$B$526,'MultiRegModel Validation'!$B10)</f>
        <v>1399.7</v>
      </c>
      <c r="D10" cm="1">
        <f t="array" ref="D10">INDEX(RefCapacity!$D$2:$D$526,MATCH(1,(RefCapacity!$A$2:$A$526='MultiRegModel Validation'!$A10)*(RefCapacity!$B$2:$B$526='MultiRegModel Validation'!$B10)*(RefCapacity!$C$2:$C$526='MultiRegModel Validation'!D$1),0))</f>
        <v>30</v>
      </c>
      <c r="E10" cm="1">
        <f t="array" ref="E10">INDEX(RefCapacity!$D$2:$D$526,MATCH(1,(RefCapacity!$A$2:$A$526='MultiRegModel Validation'!$A10)*(RefCapacity!$B$2:$B$526='MultiRegModel Validation'!$B10)*(RefCapacity!$C$2:$C$526='MultiRegModel Validation'!E$1),0))</f>
        <v>809.7</v>
      </c>
      <c r="F10" cm="1">
        <f t="array" ref="F10">INDEX(RefCapacity!$D$2:$D$526,MATCH(1,(RefCapacity!$A$2:$A$526='MultiRegModel Validation'!$A10)*(RefCapacity!$B$2:$B$526='MultiRegModel Validation'!$B10)*(RefCapacity!$C$2:$C$526='MultiRegModel Validation'!F$1),0))</f>
        <v>0</v>
      </c>
      <c r="G10" cm="1">
        <f t="array" ref="G10">INDEX(RefCapacity!$D$2:$D$526,MATCH(1,(RefCapacity!$A$2:$A$526='MultiRegModel Validation'!$A10)*(RefCapacity!$B$2:$B$526='MultiRegModel Validation'!$B10)*(RefCapacity!$C$2:$C$526='MultiRegModel Validation'!G$1),0))</f>
        <v>375</v>
      </c>
      <c r="H10" cm="1">
        <f t="array" ref="H10">INDEX(RefCapacity!$D$2:$D$526,MATCH(1,(RefCapacity!$A$2:$A$526='MultiRegModel Validation'!$A10)*(RefCapacity!$B$2:$B$526='MultiRegModel Validation'!$B10)*(RefCapacity!$C$2:$C$526='MultiRegModel Validation'!H$1),0))</f>
        <v>185</v>
      </c>
      <c r="I10" cm="1">
        <f t="array" ref="I10">INDEX(RefCapacity!$D$2:$D$526,MATCH(1,(RefCapacity!$A$2:$A$526='MultiRegModel Validation'!$A10)*(RefCapacity!$B$2:$B$526='MultiRegModel Validation'!$B10)*(RefCapacity!$C$2:$C$526='MultiRegModel Validation'!I$1),0))</f>
        <v>0</v>
      </c>
      <c r="J10" cm="1">
        <f t="array" ref="J10">INDEX(RefCapacity!$D$2:$D$526,MATCH(1,(RefCapacity!$A$2:$A$526='MultiRegModel Validation'!$A10)*(RefCapacity!$B$2:$B$526='MultiRegModel Validation'!$B10)*(RefCapacity!$C$2:$C$526='MultiRegModel Validation'!J$1),0))</f>
        <v>0</v>
      </c>
      <c r="K10">
        <v>0.49180327868852458</v>
      </c>
      <c r="L10">
        <v>7.2131147540983612E-2</v>
      </c>
      <c r="M10">
        <v>0.26339890710382513</v>
      </c>
      <c r="N10">
        <v>7.8677595628415309E-2</v>
      </c>
      <c r="O10">
        <v>6.3387978142076501E-2</v>
      </c>
      <c r="P10">
        <v>3.060109289617486E-2</v>
      </c>
      <c r="Q10">
        <f t="shared" si="0"/>
        <v>1.8671424422223144</v>
      </c>
      <c r="R10">
        <v>0.76</v>
      </c>
      <c r="S10">
        <v>34.229999999999997</v>
      </c>
      <c r="T10" cm="1">
        <f t="array" ref="T10">MMULT($D10:$J10,'Avg CI Index'!$C$2:$C$8)/$C10</f>
        <v>8.1604561022904569</v>
      </c>
      <c r="U10">
        <f>VLOOKUP($A10,'MultiReg Model'!$A$5:$G$9,2,FALSE)+'MultiRegModel Validation'!S10*VLOOKUP($A10,'MultiReg Model'!$A$5:$G$9,3,FALSE)+'MultiRegModel Validation'!R10*VLOOKUP($A10,'MultiReg Model'!$A$5:$G$9,4,FALSE)+'MultiRegModel Validation'!K10*VLOOKUP($A10,'MultiReg Model'!$A$5:$G$9,5,FALSE)+'MultiRegModel Validation'!M10*VLOOKUP($A10,'MultiReg Model'!$A$5:$G$9,6,FALSE)+$L10*VLOOKUP($A10,'MultiReg Model'!$A$5:$G$9,7,FALSE)</f>
        <v>13.524977186323275</v>
      </c>
    </row>
    <row r="11" spans="1:21" x14ac:dyDescent="0.25">
      <c r="A11">
        <v>1</v>
      </c>
      <c r="B11">
        <v>2014</v>
      </c>
      <c r="C11">
        <f>SUMIFS(RefCapacity!$D$2:$D$526,RefCapacity!$A$2:$A$526,'MultiRegModel Validation'!$A11,RefCapacity!$B$2:$B$526,'MultiRegModel Validation'!$B11)</f>
        <v>1402.7</v>
      </c>
      <c r="D11" cm="1">
        <f t="array" ref="D11">INDEX(RefCapacity!$D$2:$D$526,MATCH(1,(RefCapacity!$A$2:$A$526='MultiRegModel Validation'!$A11)*(RefCapacity!$B$2:$B$526='MultiRegModel Validation'!$B11)*(RefCapacity!$C$2:$C$526='MultiRegModel Validation'!D$1),0))</f>
        <v>33</v>
      </c>
      <c r="E11" cm="1">
        <f t="array" ref="E11">INDEX(RefCapacity!$D$2:$D$526,MATCH(1,(RefCapacity!$A$2:$A$526='MultiRegModel Validation'!$A11)*(RefCapacity!$B$2:$B$526='MultiRegModel Validation'!$B11)*(RefCapacity!$C$2:$C$526='MultiRegModel Validation'!E$1),0))</f>
        <v>809.7</v>
      </c>
      <c r="F11" cm="1">
        <f t="array" ref="F11">INDEX(RefCapacity!$D$2:$D$526,MATCH(1,(RefCapacity!$A$2:$A$526='MultiRegModel Validation'!$A11)*(RefCapacity!$B$2:$B$526='MultiRegModel Validation'!$B11)*(RefCapacity!$C$2:$C$526='MultiRegModel Validation'!F$1),0))</f>
        <v>0</v>
      </c>
      <c r="G11" cm="1">
        <f t="array" ref="G11">INDEX(RefCapacity!$D$2:$D$526,MATCH(1,(RefCapacity!$A$2:$A$526='MultiRegModel Validation'!$A11)*(RefCapacity!$B$2:$B$526='MultiRegModel Validation'!$B11)*(RefCapacity!$C$2:$C$526='MultiRegModel Validation'!G$1),0))</f>
        <v>375</v>
      </c>
      <c r="H11" cm="1">
        <f t="array" ref="H11">INDEX(RefCapacity!$D$2:$D$526,MATCH(1,(RefCapacity!$A$2:$A$526='MultiRegModel Validation'!$A11)*(RefCapacity!$B$2:$B$526='MultiRegModel Validation'!$B11)*(RefCapacity!$C$2:$C$526='MultiRegModel Validation'!H$1),0))</f>
        <v>185</v>
      </c>
      <c r="I11" cm="1">
        <f t="array" ref="I11">INDEX(RefCapacity!$D$2:$D$526,MATCH(1,(RefCapacity!$A$2:$A$526='MultiRegModel Validation'!$A11)*(RefCapacity!$B$2:$B$526='MultiRegModel Validation'!$B11)*(RefCapacity!$C$2:$C$526='MultiRegModel Validation'!I$1),0))</f>
        <v>0</v>
      </c>
      <c r="J11" cm="1">
        <f t="array" ref="J11">INDEX(RefCapacity!$D$2:$D$526,MATCH(1,(RefCapacity!$A$2:$A$526='MultiRegModel Validation'!$A11)*(RefCapacity!$B$2:$B$526='MultiRegModel Validation'!$B11)*(RefCapacity!$C$2:$C$526='MultiRegModel Validation'!J$1),0))</f>
        <v>0</v>
      </c>
      <c r="K11">
        <v>0.50711938663745904</v>
      </c>
      <c r="L11">
        <v>9.309967141292444E-2</v>
      </c>
      <c r="M11">
        <v>0.24373493975903621</v>
      </c>
      <c r="N11">
        <v>7.2803943044906894E-2</v>
      </c>
      <c r="O11">
        <v>5.2573932092004387E-2</v>
      </c>
      <c r="P11">
        <v>3.0668127053669225E-2</v>
      </c>
      <c r="Q11">
        <f t="shared" si="0"/>
        <v>2.0806183435941219</v>
      </c>
      <c r="R11">
        <v>0.86</v>
      </c>
      <c r="S11">
        <v>34.07</v>
      </c>
      <c r="T11" cm="1">
        <f t="array" ref="T11">MMULT($D11:$J11,'Avg CI Index'!$C$2:$C$8)/$C11</f>
        <v>8.1487496012073031</v>
      </c>
      <c r="U11">
        <f>VLOOKUP($A11,'MultiReg Model'!$A$5:$G$9,2,FALSE)+'MultiRegModel Validation'!S11*VLOOKUP($A11,'MultiReg Model'!$A$5:$G$9,3,FALSE)+'MultiRegModel Validation'!R11*VLOOKUP($A11,'MultiReg Model'!$A$5:$G$9,4,FALSE)+'MultiRegModel Validation'!K11*VLOOKUP($A11,'MultiReg Model'!$A$5:$G$9,5,FALSE)+'MultiRegModel Validation'!M11*VLOOKUP($A11,'MultiReg Model'!$A$5:$G$9,6,FALSE)+$L11*VLOOKUP($A11,'MultiReg Model'!$A$5:$G$9,7,FALSE)</f>
        <v>14.09481922575702</v>
      </c>
    </row>
    <row r="12" spans="1:21" x14ac:dyDescent="0.25">
      <c r="A12">
        <v>1</v>
      </c>
      <c r="B12">
        <v>2015</v>
      </c>
      <c r="C12">
        <f>SUMIFS(RefCapacity!$D$2:$D$526,RefCapacity!$A$2:$A$526,'MultiRegModel Validation'!$A12,RefCapacity!$B$2:$B$526,'MultiRegModel Validation'!$B12)</f>
        <v>1227</v>
      </c>
      <c r="D12" cm="1">
        <f t="array" ref="D12">INDEX(RefCapacity!$D$2:$D$526,MATCH(1,(RefCapacity!$A$2:$A$526='MultiRegModel Validation'!$A12)*(RefCapacity!$B$2:$B$526='MultiRegModel Validation'!$B12)*(RefCapacity!$C$2:$C$526='MultiRegModel Validation'!D$1),0))</f>
        <v>34</v>
      </c>
      <c r="E12" cm="1">
        <f t="array" ref="E12">INDEX(RefCapacity!$D$2:$D$526,MATCH(1,(RefCapacity!$A$2:$A$526='MultiRegModel Validation'!$A12)*(RefCapacity!$B$2:$B$526='MultiRegModel Validation'!$B12)*(RefCapacity!$C$2:$C$526='MultiRegModel Validation'!E$1),0))</f>
        <v>638</v>
      </c>
      <c r="F12" cm="1">
        <f t="array" ref="F12">INDEX(RefCapacity!$D$2:$D$526,MATCH(1,(RefCapacity!$A$2:$A$526='MultiRegModel Validation'!$A12)*(RefCapacity!$B$2:$B$526='MultiRegModel Validation'!$B12)*(RefCapacity!$C$2:$C$526='MultiRegModel Validation'!F$1),0))</f>
        <v>0</v>
      </c>
      <c r="G12" cm="1">
        <f t="array" ref="G12">INDEX(RefCapacity!$D$2:$D$526,MATCH(1,(RefCapacity!$A$2:$A$526='MultiRegModel Validation'!$A12)*(RefCapacity!$B$2:$B$526='MultiRegModel Validation'!$B12)*(RefCapacity!$C$2:$C$526='MultiRegModel Validation'!G$1),0))</f>
        <v>375</v>
      </c>
      <c r="H12" cm="1">
        <f t="array" ref="H12">INDEX(RefCapacity!$D$2:$D$526,MATCH(1,(RefCapacity!$A$2:$A$526='MultiRegModel Validation'!$A12)*(RefCapacity!$B$2:$B$526='MultiRegModel Validation'!$B12)*(RefCapacity!$C$2:$C$526='MultiRegModel Validation'!H$1),0))</f>
        <v>180</v>
      </c>
      <c r="I12" cm="1">
        <f t="array" ref="I12">INDEX(RefCapacity!$D$2:$D$526,MATCH(1,(RefCapacity!$A$2:$A$526='MultiRegModel Validation'!$A12)*(RefCapacity!$B$2:$B$526='MultiRegModel Validation'!$B12)*(RefCapacity!$C$2:$C$526='MultiRegModel Validation'!I$1),0))</f>
        <v>0</v>
      </c>
      <c r="J12" cm="1">
        <f t="array" ref="J12">INDEX(RefCapacity!$D$2:$D$526,MATCH(1,(RefCapacity!$A$2:$A$526='MultiRegModel Validation'!$A12)*(RefCapacity!$B$2:$B$526='MultiRegModel Validation'!$B12)*(RefCapacity!$C$2:$C$526='MultiRegModel Validation'!J$1),0))</f>
        <v>0</v>
      </c>
      <c r="K12">
        <v>0.51318681318681325</v>
      </c>
      <c r="L12">
        <v>9.2307692307692313E-2</v>
      </c>
      <c r="M12">
        <v>0.24369230769230768</v>
      </c>
      <c r="N12">
        <v>7.2791208791208789E-2</v>
      </c>
      <c r="O12">
        <v>4.5054945054945054E-2</v>
      </c>
      <c r="P12">
        <v>3.2967032967032968E-2</v>
      </c>
      <c r="Q12">
        <f t="shared" si="0"/>
        <v>2.1058802308802314</v>
      </c>
      <c r="R12">
        <v>0.82</v>
      </c>
      <c r="S12">
        <v>34</v>
      </c>
      <c r="T12" cm="1">
        <f t="array" ref="T12">MMULT($D12:$J12,'Avg CI Index'!$C$2:$C$8)/$C12</f>
        <v>8.2589054579555139</v>
      </c>
      <c r="U12">
        <f>VLOOKUP($A12,'MultiReg Model'!$A$5:$G$9,2,FALSE)+'MultiRegModel Validation'!S12*VLOOKUP($A12,'MultiReg Model'!$A$5:$G$9,3,FALSE)+'MultiRegModel Validation'!R12*VLOOKUP($A12,'MultiReg Model'!$A$5:$G$9,4,FALSE)+'MultiRegModel Validation'!K12*VLOOKUP($A12,'MultiReg Model'!$A$5:$G$9,5,FALSE)+'MultiRegModel Validation'!M12*VLOOKUP($A12,'MultiReg Model'!$A$5:$G$9,6,FALSE)+$L12*VLOOKUP($A12,'MultiReg Model'!$A$5:$G$9,7,FALSE)</f>
        <v>13.923752349439644</v>
      </c>
    </row>
    <row r="13" spans="1:21" x14ac:dyDescent="0.25">
      <c r="A13">
        <v>1</v>
      </c>
      <c r="B13">
        <v>2016</v>
      </c>
      <c r="C13">
        <f>SUMIFS(RefCapacity!$D$2:$D$526,RefCapacity!$A$2:$A$526,'MultiRegModel Validation'!$A13,RefCapacity!$B$2:$B$526,'MultiRegModel Validation'!$B13)</f>
        <v>1194.8500000000001</v>
      </c>
      <c r="D13" cm="1">
        <f t="array" ref="D13">INDEX(RefCapacity!$D$2:$D$526,MATCH(1,(RefCapacity!$A$2:$A$526='MultiRegModel Validation'!$A13)*(RefCapacity!$B$2:$B$526='MultiRegModel Validation'!$B13)*(RefCapacity!$C$2:$C$526='MultiRegModel Validation'!D$1),0))</f>
        <v>34.21</v>
      </c>
      <c r="E13" cm="1">
        <f t="array" ref="E13">INDEX(RefCapacity!$D$2:$D$526,MATCH(1,(RefCapacity!$A$2:$A$526='MultiRegModel Validation'!$A13)*(RefCapacity!$B$2:$B$526='MultiRegModel Validation'!$B13)*(RefCapacity!$C$2:$C$526='MultiRegModel Validation'!E$1),0))</f>
        <v>641.75</v>
      </c>
      <c r="F13" cm="1">
        <f t="array" ref="F13">INDEX(RefCapacity!$D$2:$D$526,MATCH(1,(RefCapacity!$A$2:$A$526='MultiRegModel Validation'!$A13)*(RefCapacity!$B$2:$B$526='MultiRegModel Validation'!$B13)*(RefCapacity!$C$2:$C$526='MultiRegModel Validation'!F$1),0))</f>
        <v>0</v>
      </c>
      <c r="G13" cm="1">
        <f t="array" ref="G13">INDEX(RefCapacity!$D$2:$D$526,MATCH(1,(RefCapacity!$A$2:$A$526='MultiRegModel Validation'!$A13)*(RefCapacity!$B$2:$B$526='MultiRegModel Validation'!$B13)*(RefCapacity!$C$2:$C$526='MultiRegModel Validation'!G$1),0))</f>
        <v>180.5</v>
      </c>
      <c r="H13" cm="1">
        <f t="array" ref="H13">INDEX(RefCapacity!$D$2:$D$526,MATCH(1,(RefCapacity!$A$2:$A$526='MultiRegModel Validation'!$A13)*(RefCapacity!$B$2:$B$526='MultiRegModel Validation'!$B13)*(RefCapacity!$C$2:$C$526='MultiRegModel Validation'!H$1),0))</f>
        <v>157.69999999999999</v>
      </c>
      <c r="I13" cm="1">
        <f t="array" ref="I13">INDEX(RefCapacity!$D$2:$D$526,MATCH(1,(RefCapacity!$A$2:$A$526='MultiRegModel Validation'!$A13)*(RefCapacity!$B$2:$B$526='MultiRegModel Validation'!$B13)*(RefCapacity!$C$2:$C$526='MultiRegModel Validation'!I$1),0))</f>
        <v>0</v>
      </c>
      <c r="J13" cm="1">
        <f t="array" ref="J13">INDEX(RefCapacity!$D$2:$D$526,MATCH(1,(RefCapacity!$A$2:$A$526='MultiRegModel Validation'!$A13)*(RefCapacity!$B$2:$B$526='MultiRegModel Validation'!$B13)*(RefCapacity!$C$2:$C$526='MultiRegModel Validation'!J$1),0))</f>
        <v>180.69</v>
      </c>
      <c r="K13">
        <v>0.51912568306010942</v>
      </c>
      <c r="L13">
        <v>8.5245901639344271E-2</v>
      </c>
      <c r="M13">
        <v>0.24404371584699461</v>
      </c>
      <c r="N13">
        <v>7.289617486338798E-2</v>
      </c>
      <c r="O13">
        <v>4.480874316939891E-2</v>
      </c>
      <c r="P13">
        <v>3.3879781420765032E-2</v>
      </c>
      <c r="Q13">
        <f t="shared" si="0"/>
        <v>2.1271831616659203</v>
      </c>
      <c r="R13">
        <v>0.88</v>
      </c>
      <c r="S13">
        <v>33.53</v>
      </c>
      <c r="T13" cm="1">
        <f t="array" ref="T13">MMULT($D13:$J13,'Avg CI Index'!$C$2:$C$8)/$C13</f>
        <v>8.4401269924075528</v>
      </c>
      <c r="U13">
        <f>VLOOKUP($A13,'MultiReg Model'!$A$5:$G$9,2,FALSE)+'MultiRegModel Validation'!S13*VLOOKUP($A13,'MultiReg Model'!$A$5:$G$9,3,FALSE)+'MultiRegModel Validation'!R13*VLOOKUP($A13,'MultiReg Model'!$A$5:$G$9,4,FALSE)+'MultiRegModel Validation'!K13*VLOOKUP($A13,'MultiReg Model'!$A$5:$G$9,5,FALSE)+'MultiRegModel Validation'!M13*VLOOKUP($A13,'MultiReg Model'!$A$5:$G$9,6,FALSE)+$L13*VLOOKUP($A13,'MultiReg Model'!$A$5:$G$9,7,FALSE)</f>
        <v>14.383524509405557</v>
      </c>
    </row>
    <row r="14" spans="1:21" x14ac:dyDescent="0.25">
      <c r="A14">
        <v>1</v>
      </c>
      <c r="B14">
        <v>2017</v>
      </c>
      <c r="C14">
        <f>SUMIFS(RefCapacity!$D$2:$D$526,RefCapacity!$A$2:$A$526,'MultiRegModel Validation'!$A14,RefCapacity!$B$2:$B$526,'MultiRegModel Validation'!$B14)</f>
        <v>1213.8</v>
      </c>
      <c r="D14" cm="1">
        <f t="array" ref="D14">INDEX(RefCapacity!$D$2:$D$526,MATCH(1,(RefCapacity!$A$2:$A$526='MultiRegModel Validation'!$A14)*(RefCapacity!$B$2:$B$526='MultiRegModel Validation'!$B14)*(RefCapacity!$C$2:$C$526='MultiRegModel Validation'!D$1),0))</f>
        <v>33.06</v>
      </c>
      <c r="E14" cm="1">
        <f t="array" ref="E14">INDEX(RefCapacity!$D$2:$D$526,MATCH(1,(RefCapacity!$A$2:$A$526='MultiRegModel Validation'!$A14)*(RefCapacity!$B$2:$B$526='MultiRegModel Validation'!$B14)*(RefCapacity!$C$2:$C$526='MultiRegModel Validation'!E$1),0))</f>
        <v>644.75</v>
      </c>
      <c r="F14" cm="1">
        <f t="array" ref="F14">INDEX(RefCapacity!$D$2:$D$526,MATCH(1,(RefCapacity!$A$2:$A$526='MultiRegModel Validation'!$A14)*(RefCapacity!$B$2:$B$526='MultiRegModel Validation'!$B14)*(RefCapacity!$C$2:$C$526='MultiRegModel Validation'!F$1),0))</f>
        <v>0</v>
      </c>
      <c r="G14" cm="1">
        <f t="array" ref="G14">INDEX(RefCapacity!$D$2:$D$526,MATCH(1,(RefCapacity!$A$2:$A$526='MultiRegModel Validation'!$A14)*(RefCapacity!$B$2:$B$526='MultiRegModel Validation'!$B14)*(RefCapacity!$C$2:$C$526='MultiRegModel Validation'!G$1),0))</f>
        <v>197.6</v>
      </c>
      <c r="H14" cm="1">
        <f t="array" ref="H14">INDEX(RefCapacity!$D$2:$D$526,MATCH(1,(RefCapacity!$A$2:$A$526='MultiRegModel Validation'!$A14)*(RefCapacity!$B$2:$B$526='MultiRegModel Validation'!$B14)*(RefCapacity!$C$2:$C$526='MultiRegModel Validation'!H$1),0))</f>
        <v>157.69999999999999</v>
      </c>
      <c r="I14" cm="1">
        <f t="array" ref="I14">INDEX(RefCapacity!$D$2:$D$526,MATCH(1,(RefCapacity!$A$2:$A$526='MultiRegModel Validation'!$A14)*(RefCapacity!$B$2:$B$526='MultiRegModel Validation'!$B14)*(RefCapacity!$C$2:$C$526='MultiRegModel Validation'!I$1),0))</f>
        <v>0</v>
      </c>
      <c r="J14" cm="1">
        <f t="array" ref="J14">INDEX(RefCapacity!$D$2:$D$526,MATCH(1,(RefCapacity!$A$2:$A$526='MultiRegModel Validation'!$A14)*(RefCapacity!$B$2:$B$526='MultiRegModel Validation'!$B14)*(RefCapacity!$C$2:$C$526='MultiRegModel Validation'!J$1),0))</f>
        <v>180.69</v>
      </c>
      <c r="K14">
        <v>0.52427184466019416</v>
      </c>
      <c r="L14">
        <v>9.0614886731391592E-2</v>
      </c>
      <c r="M14">
        <v>0.23839266450916938</v>
      </c>
      <c r="N14">
        <v>7.1208198489751878E-2</v>
      </c>
      <c r="O14">
        <v>4.2071197411003236E-2</v>
      </c>
      <c r="P14">
        <v>3.3441208198489752E-2</v>
      </c>
      <c r="Q14">
        <f t="shared" si="0"/>
        <v>2.1991945336893068</v>
      </c>
      <c r="R14">
        <v>0.86</v>
      </c>
      <c r="S14">
        <v>34.340000000000003</v>
      </c>
      <c r="T14" cm="1">
        <f t="array" ref="T14">MMULT($D14:$J14,'Avg CI Index'!$C$2:$C$8)/$C14</f>
        <v>8.4593425137625129</v>
      </c>
      <c r="U14">
        <f>VLOOKUP($A14,'MultiReg Model'!$A$5:$G$9,2,FALSE)+'MultiRegModel Validation'!S14*VLOOKUP($A14,'MultiReg Model'!$A$5:$G$9,3,FALSE)+'MultiRegModel Validation'!R14*VLOOKUP($A14,'MultiReg Model'!$A$5:$G$9,4,FALSE)+'MultiRegModel Validation'!K14*VLOOKUP($A14,'MultiReg Model'!$A$5:$G$9,5,FALSE)+'MultiRegModel Validation'!M14*VLOOKUP($A14,'MultiReg Model'!$A$5:$G$9,6,FALSE)+$L14*VLOOKUP($A14,'MultiReg Model'!$A$5:$G$9,7,FALSE)</f>
        <v>14.168568606019409</v>
      </c>
    </row>
    <row r="15" spans="1:21" x14ac:dyDescent="0.25">
      <c r="A15">
        <v>1</v>
      </c>
      <c r="B15">
        <v>2018</v>
      </c>
      <c r="C15">
        <f>SUMIFS(RefCapacity!$D$2:$D$526,RefCapacity!$A$2:$A$526,'MultiRegModel Validation'!$A15,RefCapacity!$B$2:$B$526,'MultiRegModel Validation'!$B15)</f>
        <v>1231.3</v>
      </c>
      <c r="D15" cm="1">
        <f t="array" ref="D15">INDEX(RefCapacity!$D$2:$D$526,MATCH(1,(RefCapacity!$A$2:$A$526='MultiRegModel Validation'!$A15)*(RefCapacity!$B$2:$B$526='MultiRegModel Validation'!$B15)*(RefCapacity!$C$2:$C$526='MultiRegModel Validation'!D$1),0))</f>
        <v>33.06</v>
      </c>
      <c r="E15" cm="1">
        <f t="array" ref="E15">INDEX(RefCapacity!$D$2:$D$526,MATCH(1,(RefCapacity!$A$2:$A$526='MultiRegModel Validation'!$A15)*(RefCapacity!$B$2:$B$526='MultiRegModel Validation'!$B15)*(RefCapacity!$C$2:$C$526='MultiRegModel Validation'!E$1),0))</f>
        <v>662.25</v>
      </c>
      <c r="F15" cm="1">
        <f t="array" ref="F15">INDEX(RefCapacity!$D$2:$D$526,MATCH(1,(RefCapacity!$A$2:$A$526='MultiRegModel Validation'!$A15)*(RefCapacity!$B$2:$B$526='MultiRegModel Validation'!$B15)*(RefCapacity!$C$2:$C$526='MultiRegModel Validation'!F$1),0))</f>
        <v>0</v>
      </c>
      <c r="G15" cm="1">
        <f t="array" ref="G15">INDEX(RefCapacity!$D$2:$D$526,MATCH(1,(RefCapacity!$A$2:$A$526='MultiRegModel Validation'!$A15)*(RefCapacity!$B$2:$B$526='MultiRegModel Validation'!$B15)*(RefCapacity!$C$2:$C$526='MultiRegModel Validation'!G$1),0))</f>
        <v>197.6</v>
      </c>
      <c r="H15" cm="1">
        <f t="array" ref="H15">INDEX(RefCapacity!$D$2:$D$526,MATCH(1,(RefCapacity!$A$2:$A$526='MultiRegModel Validation'!$A15)*(RefCapacity!$B$2:$B$526='MultiRegModel Validation'!$B15)*(RefCapacity!$C$2:$C$526='MultiRegModel Validation'!H$1),0))</f>
        <v>157.69999999999999</v>
      </c>
      <c r="I15" cm="1">
        <f t="array" ref="I15">INDEX(RefCapacity!$D$2:$D$526,MATCH(1,(RefCapacity!$A$2:$A$526='MultiRegModel Validation'!$A15)*(RefCapacity!$B$2:$B$526='MultiRegModel Validation'!$B15)*(RefCapacity!$C$2:$C$526='MultiRegModel Validation'!I$1),0))</f>
        <v>0</v>
      </c>
      <c r="J15" cm="1">
        <f t="array" ref="J15">INDEX(RefCapacity!$D$2:$D$526,MATCH(1,(RefCapacity!$A$2:$A$526='MultiRegModel Validation'!$A15)*(RefCapacity!$B$2:$B$526='MultiRegModel Validation'!$B15)*(RefCapacity!$C$2:$C$526='MultiRegModel Validation'!J$1),0))</f>
        <v>180.69</v>
      </c>
      <c r="K15">
        <v>0.50542299349240782</v>
      </c>
      <c r="L15">
        <v>9.3275488069414311E-2</v>
      </c>
      <c r="M15">
        <v>0.24636659436008676</v>
      </c>
      <c r="N15">
        <v>7.3590021691973956E-2</v>
      </c>
      <c r="O15">
        <v>4.7722342733188726E-2</v>
      </c>
      <c r="P15">
        <v>3.3622559652928416E-2</v>
      </c>
      <c r="Q15">
        <f t="shared" si="0"/>
        <v>2.0515078142196788</v>
      </c>
      <c r="R15">
        <v>0.91</v>
      </c>
      <c r="S15">
        <v>34.799999999999997</v>
      </c>
      <c r="T15" cm="1">
        <f t="array" ref="T15">MMULT($D15:$J15,'Avg CI Index'!$C$2:$C$8)/$C15</f>
        <v>8.4425412885800135</v>
      </c>
      <c r="U15">
        <f>VLOOKUP($A15,'MultiReg Model'!$A$5:$G$9,2,FALSE)+'MultiRegModel Validation'!S15*VLOOKUP($A15,'MultiReg Model'!$A$5:$G$9,3,FALSE)+'MultiRegModel Validation'!R15*VLOOKUP($A15,'MultiReg Model'!$A$5:$G$9,4,FALSE)+'MultiRegModel Validation'!K15*VLOOKUP($A15,'MultiReg Model'!$A$5:$G$9,5,FALSE)+'MultiRegModel Validation'!M15*VLOOKUP($A15,'MultiReg Model'!$A$5:$G$9,6,FALSE)+$L15*VLOOKUP($A15,'MultiReg Model'!$A$5:$G$9,7,FALSE)</f>
        <v>14.305690846624374</v>
      </c>
    </row>
    <row r="16" spans="1:21" x14ac:dyDescent="0.25">
      <c r="A16">
        <v>1</v>
      </c>
      <c r="B16">
        <v>2019</v>
      </c>
      <c r="C16">
        <f>SUMIFS(RefCapacity!$D$2:$D$526,RefCapacity!$A$2:$A$526,'MultiRegModel Validation'!$A16,RefCapacity!$B$2:$B$526,'MultiRegModel Validation'!$B16)</f>
        <v>1231.3</v>
      </c>
      <c r="D16" cm="1">
        <f t="array" ref="D16">INDEX(RefCapacity!$D$2:$D$526,MATCH(1,(RefCapacity!$A$2:$A$526='MultiRegModel Validation'!$A16)*(RefCapacity!$B$2:$B$526='MultiRegModel Validation'!$B16)*(RefCapacity!$C$2:$C$526='MultiRegModel Validation'!D$1),0))</f>
        <v>33.06</v>
      </c>
      <c r="E16" cm="1">
        <f t="array" ref="E16">INDEX(RefCapacity!$D$2:$D$526,MATCH(1,(RefCapacity!$A$2:$A$526='MultiRegModel Validation'!$A16)*(RefCapacity!$B$2:$B$526='MultiRegModel Validation'!$B16)*(RefCapacity!$C$2:$C$526='MultiRegModel Validation'!E$1),0))</f>
        <v>662.25</v>
      </c>
      <c r="F16" cm="1">
        <f t="array" ref="F16">INDEX(RefCapacity!$D$2:$D$526,MATCH(1,(RefCapacity!$A$2:$A$526='MultiRegModel Validation'!$A16)*(RefCapacity!$B$2:$B$526='MultiRegModel Validation'!$B16)*(RefCapacity!$C$2:$C$526='MultiRegModel Validation'!F$1),0))</f>
        <v>0</v>
      </c>
      <c r="G16" cm="1">
        <f t="array" ref="G16">INDEX(RefCapacity!$D$2:$D$526,MATCH(1,(RefCapacity!$A$2:$A$526='MultiRegModel Validation'!$A16)*(RefCapacity!$B$2:$B$526='MultiRegModel Validation'!$B16)*(RefCapacity!$C$2:$C$526='MultiRegModel Validation'!G$1),0))</f>
        <v>197.6</v>
      </c>
      <c r="H16" cm="1">
        <f t="array" ref="H16">INDEX(RefCapacity!$D$2:$D$526,MATCH(1,(RefCapacity!$A$2:$A$526='MultiRegModel Validation'!$A16)*(RefCapacity!$B$2:$B$526='MultiRegModel Validation'!$B16)*(RefCapacity!$C$2:$C$526='MultiRegModel Validation'!H$1),0))</f>
        <v>157.69999999999999</v>
      </c>
      <c r="I16" cm="1">
        <f t="array" ref="I16">INDEX(RefCapacity!$D$2:$D$526,MATCH(1,(RefCapacity!$A$2:$A$526='MultiRegModel Validation'!$A16)*(RefCapacity!$B$2:$B$526='MultiRegModel Validation'!$B16)*(RefCapacity!$C$2:$C$526='MultiRegModel Validation'!I$1),0))</f>
        <v>0</v>
      </c>
      <c r="J16" cm="1">
        <f t="array" ref="J16">INDEX(RefCapacity!$D$2:$D$526,MATCH(1,(RefCapacity!$A$2:$A$526='MultiRegModel Validation'!$A16)*(RefCapacity!$B$2:$B$526='MultiRegModel Validation'!$B16)*(RefCapacity!$C$2:$C$526='MultiRegModel Validation'!J$1),0))</f>
        <v>180.69</v>
      </c>
      <c r="K16">
        <v>0.51360174102285105</v>
      </c>
      <c r="L16">
        <v>0.11534276387377587</v>
      </c>
      <c r="M16">
        <v>0.23208922742110993</v>
      </c>
      <c r="N16">
        <v>6.9325353645266596E-2</v>
      </c>
      <c r="O16">
        <v>3.9173014145810668E-2</v>
      </c>
      <c r="P16">
        <v>3.0467899891186073E-2</v>
      </c>
      <c r="Q16">
        <f t="shared" si="0"/>
        <v>2.2129495053682784</v>
      </c>
      <c r="R16">
        <v>0.84</v>
      </c>
      <c r="S16">
        <v>35.450000000000003</v>
      </c>
      <c r="T16" cm="1">
        <f t="array" ref="T16">MMULT($D16:$J16,'Avg CI Index'!$C$2:$C$8)/$C16</f>
        <v>8.4425412885800135</v>
      </c>
      <c r="U16">
        <f>VLOOKUP($A16,'MultiReg Model'!$A$5:$G$9,2,FALSE)+'MultiRegModel Validation'!S16*VLOOKUP($A16,'MultiReg Model'!$A$5:$G$9,3,FALSE)+'MultiRegModel Validation'!R16*VLOOKUP($A16,'MultiReg Model'!$A$5:$G$9,4,FALSE)+'MultiRegModel Validation'!K16*VLOOKUP($A16,'MultiReg Model'!$A$5:$G$9,5,FALSE)+'MultiRegModel Validation'!M16*VLOOKUP($A16,'MultiReg Model'!$A$5:$G$9,6,FALSE)+$L16*VLOOKUP($A16,'MultiReg Model'!$A$5:$G$9,7,FALSE)</f>
        <v>13.773639148066945</v>
      </c>
    </row>
    <row r="17" spans="1:21" x14ac:dyDescent="0.25">
      <c r="A17">
        <v>2</v>
      </c>
      <c r="B17">
        <v>2005</v>
      </c>
      <c r="C17">
        <f>SUMIFS(RefCapacity!$D$2:$D$526,RefCapacity!$A$2:$A$526,'MultiRegModel Validation'!$A17,RefCapacity!$B$2:$B$526,'MultiRegModel Validation'!$B17)</f>
        <v>3492.6130000000003</v>
      </c>
      <c r="D17" cm="1">
        <f t="array" ref="D17">INDEX(RefCapacity!$D$2:$D$526,MATCH(1,(RefCapacity!$A$2:$A$526='MultiRegModel Validation'!$A17)*(RefCapacity!$B$2:$B$526='MultiRegModel Validation'!$B17)*(RefCapacity!$C$2:$C$526='MultiRegModel Validation'!D$1),0))</f>
        <v>5.5</v>
      </c>
      <c r="E17" cm="1">
        <f t="array" ref="E17">INDEX(RefCapacity!$D$2:$D$526,MATCH(1,(RefCapacity!$A$2:$A$526='MultiRegModel Validation'!$A17)*(RefCapacity!$B$2:$B$526='MultiRegModel Validation'!$B17)*(RefCapacity!$C$2:$C$526='MultiRegModel Validation'!E$1),0))</f>
        <v>878.75</v>
      </c>
      <c r="F17" cm="1">
        <f t="array" ref="F17">INDEX(RefCapacity!$D$2:$D$526,MATCH(1,(RefCapacity!$A$2:$A$526='MultiRegModel Validation'!$A17)*(RefCapacity!$B$2:$B$526='MultiRegModel Validation'!$B17)*(RefCapacity!$C$2:$C$526='MultiRegModel Validation'!F$1),0))</f>
        <v>0</v>
      </c>
      <c r="G17" cm="1">
        <f t="array" ref="G17">INDEX(RefCapacity!$D$2:$D$526,MATCH(1,(RefCapacity!$A$2:$A$526='MultiRegModel Validation'!$A17)*(RefCapacity!$B$2:$B$526='MultiRegModel Validation'!$B17)*(RefCapacity!$C$2:$C$526='MultiRegModel Validation'!G$1),0))</f>
        <v>192.5</v>
      </c>
      <c r="H17" cm="1">
        <f t="array" ref="H17">INDEX(RefCapacity!$D$2:$D$526,MATCH(1,(RefCapacity!$A$2:$A$526='MultiRegModel Validation'!$A17)*(RefCapacity!$B$2:$B$526='MultiRegModel Validation'!$B17)*(RefCapacity!$C$2:$C$526='MultiRegModel Validation'!H$1),0))</f>
        <v>1613.8630000000001</v>
      </c>
      <c r="I17" cm="1">
        <f t="array" ref="I17">INDEX(RefCapacity!$D$2:$D$526,MATCH(1,(RefCapacity!$A$2:$A$526='MultiRegModel Validation'!$A17)*(RefCapacity!$B$2:$B$526='MultiRegModel Validation'!$B17)*(RefCapacity!$C$2:$C$526='MultiRegModel Validation'!I$1),0))</f>
        <v>0</v>
      </c>
      <c r="J17" cm="1">
        <f t="array" ref="J17">INDEX(RefCapacity!$D$2:$D$526,MATCH(1,(RefCapacity!$A$2:$A$526='MultiRegModel Validation'!$A17)*(RefCapacity!$B$2:$B$526='MultiRegModel Validation'!$B17)*(RefCapacity!$C$2:$C$526='MultiRegModel Validation'!J$1),0))</f>
        <v>802</v>
      </c>
      <c r="K17">
        <v>0.5569060773480663</v>
      </c>
      <c r="L17">
        <v>7.6243093922651925E-2</v>
      </c>
      <c r="M17">
        <v>0.23057458563535915</v>
      </c>
      <c r="N17">
        <v>6.8872928176795578E-2</v>
      </c>
      <c r="O17">
        <v>1.7679558011049725E-2</v>
      </c>
      <c r="P17">
        <v>4.9723756906077346E-2</v>
      </c>
      <c r="Q17">
        <f t="shared" si="0"/>
        <v>2.4152968802415291</v>
      </c>
      <c r="R17">
        <v>1.38</v>
      </c>
      <c r="S17">
        <v>31.96</v>
      </c>
      <c r="T17" cm="1">
        <f t="array" ref="T17">MMULT($D17:$J17,'Avg CI Index'!$C$2:$C$8)/$C17</f>
        <v>9.5270354362927918</v>
      </c>
      <c r="U17">
        <f>VLOOKUP($A17,'MultiReg Model'!$A$5:$G$9,2,FALSE)+'MultiRegModel Validation'!S17*VLOOKUP($A17,'MultiReg Model'!$A$5:$G$9,3,FALSE)+'MultiRegModel Validation'!R17*VLOOKUP($A17,'MultiReg Model'!$A$5:$G$9,4,FALSE)+'MultiRegModel Validation'!K17*VLOOKUP($A17,'MultiReg Model'!$A$5:$G$9,5,FALSE)+'MultiRegModel Validation'!M17*VLOOKUP($A17,'MultiReg Model'!$A$5:$G$9,6,FALSE)+$L17*VLOOKUP($A17,'MultiReg Model'!$A$5:$G$9,7,FALSE)</f>
        <v>16.625578007037028</v>
      </c>
    </row>
    <row r="18" spans="1:21" x14ac:dyDescent="0.25">
      <c r="A18">
        <v>2</v>
      </c>
      <c r="B18">
        <v>2006</v>
      </c>
      <c r="C18">
        <f>SUMIFS(RefCapacity!$D$2:$D$526,RefCapacity!$A$2:$A$526,'MultiRegModel Validation'!$A18,RefCapacity!$B$2:$B$526,'MultiRegModel Validation'!$B18)</f>
        <v>3551.527</v>
      </c>
      <c r="D18" cm="1">
        <f t="array" ref="D18">INDEX(RefCapacity!$D$2:$D$526,MATCH(1,(RefCapacity!$A$2:$A$526='MultiRegModel Validation'!$A18)*(RefCapacity!$B$2:$B$526='MultiRegModel Validation'!$B18)*(RefCapacity!$C$2:$C$526='MultiRegModel Validation'!D$1),0))</f>
        <v>5.5</v>
      </c>
      <c r="E18" cm="1">
        <f t="array" ref="E18">INDEX(RefCapacity!$D$2:$D$526,MATCH(1,(RefCapacity!$A$2:$A$526='MultiRegModel Validation'!$A18)*(RefCapacity!$B$2:$B$526='MultiRegModel Validation'!$B18)*(RefCapacity!$C$2:$C$526='MultiRegModel Validation'!E$1),0))</f>
        <v>907.62699999999995</v>
      </c>
      <c r="F18" cm="1">
        <f t="array" ref="F18">INDEX(RefCapacity!$D$2:$D$526,MATCH(1,(RefCapacity!$A$2:$A$526='MultiRegModel Validation'!$A18)*(RefCapacity!$B$2:$B$526='MultiRegModel Validation'!$B18)*(RefCapacity!$C$2:$C$526='MultiRegModel Validation'!F$1),0))</f>
        <v>0</v>
      </c>
      <c r="G18" cm="1">
        <f t="array" ref="G18">INDEX(RefCapacity!$D$2:$D$526,MATCH(1,(RefCapacity!$A$2:$A$526='MultiRegModel Validation'!$A18)*(RefCapacity!$B$2:$B$526='MultiRegModel Validation'!$B18)*(RefCapacity!$C$2:$C$526='MultiRegModel Validation'!G$1),0))</f>
        <v>192.5</v>
      </c>
      <c r="H18" cm="1">
        <f t="array" ref="H18">INDEX(RefCapacity!$D$2:$D$526,MATCH(1,(RefCapacity!$A$2:$A$526='MultiRegModel Validation'!$A18)*(RefCapacity!$B$2:$B$526='MultiRegModel Validation'!$B18)*(RefCapacity!$C$2:$C$526='MultiRegModel Validation'!H$1),0))</f>
        <v>1556.95</v>
      </c>
      <c r="I18" cm="1">
        <f t="array" ref="I18">INDEX(RefCapacity!$D$2:$D$526,MATCH(1,(RefCapacity!$A$2:$A$526='MultiRegModel Validation'!$A18)*(RefCapacity!$B$2:$B$526='MultiRegModel Validation'!$B18)*(RefCapacity!$C$2:$C$526='MultiRegModel Validation'!I$1),0))</f>
        <v>0</v>
      </c>
      <c r="J18" cm="1">
        <f t="array" ref="J18">INDEX(RefCapacity!$D$2:$D$526,MATCH(1,(RefCapacity!$A$2:$A$526='MultiRegModel Validation'!$A18)*(RefCapacity!$B$2:$B$526='MultiRegModel Validation'!$B18)*(RefCapacity!$C$2:$C$526='MultiRegModel Validation'!J$1),0))</f>
        <v>888.95</v>
      </c>
      <c r="K18">
        <v>0.55257270693512295</v>
      </c>
      <c r="L18">
        <v>7.3825503355704689E-2</v>
      </c>
      <c r="M18">
        <v>0.23513422818791946</v>
      </c>
      <c r="N18">
        <v>7.0234899328859068E-2</v>
      </c>
      <c r="O18">
        <v>1.901565995525727E-2</v>
      </c>
      <c r="P18">
        <v>4.9217002237136466E-2</v>
      </c>
      <c r="Q18">
        <f t="shared" si="0"/>
        <v>2.3500309214594925</v>
      </c>
      <c r="R18">
        <v>1.34</v>
      </c>
      <c r="S18">
        <v>32</v>
      </c>
      <c r="T18" cm="1">
        <f t="array" ref="T18">MMULT($D18:$J18,'Avg CI Index'!$C$2:$C$8)/$C18</f>
        <v>9.5418875849903237</v>
      </c>
      <c r="U18">
        <f>VLOOKUP($A18,'MultiReg Model'!$A$5:$G$9,2,FALSE)+'MultiRegModel Validation'!S18*VLOOKUP($A18,'MultiReg Model'!$A$5:$G$9,3,FALSE)+'MultiRegModel Validation'!R18*VLOOKUP($A18,'MultiReg Model'!$A$5:$G$9,4,FALSE)+'MultiRegModel Validation'!K18*VLOOKUP($A18,'MultiReg Model'!$A$5:$G$9,5,FALSE)+'MultiRegModel Validation'!M18*VLOOKUP($A18,'MultiReg Model'!$A$5:$G$9,6,FALSE)+$L18*VLOOKUP($A18,'MultiReg Model'!$A$5:$G$9,7,FALSE)</f>
        <v>16.475077662677418</v>
      </c>
    </row>
    <row r="19" spans="1:21" x14ac:dyDescent="0.25">
      <c r="A19">
        <v>2</v>
      </c>
      <c r="B19">
        <v>2007</v>
      </c>
      <c r="C19">
        <f>SUMIFS(RefCapacity!$D$2:$D$526,RefCapacity!$A$2:$A$526,'MultiRegModel Validation'!$A19,RefCapacity!$B$2:$B$526,'MultiRegModel Validation'!$B19)</f>
        <v>3554.1499999999996</v>
      </c>
      <c r="D19" cm="1">
        <f t="array" ref="D19">INDEX(RefCapacity!$D$2:$D$526,MATCH(1,(RefCapacity!$A$2:$A$526='MultiRegModel Validation'!$A19)*(RefCapacity!$B$2:$B$526='MultiRegModel Validation'!$B19)*(RefCapacity!$C$2:$C$526='MultiRegModel Validation'!D$1),0))</f>
        <v>5.5</v>
      </c>
      <c r="E19" cm="1">
        <f t="array" ref="E19">INDEX(RefCapacity!$D$2:$D$526,MATCH(1,(RefCapacity!$A$2:$A$526='MultiRegModel Validation'!$A19)*(RefCapacity!$B$2:$B$526='MultiRegModel Validation'!$B19)*(RefCapacity!$C$2:$C$526='MultiRegModel Validation'!E$1),0))</f>
        <v>819.75</v>
      </c>
      <c r="F19" cm="1">
        <f t="array" ref="F19">INDEX(RefCapacity!$D$2:$D$526,MATCH(1,(RefCapacity!$A$2:$A$526='MultiRegModel Validation'!$A19)*(RefCapacity!$B$2:$B$526='MultiRegModel Validation'!$B19)*(RefCapacity!$C$2:$C$526='MultiRegModel Validation'!F$1),0))</f>
        <v>0</v>
      </c>
      <c r="G19" cm="1">
        <f t="array" ref="G19">INDEX(RefCapacity!$D$2:$D$526,MATCH(1,(RefCapacity!$A$2:$A$526='MultiRegModel Validation'!$A19)*(RefCapacity!$B$2:$B$526='MultiRegModel Validation'!$B19)*(RefCapacity!$C$2:$C$526='MultiRegModel Validation'!G$1),0))</f>
        <v>284</v>
      </c>
      <c r="H19" cm="1">
        <f t="array" ref="H19">INDEX(RefCapacity!$D$2:$D$526,MATCH(1,(RefCapacity!$A$2:$A$526='MultiRegModel Validation'!$A19)*(RefCapacity!$B$2:$B$526='MultiRegModel Validation'!$B19)*(RefCapacity!$C$2:$C$526='MultiRegModel Validation'!H$1),0))</f>
        <v>1556.95</v>
      </c>
      <c r="I19" cm="1">
        <f t="array" ref="I19">INDEX(RefCapacity!$D$2:$D$526,MATCH(1,(RefCapacity!$A$2:$A$526='MultiRegModel Validation'!$A19)*(RefCapacity!$B$2:$B$526='MultiRegModel Validation'!$B19)*(RefCapacity!$C$2:$C$526='MultiRegModel Validation'!I$1),0))</f>
        <v>0</v>
      </c>
      <c r="J19" cm="1">
        <f t="array" ref="J19">INDEX(RefCapacity!$D$2:$D$526,MATCH(1,(RefCapacity!$A$2:$A$526='MultiRegModel Validation'!$A19)*(RefCapacity!$B$2:$B$526='MultiRegModel Validation'!$B19)*(RefCapacity!$C$2:$C$526='MultiRegModel Validation'!J$1),0))</f>
        <v>887.95</v>
      </c>
      <c r="K19">
        <v>0.55149501661129563</v>
      </c>
      <c r="L19">
        <v>6.9767441860465101E-2</v>
      </c>
      <c r="M19">
        <v>0.24046511627906977</v>
      </c>
      <c r="N19">
        <v>7.1827242524916929E-2</v>
      </c>
      <c r="O19">
        <v>1.8826135105204873E-2</v>
      </c>
      <c r="P19">
        <v>4.7619047619047616E-2</v>
      </c>
      <c r="Q19">
        <f t="shared" si="0"/>
        <v>2.293451229621442</v>
      </c>
      <c r="R19">
        <v>1.37</v>
      </c>
      <c r="S19">
        <v>32.26</v>
      </c>
      <c r="T19" cm="1">
        <f t="array" ref="T19">MMULT($D19:$J19,'Avg CI Index'!$C$2:$C$8)/$C19</f>
        <v>9.5994688627262121</v>
      </c>
      <c r="U19">
        <f>VLOOKUP($A19,'MultiReg Model'!$A$5:$G$9,2,FALSE)+'MultiRegModel Validation'!S19*VLOOKUP($A19,'MultiReg Model'!$A$5:$G$9,3,FALSE)+'MultiRegModel Validation'!R19*VLOOKUP($A19,'MultiReg Model'!$A$5:$G$9,4,FALSE)+'MultiRegModel Validation'!K19*VLOOKUP($A19,'MultiReg Model'!$A$5:$G$9,5,FALSE)+'MultiRegModel Validation'!M19*VLOOKUP($A19,'MultiReg Model'!$A$5:$G$9,6,FALSE)+$L19*VLOOKUP($A19,'MultiReg Model'!$A$5:$G$9,7,FALSE)</f>
        <v>16.654653779508347</v>
      </c>
    </row>
    <row r="20" spans="1:21" x14ac:dyDescent="0.25">
      <c r="A20">
        <v>2</v>
      </c>
      <c r="B20">
        <v>2008</v>
      </c>
      <c r="C20">
        <f>SUMIFS(RefCapacity!$D$2:$D$526,RefCapacity!$A$2:$A$526,'MultiRegModel Validation'!$A20,RefCapacity!$B$2:$B$526,'MultiRegModel Validation'!$B20)</f>
        <v>3640.1000000000004</v>
      </c>
      <c r="D20" cm="1">
        <f t="array" ref="D20">INDEX(RefCapacity!$D$2:$D$526,MATCH(1,(RefCapacity!$A$2:$A$526='MultiRegModel Validation'!$A20)*(RefCapacity!$B$2:$B$526='MultiRegModel Validation'!$B20)*(RefCapacity!$C$2:$C$526='MultiRegModel Validation'!D$1),0))</f>
        <v>5.5</v>
      </c>
      <c r="E20" cm="1">
        <f t="array" ref="E20">INDEX(RefCapacity!$D$2:$D$526,MATCH(1,(RefCapacity!$A$2:$A$526='MultiRegModel Validation'!$A20)*(RefCapacity!$B$2:$B$526='MultiRegModel Validation'!$B20)*(RefCapacity!$C$2:$C$526='MultiRegModel Validation'!E$1),0))</f>
        <v>839.75</v>
      </c>
      <c r="F20" cm="1">
        <f t="array" ref="F20">INDEX(RefCapacity!$D$2:$D$526,MATCH(1,(RefCapacity!$A$2:$A$526='MultiRegModel Validation'!$A20)*(RefCapacity!$B$2:$B$526='MultiRegModel Validation'!$B20)*(RefCapacity!$C$2:$C$526='MultiRegModel Validation'!F$1),0))</f>
        <v>0</v>
      </c>
      <c r="G20" cm="1">
        <f t="array" ref="G20">INDEX(RefCapacity!$D$2:$D$526,MATCH(1,(RefCapacity!$A$2:$A$526='MultiRegModel Validation'!$A20)*(RefCapacity!$B$2:$B$526='MultiRegModel Validation'!$B20)*(RefCapacity!$C$2:$C$526='MultiRegModel Validation'!G$1),0))</f>
        <v>284</v>
      </c>
      <c r="H20" cm="1">
        <f t="array" ref="H20">INDEX(RefCapacity!$D$2:$D$526,MATCH(1,(RefCapacity!$A$2:$A$526='MultiRegModel Validation'!$A20)*(RefCapacity!$B$2:$B$526='MultiRegModel Validation'!$B20)*(RefCapacity!$C$2:$C$526='MultiRegModel Validation'!H$1),0))</f>
        <v>1285.6500000000001</v>
      </c>
      <c r="I20" cm="1">
        <f t="array" ref="I20">INDEX(RefCapacity!$D$2:$D$526,MATCH(1,(RefCapacity!$A$2:$A$526='MultiRegModel Validation'!$A20)*(RefCapacity!$B$2:$B$526='MultiRegModel Validation'!$B20)*(RefCapacity!$C$2:$C$526='MultiRegModel Validation'!I$1),0))</f>
        <v>160</v>
      </c>
      <c r="J20" cm="1">
        <f t="array" ref="J20">INDEX(RefCapacity!$D$2:$D$526,MATCH(1,(RefCapacity!$A$2:$A$526='MultiRegModel Validation'!$A20)*(RefCapacity!$B$2:$B$526='MultiRegModel Validation'!$B20)*(RefCapacity!$C$2:$C$526='MultiRegModel Validation'!J$1),0))</f>
        <v>1065.2</v>
      </c>
      <c r="K20">
        <v>0.53414096916299558</v>
      </c>
      <c r="L20">
        <v>7.0484581497797349E-2</v>
      </c>
      <c r="M20">
        <v>0.25440528634361237</v>
      </c>
      <c r="N20">
        <v>7.5991189427312755E-2</v>
      </c>
      <c r="O20">
        <v>1.7621145374449341E-2</v>
      </c>
      <c r="P20">
        <v>4.7356828193832599E-2</v>
      </c>
      <c r="Q20">
        <f t="shared" si="0"/>
        <v>2.0995670995670994</v>
      </c>
      <c r="R20">
        <v>1.35</v>
      </c>
      <c r="S20">
        <v>32.54</v>
      </c>
      <c r="T20" cm="1">
        <f t="array" ref="T20">MMULT($D20:$J20,'Avg CI Index'!$C$2:$C$8)/$C20</f>
        <v>9.664014086783137</v>
      </c>
      <c r="U20">
        <f>VLOOKUP($A20,'MultiReg Model'!$A$5:$G$9,2,FALSE)+'MultiRegModel Validation'!S20*VLOOKUP($A20,'MultiReg Model'!$A$5:$G$9,3,FALSE)+'MultiRegModel Validation'!R20*VLOOKUP($A20,'MultiReg Model'!$A$5:$G$9,4,FALSE)+'MultiRegModel Validation'!K20*VLOOKUP($A20,'MultiReg Model'!$A$5:$G$9,5,FALSE)+'MultiRegModel Validation'!M20*VLOOKUP($A20,'MultiReg Model'!$A$5:$G$9,6,FALSE)+$L20*VLOOKUP($A20,'MultiReg Model'!$A$5:$G$9,7,FALSE)</f>
        <v>16.636302447043214</v>
      </c>
    </row>
    <row r="21" spans="1:21" x14ac:dyDescent="0.25">
      <c r="A21">
        <v>2</v>
      </c>
      <c r="B21">
        <v>2009</v>
      </c>
      <c r="C21">
        <f>SUMIFS(RefCapacity!$D$2:$D$526,RefCapacity!$A$2:$A$526,'MultiRegModel Validation'!$A21,RefCapacity!$B$2:$B$526,'MultiRegModel Validation'!$B21)</f>
        <v>3647.8500000000004</v>
      </c>
      <c r="D21" cm="1">
        <f t="array" ref="D21">INDEX(RefCapacity!$D$2:$D$526,MATCH(1,(RefCapacity!$A$2:$A$526='MultiRegModel Validation'!$A21)*(RefCapacity!$B$2:$B$526='MultiRegModel Validation'!$B21)*(RefCapacity!$C$2:$C$526='MultiRegModel Validation'!D$1),0))</f>
        <v>5.5</v>
      </c>
      <c r="E21" cm="1">
        <f t="array" ref="E21">INDEX(RefCapacity!$D$2:$D$526,MATCH(1,(RefCapacity!$A$2:$A$526='MultiRegModel Validation'!$A21)*(RefCapacity!$B$2:$B$526='MultiRegModel Validation'!$B21)*(RefCapacity!$C$2:$C$526='MultiRegModel Validation'!E$1),0))</f>
        <v>847.75</v>
      </c>
      <c r="F21" cm="1">
        <f t="array" ref="F21">INDEX(RefCapacity!$D$2:$D$526,MATCH(1,(RefCapacity!$A$2:$A$526='MultiRegModel Validation'!$A21)*(RefCapacity!$B$2:$B$526='MultiRegModel Validation'!$B21)*(RefCapacity!$C$2:$C$526='MultiRegModel Validation'!F$1),0))</f>
        <v>0</v>
      </c>
      <c r="G21" cm="1">
        <f t="array" ref="G21">INDEX(RefCapacity!$D$2:$D$526,MATCH(1,(RefCapacity!$A$2:$A$526='MultiRegModel Validation'!$A21)*(RefCapacity!$B$2:$B$526='MultiRegModel Validation'!$B21)*(RefCapacity!$C$2:$C$526='MultiRegModel Validation'!G$1),0))</f>
        <v>284</v>
      </c>
      <c r="H21" cm="1">
        <f t="array" ref="H21">INDEX(RefCapacity!$D$2:$D$526,MATCH(1,(RefCapacity!$A$2:$A$526='MultiRegModel Validation'!$A21)*(RefCapacity!$B$2:$B$526='MultiRegModel Validation'!$B21)*(RefCapacity!$C$2:$C$526='MultiRegModel Validation'!H$1),0))</f>
        <v>1281.4000000000001</v>
      </c>
      <c r="I21" cm="1">
        <f t="array" ref="I21">INDEX(RefCapacity!$D$2:$D$526,MATCH(1,(RefCapacity!$A$2:$A$526='MultiRegModel Validation'!$A21)*(RefCapacity!$B$2:$B$526='MultiRegModel Validation'!$B21)*(RefCapacity!$C$2:$C$526='MultiRegModel Validation'!I$1),0))</f>
        <v>0</v>
      </c>
      <c r="J21" cm="1">
        <f t="array" ref="J21">INDEX(RefCapacity!$D$2:$D$526,MATCH(1,(RefCapacity!$A$2:$A$526='MultiRegModel Validation'!$A21)*(RefCapacity!$B$2:$B$526='MultiRegModel Validation'!$B21)*(RefCapacity!$C$2:$C$526='MultiRegModel Validation'!J$1),0))</f>
        <v>1229.2</v>
      </c>
      <c r="K21">
        <v>0.56121343445287097</v>
      </c>
      <c r="L21">
        <v>7.1505958829902475E-2</v>
      </c>
      <c r="M21">
        <v>0.23358613217768148</v>
      </c>
      <c r="N21">
        <v>6.9772481040086654E-2</v>
      </c>
      <c r="O21">
        <v>1.6251354279523293E-2</v>
      </c>
      <c r="P21">
        <v>4.7670639219934995E-2</v>
      </c>
      <c r="Q21">
        <f t="shared" si="0"/>
        <v>2.4025974025974022</v>
      </c>
      <c r="R21">
        <v>1.31</v>
      </c>
      <c r="S21">
        <v>32.76</v>
      </c>
      <c r="T21" cm="1">
        <f t="array" ref="T21">MMULT($D21:$J21,'Avg CI Index'!$C$2:$C$8)/$C21</f>
        <v>9.7008964990708098</v>
      </c>
      <c r="U21">
        <f>VLOOKUP($A21,'MultiReg Model'!$A$5:$G$9,2,FALSE)+'MultiRegModel Validation'!S21*VLOOKUP($A21,'MultiReg Model'!$A$5:$G$9,3,FALSE)+'MultiRegModel Validation'!R21*VLOOKUP($A21,'MultiReg Model'!$A$5:$G$9,4,FALSE)+'MultiRegModel Validation'!K21*VLOOKUP($A21,'MultiReg Model'!$A$5:$G$9,5,FALSE)+'MultiRegModel Validation'!M21*VLOOKUP($A21,'MultiReg Model'!$A$5:$G$9,6,FALSE)+$L21*VLOOKUP($A21,'MultiReg Model'!$A$5:$G$9,7,FALSE)</f>
        <v>16.308871777074494</v>
      </c>
    </row>
    <row r="22" spans="1:21" x14ac:dyDescent="0.25">
      <c r="A22">
        <v>2</v>
      </c>
      <c r="B22">
        <v>2010</v>
      </c>
      <c r="C22">
        <f>SUMIFS(RefCapacity!$D$2:$D$526,RefCapacity!$A$2:$A$526,'MultiRegModel Validation'!$A22,RefCapacity!$B$2:$B$526,'MultiRegModel Validation'!$B22)</f>
        <v>3702.9</v>
      </c>
      <c r="D22" cm="1">
        <f t="array" ref="D22">INDEX(RefCapacity!$D$2:$D$526,MATCH(1,(RefCapacity!$A$2:$A$526='MultiRegModel Validation'!$A22)*(RefCapacity!$B$2:$B$526='MultiRegModel Validation'!$B22)*(RefCapacity!$C$2:$C$526='MultiRegModel Validation'!D$1),0))</f>
        <v>5.5</v>
      </c>
      <c r="E22" cm="1">
        <f t="array" ref="E22">INDEX(RefCapacity!$D$2:$D$526,MATCH(1,(RefCapacity!$A$2:$A$526='MultiRegModel Validation'!$A22)*(RefCapacity!$B$2:$B$526='MultiRegModel Validation'!$B22)*(RefCapacity!$C$2:$C$526='MultiRegModel Validation'!E$1),0))</f>
        <v>852.75</v>
      </c>
      <c r="F22" cm="1">
        <f t="array" ref="F22">INDEX(RefCapacity!$D$2:$D$526,MATCH(1,(RefCapacity!$A$2:$A$526='MultiRegModel Validation'!$A22)*(RefCapacity!$B$2:$B$526='MultiRegModel Validation'!$B22)*(RefCapacity!$C$2:$C$526='MultiRegModel Validation'!F$1),0))</f>
        <v>0</v>
      </c>
      <c r="G22" cm="1">
        <f t="array" ref="G22">INDEX(RefCapacity!$D$2:$D$526,MATCH(1,(RefCapacity!$A$2:$A$526='MultiRegModel Validation'!$A22)*(RefCapacity!$B$2:$B$526='MultiRegModel Validation'!$B22)*(RefCapacity!$C$2:$C$526='MultiRegModel Validation'!G$1),0))</f>
        <v>314</v>
      </c>
      <c r="H22" cm="1">
        <f t="array" ref="H22">INDEX(RefCapacity!$D$2:$D$526,MATCH(1,(RefCapacity!$A$2:$A$526='MultiRegModel Validation'!$A22)*(RefCapacity!$B$2:$B$526='MultiRegModel Validation'!$B22)*(RefCapacity!$C$2:$C$526='MultiRegModel Validation'!H$1),0))</f>
        <v>1302.4000000000001</v>
      </c>
      <c r="I22" cm="1">
        <f t="array" ref="I22">INDEX(RefCapacity!$D$2:$D$526,MATCH(1,(RefCapacity!$A$2:$A$526='MultiRegModel Validation'!$A22)*(RefCapacity!$B$2:$B$526='MultiRegModel Validation'!$B22)*(RefCapacity!$C$2:$C$526='MultiRegModel Validation'!I$1),0))</f>
        <v>0</v>
      </c>
      <c r="J22" cm="1">
        <f t="array" ref="J22">INDEX(RefCapacity!$D$2:$D$526,MATCH(1,(RefCapacity!$A$2:$A$526='MultiRegModel Validation'!$A22)*(RefCapacity!$B$2:$B$526='MultiRegModel Validation'!$B22)*(RefCapacity!$C$2:$C$526='MultiRegModel Validation'!J$1),0))</f>
        <v>1228.25</v>
      </c>
      <c r="K22">
        <v>0.55386289445048975</v>
      </c>
      <c r="L22">
        <v>7.2905331882480953E-2</v>
      </c>
      <c r="M22">
        <v>0.24046789989118608</v>
      </c>
      <c r="N22">
        <v>7.1828073993471159E-2</v>
      </c>
      <c r="O22">
        <v>1.4145810663764963E-2</v>
      </c>
      <c r="P22">
        <v>4.6789989118607184E-2</v>
      </c>
      <c r="Q22">
        <f t="shared" si="0"/>
        <v>2.3032716412507357</v>
      </c>
      <c r="R22">
        <v>1.26</v>
      </c>
      <c r="S22">
        <v>33.11</v>
      </c>
      <c r="T22" cm="1">
        <f t="array" ref="T22">MMULT($D22:$J22,'Avg CI Index'!$C$2:$C$8)/$C22</f>
        <v>9.69803281196066</v>
      </c>
      <c r="U22">
        <f>VLOOKUP($A22,'MultiReg Model'!$A$5:$G$9,2,FALSE)+'MultiRegModel Validation'!S22*VLOOKUP($A22,'MultiReg Model'!$A$5:$G$9,3,FALSE)+'MultiRegModel Validation'!R22*VLOOKUP($A22,'MultiReg Model'!$A$5:$G$9,4,FALSE)+'MultiRegModel Validation'!K22*VLOOKUP($A22,'MultiReg Model'!$A$5:$G$9,5,FALSE)+'MultiRegModel Validation'!M22*VLOOKUP($A22,'MultiReg Model'!$A$5:$G$9,6,FALSE)+$L22*VLOOKUP($A22,'MultiReg Model'!$A$5:$G$9,7,FALSE)</f>
        <v>16.107935517478225</v>
      </c>
    </row>
    <row r="23" spans="1:21" x14ac:dyDescent="0.25">
      <c r="A23">
        <v>2</v>
      </c>
      <c r="B23">
        <v>2011</v>
      </c>
      <c r="C23">
        <f>SUMIFS(RefCapacity!$D$2:$D$526,RefCapacity!$A$2:$A$526,'MultiRegModel Validation'!$A23,RefCapacity!$B$2:$B$526,'MultiRegModel Validation'!$B23)</f>
        <v>3715.9</v>
      </c>
      <c r="D23" cm="1">
        <f t="array" ref="D23">INDEX(RefCapacity!$D$2:$D$526,MATCH(1,(RefCapacity!$A$2:$A$526='MultiRegModel Validation'!$A23)*(RefCapacity!$B$2:$B$526='MultiRegModel Validation'!$B23)*(RefCapacity!$C$2:$C$526='MultiRegModel Validation'!D$1),0))</f>
        <v>5.5</v>
      </c>
      <c r="E23" cm="1">
        <f t="array" ref="E23">INDEX(RefCapacity!$D$2:$D$526,MATCH(1,(RefCapacity!$A$2:$A$526='MultiRegModel Validation'!$A23)*(RefCapacity!$B$2:$B$526='MultiRegModel Validation'!$B23)*(RefCapacity!$C$2:$C$526='MultiRegModel Validation'!E$1),0))</f>
        <v>857.75</v>
      </c>
      <c r="F23" cm="1">
        <f t="array" ref="F23">INDEX(RefCapacity!$D$2:$D$526,MATCH(1,(RefCapacity!$A$2:$A$526='MultiRegModel Validation'!$A23)*(RefCapacity!$B$2:$B$526='MultiRegModel Validation'!$B23)*(RefCapacity!$C$2:$C$526='MultiRegModel Validation'!F$1),0))</f>
        <v>0</v>
      </c>
      <c r="G23" cm="1">
        <f t="array" ref="G23">INDEX(RefCapacity!$D$2:$D$526,MATCH(1,(RefCapacity!$A$2:$A$526='MultiRegModel Validation'!$A23)*(RefCapacity!$B$2:$B$526='MultiRegModel Validation'!$B23)*(RefCapacity!$C$2:$C$526='MultiRegModel Validation'!G$1),0))</f>
        <v>314</v>
      </c>
      <c r="H23" cm="1">
        <f t="array" ref="H23">INDEX(RefCapacity!$D$2:$D$526,MATCH(1,(RefCapacity!$A$2:$A$526='MultiRegModel Validation'!$A23)*(RefCapacity!$B$2:$B$526='MultiRegModel Validation'!$B23)*(RefCapacity!$C$2:$C$526='MultiRegModel Validation'!H$1),0))</f>
        <v>1308.4000000000001</v>
      </c>
      <c r="I23" cm="1">
        <f t="array" ref="I23">INDEX(RefCapacity!$D$2:$D$526,MATCH(1,(RefCapacity!$A$2:$A$526='MultiRegModel Validation'!$A23)*(RefCapacity!$B$2:$B$526='MultiRegModel Validation'!$B23)*(RefCapacity!$C$2:$C$526='MultiRegModel Validation'!I$1),0))</f>
        <v>0</v>
      </c>
      <c r="J23" cm="1">
        <f t="array" ref="J23">INDEX(RefCapacity!$D$2:$D$526,MATCH(1,(RefCapacity!$A$2:$A$526='MultiRegModel Validation'!$A23)*(RefCapacity!$B$2:$B$526='MultiRegModel Validation'!$B23)*(RefCapacity!$C$2:$C$526='MultiRegModel Validation'!J$1),0))</f>
        <v>1230.25</v>
      </c>
      <c r="K23">
        <v>0.5502702702702702</v>
      </c>
      <c r="L23">
        <v>7.5675675675675652E-2</v>
      </c>
      <c r="M23">
        <v>0.23974054054054053</v>
      </c>
      <c r="N23">
        <v>7.1610810810810804E-2</v>
      </c>
      <c r="O23">
        <v>1.5135135135135131E-2</v>
      </c>
      <c r="P23">
        <v>4.7567567567567567E-2</v>
      </c>
      <c r="Q23">
        <f t="shared" si="0"/>
        <v>2.2952741702741699</v>
      </c>
      <c r="R23">
        <v>1.34</v>
      </c>
      <c r="S23">
        <v>33.07</v>
      </c>
      <c r="T23" cm="1">
        <f t="array" ref="T23">MMULT($D23:$J23,'Avg CI Index'!$C$2:$C$8)/$C23</f>
        <v>9.6959735388566042</v>
      </c>
      <c r="U23">
        <f>VLOOKUP($A23,'MultiReg Model'!$A$5:$G$9,2,FALSE)+'MultiRegModel Validation'!S23*VLOOKUP($A23,'MultiReg Model'!$A$5:$G$9,3,FALSE)+'MultiRegModel Validation'!R23*VLOOKUP($A23,'MultiReg Model'!$A$5:$G$9,4,FALSE)+'MultiRegModel Validation'!K23*VLOOKUP($A23,'MultiReg Model'!$A$5:$G$9,5,FALSE)+'MultiRegModel Validation'!M23*VLOOKUP($A23,'MultiReg Model'!$A$5:$G$9,6,FALSE)+$L23*VLOOKUP($A23,'MultiReg Model'!$A$5:$G$9,7,FALSE)</f>
        <v>16.453356889437149</v>
      </c>
    </row>
    <row r="24" spans="1:21" x14ac:dyDescent="0.25">
      <c r="A24">
        <v>2</v>
      </c>
      <c r="B24">
        <v>2012</v>
      </c>
      <c r="C24">
        <f>SUMIFS(RefCapacity!$D$2:$D$526,RefCapacity!$A$2:$A$526,'MultiRegModel Validation'!$A24,RefCapacity!$B$2:$B$526,'MultiRegModel Validation'!$B24)</f>
        <v>3757.5</v>
      </c>
      <c r="D24" cm="1">
        <f t="array" ref="D24">INDEX(RefCapacity!$D$2:$D$526,MATCH(1,(RefCapacity!$A$2:$A$526='MultiRegModel Validation'!$A24)*(RefCapacity!$B$2:$B$526='MultiRegModel Validation'!$B24)*(RefCapacity!$C$2:$C$526='MultiRegModel Validation'!D$1),0))</f>
        <v>130.5</v>
      </c>
      <c r="E24" cm="1">
        <f t="array" ref="E24">INDEX(RefCapacity!$D$2:$D$526,MATCH(1,(RefCapacity!$A$2:$A$526='MultiRegModel Validation'!$A24)*(RefCapacity!$B$2:$B$526='MultiRegModel Validation'!$B24)*(RefCapacity!$C$2:$C$526='MultiRegModel Validation'!E$1),0))</f>
        <v>803.75</v>
      </c>
      <c r="F24" cm="1">
        <f t="array" ref="F24">INDEX(RefCapacity!$D$2:$D$526,MATCH(1,(RefCapacity!$A$2:$A$526='MultiRegModel Validation'!$A24)*(RefCapacity!$B$2:$B$526='MultiRegModel Validation'!$B24)*(RefCapacity!$C$2:$C$526='MultiRegModel Validation'!F$1),0))</f>
        <v>0</v>
      </c>
      <c r="G24" cm="1">
        <f t="array" ref="G24">INDEX(RefCapacity!$D$2:$D$526,MATCH(1,(RefCapacity!$A$2:$A$526='MultiRegModel Validation'!$A24)*(RefCapacity!$B$2:$B$526='MultiRegModel Validation'!$B24)*(RefCapacity!$C$2:$C$526='MultiRegModel Validation'!G$1),0))</f>
        <v>314</v>
      </c>
      <c r="H24" cm="1">
        <f t="array" ref="H24">INDEX(RefCapacity!$D$2:$D$526,MATCH(1,(RefCapacity!$A$2:$A$526='MultiRegModel Validation'!$A24)*(RefCapacity!$B$2:$B$526='MultiRegModel Validation'!$B24)*(RefCapacity!$C$2:$C$526='MultiRegModel Validation'!H$1),0))</f>
        <v>1229</v>
      </c>
      <c r="I24" cm="1">
        <f t="array" ref="I24">INDEX(RefCapacity!$D$2:$D$526,MATCH(1,(RefCapacity!$A$2:$A$526='MultiRegModel Validation'!$A24)*(RefCapacity!$B$2:$B$526='MultiRegModel Validation'!$B24)*(RefCapacity!$C$2:$C$526='MultiRegModel Validation'!I$1),0))</f>
        <v>0</v>
      </c>
      <c r="J24" cm="1">
        <f t="array" ref="J24">INDEX(RefCapacity!$D$2:$D$526,MATCH(1,(RefCapacity!$A$2:$A$526='MultiRegModel Validation'!$A24)*(RefCapacity!$B$2:$B$526='MultiRegModel Validation'!$B24)*(RefCapacity!$C$2:$C$526='MultiRegModel Validation'!J$1),0))</f>
        <v>1280.25</v>
      </c>
      <c r="K24">
        <v>0.54712892741061747</v>
      </c>
      <c r="L24">
        <v>7.4756229685807141E-2</v>
      </c>
      <c r="M24">
        <v>0.24192849404117006</v>
      </c>
      <c r="N24">
        <v>7.2264355362946897E-2</v>
      </c>
      <c r="O24">
        <v>1.3001083423618633E-2</v>
      </c>
      <c r="P24">
        <v>5.0920910075839647E-2</v>
      </c>
      <c r="Q24">
        <f t="shared" si="0"/>
        <v>2.2615315718763993</v>
      </c>
      <c r="R24">
        <v>1.37</v>
      </c>
      <c r="S24">
        <v>32.94</v>
      </c>
      <c r="T24" cm="1">
        <f t="array" ref="T24">MMULT($D24:$J24,'Avg CI Index'!$C$2:$C$8)/$C24</f>
        <v>9.5116120773328898</v>
      </c>
      <c r="U24">
        <f>VLOOKUP($A24,'MultiReg Model'!$A$5:$G$9,2,FALSE)+'MultiRegModel Validation'!S24*VLOOKUP($A24,'MultiReg Model'!$A$5:$G$9,3,FALSE)+'MultiRegModel Validation'!R24*VLOOKUP($A24,'MultiReg Model'!$A$5:$G$9,4,FALSE)+'MultiRegModel Validation'!K24*VLOOKUP($A24,'MultiReg Model'!$A$5:$G$9,5,FALSE)+'MultiRegModel Validation'!M24*VLOOKUP($A24,'MultiReg Model'!$A$5:$G$9,6,FALSE)+$L24*VLOOKUP($A24,'MultiReg Model'!$A$5:$G$9,7,FALSE)</f>
        <v>16.611363292076689</v>
      </c>
    </row>
    <row r="25" spans="1:21" x14ac:dyDescent="0.25">
      <c r="A25">
        <v>2</v>
      </c>
      <c r="B25">
        <v>2013</v>
      </c>
      <c r="C25">
        <f>SUMIFS(RefCapacity!$D$2:$D$526,RefCapacity!$A$2:$A$526,'MultiRegModel Validation'!$A25,RefCapacity!$B$2:$B$526,'MultiRegModel Validation'!$B25)</f>
        <v>3738.45</v>
      </c>
      <c r="D25" cm="1">
        <f t="array" ref="D25">INDEX(RefCapacity!$D$2:$D$526,MATCH(1,(RefCapacity!$A$2:$A$526='MultiRegModel Validation'!$A25)*(RefCapacity!$B$2:$B$526='MultiRegModel Validation'!$B25)*(RefCapacity!$C$2:$C$526='MultiRegModel Validation'!D$1),0))</f>
        <v>130.5</v>
      </c>
      <c r="E25" cm="1">
        <f t="array" ref="E25">INDEX(RefCapacity!$D$2:$D$526,MATCH(1,(RefCapacity!$A$2:$A$526='MultiRegModel Validation'!$A25)*(RefCapacity!$B$2:$B$526='MultiRegModel Validation'!$B25)*(RefCapacity!$C$2:$C$526='MultiRegModel Validation'!E$1),0))</f>
        <v>827.25</v>
      </c>
      <c r="F25" cm="1">
        <f t="array" ref="F25">INDEX(RefCapacity!$D$2:$D$526,MATCH(1,(RefCapacity!$A$2:$A$526='MultiRegModel Validation'!$A25)*(RefCapacity!$B$2:$B$526='MultiRegModel Validation'!$B25)*(RefCapacity!$C$2:$C$526='MultiRegModel Validation'!F$1),0))</f>
        <v>0</v>
      </c>
      <c r="G25" cm="1">
        <f t="array" ref="G25">INDEX(RefCapacity!$D$2:$D$526,MATCH(1,(RefCapacity!$A$2:$A$526='MultiRegModel Validation'!$A25)*(RefCapacity!$B$2:$B$526='MultiRegModel Validation'!$B25)*(RefCapacity!$C$2:$C$526='MultiRegModel Validation'!G$1),0))</f>
        <v>331.5</v>
      </c>
      <c r="H25" cm="1">
        <f t="array" ref="H25">INDEX(RefCapacity!$D$2:$D$526,MATCH(1,(RefCapacity!$A$2:$A$526='MultiRegModel Validation'!$A25)*(RefCapacity!$B$2:$B$526='MultiRegModel Validation'!$B25)*(RefCapacity!$C$2:$C$526='MultiRegModel Validation'!H$1),0))</f>
        <v>1232</v>
      </c>
      <c r="I25" cm="1">
        <f t="array" ref="I25">INDEX(RefCapacity!$D$2:$D$526,MATCH(1,(RefCapacity!$A$2:$A$526='MultiRegModel Validation'!$A25)*(RefCapacity!$B$2:$B$526='MultiRegModel Validation'!$B25)*(RefCapacity!$C$2:$C$526='MultiRegModel Validation'!I$1),0))</f>
        <v>0</v>
      </c>
      <c r="J25" cm="1">
        <f t="array" ref="J25">INDEX(RefCapacity!$D$2:$D$526,MATCH(1,(RefCapacity!$A$2:$A$526='MultiRegModel Validation'!$A25)*(RefCapacity!$B$2:$B$526='MultiRegModel Validation'!$B25)*(RefCapacity!$C$2:$C$526='MultiRegModel Validation'!J$1),0))</f>
        <v>1217.2</v>
      </c>
      <c r="K25">
        <v>0.54741379310344818</v>
      </c>
      <c r="L25">
        <v>7.3275862068965497E-2</v>
      </c>
      <c r="M25">
        <v>0.23979525862068959</v>
      </c>
      <c r="N25">
        <v>7.1627155172413776E-2</v>
      </c>
      <c r="O25">
        <v>1.5086206896551721E-2</v>
      </c>
      <c r="P25">
        <v>5.2801724137931029E-2</v>
      </c>
      <c r="Q25">
        <f t="shared" si="0"/>
        <v>2.2828382689974389</v>
      </c>
      <c r="R25">
        <v>1.45</v>
      </c>
      <c r="S25">
        <v>32.950000000000003</v>
      </c>
      <c r="T25" cm="1">
        <f t="array" ref="T25">MMULT($D25:$J25,'Avg CI Index'!$C$2:$C$8)/$C25</f>
        <v>9.4706399675842317</v>
      </c>
      <c r="U25">
        <f>VLOOKUP($A25,'MultiReg Model'!$A$5:$G$9,2,FALSE)+'MultiRegModel Validation'!S25*VLOOKUP($A25,'MultiReg Model'!$A$5:$G$9,3,FALSE)+'MultiRegModel Validation'!R25*VLOOKUP($A25,'MultiReg Model'!$A$5:$G$9,4,FALSE)+'MultiRegModel Validation'!K25*VLOOKUP($A25,'MultiReg Model'!$A$5:$G$9,5,FALSE)+'MultiRegModel Validation'!M25*VLOOKUP($A25,'MultiReg Model'!$A$5:$G$9,6,FALSE)+$L25*VLOOKUP($A25,'MultiReg Model'!$A$5:$G$9,7,FALSE)</f>
        <v>16.953532613167621</v>
      </c>
    </row>
    <row r="26" spans="1:21" x14ac:dyDescent="0.25">
      <c r="A26">
        <v>2</v>
      </c>
      <c r="B26">
        <v>2014</v>
      </c>
      <c r="C26">
        <f>SUMIFS(RefCapacity!$D$2:$D$526,RefCapacity!$A$2:$A$526,'MultiRegModel Validation'!$A26,RefCapacity!$B$2:$B$526,'MultiRegModel Validation'!$B26)</f>
        <v>3772.7</v>
      </c>
      <c r="D26" cm="1">
        <f t="array" ref="D26">INDEX(RefCapacity!$D$2:$D$526,MATCH(1,(RefCapacity!$A$2:$A$526='MultiRegModel Validation'!$A26)*(RefCapacity!$B$2:$B$526='MultiRegModel Validation'!$B26)*(RefCapacity!$C$2:$C$526='MultiRegModel Validation'!D$1),0))</f>
        <v>130.5</v>
      </c>
      <c r="E26" cm="1">
        <f t="array" ref="E26">INDEX(RefCapacity!$D$2:$D$526,MATCH(1,(RefCapacity!$A$2:$A$526='MultiRegModel Validation'!$A26)*(RefCapacity!$B$2:$B$526='MultiRegModel Validation'!$B26)*(RefCapacity!$C$2:$C$526='MultiRegModel Validation'!E$1),0))</f>
        <v>709.25</v>
      </c>
      <c r="F26" cm="1">
        <f t="array" ref="F26">INDEX(RefCapacity!$D$2:$D$526,MATCH(1,(RefCapacity!$A$2:$A$526='MultiRegModel Validation'!$A26)*(RefCapacity!$B$2:$B$526='MultiRegModel Validation'!$B26)*(RefCapacity!$C$2:$C$526='MultiRegModel Validation'!F$1),0))</f>
        <v>0</v>
      </c>
      <c r="G26" cm="1">
        <f t="array" ref="G26">INDEX(RefCapacity!$D$2:$D$526,MATCH(1,(RefCapacity!$A$2:$A$526='MultiRegModel Validation'!$A26)*(RefCapacity!$B$2:$B$526='MultiRegModel Validation'!$B26)*(RefCapacity!$C$2:$C$526='MultiRegModel Validation'!G$1),0))</f>
        <v>331.5</v>
      </c>
      <c r="H26" cm="1">
        <f t="array" ref="H26">INDEX(RefCapacity!$D$2:$D$526,MATCH(1,(RefCapacity!$A$2:$A$526='MultiRegModel Validation'!$A26)*(RefCapacity!$B$2:$B$526='MultiRegModel Validation'!$B26)*(RefCapacity!$C$2:$C$526='MultiRegModel Validation'!H$1),0))</f>
        <v>1375.25</v>
      </c>
      <c r="I26" cm="1">
        <f t="array" ref="I26">INDEX(RefCapacity!$D$2:$D$526,MATCH(1,(RefCapacity!$A$2:$A$526='MultiRegModel Validation'!$A26)*(RefCapacity!$B$2:$B$526='MultiRegModel Validation'!$B26)*(RefCapacity!$C$2:$C$526='MultiRegModel Validation'!I$1),0))</f>
        <v>0</v>
      </c>
      <c r="J26" cm="1">
        <f t="array" ref="J26">INDEX(RefCapacity!$D$2:$D$526,MATCH(1,(RefCapacity!$A$2:$A$526='MultiRegModel Validation'!$A26)*(RefCapacity!$B$2:$B$526='MultiRegModel Validation'!$B26)*(RefCapacity!$C$2:$C$526='MultiRegModel Validation'!J$1),0))</f>
        <v>1226.2</v>
      </c>
      <c r="K26">
        <v>0.54282655246252676</v>
      </c>
      <c r="L26">
        <v>7.173447537473232E-2</v>
      </c>
      <c r="M26">
        <v>0.24402569593147752</v>
      </c>
      <c r="N26">
        <v>7.2890792291220557E-2</v>
      </c>
      <c r="O26">
        <v>1.6059957173447537E-2</v>
      </c>
      <c r="P26">
        <v>5.246252676659529E-2</v>
      </c>
      <c r="Q26">
        <f t="shared" si="0"/>
        <v>2.2244647244647244</v>
      </c>
      <c r="R26">
        <v>1.47</v>
      </c>
      <c r="S26">
        <v>32.72</v>
      </c>
      <c r="T26" cm="1">
        <f t="array" ref="T26">MMULT($D26:$J26,'Avg CI Index'!$C$2:$C$8)/$C26</f>
        <v>9.561583641316826</v>
      </c>
      <c r="U26">
        <f>VLOOKUP($A26,'MultiReg Model'!$A$5:$G$9,2,FALSE)+'MultiRegModel Validation'!S26*VLOOKUP($A26,'MultiReg Model'!$A$5:$G$9,3,FALSE)+'MultiRegModel Validation'!R26*VLOOKUP($A26,'MultiReg Model'!$A$5:$G$9,4,FALSE)+'MultiRegModel Validation'!K26*VLOOKUP($A26,'MultiReg Model'!$A$5:$G$9,5,FALSE)+'MultiRegModel Validation'!M26*VLOOKUP($A26,'MultiReg Model'!$A$5:$G$9,6,FALSE)+$L26*VLOOKUP($A26,'MultiReg Model'!$A$5:$G$9,7,FALSE)</f>
        <v>17.089804385347772</v>
      </c>
    </row>
    <row r="27" spans="1:21" x14ac:dyDescent="0.25">
      <c r="A27">
        <v>2</v>
      </c>
      <c r="B27">
        <v>2015</v>
      </c>
      <c r="C27">
        <f>SUMIFS(RefCapacity!$D$2:$D$526,RefCapacity!$A$2:$A$526,'MultiRegModel Validation'!$A27,RefCapacity!$B$2:$B$526,'MultiRegModel Validation'!$B27)</f>
        <v>3859.6</v>
      </c>
      <c r="D27" cm="1">
        <f t="array" ref="D27">INDEX(RefCapacity!$D$2:$D$526,MATCH(1,(RefCapacity!$A$2:$A$526='MultiRegModel Validation'!$A27)*(RefCapacity!$B$2:$B$526='MultiRegModel Validation'!$B27)*(RefCapacity!$C$2:$C$526='MultiRegModel Validation'!D$1),0))</f>
        <v>150.5</v>
      </c>
      <c r="E27" cm="1">
        <f t="array" ref="E27">INDEX(RefCapacity!$D$2:$D$526,MATCH(1,(RefCapacity!$A$2:$A$526='MultiRegModel Validation'!$A27)*(RefCapacity!$B$2:$B$526='MultiRegModel Validation'!$B27)*(RefCapacity!$C$2:$C$526='MultiRegModel Validation'!E$1),0))</f>
        <v>759.5</v>
      </c>
      <c r="F27" cm="1">
        <f t="array" ref="F27">INDEX(RefCapacity!$D$2:$D$526,MATCH(1,(RefCapacity!$A$2:$A$526='MultiRegModel Validation'!$A27)*(RefCapacity!$B$2:$B$526='MultiRegModel Validation'!$B27)*(RefCapacity!$C$2:$C$526='MultiRegModel Validation'!F$1),0))</f>
        <v>0</v>
      </c>
      <c r="G27" cm="1">
        <f t="array" ref="G27">INDEX(RefCapacity!$D$2:$D$526,MATCH(1,(RefCapacity!$A$2:$A$526='MultiRegModel Validation'!$A27)*(RefCapacity!$B$2:$B$526='MultiRegModel Validation'!$B27)*(RefCapacity!$C$2:$C$526='MultiRegModel Validation'!G$1),0))</f>
        <v>330</v>
      </c>
      <c r="H27" cm="1">
        <f t="array" ref="H27">INDEX(RefCapacity!$D$2:$D$526,MATCH(1,(RefCapacity!$A$2:$A$526='MultiRegModel Validation'!$A27)*(RefCapacity!$B$2:$B$526='MultiRegModel Validation'!$B27)*(RefCapacity!$C$2:$C$526='MultiRegModel Validation'!H$1),0))</f>
        <v>1392.6</v>
      </c>
      <c r="I27" cm="1">
        <f t="array" ref="I27">INDEX(RefCapacity!$D$2:$D$526,MATCH(1,(RefCapacity!$A$2:$A$526='MultiRegModel Validation'!$A27)*(RefCapacity!$B$2:$B$526='MultiRegModel Validation'!$B27)*(RefCapacity!$C$2:$C$526='MultiRegModel Validation'!I$1),0))</f>
        <v>0</v>
      </c>
      <c r="J27" cm="1">
        <f t="array" ref="J27">INDEX(RefCapacity!$D$2:$D$526,MATCH(1,(RefCapacity!$A$2:$A$526='MultiRegModel Validation'!$A27)*(RefCapacity!$B$2:$B$526='MultiRegModel Validation'!$B27)*(RefCapacity!$C$2:$C$526='MultiRegModel Validation'!J$1),0))</f>
        <v>1227</v>
      </c>
      <c r="K27">
        <v>0.55294117647058827</v>
      </c>
      <c r="L27">
        <v>7.3796791443850263E-2</v>
      </c>
      <c r="M27">
        <v>0.2355294117647059</v>
      </c>
      <c r="N27">
        <v>7.035294117647059E-2</v>
      </c>
      <c r="O27">
        <v>1.6042780748663103E-2</v>
      </c>
      <c r="P27">
        <v>5.1336898395721926E-2</v>
      </c>
      <c r="Q27">
        <f t="shared" si="0"/>
        <v>2.3476523476523474</v>
      </c>
      <c r="R27">
        <v>1.46</v>
      </c>
      <c r="S27">
        <v>32.99</v>
      </c>
      <c r="T27" cm="1">
        <f t="array" ref="T27">MMULT($D27:$J27,'Avg CI Index'!$C$2:$C$8)/$C27</f>
        <v>9.4982853160840168</v>
      </c>
      <c r="U27">
        <f>VLOOKUP($A27,'MultiReg Model'!$A$5:$G$9,2,FALSE)+'MultiRegModel Validation'!S27*VLOOKUP($A27,'MultiReg Model'!$A$5:$G$9,3,FALSE)+'MultiRegModel Validation'!R27*VLOOKUP($A27,'MultiReg Model'!$A$5:$G$9,4,FALSE)+'MultiRegModel Validation'!K27*VLOOKUP($A27,'MultiReg Model'!$A$5:$G$9,5,FALSE)+'MultiRegModel Validation'!M27*VLOOKUP($A27,'MultiReg Model'!$A$5:$G$9,6,FALSE)+$L27*VLOOKUP($A27,'MultiReg Model'!$A$5:$G$9,7,FALSE)</f>
        <v>16.970076337344359</v>
      </c>
    </row>
    <row r="28" spans="1:21" x14ac:dyDescent="0.25">
      <c r="A28">
        <v>2</v>
      </c>
      <c r="B28">
        <v>2016</v>
      </c>
      <c r="C28">
        <f>SUMIFS(RefCapacity!$D$2:$D$526,RefCapacity!$A$2:$A$526,'MultiRegModel Validation'!$A28,RefCapacity!$B$2:$B$526,'MultiRegModel Validation'!$B28)</f>
        <v>3946.09</v>
      </c>
      <c r="D28" cm="1">
        <f t="array" ref="D28">INDEX(RefCapacity!$D$2:$D$526,MATCH(1,(RefCapacity!$A$2:$A$526='MultiRegModel Validation'!$A28)*(RefCapacity!$B$2:$B$526='MultiRegModel Validation'!$B28)*(RefCapacity!$C$2:$C$526='MultiRegModel Validation'!D$1),0))</f>
        <v>24.984999999999999</v>
      </c>
      <c r="E28" cm="1">
        <f t="array" ref="E28">INDEX(RefCapacity!$D$2:$D$526,MATCH(1,(RefCapacity!$A$2:$A$526='MultiRegModel Validation'!$A28)*(RefCapacity!$B$2:$B$526='MultiRegModel Validation'!$B28)*(RefCapacity!$C$2:$C$526='MultiRegModel Validation'!E$1),0))</f>
        <v>604.64</v>
      </c>
      <c r="F28" cm="1">
        <f t="array" ref="F28">INDEX(RefCapacity!$D$2:$D$526,MATCH(1,(RefCapacity!$A$2:$A$526='MultiRegModel Validation'!$A28)*(RefCapacity!$B$2:$B$526='MultiRegModel Validation'!$B28)*(RefCapacity!$C$2:$C$526='MultiRegModel Validation'!F$1),0))</f>
        <v>0</v>
      </c>
      <c r="G28" cm="1">
        <f t="array" ref="G28">INDEX(RefCapacity!$D$2:$D$526,MATCH(1,(RefCapacity!$A$2:$A$526='MultiRegModel Validation'!$A28)*(RefCapacity!$B$2:$B$526='MultiRegModel Validation'!$B28)*(RefCapacity!$C$2:$C$526='MultiRegModel Validation'!G$1),0))</f>
        <v>342</v>
      </c>
      <c r="H28" cm="1">
        <f t="array" ref="H28">INDEX(RefCapacity!$D$2:$D$526,MATCH(1,(RefCapacity!$A$2:$A$526='MultiRegModel Validation'!$A28)*(RefCapacity!$B$2:$B$526='MultiRegModel Validation'!$B28)*(RefCapacity!$C$2:$C$526='MultiRegModel Validation'!H$1),0))</f>
        <v>1397.575</v>
      </c>
      <c r="I28" cm="1">
        <f t="array" ref="I28">INDEX(RefCapacity!$D$2:$D$526,MATCH(1,(RefCapacity!$A$2:$A$526='MultiRegModel Validation'!$A28)*(RefCapacity!$B$2:$B$526='MultiRegModel Validation'!$B28)*(RefCapacity!$C$2:$C$526='MultiRegModel Validation'!I$1),0))</f>
        <v>0</v>
      </c>
      <c r="J28" cm="1">
        <f t="array" ref="J28">INDEX(RefCapacity!$D$2:$D$526,MATCH(1,(RefCapacity!$A$2:$A$526='MultiRegModel Validation'!$A28)*(RefCapacity!$B$2:$B$526='MultiRegModel Validation'!$B28)*(RefCapacity!$C$2:$C$526='MultiRegModel Validation'!J$1),0))</f>
        <v>1576.89</v>
      </c>
      <c r="K28">
        <v>0.55863539445628985</v>
      </c>
      <c r="L28">
        <v>7.4626865671641771E-2</v>
      </c>
      <c r="M28">
        <v>0.22820895522388057</v>
      </c>
      <c r="N28">
        <v>6.8166311300639659E-2</v>
      </c>
      <c r="O28">
        <v>1.4925373134328356E-2</v>
      </c>
      <c r="P28">
        <v>5.5437100213219612E-2</v>
      </c>
      <c r="Q28">
        <f t="shared" si="0"/>
        <v>2.4479118004297855</v>
      </c>
      <c r="R28">
        <v>1.56</v>
      </c>
      <c r="S28">
        <v>32.5</v>
      </c>
      <c r="T28" cm="1">
        <f t="array" ref="T28">MMULT($D28:$J28,'Avg CI Index'!$C$2:$C$8)/$C28</f>
        <v>9.9503530957674435</v>
      </c>
      <c r="U28">
        <f>VLOOKUP($A28,'MultiReg Model'!$A$5:$G$9,2,FALSE)+'MultiRegModel Validation'!S28*VLOOKUP($A28,'MultiReg Model'!$A$5:$G$9,3,FALSE)+'MultiRegModel Validation'!R28*VLOOKUP($A28,'MultiReg Model'!$A$5:$G$9,4,FALSE)+'MultiRegModel Validation'!K28*VLOOKUP($A28,'MultiReg Model'!$A$5:$G$9,5,FALSE)+'MultiRegModel Validation'!M28*VLOOKUP($A28,'MultiReg Model'!$A$5:$G$9,6,FALSE)+$L28*VLOOKUP($A28,'MultiReg Model'!$A$5:$G$9,7,FALSE)</f>
        <v>17.396693806775275</v>
      </c>
    </row>
    <row r="29" spans="1:21" x14ac:dyDescent="0.25">
      <c r="A29">
        <v>2</v>
      </c>
      <c r="B29">
        <v>2017</v>
      </c>
      <c r="C29">
        <f>SUMIFS(RefCapacity!$D$2:$D$526,RefCapacity!$A$2:$A$526,'MultiRegModel Validation'!$A29,RefCapacity!$B$2:$B$526,'MultiRegModel Validation'!$B29)</f>
        <v>4004.04</v>
      </c>
      <c r="D29" cm="1">
        <f t="array" ref="D29">INDEX(RefCapacity!$D$2:$D$526,MATCH(1,(RefCapacity!$A$2:$A$526='MultiRegModel Validation'!$A29)*(RefCapacity!$B$2:$B$526='MultiRegModel Validation'!$B29)*(RefCapacity!$C$2:$C$526='MultiRegModel Validation'!D$1),0))</f>
        <v>24.984999999999999</v>
      </c>
      <c r="E29" cm="1">
        <f t="array" ref="E29">INDEX(RefCapacity!$D$2:$D$526,MATCH(1,(RefCapacity!$A$2:$A$526='MultiRegModel Validation'!$A29)*(RefCapacity!$B$2:$B$526='MultiRegModel Validation'!$B29)*(RefCapacity!$C$2:$C$526='MultiRegModel Validation'!E$1),0))</f>
        <v>608.44000000000005</v>
      </c>
      <c r="F29" cm="1">
        <f t="array" ref="F29">INDEX(RefCapacity!$D$2:$D$526,MATCH(1,(RefCapacity!$A$2:$A$526='MultiRegModel Validation'!$A29)*(RefCapacity!$B$2:$B$526='MultiRegModel Validation'!$B29)*(RefCapacity!$C$2:$C$526='MultiRegModel Validation'!F$1),0))</f>
        <v>0</v>
      </c>
      <c r="G29" cm="1">
        <f t="array" ref="G29">INDEX(RefCapacity!$D$2:$D$526,MATCH(1,(RefCapacity!$A$2:$A$526='MultiRegModel Validation'!$A29)*(RefCapacity!$B$2:$B$526='MultiRegModel Validation'!$B29)*(RefCapacity!$C$2:$C$526='MultiRegModel Validation'!G$1),0))</f>
        <v>518.70000000000005</v>
      </c>
      <c r="H29" cm="1">
        <f t="array" ref="H29">INDEX(RefCapacity!$D$2:$D$526,MATCH(1,(RefCapacity!$A$2:$A$526='MultiRegModel Validation'!$A29)*(RefCapacity!$B$2:$B$526='MultiRegModel Validation'!$B29)*(RefCapacity!$C$2:$C$526='MultiRegModel Validation'!H$1),0))</f>
        <v>1576.365</v>
      </c>
      <c r="I29" cm="1">
        <f t="array" ref="I29">INDEX(RefCapacity!$D$2:$D$526,MATCH(1,(RefCapacity!$A$2:$A$526='MultiRegModel Validation'!$A29)*(RefCapacity!$B$2:$B$526='MultiRegModel Validation'!$B29)*(RefCapacity!$C$2:$C$526='MultiRegModel Validation'!I$1),0))</f>
        <v>0</v>
      </c>
      <c r="J29" cm="1">
        <f t="array" ref="J29">INDEX(RefCapacity!$D$2:$D$526,MATCH(1,(RefCapacity!$A$2:$A$526='MultiRegModel Validation'!$A29)*(RefCapacity!$B$2:$B$526='MultiRegModel Validation'!$B29)*(RefCapacity!$C$2:$C$526='MultiRegModel Validation'!J$1),0))</f>
        <v>1275.55</v>
      </c>
      <c r="K29">
        <v>0.55472901168969191</v>
      </c>
      <c r="L29">
        <v>7.3326248671625932E-2</v>
      </c>
      <c r="M29">
        <v>0.23402763018065889</v>
      </c>
      <c r="N29">
        <v>6.9904357066950057E-2</v>
      </c>
      <c r="O29">
        <v>1.381509032943677E-2</v>
      </c>
      <c r="P29">
        <v>5.4197662061636558E-2</v>
      </c>
      <c r="Q29">
        <f t="shared" si="0"/>
        <v>2.3703569158114615</v>
      </c>
      <c r="R29">
        <v>1.48</v>
      </c>
      <c r="S29">
        <v>32.75</v>
      </c>
      <c r="T29" cm="1">
        <f t="array" ref="T29">MMULT($D29:$J29,'Avg CI Index'!$C$2:$C$8)/$C29</f>
        <v>9.8423961122591024</v>
      </c>
      <c r="U29">
        <f>VLOOKUP($A29,'MultiReg Model'!$A$5:$G$9,2,FALSE)+'MultiRegModel Validation'!S29*VLOOKUP($A29,'MultiReg Model'!$A$5:$G$9,3,FALSE)+'MultiRegModel Validation'!R29*VLOOKUP($A29,'MultiReg Model'!$A$5:$G$9,4,FALSE)+'MultiRegModel Validation'!K29*VLOOKUP($A29,'MultiReg Model'!$A$5:$G$9,5,FALSE)+'MultiRegModel Validation'!M29*VLOOKUP($A29,'MultiReg Model'!$A$5:$G$9,6,FALSE)+$L29*VLOOKUP($A29,'MultiReg Model'!$A$5:$G$9,7,FALSE)</f>
        <v>17.066482124874156</v>
      </c>
    </row>
    <row r="30" spans="1:21" x14ac:dyDescent="0.25">
      <c r="A30">
        <v>2</v>
      </c>
      <c r="B30">
        <v>2018</v>
      </c>
      <c r="C30">
        <f>SUMIFS(RefCapacity!$D$2:$D$526,RefCapacity!$A$2:$A$526,'MultiRegModel Validation'!$A30,RefCapacity!$B$2:$B$526,'MultiRegModel Validation'!$B30)</f>
        <v>4030.6867472527474</v>
      </c>
      <c r="D30" cm="1">
        <f t="array" ref="D30">INDEX(RefCapacity!$D$2:$D$526,MATCH(1,(RefCapacity!$A$2:$A$526='MultiRegModel Validation'!$A30)*(RefCapacity!$B$2:$B$526='MultiRegModel Validation'!$B30)*(RefCapacity!$C$2:$C$526='MultiRegModel Validation'!D$1),0))</f>
        <v>24.984999999999999</v>
      </c>
      <c r="E30" cm="1">
        <f t="array" ref="E30">INDEX(RefCapacity!$D$2:$D$526,MATCH(1,(RefCapacity!$A$2:$A$526='MultiRegModel Validation'!$A30)*(RefCapacity!$B$2:$B$526='MultiRegModel Validation'!$B30)*(RefCapacity!$C$2:$C$526='MultiRegModel Validation'!E$1),0))</f>
        <v>614.08674725274716</v>
      </c>
      <c r="F30" cm="1">
        <f t="array" ref="F30">INDEX(RefCapacity!$D$2:$D$526,MATCH(1,(RefCapacity!$A$2:$A$526='MultiRegModel Validation'!$A30)*(RefCapacity!$B$2:$B$526='MultiRegModel Validation'!$B30)*(RefCapacity!$C$2:$C$526='MultiRegModel Validation'!F$1),0))</f>
        <v>0</v>
      </c>
      <c r="G30" cm="1">
        <f t="array" ref="G30">INDEX(RefCapacity!$D$2:$D$526,MATCH(1,(RefCapacity!$A$2:$A$526='MultiRegModel Validation'!$A30)*(RefCapacity!$B$2:$B$526='MultiRegModel Validation'!$B30)*(RefCapacity!$C$2:$C$526='MultiRegModel Validation'!G$1),0))</f>
        <v>518.70000000000005</v>
      </c>
      <c r="H30" cm="1">
        <f t="array" ref="H30">INDEX(RefCapacity!$D$2:$D$526,MATCH(1,(RefCapacity!$A$2:$A$526='MultiRegModel Validation'!$A30)*(RefCapacity!$B$2:$B$526='MultiRegModel Validation'!$B30)*(RefCapacity!$C$2:$C$526='MultiRegModel Validation'!H$1),0))</f>
        <v>1583.365</v>
      </c>
      <c r="I30" cm="1">
        <f t="array" ref="I30">INDEX(RefCapacity!$D$2:$D$526,MATCH(1,(RefCapacity!$A$2:$A$526='MultiRegModel Validation'!$A30)*(RefCapacity!$B$2:$B$526='MultiRegModel Validation'!$B30)*(RefCapacity!$C$2:$C$526='MultiRegModel Validation'!I$1),0))</f>
        <v>0</v>
      </c>
      <c r="J30" cm="1">
        <f t="array" ref="J30">INDEX(RefCapacity!$D$2:$D$526,MATCH(1,(RefCapacity!$A$2:$A$526='MultiRegModel Validation'!$A30)*(RefCapacity!$B$2:$B$526='MultiRegModel Validation'!$B30)*(RefCapacity!$C$2:$C$526='MultiRegModel Validation'!J$1),0))</f>
        <v>1289.55</v>
      </c>
      <c r="K30">
        <v>0.54989384288747345</v>
      </c>
      <c r="L30">
        <v>7.4309978768577492E-2</v>
      </c>
      <c r="M30">
        <v>0.23868365180467091</v>
      </c>
      <c r="N30">
        <v>7.1295116772823769E-2</v>
      </c>
      <c r="O30">
        <v>1.3800424628450107E-2</v>
      </c>
      <c r="P30">
        <v>5.2016985138004249E-2</v>
      </c>
      <c r="Q30">
        <f t="shared" si="0"/>
        <v>2.3038605230386051</v>
      </c>
      <c r="R30">
        <v>1.45</v>
      </c>
      <c r="S30">
        <v>33.04</v>
      </c>
      <c r="T30" cm="1">
        <f t="array" ref="T30">MMULT($D30:$J30,'Avg CI Index'!$C$2:$C$8)/$C30</f>
        <v>9.8435693666462782</v>
      </c>
      <c r="U30">
        <f>VLOOKUP($A30,'MultiReg Model'!$A$5:$G$9,2,FALSE)+'MultiRegModel Validation'!S30*VLOOKUP($A30,'MultiReg Model'!$A$5:$G$9,3,FALSE)+'MultiRegModel Validation'!R30*VLOOKUP($A30,'MultiReg Model'!$A$5:$G$9,4,FALSE)+'MultiRegModel Validation'!K30*VLOOKUP($A30,'MultiReg Model'!$A$5:$G$9,5,FALSE)+'MultiRegModel Validation'!M30*VLOOKUP($A30,'MultiReg Model'!$A$5:$G$9,6,FALSE)+$L30*VLOOKUP($A30,'MultiReg Model'!$A$5:$G$9,7,FALSE)</f>
        <v>16.94537591211683</v>
      </c>
    </row>
    <row r="31" spans="1:21" x14ac:dyDescent="0.25">
      <c r="A31">
        <v>2</v>
      </c>
      <c r="B31">
        <v>2019</v>
      </c>
      <c r="C31">
        <f>SUMIFS(RefCapacity!$D$2:$D$526,RefCapacity!$A$2:$A$526,'MultiRegModel Validation'!$A31,RefCapacity!$B$2:$B$526,'MultiRegModel Validation'!$B31)</f>
        <v>4071.6067472527475</v>
      </c>
      <c r="D31" cm="1">
        <f t="array" ref="D31">INDEX(RefCapacity!$D$2:$D$526,MATCH(1,(RefCapacity!$A$2:$A$526='MultiRegModel Validation'!$A31)*(RefCapacity!$B$2:$B$526='MultiRegModel Validation'!$B31)*(RefCapacity!$C$2:$C$526='MultiRegModel Validation'!D$1),0))</f>
        <v>24.984999999999999</v>
      </c>
      <c r="E31" cm="1">
        <f t="array" ref="E31">INDEX(RefCapacity!$D$2:$D$526,MATCH(1,(RefCapacity!$A$2:$A$526='MultiRegModel Validation'!$A31)*(RefCapacity!$B$2:$B$526='MultiRegModel Validation'!$B31)*(RefCapacity!$C$2:$C$526='MultiRegModel Validation'!E$1),0))</f>
        <v>615.50674725274723</v>
      </c>
      <c r="F31" cm="1">
        <f t="array" ref="F31">INDEX(RefCapacity!$D$2:$D$526,MATCH(1,(RefCapacity!$A$2:$A$526='MultiRegModel Validation'!$A31)*(RefCapacity!$B$2:$B$526='MultiRegModel Validation'!$B31)*(RefCapacity!$C$2:$C$526='MultiRegModel Validation'!F$1),0))</f>
        <v>0</v>
      </c>
      <c r="G31" cm="1">
        <f t="array" ref="G31">INDEX(RefCapacity!$D$2:$D$526,MATCH(1,(RefCapacity!$A$2:$A$526='MultiRegModel Validation'!$A31)*(RefCapacity!$B$2:$B$526='MultiRegModel Validation'!$B31)*(RefCapacity!$C$2:$C$526='MultiRegModel Validation'!G$1),0))</f>
        <v>518.70000000000005</v>
      </c>
      <c r="H31" cm="1">
        <f t="array" ref="H31">INDEX(RefCapacity!$D$2:$D$526,MATCH(1,(RefCapacity!$A$2:$A$526='MultiRegModel Validation'!$A31)*(RefCapacity!$B$2:$B$526='MultiRegModel Validation'!$B31)*(RefCapacity!$C$2:$C$526='MultiRegModel Validation'!H$1),0))</f>
        <v>1603.865</v>
      </c>
      <c r="I31" cm="1">
        <f t="array" ref="I31">INDEX(RefCapacity!$D$2:$D$526,MATCH(1,(RefCapacity!$A$2:$A$526='MultiRegModel Validation'!$A31)*(RefCapacity!$B$2:$B$526='MultiRegModel Validation'!$B31)*(RefCapacity!$C$2:$C$526='MultiRegModel Validation'!I$1),0))</f>
        <v>0</v>
      </c>
      <c r="J31" cm="1">
        <f t="array" ref="J31">INDEX(RefCapacity!$D$2:$D$526,MATCH(1,(RefCapacity!$A$2:$A$526='MultiRegModel Validation'!$A31)*(RefCapacity!$B$2:$B$526='MultiRegModel Validation'!$B31)*(RefCapacity!$C$2:$C$526='MultiRegModel Validation'!J$1),0))</f>
        <v>1308.55</v>
      </c>
      <c r="K31">
        <v>0.54670912951167727</v>
      </c>
      <c r="L31">
        <v>7.749469214437367E-2</v>
      </c>
      <c r="M31">
        <v>0.24113588110403397</v>
      </c>
      <c r="N31">
        <v>7.2027600849256884E-2</v>
      </c>
      <c r="O31">
        <v>1.2738853503184712E-2</v>
      </c>
      <c r="P31">
        <v>4.9893842887473464E-2</v>
      </c>
      <c r="Q31">
        <f t="shared" si="0"/>
        <v>2.2672243011226061</v>
      </c>
      <c r="R31">
        <v>1.35</v>
      </c>
      <c r="S31">
        <v>33.78</v>
      </c>
      <c r="T31" cm="1">
        <f t="array" ref="T31">MMULT($D31:$J31,'Avg CI Index'!$C$2:$C$8)/$C31</f>
        <v>9.8493657583241934</v>
      </c>
      <c r="U31">
        <f>VLOOKUP($A31,'MultiReg Model'!$A$5:$G$9,2,FALSE)+'MultiRegModel Validation'!S31*VLOOKUP($A31,'MultiReg Model'!$A$5:$G$9,3,FALSE)+'MultiRegModel Validation'!R31*VLOOKUP($A31,'MultiReg Model'!$A$5:$G$9,4,FALSE)+'MultiRegModel Validation'!K31*VLOOKUP($A31,'MultiReg Model'!$A$5:$G$9,5,FALSE)+'MultiRegModel Validation'!M31*VLOOKUP($A31,'MultiReg Model'!$A$5:$G$9,6,FALSE)+$L31*VLOOKUP($A31,'MultiReg Model'!$A$5:$G$9,7,FALSE)</f>
        <v>16.456639855529438</v>
      </c>
    </row>
    <row r="32" spans="1:21" x14ac:dyDescent="0.25">
      <c r="A32">
        <v>3</v>
      </c>
      <c r="B32">
        <v>2005</v>
      </c>
      <c r="C32">
        <f>SUMIFS(RefCapacity!$D$2:$D$526,RefCapacity!$A$2:$A$526,'MultiRegModel Validation'!$A32,RefCapacity!$B$2:$B$526,'MultiRegModel Validation'!$B32)</f>
        <v>8052.9650000000001</v>
      </c>
      <c r="D32" cm="1">
        <f t="array" ref="D32">INDEX(RefCapacity!$D$2:$D$526,MATCH(1,(RefCapacity!$A$2:$A$526='MultiRegModel Validation'!$A32)*(RefCapacity!$B$2:$B$526='MultiRegModel Validation'!$B32)*(RefCapacity!$C$2:$C$526='MultiRegModel Validation'!D$1),0))</f>
        <v>139.18</v>
      </c>
      <c r="E32" cm="1">
        <f t="array" ref="E32">INDEX(RefCapacity!$D$2:$D$526,MATCH(1,(RefCapacity!$A$2:$A$526='MultiRegModel Validation'!$A32)*(RefCapacity!$B$2:$B$526='MultiRegModel Validation'!$B32)*(RefCapacity!$C$2:$C$526='MultiRegModel Validation'!E$1),0))</f>
        <v>1060.175</v>
      </c>
      <c r="F32" cm="1">
        <f t="array" ref="F32">INDEX(RefCapacity!$D$2:$D$526,MATCH(1,(RefCapacity!$A$2:$A$526='MultiRegModel Validation'!$A32)*(RefCapacity!$B$2:$B$526='MultiRegModel Validation'!$B32)*(RefCapacity!$C$2:$C$526='MultiRegModel Validation'!F$1),0))</f>
        <v>109.5</v>
      </c>
      <c r="G32" cm="1">
        <f t="array" ref="G32">INDEX(RefCapacity!$D$2:$D$526,MATCH(1,(RefCapacity!$A$2:$A$526='MultiRegModel Validation'!$A32)*(RefCapacity!$B$2:$B$526='MultiRegModel Validation'!$B32)*(RefCapacity!$C$2:$C$526='MultiRegModel Validation'!G$1),0))</f>
        <v>496</v>
      </c>
      <c r="H32" cm="1">
        <f t="array" ref="H32">INDEX(RefCapacity!$D$2:$D$526,MATCH(1,(RefCapacity!$A$2:$A$526='MultiRegModel Validation'!$A32)*(RefCapacity!$B$2:$B$526='MultiRegModel Validation'!$B32)*(RefCapacity!$C$2:$C$526='MultiRegModel Validation'!H$1),0))</f>
        <v>1733.5250000000001</v>
      </c>
      <c r="I32" cm="1">
        <f t="array" ref="I32">INDEX(RefCapacity!$D$2:$D$526,MATCH(1,(RefCapacity!$A$2:$A$526='MultiRegModel Validation'!$A32)*(RefCapacity!$B$2:$B$526='MultiRegModel Validation'!$B32)*(RefCapacity!$C$2:$C$526='MultiRegModel Validation'!I$1),0))</f>
        <v>0</v>
      </c>
      <c r="J32" cm="1">
        <f t="array" ref="J32">INDEX(RefCapacity!$D$2:$D$526,MATCH(1,(RefCapacity!$A$2:$A$526='MultiRegModel Validation'!$A32)*(RefCapacity!$B$2:$B$526='MultiRegModel Validation'!$B32)*(RefCapacity!$C$2:$C$526='MultiRegModel Validation'!J$1),0))</f>
        <v>4514.585</v>
      </c>
      <c r="K32">
        <v>0.49158249158249157</v>
      </c>
      <c r="L32">
        <v>0.122334455667789</v>
      </c>
      <c r="M32">
        <v>0.21172839506172841</v>
      </c>
      <c r="N32">
        <v>6.3243546576879917E-2</v>
      </c>
      <c r="O32">
        <v>4.3771043771043773E-2</v>
      </c>
      <c r="P32">
        <v>6.7340067340067339E-2</v>
      </c>
      <c r="Q32">
        <f t="shared" si="0"/>
        <v>2.3217598727802806</v>
      </c>
      <c r="R32">
        <v>1.64</v>
      </c>
      <c r="S32">
        <v>29.66</v>
      </c>
      <c r="T32" cm="1">
        <f t="array" ref="T32">MMULT($D32:$J32,'Avg CI Index'!$C$2:$C$8)/$C32</f>
        <v>10.080220251346896</v>
      </c>
      <c r="U32">
        <f>VLOOKUP($A32,'MultiReg Model'!$A$5:$G$9,2,FALSE)+'MultiRegModel Validation'!S32*VLOOKUP($A32,'MultiReg Model'!$A$5:$G$9,3,FALSE)+'MultiRegModel Validation'!R32*VLOOKUP($A32,'MultiReg Model'!$A$5:$G$9,4,FALSE)+'MultiRegModel Validation'!K32*VLOOKUP($A32,'MultiReg Model'!$A$5:$G$9,5,FALSE)+'MultiRegModel Validation'!M32*VLOOKUP($A32,'MultiReg Model'!$A$5:$G$9,6,FALSE)+$L32*VLOOKUP($A32,'MultiReg Model'!$A$5:$G$9,7,FALSE)</f>
        <v>14.32077270588846</v>
      </c>
    </row>
    <row r="33" spans="1:21" x14ac:dyDescent="0.25">
      <c r="A33">
        <v>3</v>
      </c>
      <c r="B33">
        <v>2006</v>
      </c>
      <c r="C33">
        <f>SUMIFS(RefCapacity!$D$2:$D$526,RefCapacity!$A$2:$A$526,'MultiRegModel Validation'!$A33,RefCapacity!$B$2:$B$526,'MultiRegModel Validation'!$B33)</f>
        <v>8322.8670000000002</v>
      </c>
      <c r="D33" cm="1">
        <f t="array" ref="D33">INDEX(RefCapacity!$D$2:$D$526,MATCH(1,(RefCapacity!$A$2:$A$526='MultiRegModel Validation'!$A33)*(RefCapacity!$B$2:$B$526='MultiRegModel Validation'!$B33)*(RefCapacity!$C$2:$C$526='MultiRegModel Validation'!D$1),0))</f>
        <v>142.18</v>
      </c>
      <c r="E33" cm="1">
        <f t="array" ref="E33">INDEX(RefCapacity!$D$2:$D$526,MATCH(1,(RefCapacity!$A$2:$A$526='MultiRegModel Validation'!$A33)*(RefCapacity!$B$2:$B$526='MultiRegModel Validation'!$B33)*(RefCapacity!$C$2:$C$526='MultiRegModel Validation'!E$1),0))</f>
        <v>1136.952</v>
      </c>
      <c r="F33" cm="1">
        <f t="array" ref="F33">INDEX(RefCapacity!$D$2:$D$526,MATCH(1,(RefCapacity!$A$2:$A$526='MultiRegModel Validation'!$A33)*(RefCapacity!$B$2:$B$526='MultiRegModel Validation'!$B33)*(RefCapacity!$C$2:$C$526='MultiRegModel Validation'!F$1),0))</f>
        <v>129.5</v>
      </c>
      <c r="G33" cm="1">
        <f t="array" ref="G33">INDEX(RefCapacity!$D$2:$D$526,MATCH(1,(RefCapacity!$A$2:$A$526='MultiRegModel Validation'!$A33)*(RefCapacity!$B$2:$B$526='MultiRegModel Validation'!$B33)*(RefCapacity!$C$2:$C$526='MultiRegModel Validation'!G$1),0))</f>
        <v>497.66</v>
      </c>
      <c r="H33" cm="1">
        <f t="array" ref="H33">INDEX(RefCapacity!$D$2:$D$526,MATCH(1,(RefCapacity!$A$2:$A$526='MultiRegModel Validation'!$A33)*(RefCapacity!$B$2:$B$526='MultiRegModel Validation'!$B33)*(RefCapacity!$C$2:$C$526='MultiRegModel Validation'!H$1),0))</f>
        <v>2077.5749999999998</v>
      </c>
      <c r="I33" cm="1">
        <f t="array" ref="I33">INDEX(RefCapacity!$D$2:$D$526,MATCH(1,(RefCapacity!$A$2:$A$526='MultiRegModel Validation'!$A33)*(RefCapacity!$B$2:$B$526='MultiRegModel Validation'!$B33)*(RefCapacity!$C$2:$C$526='MultiRegModel Validation'!I$1),0))</f>
        <v>0</v>
      </c>
      <c r="J33" cm="1">
        <f t="array" ref="J33">INDEX(RefCapacity!$D$2:$D$526,MATCH(1,(RefCapacity!$A$2:$A$526='MultiRegModel Validation'!$A33)*(RefCapacity!$B$2:$B$526='MultiRegModel Validation'!$B33)*(RefCapacity!$C$2:$C$526='MultiRegModel Validation'!J$1),0))</f>
        <v>4339</v>
      </c>
      <c r="K33">
        <v>0.4887640449438202</v>
      </c>
      <c r="L33">
        <v>0.11573033707865167</v>
      </c>
      <c r="M33">
        <v>0.21802247191011237</v>
      </c>
      <c r="N33">
        <v>6.5123595505617971E-2</v>
      </c>
      <c r="O33">
        <v>4.2696629213483141E-2</v>
      </c>
      <c r="P33">
        <v>6.9662921348314602E-2</v>
      </c>
      <c r="Q33">
        <f t="shared" si="0"/>
        <v>2.2418058132343845</v>
      </c>
      <c r="R33">
        <v>1.64</v>
      </c>
      <c r="S33">
        <v>30.09</v>
      </c>
      <c r="T33" cm="1">
        <f t="array" ref="T33">MMULT($D33:$J33,'Avg CI Index'!$C$2:$C$8)/$C33</f>
        <v>10.014270514569308</v>
      </c>
      <c r="U33">
        <f>VLOOKUP($A33,'MultiReg Model'!$A$5:$G$9,2,FALSE)+'MultiRegModel Validation'!S33*VLOOKUP($A33,'MultiReg Model'!$A$5:$G$9,3,FALSE)+'MultiRegModel Validation'!R33*VLOOKUP($A33,'MultiReg Model'!$A$5:$G$9,4,FALSE)+'MultiRegModel Validation'!K33*VLOOKUP($A33,'MultiReg Model'!$A$5:$G$9,5,FALSE)+'MultiRegModel Validation'!M33*VLOOKUP($A33,'MultiReg Model'!$A$5:$G$9,6,FALSE)+$L33*VLOOKUP($A33,'MultiReg Model'!$A$5:$G$9,7,FALSE)</f>
        <v>14.27766635226641</v>
      </c>
    </row>
    <row r="34" spans="1:21" x14ac:dyDescent="0.25">
      <c r="A34">
        <v>3</v>
      </c>
      <c r="B34">
        <v>2007</v>
      </c>
      <c r="C34">
        <f>SUMIFS(RefCapacity!$D$2:$D$526,RefCapacity!$A$2:$A$526,'MultiRegModel Validation'!$A34,RefCapacity!$B$2:$B$526,'MultiRegModel Validation'!$B34)</f>
        <v>8389.5619999999999</v>
      </c>
      <c r="D34" cm="1">
        <f t="array" ref="D34">INDEX(RefCapacity!$D$2:$D$526,MATCH(1,(RefCapacity!$A$2:$A$526='MultiRegModel Validation'!$A34)*(RefCapacity!$B$2:$B$526='MultiRegModel Validation'!$B34)*(RefCapacity!$C$2:$C$526='MultiRegModel Validation'!D$1),0))</f>
        <v>158.5</v>
      </c>
      <c r="E34" cm="1">
        <f t="array" ref="E34">INDEX(RefCapacity!$D$2:$D$526,MATCH(1,(RefCapacity!$A$2:$A$526='MultiRegModel Validation'!$A34)*(RefCapacity!$B$2:$B$526='MultiRegModel Validation'!$B34)*(RefCapacity!$C$2:$C$526='MultiRegModel Validation'!E$1),0))</f>
        <v>1164.0519999999999</v>
      </c>
      <c r="F34" cm="1">
        <f t="array" ref="F34">INDEX(RefCapacity!$D$2:$D$526,MATCH(1,(RefCapacity!$A$2:$A$526='MultiRegModel Validation'!$A34)*(RefCapacity!$B$2:$B$526='MultiRegModel Validation'!$B34)*(RefCapacity!$C$2:$C$526='MultiRegModel Validation'!F$1),0))</f>
        <v>129.5</v>
      </c>
      <c r="G34" cm="1">
        <f t="array" ref="G34">INDEX(RefCapacity!$D$2:$D$526,MATCH(1,(RefCapacity!$A$2:$A$526='MultiRegModel Validation'!$A34)*(RefCapacity!$B$2:$B$526='MultiRegModel Validation'!$B34)*(RefCapacity!$C$2:$C$526='MultiRegModel Validation'!G$1),0))</f>
        <v>497.66</v>
      </c>
      <c r="H34" cm="1">
        <f t="array" ref="H34">INDEX(RefCapacity!$D$2:$D$526,MATCH(1,(RefCapacity!$A$2:$A$526='MultiRegModel Validation'!$A34)*(RefCapacity!$B$2:$B$526='MultiRegModel Validation'!$B34)*(RefCapacity!$C$2:$C$526='MultiRegModel Validation'!H$1),0))</f>
        <v>2091.35</v>
      </c>
      <c r="I34" cm="1">
        <f t="array" ref="I34">INDEX(RefCapacity!$D$2:$D$526,MATCH(1,(RefCapacity!$A$2:$A$526='MultiRegModel Validation'!$A34)*(RefCapacity!$B$2:$B$526='MultiRegModel Validation'!$B34)*(RefCapacity!$C$2:$C$526='MultiRegModel Validation'!I$1),0))</f>
        <v>0</v>
      </c>
      <c r="J34" cm="1">
        <f t="array" ref="J34">INDEX(RefCapacity!$D$2:$D$526,MATCH(1,(RefCapacity!$A$2:$A$526='MultiRegModel Validation'!$A34)*(RefCapacity!$B$2:$B$526='MultiRegModel Validation'!$B34)*(RefCapacity!$C$2:$C$526='MultiRegModel Validation'!J$1),0))</f>
        <v>4348.5</v>
      </c>
      <c r="K34">
        <v>0.48484848484848492</v>
      </c>
      <c r="L34">
        <v>0.10998877665544333</v>
      </c>
      <c r="M34">
        <v>0.22469135802469137</v>
      </c>
      <c r="N34">
        <v>6.7115600448933777E-2</v>
      </c>
      <c r="O34">
        <v>4.6015712682379348E-2</v>
      </c>
      <c r="P34">
        <v>6.7340067340067339E-2</v>
      </c>
      <c r="Q34">
        <f t="shared" si="0"/>
        <v>2.157842157842158</v>
      </c>
      <c r="R34">
        <v>1.65</v>
      </c>
      <c r="S34">
        <v>29.85</v>
      </c>
      <c r="T34" cm="1">
        <f t="array" ref="T34">MMULT($D34:$J34,'Avg CI Index'!$C$2:$C$8)/$C34</f>
        <v>9.9923715534326423</v>
      </c>
      <c r="U34">
        <f>VLOOKUP($A34,'MultiReg Model'!$A$5:$G$9,2,FALSE)+'MultiRegModel Validation'!S34*VLOOKUP($A34,'MultiReg Model'!$A$5:$G$9,3,FALSE)+'MultiRegModel Validation'!R34*VLOOKUP($A34,'MultiReg Model'!$A$5:$G$9,4,FALSE)+'MultiRegModel Validation'!K34*VLOOKUP($A34,'MultiReg Model'!$A$5:$G$9,5,FALSE)+'MultiRegModel Validation'!M34*VLOOKUP($A34,'MultiReg Model'!$A$5:$G$9,6,FALSE)+$L34*VLOOKUP($A34,'MultiReg Model'!$A$5:$G$9,7,FALSE)</f>
        <v>14.309465436919417</v>
      </c>
    </row>
    <row r="35" spans="1:21" x14ac:dyDescent="0.25">
      <c r="A35">
        <v>3</v>
      </c>
      <c r="B35">
        <v>2008</v>
      </c>
      <c r="C35">
        <f>SUMIFS(RefCapacity!$D$2:$D$526,RefCapacity!$A$2:$A$526,'MultiRegModel Validation'!$A35,RefCapacity!$B$2:$B$526,'MultiRegModel Validation'!$B35)</f>
        <v>8440.2620000000006</v>
      </c>
      <c r="D35" cm="1">
        <f t="array" ref="D35">INDEX(RefCapacity!$D$2:$D$526,MATCH(1,(RefCapacity!$A$2:$A$526='MultiRegModel Validation'!$A35)*(RefCapacity!$B$2:$B$526='MultiRegModel Validation'!$B35)*(RefCapacity!$C$2:$C$526='MultiRegModel Validation'!D$1),0))</f>
        <v>158.5</v>
      </c>
      <c r="E35" cm="1">
        <f t="array" ref="E35">INDEX(RefCapacity!$D$2:$D$526,MATCH(1,(RefCapacity!$A$2:$A$526='MultiRegModel Validation'!$A35)*(RefCapacity!$B$2:$B$526='MultiRegModel Validation'!$B35)*(RefCapacity!$C$2:$C$526='MultiRegModel Validation'!E$1),0))</f>
        <v>1049.152</v>
      </c>
      <c r="F35" cm="1">
        <f t="array" ref="F35">INDEX(RefCapacity!$D$2:$D$526,MATCH(1,(RefCapacity!$A$2:$A$526='MultiRegModel Validation'!$A35)*(RefCapacity!$B$2:$B$526='MultiRegModel Validation'!$B35)*(RefCapacity!$C$2:$C$526='MultiRegModel Validation'!F$1),0))</f>
        <v>129.5</v>
      </c>
      <c r="G35" cm="1">
        <f t="array" ref="G35">INDEX(RefCapacity!$D$2:$D$526,MATCH(1,(RefCapacity!$A$2:$A$526='MultiRegModel Validation'!$A35)*(RefCapacity!$B$2:$B$526='MultiRegModel Validation'!$B35)*(RefCapacity!$C$2:$C$526='MultiRegModel Validation'!G$1),0))</f>
        <v>491.66</v>
      </c>
      <c r="H35" cm="1">
        <f t="array" ref="H35">INDEX(RefCapacity!$D$2:$D$526,MATCH(1,(RefCapacity!$A$2:$A$526='MultiRegModel Validation'!$A35)*(RefCapacity!$B$2:$B$526='MultiRegModel Validation'!$B35)*(RefCapacity!$C$2:$C$526='MultiRegModel Validation'!H$1),0))</f>
        <v>1947.35</v>
      </c>
      <c r="I35" cm="1">
        <f t="array" ref="I35">INDEX(RefCapacity!$D$2:$D$526,MATCH(1,(RefCapacity!$A$2:$A$526='MultiRegModel Validation'!$A35)*(RefCapacity!$B$2:$B$526='MultiRegModel Validation'!$B35)*(RefCapacity!$C$2:$C$526='MultiRegModel Validation'!I$1),0))</f>
        <v>0</v>
      </c>
      <c r="J35" cm="1">
        <f t="array" ref="J35">INDEX(RefCapacity!$D$2:$D$526,MATCH(1,(RefCapacity!$A$2:$A$526='MultiRegModel Validation'!$A35)*(RefCapacity!$B$2:$B$526='MultiRegModel Validation'!$B35)*(RefCapacity!$C$2:$C$526='MultiRegModel Validation'!J$1),0))</f>
        <v>4664.1000000000004</v>
      </c>
      <c r="K35">
        <v>0.46376811594202905</v>
      </c>
      <c r="L35">
        <v>0.10813823857302118</v>
      </c>
      <c r="M35">
        <v>0.2437904124860647</v>
      </c>
      <c r="N35">
        <v>7.2820512820512828E-2</v>
      </c>
      <c r="O35">
        <v>4.4593088071348944E-2</v>
      </c>
      <c r="P35">
        <v>6.6889632107023422E-2</v>
      </c>
      <c r="Q35">
        <f t="shared" si="0"/>
        <v>1.9023230290835924</v>
      </c>
      <c r="R35">
        <v>1.68</v>
      </c>
      <c r="S35">
        <v>29.54</v>
      </c>
      <c r="T35" cm="1">
        <f t="array" ref="T35">MMULT($D35:$J35,'Avg CI Index'!$C$2:$C$8)/$C35</f>
        <v>10.073916936789434</v>
      </c>
      <c r="U35">
        <f>VLOOKUP($A35,'MultiReg Model'!$A$5:$G$9,2,FALSE)+'MultiRegModel Validation'!S35*VLOOKUP($A35,'MultiReg Model'!$A$5:$G$9,3,FALSE)+'MultiRegModel Validation'!R35*VLOOKUP($A35,'MultiReg Model'!$A$5:$G$9,4,FALSE)+'MultiRegModel Validation'!K35*VLOOKUP($A35,'MultiReg Model'!$A$5:$G$9,5,FALSE)+'MultiRegModel Validation'!M35*VLOOKUP($A35,'MultiReg Model'!$A$5:$G$9,6,FALSE)+$L35*VLOOKUP($A35,'MultiReg Model'!$A$5:$G$9,7,FALSE)</f>
        <v>14.33689885456217</v>
      </c>
    </row>
    <row r="36" spans="1:21" x14ac:dyDescent="0.25">
      <c r="A36">
        <v>3</v>
      </c>
      <c r="B36">
        <v>2009</v>
      </c>
      <c r="C36">
        <f>SUMIFS(RefCapacity!$D$2:$D$526,RefCapacity!$A$2:$A$526,'MultiRegModel Validation'!$A36,RefCapacity!$B$2:$B$526,'MultiRegModel Validation'!$B36)</f>
        <v>8413.9120000000003</v>
      </c>
      <c r="D36" cm="1">
        <f t="array" ref="D36">INDEX(RefCapacity!$D$2:$D$526,MATCH(1,(RefCapacity!$A$2:$A$526='MultiRegModel Validation'!$A36)*(RefCapacity!$B$2:$B$526='MultiRegModel Validation'!$B36)*(RefCapacity!$C$2:$C$526='MultiRegModel Validation'!D$1),0))</f>
        <v>158.5</v>
      </c>
      <c r="E36" cm="1">
        <f t="array" ref="E36">INDEX(RefCapacity!$D$2:$D$526,MATCH(1,(RefCapacity!$A$2:$A$526='MultiRegModel Validation'!$A36)*(RefCapacity!$B$2:$B$526='MultiRegModel Validation'!$B36)*(RefCapacity!$C$2:$C$526='MultiRegModel Validation'!E$1),0))</f>
        <v>1053.152</v>
      </c>
      <c r="F36" cm="1">
        <f t="array" ref="F36">INDEX(RefCapacity!$D$2:$D$526,MATCH(1,(RefCapacity!$A$2:$A$526='MultiRegModel Validation'!$A36)*(RefCapacity!$B$2:$B$526='MultiRegModel Validation'!$B36)*(RefCapacity!$C$2:$C$526='MultiRegModel Validation'!F$1),0))</f>
        <v>129.5</v>
      </c>
      <c r="G36" cm="1">
        <f t="array" ref="G36">INDEX(RefCapacity!$D$2:$D$526,MATCH(1,(RefCapacity!$A$2:$A$526='MultiRegModel Validation'!$A36)*(RefCapacity!$B$2:$B$526='MultiRegModel Validation'!$B36)*(RefCapacity!$C$2:$C$526='MultiRegModel Validation'!G$1),0))</f>
        <v>491.66</v>
      </c>
      <c r="H36" cm="1">
        <f t="array" ref="H36">INDEX(RefCapacity!$D$2:$D$526,MATCH(1,(RefCapacity!$A$2:$A$526='MultiRegModel Validation'!$A36)*(RefCapacity!$B$2:$B$526='MultiRegModel Validation'!$B36)*(RefCapacity!$C$2:$C$526='MultiRegModel Validation'!H$1),0))</f>
        <v>1943.75</v>
      </c>
      <c r="I36" cm="1">
        <f t="array" ref="I36">INDEX(RefCapacity!$D$2:$D$526,MATCH(1,(RefCapacity!$A$2:$A$526='MultiRegModel Validation'!$A36)*(RefCapacity!$B$2:$B$526='MultiRegModel Validation'!$B36)*(RefCapacity!$C$2:$C$526='MultiRegModel Validation'!I$1),0))</f>
        <v>0</v>
      </c>
      <c r="J36" cm="1">
        <f t="array" ref="J36">INDEX(RefCapacity!$D$2:$D$526,MATCH(1,(RefCapacity!$A$2:$A$526='MultiRegModel Validation'!$A36)*(RefCapacity!$B$2:$B$526='MultiRegModel Validation'!$B36)*(RefCapacity!$C$2:$C$526='MultiRegModel Validation'!J$1),0))</f>
        <v>4637.3500000000004</v>
      </c>
      <c r="K36">
        <v>0.4823008849557523</v>
      </c>
      <c r="L36">
        <v>0.10287610619469026</v>
      </c>
      <c r="M36">
        <v>0.23594026548672567</v>
      </c>
      <c r="N36">
        <v>7.0475663716814158E-2</v>
      </c>
      <c r="O36">
        <v>4.4247787610619475E-2</v>
      </c>
      <c r="P36">
        <v>6.4159292035398233E-2</v>
      </c>
      <c r="Q36">
        <f t="shared" si="0"/>
        <v>2.0441652210605281</v>
      </c>
      <c r="R36">
        <v>1.61</v>
      </c>
      <c r="S36">
        <v>29.55</v>
      </c>
      <c r="T36" cm="1">
        <f t="array" ref="T36">MMULT($D36:$J36,'Avg CI Index'!$C$2:$C$8)/$C36</f>
        <v>10.069187524671534</v>
      </c>
      <c r="U36">
        <f>VLOOKUP($A36,'MultiReg Model'!$A$5:$G$9,2,FALSE)+'MultiRegModel Validation'!S36*VLOOKUP($A36,'MultiReg Model'!$A$5:$G$9,3,FALSE)+'MultiRegModel Validation'!R36*VLOOKUP($A36,'MultiReg Model'!$A$5:$G$9,4,FALSE)+'MultiRegModel Validation'!K36*VLOOKUP($A36,'MultiReg Model'!$A$5:$G$9,5,FALSE)+'MultiRegModel Validation'!M36*VLOOKUP($A36,'MultiReg Model'!$A$5:$G$9,6,FALSE)+$L36*VLOOKUP($A36,'MultiReg Model'!$A$5:$G$9,7,FALSE)</f>
        <v>14.199714656748112</v>
      </c>
    </row>
    <row r="37" spans="1:21" x14ac:dyDescent="0.25">
      <c r="A37">
        <v>3</v>
      </c>
      <c r="B37">
        <v>2010</v>
      </c>
      <c r="C37">
        <f>SUMIFS(RefCapacity!$D$2:$D$526,RefCapacity!$A$2:$A$526,'MultiRegModel Validation'!$A37,RefCapacity!$B$2:$B$526,'MultiRegModel Validation'!$B37)</f>
        <v>8677.1490000000013</v>
      </c>
      <c r="D37" cm="1">
        <f t="array" ref="D37">INDEX(RefCapacity!$D$2:$D$526,MATCH(1,(RefCapacity!$A$2:$A$526='MultiRegModel Validation'!$A37)*(RefCapacity!$B$2:$B$526='MultiRegModel Validation'!$B37)*(RefCapacity!$C$2:$C$526='MultiRegModel Validation'!D$1),0))</f>
        <v>158.5</v>
      </c>
      <c r="E37" cm="1">
        <f t="array" ref="E37">INDEX(RefCapacity!$D$2:$D$526,MATCH(1,(RefCapacity!$A$2:$A$526='MultiRegModel Validation'!$A37)*(RefCapacity!$B$2:$B$526='MultiRegModel Validation'!$B37)*(RefCapacity!$C$2:$C$526='MultiRegModel Validation'!E$1),0))</f>
        <v>1013.689</v>
      </c>
      <c r="F37" cm="1">
        <f t="array" ref="F37">INDEX(RefCapacity!$D$2:$D$526,MATCH(1,(RefCapacity!$A$2:$A$526='MultiRegModel Validation'!$A37)*(RefCapacity!$B$2:$B$526='MultiRegModel Validation'!$B37)*(RefCapacity!$C$2:$C$526='MultiRegModel Validation'!F$1),0))</f>
        <v>334.5</v>
      </c>
      <c r="G37" cm="1">
        <f t="array" ref="G37">INDEX(RefCapacity!$D$2:$D$526,MATCH(1,(RefCapacity!$A$2:$A$526='MultiRegModel Validation'!$A37)*(RefCapacity!$B$2:$B$526='MultiRegModel Validation'!$B37)*(RefCapacity!$C$2:$C$526='MultiRegModel Validation'!G$1),0))</f>
        <v>483.66</v>
      </c>
      <c r="H37" cm="1">
        <f t="array" ref="H37">INDEX(RefCapacity!$D$2:$D$526,MATCH(1,(RefCapacity!$A$2:$A$526='MultiRegModel Validation'!$A37)*(RefCapacity!$B$2:$B$526='MultiRegModel Validation'!$B37)*(RefCapacity!$C$2:$C$526='MultiRegModel Validation'!H$1),0))</f>
        <v>1811.75</v>
      </c>
      <c r="I37" cm="1">
        <f t="array" ref="I37">INDEX(RefCapacity!$D$2:$D$526,MATCH(1,(RefCapacity!$A$2:$A$526='MultiRegModel Validation'!$A37)*(RefCapacity!$B$2:$B$526='MultiRegModel Validation'!$B37)*(RefCapacity!$C$2:$C$526='MultiRegModel Validation'!I$1),0))</f>
        <v>0</v>
      </c>
      <c r="J37" cm="1">
        <f t="array" ref="J37">INDEX(RefCapacity!$D$2:$D$526,MATCH(1,(RefCapacity!$A$2:$A$526='MultiRegModel Validation'!$A37)*(RefCapacity!$B$2:$B$526='MultiRegModel Validation'!$B37)*(RefCapacity!$C$2:$C$526='MultiRegModel Validation'!J$1),0))</f>
        <v>4875.05</v>
      </c>
      <c r="K37">
        <v>0.47787610619469018</v>
      </c>
      <c r="L37">
        <v>0.10176991150442474</v>
      </c>
      <c r="M37">
        <v>0.23764380530973445</v>
      </c>
      <c r="N37">
        <v>7.0984513274336247E-2</v>
      </c>
      <c r="O37">
        <v>4.6460176991150431E-2</v>
      </c>
      <c r="P37">
        <v>6.5265486725663707E-2</v>
      </c>
      <c r="Q37">
        <f t="shared" si="0"/>
        <v>2.0108923334729787</v>
      </c>
      <c r="R37">
        <v>1.58</v>
      </c>
      <c r="S37">
        <v>29.72</v>
      </c>
      <c r="T37" cm="1">
        <f t="array" ref="T37">MMULT($D37:$J37,'Avg CI Index'!$C$2:$C$8)/$C37</f>
        <v>10.022767579265054</v>
      </c>
      <c r="U37">
        <f>VLOOKUP($A37,'MultiReg Model'!$A$5:$G$9,2,FALSE)+'MultiRegModel Validation'!S37*VLOOKUP($A37,'MultiReg Model'!$A$5:$G$9,3,FALSE)+'MultiRegModel Validation'!R37*VLOOKUP($A37,'MultiReg Model'!$A$5:$G$9,4,FALSE)+'MultiRegModel Validation'!K37*VLOOKUP($A37,'MultiReg Model'!$A$5:$G$9,5,FALSE)+'MultiRegModel Validation'!M37*VLOOKUP($A37,'MultiReg Model'!$A$5:$G$9,6,FALSE)+$L37*VLOOKUP($A37,'MultiReg Model'!$A$5:$G$9,7,FALSE)</f>
        <v>14.078390330166947</v>
      </c>
    </row>
    <row r="38" spans="1:21" x14ac:dyDescent="0.25">
      <c r="A38">
        <v>3</v>
      </c>
      <c r="B38">
        <v>2011</v>
      </c>
      <c r="C38">
        <f>SUMIFS(RefCapacity!$D$2:$D$526,RefCapacity!$A$2:$A$526,'MultiRegModel Validation'!$A38,RefCapacity!$B$2:$B$526,'MultiRegModel Validation'!$B38)</f>
        <v>8685.4390000000003</v>
      </c>
      <c r="D38" cm="1">
        <f t="array" ref="D38">INDEX(RefCapacity!$D$2:$D$526,MATCH(1,(RefCapacity!$A$2:$A$526='MultiRegModel Validation'!$A38)*(RefCapacity!$B$2:$B$526='MultiRegModel Validation'!$B38)*(RefCapacity!$C$2:$C$526='MultiRegModel Validation'!D$1),0))</f>
        <v>158.5</v>
      </c>
      <c r="E38" cm="1">
        <f t="array" ref="E38">INDEX(RefCapacity!$D$2:$D$526,MATCH(1,(RefCapacity!$A$2:$A$526='MultiRegModel Validation'!$A38)*(RefCapacity!$B$2:$B$526='MultiRegModel Validation'!$B38)*(RefCapacity!$C$2:$C$526='MultiRegModel Validation'!E$1),0))</f>
        <v>845.05</v>
      </c>
      <c r="F38" cm="1">
        <f t="array" ref="F38">INDEX(RefCapacity!$D$2:$D$526,MATCH(1,(RefCapacity!$A$2:$A$526='MultiRegModel Validation'!$A38)*(RefCapacity!$B$2:$B$526='MultiRegModel Validation'!$B38)*(RefCapacity!$C$2:$C$526='MultiRegModel Validation'!F$1),0))</f>
        <v>129.5</v>
      </c>
      <c r="G38" cm="1">
        <f t="array" ref="G38">INDEX(RefCapacity!$D$2:$D$526,MATCH(1,(RefCapacity!$A$2:$A$526='MultiRegModel Validation'!$A38)*(RefCapacity!$B$2:$B$526='MultiRegModel Validation'!$B38)*(RefCapacity!$C$2:$C$526='MultiRegModel Validation'!G$1),0))</f>
        <v>487</v>
      </c>
      <c r="H38" cm="1">
        <f t="array" ref="H38">INDEX(RefCapacity!$D$2:$D$526,MATCH(1,(RefCapacity!$A$2:$A$526='MultiRegModel Validation'!$A38)*(RefCapacity!$B$2:$B$526='MultiRegModel Validation'!$B38)*(RefCapacity!$C$2:$C$526='MultiRegModel Validation'!H$1),0))</f>
        <v>2134.3389999999999</v>
      </c>
      <c r="I38" cm="1">
        <f t="array" ref="I38">INDEX(RefCapacity!$D$2:$D$526,MATCH(1,(RefCapacity!$A$2:$A$526='MultiRegModel Validation'!$A38)*(RefCapacity!$B$2:$B$526='MultiRegModel Validation'!$B38)*(RefCapacity!$C$2:$C$526='MultiRegModel Validation'!I$1),0))</f>
        <v>0</v>
      </c>
      <c r="J38" cm="1">
        <f t="array" ref="J38">INDEX(RefCapacity!$D$2:$D$526,MATCH(1,(RefCapacity!$A$2:$A$526='MultiRegModel Validation'!$A38)*(RefCapacity!$B$2:$B$526='MultiRegModel Validation'!$B38)*(RefCapacity!$C$2:$C$526='MultiRegModel Validation'!J$1),0))</f>
        <v>4931.05</v>
      </c>
      <c r="K38">
        <v>0.46432491767288692</v>
      </c>
      <c r="L38">
        <v>9.9890230515916584E-2</v>
      </c>
      <c r="M38">
        <v>0.25441273326015373</v>
      </c>
      <c r="N38">
        <v>7.5993413830954981E-2</v>
      </c>
      <c r="O38">
        <v>3.9517014270032937E-2</v>
      </c>
      <c r="P38">
        <v>6.5861690450054883E-2</v>
      </c>
      <c r="Q38">
        <f t="shared" si="0"/>
        <v>1.8250852137895321</v>
      </c>
      <c r="R38">
        <v>1.54</v>
      </c>
      <c r="S38">
        <v>29.76</v>
      </c>
      <c r="T38" cm="1">
        <f t="array" ref="T38">MMULT($D38:$J38,'Avg CI Index'!$C$2:$C$8)/$C38</f>
        <v>10.170642960423832</v>
      </c>
      <c r="U38">
        <f>VLOOKUP($A38,'MultiReg Model'!$A$5:$G$9,2,FALSE)+'MultiRegModel Validation'!S38*VLOOKUP($A38,'MultiReg Model'!$A$5:$G$9,3,FALSE)+'MultiRegModel Validation'!R38*VLOOKUP($A38,'MultiReg Model'!$A$5:$G$9,4,FALSE)+'MultiRegModel Validation'!K38*VLOOKUP($A38,'MultiReg Model'!$A$5:$G$9,5,FALSE)+'MultiRegModel Validation'!M38*VLOOKUP($A38,'MultiReg Model'!$A$5:$G$9,6,FALSE)+$L38*VLOOKUP($A38,'MultiReg Model'!$A$5:$G$9,7,FALSE)</f>
        <v>13.898871825450758</v>
      </c>
    </row>
    <row r="39" spans="1:21" x14ac:dyDescent="0.25">
      <c r="A39">
        <v>3</v>
      </c>
      <c r="B39">
        <v>2012</v>
      </c>
      <c r="C39">
        <f>SUMIFS(RefCapacity!$D$2:$D$526,RefCapacity!$A$2:$A$526,'MultiRegModel Validation'!$A39,RefCapacity!$B$2:$B$526,'MultiRegModel Validation'!$B39)</f>
        <v>8831.9390000000003</v>
      </c>
      <c r="D39" cm="1">
        <f t="array" ref="D39">INDEX(RefCapacity!$D$2:$D$526,MATCH(1,(RefCapacity!$A$2:$A$526='MultiRegModel Validation'!$A39)*(RefCapacity!$B$2:$B$526='MultiRegModel Validation'!$B39)*(RefCapacity!$C$2:$C$526='MultiRegModel Validation'!D$1),0))</f>
        <v>161</v>
      </c>
      <c r="E39" cm="1">
        <f t="array" ref="E39">INDEX(RefCapacity!$D$2:$D$526,MATCH(1,(RefCapacity!$A$2:$A$526='MultiRegModel Validation'!$A39)*(RefCapacity!$B$2:$B$526='MultiRegModel Validation'!$B39)*(RefCapacity!$C$2:$C$526='MultiRegModel Validation'!E$1),0))</f>
        <v>859.05</v>
      </c>
      <c r="F39" cm="1">
        <f t="array" ref="F39">INDEX(RefCapacity!$D$2:$D$526,MATCH(1,(RefCapacity!$A$2:$A$526='MultiRegModel Validation'!$A39)*(RefCapacity!$B$2:$B$526='MultiRegModel Validation'!$B39)*(RefCapacity!$C$2:$C$526='MultiRegModel Validation'!F$1),0))</f>
        <v>129.5</v>
      </c>
      <c r="G39" cm="1">
        <f t="array" ref="G39">INDEX(RefCapacity!$D$2:$D$526,MATCH(1,(RefCapacity!$A$2:$A$526='MultiRegModel Validation'!$A39)*(RefCapacity!$B$2:$B$526='MultiRegModel Validation'!$B39)*(RefCapacity!$C$2:$C$526='MultiRegModel Validation'!G$1),0))</f>
        <v>487</v>
      </c>
      <c r="H39" cm="1">
        <f t="array" ref="H39">INDEX(RefCapacity!$D$2:$D$526,MATCH(1,(RefCapacity!$A$2:$A$526='MultiRegModel Validation'!$A39)*(RefCapacity!$B$2:$B$526='MultiRegModel Validation'!$B39)*(RefCapacity!$C$2:$C$526='MultiRegModel Validation'!H$1),0))</f>
        <v>2099.3389999999999</v>
      </c>
      <c r="I39" cm="1">
        <f t="array" ref="I39">INDEX(RefCapacity!$D$2:$D$526,MATCH(1,(RefCapacity!$A$2:$A$526='MultiRegModel Validation'!$A39)*(RefCapacity!$B$2:$B$526='MultiRegModel Validation'!$B39)*(RefCapacity!$C$2:$C$526='MultiRegModel Validation'!I$1),0))</f>
        <v>72</v>
      </c>
      <c r="J39" cm="1">
        <f t="array" ref="J39">INDEX(RefCapacity!$D$2:$D$526,MATCH(1,(RefCapacity!$A$2:$A$526='MultiRegModel Validation'!$A39)*(RefCapacity!$B$2:$B$526='MultiRegModel Validation'!$B39)*(RefCapacity!$C$2:$C$526='MultiRegModel Validation'!J$1),0))</f>
        <v>5024.05</v>
      </c>
      <c r="K39">
        <v>0.46820175438596495</v>
      </c>
      <c r="L39">
        <v>0.10307017543859648</v>
      </c>
      <c r="M39">
        <v>0.25413377192982456</v>
      </c>
      <c r="N39">
        <v>7.5910087719298247E-2</v>
      </c>
      <c r="O39">
        <v>3.5087719298245612E-2</v>
      </c>
      <c r="P39">
        <v>6.3596491228070165E-2</v>
      </c>
      <c r="Q39">
        <f t="shared" si="0"/>
        <v>1.8423437028088192</v>
      </c>
      <c r="R39">
        <v>1.53</v>
      </c>
      <c r="S39">
        <v>30.41</v>
      </c>
      <c r="T39" cm="1">
        <f t="array" ref="T39">MMULT($D39:$J39,'Avg CI Index'!$C$2:$C$8)/$C39</f>
        <v>10.175691141215125</v>
      </c>
      <c r="U39">
        <f>VLOOKUP($A39,'MultiReg Model'!$A$5:$G$9,2,FALSE)+'MultiRegModel Validation'!S39*VLOOKUP($A39,'MultiReg Model'!$A$5:$G$9,3,FALSE)+'MultiRegModel Validation'!R39*VLOOKUP($A39,'MultiReg Model'!$A$5:$G$9,4,FALSE)+'MultiRegModel Validation'!K39*VLOOKUP($A39,'MultiReg Model'!$A$5:$G$9,5,FALSE)+'MultiRegModel Validation'!M39*VLOOKUP($A39,'MultiReg Model'!$A$5:$G$9,6,FALSE)+$L39*VLOOKUP($A39,'MultiReg Model'!$A$5:$G$9,7,FALSE)</f>
        <v>13.836729527184575</v>
      </c>
    </row>
    <row r="40" spans="1:21" x14ac:dyDescent="0.25">
      <c r="A40">
        <v>3</v>
      </c>
      <c r="B40">
        <v>2013</v>
      </c>
      <c r="C40">
        <f>SUMIFS(RefCapacity!$D$2:$D$526,RefCapacity!$A$2:$A$526,'MultiRegModel Validation'!$A40,RefCapacity!$B$2:$B$526,'MultiRegModel Validation'!$B40)</f>
        <v>9204.1170000000002</v>
      </c>
      <c r="D40" cm="1">
        <f t="array" ref="D40">INDEX(RefCapacity!$D$2:$D$526,MATCH(1,(RefCapacity!$A$2:$A$526='MultiRegModel Validation'!$A40)*(RefCapacity!$B$2:$B$526='MultiRegModel Validation'!$B40)*(RefCapacity!$C$2:$C$526='MultiRegModel Validation'!D$1),0))</f>
        <v>161</v>
      </c>
      <c r="E40" cm="1">
        <f t="array" ref="E40">INDEX(RefCapacity!$D$2:$D$526,MATCH(1,(RefCapacity!$A$2:$A$526='MultiRegModel Validation'!$A40)*(RefCapacity!$B$2:$B$526='MultiRegModel Validation'!$B40)*(RefCapacity!$C$2:$C$526='MultiRegModel Validation'!E$1),0))</f>
        <v>789.05</v>
      </c>
      <c r="F40" cm="1">
        <f t="array" ref="F40">INDEX(RefCapacity!$D$2:$D$526,MATCH(1,(RefCapacity!$A$2:$A$526='MultiRegModel Validation'!$A40)*(RefCapacity!$B$2:$B$526='MultiRegModel Validation'!$B40)*(RefCapacity!$C$2:$C$526='MultiRegModel Validation'!F$1),0))</f>
        <v>129.5</v>
      </c>
      <c r="G40" cm="1">
        <f t="array" ref="G40">INDEX(RefCapacity!$D$2:$D$526,MATCH(1,(RefCapacity!$A$2:$A$526='MultiRegModel Validation'!$A40)*(RefCapacity!$B$2:$B$526='MultiRegModel Validation'!$B40)*(RefCapacity!$C$2:$C$526='MultiRegModel Validation'!G$1),0))</f>
        <v>487</v>
      </c>
      <c r="H40" cm="1">
        <f t="array" ref="H40">INDEX(RefCapacity!$D$2:$D$526,MATCH(1,(RefCapacity!$A$2:$A$526='MultiRegModel Validation'!$A40)*(RefCapacity!$B$2:$B$526='MultiRegModel Validation'!$B40)*(RefCapacity!$C$2:$C$526='MultiRegModel Validation'!H$1),0))</f>
        <v>2234.5169999999998</v>
      </c>
      <c r="I40" cm="1">
        <f t="array" ref="I40">INDEX(RefCapacity!$D$2:$D$526,MATCH(1,(RefCapacity!$A$2:$A$526='MultiRegModel Validation'!$A40)*(RefCapacity!$B$2:$B$526='MultiRegModel Validation'!$B40)*(RefCapacity!$C$2:$C$526='MultiRegModel Validation'!I$1),0))</f>
        <v>72</v>
      </c>
      <c r="J40" cm="1">
        <f t="array" ref="J40">INDEX(RefCapacity!$D$2:$D$526,MATCH(1,(RefCapacity!$A$2:$A$526='MultiRegModel Validation'!$A40)*(RefCapacity!$B$2:$B$526='MultiRegModel Validation'!$B40)*(RefCapacity!$C$2:$C$526='MultiRegModel Validation'!J$1),0))</f>
        <v>5331.05</v>
      </c>
      <c r="K40">
        <v>0.47039473684210531</v>
      </c>
      <c r="L40">
        <v>0.10197368421052631</v>
      </c>
      <c r="M40">
        <v>0.25751096491228076</v>
      </c>
      <c r="N40">
        <v>7.6918859649122817E-2</v>
      </c>
      <c r="O40">
        <v>2.9605263157894742E-2</v>
      </c>
      <c r="P40">
        <v>6.3596491228070179E-2</v>
      </c>
      <c r="Q40">
        <f t="shared" si="0"/>
        <v>1.8266978922716626</v>
      </c>
      <c r="R40">
        <v>1.54</v>
      </c>
      <c r="S40">
        <v>29.66</v>
      </c>
      <c r="T40" cm="1">
        <f t="array" ref="T40">MMULT($D40:$J40,'Avg CI Index'!$C$2:$C$8)/$C40</f>
        <v>10.227279957670733</v>
      </c>
      <c r="U40">
        <f>VLOOKUP($A40,'MultiReg Model'!$A$5:$G$9,2,FALSE)+'MultiRegModel Validation'!S40*VLOOKUP($A40,'MultiReg Model'!$A$5:$G$9,3,FALSE)+'MultiRegModel Validation'!R40*VLOOKUP($A40,'MultiReg Model'!$A$5:$G$9,4,FALSE)+'MultiRegModel Validation'!K40*VLOOKUP($A40,'MultiReg Model'!$A$5:$G$9,5,FALSE)+'MultiRegModel Validation'!M40*VLOOKUP($A40,'MultiReg Model'!$A$5:$G$9,6,FALSE)+$L40*VLOOKUP($A40,'MultiReg Model'!$A$5:$G$9,7,FALSE)</f>
        <v>13.930803767937126</v>
      </c>
    </row>
    <row r="41" spans="1:21" x14ac:dyDescent="0.25">
      <c r="A41">
        <v>3</v>
      </c>
      <c r="B41">
        <v>2014</v>
      </c>
      <c r="C41">
        <f>SUMIFS(RefCapacity!$D$2:$D$526,RefCapacity!$A$2:$A$526,'MultiRegModel Validation'!$A41,RefCapacity!$B$2:$B$526,'MultiRegModel Validation'!$B41)</f>
        <v>9210.8670000000002</v>
      </c>
      <c r="D41" cm="1">
        <f t="array" ref="D41">INDEX(RefCapacity!$D$2:$D$526,MATCH(1,(RefCapacity!$A$2:$A$526='MultiRegModel Validation'!$A41)*(RefCapacity!$B$2:$B$526='MultiRegModel Validation'!$B41)*(RefCapacity!$C$2:$C$526='MultiRegModel Validation'!D$1),0))</f>
        <v>161</v>
      </c>
      <c r="E41" cm="1">
        <f t="array" ref="E41">INDEX(RefCapacity!$D$2:$D$526,MATCH(1,(RefCapacity!$A$2:$A$526='MultiRegModel Validation'!$A41)*(RefCapacity!$B$2:$B$526='MultiRegModel Validation'!$B41)*(RefCapacity!$C$2:$C$526='MultiRegModel Validation'!E$1),0))</f>
        <v>797</v>
      </c>
      <c r="F41" cm="1">
        <f t="array" ref="F41">INDEX(RefCapacity!$D$2:$D$526,MATCH(1,(RefCapacity!$A$2:$A$526='MultiRegModel Validation'!$A41)*(RefCapacity!$B$2:$B$526='MultiRegModel Validation'!$B41)*(RefCapacity!$C$2:$C$526='MultiRegModel Validation'!F$1),0))</f>
        <v>129.5</v>
      </c>
      <c r="G41" cm="1">
        <f t="array" ref="G41">INDEX(RefCapacity!$D$2:$D$526,MATCH(1,(RefCapacity!$A$2:$A$526='MultiRegModel Validation'!$A41)*(RefCapacity!$B$2:$B$526='MultiRegModel Validation'!$B41)*(RefCapacity!$C$2:$C$526='MultiRegModel Validation'!G$1),0))</f>
        <v>487</v>
      </c>
      <c r="H41" cm="1">
        <f t="array" ref="H41">INDEX(RefCapacity!$D$2:$D$526,MATCH(1,(RefCapacity!$A$2:$A$526='MultiRegModel Validation'!$A41)*(RefCapacity!$B$2:$B$526='MultiRegModel Validation'!$B41)*(RefCapacity!$C$2:$C$526='MultiRegModel Validation'!H$1),0))</f>
        <v>2234.5169999999998</v>
      </c>
      <c r="I41" cm="1">
        <f t="array" ref="I41">INDEX(RefCapacity!$D$2:$D$526,MATCH(1,(RefCapacity!$A$2:$A$526='MultiRegModel Validation'!$A41)*(RefCapacity!$B$2:$B$526='MultiRegModel Validation'!$B41)*(RefCapacity!$C$2:$C$526='MultiRegModel Validation'!I$1),0))</f>
        <v>72</v>
      </c>
      <c r="J41" cm="1">
        <f t="array" ref="J41">INDEX(RefCapacity!$D$2:$D$526,MATCH(1,(RefCapacity!$A$2:$A$526='MultiRegModel Validation'!$A41)*(RefCapacity!$B$2:$B$526='MultiRegModel Validation'!$B41)*(RefCapacity!$C$2:$C$526='MultiRegModel Validation'!J$1),0))</f>
        <v>5329.85</v>
      </c>
      <c r="K41">
        <v>0.47091108671789239</v>
      </c>
      <c r="L41">
        <v>9.9890230515916556E-2</v>
      </c>
      <c r="M41">
        <v>0.26371020856201971</v>
      </c>
      <c r="N41">
        <v>7.8770581778265625E-2</v>
      </c>
      <c r="O41">
        <v>2.4149286498353458E-2</v>
      </c>
      <c r="P41">
        <v>6.2568605927552132E-2</v>
      </c>
      <c r="Q41">
        <f t="shared" si="0"/>
        <v>1.7857142857142858</v>
      </c>
      <c r="R41">
        <v>1.54</v>
      </c>
      <c r="S41">
        <v>31.54</v>
      </c>
      <c r="T41" cm="1">
        <f t="array" ref="T41">MMULT($D41:$J41,'Avg CI Index'!$C$2:$C$8)/$C41</f>
        <v>10.224612255996092</v>
      </c>
      <c r="U41">
        <f>VLOOKUP($A41,'MultiReg Model'!$A$5:$G$9,2,FALSE)+'MultiRegModel Validation'!S41*VLOOKUP($A41,'MultiReg Model'!$A$5:$G$9,3,FALSE)+'MultiRegModel Validation'!R41*VLOOKUP($A41,'MultiReg Model'!$A$5:$G$9,4,FALSE)+'MultiRegModel Validation'!K41*VLOOKUP($A41,'MultiReg Model'!$A$5:$G$9,5,FALSE)+'MultiRegModel Validation'!M41*VLOOKUP($A41,'MultiReg Model'!$A$5:$G$9,6,FALSE)+$L41*VLOOKUP($A41,'MultiReg Model'!$A$5:$G$9,7,FALSE)</f>
        <v>13.795009896840076</v>
      </c>
    </row>
    <row r="42" spans="1:21" x14ac:dyDescent="0.25">
      <c r="A42">
        <v>3</v>
      </c>
      <c r="B42">
        <v>2015</v>
      </c>
      <c r="C42">
        <f>SUMIFS(RefCapacity!$D$2:$D$526,RefCapacity!$A$2:$A$526,'MultiRegModel Validation'!$A42,RefCapacity!$B$2:$B$526,'MultiRegModel Validation'!$B42)</f>
        <v>9316.6</v>
      </c>
      <c r="D42" cm="1">
        <f t="array" ref="D42">INDEX(RefCapacity!$D$2:$D$526,MATCH(1,(RefCapacity!$A$2:$A$526='MultiRegModel Validation'!$A42)*(RefCapacity!$B$2:$B$526='MultiRegModel Validation'!$B42)*(RefCapacity!$C$2:$C$526='MultiRegModel Validation'!D$1),0))</f>
        <v>188</v>
      </c>
      <c r="E42" cm="1">
        <f t="array" ref="E42">INDEX(RefCapacity!$D$2:$D$526,MATCH(1,(RefCapacity!$A$2:$A$526='MultiRegModel Validation'!$A42)*(RefCapacity!$B$2:$B$526='MultiRegModel Validation'!$B42)*(RefCapacity!$C$2:$C$526='MultiRegModel Validation'!E$1),0))</f>
        <v>801</v>
      </c>
      <c r="F42" cm="1">
        <f t="array" ref="F42">INDEX(RefCapacity!$D$2:$D$526,MATCH(1,(RefCapacity!$A$2:$A$526='MultiRegModel Validation'!$A42)*(RefCapacity!$B$2:$B$526='MultiRegModel Validation'!$B42)*(RefCapacity!$C$2:$C$526='MultiRegModel Validation'!F$1),0))</f>
        <v>149</v>
      </c>
      <c r="G42" cm="1">
        <f t="array" ref="G42">INDEX(RefCapacity!$D$2:$D$526,MATCH(1,(RefCapacity!$A$2:$A$526='MultiRegModel Validation'!$A42)*(RefCapacity!$B$2:$B$526='MultiRegModel Validation'!$B42)*(RefCapacity!$C$2:$C$526='MultiRegModel Validation'!G$1),0))</f>
        <v>497</v>
      </c>
      <c r="H42" cm="1">
        <f t="array" ref="H42">INDEX(RefCapacity!$D$2:$D$526,MATCH(1,(RefCapacity!$A$2:$A$526='MultiRegModel Validation'!$A42)*(RefCapacity!$B$2:$B$526='MultiRegModel Validation'!$B42)*(RefCapacity!$C$2:$C$526='MultiRegModel Validation'!H$1),0))</f>
        <v>1926.75</v>
      </c>
      <c r="I42" cm="1">
        <f t="array" ref="I42">INDEX(RefCapacity!$D$2:$D$526,MATCH(1,(RefCapacity!$A$2:$A$526='MultiRegModel Validation'!$A42)*(RefCapacity!$B$2:$B$526='MultiRegModel Validation'!$B42)*(RefCapacity!$C$2:$C$526='MultiRegModel Validation'!I$1),0))</f>
        <v>72</v>
      </c>
      <c r="J42" cm="1">
        <f t="array" ref="J42">INDEX(RefCapacity!$D$2:$D$526,MATCH(1,(RefCapacity!$A$2:$A$526='MultiRegModel Validation'!$A42)*(RefCapacity!$B$2:$B$526='MultiRegModel Validation'!$B42)*(RefCapacity!$C$2:$C$526='MultiRegModel Validation'!J$1),0))</f>
        <v>5682.85</v>
      </c>
      <c r="K42">
        <v>0.4722524483133842</v>
      </c>
      <c r="L42">
        <v>0.10119695321001089</v>
      </c>
      <c r="M42">
        <v>0.26392818280739944</v>
      </c>
      <c r="N42">
        <v>7.883569096844395E-2</v>
      </c>
      <c r="O42">
        <v>2.285092491838956E-2</v>
      </c>
      <c r="P42">
        <v>6.0935799782372152E-2</v>
      </c>
      <c r="Q42">
        <f t="shared" si="0"/>
        <v>1.789321789321789</v>
      </c>
      <c r="R42">
        <v>1.47</v>
      </c>
      <c r="S42">
        <v>31.23</v>
      </c>
      <c r="T42" cm="1">
        <f t="array" ref="T42">MMULT($D42:$J42,'Avg CI Index'!$C$2:$C$8)/$C42</f>
        <v>10.236855034649144</v>
      </c>
      <c r="U42">
        <f>VLOOKUP($A42,'MultiReg Model'!$A$5:$G$9,2,FALSE)+'MultiRegModel Validation'!S42*VLOOKUP($A42,'MultiReg Model'!$A$5:$G$9,3,FALSE)+'MultiRegModel Validation'!R42*VLOOKUP($A42,'MultiReg Model'!$A$5:$G$9,4,FALSE)+'MultiRegModel Validation'!K42*VLOOKUP($A42,'MultiReg Model'!$A$5:$G$9,5,FALSE)+'MultiRegModel Validation'!M42*VLOOKUP($A42,'MultiReg Model'!$A$5:$G$9,6,FALSE)+$L42*VLOOKUP($A42,'MultiReg Model'!$A$5:$G$9,7,FALSE)</f>
        <v>13.611206755405268</v>
      </c>
    </row>
    <row r="43" spans="1:21" x14ac:dyDescent="0.25">
      <c r="A43">
        <v>3</v>
      </c>
      <c r="B43">
        <v>2016</v>
      </c>
      <c r="C43">
        <f>SUMIFS(RefCapacity!$D$2:$D$526,RefCapacity!$A$2:$A$526,'MultiRegModel Validation'!$A43,RefCapacity!$B$2:$B$526,'MultiRegModel Validation'!$B43)</f>
        <v>9393.027</v>
      </c>
      <c r="D43" cm="1">
        <f t="array" ref="D43">INDEX(RefCapacity!$D$2:$D$526,MATCH(1,(RefCapacity!$A$2:$A$526='MultiRegModel Validation'!$A43)*(RefCapacity!$B$2:$B$526='MultiRegModel Validation'!$B43)*(RefCapacity!$C$2:$C$526='MultiRegModel Validation'!D$1),0))</f>
        <v>274.64</v>
      </c>
      <c r="E43" cm="1">
        <f t="array" ref="E43">INDEX(RefCapacity!$D$2:$D$526,MATCH(1,(RefCapacity!$A$2:$A$526='MultiRegModel Validation'!$A43)*(RefCapacity!$B$2:$B$526='MultiRegModel Validation'!$B43)*(RefCapacity!$C$2:$C$526='MultiRegModel Validation'!E$1),0))</f>
        <v>752.42499999999995</v>
      </c>
      <c r="F43" cm="1">
        <f t="array" ref="F43">INDEX(RefCapacity!$D$2:$D$526,MATCH(1,(RefCapacity!$A$2:$A$526='MultiRegModel Validation'!$A43)*(RefCapacity!$B$2:$B$526='MultiRegModel Validation'!$B43)*(RefCapacity!$C$2:$C$526='MultiRegModel Validation'!F$1),0))</f>
        <v>158.22200000000001</v>
      </c>
      <c r="G43" cm="1">
        <f t="array" ref="G43">INDEX(RefCapacity!$D$2:$D$526,MATCH(1,(RefCapacity!$A$2:$A$526='MultiRegModel Validation'!$A43)*(RefCapacity!$B$2:$B$526='MultiRegModel Validation'!$B43)*(RefCapacity!$C$2:$C$526='MultiRegModel Validation'!G$1),0))</f>
        <v>713.7</v>
      </c>
      <c r="H43" cm="1">
        <f t="array" ref="H43">INDEX(RefCapacity!$D$2:$D$526,MATCH(1,(RefCapacity!$A$2:$A$526='MultiRegModel Validation'!$A43)*(RefCapacity!$B$2:$B$526='MultiRegModel Validation'!$B43)*(RefCapacity!$C$2:$C$526='MultiRegModel Validation'!H$1),0))</f>
        <v>1788.21</v>
      </c>
      <c r="I43" cm="1">
        <f t="array" ref="I43">INDEX(RefCapacity!$D$2:$D$526,MATCH(1,(RefCapacity!$A$2:$A$526='MultiRegModel Validation'!$A43)*(RefCapacity!$B$2:$B$526='MultiRegModel Validation'!$B43)*(RefCapacity!$C$2:$C$526='MultiRegModel Validation'!I$1),0))</f>
        <v>38</v>
      </c>
      <c r="J43" cm="1">
        <f t="array" ref="J43">INDEX(RefCapacity!$D$2:$D$526,MATCH(1,(RefCapacity!$A$2:$A$526='MultiRegModel Validation'!$A43)*(RefCapacity!$B$2:$B$526='MultiRegModel Validation'!$B43)*(RefCapacity!$C$2:$C$526='MultiRegModel Validation'!J$1),0))</f>
        <v>5667.83</v>
      </c>
      <c r="K43">
        <v>0.47774158523344196</v>
      </c>
      <c r="L43">
        <v>0.10640608034744842</v>
      </c>
      <c r="M43">
        <v>0.25332247557003262</v>
      </c>
      <c r="N43">
        <v>7.5667752442996727E-2</v>
      </c>
      <c r="O43">
        <v>2.4972855591748101E-2</v>
      </c>
      <c r="P43">
        <v>6.1889250814332254E-2</v>
      </c>
      <c r="Q43">
        <f t="shared" si="0"/>
        <v>1.8859028760018857</v>
      </c>
      <c r="R43">
        <v>1.49</v>
      </c>
      <c r="S43">
        <v>31.34</v>
      </c>
      <c r="T43" cm="1">
        <f t="array" ref="T43">MMULT($D43:$J43,'Avg CI Index'!$C$2:$C$8)/$C43</f>
        <v>10.167105239015683</v>
      </c>
      <c r="U43">
        <f>VLOOKUP($A43,'MultiReg Model'!$A$5:$G$9,2,FALSE)+'MultiRegModel Validation'!S43*VLOOKUP($A43,'MultiReg Model'!$A$5:$G$9,3,FALSE)+'MultiRegModel Validation'!R43*VLOOKUP($A43,'MultiReg Model'!$A$5:$G$9,4,FALSE)+'MultiRegModel Validation'!K43*VLOOKUP($A43,'MultiReg Model'!$A$5:$G$9,5,FALSE)+'MultiRegModel Validation'!M43*VLOOKUP($A43,'MultiReg Model'!$A$5:$G$9,6,FALSE)+$L43*VLOOKUP($A43,'MultiReg Model'!$A$5:$G$9,7,FALSE)</f>
        <v>13.686260947371988</v>
      </c>
    </row>
    <row r="44" spans="1:21" x14ac:dyDescent="0.25">
      <c r="A44">
        <v>3</v>
      </c>
      <c r="B44">
        <v>2017</v>
      </c>
      <c r="C44">
        <f>SUMIFS(RefCapacity!$D$2:$D$526,RefCapacity!$A$2:$A$526,'MultiRegModel Validation'!$A44,RefCapacity!$B$2:$B$526,'MultiRegModel Validation'!$B44)</f>
        <v>9621.7669999999998</v>
      </c>
      <c r="D44" cm="1">
        <f t="array" ref="D44">INDEX(RefCapacity!$D$2:$D$526,MATCH(1,(RefCapacity!$A$2:$A$526='MultiRegModel Validation'!$A44)*(RefCapacity!$B$2:$B$526='MultiRegModel Validation'!$B44)*(RefCapacity!$C$2:$C$526='MultiRegModel Validation'!D$1),0))</f>
        <v>296.11500000000001</v>
      </c>
      <c r="E44" cm="1">
        <f t="array" ref="E44">INDEX(RefCapacity!$D$2:$D$526,MATCH(1,(RefCapacity!$A$2:$A$526='MultiRegModel Validation'!$A44)*(RefCapacity!$B$2:$B$526='MultiRegModel Validation'!$B44)*(RefCapacity!$C$2:$C$526='MultiRegModel Validation'!E$1),0))</f>
        <v>765.44</v>
      </c>
      <c r="F44" cm="1">
        <f t="array" ref="F44">INDEX(RefCapacity!$D$2:$D$526,MATCH(1,(RefCapacity!$A$2:$A$526='MultiRegModel Validation'!$A44)*(RefCapacity!$B$2:$B$526='MultiRegModel Validation'!$B44)*(RefCapacity!$C$2:$C$526='MultiRegModel Validation'!F$1),0))</f>
        <v>295.822</v>
      </c>
      <c r="G44" cm="1">
        <f t="array" ref="G44">INDEX(RefCapacity!$D$2:$D$526,MATCH(1,(RefCapacity!$A$2:$A$526='MultiRegModel Validation'!$A44)*(RefCapacity!$B$2:$B$526='MultiRegModel Validation'!$B44)*(RefCapacity!$C$2:$C$526='MultiRegModel Validation'!G$1),0))</f>
        <v>992.45</v>
      </c>
      <c r="H44" cm="1">
        <f t="array" ref="H44">INDEX(RefCapacity!$D$2:$D$526,MATCH(1,(RefCapacity!$A$2:$A$526='MultiRegModel Validation'!$A44)*(RefCapacity!$B$2:$B$526='MultiRegModel Validation'!$B44)*(RefCapacity!$C$2:$C$526='MultiRegModel Validation'!H$1),0))</f>
        <v>1790.11</v>
      </c>
      <c r="I44" cm="1">
        <f t="array" ref="I44">INDEX(RefCapacity!$D$2:$D$526,MATCH(1,(RefCapacity!$A$2:$A$526='MultiRegModel Validation'!$A44)*(RefCapacity!$B$2:$B$526='MultiRegModel Validation'!$B44)*(RefCapacity!$C$2:$C$526='MultiRegModel Validation'!I$1),0))</f>
        <v>38</v>
      </c>
      <c r="J44" cm="1">
        <f t="array" ref="J44">INDEX(RefCapacity!$D$2:$D$526,MATCH(1,(RefCapacity!$A$2:$A$526='MultiRegModel Validation'!$A44)*(RefCapacity!$B$2:$B$526='MultiRegModel Validation'!$B44)*(RefCapacity!$C$2:$C$526='MultiRegModel Validation'!J$1),0))</f>
        <v>5443.83</v>
      </c>
      <c r="K44">
        <v>0.46949891067538124</v>
      </c>
      <c r="L44">
        <v>0.1045751633986928</v>
      </c>
      <c r="M44">
        <v>0.26169934640522874</v>
      </c>
      <c r="N44">
        <v>7.8169934640522853E-2</v>
      </c>
      <c r="O44">
        <v>2.61437908496732E-2</v>
      </c>
      <c r="P44">
        <v>5.9912854030501082E-2</v>
      </c>
      <c r="Q44">
        <f t="shared" si="0"/>
        <v>1.7940392940392942</v>
      </c>
      <c r="R44">
        <v>1.45</v>
      </c>
      <c r="S44">
        <v>31.99</v>
      </c>
      <c r="T44" cm="1">
        <f t="array" ref="T44">MMULT($D44:$J44,'Avg CI Index'!$C$2:$C$8)/$C44</f>
        <v>10.050949683319351</v>
      </c>
      <c r="U44">
        <f>VLOOKUP($A44,'MultiReg Model'!$A$5:$G$9,2,FALSE)+'MultiRegModel Validation'!S44*VLOOKUP($A44,'MultiReg Model'!$A$5:$G$9,3,FALSE)+'MultiRegModel Validation'!R44*VLOOKUP($A44,'MultiReg Model'!$A$5:$G$9,4,FALSE)+'MultiRegModel Validation'!K44*VLOOKUP($A44,'MultiReg Model'!$A$5:$G$9,5,FALSE)+'MultiRegModel Validation'!M44*VLOOKUP($A44,'MultiReg Model'!$A$5:$G$9,6,FALSE)+$L44*VLOOKUP($A44,'MultiReg Model'!$A$5:$G$9,7,FALSE)</f>
        <v>13.483814417341948</v>
      </c>
    </row>
    <row r="45" spans="1:21" x14ac:dyDescent="0.25">
      <c r="A45">
        <v>3</v>
      </c>
      <c r="B45">
        <v>2018</v>
      </c>
      <c r="C45">
        <f>SUMIFS(RefCapacity!$D$2:$D$526,RefCapacity!$A$2:$A$526,'MultiRegModel Validation'!$A45,RefCapacity!$B$2:$B$526,'MultiRegModel Validation'!$B45)</f>
        <v>9683.3919999999998</v>
      </c>
      <c r="D45" cm="1">
        <f t="array" ref="D45">INDEX(RefCapacity!$D$2:$D$526,MATCH(1,(RefCapacity!$A$2:$A$526='MultiRegModel Validation'!$A45)*(RefCapacity!$B$2:$B$526='MultiRegModel Validation'!$B45)*(RefCapacity!$C$2:$C$526='MultiRegModel Validation'!D$1),0))</f>
        <v>296.11500000000001</v>
      </c>
      <c r="E45" cm="1">
        <f t="array" ref="E45">INDEX(RefCapacity!$D$2:$D$526,MATCH(1,(RefCapacity!$A$2:$A$526='MultiRegModel Validation'!$A45)*(RefCapacity!$B$2:$B$526='MultiRegModel Validation'!$B45)*(RefCapacity!$C$2:$C$526='MultiRegModel Validation'!E$1),0))</f>
        <v>683.06500000000005</v>
      </c>
      <c r="F45" cm="1">
        <f t="array" ref="F45">INDEX(RefCapacity!$D$2:$D$526,MATCH(1,(RefCapacity!$A$2:$A$526='MultiRegModel Validation'!$A45)*(RefCapacity!$B$2:$B$526='MultiRegModel Validation'!$B45)*(RefCapacity!$C$2:$C$526='MultiRegModel Validation'!F$1),0))</f>
        <v>295.822</v>
      </c>
      <c r="G45" cm="1">
        <f t="array" ref="G45">INDEX(RefCapacity!$D$2:$D$526,MATCH(1,(RefCapacity!$A$2:$A$526='MultiRegModel Validation'!$A45)*(RefCapacity!$B$2:$B$526='MultiRegModel Validation'!$B45)*(RefCapacity!$C$2:$C$526='MultiRegModel Validation'!G$1),0))</f>
        <v>992.45</v>
      </c>
      <c r="H45" cm="1">
        <f t="array" ref="H45">INDEX(RefCapacity!$D$2:$D$526,MATCH(1,(RefCapacity!$A$2:$A$526='MultiRegModel Validation'!$A45)*(RefCapacity!$B$2:$B$526='MultiRegModel Validation'!$B45)*(RefCapacity!$C$2:$C$526='MultiRegModel Validation'!H$1),0))</f>
        <v>1799.11</v>
      </c>
      <c r="I45" cm="1">
        <f t="array" ref="I45">INDEX(RefCapacity!$D$2:$D$526,MATCH(1,(RefCapacity!$A$2:$A$526='MultiRegModel Validation'!$A45)*(RefCapacity!$B$2:$B$526='MultiRegModel Validation'!$B45)*(RefCapacity!$C$2:$C$526='MultiRegModel Validation'!I$1),0))</f>
        <v>38</v>
      </c>
      <c r="J45" cm="1">
        <f t="array" ref="J45">INDEX(RefCapacity!$D$2:$D$526,MATCH(1,(RefCapacity!$A$2:$A$526='MultiRegModel Validation'!$A45)*(RefCapacity!$B$2:$B$526='MultiRegModel Validation'!$B45)*(RefCapacity!$C$2:$C$526='MultiRegModel Validation'!J$1),0))</f>
        <v>5578.83</v>
      </c>
      <c r="K45">
        <v>0.46949891067538124</v>
      </c>
      <c r="L45">
        <v>0.11002178649237471</v>
      </c>
      <c r="M45">
        <v>0.26086056644880173</v>
      </c>
      <c r="N45">
        <v>7.7919389978213516E-2</v>
      </c>
      <c r="O45">
        <v>2.3965141612200435E-2</v>
      </c>
      <c r="P45">
        <v>5.7734204793028314E-2</v>
      </c>
      <c r="Q45">
        <f t="shared" si="0"/>
        <v>1.799807909132668</v>
      </c>
      <c r="R45">
        <v>1.43</v>
      </c>
      <c r="S45">
        <v>32.61</v>
      </c>
      <c r="T45" cm="1">
        <f t="array" ref="T45">MMULT($D45:$J45,'Avg CI Index'!$C$2:$C$8)/$C45</f>
        <v>10.089910305082503</v>
      </c>
      <c r="U45">
        <f>VLOOKUP($A45,'MultiReg Model'!$A$5:$G$9,2,FALSE)+'MultiRegModel Validation'!S45*VLOOKUP($A45,'MultiReg Model'!$A$5:$G$9,3,FALSE)+'MultiRegModel Validation'!R45*VLOOKUP($A45,'MultiReg Model'!$A$5:$G$9,4,FALSE)+'MultiRegModel Validation'!K45*VLOOKUP($A45,'MultiReg Model'!$A$5:$G$9,5,FALSE)+'MultiRegModel Validation'!M45*VLOOKUP($A45,'MultiReg Model'!$A$5:$G$9,6,FALSE)+$L45*VLOOKUP($A45,'MultiReg Model'!$A$5:$G$9,7,FALSE)</f>
        <v>13.377842401970931</v>
      </c>
    </row>
    <row r="46" spans="1:21" x14ac:dyDescent="0.25">
      <c r="A46">
        <v>3</v>
      </c>
      <c r="B46">
        <v>2019</v>
      </c>
      <c r="C46">
        <f>SUMIFS(RefCapacity!$D$2:$D$526,RefCapacity!$A$2:$A$526,'MultiRegModel Validation'!$A46,RefCapacity!$B$2:$B$526,'MultiRegModel Validation'!$B46)</f>
        <v>9745.4670000000006</v>
      </c>
      <c r="D46" cm="1">
        <f t="array" ref="D46">INDEX(RefCapacity!$D$2:$D$526,MATCH(1,(RefCapacity!$A$2:$A$526='MultiRegModel Validation'!$A46)*(RefCapacity!$B$2:$B$526='MultiRegModel Validation'!$B46)*(RefCapacity!$C$2:$C$526='MultiRegModel Validation'!D$1),0))</f>
        <v>296.11500000000001</v>
      </c>
      <c r="E46" cm="1">
        <f t="array" ref="E46">INDEX(RefCapacity!$D$2:$D$526,MATCH(1,(RefCapacity!$A$2:$A$526='MultiRegModel Validation'!$A46)*(RefCapacity!$B$2:$B$526='MultiRegModel Validation'!$B46)*(RefCapacity!$C$2:$C$526='MultiRegModel Validation'!E$1),0))</f>
        <v>688.06500000000005</v>
      </c>
      <c r="F46" cm="1">
        <f t="array" ref="F46">INDEX(RefCapacity!$D$2:$D$526,MATCH(1,(RefCapacity!$A$2:$A$526='MultiRegModel Validation'!$A46)*(RefCapacity!$B$2:$B$526='MultiRegModel Validation'!$B46)*(RefCapacity!$C$2:$C$526='MultiRegModel Validation'!F$1),0))</f>
        <v>295.822</v>
      </c>
      <c r="G46" cm="1">
        <f t="array" ref="G46">INDEX(RefCapacity!$D$2:$D$526,MATCH(1,(RefCapacity!$A$2:$A$526='MultiRegModel Validation'!$A46)*(RefCapacity!$B$2:$B$526='MultiRegModel Validation'!$B46)*(RefCapacity!$C$2:$C$526='MultiRegModel Validation'!G$1),0))</f>
        <v>1010.025</v>
      </c>
      <c r="H46" cm="1">
        <f t="array" ref="H46">INDEX(RefCapacity!$D$2:$D$526,MATCH(1,(RefCapacity!$A$2:$A$526='MultiRegModel Validation'!$A46)*(RefCapacity!$B$2:$B$526='MultiRegModel Validation'!$B46)*(RefCapacity!$C$2:$C$526='MultiRegModel Validation'!H$1),0))</f>
        <v>2065.61</v>
      </c>
      <c r="I46" cm="1">
        <f t="array" ref="I46">INDEX(RefCapacity!$D$2:$D$526,MATCH(1,(RefCapacity!$A$2:$A$526='MultiRegModel Validation'!$A46)*(RefCapacity!$B$2:$B$526='MultiRegModel Validation'!$B46)*(RefCapacity!$C$2:$C$526='MultiRegModel Validation'!I$1),0))</f>
        <v>38</v>
      </c>
      <c r="J46" cm="1">
        <f t="array" ref="J46">INDEX(RefCapacity!$D$2:$D$526,MATCH(1,(RefCapacity!$A$2:$A$526='MultiRegModel Validation'!$A46)*(RefCapacity!$B$2:$B$526='MultiRegModel Validation'!$B46)*(RefCapacity!$C$2:$C$526='MultiRegModel Validation'!J$1),0))</f>
        <v>5351.83</v>
      </c>
      <c r="K46">
        <v>0.47122692725298587</v>
      </c>
      <c r="L46">
        <v>0.11183496199782844</v>
      </c>
      <c r="M46">
        <v>0.26502714440825187</v>
      </c>
      <c r="N46">
        <v>7.9163952225841494E-2</v>
      </c>
      <c r="O46">
        <v>1.8458197611292075E-2</v>
      </c>
      <c r="P46">
        <v>5.428881650380022E-2</v>
      </c>
      <c r="Q46">
        <f t="shared" si="0"/>
        <v>1.7780326928591914</v>
      </c>
      <c r="R46">
        <v>1.27</v>
      </c>
      <c r="S46">
        <v>33.54</v>
      </c>
      <c r="T46" cm="1">
        <f t="array" ref="T46">MMULT($D46:$J46,'Avg CI Index'!$C$2:$C$8)/$C46</f>
        <v>10.058958106663125</v>
      </c>
      <c r="U46">
        <f>VLOOKUP($A46,'MultiReg Model'!$A$5:$G$9,2,FALSE)+'MultiRegModel Validation'!S46*VLOOKUP($A46,'MultiReg Model'!$A$5:$G$9,3,FALSE)+'MultiRegModel Validation'!R46*VLOOKUP($A46,'MultiReg Model'!$A$5:$G$9,4,FALSE)+'MultiRegModel Validation'!K46*VLOOKUP($A46,'MultiReg Model'!$A$5:$G$9,5,FALSE)+'MultiRegModel Validation'!M46*VLOOKUP($A46,'MultiReg Model'!$A$5:$G$9,6,FALSE)+$L46*VLOOKUP($A46,'MultiReg Model'!$A$5:$G$9,7,FALSE)</f>
        <v>12.832136332417011</v>
      </c>
    </row>
    <row r="47" spans="1:21" x14ac:dyDescent="0.25">
      <c r="A47">
        <v>4</v>
      </c>
      <c r="B47">
        <v>2005</v>
      </c>
      <c r="C47">
        <f>SUMIFS(RefCapacity!$D$2:$D$526,RefCapacity!$A$2:$A$526,'MultiRegModel Validation'!$A47,RefCapacity!$B$2:$B$526,'MultiRegModel Validation'!$B47)</f>
        <v>590.70000000000005</v>
      </c>
      <c r="D47" cm="1">
        <f t="array" ref="D47">INDEX(RefCapacity!$D$2:$D$526,MATCH(1,(RefCapacity!$A$2:$A$526='MultiRegModel Validation'!$A47)*(RefCapacity!$B$2:$B$526='MultiRegModel Validation'!$B47)*(RefCapacity!$C$2:$C$526='MultiRegModel Validation'!D$1),0))</f>
        <v>12.5</v>
      </c>
      <c r="E47" cm="1">
        <f t="array" ref="E47">INDEX(RefCapacity!$D$2:$D$526,MATCH(1,(RefCapacity!$A$2:$A$526='MultiRegModel Validation'!$A47)*(RefCapacity!$B$2:$B$526='MultiRegModel Validation'!$B47)*(RefCapacity!$C$2:$C$526='MultiRegModel Validation'!E$1),0))</f>
        <v>369.2</v>
      </c>
      <c r="F47" cm="1">
        <f t="array" ref="F47">INDEX(RefCapacity!$D$2:$D$526,MATCH(1,(RefCapacity!$A$2:$A$526='MultiRegModel Validation'!$A47)*(RefCapacity!$B$2:$B$526='MultiRegModel Validation'!$B47)*(RefCapacity!$C$2:$C$526='MultiRegModel Validation'!F$1),0))</f>
        <v>0</v>
      </c>
      <c r="G47" cm="1">
        <f t="array" ref="G47">INDEX(RefCapacity!$D$2:$D$526,MATCH(1,(RefCapacity!$A$2:$A$526='MultiRegModel Validation'!$A47)*(RefCapacity!$B$2:$B$526='MultiRegModel Validation'!$B47)*(RefCapacity!$C$2:$C$526='MultiRegModel Validation'!G$1),0))</f>
        <v>0</v>
      </c>
      <c r="H47" cm="1">
        <f t="array" ref="H47">INDEX(RefCapacity!$D$2:$D$526,MATCH(1,(RefCapacity!$A$2:$A$526='MultiRegModel Validation'!$A47)*(RefCapacity!$B$2:$B$526='MultiRegModel Validation'!$B47)*(RefCapacity!$C$2:$C$526='MultiRegModel Validation'!H$1),0))</f>
        <v>149</v>
      </c>
      <c r="I47" cm="1">
        <f t="array" ref="I47">INDEX(RefCapacity!$D$2:$D$526,MATCH(1,(RefCapacity!$A$2:$A$526='MultiRegModel Validation'!$A47)*(RefCapacity!$B$2:$B$526='MultiRegModel Validation'!$B47)*(RefCapacity!$C$2:$C$526='MultiRegModel Validation'!I$1),0))</f>
        <v>0</v>
      </c>
      <c r="J47" cm="1">
        <f t="array" ref="J47">INDEX(RefCapacity!$D$2:$D$526,MATCH(1,(RefCapacity!$A$2:$A$526='MultiRegModel Validation'!$A47)*(RefCapacity!$B$2:$B$526='MultiRegModel Validation'!$B47)*(RefCapacity!$C$2:$C$526='MultiRegModel Validation'!J$1),0))</f>
        <v>60</v>
      </c>
      <c r="K47">
        <v>0.52036199095022617</v>
      </c>
      <c r="L47">
        <v>6.5610859728506776E-2</v>
      </c>
      <c r="M47">
        <v>0.26653846153846156</v>
      </c>
      <c r="N47">
        <v>7.9615384615384588E-2</v>
      </c>
      <c r="O47">
        <v>3.0542986425339366E-2</v>
      </c>
      <c r="P47">
        <v>3.733031674208144E-2</v>
      </c>
      <c r="Q47">
        <f t="shared" si="0"/>
        <v>1.9522960699431284</v>
      </c>
      <c r="R47">
        <v>1.3</v>
      </c>
      <c r="S47">
        <v>32.479999999999997</v>
      </c>
      <c r="T47" cm="1">
        <f t="array" ref="T47">MMULT($D47:$J47,'Avg CI Index'!$C$2:$C$8)/$C47</f>
        <v>8.2493359794629306</v>
      </c>
      <c r="U47">
        <f>VLOOKUP($A47,'MultiReg Model'!$A$5:$G$9,2,FALSE)+'MultiRegModel Validation'!S47*VLOOKUP($A47,'MultiReg Model'!$A$5:$G$9,3,FALSE)+'MultiRegModel Validation'!R47*VLOOKUP($A47,'MultiReg Model'!$A$5:$G$9,4,FALSE)+'MultiRegModel Validation'!K47*VLOOKUP($A47,'MultiReg Model'!$A$5:$G$9,5,FALSE)+'MultiRegModel Validation'!M47*VLOOKUP($A47,'MultiReg Model'!$A$5:$G$9,6,FALSE)+$L47*VLOOKUP($A47,'MultiReg Model'!$A$5:$G$9,7,FALSE)</f>
        <v>28.477249877767317</v>
      </c>
    </row>
    <row r="48" spans="1:21" x14ac:dyDescent="0.25">
      <c r="A48">
        <v>4</v>
      </c>
      <c r="B48">
        <v>2006</v>
      </c>
      <c r="C48">
        <f>SUMIFS(RefCapacity!$D$2:$D$526,RefCapacity!$A$2:$A$526,'MultiRegModel Validation'!$A48,RefCapacity!$B$2:$B$526,'MultiRegModel Validation'!$B48)</f>
        <v>574.20000000000005</v>
      </c>
      <c r="D48" cm="1">
        <f t="array" ref="D48">INDEX(RefCapacity!$D$2:$D$526,MATCH(1,(RefCapacity!$A$2:$A$526='MultiRegModel Validation'!$A48)*(RefCapacity!$B$2:$B$526='MultiRegModel Validation'!$B48)*(RefCapacity!$C$2:$C$526='MultiRegModel Validation'!D$1),0))</f>
        <v>12.5</v>
      </c>
      <c r="E48" cm="1">
        <f t="array" ref="E48">INDEX(RefCapacity!$D$2:$D$526,MATCH(1,(RefCapacity!$A$2:$A$526='MultiRegModel Validation'!$A48)*(RefCapacity!$B$2:$B$526='MultiRegModel Validation'!$B48)*(RefCapacity!$C$2:$C$526='MultiRegModel Validation'!E$1),0))</f>
        <v>352.7</v>
      </c>
      <c r="F48" cm="1">
        <f t="array" ref="F48">INDEX(RefCapacity!$D$2:$D$526,MATCH(1,(RefCapacity!$A$2:$A$526='MultiRegModel Validation'!$A48)*(RefCapacity!$B$2:$B$526='MultiRegModel Validation'!$B48)*(RefCapacity!$C$2:$C$526='MultiRegModel Validation'!F$1),0))</f>
        <v>0</v>
      </c>
      <c r="G48" cm="1">
        <f t="array" ref="G48">INDEX(RefCapacity!$D$2:$D$526,MATCH(1,(RefCapacity!$A$2:$A$526='MultiRegModel Validation'!$A48)*(RefCapacity!$B$2:$B$526='MultiRegModel Validation'!$B48)*(RefCapacity!$C$2:$C$526='MultiRegModel Validation'!G$1),0))</f>
        <v>0</v>
      </c>
      <c r="H48" cm="1">
        <f t="array" ref="H48">INDEX(RefCapacity!$D$2:$D$526,MATCH(1,(RefCapacity!$A$2:$A$526='MultiRegModel Validation'!$A48)*(RefCapacity!$B$2:$B$526='MultiRegModel Validation'!$B48)*(RefCapacity!$C$2:$C$526='MultiRegModel Validation'!H$1),0))</f>
        <v>149</v>
      </c>
      <c r="I48" cm="1">
        <f t="array" ref="I48">INDEX(RefCapacity!$D$2:$D$526,MATCH(1,(RefCapacity!$A$2:$A$526='MultiRegModel Validation'!$A48)*(RefCapacity!$B$2:$B$526='MultiRegModel Validation'!$B48)*(RefCapacity!$C$2:$C$526='MultiRegModel Validation'!I$1),0))</f>
        <v>0</v>
      </c>
      <c r="J48" cm="1">
        <f t="array" ref="J48">INDEX(RefCapacity!$D$2:$D$526,MATCH(1,(RefCapacity!$A$2:$A$526='MultiRegModel Validation'!$A48)*(RefCapacity!$B$2:$B$526='MultiRegModel Validation'!$B48)*(RefCapacity!$C$2:$C$526='MultiRegModel Validation'!J$1),0))</f>
        <v>60</v>
      </c>
      <c r="K48">
        <v>0.5219347581552306</v>
      </c>
      <c r="L48">
        <v>6.5241844769403826E-2</v>
      </c>
      <c r="M48">
        <v>0.26503937007874023</v>
      </c>
      <c r="N48">
        <v>7.91676040494938E-2</v>
      </c>
      <c r="O48">
        <v>3.1496062992125984E-2</v>
      </c>
      <c r="P48">
        <v>3.7120359955005629E-2</v>
      </c>
      <c r="Q48">
        <f t="shared" si="0"/>
        <v>1.9692725575078511</v>
      </c>
      <c r="R48">
        <v>1.32</v>
      </c>
      <c r="S48">
        <v>32.94</v>
      </c>
      <c r="T48" cm="1">
        <f t="array" ref="T48">MMULT($D48:$J48,'Avg CI Index'!$C$2:$C$8)/$C48</f>
        <v>8.2772706826106646</v>
      </c>
      <c r="U48">
        <f>VLOOKUP($A48,'MultiReg Model'!$A$5:$G$9,2,FALSE)+'MultiRegModel Validation'!S48*VLOOKUP($A48,'MultiReg Model'!$A$5:$G$9,3,FALSE)+'MultiRegModel Validation'!R48*VLOOKUP($A48,'MultiReg Model'!$A$5:$G$9,4,FALSE)+'MultiRegModel Validation'!K48*VLOOKUP($A48,'MultiReg Model'!$A$5:$G$9,5,FALSE)+'MultiRegModel Validation'!M48*VLOOKUP($A48,'MultiReg Model'!$A$5:$G$9,6,FALSE)+$L48*VLOOKUP($A48,'MultiReg Model'!$A$5:$G$9,7,FALSE)</f>
        <v>28.681057344353427</v>
      </c>
    </row>
    <row r="49" spans="1:21" x14ac:dyDescent="0.25">
      <c r="A49">
        <v>4</v>
      </c>
      <c r="B49">
        <v>2007</v>
      </c>
      <c r="C49">
        <f>SUMIFS(RefCapacity!$D$2:$D$526,RefCapacity!$A$2:$A$526,'MultiRegModel Validation'!$A49,RefCapacity!$B$2:$B$526,'MultiRegModel Validation'!$B49)</f>
        <v>630.1</v>
      </c>
      <c r="D49" cm="1">
        <f t="array" ref="D49">INDEX(RefCapacity!$D$2:$D$526,MATCH(1,(RefCapacity!$A$2:$A$526='MultiRegModel Validation'!$A49)*(RefCapacity!$B$2:$B$526='MultiRegModel Validation'!$B49)*(RefCapacity!$C$2:$C$526='MultiRegModel Validation'!D$1),0))</f>
        <v>12.5</v>
      </c>
      <c r="E49" cm="1">
        <f t="array" ref="E49">INDEX(RefCapacity!$D$2:$D$526,MATCH(1,(RefCapacity!$A$2:$A$526='MultiRegModel Validation'!$A49)*(RefCapacity!$B$2:$B$526='MultiRegModel Validation'!$B49)*(RefCapacity!$C$2:$C$526='MultiRegModel Validation'!E$1),0))</f>
        <v>408.6</v>
      </c>
      <c r="F49" cm="1">
        <f t="array" ref="F49">INDEX(RefCapacity!$D$2:$D$526,MATCH(1,(RefCapacity!$A$2:$A$526='MultiRegModel Validation'!$A49)*(RefCapacity!$B$2:$B$526='MultiRegModel Validation'!$B49)*(RefCapacity!$C$2:$C$526='MultiRegModel Validation'!F$1),0))</f>
        <v>0</v>
      </c>
      <c r="G49" cm="1">
        <f t="array" ref="G49">INDEX(RefCapacity!$D$2:$D$526,MATCH(1,(RefCapacity!$A$2:$A$526='MultiRegModel Validation'!$A49)*(RefCapacity!$B$2:$B$526='MultiRegModel Validation'!$B49)*(RefCapacity!$C$2:$C$526='MultiRegModel Validation'!G$1),0))</f>
        <v>0</v>
      </c>
      <c r="H49" cm="1">
        <f t="array" ref="H49">INDEX(RefCapacity!$D$2:$D$526,MATCH(1,(RefCapacity!$A$2:$A$526='MultiRegModel Validation'!$A49)*(RefCapacity!$B$2:$B$526='MultiRegModel Validation'!$B49)*(RefCapacity!$C$2:$C$526='MultiRegModel Validation'!H$1),0))</f>
        <v>149</v>
      </c>
      <c r="I49" cm="1">
        <f t="array" ref="I49">INDEX(RefCapacity!$D$2:$D$526,MATCH(1,(RefCapacity!$A$2:$A$526='MultiRegModel Validation'!$A49)*(RefCapacity!$B$2:$B$526='MultiRegModel Validation'!$B49)*(RefCapacity!$C$2:$C$526='MultiRegModel Validation'!I$1),0))</f>
        <v>0</v>
      </c>
      <c r="J49" cm="1">
        <f t="array" ref="J49">INDEX(RefCapacity!$D$2:$D$526,MATCH(1,(RefCapacity!$A$2:$A$526='MultiRegModel Validation'!$A49)*(RefCapacity!$B$2:$B$526='MultiRegModel Validation'!$B49)*(RefCapacity!$C$2:$C$526='MultiRegModel Validation'!J$1),0))</f>
        <v>60</v>
      </c>
      <c r="K49">
        <v>0.52673492605233219</v>
      </c>
      <c r="L49">
        <v>6.5984072810011382E-2</v>
      </c>
      <c r="M49">
        <v>0.26104664391353816</v>
      </c>
      <c r="N49">
        <v>7.797497155858929E-2</v>
      </c>
      <c r="O49">
        <v>2.9579067121729242E-2</v>
      </c>
      <c r="P49">
        <v>3.8680318543799774E-2</v>
      </c>
      <c r="Q49">
        <f t="shared" si="0"/>
        <v>2.0177808768412793</v>
      </c>
      <c r="R49">
        <v>1.37</v>
      </c>
      <c r="S49">
        <v>32.58</v>
      </c>
      <c r="T49" cm="1">
        <f t="array" ref="T49">MMULT($D49:$J49,'Avg CI Index'!$C$2:$C$8)/$C49</f>
        <v>8.1885490723372101</v>
      </c>
      <c r="U49">
        <f>VLOOKUP($A49,'MultiReg Model'!$A$5:$G$9,2,FALSE)+'MultiRegModel Validation'!S49*VLOOKUP($A49,'MultiReg Model'!$A$5:$G$9,3,FALSE)+'MultiRegModel Validation'!R49*VLOOKUP($A49,'MultiReg Model'!$A$5:$G$9,4,FALSE)+'MultiRegModel Validation'!K49*VLOOKUP($A49,'MultiReg Model'!$A$5:$G$9,5,FALSE)+'MultiRegModel Validation'!M49*VLOOKUP($A49,'MultiReg Model'!$A$5:$G$9,6,FALSE)+$L49*VLOOKUP($A49,'MultiReg Model'!$A$5:$G$9,7,FALSE)</f>
        <v>29.247511305362409</v>
      </c>
    </row>
    <row r="50" spans="1:21" x14ac:dyDescent="0.25">
      <c r="A50">
        <v>4</v>
      </c>
      <c r="B50">
        <v>2008</v>
      </c>
      <c r="C50">
        <f>SUMIFS(RefCapacity!$D$2:$D$526,RefCapacity!$A$2:$A$526,'MultiRegModel Validation'!$A50,RefCapacity!$B$2:$B$526,'MultiRegModel Validation'!$B50)</f>
        <v>630</v>
      </c>
      <c r="D50" cm="1">
        <f t="array" ref="D50">INDEX(RefCapacity!$D$2:$D$526,MATCH(1,(RefCapacity!$A$2:$A$526='MultiRegModel Validation'!$A50)*(RefCapacity!$B$2:$B$526='MultiRegModel Validation'!$B50)*(RefCapacity!$C$2:$C$526='MultiRegModel Validation'!D$1),0))</f>
        <v>12.5</v>
      </c>
      <c r="E50" cm="1">
        <f t="array" ref="E50">INDEX(RefCapacity!$D$2:$D$526,MATCH(1,(RefCapacity!$A$2:$A$526='MultiRegModel Validation'!$A50)*(RefCapacity!$B$2:$B$526='MultiRegModel Validation'!$B50)*(RefCapacity!$C$2:$C$526='MultiRegModel Validation'!E$1),0))</f>
        <v>378.5</v>
      </c>
      <c r="F50" cm="1">
        <f t="array" ref="F50">INDEX(RefCapacity!$D$2:$D$526,MATCH(1,(RefCapacity!$A$2:$A$526='MultiRegModel Validation'!$A50)*(RefCapacity!$B$2:$B$526='MultiRegModel Validation'!$B50)*(RefCapacity!$C$2:$C$526='MultiRegModel Validation'!F$1),0))</f>
        <v>0</v>
      </c>
      <c r="G50" cm="1">
        <f t="array" ref="G50">INDEX(RefCapacity!$D$2:$D$526,MATCH(1,(RefCapacity!$A$2:$A$526='MultiRegModel Validation'!$A50)*(RefCapacity!$B$2:$B$526='MultiRegModel Validation'!$B50)*(RefCapacity!$C$2:$C$526='MultiRegModel Validation'!G$1),0))</f>
        <v>30</v>
      </c>
      <c r="H50" cm="1">
        <f t="array" ref="H50">INDEX(RefCapacity!$D$2:$D$526,MATCH(1,(RefCapacity!$A$2:$A$526='MultiRegModel Validation'!$A50)*(RefCapacity!$B$2:$B$526='MultiRegModel Validation'!$B50)*(RefCapacity!$C$2:$C$526='MultiRegModel Validation'!H$1),0))</f>
        <v>149</v>
      </c>
      <c r="I50" cm="1">
        <f t="array" ref="I50">INDEX(RefCapacity!$D$2:$D$526,MATCH(1,(RefCapacity!$A$2:$A$526='MultiRegModel Validation'!$A50)*(RefCapacity!$B$2:$B$526='MultiRegModel Validation'!$B50)*(RefCapacity!$C$2:$C$526='MultiRegModel Validation'!I$1),0))</f>
        <v>0</v>
      </c>
      <c r="J50" cm="1">
        <f t="array" ref="J50">INDEX(RefCapacity!$D$2:$D$526,MATCH(1,(RefCapacity!$A$2:$A$526='MultiRegModel Validation'!$A50)*(RefCapacity!$B$2:$B$526='MultiRegModel Validation'!$B50)*(RefCapacity!$C$2:$C$526='MultiRegModel Validation'!J$1),0))</f>
        <v>60</v>
      </c>
      <c r="K50">
        <v>0.52145214521452143</v>
      </c>
      <c r="L50">
        <v>5.6105610561056105E-2</v>
      </c>
      <c r="M50">
        <v>0.26767876787678774</v>
      </c>
      <c r="N50">
        <v>7.9955995599559959E-2</v>
      </c>
      <c r="O50">
        <v>2.4202420242024205E-2</v>
      </c>
      <c r="P50">
        <v>5.0605060506050605E-2</v>
      </c>
      <c r="Q50">
        <f t="shared" si="0"/>
        <v>1.9480519480519476</v>
      </c>
      <c r="R50">
        <v>1.34</v>
      </c>
      <c r="S50">
        <v>32.44</v>
      </c>
      <c r="T50" cm="1">
        <f t="array" ref="T50">MMULT($D50:$J50,'Avg CI Index'!$C$2:$C$8)/$C50</f>
        <v>8.3003123279629065</v>
      </c>
      <c r="U50">
        <f>VLOOKUP($A50,'MultiReg Model'!$A$5:$G$9,2,FALSE)+'MultiRegModel Validation'!S50*VLOOKUP($A50,'MultiReg Model'!$A$5:$G$9,3,FALSE)+'MultiRegModel Validation'!R50*VLOOKUP($A50,'MultiReg Model'!$A$5:$G$9,4,FALSE)+'MultiRegModel Validation'!K50*VLOOKUP($A50,'MultiReg Model'!$A$5:$G$9,5,FALSE)+'MultiRegModel Validation'!M50*VLOOKUP($A50,'MultiReg Model'!$A$5:$G$9,6,FALSE)+$L50*VLOOKUP($A50,'MultiReg Model'!$A$5:$G$9,7,FALSE)</f>
        <v>29.015593941344118</v>
      </c>
    </row>
    <row r="51" spans="1:21" x14ac:dyDescent="0.25">
      <c r="A51">
        <v>4</v>
      </c>
      <c r="B51">
        <v>2009</v>
      </c>
      <c r="C51">
        <f>SUMIFS(RefCapacity!$D$2:$D$526,RefCapacity!$A$2:$A$526,'MultiRegModel Validation'!$A51,RefCapacity!$B$2:$B$526,'MultiRegModel Validation'!$B51)</f>
        <v>601</v>
      </c>
      <c r="D51" cm="1">
        <f t="array" ref="D51">INDEX(RefCapacity!$D$2:$D$526,MATCH(1,(RefCapacity!$A$2:$A$526='MultiRegModel Validation'!$A51)*(RefCapacity!$B$2:$B$526='MultiRegModel Validation'!$B51)*(RefCapacity!$C$2:$C$526='MultiRegModel Validation'!D$1),0))</f>
        <v>12.5</v>
      </c>
      <c r="E51" cm="1">
        <f t="array" ref="E51">INDEX(RefCapacity!$D$2:$D$526,MATCH(1,(RefCapacity!$A$2:$A$526='MultiRegModel Validation'!$A51)*(RefCapacity!$B$2:$B$526='MultiRegModel Validation'!$B51)*(RefCapacity!$C$2:$C$526='MultiRegModel Validation'!E$1),0))</f>
        <v>319.89999999999998</v>
      </c>
      <c r="F51" cm="1">
        <f t="array" ref="F51">INDEX(RefCapacity!$D$2:$D$526,MATCH(1,(RefCapacity!$A$2:$A$526='MultiRegModel Validation'!$A51)*(RefCapacity!$B$2:$B$526='MultiRegModel Validation'!$B51)*(RefCapacity!$C$2:$C$526='MultiRegModel Validation'!F$1),0))</f>
        <v>0</v>
      </c>
      <c r="G51" cm="1">
        <f t="array" ref="G51">INDEX(RefCapacity!$D$2:$D$526,MATCH(1,(RefCapacity!$A$2:$A$526='MultiRegModel Validation'!$A51)*(RefCapacity!$B$2:$B$526='MultiRegModel Validation'!$B51)*(RefCapacity!$C$2:$C$526='MultiRegModel Validation'!G$1),0))</f>
        <v>0</v>
      </c>
      <c r="H51" cm="1">
        <f t="array" ref="H51">INDEX(RefCapacity!$D$2:$D$526,MATCH(1,(RefCapacity!$A$2:$A$526='MultiRegModel Validation'!$A51)*(RefCapacity!$B$2:$B$526='MultiRegModel Validation'!$B51)*(RefCapacity!$C$2:$C$526='MultiRegModel Validation'!H$1),0))</f>
        <v>208.6</v>
      </c>
      <c r="I51" cm="1">
        <f t="array" ref="I51">INDEX(RefCapacity!$D$2:$D$526,MATCH(1,(RefCapacity!$A$2:$A$526='MultiRegModel Validation'!$A51)*(RefCapacity!$B$2:$B$526='MultiRegModel Validation'!$B51)*(RefCapacity!$C$2:$C$526='MultiRegModel Validation'!I$1),0))</f>
        <v>0</v>
      </c>
      <c r="J51" cm="1">
        <f t="array" ref="J51">INDEX(RefCapacity!$D$2:$D$526,MATCH(1,(RefCapacity!$A$2:$A$526='MultiRegModel Validation'!$A51)*(RefCapacity!$B$2:$B$526='MultiRegModel Validation'!$B51)*(RefCapacity!$C$2:$C$526='MultiRegModel Validation'!J$1),0))</f>
        <v>60</v>
      </c>
      <c r="K51">
        <v>0.53583241455347297</v>
      </c>
      <c r="L51">
        <v>5.7331863285556769E-2</v>
      </c>
      <c r="M51">
        <v>0.26402425578831312</v>
      </c>
      <c r="N51">
        <v>7.8864388092613036E-2</v>
      </c>
      <c r="O51">
        <v>1.65380374862183E-2</v>
      </c>
      <c r="P51">
        <v>4.7409040793825796E-2</v>
      </c>
      <c r="Q51">
        <f t="shared" si="0"/>
        <v>2.0294817722470455</v>
      </c>
      <c r="R51">
        <v>1.41</v>
      </c>
      <c r="S51">
        <v>33.1</v>
      </c>
      <c r="T51" cm="1">
        <f t="array" ref="T51">MMULT($D51:$J51,'Avg CI Index'!$C$2:$C$8)/$C51</f>
        <v>8.4980144924084744</v>
      </c>
      <c r="U51">
        <f>VLOOKUP($A51,'MultiReg Model'!$A$5:$G$9,2,FALSE)+'MultiRegModel Validation'!S51*VLOOKUP($A51,'MultiReg Model'!$A$5:$G$9,3,FALSE)+'MultiRegModel Validation'!R51*VLOOKUP($A51,'MultiReg Model'!$A$5:$G$9,4,FALSE)+'MultiRegModel Validation'!K51*VLOOKUP($A51,'MultiReg Model'!$A$5:$G$9,5,FALSE)+'MultiRegModel Validation'!M51*VLOOKUP($A51,'MultiReg Model'!$A$5:$G$9,6,FALSE)+$L51*VLOOKUP($A51,'MultiReg Model'!$A$5:$G$9,7,FALSE)</f>
        <v>29.93787263276721</v>
      </c>
    </row>
    <row r="52" spans="1:21" x14ac:dyDescent="0.25">
      <c r="A52">
        <v>4</v>
      </c>
      <c r="B52">
        <v>2010</v>
      </c>
      <c r="C52">
        <f>SUMIFS(RefCapacity!$D$2:$D$526,RefCapacity!$A$2:$A$526,'MultiRegModel Validation'!$A52,RefCapacity!$B$2:$B$526,'MultiRegModel Validation'!$B52)</f>
        <v>610.04999999999995</v>
      </c>
      <c r="D52" cm="1">
        <f t="array" ref="D52">INDEX(RefCapacity!$D$2:$D$526,MATCH(1,(RefCapacity!$A$2:$A$526='MultiRegModel Validation'!$A52)*(RefCapacity!$B$2:$B$526='MultiRegModel Validation'!$B52)*(RefCapacity!$C$2:$C$526='MultiRegModel Validation'!D$1),0))</f>
        <v>12.5</v>
      </c>
      <c r="E52" cm="1">
        <f t="array" ref="E52">INDEX(RefCapacity!$D$2:$D$526,MATCH(1,(RefCapacity!$A$2:$A$526='MultiRegModel Validation'!$A52)*(RefCapacity!$B$2:$B$526='MultiRegModel Validation'!$B52)*(RefCapacity!$C$2:$C$526='MultiRegModel Validation'!E$1),0))</f>
        <v>322.95</v>
      </c>
      <c r="F52" cm="1">
        <f t="array" ref="F52">INDEX(RefCapacity!$D$2:$D$526,MATCH(1,(RefCapacity!$A$2:$A$526='MultiRegModel Validation'!$A52)*(RefCapacity!$B$2:$B$526='MultiRegModel Validation'!$B52)*(RefCapacity!$C$2:$C$526='MultiRegModel Validation'!F$1),0))</f>
        <v>0</v>
      </c>
      <c r="G52" cm="1">
        <f t="array" ref="G52">INDEX(RefCapacity!$D$2:$D$526,MATCH(1,(RefCapacity!$A$2:$A$526='MultiRegModel Validation'!$A52)*(RefCapacity!$B$2:$B$526='MultiRegModel Validation'!$B52)*(RefCapacity!$C$2:$C$526='MultiRegModel Validation'!G$1),0))</f>
        <v>0</v>
      </c>
      <c r="H52" cm="1">
        <f t="array" ref="H52">INDEX(RefCapacity!$D$2:$D$526,MATCH(1,(RefCapacity!$A$2:$A$526='MultiRegModel Validation'!$A52)*(RefCapacity!$B$2:$B$526='MultiRegModel Validation'!$B52)*(RefCapacity!$C$2:$C$526='MultiRegModel Validation'!H$1),0))</f>
        <v>214.6</v>
      </c>
      <c r="I52" cm="1">
        <f t="array" ref="I52">INDEX(RefCapacity!$D$2:$D$526,MATCH(1,(RefCapacity!$A$2:$A$526='MultiRegModel Validation'!$A52)*(RefCapacity!$B$2:$B$526='MultiRegModel Validation'!$B52)*(RefCapacity!$C$2:$C$526='MultiRegModel Validation'!I$1),0))</f>
        <v>0</v>
      </c>
      <c r="J52" cm="1">
        <f t="array" ref="J52">INDEX(RefCapacity!$D$2:$D$526,MATCH(1,(RefCapacity!$A$2:$A$526='MultiRegModel Validation'!$A52)*(RefCapacity!$B$2:$B$526='MultiRegModel Validation'!$B52)*(RefCapacity!$C$2:$C$526='MultiRegModel Validation'!J$1),0))</f>
        <v>60</v>
      </c>
      <c r="K52">
        <v>0.53450164293537783</v>
      </c>
      <c r="L52">
        <v>6.0240963855421679E-2</v>
      </c>
      <c r="M52">
        <v>0.26566265060240962</v>
      </c>
      <c r="N52">
        <v>7.935377875136912E-2</v>
      </c>
      <c r="O52">
        <v>1.642935377875137E-2</v>
      </c>
      <c r="P52">
        <v>4.3811610076670317E-2</v>
      </c>
      <c r="Q52">
        <f t="shared" si="0"/>
        <v>2.0119562976705834</v>
      </c>
      <c r="R52">
        <v>1.33</v>
      </c>
      <c r="S52">
        <v>33.08</v>
      </c>
      <c r="T52" cm="1">
        <f t="array" ref="T52">MMULT($D52:$J52,'Avg CI Index'!$C$2:$C$8)/$C52</f>
        <v>8.5062197217342064</v>
      </c>
      <c r="U52">
        <f>VLOOKUP($A52,'MultiReg Model'!$A$5:$G$9,2,FALSE)+'MultiRegModel Validation'!S52*VLOOKUP($A52,'MultiReg Model'!$A$5:$G$9,3,FALSE)+'MultiRegModel Validation'!R52*VLOOKUP($A52,'MultiReg Model'!$A$5:$G$9,4,FALSE)+'MultiRegModel Validation'!K52*VLOOKUP($A52,'MultiReg Model'!$A$5:$G$9,5,FALSE)+'MultiRegModel Validation'!M52*VLOOKUP($A52,'MultiReg Model'!$A$5:$G$9,6,FALSE)+$L52*VLOOKUP($A52,'MultiReg Model'!$A$5:$G$9,7,FALSE)</f>
        <v>28.99373472577587</v>
      </c>
    </row>
    <row r="53" spans="1:21" x14ac:dyDescent="0.25">
      <c r="A53">
        <v>4</v>
      </c>
      <c r="B53">
        <v>2011</v>
      </c>
      <c r="C53">
        <f>SUMIFS(RefCapacity!$D$2:$D$526,RefCapacity!$A$2:$A$526,'MultiRegModel Validation'!$A53,RefCapacity!$B$2:$B$526,'MultiRegModel Validation'!$B53)</f>
        <v>599.20000000000005</v>
      </c>
      <c r="D53" cm="1">
        <f t="array" ref="D53">INDEX(RefCapacity!$D$2:$D$526,MATCH(1,(RefCapacity!$A$2:$A$526='MultiRegModel Validation'!$A53)*(RefCapacity!$B$2:$B$526='MultiRegModel Validation'!$B53)*(RefCapacity!$C$2:$C$526='MultiRegModel Validation'!D$1),0))</f>
        <v>6.25</v>
      </c>
      <c r="E53" cm="1">
        <f t="array" ref="E53">INDEX(RefCapacity!$D$2:$D$526,MATCH(1,(RefCapacity!$A$2:$A$526='MultiRegModel Validation'!$A53)*(RefCapacity!$B$2:$B$526='MultiRegModel Validation'!$B53)*(RefCapacity!$C$2:$C$526='MultiRegModel Validation'!E$1),0))</f>
        <v>322.95</v>
      </c>
      <c r="F53" cm="1">
        <f t="array" ref="F53">INDEX(RefCapacity!$D$2:$D$526,MATCH(1,(RefCapacity!$A$2:$A$526='MultiRegModel Validation'!$A53)*(RefCapacity!$B$2:$B$526='MultiRegModel Validation'!$B53)*(RefCapacity!$C$2:$C$526='MultiRegModel Validation'!F$1),0))</f>
        <v>0</v>
      </c>
      <c r="G53" cm="1">
        <f t="array" ref="G53">INDEX(RefCapacity!$D$2:$D$526,MATCH(1,(RefCapacity!$A$2:$A$526='MultiRegModel Validation'!$A53)*(RefCapacity!$B$2:$B$526='MultiRegModel Validation'!$B53)*(RefCapacity!$C$2:$C$526='MultiRegModel Validation'!G$1),0))</f>
        <v>0</v>
      </c>
      <c r="H53" cm="1">
        <f t="array" ref="H53">INDEX(RefCapacity!$D$2:$D$526,MATCH(1,(RefCapacity!$A$2:$A$526='MultiRegModel Validation'!$A53)*(RefCapacity!$B$2:$B$526='MultiRegModel Validation'!$B53)*(RefCapacity!$C$2:$C$526='MultiRegModel Validation'!H$1),0))</f>
        <v>210</v>
      </c>
      <c r="I53" cm="1">
        <f t="array" ref="I53">INDEX(RefCapacity!$D$2:$D$526,MATCH(1,(RefCapacity!$A$2:$A$526='MultiRegModel Validation'!$A53)*(RefCapacity!$B$2:$B$526='MultiRegModel Validation'!$B53)*(RefCapacity!$C$2:$C$526='MultiRegModel Validation'!I$1),0))</f>
        <v>0</v>
      </c>
      <c r="J53" cm="1">
        <f t="array" ref="J53">INDEX(RefCapacity!$D$2:$D$526,MATCH(1,(RefCapacity!$A$2:$A$526='MultiRegModel Validation'!$A53)*(RefCapacity!$B$2:$B$526='MultiRegModel Validation'!$B53)*(RefCapacity!$C$2:$C$526='MultiRegModel Validation'!J$1),0))</f>
        <v>60</v>
      </c>
      <c r="K53">
        <v>0.52051835853131756</v>
      </c>
      <c r="L53">
        <v>5.5075593952483799E-2</v>
      </c>
      <c r="M53">
        <v>0.27274298056155505</v>
      </c>
      <c r="N53">
        <v>8.146868250539957E-2</v>
      </c>
      <c r="O53">
        <v>2.0518358531317494E-2</v>
      </c>
      <c r="P53">
        <v>4.9676025917926567E-2</v>
      </c>
      <c r="Q53">
        <f t="shared" si="0"/>
        <v>1.9084573962622748</v>
      </c>
      <c r="R53">
        <v>1.37</v>
      </c>
      <c r="S53">
        <v>32.83</v>
      </c>
      <c r="T53" cm="1">
        <f t="array" ref="T53">MMULT($D53:$J53,'Avg CI Index'!$C$2:$C$8)/$C53</f>
        <v>8.5558130105621597</v>
      </c>
      <c r="U53">
        <f>VLOOKUP($A53,'MultiReg Model'!$A$5:$G$9,2,FALSE)+'MultiRegModel Validation'!S53*VLOOKUP($A53,'MultiReg Model'!$A$5:$G$9,3,FALSE)+'MultiRegModel Validation'!R53*VLOOKUP($A53,'MultiReg Model'!$A$5:$G$9,4,FALSE)+'MultiRegModel Validation'!K53*VLOOKUP($A53,'MultiReg Model'!$A$5:$G$9,5,FALSE)+'MultiRegModel Validation'!M53*VLOOKUP($A53,'MultiReg Model'!$A$5:$G$9,6,FALSE)+$L53*VLOOKUP($A53,'MultiReg Model'!$A$5:$G$9,7,FALSE)</f>
        <v>29.515017878776408</v>
      </c>
    </row>
    <row r="54" spans="1:21" x14ac:dyDescent="0.25">
      <c r="A54">
        <v>4</v>
      </c>
      <c r="B54">
        <v>2012</v>
      </c>
      <c r="C54">
        <f>SUMIFS(RefCapacity!$D$2:$D$526,RefCapacity!$A$2:$A$526,'MultiRegModel Validation'!$A54,RefCapacity!$B$2:$B$526,'MultiRegModel Validation'!$B54)</f>
        <v>604.20000000000005</v>
      </c>
      <c r="D54" cm="1">
        <f t="array" ref="D54">INDEX(RefCapacity!$D$2:$D$526,MATCH(1,(RefCapacity!$A$2:$A$526='MultiRegModel Validation'!$A54)*(RefCapacity!$B$2:$B$526='MultiRegModel Validation'!$B54)*(RefCapacity!$C$2:$C$526='MultiRegModel Validation'!D$1),0))</f>
        <v>6.25</v>
      </c>
      <c r="E54" cm="1">
        <f t="array" ref="E54">INDEX(RefCapacity!$D$2:$D$526,MATCH(1,(RefCapacity!$A$2:$A$526='MultiRegModel Validation'!$A54)*(RefCapacity!$B$2:$B$526='MultiRegModel Validation'!$B54)*(RefCapacity!$C$2:$C$526='MultiRegModel Validation'!E$1),0))</f>
        <v>327.95</v>
      </c>
      <c r="F54" cm="1">
        <f t="array" ref="F54">INDEX(RefCapacity!$D$2:$D$526,MATCH(1,(RefCapacity!$A$2:$A$526='MultiRegModel Validation'!$A54)*(RefCapacity!$B$2:$B$526='MultiRegModel Validation'!$B54)*(RefCapacity!$C$2:$C$526='MultiRegModel Validation'!F$1),0))</f>
        <v>0</v>
      </c>
      <c r="G54" cm="1">
        <f t="array" ref="G54">INDEX(RefCapacity!$D$2:$D$526,MATCH(1,(RefCapacity!$A$2:$A$526='MultiRegModel Validation'!$A54)*(RefCapacity!$B$2:$B$526='MultiRegModel Validation'!$B54)*(RefCapacity!$C$2:$C$526='MultiRegModel Validation'!G$1),0))</f>
        <v>0</v>
      </c>
      <c r="H54" cm="1">
        <f t="array" ref="H54">INDEX(RefCapacity!$D$2:$D$526,MATCH(1,(RefCapacity!$A$2:$A$526='MultiRegModel Validation'!$A54)*(RefCapacity!$B$2:$B$526='MultiRegModel Validation'!$B54)*(RefCapacity!$C$2:$C$526='MultiRegModel Validation'!H$1),0))</f>
        <v>210</v>
      </c>
      <c r="I54" cm="1">
        <f t="array" ref="I54">INDEX(RefCapacity!$D$2:$D$526,MATCH(1,(RefCapacity!$A$2:$A$526='MultiRegModel Validation'!$A54)*(RefCapacity!$B$2:$B$526='MultiRegModel Validation'!$B54)*(RefCapacity!$C$2:$C$526='MultiRegModel Validation'!I$1),0))</f>
        <v>0</v>
      </c>
      <c r="J54" cm="1">
        <f t="array" ref="J54">INDEX(RefCapacity!$D$2:$D$526,MATCH(1,(RefCapacity!$A$2:$A$526='MultiRegModel Validation'!$A54)*(RefCapacity!$B$2:$B$526='MultiRegModel Validation'!$B54)*(RefCapacity!$C$2:$C$526='MultiRegModel Validation'!J$1),0))</f>
        <v>60</v>
      </c>
      <c r="K54">
        <v>0.51900108577633008</v>
      </c>
      <c r="L54">
        <v>4.9945711183496201E-2</v>
      </c>
      <c r="M54">
        <v>0.28007600434310531</v>
      </c>
      <c r="N54">
        <v>8.3659066232356138E-2</v>
      </c>
      <c r="O54">
        <v>2.2801302931596094E-2</v>
      </c>
      <c r="P54">
        <v>4.4516829533116177E-2</v>
      </c>
      <c r="Q54">
        <f t="shared" si="0"/>
        <v>1.8530723008334951</v>
      </c>
      <c r="R54">
        <v>1.37</v>
      </c>
      <c r="S54">
        <v>33.299999999999997</v>
      </c>
      <c r="T54" cm="1">
        <f t="array" ref="T54">MMULT($D54:$J54,'Avg CI Index'!$C$2:$C$8)/$C54</f>
        <v>8.5452320381967155</v>
      </c>
      <c r="U54">
        <f>VLOOKUP($A54,'MultiReg Model'!$A$5:$G$9,2,FALSE)+'MultiRegModel Validation'!S54*VLOOKUP($A54,'MultiReg Model'!$A$5:$G$9,3,FALSE)+'MultiRegModel Validation'!R54*VLOOKUP($A54,'MultiReg Model'!$A$5:$G$9,4,FALSE)+'MultiRegModel Validation'!K54*VLOOKUP($A54,'MultiReg Model'!$A$5:$G$9,5,FALSE)+'MultiRegModel Validation'!M54*VLOOKUP($A54,'MultiReg Model'!$A$5:$G$9,6,FALSE)+$L54*VLOOKUP($A54,'MultiReg Model'!$A$5:$G$9,7,FALSE)</f>
        <v>29.706262558254199</v>
      </c>
    </row>
    <row r="55" spans="1:21" x14ac:dyDescent="0.25">
      <c r="A55">
        <v>4</v>
      </c>
      <c r="B55">
        <v>2013</v>
      </c>
      <c r="C55">
        <f>SUMIFS(RefCapacity!$D$2:$D$526,RefCapacity!$A$2:$A$526,'MultiRegModel Validation'!$A55,RefCapacity!$B$2:$B$526,'MultiRegModel Validation'!$B55)</f>
        <v>604.20000000000005</v>
      </c>
      <c r="D55" cm="1">
        <f t="array" ref="D55">INDEX(RefCapacity!$D$2:$D$526,MATCH(1,(RefCapacity!$A$2:$A$526='MultiRegModel Validation'!$A55)*(RefCapacity!$B$2:$B$526='MultiRegModel Validation'!$B55)*(RefCapacity!$C$2:$C$526='MultiRegModel Validation'!D$1),0))</f>
        <v>6.25</v>
      </c>
      <c r="E55" cm="1">
        <f t="array" ref="E55">INDEX(RefCapacity!$D$2:$D$526,MATCH(1,(RefCapacity!$A$2:$A$526='MultiRegModel Validation'!$A55)*(RefCapacity!$B$2:$B$526='MultiRegModel Validation'!$B55)*(RefCapacity!$C$2:$C$526='MultiRegModel Validation'!E$1),0))</f>
        <v>327.95</v>
      </c>
      <c r="F55" cm="1">
        <f t="array" ref="F55">INDEX(RefCapacity!$D$2:$D$526,MATCH(1,(RefCapacity!$A$2:$A$526='MultiRegModel Validation'!$A55)*(RefCapacity!$B$2:$B$526='MultiRegModel Validation'!$B55)*(RefCapacity!$C$2:$C$526='MultiRegModel Validation'!F$1),0))</f>
        <v>0</v>
      </c>
      <c r="G55" cm="1">
        <f t="array" ref="G55">INDEX(RefCapacity!$D$2:$D$526,MATCH(1,(RefCapacity!$A$2:$A$526='MultiRegModel Validation'!$A55)*(RefCapacity!$B$2:$B$526='MultiRegModel Validation'!$B55)*(RefCapacity!$C$2:$C$526='MultiRegModel Validation'!G$1),0))</f>
        <v>0</v>
      </c>
      <c r="H55" cm="1">
        <f t="array" ref="H55">INDEX(RefCapacity!$D$2:$D$526,MATCH(1,(RefCapacity!$A$2:$A$526='MultiRegModel Validation'!$A55)*(RefCapacity!$B$2:$B$526='MultiRegModel Validation'!$B55)*(RefCapacity!$C$2:$C$526='MultiRegModel Validation'!H$1),0))</f>
        <v>210</v>
      </c>
      <c r="I55" cm="1">
        <f t="array" ref="I55">INDEX(RefCapacity!$D$2:$D$526,MATCH(1,(RefCapacity!$A$2:$A$526='MultiRegModel Validation'!$A55)*(RefCapacity!$B$2:$B$526='MultiRegModel Validation'!$B55)*(RefCapacity!$C$2:$C$526='MultiRegModel Validation'!I$1),0))</f>
        <v>0</v>
      </c>
      <c r="J55" cm="1">
        <f t="array" ref="J55">INDEX(RefCapacity!$D$2:$D$526,MATCH(1,(RefCapacity!$A$2:$A$526='MultiRegModel Validation'!$A55)*(RefCapacity!$B$2:$B$526='MultiRegModel Validation'!$B55)*(RefCapacity!$C$2:$C$526='MultiRegModel Validation'!J$1),0))</f>
        <v>60</v>
      </c>
      <c r="K55">
        <v>0.51904243743199119</v>
      </c>
      <c r="L55">
        <v>4.8966267682263316E-2</v>
      </c>
      <c r="M55">
        <v>0.28152339499455925</v>
      </c>
      <c r="N55">
        <v>8.409140369967355E-2</v>
      </c>
      <c r="O55">
        <v>2.06746463547334E-2</v>
      </c>
      <c r="P55">
        <v>4.57018498367791E-2</v>
      </c>
      <c r="Q55">
        <f t="shared" si="0"/>
        <v>1.8436920222634507</v>
      </c>
      <c r="R55">
        <v>1.42</v>
      </c>
      <c r="S55">
        <v>33.49</v>
      </c>
      <c r="T55" cm="1">
        <f t="array" ref="T55">MMULT($D55:$J55,'Avg CI Index'!$C$2:$C$8)/$C55</f>
        <v>8.5452320381967155</v>
      </c>
      <c r="U55">
        <f>VLOOKUP($A55,'MultiReg Model'!$A$5:$G$9,2,FALSE)+'MultiRegModel Validation'!S55*VLOOKUP($A55,'MultiReg Model'!$A$5:$G$9,3,FALSE)+'MultiRegModel Validation'!R55*VLOOKUP($A55,'MultiReg Model'!$A$5:$G$9,4,FALSE)+'MultiRegModel Validation'!K55*VLOOKUP($A55,'MultiReg Model'!$A$5:$G$9,5,FALSE)+'MultiRegModel Validation'!M55*VLOOKUP($A55,'MultiReg Model'!$A$5:$G$9,6,FALSE)+$L55*VLOOKUP($A55,'MultiReg Model'!$A$5:$G$9,7,FALSE)</f>
        <v>30.357195179120009</v>
      </c>
    </row>
    <row r="56" spans="1:21" x14ac:dyDescent="0.25">
      <c r="A56">
        <v>4</v>
      </c>
      <c r="B56">
        <v>2014</v>
      </c>
      <c r="C56">
        <f>SUMIFS(RefCapacity!$D$2:$D$526,RefCapacity!$A$2:$A$526,'MultiRegModel Validation'!$A56,RefCapacity!$B$2:$B$526,'MultiRegModel Validation'!$B56)</f>
        <v>604.70000000000005</v>
      </c>
      <c r="D56" cm="1">
        <f t="array" ref="D56">INDEX(RefCapacity!$D$2:$D$526,MATCH(1,(RefCapacity!$A$2:$A$526='MultiRegModel Validation'!$A56)*(RefCapacity!$B$2:$B$526='MultiRegModel Validation'!$B56)*(RefCapacity!$C$2:$C$526='MultiRegModel Validation'!D$1),0))</f>
        <v>6.25</v>
      </c>
      <c r="E56" cm="1">
        <f t="array" ref="E56">INDEX(RefCapacity!$D$2:$D$526,MATCH(1,(RefCapacity!$A$2:$A$526='MultiRegModel Validation'!$A56)*(RefCapacity!$B$2:$B$526='MultiRegModel Validation'!$B56)*(RefCapacity!$C$2:$C$526='MultiRegModel Validation'!E$1),0))</f>
        <v>327.95</v>
      </c>
      <c r="F56" cm="1">
        <f t="array" ref="F56">INDEX(RefCapacity!$D$2:$D$526,MATCH(1,(RefCapacity!$A$2:$A$526='MultiRegModel Validation'!$A56)*(RefCapacity!$B$2:$B$526='MultiRegModel Validation'!$B56)*(RefCapacity!$C$2:$C$526='MultiRegModel Validation'!F$1),0))</f>
        <v>0</v>
      </c>
      <c r="G56" cm="1">
        <f t="array" ref="G56">INDEX(RefCapacity!$D$2:$D$526,MATCH(1,(RefCapacity!$A$2:$A$526='MultiRegModel Validation'!$A56)*(RefCapacity!$B$2:$B$526='MultiRegModel Validation'!$B56)*(RefCapacity!$C$2:$C$526='MultiRegModel Validation'!G$1),0))</f>
        <v>0</v>
      </c>
      <c r="H56" cm="1">
        <f t="array" ref="H56">INDEX(RefCapacity!$D$2:$D$526,MATCH(1,(RefCapacity!$A$2:$A$526='MultiRegModel Validation'!$A56)*(RefCapacity!$B$2:$B$526='MultiRegModel Validation'!$B56)*(RefCapacity!$C$2:$C$526='MultiRegModel Validation'!H$1),0))</f>
        <v>211</v>
      </c>
      <c r="I56" cm="1">
        <f t="array" ref="I56">INDEX(RefCapacity!$D$2:$D$526,MATCH(1,(RefCapacity!$A$2:$A$526='MultiRegModel Validation'!$A56)*(RefCapacity!$B$2:$B$526='MultiRegModel Validation'!$B56)*(RefCapacity!$C$2:$C$526='MultiRegModel Validation'!I$1),0))</f>
        <v>0</v>
      </c>
      <c r="J56" cm="1">
        <f t="array" ref="J56">INDEX(RefCapacity!$D$2:$D$526,MATCH(1,(RefCapacity!$A$2:$A$526='MultiRegModel Validation'!$A56)*(RefCapacity!$B$2:$B$526='MultiRegModel Validation'!$B56)*(RefCapacity!$C$2:$C$526='MultiRegModel Validation'!J$1),0))</f>
        <v>59.5</v>
      </c>
      <c r="K56">
        <v>0.51419213973799127</v>
      </c>
      <c r="L56">
        <v>5.5676855895196505E-2</v>
      </c>
      <c r="M56">
        <v>0.27992358078602619</v>
      </c>
      <c r="N56">
        <v>8.3613537117903924E-2</v>
      </c>
      <c r="O56">
        <v>2.2925764192139739E-2</v>
      </c>
      <c r="P56">
        <v>4.3668122270742363E-2</v>
      </c>
      <c r="Q56">
        <f t="shared" si="0"/>
        <v>1.8369018369018371</v>
      </c>
      <c r="R56">
        <v>1.33</v>
      </c>
      <c r="S56">
        <v>33.380000000000003</v>
      </c>
      <c r="T56" cm="1">
        <f t="array" ref="T56">MMULT($D56:$J56,'Avg CI Index'!$C$2:$C$8)/$C56</f>
        <v>8.5453981455421317</v>
      </c>
      <c r="U56">
        <f>VLOOKUP($A56,'MultiReg Model'!$A$5:$G$9,2,FALSE)+'MultiRegModel Validation'!S56*VLOOKUP($A56,'MultiReg Model'!$A$5:$G$9,3,FALSE)+'MultiRegModel Validation'!R56*VLOOKUP($A56,'MultiReg Model'!$A$5:$G$9,4,FALSE)+'MultiRegModel Validation'!K56*VLOOKUP($A56,'MultiReg Model'!$A$5:$G$9,5,FALSE)+'MultiRegModel Validation'!M56*VLOOKUP($A56,'MultiReg Model'!$A$5:$G$9,6,FALSE)+$L56*VLOOKUP($A56,'MultiReg Model'!$A$5:$G$9,7,FALSE)</f>
        <v>29.143672138898069</v>
      </c>
    </row>
    <row r="57" spans="1:21" x14ac:dyDescent="0.25">
      <c r="A57">
        <v>4</v>
      </c>
      <c r="B57">
        <v>2015</v>
      </c>
      <c r="C57">
        <f>SUMIFS(RefCapacity!$D$2:$D$526,RefCapacity!$A$2:$A$526,'MultiRegModel Validation'!$A57,RefCapacity!$B$2:$B$526,'MultiRegModel Validation'!$B57)</f>
        <v>627.25</v>
      </c>
      <c r="D57" cm="1">
        <f t="array" ref="D57">INDEX(RefCapacity!$D$2:$D$526,MATCH(1,(RefCapacity!$A$2:$A$526='MultiRegModel Validation'!$A57)*(RefCapacity!$B$2:$B$526='MultiRegModel Validation'!$B57)*(RefCapacity!$C$2:$C$526='MultiRegModel Validation'!D$1),0))</f>
        <v>6.25</v>
      </c>
      <c r="E57" cm="1">
        <f t="array" ref="E57">INDEX(RefCapacity!$D$2:$D$526,MATCH(1,(RefCapacity!$A$2:$A$526='MultiRegModel Validation'!$A57)*(RefCapacity!$B$2:$B$526='MultiRegModel Validation'!$B57)*(RefCapacity!$C$2:$C$526='MultiRegModel Validation'!E$1),0))</f>
        <v>344.5</v>
      </c>
      <c r="F57" cm="1">
        <f t="array" ref="F57">INDEX(RefCapacity!$D$2:$D$526,MATCH(1,(RefCapacity!$A$2:$A$526='MultiRegModel Validation'!$A57)*(RefCapacity!$B$2:$B$526='MultiRegModel Validation'!$B57)*(RefCapacity!$C$2:$C$526='MultiRegModel Validation'!F$1),0))</f>
        <v>0</v>
      </c>
      <c r="G57" cm="1">
        <f t="array" ref="G57">INDEX(RefCapacity!$D$2:$D$526,MATCH(1,(RefCapacity!$A$2:$A$526='MultiRegModel Validation'!$A57)*(RefCapacity!$B$2:$B$526='MultiRegModel Validation'!$B57)*(RefCapacity!$C$2:$C$526='MultiRegModel Validation'!G$1),0))</f>
        <v>0</v>
      </c>
      <c r="H57" cm="1">
        <f t="array" ref="H57">INDEX(RefCapacity!$D$2:$D$526,MATCH(1,(RefCapacity!$A$2:$A$526='MultiRegModel Validation'!$A57)*(RefCapacity!$B$2:$B$526='MultiRegModel Validation'!$B57)*(RefCapacity!$C$2:$C$526='MultiRegModel Validation'!H$1),0))</f>
        <v>216</v>
      </c>
      <c r="I57" cm="1">
        <f t="array" ref="I57">INDEX(RefCapacity!$D$2:$D$526,MATCH(1,(RefCapacity!$A$2:$A$526='MultiRegModel Validation'!$A57)*(RefCapacity!$B$2:$B$526='MultiRegModel Validation'!$B57)*(RefCapacity!$C$2:$C$526='MultiRegModel Validation'!I$1),0))</f>
        <v>0</v>
      </c>
      <c r="J57" cm="1">
        <f t="array" ref="J57">INDEX(RefCapacity!$D$2:$D$526,MATCH(1,(RefCapacity!$A$2:$A$526='MultiRegModel Validation'!$A57)*(RefCapacity!$B$2:$B$526='MultiRegModel Validation'!$B57)*(RefCapacity!$C$2:$C$526='MultiRegModel Validation'!J$1),0))</f>
        <v>60.5</v>
      </c>
      <c r="K57">
        <v>0.51413043478260878</v>
      </c>
      <c r="L57">
        <v>5.5434782608695658E-2</v>
      </c>
      <c r="M57">
        <v>0.27954347826086956</v>
      </c>
      <c r="N57">
        <v>8.3500000000000019E-2</v>
      </c>
      <c r="O57">
        <v>2.2826086956521743E-2</v>
      </c>
      <c r="P57">
        <v>4.4565217391304354E-2</v>
      </c>
      <c r="Q57">
        <f t="shared" si="0"/>
        <v>1.83917878528657</v>
      </c>
      <c r="R57">
        <v>1.37</v>
      </c>
      <c r="S57">
        <v>33.36</v>
      </c>
      <c r="T57" cm="1">
        <f t="array" ref="T57">MMULT($D57:$J57,'Avg CI Index'!$C$2:$C$8)/$C57</f>
        <v>8.5273239338352944</v>
      </c>
      <c r="U57">
        <f>VLOOKUP($A57,'MultiReg Model'!$A$5:$G$9,2,FALSE)+'MultiRegModel Validation'!S57*VLOOKUP($A57,'MultiReg Model'!$A$5:$G$9,3,FALSE)+'MultiRegModel Validation'!R57*VLOOKUP($A57,'MultiReg Model'!$A$5:$G$9,4,FALSE)+'MultiRegModel Validation'!K57*VLOOKUP($A57,'MultiReg Model'!$A$5:$G$9,5,FALSE)+'MultiRegModel Validation'!M57*VLOOKUP($A57,'MultiReg Model'!$A$5:$G$9,6,FALSE)+$L57*VLOOKUP($A57,'MultiReg Model'!$A$5:$G$9,7,FALSE)</f>
        <v>29.620785615872062</v>
      </c>
    </row>
    <row r="58" spans="1:21" x14ac:dyDescent="0.25">
      <c r="A58">
        <v>4</v>
      </c>
      <c r="B58">
        <v>2016</v>
      </c>
      <c r="C58">
        <f>SUMIFS(RefCapacity!$D$2:$D$526,RefCapacity!$A$2:$A$526,'MultiRegModel Validation'!$A58,RefCapacity!$B$2:$B$526,'MultiRegModel Validation'!$B58)</f>
        <v>657.31999999999994</v>
      </c>
      <c r="D58" cm="1">
        <f t="array" ref="D58">INDEX(RefCapacity!$D$2:$D$526,MATCH(1,(RefCapacity!$A$2:$A$526='MultiRegModel Validation'!$A58)*(RefCapacity!$B$2:$B$526='MultiRegModel Validation'!$B58)*(RefCapacity!$C$2:$C$526='MultiRegModel Validation'!D$1),0))</f>
        <v>14.914999999999999</v>
      </c>
      <c r="E58" cm="1">
        <f t="array" ref="E58">INDEX(RefCapacity!$D$2:$D$526,MATCH(1,(RefCapacity!$A$2:$A$526='MultiRegModel Validation'!$A58)*(RefCapacity!$B$2:$B$526='MultiRegModel Validation'!$B58)*(RefCapacity!$C$2:$C$526='MultiRegModel Validation'!E$1),0))</f>
        <v>226.72499999999999</v>
      </c>
      <c r="F58" cm="1">
        <f t="array" ref="F58">INDEX(RefCapacity!$D$2:$D$526,MATCH(1,(RefCapacity!$A$2:$A$526='MultiRegModel Validation'!$A58)*(RefCapacity!$B$2:$B$526='MultiRegModel Validation'!$B58)*(RefCapacity!$C$2:$C$526='MultiRegModel Validation'!F$1),0))</f>
        <v>0</v>
      </c>
      <c r="G58" cm="1">
        <f t="array" ref="G58">INDEX(RefCapacity!$D$2:$D$526,MATCH(1,(RefCapacity!$A$2:$A$526='MultiRegModel Validation'!$A58)*(RefCapacity!$B$2:$B$526='MultiRegModel Validation'!$B58)*(RefCapacity!$C$2:$C$526='MultiRegModel Validation'!G$1),0))</f>
        <v>53.58</v>
      </c>
      <c r="H58" cm="1">
        <f t="array" ref="H58">INDEX(RefCapacity!$D$2:$D$526,MATCH(1,(RefCapacity!$A$2:$A$526='MultiRegModel Validation'!$A58)*(RefCapacity!$B$2:$B$526='MultiRegModel Validation'!$B58)*(RefCapacity!$C$2:$C$526='MultiRegModel Validation'!H$1),0))</f>
        <v>216.845</v>
      </c>
      <c r="I58" cm="1">
        <f t="array" ref="I58">INDEX(RefCapacity!$D$2:$D$526,MATCH(1,(RefCapacity!$A$2:$A$526='MultiRegModel Validation'!$A58)*(RefCapacity!$B$2:$B$526='MultiRegModel Validation'!$B58)*(RefCapacity!$C$2:$C$526='MultiRegModel Validation'!I$1),0))</f>
        <v>0</v>
      </c>
      <c r="J58" cm="1">
        <f t="array" ref="J58">INDEX(RefCapacity!$D$2:$D$526,MATCH(1,(RefCapacity!$A$2:$A$526='MultiRegModel Validation'!$A58)*(RefCapacity!$B$2:$B$526='MultiRegModel Validation'!$B58)*(RefCapacity!$C$2:$C$526='MultiRegModel Validation'!J$1),0))</f>
        <v>145.255</v>
      </c>
      <c r="K58">
        <v>0.52586206896551713</v>
      </c>
      <c r="L58">
        <v>5.9267241379310338E-2</v>
      </c>
      <c r="M58">
        <v>0.2704956896551724</v>
      </c>
      <c r="N58">
        <v>8.0797413793103456E-2</v>
      </c>
      <c r="O58">
        <v>1.8318965517241378E-2</v>
      </c>
      <c r="P58">
        <v>4.5258620689655166E-2</v>
      </c>
      <c r="Q58">
        <f t="shared" si="0"/>
        <v>1.9440682017369131</v>
      </c>
      <c r="R58">
        <v>1.38</v>
      </c>
      <c r="S58">
        <v>33.36</v>
      </c>
      <c r="T58" cm="1">
        <f t="array" ref="T58">MMULT($D58:$J58,'Avg CI Index'!$C$2:$C$8)/$C58</f>
        <v>9.1047251106331579</v>
      </c>
      <c r="U58">
        <f>VLOOKUP($A58,'MultiReg Model'!$A$5:$G$9,2,FALSE)+'MultiRegModel Validation'!S58*VLOOKUP($A58,'MultiReg Model'!$A$5:$G$9,3,FALSE)+'MultiRegModel Validation'!R58*VLOOKUP($A58,'MultiReg Model'!$A$5:$G$9,4,FALSE)+'MultiRegModel Validation'!K58*VLOOKUP($A58,'MultiReg Model'!$A$5:$G$9,5,FALSE)+'MultiRegModel Validation'!M58*VLOOKUP($A58,'MultiReg Model'!$A$5:$G$9,6,FALSE)+$L58*VLOOKUP($A58,'MultiReg Model'!$A$5:$G$9,7,FALSE)</f>
        <v>29.625544853198527</v>
      </c>
    </row>
    <row r="59" spans="1:21" x14ac:dyDescent="0.25">
      <c r="A59">
        <v>4</v>
      </c>
      <c r="B59">
        <v>2017</v>
      </c>
      <c r="C59">
        <f>SUMIFS(RefCapacity!$D$2:$D$526,RefCapacity!$A$2:$A$526,'MultiRegModel Validation'!$A59,RefCapacity!$B$2:$B$526,'MultiRegModel Validation'!$B59)</f>
        <v>683.245</v>
      </c>
      <c r="D59" cm="1">
        <f t="array" ref="D59">INDEX(RefCapacity!$D$2:$D$526,MATCH(1,(RefCapacity!$A$2:$A$526='MultiRegModel Validation'!$A59)*(RefCapacity!$B$2:$B$526='MultiRegModel Validation'!$B59)*(RefCapacity!$C$2:$C$526='MultiRegModel Validation'!D$1),0))</f>
        <v>14.914999999999999</v>
      </c>
      <c r="E59" cm="1">
        <f t="array" ref="E59">INDEX(RefCapacity!$D$2:$D$526,MATCH(1,(RefCapacity!$A$2:$A$526='MultiRegModel Validation'!$A59)*(RefCapacity!$B$2:$B$526='MultiRegModel Validation'!$B59)*(RefCapacity!$C$2:$C$526='MultiRegModel Validation'!E$1),0))</f>
        <v>230.05</v>
      </c>
      <c r="F59" cm="1">
        <f t="array" ref="F59">INDEX(RefCapacity!$D$2:$D$526,MATCH(1,(RefCapacity!$A$2:$A$526='MultiRegModel Validation'!$A59)*(RefCapacity!$B$2:$B$526='MultiRegModel Validation'!$B59)*(RefCapacity!$C$2:$C$526='MultiRegModel Validation'!F$1),0))</f>
        <v>0</v>
      </c>
      <c r="G59" cm="1">
        <f t="array" ref="G59">INDEX(RefCapacity!$D$2:$D$526,MATCH(1,(RefCapacity!$A$2:$A$526='MultiRegModel Validation'!$A59)*(RefCapacity!$B$2:$B$526='MultiRegModel Validation'!$B59)*(RefCapacity!$C$2:$C$526='MultiRegModel Validation'!G$1),0))</f>
        <v>72.58</v>
      </c>
      <c r="H59" cm="1">
        <f t="array" ref="H59">INDEX(RefCapacity!$D$2:$D$526,MATCH(1,(RefCapacity!$A$2:$A$526='MultiRegModel Validation'!$A59)*(RefCapacity!$B$2:$B$526='MultiRegModel Validation'!$B59)*(RefCapacity!$C$2:$C$526='MultiRegModel Validation'!H$1),0))</f>
        <v>220.44499999999999</v>
      </c>
      <c r="I59" cm="1">
        <f t="array" ref="I59">INDEX(RefCapacity!$D$2:$D$526,MATCH(1,(RefCapacity!$A$2:$A$526='MultiRegModel Validation'!$A59)*(RefCapacity!$B$2:$B$526='MultiRegModel Validation'!$B59)*(RefCapacity!$C$2:$C$526='MultiRegModel Validation'!I$1),0))</f>
        <v>0</v>
      </c>
      <c r="J59" cm="1">
        <f t="array" ref="J59">INDEX(RefCapacity!$D$2:$D$526,MATCH(1,(RefCapacity!$A$2:$A$526='MultiRegModel Validation'!$A59)*(RefCapacity!$B$2:$B$526='MultiRegModel Validation'!$B59)*(RefCapacity!$C$2:$C$526='MultiRegModel Validation'!J$1),0))</f>
        <v>145.255</v>
      </c>
      <c r="K59">
        <v>0.52051835853131756</v>
      </c>
      <c r="L59">
        <v>5.9395248380129592E-2</v>
      </c>
      <c r="M59">
        <v>0.27357451403887689</v>
      </c>
      <c r="N59">
        <v>8.1717062634989179E-2</v>
      </c>
      <c r="O59">
        <v>2.0518358531317494E-2</v>
      </c>
      <c r="P59">
        <v>4.4276457883369327E-2</v>
      </c>
      <c r="Q59">
        <f t="shared" si="0"/>
        <v>1.9026566139028147</v>
      </c>
      <c r="R59">
        <v>1.41</v>
      </c>
      <c r="S59">
        <v>33.479999999999997</v>
      </c>
      <c r="T59" cm="1">
        <f t="array" ref="T59">MMULT($D59:$J59,'Avg CI Index'!$C$2:$C$8)/$C59</f>
        <v>9.1146626664863639</v>
      </c>
      <c r="U59">
        <f>VLOOKUP($A59,'MultiReg Model'!$A$5:$G$9,2,FALSE)+'MultiRegModel Validation'!S59*VLOOKUP($A59,'MultiReg Model'!$A$5:$G$9,3,FALSE)+'MultiRegModel Validation'!R59*VLOOKUP($A59,'MultiReg Model'!$A$5:$G$9,4,FALSE)+'MultiRegModel Validation'!K59*VLOOKUP($A59,'MultiReg Model'!$A$5:$G$9,5,FALSE)+'MultiRegModel Validation'!M59*VLOOKUP($A59,'MultiReg Model'!$A$5:$G$9,6,FALSE)+$L59*VLOOKUP($A59,'MultiReg Model'!$A$5:$G$9,7,FALSE)</f>
        <v>30.009923500655734</v>
      </c>
    </row>
    <row r="60" spans="1:21" x14ac:dyDescent="0.25">
      <c r="A60">
        <v>4</v>
      </c>
      <c r="B60">
        <v>2018</v>
      </c>
      <c r="C60">
        <f>SUMIFS(RefCapacity!$D$2:$D$526,RefCapacity!$A$2:$A$526,'MultiRegModel Validation'!$A60,RefCapacity!$B$2:$B$526,'MultiRegModel Validation'!$B60)</f>
        <v>683.245</v>
      </c>
      <c r="D60" cm="1">
        <f t="array" ref="D60">INDEX(RefCapacity!$D$2:$D$526,MATCH(1,(RefCapacity!$A$2:$A$526='MultiRegModel Validation'!$A60)*(RefCapacity!$B$2:$B$526='MultiRegModel Validation'!$B60)*(RefCapacity!$C$2:$C$526='MultiRegModel Validation'!D$1),0))</f>
        <v>14.914999999999999</v>
      </c>
      <c r="E60" cm="1">
        <f t="array" ref="E60">INDEX(RefCapacity!$D$2:$D$526,MATCH(1,(RefCapacity!$A$2:$A$526='MultiRegModel Validation'!$A60)*(RefCapacity!$B$2:$B$526='MultiRegModel Validation'!$B60)*(RefCapacity!$C$2:$C$526='MultiRegModel Validation'!E$1),0))</f>
        <v>230.05</v>
      </c>
      <c r="F60" cm="1">
        <f t="array" ref="F60">INDEX(RefCapacity!$D$2:$D$526,MATCH(1,(RefCapacity!$A$2:$A$526='MultiRegModel Validation'!$A60)*(RefCapacity!$B$2:$B$526='MultiRegModel Validation'!$B60)*(RefCapacity!$C$2:$C$526='MultiRegModel Validation'!F$1),0))</f>
        <v>0</v>
      </c>
      <c r="G60" cm="1">
        <f t="array" ref="G60">INDEX(RefCapacity!$D$2:$D$526,MATCH(1,(RefCapacity!$A$2:$A$526='MultiRegModel Validation'!$A60)*(RefCapacity!$B$2:$B$526='MultiRegModel Validation'!$B60)*(RefCapacity!$C$2:$C$526='MultiRegModel Validation'!G$1),0))</f>
        <v>72.58</v>
      </c>
      <c r="H60" cm="1">
        <f t="array" ref="H60">INDEX(RefCapacity!$D$2:$D$526,MATCH(1,(RefCapacity!$A$2:$A$526='MultiRegModel Validation'!$A60)*(RefCapacity!$B$2:$B$526='MultiRegModel Validation'!$B60)*(RefCapacity!$C$2:$C$526='MultiRegModel Validation'!H$1),0))</f>
        <v>220.44499999999999</v>
      </c>
      <c r="I60" cm="1">
        <f t="array" ref="I60">INDEX(RefCapacity!$D$2:$D$526,MATCH(1,(RefCapacity!$A$2:$A$526='MultiRegModel Validation'!$A60)*(RefCapacity!$B$2:$B$526='MultiRegModel Validation'!$B60)*(RefCapacity!$C$2:$C$526='MultiRegModel Validation'!I$1),0))</f>
        <v>0</v>
      </c>
      <c r="J60" cm="1">
        <f t="array" ref="J60">INDEX(RefCapacity!$D$2:$D$526,MATCH(1,(RefCapacity!$A$2:$A$526='MultiRegModel Validation'!$A60)*(RefCapacity!$B$2:$B$526='MultiRegModel Validation'!$B60)*(RefCapacity!$C$2:$C$526='MultiRegModel Validation'!J$1),0))</f>
        <v>145.255</v>
      </c>
      <c r="K60">
        <v>0.51357220412595006</v>
      </c>
      <c r="L60">
        <v>5.7546145494028235E-2</v>
      </c>
      <c r="M60">
        <v>0.27840390879478827</v>
      </c>
      <c r="N60">
        <v>8.3159609120521172E-2</v>
      </c>
      <c r="O60">
        <v>2.171552660152009E-2</v>
      </c>
      <c r="P60">
        <v>4.5602605863192189E-2</v>
      </c>
      <c r="Q60">
        <f t="shared" si="0"/>
        <v>1.8447018447018448</v>
      </c>
      <c r="R60">
        <v>1.48</v>
      </c>
      <c r="S60">
        <v>32.659999999999997</v>
      </c>
      <c r="T60" cm="1">
        <f t="array" ref="T60">MMULT($D60:$J60,'Avg CI Index'!$C$2:$C$8)/$C60</f>
        <v>9.1146626664863639</v>
      </c>
      <c r="U60">
        <f>VLOOKUP($A60,'MultiReg Model'!$A$5:$G$9,2,FALSE)+'MultiRegModel Validation'!S60*VLOOKUP($A60,'MultiReg Model'!$A$5:$G$9,3,FALSE)+'MultiRegModel Validation'!R60*VLOOKUP($A60,'MultiReg Model'!$A$5:$G$9,4,FALSE)+'MultiRegModel Validation'!K60*VLOOKUP($A60,'MultiReg Model'!$A$5:$G$9,5,FALSE)+'MultiRegModel Validation'!M60*VLOOKUP($A60,'MultiReg Model'!$A$5:$G$9,6,FALSE)+$L60*VLOOKUP($A60,'MultiReg Model'!$A$5:$G$9,7,FALSE)</f>
        <v>30.947565094942131</v>
      </c>
    </row>
    <row r="61" spans="1:21" x14ac:dyDescent="0.25">
      <c r="A61">
        <v>4</v>
      </c>
      <c r="B61">
        <v>2019</v>
      </c>
      <c r="C61">
        <f>SUMIFS(RefCapacity!$D$2:$D$526,RefCapacity!$A$2:$A$526,'MultiRegModel Validation'!$A61,RefCapacity!$B$2:$B$526,'MultiRegModel Validation'!$B61)</f>
        <v>684.39499999999998</v>
      </c>
      <c r="D61" cm="1">
        <f t="array" ref="D61">INDEX(RefCapacity!$D$2:$D$526,MATCH(1,(RefCapacity!$A$2:$A$526='MultiRegModel Validation'!$A61)*(RefCapacity!$B$2:$B$526='MultiRegModel Validation'!$B61)*(RefCapacity!$C$2:$C$526='MultiRegModel Validation'!D$1),0))</f>
        <v>14.914999999999999</v>
      </c>
      <c r="E61" cm="1">
        <f t="array" ref="E61">INDEX(RefCapacity!$D$2:$D$526,MATCH(1,(RefCapacity!$A$2:$A$526='MultiRegModel Validation'!$A61)*(RefCapacity!$B$2:$B$526='MultiRegModel Validation'!$B61)*(RefCapacity!$C$2:$C$526='MultiRegModel Validation'!E$1),0))</f>
        <v>231.2</v>
      </c>
      <c r="F61" cm="1">
        <f t="array" ref="F61">INDEX(RefCapacity!$D$2:$D$526,MATCH(1,(RefCapacity!$A$2:$A$526='MultiRegModel Validation'!$A61)*(RefCapacity!$B$2:$B$526='MultiRegModel Validation'!$B61)*(RefCapacity!$C$2:$C$526='MultiRegModel Validation'!F$1),0))</f>
        <v>0</v>
      </c>
      <c r="G61" cm="1">
        <f t="array" ref="G61">INDEX(RefCapacity!$D$2:$D$526,MATCH(1,(RefCapacity!$A$2:$A$526='MultiRegModel Validation'!$A61)*(RefCapacity!$B$2:$B$526='MultiRegModel Validation'!$B61)*(RefCapacity!$C$2:$C$526='MultiRegModel Validation'!G$1),0))</f>
        <v>72.58</v>
      </c>
      <c r="H61" cm="1">
        <f t="array" ref="H61">INDEX(RefCapacity!$D$2:$D$526,MATCH(1,(RefCapacity!$A$2:$A$526='MultiRegModel Validation'!$A61)*(RefCapacity!$B$2:$B$526='MultiRegModel Validation'!$B61)*(RefCapacity!$C$2:$C$526='MultiRegModel Validation'!H$1),0))</f>
        <v>220.44499999999999</v>
      </c>
      <c r="I61" cm="1">
        <f t="array" ref="I61">INDEX(RefCapacity!$D$2:$D$526,MATCH(1,(RefCapacity!$A$2:$A$526='MultiRegModel Validation'!$A61)*(RefCapacity!$B$2:$B$526='MultiRegModel Validation'!$B61)*(RefCapacity!$C$2:$C$526='MultiRegModel Validation'!I$1),0))</f>
        <v>0</v>
      </c>
      <c r="J61" cm="1">
        <f t="array" ref="J61">INDEX(RefCapacity!$D$2:$D$526,MATCH(1,(RefCapacity!$A$2:$A$526='MultiRegModel Validation'!$A61)*(RefCapacity!$B$2:$B$526='MultiRegModel Validation'!$B61)*(RefCapacity!$C$2:$C$526='MultiRegModel Validation'!J$1),0))</f>
        <v>145.255</v>
      </c>
      <c r="K61">
        <v>0.5167567567567567</v>
      </c>
      <c r="L61">
        <v>5.4054054054054057E-2</v>
      </c>
      <c r="M61">
        <v>0.28052972972972978</v>
      </c>
      <c r="N61">
        <v>8.3794594594594596E-2</v>
      </c>
      <c r="O61">
        <v>2.1621621621621623E-2</v>
      </c>
      <c r="P61">
        <v>4.3243243243243246E-2</v>
      </c>
      <c r="Q61">
        <f t="shared" si="0"/>
        <v>1.8420748391074795</v>
      </c>
      <c r="R61">
        <v>1.41</v>
      </c>
      <c r="S61">
        <v>33.04</v>
      </c>
      <c r="T61" cm="1">
        <f t="array" ref="T61">MMULT($D61:$J61,'Avg CI Index'!$C$2:$C$8)/$C61</f>
        <v>9.1115751621795678</v>
      </c>
      <c r="U61">
        <f>VLOOKUP($A61,'MultiReg Model'!$A$5:$G$9,2,FALSE)+'MultiRegModel Validation'!S61*VLOOKUP($A61,'MultiReg Model'!$A$5:$G$9,3,FALSE)+'MultiRegModel Validation'!R61*VLOOKUP($A61,'MultiReg Model'!$A$5:$G$9,4,FALSE)+'MultiRegModel Validation'!K61*VLOOKUP($A61,'MultiReg Model'!$A$5:$G$9,5,FALSE)+'MultiRegModel Validation'!M61*VLOOKUP($A61,'MultiReg Model'!$A$5:$G$9,6,FALSE)+$L61*VLOOKUP($A61,'MultiReg Model'!$A$5:$G$9,7,FALSE)</f>
        <v>30.188691992591579</v>
      </c>
    </row>
    <row r="62" spans="1:21" x14ac:dyDescent="0.25">
      <c r="A62">
        <v>5</v>
      </c>
      <c r="B62">
        <v>2005</v>
      </c>
      <c r="C62">
        <f>SUMIFS(RefCapacity!$D$2:$D$526,RefCapacity!$A$2:$A$526,'MultiRegModel Validation'!$A62,RefCapacity!$B$2:$B$526,'MultiRegModel Validation'!$B62)</f>
        <v>3064.6000000000004</v>
      </c>
      <c r="D62" cm="1">
        <f t="array" ref="D62">INDEX(RefCapacity!$D$2:$D$526,MATCH(1,(RefCapacity!$A$2:$A$526='MultiRegModel Validation'!$A62)*(RefCapacity!$B$2:$B$526='MultiRegModel Validation'!$B62)*(RefCapacity!$C$2:$C$526='MultiRegModel Validation'!D$1),0))</f>
        <v>411.6</v>
      </c>
      <c r="E62" cm="1">
        <f t="array" ref="E62">INDEX(RefCapacity!$D$2:$D$526,MATCH(1,(RefCapacity!$A$2:$A$526='MultiRegModel Validation'!$A62)*(RefCapacity!$B$2:$B$526='MultiRegModel Validation'!$B62)*(RefCapacity!$C$2:$C$526='MultiRegModel Validation'!E$1),0))</f>
        <v>261.5</v>
      </c>
      <c r="F62" cm="1">
        <f t="array" ref="F62">INDEX(RefCapacity!$D$2:$D$526,MATCH(1,(RefCapacity!$A$2:$A$526='MultiRegModel Validation'!$A62)*(RefCapacity!$B$2:$B$526='MultiRegModel Validation'!$B62)*(RefCapacity!$C$2:$C$526='MultiRegModel Validation'!F$1),0))</f>
        <v>165.7</v>
      </c>
      <c r="G62" cm="1">
        <f t="array" ref="G62">INDEX(RefCapacity!$D$2:$D$526,MATCH(1,(RefCapacity!$A$2:$A$526='MultiRegModel Validation'!$A62)*(RefCapacity!$B$2:$B$526='MultiRegModel Validation'!$B62)*(RefCapacity!$C$2:$C$526='MultiRegModel Validation'!G$1),0))</f>
        <v>225</v>
      </c>
      <c r="H62" cm="1">
        <f t="array" ref="H62">INDEX(RefCapacity!$D$2:$D$526,MATCH(1,(RefCapacity!$A$2:$A$526='MultiRegModel Validation'!$A62)*(RefCapacity!$B$2:$B$526='MultiRegModel Validation'!$B62)*(RefCapacity!$C$2:$C$526='MultiRegModel Validation'!H$1),0))</f>
        <v>256.10000000000002</v>
      </c>
      <c r="I62" cm="1">
        <f t="array" ref="I62">INDEX(RefCapacity!$D$2:$D$526,MATCH(1,(RefCapacity!$A$2:$A$526='MultiRegModel Validation'!$A62)*(RefCapacity!$B$2:$B$526='MultiRegModel Validation'!$B62)*(RefCapacity!$C$2:$C$526='MultiRegModel Validation'!I$1),0))</f>
        <v>391.4</v>
      </c>
      <c r="J62" cm="1">
        <f t="array" ref="J62">INDEX(RefCapacity!$D$2:$D$526,MATCH(1,(RefCapacity!$A$2:$A$526='MultiRegModel Validation'!$A62)*(RefCapacity!$B$2:$B$526='MultiRegModel Validation'!$B62)*(RefCapacity!$C$2:$C$526='MultiRegModel Validation'!J$1),0))</f>
        <v>1353.3</v>
      </c>
      <c r="K62">
        <v>0.4927083333333333</v>
      </c>
      <c r="L62">
        <v>0.16979166666666667</v>
      </c>
      <c r="M62">
        <v>0.16362499999999999</v>
      </c>
      <c r="N62">
        <v>4.8875000000000002E-2</v>
      </c>
      <c r="O62">
        <v>6.0416666666666667E-2</v>
      </c>
      <c r="P62">
        <v>6.458333333333334E-2</v>
      </c>
      <c r="Q62">
        <f t="shared" si="0"/>
        <v>3.011204481792717</v>
      </c>
      <c r="R62">
        <v>1.28</v>
      </c>
      <c r="S62">
        <v>27.67</v>
      </c>
      <c r="T62" cm="1">
        <f t="array" ref="T62">MMULT($D62:$J62,'Avg CI Index'!$C$2:$C$8)/$C62</f>
        <v>9.0901171918221984</v>
      </c>
      <c r="U62">
        <f>VLOOKUP($A62,'MultiReg Model'!$A$5:$G$9,2,FALSE)+'MultiRegModel Validation'!S62*VLOOKUP($A62,'MultiReg Model'!$A$5:$G$9,3,FALSE)+'MultiRegModel Validation'!R62*VLOOKUP($A62,'MultiReg Model'!$A$5:$G$9,4,FALSE)+'MultiRegModel Validation'!K62*VLOOKUP($A62,'MultiReg Model'!$A$5:$G$9,5,FALSE)+'MultiRegModel Validation'!M62*VLOOKUP($A62,'MultiReg Model'!$A$5:$G$9,6,FALSE)+$L62*VLOOKUP($A62,'MultiReg Model'!$A$5:$G$9,7,FALSE)</f>
        <v>6.2193516377718376</v>
      </c>
    </row>
    <row r="63" spans="1:21" x14ac:dyDescent="0.25">
      <c r="A63">
        <v>5</v>
      </c>
      <c r="B63">
        <v>2006</v>
      </c>
      <c r="C63">
        <f>SUMIFS(RefCapacity!$D$2:$D$526,RefCapacity!$A$2:$A$526,'MultiRegModel Validation'!$A63,RefCapacity!$B$2:$B$526,'MultiRegModel Validation'!$B63)</f>
        <v>3088.5749999999998</v>
      </c>
      <c r="D63" cm="1">
        <f t="array" ref="D63">INDEX(RefCapacity!$D$2:$D$526,MATCH(1,(RefCapacity!$A$2:$A$526='MultiRegModel Validation'!$A63)*(RefCapacity!$B$2:$B$526='MultiRegModel Validation'!$B63)*(RefCapacity!$C$2:$C$526='MultiRegModel Validation'!D$1),0))</f>
        <v>417.77499999999998</v>
      </c>
      <c r="E63" cm="1">
        <f t="array" ref="E63">INDEX(RefCapacity!$D$2:$D$526,MATCH(1,(RefCapacity!$A$2:$A$526='MultiRegModel Validation'!$A63)*(RefCapacity!$B$2:$B$526='MultiRegModel Validation'!$B63)*(RefCapacity!$C$2:$C$526='MultiRegModel Validation'!E$1),0))</f>
        <v>263.3</v>
      </c>
      <c r="F63" cm="1">
        <f t="array" ref="F63">INDEX(RefCapacity!$D$2:$D$526,MATCH(1,(RefCapacity!$A$2:$A$526='MultiRegModel Validation'!$A63)*(RefCapacity!$B$2:$B$526='MultiRegModel Validation'!$B63)*(RefCapacity!$C$2:$C$526='MultiRegModel Validation'!F$1),0))</f>
        <v>165.7</v>
      </c>
      <c r="G63" cm="1">
        <f t="array" ref="G63">INDEX(RefCapacity!$D$2:$D$526,MATCH(1,(RefCapacity!$A$2:$A$526='MultiRegModel Validation'!$A63)*(RefCapacity!$B$2:$B$526='MultiRegModel Validation'!$B63)*(RefCapacity!$C$2:$C$526='MultiRegModel Validation'!G$1),0))</f>
        <v>225</v>
      </c>
      <c r="H63" cm="1">
        <f t="array" ref="H63">INDEX(RefCapacity!$D$2:$D$526,MATCH(1,(RefCapacity!$A$2:$A$526='MultiRegModel Validation'!$A63)*(RefCapacity!$B$2:$B$526='MultiRegModel Validation'!$B63)*(RefCapacity!$C$2:$C$526='MultiRegModel Validation'!H$1),0))</f>
        <v>258.10000000000002</v>
      </c>
      <c r="I63" cm="1">
        <f t="array" ref="I63">INDEX(RefCapacity!$D$2:$D$526,MATCH(1,(RefCapacity!$A$2:$A$526='MultiRegModel Validation'!$A63)*(RefCapacity!$B$2:$B$526='MultiRegModel Validation'!$B63)*(RefCapacity!$C$2:$C$526='MultiRegModel Validation'!I$1),0))</f>
        <v>405.4</v>
      </c>
      <c r="J63" cm="1">
        <f t="array" ref="J63">INDEX(RefCapacity!$D$2:$D$526,MATCH(1,(RefCapacity!$A$2:$A$526='MultiRegModel Validation'!$A63)*(RefCapacity!$B$2:$B$526='MultiRegModel Validation'!$B63)*(RefCapacity!$C$2:$C$526='MultiRegModel Validation'!J$1),0))</f>
        <v>1353.3</v>
      </c>
      <c r="K63">
        <v>0.50105042016806722</v>
      </c>
      <c r="L63">
        <v>0.16176470588235295</v>
      </c>
      <c r="M63">
        <v>0.16419117647058823</v>
      </c>
      <c r="N63">
        <v>4.9044117647058821E-2</v>
      </c>
      <c r="O63">
        <v>6.0924369747899158E-2</v>
      </c>
      <c r="P63">
        <v>6.3025210084033612E-2</v>
      </c>
      <c r="Q63">
        <f t="shared" si="0"/>
        <v>3.0516281747808844</v>
      </c>
      <c r="R63">
        <v>1.23</v>
      </c>
      <c r="S63">
        <v>27.91</v>
      </c>
      <c r="T63" cm="1">
        <f t="array" ref="T63">MMULT($D63:$J63,'Avg CI Index'!$C$2:$C$8)/$C63</f>
        <v>9.0819800573814682</v>
      </c>
      <c r="U63">
        <f>VLOOKUP($A63,'MultiReg Model'!$A$5:$G$9,2,FALSE)+'MultiRegModel Validation'!S63*VLOOKUP($A63,'MultiReg Model'!$A$5:$G$9,3,FALSE)+'MultiRegModel Validation'!R63*VLOOKUP($A63,'MultiReg Model'!$A$5:$G$9,4,FALSE)+'MultiRegModel Validation'!K63*VLOOKUP($A63,'MultiReg Model'!$A$5:$G$9,5,FALSE)+'MultiRegModel Validation'!M63*VLOOKUP($A63,'MultiReg Model'!$A$5:$G$9,6,FALSE)+$L63*VLOOKUP($A63,'MultiReg Model'!$A$5:$G$9,7,FALSE)</f>
        <v>6.2922535643538771</v>
      </c>
    </row>
    <row r="64" spans="1:21" x14ac:dyDescent="0.25">
      <c r="A64">
        <v>5</v>
      </c>
      <c r="B64">
        <v>2007</v>
      </c>
      <c r="C64">
        <f>SUMIFS(RefCapacity!$D$2:$D$526,RefCapacity!$A$2:$A$526,'MultiRegModel Validation'!$A64,RefCapacity!$B$2:$B$526,'MultiRegModel Validation'!$B64)</f>
        <v>3109.7750000000005</v>
      </c>
      <c r="D64" cm="1">
        <f t="array" ref="D64">INDEX(RefCapacity!$D$2:$D$526,MATCH(1,(RefCapacity!$A$2:$A$526='MultiRegModel Validation'!$A64)*(RefCapacity!$B$2:$B$526='MultiRegModel Validation'!$B64)*(RefCapacity!$C$2:$C$526='MultiRegModel Validation'!D$1),0))</f>
        <v>420.97500000000002</v>
      </c>
      <c r="E64" cm="1">
        <f t="array" ref="E64">INDEX(RefCapacity!$D$2:$D$526,MATCH(1,(RefCapacity!$A$2:$A$526='MultiRegModel Validation'!$A64)*(RefCapacity!$B$2:$B$526='MultiRegModel Validation'!$B64)*(RefCapacity!$C$2:$C$526='MultiRegModel Validation'!E$1),0))</f>
        <v>263.3</v>
      </c>
      <c r="F64" cm="1">
        <f t="array" ref="F64">INDEX(RefCapacity!$D$2:$D$526,MATCH(1,(RefCapacity!$A$2:$A$526='MultiRegModel Validation'!$A64)*(RefCapacity!$B$2:$B$526='MultiRegModel Validation'!$B64)*(RefCapacity!$C$2:$C$526='MultiRegModel Validation'!F$1),0))</f>
        <v>165.7</v>
      </c>
      <c r="G64" cm="1">
        <f t="array" ref="G64">INDEX(RefCapacity!$D$2:$D$526,MATCH(1,(RefCapacity!$A$2:$A$526='MultiRegModel Validation'!$A64)*(RefCapacity!$B$2:$B$526='MultiRegModel Validation'!$B64)*(RefCapacity!$C$2:$C$526='MultiRegModel Validation'!G$1),0))</f>
        <v>243</v>
      </c>
      <c r="H64" cm="1">
        <f t="array" ref="H64">INDEX(RefCapacity!$D$2:$D$526,MATCH(1,(RefCapacity!$A$2:$A$526='MultiRegModel Validation'!$A64)*(RefCapacity!$B$2:$B$526='MultiRegModel Validation'!$B64)*(RefCapacity!$C$2:$C$526='MultiRegModel Validation'!H$1),0))</f>
        <v>258.10000000000002</v>
      </c>
      <c r="I64" cm="1">
        <f t="array" ref="I64">INDEX(RefCapacity!$D$2:$D$526,MATCH(1,(RefCapacity!$A$2:$A$526='MultiRegModel Validation'!$A64)*(RefCapacity!$B$2:$B$526='MultiRegModel Validation'!$B64)*(RefCapacity!$C$2:$C$526='MultiRegModel Validation'!I$1),0))</f>
        <v>405.4</v>
      </c>
      <c r="J64" cm="1">
        <f t="array" ref="J64">INDEX(RefCapacity!$D$2:$D$526,MATCH(1,(RefCapacity!$A$2:$A$526='MultiRegModel Validation'!$A64)*(RefCapacity!$B$2:$B$526='MultiRegModel Validation'!$B64)*(RefCapacity!$C$2:$C$526='MultiRegModel Validation'!J$1),0))</f>
        <v>1353.3</v>
      </c>
      <c r="K64">
        <v>0.48949579831932782</v>
      </c>
      <c r="L64">
        <v>0.16491596638655465</v>
      </c>
      <c r="M64">
        <v>0.16823529411764709</v>
      </c>
      <c r="N64">
        <v>5.0252100840336128E-2</v>
      </c>
      <c r="O64">
        <v>6.6176470588235295E-2</v>
      </c>
      <c r="P64">
        <v>6.0924369747899165E-2</v>
      </c>
      <c r="Q64">
        <f t="shared" si="0"/>
        <v>2.9095904095904097</v>
      </c>
      <c r="R64">
        <v>1.25</v>
      </c>
      <c r="S64">
        <v>28.29</v>
      </c>
      <c r="T64" cm="1">
        <f t="array" ref="T64">MMULT($D64:$J64,'Avg CI Index'!$C$2:$C$8)/$C64</f>
        <v>9.0785205270498217</v>
      </c>
      <c r="U64">
        <f>VLOOKUP($A64,'MultiReg Model'!$A$5:$G$9,2,FALSE)+'MultiRegModel Validation'!S64*VLOOKUP($A64,'MultiReg Model'!$A$5:$G$9,3,FALSE)+'MultiRegModel Validation'!R64*VLOOKUP($A64,'MultiReg Model'!$A$5:$G$9,4,FALSE)+'MultiRegModel Validation'!K64*VLOOKUP($A64,'MultiReg Model'!$A$5:$G$9,5,FALSE)+'MultiRegModel Validation'!M64*VLOOKUP($A64,'MultiReg Model'!$A$5:$G$9,6,FALSE)+$L64*VLOOKUP($A64,'MultiReg Model'!$A$5:$G$9,7,FALSE)</f>
        <v>6.4749339272139572</v>
      </c>
    </row>
    <row r="65" spans="1:21" x14ac:dyDescent="0.25">
      <c r="A65">
        <v>5</v>
      </c>
      <c r="B65">
        <v>2008</v>
      </c>
      <c r="C65">
        <f>SUMIFS(RefCapacity!$D$2:$D$526,RefCapacity!$A$2:$A$526,'MultiRegModel Validation'!$A65,RefCapacity!$B$2:$B$526,'MultiRegModel Validation'!$B65)</f>
        <v>3147.875</v>
      </c>
      <c r="D65" cm="1">
        <f t="array" ref="D65">INDEX(RefCapacity!$D$2:$D$526,MATCH(1,(RefCapacity!$A$2:$A$526='MultiRegModel Validation'!$A65)*(RefCapacity!$B$2:$B$526='MultiRegModel Validation'!$B65)*(RefCapacity!$C$2:$C$526='MultiRegModel Validation'!D$1),0))</f>
        <v>422.97500000000002</v>
      </c>
      <c r="E65" cm="1">
        <f t="array" ref="E65">INDEX(RefCapacity!$D$2:$D$526,MATCH(1,(RefCapacity!$A$2:$A$526='MultiRegModel Validation'!$A65)*(RefCapacity!$B$2:$B$526='MultiRegModel Validation'!$B65)*(RefCapacity!$C$2:$C$526='MultiRegModel Validation'!E$1),0))</f>
        <v>267.3</v>
      </c>
      <c r="F65" cm="1">
        <f t="array" ref="F65">INDEX(RefCapacity!$D$2:$D$526,MATCH(1,(RefCapacity!$A$2:$A$526='MultiRegModel Validation'!$A65)*(RefCapacity!$B$2:$B$526='MultiRegModel Validation'!$B65)*(RefCapacity!$C$2:$C$526='MultiRegModel Validation'!F$1),0))</f>
        <v>165.7</v>
      </c>
      <c r="G65" cm="1">
        <f t="array" ref="G65">INDEX(RefCapacity!$D$2:$D$526,MATCH(1,(RefCapacity!$A$2:$A$526='MultiRegModel Validation'!$A65)*(RefCapacity!$B$2:$B$526='MultiRegModel Validation'!$B65)*(RefCapacity!$C$2:$C$526='MultiRegModel Validation'!G$1),0))</f>
        <v>243</v>
      </c>
      <c r="H65" cm="1">
        <f t="array" ref="H65">INDEX(RefCapacity!$D$2:$D$526,MATCH(1,(RefCapacity!$A$2:$A$526='MultiRegModel Validation'!$A65)*(RefCapacity!$B$2:$B$526='MultiRegModel Validation'!$B65)*(RefCapacity!$C$2:$C$526='MultiRegModel Validation'!H$1),0))</f>
        <v>258.10000000000002</v>
      </c>
      <c r="I65" cm="1">
        <f t="array" ref="I65">INDEX(RefCapacity!$D$2:$D$526,MATCH(1,(RefCapacity!$A$2:$A$526='MultiRegModel Validation'!$A65)*(RefCapacity!$B$2:$B$526='MultiRegModel Validation'!$B65)*(RefCapacity!$C$2:$C$526='MultiRegModel Validation'!I$1),0))</f>
        <v>419</v>
      </c>
      <c r="J65" cm="1">
        <f t="array" ref="J65">INDEX(RefCapacity!$D$2:$D$526,MATCH(1,(RefCapacity!$A$2:$A$526='MultiRegModel Validation'!$A65)*(RefCapacity!$B$2:$B$526='MultiRegModel Validation'!$B65)*(RefCapacity!$C$2:$C$526='MultiRegModel Validation'!J$1),0))</f>
        <v>1371.8</v>
      </c>
      <c r="K65">
        <v>0.47302904564315351</v>
      </c>
      <c r="L65">
        <v>0.18257261410788383</v>
      </c>
      <c r="M65">
        <v>0.17253112033195023</v>
      </c>
      <c r="N65">
        <v>5.1535269709543557E-2</v>
      </c>
      <c r="O65">
        <v>5.7053941908713691E-2</v>
      </c>
      <c r="P65">
        <v>6.3278008298755184E-2</v>
      </c>
      <c r="Q65">
        <f t="shared" si="0"/>
        <v>2.7417027417027411</v>
      </c>
      <c r="R65">
        <v>1.36</v>
      </c>
      <c r="S65">
        <v>27.46</v>
      </c>
      <c r="T65" cm="1">
        <f t="array" ref="T65">MMULT($D65:$J65,'Avg CI Index'!$C$2:$C$8)/$C65</f>
        <v>9.0893719767410968</v>
      </c>
      <c r="U65">
        <f>VLOOKUP($A65,'MultiReg Model'!$A$5:$G$9,2,FALSE)+'MultiRegModel Validation'!S65*VLOOKUP($A65,'MultiReg Model'!$A$5:$G$9,3,FALSE)+'MultiRegModel Validation'!R65*VLOOKUP($A65,'MultiReg Model'!$A$5:$G$9,4,FALSE)+'MultiRegModel Validation'!K65*VLOOKUP($A65,'MultiReg Model'!$A$5:$G$9,5,FALSE)+'MultiRegModel Validation'!M65*VLOOKUP($A65,'MultiReg Model'!$A$5:$G$9,6,FALSE)+$L65*VLOOKUP($A65,'MultiReg Model'!$A$5:$G$9,7,FALSE)</f>
        <v>6.3290048320866177</v>
      </c>
    </row>
    <row r="66" spans="1:21" x14ac:dyDescent="0.25">
      <c r="A66">
        <v>5</v>
      </c>
      <c r="B66">
        <v>2009</v>
      </c>
      <c r="C66">
        <f>SUMIFS(RefCapacity!$D$2:$D$526,RefCapacity!$A$2:$A$526,'MultiRegModel Validation'!$A66,RefCapacity!$B$2:$B$526,'MultiRegModel Validation'!$B66)</f>
        <v>3127.9000000000005</v>
      </c>
      <c r="D66" cm="1">
        <f t="array" ref="D66">INDEX(RefCapacity!$D$2:$D$526,MATCH(1,(RefCapacity!$A$2:$A$526='MultiRegModel Validation'!$A66)*(RefCapacity!$B$2:$B$526='MultiRegModel Validation'!$B66)*(RefCapacity!$C$2:$C$526='MultiRegModel Validation'!D$1),0))</f>
        <v>421.97500000000002</v>
      </c>
      <c r="E66" cm="1">
        <f t="array" ref="E66">INDEX(RefCapacity!$D$2:$D$526,MATCH(1,(RefCapacity!$A$2:$A$526='MultiRegModel Validation'!$A66)*(RefCapacity!$B$2:$B$526='MultiRegModel Validation'!$B66)*(RefCapacity!$C$2:$C$526='MultiRegModel Validation'!E$1),0))</f>
        <v>267.3</v>
      </c>
      <c r="F66" cm="1">
        <f t="array" ref="F66">INDEX(RefCapacity!$D$2:$D$526,MATCH(1,(RefCapacity!$A$2:$A$526='MultiRegModel Validation'!$A66)*(RefCapacity!$B$2:$B$526='MultiRegModel Validation'!$B66)*(RefCapacity!$C$2:$C$526='MultiRegModel Validation'!F$1),0))</f>
        <v>165.7</v>
      </c>
      <c r="G66" cm="1">
        <f t="array" ref="G66">INDEX(RefCapacity!$D$2:$D$526,MATCH(1,(RefCapacity!$A$2:$A$526='MultiRegModel Validation'!$A66)*(RefCapacity!$B$2:$B$526='MultiRegModel Validation'!$B66)*(RefCapacity!$C$2:$C$526='MultiRegModel Validation'!G$1),0))</f>
        <v>243</v>
      </c>
      <c r="H66" cm="1">
        <f t="array" ref="H66">INDEX(RefCapacity!$D$2:$D$526,MATCH(1,(RefCapacity!$A$2:$A$526='MultiRegModel Validation'!$A66)*(RefCapacity!$B$2:$B$526='MultiRegModel Validation'!$B66)*(RefCapacity!$C$2:$C$526='MultiRegModel Validation'!H$1),0))</f>
        <v>258.10000000000002</v>
      </c>
      <c r="I66" cm="1">
        <f t="array" ref="I66">INDEX(RefCapacity!$D$2:$D$526,MATCH(1,(RefCapacity!$A$2:$A$526='MultiRegModel Validation'!$A66)*(RefCapacity!$B$2:$B$526='MultiRegModel Validation'!$B66)*(RefCapacity!$C$2:$C$526='MultiRegModel Validation'!I$1),0))</f>
        <v>407.3</v>
      </c>
      <c r="J66" cm="1">
        <f t="array" ref="J66">INDEX(RefCapacity!$D$2:$D$526,MATCH(1,(RefCapacity!$A$2:$A$526='MultiRegModel Validation'!$A66)*(RefCapacity!$B$2:$B$526='MultiRegModel Validation'!$B66)*(RefCapacity!$C$2:$C$526='MultiRegModel Validation'!J$1),0))</f>
        <v>1364.5250000000001</v>
      </c>
      <c r="K66">
        <v>0.50518672199170134</v>
      </c>
      <c r="L66">
        <v>0.16908713692946059</v>
      </c>
      <c r="M66">
        <v>0.15975103734439836</v>
      </c>
      <c r="N66">
        <v>4.7717842323651449E-2</v>
      </c>
      <c r="O66">
        <v>5.4979253112033201E-2</v>
      </c>
      <c r="P66">
        <v>6.3278008298755184E-2</v>
      </c>
      <c r="Q66">
        <f t="shared" si="0"/>
        <v>3.1623376623376624</v>
      </c>
      <c r="R66">
        <v>1.29</v>
      </c>
      <c r="S66">
        <v>27.79</v>
      </c>
      <c r="T66" cm="1">
        <f t="array" ref="T66">MMULT($D66:$J66,'Avg CI Index'!$C$2:$C$8)/$C66</f>
        <v>9.0823407353266443</v>
      </c>
      <c r="U66">
        <f>VLOOKUP($A66,'MultiReg Model'!$A$5:$G$9,2,FALSE)+'MultiRegModel Validation'!S66*VLOOKUP($A66,'MultiReg Model'!$A$5:$G$9,3,FALSE)+'MultiRegModel Validation'!R66*VLOOKUP($A66,'MultiReg Model'!$A$5:$G$9,4,FALSE)+'MultiRegModel Validation'!K66*VLOOKUP($A66,'MultiReg Model'!$A$5:$G$9,5,FALSE)+'MultiRegModel Validation'!M66*VLOOKUP($A66,'MultiReg Model'!$A$5:$G$9,6,FALSE)+$L66*VLOOKUP($A66,'MultiReg Model'!$A$5:$G$9,7,FALSE)</f>
        <v>6.1020186233909035</v>
      </c>
    </row>
    <row r="67" spans="1:21" x14ac:dyDescent="0.25">
      <c r="A67">
        <v>5</v>
      </c>
      <c r="B67">
        <v>2010</v>
      </c>
      <c r="C67">
        <f>SUMIFS(RefCapacity!$D$2:$D$526,RefCapacity!$A$2:$A$526,'MultiRegModel Validation'!$A67,RefCapacity!$B$2:$B$526,'MultiRegModel Validation'!$B67)</f>
        <v>3153.3</v>
      </c>
      <c r="D67" cm="1">
        <f t="array" ref="D67">INDEX(RefCapacity!$D$2:$D$526,MATCH(1,(RefCapacity!$A$2:$A$526='MultiRegModel Validation'!$A67)*(RefCapacity!$B$2:$B$526='MultiRegModel Validation'!$B67)*(RefCapacity!$C$2:$C$526='MultiRegModel Validation'!D$1),0))</f>
        <v>456.97500000000002</v>
      </c>
      <c r="E67" cm="1">
        <f t="array" ref="E67">INDEX(RefCapacity!$D$2:$D$526,MATCH(1,(RefCapacity!$A$2:$A$526='MultiRegModel Validation'!$A67)*(RefCapacity!$B$2:$B$526='MultiRegModel Validation'!$B67)*(RefCapacity!$C$2:$C$526='MultiRegModel Validation'!E$1),0))</f>
        <v>267.3</v>
      </c>
      <c r="F67" cm="1">
        <f t="array" ref="F67">INDEX(RefCapacity!$D$2:$D$526,MATCH(1,(RefCapacity!$A$2:$A$526='MultiRegModel Validation'!$A67)*(RefCapacity!$B$2:$B$526='MultiRegModel Validation'!$B67)*(RefCapacity!$C$2:$C$526='MultiRegModel Validation'!F$1),0))</f>
        <v>165.7</v>
      </c>
      <c r="G67" cm="1">
        <f t="array" ref="G67">INDEX(RefCapacity!$D$2:$D$526,MATCH(1,(RefCapacity!$A$2:$A$526='MultiRegModel Validation'!$A67)*(RefCapacity!$B$2:$B$526='MultiRegModel Validation'!$B67)*(RefCapacity!$C$2:$C$526='MultiRegModel Validation'!G$1),0))</f>
        <v>243</v>
      </c>
      <c r="H67" cm="1">
        <f t="array" ref="H67">INDEX(RefCapacity!$D$2:$D$526,MATCH(1,(RefCapacity!$A$2:$A$526='MultiRegModel Validation'!$A67)*(RefCapacity!$B$2:$B$526='MultiRegModel Validation'!$B67)*(RefCapacity!$C$2:$C$526='MultiRegModel Validation'!H$1),0))</f>
        <v>258.10000000000002</v>
      </c>
      <c r="I67" cm="1">
        <f t="array" ref="I67">INDEX(RefCapacity!$D$2:$D$526,MATCH(1,(RefCapacity!$A$2:$A$526='MultiRegModel Validation'!$A67)*(RefCapacity!$B$2:$B$526='MultiRegModel Validation'!$B67)*(RefCapacity!$C$2:$C$526='MultiRegModel Validation'!I$1),0))</f>
        <v>407.3</v>
      </c>
      <c r="J67" cm="1">
        <f t="array" ref="J67">INDEX(RefCapacity!$D$2:$D$526,MATCH(1,(RefCapacity!$A$2:$A$526='MultiRegModel Validation'!$A67)*(RefCapacity!$B$2:$B$526='MultiRegModel Validation'!$B67)*(RefCapacity!$C$2:$C$526='MultiRegModel Validation'!J$1),0))</f>
        <v>1354.925</v>
      </c>
      <c r="K67">
        <v>0.50567595459236325</v>
      </c>
      <c r="L67">
        <v>0.16924664602683179</v>
      </c>
      <c r="M67">
        <v>0.16289989680082559</v>
      </c>
      <c r="N67">
        <v>4.8658410732714125E-2</v>
      </c>
      <c r="O67">
        <v>5.159958720330237E-2</v>
      </c>
      <c r="P67">
        <v>6.1919504643962842E-2</v>
      </c>
      <c r="Q67">
        <f t="shared" ref="Q67:Q76" si="1">K67/M67</f>
        <v>3.1042128603104215</v>
      </c>
      <c r="R67">
        <v>1.33</v>
      </c>
      <c r="S67">
        <v>27.48</v>
      </c>
      <c r="T67" cm="1">
        <f t="array" ref="T67">MMULT($D67:$J67,'Avg CI Index'!$C$2:$C$8)/$C67</f>
        <v>9.0050304497202749</v>
      </c>
      <c r="U67">
        <f>VLOOKUP($A67,'MultiReg Model'!$A$5:$G$9,2,FALSE)+'MultiRegModel Validation'!S67*VLOOKUP($A67,'MultiReg Model'!$A$5:$G$9,3,FALSE)+'MultiRegModel Validation'!R67*VLOOKUP($A67,'MultiReg Model'!$A$5:$G$9,4,FALSE)+'MultiRegModel Validation'!K67*VLOOKUP($A67,'MultiReg Model'!$A$5:$G$9,5,FALSE)+'MultiRegModel Validation'!M67*VLOOKUP($A67,'MultiReg Model'!$A$5:$G$9,6,FALSE)+$L67*VLOOKUP($A67,'MultiReg Model'!$A$5:$G$9,7,FALSE)</f>
        <v>6.0360437086471403</v>
      </c>
    </row>
    <row r="68" spans="1:21" x14ac:dyDescent="0.25">
      <c r="A68">
        <v>5</v>
      </c>
      <c r="B68">
        <v>2011</v>
      </c>
      <c r="C68">
        <f>SUMIFS(RefCapacity!$D$2:$D$526,RefCapacity!$A$2:$A$526,'MultiRegModel Validation'!$A68,RefCapacity!$B$2:$B$526,'MultiRegModel Validation'!$B68)</f>
        <v>3249.55</v>
      </c>
      <c r="D68" cm="1">
        <f t="array" ref="D68">INDEX(RefCapacity!$D$2:$D$526,MATCH(1,(RefCapacity!$A$2:$A$526='MultiRegModel Validation'!$A68)*(RefCapacity!$B$2:$B$526='MultiRegModel Validation'!$B68)*(RefCapacity!$C$2:$C$526='MultiRegModel Validation'!D$1),0))</f>
        <v>456.97500000000002</v>
      </c>
      <c r="E68" cm="1">
        <f t="array" ref="E68">INDEX(RefCapacity!$D$2:$D$526,MATCH(1,(RefCapacity!$A$2:$A$526='MultiRegModel Validation'!$A68)*(RefCapacity!$B$2:$B$526='MultiRegModel Validation'!$B68)*(RefCapacity!$C$2:$C$526='MultiRegModel Validation'!E$1),0))</f>
        <v>274</v>
      </c>
      <c r="F68" cm="1">
        <f t="array" ref="F68">INDEX(RefCapacity!$D$2:$D$526,MATCH(1,(RefCapacity!$A$2:$A$526='MultiRegModel Validation'!$A68)*(RefCapacity!$B$2:$B$526='MultiRegModel Validation'!$B68)*(RefCapacity!$C$2:$C$526='MultiRegModel Validation'!F$1),0))</f>
        <v>165.7</v>
      </c>
      <c r="G68" cm="1">
        <f t="array" ref="G68">INDEX(RefCapacity!$D$2:$D$526,MATCH(1,(RefCapacity!$A$2:$A$526='MultiRegModel Validation'!$A68)*(RefCapacity!$B$2:$B$526='MultiRegModel Validation'!$B68)*(RefCapacity!$C$2:$C$526='MultiRegModel Validation'!G$1),0))</f>
        <v>243</v>
      </c>
      <c r="H68" cm="1">
        <f t="array" ref="H68">INDEX(RefCapacity!$D$2:$D$526,MATCH(1,(RefCapacity!$A$2:$A$526='MultiRegModel Validation'!$A68)*(RefCapacity!$B$2:$B$526='MultiRegModel Validation'!$B68)*(RefCapacity!$C$2:$C$526='MultiRegModel Validation'!H$1),0))</f>
        <v>313.10000000000002</v>
      </c>
      <c r="I68" cm="1">
        <f t="array" ref="I68">INDEX(RefCapacity!$D$2:$D$526,MATCH(1,(RefCapacity!$A$2:$A$526='MultiRegModel Validation'!$A68)*(RefCapacity!$B$2:$B$526='MultiRegModel Validation'!$B68)*(RefCapacity!$C$2:$C$526='MultiRegModel Validation'!I$1),0))</f>
        <v>412.3</v>
      </c>
      <c r="J68" cm="1">
        <f t="array" ref="J68">INDEX(RefCapacity!$D$2:$D$526,MATCH(1,(RefCapacity!$A$2:$A$526='MultiRegModel Validation'!$A68)*(RefCapacity!$B$2:$B$526='MultiRegModel Validation'!$B68)*(RefCapacity!$C$2:$C$526='MultiRegModel Validation'!J$1),0))</f>
        <v>1384.4749999999999</v>
      </c>
      <c r="K68">
        <v>0.49077868852459017</v>
      </c>
      <c r="L68">
        <v>0.17110655737704922</v>
      </c>
      <c r="M68">
        <v>0.17119877049180329</v>
      </c>
      <c r="N68">
        <v>5.113729508196721E-2</v>
      </c>
      <c r="O68">
        <v>5.3278688524590168E-2</v>
      </c>
      <c r="P68">
        <v>6.25E-2</v>
      </c>
      <c r="Q68">
        <f t="shared" si="1"/>
        <v>2.8667185349212998</v>
      </c>
      <c r="R68">
        <v>1.35</v>
      </c>
      <c r="S68">
        <v>27.4</v>
      </c>
      <c r="T68" cm="1">
        <f t="array" ref="T68">MMULT($D68:$J68,'Avg CI Index'!$C$2:$C$8)/$C68</f>
        <v>9.0389864399817608</v>
      </c>
      <c r="U68">
        <f>VLOOKUP($A68,'MultiReg Model'!$A$5:$G$9,2,FALSE)+'MultiRegModel Validation'!S68*VLOOKUP($A68,'MultiReg Model'!$A$5:$G$9,3,FALSE)+'MultiRegModel Validation'!R68*VLOOKUP($A68,'MultiReg Model'!$A$5:$G$9,4,FALSE)+'MultiRegModel Validation'!K68*VLOOKUP($A68,'MultiReg Model'!$A$5:$G$9,5,FALSE)+'MultiRegModel Validation'!M68*VLOOKUP($A68,'MultiReg Model'!$A$5:$G$9,6,FALSE)+$L68*VLOOKUP($A68,'MultiReg Model'!$A$5:$G$9,7,FALSE)</f>
        <v>6.2086617820105685</v>
      </c>
    </row>
    <row r="69" spans="1:21" x14ac:dyDescent="0.25">
      <c r="A69">
        <v>5</v>
      </c>
      <c r="B69">
        <v>2012</v>
      </c>
      <c r="C69">
        <f>SUMIFS(RefCapacity!$D$2:$D$526,RefCapacity!$A$2:$A$526,'MultiRegModel Validation'!$A69,RefCapacity!$B$2:$B$526,'MultiRegModel Validation'!$B69)</f>
        <v>3194.9750000000004</v>
      </c>
      <c r="D69" cm="1">
        <f t="array" ref="D69">INDEX(RefCapacity!$D$2:$D$526,MATCH(1,(RefCapacity!$A$2:$A$526='MultiRegModel Validation'!$A69)*(RefCapacity!$B$2:$B$526='MultiRegModel Validation'!$B69)*(RefCapacity!$C$2:$C$526='MultiRegModel Validation'!D$1),0))</f>
        <v>456.97500000000002</v>
      </c>
      <c r="E69" cm="1">
        <f t="array" ref="E69">INDEX(RefCapacity!$D$2:$D$526,MATCH(1,(RefCapacity!$A$2:$A$526='MultiRegModel Validation'!$A69)*(RefCapacity!$B$2:$B$526='MultiRegModel Validation'!$B69)*(RefCapacity!$C$2:$C$526='MultiRegModel Validation'!E$1),0))</f>
        <v>274</v>
      </c>
      <c r="F69" cm="1">
        <f t="array" ref="F69">INDEX(RefCapacity!$D$2:$D$526,MATCH(1,(RefCapacity!$A$2:$A$526='MultiRegModel Validation'!$A69)*(RefCapacity!$B$2:$B$526='MultiRegModel Validation'!$B69)*(RefCapacity!$C$2:$C$526='MultiRegModel Validation'!F$1),0))</f>
        <v>165.7</v>
      </c>
      <c r="G69" cm="1">
        <f t="array" ref="G69">INDEX(RefCapacity!$D$2:$D$526,MATCH(1,(RefCapacity!$A$2:$A$526='MultiRegModel Validation'!$A69)*(RefCapacity!$B$2:$B$526='MultiRegModel Validation'!$B69)*(RefCapacity!$C$2:$C$526='MultiRegModel Validation'!G$1),0))</f>
        <v>257</v>
      </c>
      <c r="H69" cm="1">
        <f t="array" ref="H69">INDEX(RefCapacity!$D$2:$D$526,MATCH(1,(RefCapacity!$A$2:$A$526='MultiRegModel Validation'!$A69)*(RefCapacity!$B$2:$B$526='MultiRegModel Validation'!$B69)*(RefCapacity!$C$2:$C$526='MultiRegModel Validation'!H$1),0))</f>
        <v>313.10000000000002</v>
      </c>
      <c r="I69" cm="1">
        <f t="array" ref="I69">INDEX(RefCapacity!$D$2:$D$526,MATCH(1,(RefCapacity!$A$2:$A$526='MultiRegModel Validation'!$A69)*(RefCapacity!$B$2:$B$526='MultiRegModel Validation'!$B69)*(RefCapacity!$C$2:$C$526='MultiRegModel Validation'!I$1),0))</f>
        <v>342.3</v>
      </c>
      <c r="J69" cm="1">
        <f t="array" ref="J69">INDEX(RefCapacity!$D$2:$D$526,MATCH(1,(RefCapacity!$A$2:$A$526='MultiRegModel Validation'!$A69)*(RefCapacity!$B$2:$B$526='MultiRegModel Validation'!$B69)*(RefCapacity!$C$2:$C$526='MultiRegModel Validation'!J$1),0))</f>
        <v>1385.9</v>
      </c>
      <c r="K69">
        <v>0.4938775510204082</v>
      </c>
      <c r="L69">
        <v>0.17244897959183678</v>
      </c>
      <c r="M69">
        <v>0.16814285714285715</v>
      </c>
      <c r="N69">
        <v>5.022448979591837E-2</v>
      </c>
      <c r="O69">
        <v>5.1020408163265314E-2</v>
      </c>
      <c r="P69">
        <v>6.4285714285714293E-2</v>
      </c>
      <c r="Q69">
        <f t="shared" si="1"/>
        <v>2.937249666221629</v>
      </c>
      <c r="R69">
        <v>1.38</v>
      </c>
      <c r="S69">
        <v>27.38</v>
      </c>
      <c r="T69" cm="1">
        <f t="array" ref="T69">MMULT($D69:$J69,'Avg CI Index'!$C$2:$C$8)/$C69</f>
        <v>9.0164090834647759</v>
      </c>
      <c r="U69">
        <f>VLOOKUP($A69,'MultiReg Model'!$A$5:$G$9,2,FALSE)+'MultiRegModel Validation'!S69*VLOOKUP($A69,'MultiReg Model'!$A$5:$G$9,3,FALSE)+'MultiRegModel Validation'!R69*VLOOKUP($A69,'MultiReg Model'!$A$5:$G$9,4,FALSE)+'MultiRegModel Validation'!K69*VLOOKUP($A69,'MultiReg Model'!$A$5:$G$9,5,FALSE)+'MultiRegModel Validation'!M69*VLOOKUP($A69,'MultiReg Model'!$A$5:$G$9,6,FALSE)+$L69*VLOOKUP($A69,'MultiReg Model'!$A$5:$G$9,7,FALSE)</f>
        <v>6.1027355600686626</v>
      </c>
    </row>
    <row r="70" spans="1:21" x14ac:dyDescent="0.25">
      <c r="A70">
        <v>5</v>
      </c>
      <c r="B70">
        <v>2013</v>
      </c>
      <c r="C70">
        <f>SUMIFS(RefCapacity!$D$2:$D$526,RefCapacity!$A$2:$A$526,'MultiRegModel Validation'!$A70,RefCapacity!$B$2:$B$526,'MultiRegModel Validation'!$B70)</f>
        <v>3195.9750000000004</v>
      </c>
      <c r="D70" cm="1">
        <f t="array" ref="D70">INDEX(RefCapacity!$D$2:$D$526,MATCH(1,(RefCapacity!$A$2:$A$526='MultiRegModel Validation'!$A70)*(RefCapacity!$B$2:$B$526='MultiRegModel Validation'!$B70)*(RefCapacity!$C$2:$C$526='MultiRegModel Validation'!D$1),0))</f>
        <v>456.97500000000002</v>
      </c>
      <c r="E70" cm="1">
        <f t="array" ref="E70">INDEX(RefCapacity!$D$2:$D$526,MATCH(1,(RefCapacity!$A$2:$A$526='MultiRegModel Validation'!$A70)*(RefCapacity!$B$2:$B$526='MultiRegModel Validation'!$B70)*(RefCapacity!$C$2:$C$526='MultiRegModel Validation'!E$1),0))</f>
        <v>275</v>
      </c>
      <c r="F70" cm="1">
        <f t="array" ref="F70">INDEX(RefCapacity!$D$2:$D$526,MATCH(1,(RefCapacity!$A$2:$A$526='MultiRegModel Validation'!$A70)*(RefCapacity!$B$2:$B$526='MultiRegModel Validation'!$B70)*(RefCapacity!$C$2:$C$526='MultiRegModel Validation'!F$1),0))</f>
        <v>165.7</v>
      </c>
      <c r="G70" cm="1">
        <f t="array" ref="G70">INDEX(RefCapacity!$D$2:$D$526,MATCH(1,(RefCapacity!$A$2:$A$526='MultiRegModel Validation'!$A70)*(RefCapacity!$B$2:$B$526='MultiRegModel Validation'!$B70)*(RefCapacity!$C$2:$C$526='MultiRegModel Validation'!G$1),0))</f>
        <v>257</v>
      </c>
      <c r="H70" cm="1">
        <f t="array" ref="H70">INDEX(RefCapacity!$D$2:$D$526,MATCH(1,(RefCapacity!$A$2:$A$526='MultiRegModel Validation'!$A70)*(RefCapacity!$B$2:$B$526='MultiRegModel Validation'!$B70)*(RefCapacity!$C$2:$C$526='MultiRegModel Validation'!H$1),0))</f>
        <v>313.10000000000002</v>
      </c>
      <c r="I70" cm="1">
        <f t="array" ref="I70">INDEX(RefCapacity!$D$2:$D$526,MATCH(1,(RefCapacity!$A$2:$A$526='MultiRegModel Validation'!$A70)*(RefCapacity!$B$2:$B$526='MultiRegModel Validation'!$B70)*(RefCapacity!$C$2:$C$526='MultiRegModel Validation'!I$1),0))</f>
        <v>342.3</v>
      </c>
      <c r="J70" cm="1">
        <f t="array" ref="J70">INDEX(RefCapacity!$D$2:$D$526,MATCH(1,(RefCapacity!$A$2:$A$526='MultiRegModel Validation'!$A70)*(RefCapacity!$B$2:$B$526='MultiRegModel Validation'!$B70)*(RefCapacity!$C$2:$C$526='MultiRegModel Validation'!J$1),0))</f>
        <v>1385.9</v>
      </c>
      <c r="K70">
        <v>0.48775510204081635</v>
      </c>
      <c r="L70">
        <v>0.17244897959183675</v>
      </c>
      <c r="M70">
        <v>0.17678571428571432</v>
      </c>
      <c r="N70">
        <v>5.2806122448979587E-2</v>
      </c>
      <c r="O70">
        <v>4.5918367346938785E-2</v>
      </c>
      <c r="P70">
        <v>6.4285714285714293E-2</v>
      </c>
      <c r="Q70">
        <f t="shared" si="1"/>
        <v>2.7590187590187587</v>
      </c>
      <c r="R70">
        <v>1.39</v>
      </c>
      <c r="S70">
        <v>27.66</v>
      </c>
      <c r="T70" cm="1">
        <f t="array" ref="T70">MMULT($D70:$J70,'Avg CI Index'!$C$2:$C$8)/$C70</f>
        <v>9.0158648987406966</v>
      </c>
      <c r="U70">
        <f>VLOOKUP($A70,'MultiReg Model'!$A$5:$G$9,2,FALSE)+'MultiRegModel Validation'!S70*VLOOKUP($A70,'MultiReg Model'!$A$5:$G$9,3,FALSE)+'MultiRegModel Validation'!R70*VLOOKUP($A70,'MultiReg Model'!$A$5:$G$9,4,FALSE)+'MultiRegModel Validation'!K70*VLOOKUP($A70,'MultiReg Model'!$A$5:$G$9,5,FALSE)+'MultiRegModel Validation'!M70*VLOOKUP($A70,'MultiReg Model'!$A$5:$G$9,6,FALSE)+$L70*VLOOKUP($A70,'MultiReg Model'!$A$5:$G$9,7,FALSE)</f>
        <v>6.3192754452613418</v>
      </c>
    </row>
    <row r="71" spans="1:21" x14ac:dyDescent="0.25">
      <c r="A71">
        <v>5</v>
      </c>
      <c r="B71">
        <v>2014</v>
      </c>
      <c r="C71">
        <f>SUMIFS(RefCapacity!$D$2:$D$526,RefCapacity!$A$2:$A$526,'MultiRegModel Validation'!$A71,RefCapacity!$B$2:$B$526,'MultiRegModel Validation'!$B71)</f>
        <v>3019.15</v>
      </c>
      <c r="D71" cm="1">
        <f t="array" ref="D71">INDEX(RefCapacity!$D$2:$D$526,MATCH(1,(RefCapacity!$A$2:$A$526='MultiRegModel Validation'!$A71)*(RefCapacity!$B$2:$B$526='MultiRegModel Validation'!$B71)*(RefCapacity!$C$2:$C$526='MultiRegModel Validation'!D$1),0))</f>
        <v>373.85</v>
      </c>
      <c r="E71" cm="1">
        <f t="array" ref="E71">INDEX(RefCapacity!$D$2:$D$526,MATCH(1,(RefCapacity!$A$2:$A$526='MultiRegModel Validation'!$A71)*(RefCapacity!$B$2:$B$526='MultiRegModel Validation'!$B71)*(RefCapacity!$C$2:$C$526='MultiRegModel Validation'!E$1),0))</f>
        <v>275</v>
      </c>
      <c r="F71" cm="1">
        <f t="array" ref="F71">INDEX(RefCapacity!$D$2:$D$526,MATCH(1,(RefCapacity!$A$2:$A$526='MultiRegModel Validation'!$A71)*(RefCapacity!$B$2:$B$526='MultiRegModel Validation'!$B71)*(RefCapacity!$C$2:$C$526='MultiRegModel Validation'!F$1),0))</f>
        <v>72</v>
      </c>
      <c r="G71" cm="1">
        <f t="array" ref="G71">INDEX(RefCapacity!$D$2:$D$526,MATCH(1,(RefCapacity!$A$2:$A$526='MultiRegModel Validation'!$A71)*(RefCapacity!$B$2:$B$526='MultiRegModel Validation'!$B71)*(RefCapacity!$C$2:$C$526='MultiRegModel Validation'!G$1),0))</f>
        <v>257</v>
      </c>
      <c r="H71" cm="1">
        <f t="array" ref="H71">INDEX(RefCapacity!$D$2:$D$526,MATCH(1,(RefCapacity!$A$2:$A$526='MultiRegModel Validation'!$A71)*(RefCapacity!$B$2:$B$526='MultiRegModel Validation'!$B71)*(RefCapacity!$C$2:$C$526='MultiRegModel Validation'!H$1),0))</f>
        <v>313.10000000000002</v>
      </c>
      <c r="I71" cm="1">
        <f t="array" ref="I71">INDEX(RefCapacity!$D$2:$D$526,MATCH(1,(RefCapacity!$A$2:$A$526='MultiRegModel Validation'!$A71)*(RefCapacity!$B$2:$B$526='MultiRegModel Validation'!$B71)*(RefCapacity!$C$2:$C$526='MultiRegModel Validation'!I$1),0))</f>
        <v>342.3</v>
      </c>
      <c r="J71" cm="1">
        <f t="array" ref="J71">INDEX(RefCapacity!$D$2:$D$526,MATCH(1,(RefCapacity!$A$2:$A$526='MultiRegModel Validation'!$A71)*(RefCapacity!$B$2:$B$526='MultiRegModel Validation'!$B71)*(RefCapacity!$C$2:$C$526='MultiRegModel Validation'!J$1),0))</f>
        <v>1385.9</v>
      </c>
      <c r="K71">
        <v>0.48265306122448975</v>
      </c>
      <c r="L71">
        <v>0.17448979591836736</v>
      </c>
      <c r="M71">
        <v>0.1775714285714286</v>
      </c>
      <c r="N71">
        <v>5.3040816326530599E-2</v>
      </c>
      <c r="O71">
        <v>5.2040816326530612E-2</v>
      </c>
      <c r="P71">
        <v>6.0204081632653061E-2</v>
      </c>
      <c r="Q71">
        <f t="shared" si="1"/>
        <v>2.7180783817951952</v>
      </c>
      <c r="R71">
        <v>1.41</v>
      </c>
      <c r="S71">
        <v>28.21</v>
      </c>
      <c r="T71" cm="1">
        <f t="array" ref="T71">MMULT($D71:$J71,'Avg CI Index'!$C$2:$C$8)/$C71</f>
        <v>9.2771938423301652</v>
      </c>
      <c r="U71">
        <f>VLOOKUP($A71,'MultiReg Model'!$A$5:$G$9,2,FALSE)+'MultiRegModel Validation'!S71*VLOOKUP($A71,'MultiReg Model'!$A$5:$G$9,3,FALSE)+'MultiRegModel Validation'!R71*VLOOKUP($A71,'MultiReg Model'!$A$5:$G$9,4,FALSE)+'MultiRegModel Validation'!K71*VLOOKUP($A71,'MultiReg Model'!$A$5:$G$9,5,FALSE)+'MultiRegModel Validation'!M71*VLOOKUP($A71,'MultiReg Model'!$A$5:$G$9,6,FALSE)+$L71*VLOOKUP($A71,'MultiReg Model'!$A$5:$G$9,7,FALSE)</f>
        <v>6.4500926505385907</v>
      </c>
    </row>
    <row r="72" spans="1:21" x14ac:dyDescent="0.25">
      <c r="A72">
        <v>5</v>
      </c>
      <c r="B72">
        <v>2015</v>
      </c>
      <c r="C72">
        <f>SUMIFS(RefCapacity!$D$2:$D$526,RefCapacity!$A$2:$A$526,'MultiRegModel Validation'!$A72,RefCapacity!$B$2:$B$526,'MultiRegModel Validation'!$B72)</f>
        <v>2994.3</v>
      </c>
      <c r="D72" cm="1">
        <f t="array" ref="D72">INDEX(RefCapacity!$D$2:$D$526,MATCH(1,(RefCapacity!$A$2:$A$526='MultiRegModel Validation'!$A72)*(RefCapacity!$B$2:$B$526='MultiRegModel Validation'!$B72)*(RefCapacity!$C$2:$C$526='MultiRegModel Validation'!D$1),0))</f>
        <v>243.3</v>
      </c>
      <c r="E72" cm="1">
        <f t="array" ref="E72">INDEX(RefCapacity!$D$2:$D$526,MATCH(1,(RefCapacity!$A$2:$A$526='MultiRegModel Validation'!$A72)*(RefCapacity!$B$2:$B$526='MultiRegModel Validation'!$B72)*(RefCapacity!$C$2:$C$526='MultiRegModel Validation'!E$1),0))</f>
        <v>275</v>
      </c>
      <c r="F72" cm="1">
        <f t="array" ref="F72">INDEX(RefCapacity!$D$2:$D$526,MATCH(1,(RefCapacity!$A$2:$A$526='MultiRegModel Validation'!$A72)*(RefCapacity!$B$2:$B$526='MultiRegModel Validation'!$B72)*(RefCapacity!$C$2:$C$526='MultiRegModel Validation'!F$1),0))</f>
        <v>166</v>
      </c>
      <c r="G72" cm="1">
        <f t="array" ref="G72">INDEX(RefCapacity!$D$2:$D$526,MATCH(1,(RefCapacity!$A$2:$A$526='MultiRegModel Validation'!$A72)*(RefCapacity!$B$2:$B$526='MultiRegModel Validation'!$B72)*(RefCapacity!$C$2:$C$526='MultiRegModel Validation'!G$1),0))</f>
        <v>257</v>
      </c>
      <c r="H72" cm="1">
        <f t="array" ref="H72">INDEX(RefCapacity!$D$2:$D$526,MATCH(1,(RefCapacity!$A$2:$A$526='MultiRegModel Validation'!$A72)*(RefCapacity!$B$2:$B$526='MultiRegModel Validation'!$B72)*(RefCapacity!$C$2:$C$526='MultiRegModel Validation'!H$1),0))</f>
        <v>309.5</v>
      </c>
      <c r="I72" cm="1">
        <f t="array" ref="I72">INDEX(RefCapacity!$D$2:$D$526,MATCH(1,(RefCapacity!$A$2:$A$526='MultiRegModel Validation'!$A72)*(RefCapacity!$B$2:$B$526='MultiRegModel Validation'!$B72)*(RefCapacity!$C$2:$C$526='MultiRegModel Validation'!I$1),0))</f>
        <v>342.3</v>
      </c>
      <c r="J72" cm="1">
        <f t="array" ref="J72">INDEX(RefCapacity!$D$2:$D$526,MATCH(1,(RefCapacity!$A$2:$A$526='MultiRegModel Validation'!$A72)*(RefCapacity!$B$2:$B$526='MultiRegModel Validation'!$B72)*(RefCapacity!$C$2:$C$526='MultiRegModel Validation'!J$1),0))</f>
        <v>1401.2</v>
      </c>
      <c r="K72">
        <v>0.47946611909650927</v>
      </c>
      <c r="L72">
        <v>0.1806981519507187</v>
      </c>
      <c r="M72">
        <v>0.1794558521560575</v>
      </c>
      <c r="N72">
        <v>5.3603696098562609E-2</v>
      </c>
      <c r="O72">
        <v>4.722792607802874E-2</v>
      </c>
      <c r="P72">
        <v>5.9548254620123198E-2</v>
      </c>
      <c r="Q72">
        <f t="shared" si="1"/>
        <v>2.6717775616454031</v>
      </c>
      <c r="R72">
        <v>1.3</v>
      </c>
      <c r="S72">
        <v>28.53</v>
      </c>
      <c r="T72" cm="1">
        <f t="array" ref="T72">MMULT($D72:$J72,'Avg CI Index'!$C$2:$C$8)/$C72</f>
        <v>9.4770506958280212</v>
      </c>
      <c r="U72">
        <f>VLOOKUP($A72,'MultiReg Model'!$A$5:$G$9,2,FALSE)+'MultiRegModel Validation'!S72*VLOOKUP($A72,'MultiReg Model'!$A$5:$G$9,3,FALSE)+'MultiRegModel Validation'!R72*VLOOKUP($A72,'MultiReg Model'!$A$5:$G$9,4,FALSE)+'MultiRegModel Validation'!K72*VLOOKUP($A72,'MultiReg Model'!$A$5:$G$9,5,FALSE)+'MultiRegModel Validation'!M72*VLOOKUP($A72,'MultiReg Model'!$A$5:$G$9,6,FALSE)+$L72*VLOOKUP($A72,'MultiReg Model'!$A$5:$G$9,7,FALSE)</f>
        <v>6.6983611941608974</v>
      </c>
    </row>
    <row r="73" spans="1:21" x14ac:dyDescent="0.25">
      <c r="A73">
        <v>5</v>
      </c>
      <c r="B73">
        <v>2016</v>
      </c>
      <c r="C73">
        <f>SUMIFS(RefCapacity!$D$2:$D$526,RefCapacity!$A$2:$A$526,'MultiRegModel Validation'!$A73,RefCapacity!$B$2:$B$526,'MultiRegModel Validation'!$B73)</f>
        <v>2905.65</v>
      </c>
      <c r="D73" cm="1">
        <f t="array" ref="D73">INDEX(RefCapacity!$D$2:$D$526,MATCH(1,(RefCapacity!$A$2:$A$526='MultiRegModel Validation'!$A73)*(RefCapacity!$B$2:$B$526='MultiRegModel Validation'!$B73)*(RefCapacity!$C$2:$C$526='MultiRegModel Validation'!D$1),0))</f>
        <v>195.22499999999999</v>
      </c>
      <c r="E73" cm="1">
        <f t="array" ref="E73">INDEX(RefCapacity!$D$2:$D$526,MATCH(1,(RefCapacity!$A$2:$A$526='MultiRegModel Validation'!$A73)*(RefCapacity!$B$2:$B$526='MultiRegModel Validation'!$B73)*(RefCapacity!$C$2:$C$526='MultiRegModel Validation'!E$1),0))</f>
        <v>273.89999999999998</v>
      </c>
      <c r="F73" cm="1">
        <f t="array" ref="F73">INDEX(RefCapacity!$D$2:$D$526,MATCH(1,(RefCapacity!$A$2:$A$526='MultiRegModel Validation'!$A73)*(RefCapacity!$B$2:$B$526='MultiRegModel Validation'!$B73)*(RefCapacity!$C$2:$C$526='MultiRegModel Validation'!F$1),0))</f>
        <v>244.15</v>
      </c>
      <c r="G73" cm="1">
        <f t="array" ref="G73">INDEX(RefCapacity!$D$2:$D$526,MATCH(1,(RefCapacity!$A$2:$A$526='MultiRegModel Validation'!$A73)*(RefCapacity!$B$2:$B$526='MultiRegModel Validation'!$B73)*(RefCapacity!$C$2:$C$526='MultiRegModel Validation'!G$1),0))</f>
        <v>244.34</v>
      </c>
      <c r="H73" cm="1">
        <f t="array" ref="H73">INDEX(RefCapacity!$D$2:$D$526,MATCH(1,(RefCapacity!$A$2:$A$526='MultiRegModel Validation'!$A73)*(RefCapacity!$B$2:$B$526='MultiRegModel Validation'!$B73)*(RefCapacity!$C$2:$C$526='MultiRegModel Validation'!H$1),0))</f>
        <v>224.2</v>
      </c>
      <c r="I73" cm="1">
        <f t="array" ref="I73">INDEX(RefCapacity!$D$2:$D$526,MATCH(1,(RefCapacity!$A$2:$A$526='MultiRegModel Validation'!$A73)*(RefCapacity!$B$2:$B$526='MultiRegModel Validation'!$B73)*(RefCapacity!$C$2:$C$526='MultiRegModel Validation'!I$1),0))</f>
        <v>344.2</v>
      </c>
      <c r="J73" cm="1">
        <f t="array" ref="J73">INDEX(RefCapacity!$D$2:$D$526,MATCH(1,(RefCapacity!$A$2:$A$526='MultiRegModel Validation'!$A73)*(RefCapacity!$B$2:$B$526='MultiRegModel Validation'!$B73)*(RefCapacity!$C$2:$C$526='MultiRegModel Validation'!J$1),0))</f>
        <v>1379.635</v>
      </c>
      <c r="K73">
        <v>0.50202839756592288</v>
      </c>
      <c r="L73">
        <v>0.17647058823529413</v>
      </c>
      <c r="M73">
        <v>0.16711967545638942</v>
      </c>
      <c r="N73">
        <v>4.9918864097363069E-2</v>
      </c>
      <c r="O73">
        <v>4.3610547667342792E-2</v>
      </c>
      <c r="P73">
        <v>6.0851926977687619E-2</v>
      </c>
      <c r="Q73">
        <f t="shared" si="1"/>
        <v>3.0040053404539391</v>
      </c>
      <c r="R73">
        <v>1.3</v>
      </c>
      <c r="S73">
        <v>28.05</v>
      </c>
      <c r="T73" cm="1">
        <f t="array" ref="T73">MMULT($D73:$J73,'Avg CI Index'!$C$2:$C$8)/$C73</f>
        <v>9.4757713702545789</v>
      </c>
      <c r="U73">
        <f>VLOOKUP($A73,'MultiReg Model'!$A$5:$G$9,2,FALSE)+'MultiRegModel Validation'!S73*VLOOKUP($A73,'MultiReg Model'!$A$5:$G$9,3,FALSE)+'MultiRegModel Validation'!R73*VLOOKUP($A73,'MultiReg Model'!$A$5:$G$9,4,FALSE)+'MultiRegModel Validation'!K73*VLOOKUP($A73,'MultiReg Model'!$A$5:$G$9,5,FALSE)+'MultiRegModel Validation'!M73*VLOOKUP($A73,'MultiReg Model'!$A$5:$G$9,6,FALSE)+$L73*VLOOKUP($A73,'MultiReg Model'!$A$5:$G$9,7,FALSE)</f>
        <v>6.2786182200236231</v>
      </c>
    </row>
    <row r="74" spans="1:21" x14ac:dyDescent="0.25">
      <c r="A74">
        <v>5</v>
      </c>
      <c r="B74">
        <v>2017</v>
      </c>
      <c r="C74">
        <f>SUMIFS(RefCapacity!$D$2:$D$526,RefCapacity!$A$2:$A$526,'MultiRegModel Validation'!$A74,RefCapacity!$B$2:$B$526,'MultiRegModel Validation'!$B74)</f>
        <v>2934.7849999999999</v>
      </c>
      <c r="D74" cm="1">
        <f t="array" ref="D74">INDEX(RefCapacity!$D$2:$D$526,MATCH(1,(RefCapacity!$A$2:$A$526='MultiRegModel Validation'!$A74)*(RefCapacity!$B$2:$B$526='MultiRegModel Validation'!$B74)*(RefCapacity!$C$2:$C$526='MultiRegModel Validation'!D$1),0))</f>
        <v>195.22499999999999</v>
      </c>
      <c r="E74" cm="1">
        <f t="array" ref="E74">INDEX(RefCapacity!$D$2:$D$526,MATCH(1,(RefCapacity!$A$2:$A$526='MultiRegModel Validation'!$A74)*(RefCapacity!$B$2:$B$526='MultiRegModel Validation'!$B74)*(RefCapacity!$C$2:$C$526='MultiRegModel Validation'!E$1),0))</f>
        <v>273.89999999999998</v>
      </c>
      <c r="F74" cm="1">
        <f t="array" ref="F74">INDEX(RefCapacity!$D$2:$D$526,MATCH(1,(RefCapacity!$A$2:$A$526='MultiRegModel Validation'!$A74)*(RefCapacity!$B$2:$B$526='MultiRegModel Validation'!$B74)*(RefCapacity!$C$2:$C$526='MultiRegModel Validation'!F$1),0))</f>
        <v>244.15</v>
      </c>
      <c r="G74" cm="1">
        <f t="array" ref="G74">INDEX(RefCapacity!$D$2:$D$526,MATCH(1,(RefCapacity!$A$2:$A$526='MultiRegModel Validation'!$A74)*(RefCapacity!$B$2:$B$526='MultiRegModel Validation'!$B74)*(RefCapacity!$C$2:$C$526='MultiRegModel Validation'!G$1),0))</f>
        <v>257</v>
      </c>
      <c r="H74" cm="1">
        <f t="array" ref="H74">INDEX(RefCapacity!$D$2:$D$526,MATCH(1,(RefCapacity!$A$2:$A$526='MultiRegModel Validation'!$A74)*(RefCapacity!$B$2:$B$526='MultiRegModel Validation'!$B74)*(RefCapacity!$C$2:$C$526='MultiRegModel Validation'!H$1),0))</f>
        <v>224.2</v>
      </c>
      <c r="I74" cm="1">
        <f t="array" ref="I74">INDEX(RefCapacity!$D$2:$D$526,MATCH(1,(RefCapacity!$A$2:$A$526='MultiRegModel Validation'!$A74)*(RefCapacity!$B$2:$B$526='MultiRegModel Validation'!$B74)*(RefCapacity!$C$2:$C$526='MultiRegModel Validation'!I$1),0))</f>
        <v>344.2</v>
      </c>
      <c r="J74" cm="1">
        <f t="array" ref="J74">INDEX(RefCapacity!$D$2:$D$526,MATCH(1,(RefCapacity!$A$2:$A$526='MultiRegModel Validation'!$A74)*(RefCapacity!$B$2:$B$526='MultiRegModel Validation'!$B74)*(RefCapacity!$C$2:$C$526='MultiRegModel Validation'!J$1),0))</f>
        <v>1396.11</v>
      </c>
      <c r="K74">
        <v>0.49949031600407751</v>
      </c>
      <c r="L74">
        <v>0.18144750254841999</v>
      </c>
      <c r="M74">
        <v>0.16404689092762487</v>
      </c>
      <c r="N74">
        <v>4.9001019367991838E-2</v>
      </c>
      <c r="O74">
        <v>4.4852191641182475E-2</v>
      </c>
      <c r="P74">
        <v>6.116207951070337E-2</v>
      </c>
      <c r="Q74">
        <f t="shared" si="1"/>
        <v>3.044802087864289</v>
      </c>
      <c r="R74">
        <v>1.35</v>
      </c>
      <c r="S74">
        <v>28.42</v>
      </c>
      <c r="T74" cm="1">
        <f t="array" ref="T74">MMULT($D74:$J74,'Avg CI Index'!$C$2:$C$8)/$C74</f>
        <v>9.4858511800304637</v>
      </c>
      <c r="U74">
        <f>VLOOKUP($A74,'MultiReg Model'!$A$5:$G$9,2,FALSE)+'MultiRegModel Validation'!S74*VLOOKUP($A74,'MultiReg Model'!$A$5:$G$9,3,FALSE)+'MultiRegModel Validation'!R74*VLOOKUP($A74,'MultiReg Model'!$A$5:$G$9,4,FALSE)+'MultiRegModel Validation'!K74*VLOOKUP($A74,'MultiReg Model'!$A$5:$G$9,5,FALSE)+'MultiRegModel Validation'!M74*VLOOKUP($A74,'MultiReg Model'!$A$5:$G$9,6,FALSE)+$L74*VLOOKUP($A74,'MultiReg Model'!$A$5:$G$9,7,FALSE)</f>
        <v>6.2606404935255568</v>
      </c>
    </row>
    <row r="75" spans="1:21" x14ac:dyDescent="0.25">
      <c r="A75">
        <v>5</v>
      </c>
      <c r="B75">
        <v>2018</v>
      </c>
      <c r="C75">
        <f>SUMIFS(RefCapacity!$D$2:$D$526,RefCapacity!$A$2:$A$526,'MultiRegModel Validation'!$A75,RefCapacity!$B$2:$B$526,'MultiRegModel Validation'!$B75)</f>
        <v>2917.2849999999999</v>
      </c>
      <c r="D75" cm="1">
        <f t="array" ref="D75">INDEX(RefCapacity!$D$2:$D$526,MATCH(1,(RefCapacity!$A$2:$A$526='MultiRegModel Validation'!$A75)*(RefCapacity!$B$2:$B$526='MultiRegModel Validation'!$B75)*(RefCapacity!$C$2:$C$526='MultiRegModel Validation'!D$1),0))</f>
        <v>195.22499999999999</v>
      </c>
      <c r="E75" cm="1">
        <f t="array" ref="E75">INDEX(RefCapacity!$D$2:$D$526,MATCH(1,(RefCapacity!$A$2:$A$526='MultiRegModel Validation'!$A75)*(RefCapacity!$B$2:$B$526='MultiRegModel Validation'!$B75)*(RefCapacity!$C$2:$C$526='MultiRegModel Validation'!E$1),0))</f>
        <v>277.89999999999998</v>
      </c>
      <c r="F75" cm="1">
        <f t="array" ref="F75">INDEX(RefCapacity!$D$2:$D$526,MATCH(1,(RefCapacity!$A$2:$A$526='MultiRegModel Validation'!$A75)*(RefCapacity!$B$2:$B$526='MultiRegModel Validation'!$B75)*(RefCapacity!$C$2:$C$526='MultiRegModel Validation'!F$1),0))</f>
        <v>244.15</v>
      </c>
      <c r="G75" cm="1">
        <f t="array" ref="G75">INDEX(RefCapacity!$D$2:$D$526,MATCH(1,(RefCapacity!$A$2:$A$526='MultiRegModel Validation'!$A75)*(RefCapacity!$B$2:$B$526='MultiRegModel Validation'!$B75)*(RefCapacity!$C$2:$C$526='MultiRegModel Validation'!G$1),0))</f>
        <v>257</v>
      </c>
      <c r="H75" cm="1">
        <f t="array" ref="H75">INDEX(RefCapacity!$D$2:$D$526,MATCH(1,(RefCapacity!$A$2:$A$526='MultiRegModel Validation'!$A75)*(RefCapacity!$B$2:$B$526='MultiRegModel Validation'!$B75)*(RefCapacity!$C$2:$C$526='MultiRegModel Validation'!H$1),0))</f>
        <v>224.2</v>
      </c>
      <c r="I75" cm="1">
        <f t="array" ref="I75">INDEX(RefCapacity!$D$2:$D$526,MATCH(1,(RefCapacity!$A$2:$A$526='MultiRegModel Validation'!$A75)*(RefCapacity!$B$2:$B$526='MultiRegModel Validation'!$B75)*(RefCapacity!$C$2:$C$526='MultiRegModel Validation'!I$1),0))</f>
        <v>344.2</v>
      </c>
      <c r="J75" cm="1">
        <f t="array" ref="J75">INDEX(RefCapacity!$D$2:$D$526,MATCH(1,(RefCapacity!$A$2:$A$526='MultiRegModel Validation'!$A75)*(RefCapacity!$B$2:$B$526='MultiRegModel Validation'!$B75)*(RefCapacity!$C$2:$C$526='MultiRegModel Validation'!J$1),0))</f>
        <v>1374.61</v>
      </c>
      <c r="K75">
        <v>0.49035532994923853</v>
      </c>
      <c r="L75">
        <v>0.18883248730964469</v>
      </c>
      <c r="M75">
        <v>0.16572588832487309</v>
      </c>
      <c r="N75">
        <v>4.9502538071065999E-2</v>
      </c>
      <c r="O75">
        <v>4.3654822335025378E-2</v>
      </c>
      <c r="P75">
        <v>6.192893401015228E-2</v>
      </c>
      <c r="Q75">
        <f t="shared" si="1"/>
        <v>2.9588336192109774</v>
      </c>
      <c r="R75">
        <v>1.41</v>
      </c>
      <c r="S75">
        <v>28.2</v>
      </c>
      <c r="T75" cm="1">
        <f t="array" ref="T75">MMULT($D75:$J75,'Avg CI Index'!$C$2:$C$8)/$C75</f>
        <v>9.470487572473802</v>
      </c>
      <c r="U75">
        <f>VLOOKUP($A75,'MultiReg Model'!$A$5:$G$9,2,FALSE)+'MultiRegModel Validation'!S75*VLOOKUP($A75,'MultiReg Model'!$A$5:$G$9,3,FALSE)+'MultiRegModel Validation'!R75*VLOOKUP($A75,'MultiReg Model'!$A$5:$G$9,4,FALSE)+'MultiRegModel Validation'!K75*VLOOKUP($A75,'MultiReg Model'!$A$5:$G$9,5,FALSE)+'MultiRegModel Validation'!M75*VLOOKUP($A75,'MultiReg Model'!$A$5:$G$9,6,FALSE)+$L75*VLOOKUP($A75,'MultiReg Model'!$A$5:$G$9,7,FALSE)</f>
        <v>6.2195638196316629</v>
      </c>
    </row>
    <row r="76" spans="1:21" x14ac:dyDescent="0.25">
      <c r="A76">
        <v>5</v>
      </c>
      <c r="B76">
        <v>2019</v>
      </c>
      <c r="C76">
        <f>SUMIFS(RefCapacity!$D$2:$D$526,RefCapacity!$A$2:$A$526,'MultiRegModel Validation'!$A76,RefCapacity!$B$2:$B$526,'MultiRegModel Validation'!$B76)</f>
        <v>2875.8850000000002</v>
      </c>
      <c r="D76" cm="1">
        <f t="array" ref="D76">INDEX(RefCapacity!$D$2:$D$526,MATCH(1,(RefCapacity!$A$2:$A$526='MultiRegModel Validation'!$A76)*(RefCapacity!$B$2:$B$526='MultiRegModel Validation'!$B76)*(RefCapacity!$C$2:$C$526='MultiRegModel Validation'!D$1),0))</f>
        <v>195.22499999999999</v>
      </c>
      <c r="E76" cm="1">
        <f t="array" ref="E76">INDEX(RefCapacity!$D$2:$D$526,MATCH(1,(RefCapacity!$A$2:$A$526='MultiRegModel Validation'!$A76)*(RefCapacity!$B$2:$B$526='MultiRegModel Validation'!$B76)*(RefCapacity!$C$2:$C$526='MultiRegModel Validation'!E$1),0))</f>
        <v>224</v>
      </c>
      <c r="F76" cm="1">
        <f t="array" ref="F76">INDEX(RefCapacity!$D$2:$D$526,MATCH(1,(RefCapacity!$A$2:$A$526='MultiRegModel Validation'!$A76)*(RefCapacity!$B$2:$B$526='MultiRegModel Validation'!$B76)*(RefCapacity!$C$2:$C$526='MultiRegModel Validation'!F$1),0))</f>
        <v>243.75</v>
      </c>
      <c r="G76" cm="1">
        <f t="array" ref="G76">INDEX(RefCapacity!$D$2:$D$526,MATCH(1,(RefCapacity!$A$2:$A$526='MultiRegModel Validation'!$A76)*(RefCapacity!$B$2:$B$526='MultiRegModel Validation'!$B76)*(RefCapacity!$C$2:$C$526='MultiRegModel Validation'!G$1),0))</f>
        <v>257</v>
      </c>
      <c r="H76" cm="1">
        <f t="array" ref="H76">INDEX(RefCapacity!$D$2:$D$526,MATCH(1,(RefCapacity!$A$2:$A$526='MultiRegModel Validation'!$A76)*(RefCapacity!$B$2:$B$526='MultiRegModel Validation'!$B76)*(RefCapacity!$C$2:$C$526='MultiRegModel Validation'!H$1),0))</f>
        <v>224.2</v>
      </c>
      <c r="I76" cm="1">
        <f t="array" ref="I76">INDEX(RefCapacity!$D$2:$D$526,MATCH(1,(RefCapacity!$A$2:$A$526='MultiRegModel Validation'!$A76)*(RefCapacity!$B$2:$B$526='MultiRegModel Validation'!$B76)*(RefCapacity!$C$2:$C$526='MultiRegModel Validation'!I$1),0))</f>
        <v>358.45</v>
      </c>
      <c r="J76" cm="1">
        <f t="array" ref="J76">INDEX(RefCapacity!$D$2:$D$526,MATCH(1,(RefCapacity!$A$2:$A$526='MultiRegModel Validation'!$A76)*(RefCapacity!$B$2:$B$526='MultiRegModel Validation'!$B76)*(RefCapacity!$C$2:$C$526='MultiRegModel Validation'!J$1),0))</f>
        <v>1373.26</v>
      </c>
      <c r="K76">
        <v>0.48527918781725887</v>
      </c>
      <c r="L76">
        <v>0.18274111675126903</v>
      </c>
      <c r="M76">
        <v>0.17354314720812183</v>
      </c>
      <c r="N76">
        <v>5.1837563451776647E-2</v>
      </c>
      <c r="O76">
        <v>4.5685279187817257E-2</v>
      </c>
      <c r="P76">
        <v>6.0913705583756347E-2</v>
      </c>
      <c r="Q76">
        <f t="shared" si="1"/>
        <v>2.796302796302796</v>
      </c>
      <c r="R76">
        <v>1.4</v>
      </c>
      <c r="S76">
        <v>28.61</v>
      </c>
      <c r="T76" cm="1">
        <f t="array" ref="T76">MMULT($D76:$J76,'Avg CI Index'!$C$2:$C$8)/$C76</f>
        <v>9.5150135572737913</v>
      </c>
      <c r="U76">
        <f>VLOOKUP($A76,'MultiReg Model'!$A$5:$G$9,2,FALSE)+'MultiRegModel Validation'!S76*VLOOKUP($A76,'MultiReg Model'!$A$5:$G$9,3,FALSE)+'MultiRegModel Validation'!R76*VLOOKUP($A76,'MultiReg Model'!$A$5:$G$9,4,FALSE)+'MultiRegModel Validation'!K76*VLOOKUP($A76,'MultiReg Model'!$A$5:$G$9,5,FALSE)+'MultiRegModel Validation'!M76*VLOOKUP($A76,'MultiReg Model'!$A$5:$G$9,6,FALSE)+$L76*VLOOKUP($A76,'MultiReg Model'!$A$5:$G$9,7,FALSE)</f>
        <v>6.4680401963952843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F27C5-8740-47E7-8618-5D6856691342}">
  <sheetPr codeName="Sheet6"/>
  <dimension ref="A1:M9"/>
  <sheetViews>
    <sheetView workbookViewId="0">
      <selection activeCell="F5" sqref="F5"/>
    </sheetView>
  </sheetViews>
  <sheetFormatPr defaultRowHeight="15" x14ac:dyDescent="0.25"/>
  <cols>
    <col min="6" max="6" width="12.42578125" bestFit="1" customWidth="1"/>
  </cols>
  <sheetData>
    <row r="1" spans="1:13" x14ac:dyDescent="0.25">
      <c r="A1" t="s">
        <v>447</v>
      </c>
      <c r="B1" t="s">
        <v>448</v>
      </c>
      <c r="C1" t="s">
        <v>449</v>
      </c>
      <c r="D1" t="s">
        <v>450</v>
      </c>
      <c r="E1" t="s">
        <v>451</v>
      </c>
      <c r="F1" t="s">
        <v>452</v>
      </c>
      <c r="G1" t="s">
        <v>455</v>
      </c>
      <c r="H1" t="s">
        <v>456</v>
      </c>
      <c r="I1" t="s">
        <v>457</v>
      </c>
      <c r="J1" t="s">
        <v>458</v>
      </c>
      <c r="K1" t="s">
        <v>459</v>
      </c>
      <c r="L1" t="s">
        <v>453</v>
      </c>
      <c r="M1" t="s">
        <v>454</v>
      </c>
    </row>
    <row r="2" spans="1:13" x14ac:dyDescent="0.25">
      <c r="A2" t="s">
        <v>446</v>
      </c>
      <c r="B2">
        <v>6.5432439999999996</v>
      </c>
      <c r="C2">
        <v>0.19013160000000001</v>
      </c>
      <c r="D2">
        <v>2.4632610000000001</v>
      </c>
      <c r="E2">
        <v>-8.354457</v>
      </c>
      <c r="F2">
        <v>-9.7566480000000002</v>
      </c>
      <c r="G2">
        <v>1.621245E-6</v>
      </c>
      <c r="H2">
        <v>8.2329970000000006E-3</v>
      </c>
      <c r="I2">
        <v>6.1627320000000001E-14</v>
      </c>
      <c r="J2">
        <v>2.9906160000000002E-3</v>
      </c>
      <c r="K2">
        <v>5.0005429999999997E-3</v>
      </c>
      <c r="L2">
        <v>1.148775E-14</v>
      </c>
      <c r="M2">
        <v>0.63465760000000004</v>
      </c>
    </row>
    <row r="4" spans="1:13" x14ac:dyDescent="0.25">
      <c r="A4" t="s">
        <v>447</v>
      </c>
      <c r="B4" t="s">
        <v>535</v>
      </c>
      <c r="C4" t="s">
        <v>438</v>
      </c>
      <c r="D4" t="s">
        <v>440</v>
      </c>
      <c r="E4" t="s">
        <v>442</v>
      </c>
      <c r="F4" t="s">
        <v>581</v>
      </c>
      <c r="G4" t="s">
        <v>582</v>
      </c>
      <c r="H4" t="s">
        <v>583</v>
      </c>
      <c r="I4" t="s">
        <v>584</v>
      </c>
      <c r="J4" t="s">
        <v>585</v>
      </c>
      <c r="K4" t="s">
        <v>586</v>
      </c>
      <c r="L4" t="s">
        <v>587</v>
      </c>
      <c r="M4" t="s">
        <v>588</v>
      </c>
    </row>
    <row r="5" spans="1:13" x14ac:dyDescent="0.25">
      <c r="A5">
        <v>1</v>
      </c>
      <c r="B5">
        <v>6.6295165757559502</v>
      </c>
      <c r="C5">
        <v>-0.11916442799150199</v>
      </c>
      <c r="D5">
        <v>5.8117514186076198</v>
      </c>
      <c r="E5">
        <v>8.8087021285499301</v>
      </c>
      <c r="F5">
        <v>8.4401766549254003</v>
      </c>
      <c r="G5">
        <v>3.11378394661018E-2</v>
      </c>
      <c r="H5">
        <v>0.18182091144089099</v>
      </c>
      <c r="I5">
        <v>0.23858012587892699</v>
      </c>
      <c r="J5">
        <v>5.4141756790626799E-2</v>
      </c>
      <c r="K5">
        <v>0.21245956581249101</v>
      </c>
      <c r="L5">
        <v>0.36672919784719599</v>
      </c>
      <c r="M5">
        <v>0.22414340202267199</v>
      </c>
    </row>
    <row r="6" spans="1:13" x14ac:dyDescent="0.25">
      <c r="A6">
        <v>2</v>
      </c>
      <c r="B6">
        <v>7.20949674710449</v>
      </c>
      <c r="C6">
        <v>-6.18567881410481E-2</v>
      </c>
      <c r="D6">
        <v>4.5835796092634302</v>
      </c>
      <c r="E6">
        <v>4.2280787188705302</v>
      </c>
      <c r="F6">
        <v>11.7654433751062</v>
      </c>
      <c r="G6">
        <v>3.0085749237832101E-3</v>
      </c>
      <c r="H6">
        <v>0.40443776493684402</v>
      </c>
      <c r="I6">
        <v>0.11469799592951201</v>
      </c>
      <c r="J6">
        <v>2.8728129532117199E-2</v>
      </c>
      <c r="K6">
        <v>0.34353214286952</v>
      </c>
      <c r="L6">
        <v>0.123758081679952</v>
      </c>
      <c r="M6">
        <v>0.34785449078972802</v>
      </c>
    </row>
    <row r="7" spans="1:13" x14ac:dyDescent="0.25">
      <c r="A7">
        <v>3</v>
      </c>
      <c r="B7">
        <v>9.5344364757529796</v>
      </c>
      <c r="C7">
        <v>-7.32730443324216E-2</v>
      </c>
      <c r="D7">
        <v>3.02808056099594</v>
      </c>
      <c r="E7">
        <v>4.0650940342335904</v>
      </c>
      <c r="F7">
        <v>-2.2512153620416201E-2</v>
      </c>
      <c r="G7" t="s">
        <v>576</v>
      </c>
      <c r="H7">
        <v>5.7645928045266404E-3</v>
      </c>
      <c r="I7">
        <v>0.21702054548611399</v>
      </c>
      <c r="J7">
        <v>5.71447623761659E-3</v>
      </c>
      <c r="K7">
        <v>0.99606149549503697</v>
      </c>
      <c r="L7" t="s">
        <v>577</v>
      </c>
      <c r="M7">
        <v>0.86214169007207198</v>
      </c>
    </row>
    <row r="8" spans="1:13" x14ac:dyDescent="0.25">
      <c r="A8">
        <v>4</v>
      </c>
      <c r="B8">
        <v>-2.0736707266002599</v>
      </c>
      <c r="C8">
        <v>-3.42679689024862E-2</v>
      </c>
      <c r="D8">
        <v>12.2338279249267</v>
      </c>
      <c r="E8">
        <v>14.1201900381041</v>
      </c>
      <c r="F8">
        <v>31.466865693509</v>
      </c>
      <c r="G8">
        <v>0.38450585484358601</v>
      </c>
      <c r="H8">
        <v>0.60618390603280004</v>
      </c>
      <c r="I8">
        <v>4.2545756086353704E-3</v>
      </c>
      <c r="J8" t="s">
        <v>578</v>
      </c>
      <c r="K8">
        <v>1.9637393289692801E-3</v>
      </c>
      <c r="L8" t="s">
        <v>579</v>
      </c>
      <c r="M8">
        <v>0.80663205528483095</v>
      </c>
    </row>
    <row r="9" spans="1:13" x14ac:dyDescent="0.25">
      <c r="A9">
        <v>5</v>
      </c>
      <c r="B9">
        <v>2.1321457608217602</v>
      </c>
      <c r="C9">
        <v>0.20797169648608799</v>
      </c>
      <c r="D9">
        <v>-1.21582948444304</v>
      </c>
      <c r="E9">
        <v>-5.5121094193507902</v>
      </c>
      <c r="F9">
        <v>15.818668996986901</v>
      </c>
      <c r="G9">
        <v>9.6726218175768999E-2</v>
      </c>
      <c r="H9">
        <v>1.7850834867766E-3</v>
      </c>
      <c r="I9">
        <v>0.55846993520944599</v>
      </c>
      <c r="J9">
        <v>4.1357243020981101E-2</v>
      </c>
      <c r="K9">
        <v>1.8616451348436999E-4</v>
      </c>
      <c r="L9" t="s">
        <v>580</v>
      </c>
      <c r="M9">
        <v>0.78127843953545995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D602B2-33D0-4E86-A0E9-122758AAF542}">
  <sheetPr codeName="Sheet7"/>
  <dimension ref="A1:N76"/>
  <sheetViews>
    <sheetView workbookViewId="0">
      <selection activeCell="M10" sqref="M10"/>
    </sheetView>
  </sheetViews>
  <sheetFormatPr defaultRowHeight="15" x14ac:dyDescent="0.25"/>
  <cols>
    <col min="4" max="4" width="29.85546875" bestFit="1" customWidth="1"/>
    <col min="10" max="10" width="31.7109375" bestFit="1" customWidth="1"/>
    <col min="11" max="11" width="22.85546875" bestFit="1" customWidth="1"/>
    <col min="12" max="12" width="29.85546875" bestFit="1" customWidth="1"/>
  </cols>
  <sheetData>
    <row r="1" spans="1:14" x14ac:dyDescent="0.25">
      <c r="A1" t="s">
        <v>513</v>
      </c>
      <c r="B1" t="s">
        <v>514</v>
      </c>
      <c r="C1" t="s">
        <v>515</v>
      </c>
      <c r="D1" t="s">
        <v>516</v>
      </c>
      <c r="E1" t="s">
        <v>512</v>
      </c>
      <c r="F1" t="s">
        <v>517</v>
      </c>
      <c r="I1" t="s">
        <v>513</v>
      </c>
      <c r="J1" t="s">
        <v>514</v>
      </c>
      <c r="K1" t="s">
        <v>515</v>
      </c>
      <c r="L1" t="s">
        <v>516</v>
      </c>
      <c r="M1" t="s">
        <v>512</v>
      </c>
      <c r="N1" t="s">
        <v>517</v>
      </c>
    </row>
    <row r="2" spans="1:14" x14ac:dyDescent="0.25">
      <c r="A2">
        <v>2019</v>
      </c>
      <c r="B2">
        <v>2</v>
      </c>
      <c r="C2" t="s">
        <v>519</v>
      </c>
      <c r="D2" t="s">
        <v>544</v>
      </c>
      <c r="E2">
        <v>4692</v>
      </c>
      <c r="F2" t="s">
        <v>518</v>
      </c>
      <c r="I2">
        <v>2019</v>
      </c>
      <c r="J2">
        <v>4</v>
      </c>
      <c r="K2" t="s">
        <v>520</v>
      </c>
      <c r="L2" t="s">
        <v>543</v>
      </c>
      <c r="M2">
        <v>629</v>
      </c>
      <c r="N2" t="s">
        <v>518</v>
      </c>
    </row>
    <row r="3" spans="1:14" x14ac:dyDescent="0.25">
      <c r="A3">
        <v>2019</v>
      </c>
      <c r="B3">
        <v>3</v>
      </c>
      <c r="C3" t="s">
        <v>519</v>
      </c>
      <c r="D3" t="s">
        <v>544</v>
      </c>
      <c r="E3">
        <v>8165</v>
      </c>
      <c r="F3" t="s">
        <v>518</v>
      </c>
      <c r="I3">
        <v>2019</v>
      </c>
      <c r="J3">
        <v>3</v>
      </c>
      <c r="K3" t="s">
        <v>520</v>
      </c>
      <c r="L3" t="s">
        <v>543</v>
      </c>
      <c r="M3">
        <v>8831</v>
      </c>
      <c r="N3" t="s">
        <v>518</v>
      </c>
    </row>
    <row r="4" spans="1:14" x14ac:dyDescent="0.25">
      <c r="A4">
        <v>2019</v>
      </c>
      <c r="B4">
        <v>1</v>
      </c>
      <c r="C4" t="s">
        <v>519</v>
      </c>
      <c r="D4" t="s">
        <v>544</v>
      </c>
      <c r="E4">
        <v>3838</v>
      </c>
      <c r="F4" t="s">
        <v>518</v>
      </c>
      <c r="I4">
        <v>2019</v>
      </c>
      <c r="J4">
        <v>5</v>
      </c>
      <c r="K4" t="s">
        <v>520</v>
      </c>
      <c r="L4" t="s">
        <v>543</v>
      </c>
      <c r="M4">
        <v>2404</v>
      </c>
      <c r="N4" t="s">
        <v>518</v>
      </c>
    </row>
    <row r="5" spans="1:14" x14ac:dyDescent="0.25">
      <c r="A5">
        <v>2019</v>
      </c>
      <c r="B5">
        <v>4</v>
      </c>
      <c r="C5" t="s">
        <v>519</v>
      </c>
      <c r="D5" t="s">
        <v>544</v>
      </c>
      <c r="E5">
        <v>668</v>
      </c>
      <c r="F5" t="s">
        <v>518</v>
      </c>
      <c r="I5">
        <v>2019</v>
      </c>
      <c r="J5">
        <v>1</v>
      </c>
      <c r="K5" t="s">
        <v>520</v>
      </c>
      <c r="L5" t="s">
        <v>543</v>
      </c>
      <c r="M5">
        <v>896</v>
      </c>
      <c r="N5" t="s">
        <v>518</v>
      </c>
    </row>
    <row r="6" spans="1:14" x14ac:dyDescent="0.25">
      <c r="A6">
        <v>2019</v>
      </c>
      <c r="B6">
        <v>5</v>
      </c>
      <c r="C6" t="s">
        <v>519</v>
      </c>
      <c r="D6" t="s">
        <v>544</v>
      </c>
      <c r="E6">
        <v>3077</v>
      </c>
      <c r="F6" t="s">
        <v>518</v>
      </c>
      <c r="I6">
        <v>2019</v>
      </c>
      <c r="J6">
        <v>2</v>
      </c>
      <c r="K6" t="s">
        <v>520</v>
      </c>
      <c r="L6" t="s">
        <v>543</v>
      </c>
      <c r="M6">
        <v>3803</v>
      </c>
      <c r="N6" t="s">
        <v>518</v>
      </c>
    </row>
    <row r="7" spans="1:14" x14ac:dyDescent="0.25">
      <c r="A7">
        <v>2018</v>
      </c>
      <c r="B7">
        <v>3</v>
      </c>
      <c r="C7" t="s">
        <v>519</v>
      </c>
      <c r="D7" t="s">
        <v>544</v>
      </c>
      <c r="E7">
        <v>8312</v>
      </c>
      <c r="F7" t="s">
        <v>518</v>
      </c>
      <c r="I7">
        <v>2018</v>
      </c>
      <c r="J7">
        <v>3</v>
      </c>
      <c r="K7" t="s">
        <v>520</v>
      </c>
      <c r="L7" t="s">
        <v>543</v>
      </c>
      <c r="M7">
        <v>9035</v>
      </c>
      <c r="N7" t="s">
        <v>518</v>
      </c>
    </row>
    <row r="8" spans="1:14" x14ac:dyDescent="0.25">
      <c r="A8">
        <v>2018</v>
      </c>
      <c r="B8">
        <v>1</v>
      </c>
      <c r="C8" t="s">
        <v>519</v>
      </c>
      <c r="D8" t="s">
        <v>544</v>
      </c>
      <c r="E8">
        <v>3869</v>
      </c>
      <c r="F8" t="s">
        <v>518</v>
      </c>
      <c r="I8">
        <v>2018</v>
      </c>
      <c r="J8">
        <v>2</v>
      </c>
      <c r="K8" t="s">
        <v>520</v>
      </c>
      <c r="L8" t="s">
        <v>543</v>
      </c>
      <c r="M8">
        <v>3795</v>
      </c>
      <c r="N8" t="s">
        <v>518</v>
      </c>
    </row>
    <row r="9" spans="1:14" x14ac:dyDescent="0.25">
      <c r="A9">
        <v>2018</v>
      </c>
      <c r="B9">
        <v>2</v>
      </c>
      <c r="C9" t="s">
        <v>519</v>
      </c>
      <c r="D9" t="s">
        <v>544</v>
      </c>
      <c r="E9">
        <v>4691</v>
      </c>
      <c r="F9" t="s">
        <v>518</v>
      </c>
      <c r="I9">
        <v>2018</v>
      </c>
      <c r="J9">
        <v>4</v>
      </c>
      <c r="K9" t="s">
        <v>520</v>
      </c>
      <c r="L9" t="s">
        <v>543</v>
      </c>
      <c r="M9">
        <v>620</v>
      </c>
      <c r="N9" t="s">
        <v>518</v>
      </c>
    </row>
    <row r="10" spans="1:14" x14ac:dyDescent="0.25">
      <c r="A10">
        <v>2018</v>
      </c>
      <c r="B10">
        <v>4</v>
      </c>
      <c r="C10" t="s">
        <v>519</v>
      </c>
      <c r="D10" t="s">
        <v>544</v>
      </c>
      <c r="E10">
        <v>664</v>
      </c>
      <c r="F10" t="s">
        <v>518</v>
      </c>
      <c r="I10">
        <v>2018</v>
      </c>
      <c r="J10">
        <v>5</v>
      </c>
      <c r="K10" t="s">
        <v>520</v>
      </c>
      <c r="L10" t="s">
        <v>543</v>
      </c>
      <c r="M10">
        <v>2474</v>
      </c>
      <c r="N10" t="s">
        <v>518</v>
      </c>
    </row>
    <row r="11" spans="1:14" x14ac:dyDescent="0.25">
      <c r="A11">
        <v>2018</v>
      </c>
      <c r="B11">
        <v>5</v>
      </c>
      <c r="C11" t="s">
        <v>519</v>
      </c>
      <c r="D11" t="s">
        <v>544</v>
      </c>
      <c r="E11">
        <v>3156</v>
      </c>
      <c r="F11" t="s">
        <v>518</v>
      </c>
      <c r="I11">
        <v>2018</v>
      </c>
      <c r="J11">
        <v>1</v>
      </c>
      <c r="K11" t="s">
        <v>520</v>
      </c>
      <c r="L11" t="s">
        <v>543</v>
      </c>
      <c r="M11">
        <v>1045</v>
      </c>
      <c r="N11" t="s">
        <v>518</v>
      </c>
    </row>
    <row r="12" spans="1:14" x14ac:dyDescent="0.25">
      <c r="A12">
        <v>2017</v>
      </c>
      <c r="B12">
        <v>3</v>
      </c>
      <c r="C12" t="s">
        <v>519</v>
      </c>
      <c r="D12" t="s">
        <v>544</v>
      </c>
      <c r="E12">
        <v>7986</v>
      </c>
      <c r="F12" t="s">
        <v>518</v>
      </c>
      <c r="I12">
        <v>2017</v>
      </c>
      <c r="J12">
        <v>3</v>
      </c>
      <c r="K12" t="s">
        <v>520</v>
      </c>
      <c r="L12" t="s">
        <v>543</v>
      </c>
      <c r="M12">
        <v>8719</v>
      </c>
      <c r="N12" t="s">
        <v>518</v>
      </c>
    </row>
    <row r="13" spans="1:14" x14ac:dyDescent="0.25">
      <c r="A13">
        <v>2017</v>
      </c>
      <c r="B13">
        <v>2</v>
      </c>
      <c r="C13" t="s">
        <v>519</v>
      </c>
      <c r="D13" t="s">
        <v>544</v>
      </c>
      <c r="E13">
        <v>4652</v>
      </c>
      <c r="F13" t="s">
        <v>518</v>
      </c>
      <c r="I13">
        <v>2017</v>
      </c>
      <c r="J13">
        <v>1</v>
      </c>
      <c r="K13" t="s">
        <v>520</v>
      </c>
      <c r="L13" t="s">
        <v>543</v>
      </c>
      <c r="M13">
        <v>1071</v>
      </c>
      <c r="N13" t="s">
        <v>518</v>
      </c>
    </row>
    <row r="14" spans="1:14" x14ac:dyDescent="0.25">
      <c r="A14">
        <v>2017</v>
      </c>
      <c r="B14">
        <v>4</v>
      </c>
      <c r="C14" t="s">
        <v>519</v>
      </c>
      <c r="D14" t="s">
        <v>544</v>
      </c>
      <c r="E14">
        <v>667</v>
      </c>
      <c r="F14" t="s">
        <v>518</v>
      </c>
      <c r="I14">
        <v>2017</v>
      </c>
      <c r="J14">
        <v>2</v>
      </c>
      <c r="K14" t="s">
        <v>520</v>
      </c>
      <c r="L14" t="s">
        <v>543</v>
      </c>
      <c r="M14">
        <v>3758</v>
      </c>
      <c r="N14" t="s">
        <v>518</v>
      </c>
    </row>
    <row r="15" spans="1:14" x14ac:dyDescent="0.25">
      <c r="A15">
        <v>2017</v>
      </c>
      <c r="B15">
        <v>5</v>
      </c>
      <c r="C15" t="s">
        <v>519</v>
      </c>
      <c r="D15" t="s">
        <v>544</v>
      </c>
      <c r="E15">
        <v>3121</v>
      </c>
      <c r="F15" t="s">
        <v>518</v>
      </c>
      <c r="I15">
        <v>2017</v>
      </c>
      <c r="J15">
        <v>5</v>
      </c>
      <c r="K15" t="s">
        <v>520</v>
      </c>
      <c r="L15" t="s">
        <v>543</v>
      </c>
      <c r="M15">
        <v>2420</v>
      </c>
      <c r="N15" t="s">
        <v>518</v>
      </c>
    </row>
    <row r="16" spans="1:14" x14ac:dyDescent="0.25">
      <c r="A16">
        <v>2017</v>
      </c>
      <c r="B16">
        <v>1</v>
      </c>
      <c r="C16" t="s">
        <v>519</v>
      </c>
      <c r="D16" t="s">
        <v>544</v>
      </c>
      <c r="E16">
        <v>3871</v>
      </c>
      <c r="F16" t="s">
        <v>518</v>
      </c>
      <c r="I16">
        <v>2017</v>
      </c>
      <c r="J16">
        <v>4</v>
      </c>
      <c r="K16" t="s">
        <v>520</v>
      </c>
      <c r="L16" t="s">
        <v>543</v>
      </c>
      <c r="M16">
        <v>622</v>
      </c>
      <c r="N16" t="s">
        <v>518</v>
      </c>
    </row>
    <row r="17" spans="1:14" x14ac:dyDescent="0.25">
      <c r="A17">
        <v>2016</v>
      </c>
      <c r="B17">
        <v>2</v>
      </c>
      <c r="C17" t="s">
        <v>519</v>
      </c>
      <c r="D17" t="s">
        <v>544</v>
      </c>
      <c r="E17">
        <v>4585</v>
      </c>
      <c r="F17" t="s">
        <v>518</v>
      </c>
      <c r="I17">
        <v>2016</v>
      </c>
      <c r="J17">
        <v>4</v>
      </c>
      <c r="K17" t="s">
        <v>520</v>
      </c>
      <c r="L17" t="s">
        <v>543</v>
      </c>
      <c r="M17">
        <v>598</v>
      </c>
      <c r="N17" t="s">
        <v>518</v>
      </c>
    </row>
    <row r="18" spans="1:14" x14ac:dyDescent="0.25">
      <c r="A18">
        <v>2016</v>
      </c>
      <c r="B18">
        <v>1</v>
      </c>
      <c r="C18" t="s">
        <v>519</v>
      </c>
      <c r="D18" t="s">
        <v>544</v>
      </c>
      <c r="E18">
        <v>3894</v>
      </c>
      <c r="F18" t="s">
        <v>518</v>
      </c>
      <c r="I18">
        <v>2016</v>
      </c>
      <c r="J18">
        <v>5</v>
      </c>
      <c r="K18" t="s">
        <v>520</v>
      </c>
      <c r="L18" t="s">
        <v>543</v>
      </c>
      <c r="M18">
        <v>2349</v>
      </c>
      <c r="N18" t="s">
        <v>518</v>
      </c>
    </row>
    <row r="19" spans="1:14" x14ac:dyDescent="0.25">
      <c r="A19">
        <v>2016</v>
      </c>
      <c r="B19">
        <v>5</v>
      </c>
      <c r="C19" t="s">
        <v>519</v>
      </c>
      <c r="D19" t="s">
        <v>544</v>
      </c>
      <c r="E19">
        <v>3073</v>
      </c>
      <c r="F19" t="s">
        <v>518</v>
      </c>
      <c r="I19">
        <v>2016</v>
      </c>
      <c r="J19">
        <v>3</v>
      </c>
      <c r="K19" t="s">
        <v>520</v>
      </c>
      <c r="L19" t="s">
        <v>543</v>
      </c>
      <c r="M19">
        <v>8511</v>
      </c>
      <c r="N19" t="s">
        <v>518</v>
      </c>
    </row>
    <row r="20" spans="1:14" x14ac:dyDescent="0.25">
      <c r="A20">
        <v>2016</v>
      </c>
      <c r="B20">
        <v>4</v>
      </c>
      <c r="C20" t="s">
        <v>519</v>
      </c>
      <c r="D20" t="s">
        <v>544</v>
      </c>
      <c r="E20">
        <v>654</v>
      </c>
      <c r="F20" t="s">
        <v>518</v>
      </c>
      <c r="I20">
        <v>2016</v>
      </c>
      <c r="J20">
        <v>2</v>
      </c>
      <c r="K20" t="s">
        <v>520</v>
      </c>
      <c r="L20" t="s">
        <v>543</v>
      </c>
      <c r="M20">
        <v>3621</v>
      </c>
      <c r="N20" t="s">
        <v>518</v>
      </c>
    </row>
    <row r="21" spans="1:14" x14ac:dyDescent="0.25">
      <c r="A21">
        <v>2016</v>
      </c>
      <c r="B21">
        <v>3</v>
      </c>
      <c r="C21" t="s">
        <v>519</v>
      </c>
      <c r="D21" t="s">
        <v>544</v>
      </c>
      <c r="E21">
        <v>7873</v>
      </c>
      <c r="F21" t="s">
        <v>518</v>
      </c>
      <c r="I21">
        <v>2016</v>
      </c>
      <c r="J21">
        <v>1</v>
      </c>
      <c r="K21" t="s">
        <v>520</v>
      </c>
      <c r="L21" t="s">
        <v>543</v>
      </c>
      <c r="M21">
        <v>1108</v>
      </c>
      <c r="N21" t="s">
        <v>518</v>
      </c>
    </row>
    <row r="22" spans="1:14" x14ac:dyDescent="0.25">
      <c r="A22">
        <v>2015</v>
      </c>
      <c r="B22">
        <v>2</v>
      </c>
      <c r="C22" t="s">
        <v>519</v>
      </c>
      <c r="D22" t="s">
        <v>544</v>
      </c>
      <c r="E22">
        <v>4519</v>
      </c>
      <c r="F22" t="s">
        <v>518</v>
      </c>
      <c r="I22">
        <v>2015</v>
      </c>
      <c r="J22">
        <v>3</v>
      </c>
      <c r="K22" t="s">
        <v>520</v>
      </c>
      <c r="L22" t="s">
        <v>543</v>
      </c>
      <c r="M22">
        <v>8512</v>
      </c>
      <c r="N22" t="s">
        <v>518</v>
      </c>
    </row>
    <row r="23" spans="1:14" x14ac:dyDescent="0.25">
      <c r="A23">
        <v>2015</v>
      </c>
      <c r="B23">
        <v>5</v>
      </c>
      <c r="C23" t="s">
        <v>519</v>
      </c>
      <c r="D23" t="s">
        <v>544</v>
      </c>
      <c r="E23">
        <v>3034</v>
      </c>
      <c r="F23" t="s">
        <v>518</v>
      </c>
      <c r="I23">
        <v>2015</v>
      </c>
      <c r="J23">
        <v>2</v>
      </c>
      <c r="K23" t="s">
        <v>520</v>
      </c>
      <c r="L23" t="s">
        <v>543</v>
      </c>
      <c r="M23">
        <v>3561</v>
      </c>
      <c r="N23" t="s">
        <v>518</v>
      </c>
    </row>
    <row r="24" spans="1:14" x14ac:dyDescent="0.25">
      <c r="A24">
        <v>2015</v>
      </c>
      <c r="B24">
        <v>3</v>
      </c>
      <c r="C24" t="s">
        <v>519</v>
      </c>
      <c r="D24" t="s">
        <v>544</v>
      </c>
      <c r="E24">
        <v>7870</v>
      </c>
      <c r="F24" t="s">
        <v>518</v>
      </c>
      <c r="I24">
        <v>2015</v>
      </c>
      <c r="J24">
        <v>5</v>
      </c>
      <c r="K24" t="s">
        <v>520</v>
      </c>
      <c r="L24" t="s">
        <v>543</v>
      </c>
      <c r="M24">
        <v>2390</v>
      </c>
      <c r="N24" t="s">
        <v>518</v>
      </c>
    </row>
    <row r="25" spans="1:14" x14ac:dyDescent="0.25">
      <c r="A25">
        <v>2015</v>
      </c>
      <c r="B25">
        <v>1</v>
      </c>
      <c r="C25" t="s">
        <v>519</v>
      </c>
      <c r="D25" t="s">
        <v>544</v>
      </c>
      <c r="E25">
        <v>3799</v>
      </c>
      <c r="F25" t="s">
        <v>518</v>
      </c>
      <c r="I25">
        <v>2015</v>
      </c>
      <c r="J25">
        <v>4</v>
      </c>
      <c r="K25" t="s">
        <v>520</v>
      </c>
      <c r="L25" t="s">
        <v>543</v>
      </c>
      <c r="M25">
        <v>602</v>
      </c>
      <c r="N25" t="s">
        <v>518</v>
      </c>
    </row>
    <row r="26" spans="1:14" x14ac:dyDescent="0.25">
      <c r="A26">
        <v>2015</v>
      </c>
      <c r="B26">
        <v>4</v>
      </c>
      <c r="C26" t="s">
        <v>519</v>
      </c>
      <c r="D26" t="s">
        <v>544</v>
      </c>
      <c r="E26">
        <v>663</v>
      </c>
      <c r="F26" t="s">
        <v>518</v>
      </c>
      <c r="I26">
        <v>2015</v>
      </c>
      <c r="J26">
        <v>1</v>
      </c>
      <c r="K26" t="s">
        <v>520</v>
      </c>
      <c r="L26" t="s">
        <v>543</v>
      </c>
      <c r="M26">
        <v>1122</v>
      </c>
      <c r="N26" t="s">
        <v>518</v>
      </c>
    </row>
    <row r="27" spans="1:14" x14ac:dyDescent="0.25">
      <c r="A27">
        <v>2014</v>
      </c>
      <c r="B27">
        <v>2</v>
      </c>
      <c r="C27" t="s">
        <v>519</v>
      </c>
      <c r="D27" t="s">
        <v>544</v>
      </c>
      <c r="E27">
        <v>4444</v>
      </c>
      <c r="F27" t="s">
        <v>518</v>
      </c>
      <c r="I27">
        <v>2014</v>
      </c>
      <c r="J27">
        <v>2</v>
      </c>
      <c r="K27" t="s">
        <v>520</v>
      </c>
      <c r="L27" t="s">
        <v>543</v>
      </c>
      <c r="M27">
        <v>3523</v>
      </c>
      <c r="N27" t="s">
        <v>518</v>
      </c>
    </row>
    <row r="28" spans="1:14" x14ac:dyDescent="0.25">
      <c r="A28">
        <v>2014</v>
      </c>
      <c r="B28">
        <v>3</v>
      </c>
      <c r="C28" t="s">
        <v>519</v>
      </c>
      <c r="D28" t="s">
        <v>544</v>
      </c>
      <c r="E28">
        <v>7730</v>
      </c>
      <c r="F28" t="s">
        <v>518</v>
      </c>
      <c r="I28">
        <v>2014</v>
      </c>
      <c r="J28">
        <v>3</v>
      </c>
      <c r="K28" t="s">
        <v>520</v>
      </c>
      <c r="L28" t="s">
        <v>543</v>
      </c>
      <c r="M28">
        <v>8255</v>
      </c>
      <c r="N28" t="s">
        <v>518</v>
      </c>
    </row>
    <row r="29" spans="1:14" x14ac:dyDescent="0.25">
      <c r="A29">
        <v>2014</v>
      </c>
      <c r="B29">
        <v>1</v>
      </c>
      <c r="C29" t="s">
        <v>519</v>
      </c>
      <c r="D29" t="s">
        <v>544</v>
      </c>
      <c r="E29">
        <v>3659</v>
      </c>
      <c r="F29" t="s">
        <v>518</v>
      </c>
      <c r="I29">
        <v>2014</v>
      </c>
      <c r="J29">
        <v>5</v>
      </c>
      <c r="K29" t="s">
        <v>520</v>
      </c>
      <c r="L29" t="s">
        <v>543</v>
      </c>
      <c r="M29">
        <v>2402</v>
      </c>
      <c r="N29" t="s">
        <v>518</v>
      </c>
    </row>
    <row r="30" spans="1:14" x14ac:dyDescent="0.25">
      <c r="A30">
        <v>2014</v>
      </c>
      <c r="B30">
        <v>5</v>
      </c>
      <c r="C30" t="s">
        <v>519</v>
      </c>
      <c r="D30" t="s">
        <v>544</v>
      </c>
      <c r="E30">
        <v>3138</v>
      </c>
      <c r="F30" t="s">
        <v>518</v>
      </c>
      <c r="I30">
        <v>2014</v>
      </c>
      <c r="J30">
        <v>1</v>
      </c>
      <c r="K30" t="s">
        <v>520</v>
      </c>
      <c r="L30" t="s">
        <v>543</v>
      </c>
      <c r="M30">
        <v>1087</v>
      </c>
      <c r="N30" t="s">
        <v>518</v>
      </c>
    </row>
    <row r="31" spans="1:14" x14ac:dyDescent="0.25">
      <c r="A31">
        <v>2014</v>
      </c>
      <c r="B31">
        <v>4</v>
      </c>
      <c r="C31" t="s">
        <v>519</v>
      </c>
      <c r="D31" t="s">
        <v>544</v>
      </c>
      <c r="E31">
        <v>682</v>
      </c>
      <c r="F31" t="s">
        <v>518</v>
      </c>
      <c r="I31">
        <v>2014</v>
      </c>
      <c r="J31">
        <v>4</v>
      </c>
      <c r="K31" t="s">
        <v>520</v>
      </c>
      <c r="L31" t="s">
        <v>543</v>
      </c>
      <c r="M31">
        <v>581</v>
      </c>
      <c r="N31" t="s">
        <v>518</v>
      </c>
    </row>
    <row r="32" spans="1:14" x14ac:dyDescent="0.25">
      <c r="A32">
        <v>2013</v>
      </c>
      <c r="B32">
        <v>4</v>
      </c>
      <c r="C32" t="s">
        <v>519</v>
      </c>
      <c r="D32" t="s">
        <v>544</v>
      </c>
      <c r="E32">
        <v>646</v>
      </c>
      <c r="F32" t="s">
        <v>518</v>
      </c>
      <c r="I32">
        <v>2013</v>
      </c>
      <c r="J32">
        <v>2</v>
      </c>
      <c r="K32" t="s">
        <v>520</v>
      </c>
      <c r="L32" t="s">
        <v>543</v>
      </c>
      <c r="M32">
        <v>3406</v>
      </c>
      <c r="N32" t="s">
        <v>518</v>
      </c>
    </row>
    <row r="33" spans="1:14" x14ac:dyDescent="0.25">
      <c r="A33">
        <v>2013</v>
      </c>
      <c r="B33">
        <v>2</v>
      </c>
      <c r="C33" t="s">
        <v>519</v>
      </c>
      <c r="D33" t="s">
        <v>544</v>
      </c>
      <c r="E33">
        <v>4226</v>
      </c>
      <c r="F33" t="s">
        <v>518</v>
      </c>
      <c r="I33">
        <v>2013</v>
      </c>
      <c r="J33">
        <v>1</v>
      </c>
      <c r="K33" t="s">
        <v>520</v>
      </c>
      <c r="L33" t="s">
        <v>543</v>
      </c>
      <c r="M33">
        <v>1038</v>
      </c>
      <c r="N33" t="s">
        <v>518</v>
      </c>
    </row>
    <row r="34" spans="1:14" x14ac:dyDescent="0.25">
      <c r="A34">
        <v>2013</v>
      </c>
      <c r="B34">
        <v>3</v>
      </c>
      <c r="C34" t="s">
        <v>519</v>
      </c>
      <c r="D34" t="s">
        <v>544</v>
      </c>
      <c r="E34">
        <v>7569</v>
      </c>
      <c r="F34" t="s">
        <v>518</v>
      </c>
      <c r="I34">
        <v>2013</v>
      </c>
      <c r="J34">
        <v>4</v>
      </c>
      <c r="K34" t="s">
        <v>520</v>
      </c>
      <c r="L34" t="s">
        <v>543</v>
      </c>
      <c r="M34">
        <v>578</v>
      </c>
      <c r="N34" t="s">
        <v>518</v>
      </c>
    </row>
    <row r="35" spans="1:14" x14ac:dyDescent="0.25">
      <c r="A35">
        <v>2013</v>
      </c>
      <c r="B35">
        <v>5</v>
      </c>
      <c r="C35" t="s">
        <v>519</v>
      </c>
      <c r="D35" t="s">
        <v>544</v>
      </c>
      <c r="E35">
        <v>3077</v>
      </c>
      <c r="F35" t="s">
        <v>518</v>
      </c>
      <c r="I35">
        <v>2013</v>
      </c>
      <c r="J35">
        <v>5</v>
      </c>
      <c r="K35" t="s">
        <v>520</v>
      </c>
      <c r="L35" t="s">
        <v>543</v>
      </c>
      <c r="M35">
        <v>2339</v>
      </c>
      <c r="N35" t="s">
        <v>518</v>
      </c>
    </row>
    <row r="36" spans="1:14" x14ac:dyDescent="0.25">
      <c r="A36">
        <v>2013</v>
      </c>
      <c r="B36">
        <v>1</v>
      </c>
      <c r="C36" t="s">
        <v>519</v>
      </c>
      <c r="D36" t="s">
        <v>544</v>
      </c>
      <c r="E36">
        <v>3589</v>
      </c>
      <c r="F36" t="s">
        <v>518</v>
      </c>
      <c r="I36">
        <v>2013</v>
      </c>
      <c r="J36">
        <v>3</v>
      </c>
      <c r="K36" t="s">
        <v>520</v>
      </c>
      <c r="L36" t="s">
        <v>543</v>
      </c>
      <c r="M36">
        <v>7952</v>
      </c>
      <c r="N36" t="s">
        <v>518</v>
      </c>
    </row>
    <row r="37" spans="1:14" x14ac:dyDescent="0.25">
      <c r="A37">
        <v>2012</v>
      </c>
      <c r="B37">
        <v>2</v>
      </c>
      <c r="C37" t="s">
        <v>519</v>
      </c>
      <c r="D37" t="s">
        <v>544</v>
      </c>
      <c r="E37">
        <v>4163</v>
      </c>
      <c r="F37" t="s">
        <v>518</v>
      </c>
      <c r="I37">
        <v>2012</v>
      </c>
      <c r="J37">
        <v>1</v>
      </c>
      <c r="K37" t="s">
        <v>520</v>
      </c>
      <c r="L37" t="s">
        <v>543</v>
      </c>
      <c r="M37">
        <v>919</v>
      </c>
      <c r="N37" t="s">
        <v>518</v>
      </c>
    </row>
    <row r="38" spans="1:14" x14ac:dyDescent="0.25">
      <c r="A38">
        <v>2012</v>
      </c>
      <c r="B38">
        <v>5</v>
      </c>
      <c r="C38" t="s">
        <v>519</v>
      </c>
      <c r="D38" t="s">
        <v>544</v>
      </c>
      <c r="E38">
        <v>2988</v>
      </c>
      <c r="F38" t="s">
        <v>518</v>
      </c>
      <c r="I38">
        <v>2012</v>
      </c>
      <c r="J38">
        <v>2</v>
      </c>
      <c r="K38" t="s">
        <v>520</v>
      </c>
      <c r="L38" t="s">
        <v>543</v>
      </c>
      <c r="M38">
        <v>3442</v>
      </c>
      <c r="N38" t="s">
        <v>518</v>
      </c>
    </row>
    <row r="39" spans="1:14" x14ac:dyDescent="0.25">
      <c r="A39">
        <v>2012</v>
      </c>
      <c r="B39">
        <v>3</v>
      </c>
      <c r="C39" t="s">
        <v>519</v>
      </c>
      <c r="D39" t="s">
        <v>544</v>
      </c>
      <c r="E39">
        <v>7284</v>
      </c>
      <c r="F39" t="s">
        <v>518</v>
      </c>
      <c r="I39">
        <v>2012</v>
      </c>
      <c r="J39">
        <v>3</v>
      </c>
      <c r="K39" t="s">
        <v>520</v>
      </c>
      <c r="L39" t="s">
        <v>543</v>
      </c>
      <c r="M39">
        <v>7734</v>
      </c>
      <c r="N39" t="s">
        <v>518</v>
      </c>
    </row>
    <row r="40" spans="1:14" x14ac:dyDescent="0.25">
      <c r="A40">
        <v>2012</v>
      </c>
      <c r="B40">
        <v>4</v>
      </c>
      <c r="C40" t="s">
        <v>519</v>
      </c>
      <c r="D40" t="s">
        <v>544</v>
      </c>
      <c r="E40">
        <v>631</v>
      </c>
      <c r="F40" t="s">
        <v>518</v>
      </c>
      <c r="I40">
        <v>2012</v>
      </c>
      <c r="J40">
        <v>4</v>
      </c>
      <c r="K40" t="s">
        <v>520</v>
      </c>
      <c r="L40" t="s">
        <v>543</v>
      </c>
      <c r="M40">
        <v>573</v>
      </c>
      <c r="N40" t="s">
        <v>518</v>
      </c>
    </row>
    <row r="41" spans="1:14" x14ac:dyDescent="0.25">
      <c r="A41">
        <v>2012</v>
      </c>
      <c r="B41">
        <v>1</v>
      </c>
      <c r="C41" t="s">
        <v>519</v>
      </c>
      <c r="D41" t="s">
        <v>544</v>
      </c>
      <c r="E41">
        <v>3498</v>
      </c>
      <c r="F41" t="s">
        <v>518</v>
      </c>
      <c r="I41">
        <v>2012</v>
      </c>
      <c r="J41">
        <v>5</v>
      </c>
      <c r="K41" t="s">
        <v>520</v>
      </c>
      <c r="L41" t="s">
        <v>543</v>
      </c>
      <c r="M41">
        <v>2331</v>
      </c>
      <c r="N41" t="s">
        <v>518</v>
      </c>
    </row>
    <row r="42" spans="1:14" x14ac:dyDescent="0.25">
      <c r="A42">
        <v>2011</v>
      </c>
      <c r="B42">
        <v>3</v>
      </c>
      <c r="C42" t="s">
        <v>519</v>
      </c>
      <c r="D42" t="s">
        <v>544</v>
      </c>
      <c r="E42">
        <v>7327</v>
      </c>
      <c r="F42" t="s">
        <v>518</v>
      </c>
      <c r="I42">
        <v>2011</v>
      </c>
      <c r="J42">
        <v>4</v>
      </c>
      <c r="K42" t="s">
        <v>520</v>
      </c>
      <c r="L42" t="s">
        <v>543</v>
      </c>
      <c r="M42">
        <v>545</v>
      </c>
      <c r="N42" t="s">
        <v>518</v>
      </c>
    </row>
    <row r="43" spans="1:14" x14ac:dyDescent="0.25">
      <c r="A43">
        <v>2011</v>
      </c>
      <c r="B43">
        <v>4</v>
      </c>
      <c r="C43" t="s">
        <v>519</v>
      </c>
      <c r="D43" t="s">
        <v>544</v>
      </c>
      <c r="E43">
        <v>601</v>
      </c>
      <c r="F43" t="s">
        <v>518</v>
      </c>
      <c r="I43">
        <v>2011</v>
      </c>
      <c r="J43">
        <v>2</v>
      </c>
      <c r="K43" t="s">
        <v>520</v>
      </c>
      <c r="L43" t="s">
        <v>543</v>
      </c>
      <c r="M43">
        <v>3372</v>
      </c>
      <c r="N43" t="s">
        <v>518</v>
      </c>
    </row>
    <row r="44" spans="1:14" x14ac:dyDescent="0.25">
      <c r="A44">
        <v>2011</v>
      </c>
      <c r="B44">
        <v>5</v>
      </c>
      <c r="C44" t="s">
        <v>519</v>
      </c>
      <c r="D44" t="s">
        <v>544</v>
      </c>
      <c r="E44">
        <v>3019</v>
      </c>
      <c r="F44" t="s">
        <v>518</v>
      </c>
      <c r="I44">
        <v>2011</v>
      </c>
      <c r="J44">
        <v>3</v>
      </c>
      <c r="K44" t="s">
        <v>520</v>
      </c>
      <c r="L44" t="s">
        <v>543</v>
      </c>
      <c r="M44">
        <v>7447</v>
      </c>
      <c r="N44" t="s">
        <v>518</v>
      </c>
    </row>
    <row r="45" spans="1:14" x14ac:dyDescent="0.25">
      <c r="A45">
        <v>2011</v>
      </c>
      <c r="B45">
        <v>1</v>
      </c>
      <c r="C45" t="s">
        <v>519</v>
      </c>
      <c r="D45" t="s">
        <v>544</v>
      </c>
      <c r="E45">
        <v>3610</v>
      </c>
      <c r="F45" t="s">
        <v>518</v>
      </c>
      <c r="I45">
        <v>2011</v>
      </c>
      <c r="J45">
        <v>5</v>
      </c>
      <c r="K45" t="s">
        <v>520</v>
      </c>
      <c r="L45" t="s">
        <v>543</v>
      </c>
      <c r="M45">
        <v>2346</v>
      </c>
      <c r="N45" t="s">
        <v>518</v>
      </c>
    </row>
    <row r="46" spans="1:14" x14ac:dyDescent="0.25">
      <c r="A46">
        <v>2011</v>
      </c>
      <c r="B46">
        <v>2</v>
      </c>
      <c r="C46" t="s">
        <v>519</v>
      </c>
      <c r="D46" t="s">
        <v>544</v>
      </c>
      <c r="E46">
        <v>4116</v>
      </c>
      <c r="F46" t="s">
        <v>518</v>
      </c>
      <c r="I46">
        <v>2011</v>
      </c>
      <c r="J46">
        <v>1</v>
      </c>
      <c r="K46" t="s">
        <v>520</v>
      </c>
      <c r="L46" t="s">
        <v>543</v>
      </c>
      <c r="M46">
        <v>1097</v>
      </c>
      <c r="N46" t="s">
        <v>518</v>
      </c>
    </row>
    <row r="47" spans="1:14" x14ac:dyDescent="0.25">
      <c r="A47">
        <v>2010</v>
      </c>
      <c r="B47">
        <v>3</v>
      </c>
      <c r="C47" t="s">
        <v>519</v>
      </c>
      <c r="D47" t="s">
        <v>544</v>
      </c>
      <c r="E47">
        <v>7435</v>
      </c>
      <c r="F47" t="s">
        <v>518</v>
      </c>
      <c r="I47">
        <v>2010</v>
      </c>
      <c r="J47">
        <v>3</v>
      </c>
      <c r="K47" t="s">
        <v>520</v>
      </c>
      <c r="L47" t="s">
        <v>543</v>
      </c>
      <c r="M47">
        <v>7433</v>
      </c>
      <c r="N47" t="s">
        <v>518</v>
      </c>
    </row>
    <row r="48" spans="1:14" x14ac:dyDescent="0.25">
      <c r="A48">
        <v>2010</v>
      </c>
      <c r="B48">
        <v>2</v>
      </c>
      <c r="C48" t="s">
        <v>519</v>
      </c>
      <c r="D48" t="s">
        <v>544</v>
      </c>
      <c r="E48">
        <v>4023</v>
      </c>
      <c r="F48" t="s">
        <v>518</v>
      </c>
      <c r="I48">
        <v>2010</v>
      </c>
      <c r="J48">
        <v>5</v>
      </c>
      <c r="K48" t="s">
        <v>520</v>
      </c>
      <c r="L48" t="s">
        <v>543</v>
      </c>
      <c r="M48">
        <v>2351</v>
      </c>
      <c r="N48" t="s">
        <v>518</v>
      </c>
    </row>
    <row r="49" spans="1:14" x14ac:dyDescent="0.25">
      <c r="A49">
        <v>2010</v>
      </c>
      <c r="B49">
        <v>1</v>
      </c>
      <c r="C49" t="s">
        <v>519</v>
      </c>
      <c r="D49" t="s">
        <v>544</v>
      </c>
      <c r="E49">
        <v>3435</v>
      </c>
      <c r="F49" t="s">
        <v>518</v>
      </c>
      <c r="I49">
        <v>2010</v>
      </c>
      <c r="J49">
        <v>2</v>
      </c>
      <c r="K49" t="s">
        <v>520</v>
      </c>
      <c r="L49" t="s">
        <v>543</v>
      </c>
      <c r="M49">
        <v>3281</v>
      </c>
      <c r="N49" t="s">
        <v>518</v>
      </c>
    </row>
    <row r="50" spans="1:14" x14ac:dyDescent="0.25">
      <c r="A50">
        <v>2010</v>
      </c>
      <c r="B50">
        <v>4</v>
      </c>
      <c r="C50" t="s">
        <v>519</v>
      </c>
      <c r="D50" t="s">
        <v>544</v>
      </c>
      <c r="E50">
        <v>600</v>
      </c>
      <c r="F50" t="s">
        <v>518</v>
      </c>
      <c r="I50">
        <v>2010</v>
      </c>
      <c r="J50">
        <v>4</v>
      </c>
      <c r="K50" t="s">
        <v>520</v>
      </c>
      <c r="L50" t="s">
        <v>543</v>
      </c>
      <c r="M50">
        <v>540</v>
      </c>
      <c r="N50" t="s">
        <v>518</v>
      </c>
    </row>
    <row r="51" spans="1:14" x14ac:dyDescent="0.25">
      <c r="A51">
        <v>2010</v>
      </c>
      <c r="B51">
        <v>5</v>
      </c>
      <c r="C51" t="s">
        <v>519</v>
      </c>
      <c r="D51" t="s">
        <v>544</v>
      </c>
      <c r="E51">
        <v>2959</v>
      </c>
      <c r="F51" t="s">
        <v>518</v>
      </c>
      <c r="I51">
        <v>2010</v>
      </c>
      <c r="J51">
        <v>1</v>
      </c>
      <c r="K51" t="s">
        <v>520</v>
      </c>
      <c r="L51" t="s">
        <v>543</v>
      </c>
      <c r="M51">
        <v>1118</v>
      </c>
      <c r="N51" t="s">
        <v>518</v>
      </c>
    </row>
    <row r="52" spans="1:14" x14ac:dyDescent="0.25">
      <c r="A52">
        <v>2009</v>
      </c>
      <c r="B52">
        <v>2</v>
      </c>
      <c r="C52" t="s">
        <v>519</v>
      </c>
      <c r="D52" t="s">
        <v>544</v>
      </c>
      <c r="E52">
        <v>3748</v>
      </c>
      <c r="F52" t="s">
        <v>518</v>
      </c>
      <c r="I52">
        <v>2009</v>
      </c>
      <c r="J52">
        <v>3</v>
      </c>
      <c r="K52" t="s">
        <v>520</v>
      </c>
      <c r="L52" t="s">
        <v>543</v>
      </c>
      <c r="M52">
        <v>7020</v>
      </c>
      <c r="N52" t="s">
        <v>518</v>
      </c>
    </row>
    <row r="53" spans="1:14" x14ac:dyDescent="0.25">
      <c r="A53">
        <v>2009</v>
      </c>
      <c r="B53">
        <v>3</v>
      </c>
      <c r="C53" t="s">
        <v>519</v>
      </c>
      <c r="D53" t="s">
        <v>544</v>
      </c>
      <c r="E53">
        <v>7395</v>
      </c>
      <c r="F53" t="s">
        <v>518</v>
      </c>
      <c r="I53">
        <v>2009</v>
      </c>
      <c r="J53">
        <v>5</v>
      </c>
      <c r="K53" t="s">
        <v>520</v>
      </c>
      <c r="L53" t="s">
        <v>543</v>
      </c>
      <c r="M53">
        <v>2382</v>
      </c>
      <c r="N53" t="s">
        <v>518</v>
      </c>
    </row>
    <row r="54" spans="1:14" x14ac:dyDescent="0.25">
      <c r="A54">
        <v>2009</v>
      </c>
      <c r="B54">
        <v>1</v>
      </c>
      <c r="C54" t="s">
        <v>519</v>
      </c>
      <c r="D54" t="s">
        <v>544</v>
      </c>
      <c r="E54">
        <v>3193</v>
      </c>
      <c r="F54" t="s">
        <v>518</v>
      </c>
      <c r="I54">
        <v>2009</v>
      </c>
      <c r="J54">
        <v>1</v>
      </c>
      <c r="K54" t="s">
        <v>520</v>
      </c>
      <c r="L54" t="s">
        <v>543</v>
      </c>
      <c r="M54">
        <v>1259</v>
      </c>
      <c r="N54" t="s">
        <v>518</v>
      </c>
    </row>
    <row r="55" spans="1:14" x14ac:dyDescent="0.25">
      <c r="A55">
        <v>2009</v>
      </c>
      <c r="B55">
        <v>5</v>
      </c>
      <c r="C55" t="s">
        <v>519</v>
      </c>
      <c r="D55" t="s">
        <v>544</v>
      </c>
      <c r="E55">
        <v>2934</v>
      </c>
      <c r="F55" t="s">
        <v>518</v>
      </c>
      <c r="I55">
        <v>2009</v>
      </c>
      <c r="J55">
        <v>4</v>
      </c>
      <c r="K55" t="s">
        <v>520</v>
      </c>
      <c r="L55" t="s">
        <v>543</v>
      </c>
      <c r="M55">
        <v>540</v>
      </c>
      <c r="N55" t="s">
        <v>518</v>
      </c>
    </row>
    <row r="56" spans="1:14" x14ac:dyDescent="0.25">
      <c r="A56">
        <v>2009</v>
      </c>
      <c r="B56">
        <v>4</v>
      </c>
      <c r="C56" t="s">
        <v>519</v>
      </c>
      <c r="D56" t="s">
        <v>544</v>
      </c>
      <c r="E56">
        <v>611</v>
      </c>
      <c r="F56" t="s">
        <v>518</v>
      </c>
      <c r="I56">
        <v>2009</v>
      </c>
      <c r="J56">
        <v>2</v>
      </c>
      <c r="K56" t="s">
        <v>520</v>
      </c>
      <c r="L56" t="s">
        <v>543</v>
      </c>
      <c r="M56">
        <v>3135</v>
      </c>
      <c r="N56" t="s">
        <v>518</v>
      </c>
    </row>
    <row r="57" spans="1:14" x14ac:dyDescent="0.25">
      <c r="A57">
        <v>2008</v>
      </c>
      <c r="B57">
        <v>1</v>
      </c>
      <c r="C57" t="s">
        <v>519</v>
      </c>
      <c r="D57" t="s">
        <v>544</v>
      </c>
      <c r="E57">
        <v>2953</v>
      </c>
      <c r="F57" t="s">
        <v>518</v>
      </c>
      <c r="I57">
        <v>2008</v>
      </c>
      <c r="J57">
        <v>1</v>
      </c>
      <c r="K57" t="s">
        <v>520</v>
      </c>
      <c r="L57" t="s">
        <v>543</v>
      </c>
      <c r="M57">
        <v>1421</v>
      </c>
      <c r="N57" t="s">
        <v>518</v>
      </c>
    </row>
    <row r="58" spans="1:14" x14ac:dyDescent="0.25">
      <c r="A58">
        <v>2008</v>
      </c>
      <c r="B58">
        <v>2</v>
      </c>
      <c r="C58" t="s">
        <v>519</v>
      </c>
      <c r="D58" t="s">
        <v>544</v>
      </c>
      <c r="E58">
        <v>3814</v>
      </c>
      <c r="F58" t="s">
        <v>518</v>
      </c>
      <c r="I58">
        <v>2008</v>
      </c>
      <c r="J58">
        <v>5</v>
      </c>
      <c r="K58" t="s">
        <v>520</v>
      </c>
      <c r="L58" t="s">
        <v>543</v>
      </c>
      <c r="M58">
        <v>2571</v>
      </c>
      <c r="N58" t="s">
        <v>518</v>
      </c>
    </row>
    <row r="59" spans="1:14" x14ac:dyDescent="0.25">
      <c r="A59">
        <v>2008</v>
      </c>
      <c r="B59">
        <v>3</v>
      </c>
      <c r="C59" t="s">
        <v>519</v>
      </c>
      <c r="D59" t="s">
        <v>544</v>
      </c>
      <c r="E59">
        <v>7722</v>
      </c>
      <c r="F59" t="s">
        <v>518</v>
      </c>
      <c r="I59">
        <v>2008</v>
      </c>
      <c r="J59">
        <v>2</v>
      </c>
      <c r="K59" t="s">
        <v>520</v>
      </c>
      <c r="L59" t="s">
        <v>543</v>
      </c>
      <c r="M59">
        <v>3221</v>
      </c>
      <c r="N59" t="s">
        <v>518</v>
      </c>
    </row>
    <row r="60" spans="1:14" x14ac:dyDescent="0.25">
      <c r="A60">
        <v>2008</v>
      </c>
      <c r="B60">
        <v>5</v>
      </c>
      <c r="C60" t="s">
        <v>519</v>
      </c>
      <c r="D60" t="s">
        <v>544</v>
      </c>
      <c r="E60">
        <v>3061</v>
      </c>
      <c r="F60" t="s">
        <v>518</v>
      </c>
      <c r="I60">
        <v>2008</v>
      </c>
      <c r="J60">
        <v>3</v>
      </c>
      <c r="K60" t="s">
        <v>520</v>
      </c>
      <c r="L60" t="s">
        <v>543</v>
      </c>
      <c r="M60">
        <v>6899</v>
      </c>
      <c r="N60" t="s">
        <v>518</v>
      </c>
    </row>
    <row r="61" spans="1:14" x14ac:dyDescent="0.25">
      <c r="A61">
        <v>2008</v>
      </c>
      <c r="B61">
        <v>4</v>
      </c>
      <c r="C61" t="s">
        <v>519</v>
      </c>
      <c r="D61" t="s">
        <v>544</v>
      </c>
      <c r="E61">
        <v>595</v>
      </c>
      <c r="F61" t="s">
        <v>518</v>
      </c>
      <c r="I61">
        <v>2008</v>
      </c>
      <c r="J61">
        <v>4</v>
      </c>
      <c r="K61" t="s">
        <v>520</v>
      </c>
      <c r="L61" t="s">
        <v>543</v>
      </c>
      <c r="M61">
        <v>536</v>
      </c>
      <c r="N61" t="s">
        <v>518</v>
      </c>
    </row>
    <row r="62" spans="1:14" x14ac:dyDescent="0.25">
      <c r="A62">
        <v>2007</v>
      </c>
      <c r="B62">
        <v>2</v>
      </c>
      <c r="C62" t="s">
        <v>519</v>
      </c>
      <c r="D62" t="s">
        <v>544</v>
      </c>
      <c r="E62">
        <v>3533</v>
      </c>
      <c r="F62" t="s">
        <v>518</v>
      </c>
      <c r="I62">
        <v>2007</v>
      </c>
      <c r="J62">
        <v>5</v>
      </c>
      <c r="K62" t="s">
        <v>520</v>
      </c>
      <c r="L62" t="s">
        <v>543</v>
      </c>
      <c r="M62">
        <v>2560</v>
      </c>
      <c r="N62" t="s">
        <v>518</v>
      </c>
    </row>
    <row r="63" spans="1:14" x14ac:dyDescent="0.25">
      <c r="A63">
        <v>2007</v>
      </c>
      <c r="B63">
        <v>5</v>
      </c>
      <c r="C63" t="s">
        <v>519</v>
      </c>
      <c r="D63" t="s">
        <v>544</v>
      </c>
      <c r="E63">
        <v>3019</v>
      </c>
      <c r="F63" t="s">
        <v>518</v>
      </c>
      <c r="I63">
        <v>2007</v>
      </c>
      <c r="J63">
        <v>3</v>
      </c>
      <c r="K63" t="s">
        <v>520</v>
      </c>
      <c r="L63" t="s">
        <v>543</v>
      </c>
      <c r="M63">
        <v>7315</v>
      </c>
      <c r="N63" t="s">
        <v>518</v>
      </c>
    </row>
    <row r="64" spans="1:14" x14ac:dyDescent="0.25">
      <c r="A64">
        <v>2007</v>
      </c>
      <c r="B64">
        <v>1</v>
      </c>
      <c r="C64" t="s">
        <v>519</v>
      </c>
      <c r="D64" t="s">
        <v>544</v>
      </c>
      <c r="E64">
        <v>2592</v>
      </c>
      <c r="F64" t="s">
        <v>518</v>
      </c>
      <c r="I64">
        <v>2007</v>
      </c>
      <c r="J64">
        <v>4</v>
      </c>
      <c r="K64" t="s">
        <v>520</v>
      </c>
      <c r="L64" t="s">
        <v>543</v>
      </c>
      <c r="M64">
        <v>542</v>
      </c>
      <c r="N64" t="s">
        <v>518</v>
      </c>
    </row>
    <row r="65" spans="1:14" x14ac:dyDescent="0.25">
      <c r="A65">
        <v>2007</v>
      </c>
      <c r="B65">
        <v>3</v>
      </c>
      <c r="C65" t="s">
        <v>519</v>
      </c>
      <c r="D65" t="s">
        <v>544</v>
      </c>
      <c r="E65">
        <v>8257</v>
      </c>
      <c r="F65" t="s">
        <v>518</v>
      </c>
      <c r="I65">
        <v>2007</v>
      </c>
      <c r="J65">
        <v>1</v>
      </c>
      <c r="K65" t="s">
        <v>520</v>
      </c>
      <c r="L65" t="s">
        <v>543</v>
      </c>
      <c r="M65">
        <v>1513</v>
      </c>
      <c r="N65" t="s">
        <v>518</v>
      </c>
    </row>
    <row r="66" spans="1:14" x14ac:dyDescent="0.25">
      <c r="A66">
        <v>2007</v>
      </c>
      <c r="B66">
        <v>4</v>
      </c>
      <c r="C66" t="s">
        <v>519</v>
      </c>
      <c r="D66" t="s">
        <v>544</v>
      </c>
      <c r="E66">
        <v>593</v>
      </c>
      <c r="F66" t="s">
        <v>518</v>
      </c>
      <c r="I66">
        <v>2007</v>
      </c>
      <c r="J66">
        <v>2</v>
      </c>
      <c r="K66" t="s">
        <v>520</v>
      </c>
      <c r="L66" t="s">
        <v>543</v>
      </c>
      <c r="M66">
        <v>3226</v>
      </c>
      <c r="N66" t="s">
        <v>518</v>
      </c>
    </row>
    <row r="67" spans="1:14" x14ac:dyDescent="0.25">
      <c r="A67">
        <v>2006</v>
      </c>
      <c r="B67">
        <v>1</v>
      </c>
      <c r="C67" t="s">
        <v>519</v>
      </c>
      <c r="D67" t="s">
        <v>544</v>
      </c>
      <c r="E67">
        <v>2502</v>
      </c>
      <c r="F67" t="s">
        <v>518</v>
      </c>
      <c r="I67">
        <v>2006</v>
      </c>
      <c r="J67">
        <v>2</v>
      </c>
      <c r="K67" t="s">
        <v>520</v>
      </c>
      <c r="L67" t="s">
        <v>543</v>
      </c>
      <c r="M67">
        <v>3297</v>
      </c>
      <c r="N67" t="s">
        <v>518</v>
      </c>
    </row>
    <row r="68" spans="1:14" x14ac:dyDescent="0.25">
      <c r="A68">
        <v>2006</v>
      </c>
      <c r="B68">
        <v>5</v>
      </c>
      <c r="C68" t="s">
        <v>519</v>
      </c>
      <c r="D68" t="s">
        <v>544</v>
      </c>
      <c r="E68">
        <v>3087</v>
      </c>
      <c r="F68" t="s">
        <v>518</v>
      </c>
      <c r="I68">
        <v>2006</v>
      </c>
      <c r="J68">
        <v>5</v>
      </c>
      <c r="K68" t="s">
        <v>520</v>
      </c>
      <c r="L68" t="s">
        <v>543</v>
      </c>
      <c r="M68">
        <v>2621</v>
      </c>
      <c r="N68" t="s">
        <v>518</v>
      </c>
    </row>
    <row r="69" spans="1:14" x14ac:dyDescent="0.25">
      <c r="A69">
        <v>2006</v>
      </c>
      <c r="B69">
        <v>4</v>
      </c>
      <c r="C69" t="s">
        <v>519</v>
      </c>
      <c r="D69" t="s">
        <v>544</v>
      </c>
      <c r="E69">
        <v>601</v>
      </c>
      <c r="F69" t="s">
        <v>518</v>
      </c>
      <c r="I69">
        <v>2006</v>
      </c>
      <c r="J69">
        <v>1</v>
      </c>
      <c r="K69" t="s">
        <v>520</v>
      </c>
      <c r="L69" t="s">
        <v>543</v>
      </c>
      <c r="M69">
        <v>1512</v>
      </c>
      <c r="N69" t="s">
        <v>518</v>
      </c>
    </row>
    <row r="70" spans="1:14" x14ac:dyDescent="0.25">
      <c r="A70">
        <v>2006</v>
      </c>
      <c r="B70">
        <v>2</v>
      </c>
      <c r="C70" t="s">
        <v>519</v>
      </c>
      <c r="D70" t="s">
        <v>544</v>
      </c>
      <c r="E70">
        <v>3600</v>
      </c>
      <c r="F70" t="s">
        <v>518</v>
      </c>
      <c r="I70">
        <v>2006</v>
      </c>
      <c r="J70">
        <v>3</v>
      </c>
      <c r="K70" t="s">
        <v>520</v>
      </c>
      <c r="L70" t="s">
        <v>543</v>
      </c>
      <c r="M70">
        <v>7260</v>
      </c>
      <c r="N70" t="s">
        <v>518</v>
      </c>
    </row>
    <row r="71" spans="1:14" x14ac:dyDescent="0.25">
      <c r="A71">
        <v>2006</v>
      </c>
      <c r="B71">
        <v>3</v>
      </c>
      <c r="C71" t="s">
        <v>519</v>
      </c>
      <c r="D71" t="s">
        <v>544</v>
      </c>
      <c r="E71">
        <v>8184</v>
      </c>
      <c r="F71" t="s">
        <v>518</v>
      </c>
      <c r="I71">
        <v>2006</v>
      </c>
      <c r="J71">
        <v>4</v>
      </c>
      <c r="K71" t="s">
        <v>520</v>
      </c>
      <c r="L71" t="s">
        <v>543</v>
      </c>
      <c r="M71">
        <v>553</v>
      </c>
      <c r="N71" t="s">
        <v>518</v>
      </c>
    </row>
    <row r="72" spans="1:14" x14ac:dyDescent="0.25">
      <c r="A72">
        <v>2005</v>
      </c>
      <c r="B72">
        <v>5</v>
      </c>
      <c r="C72" t="s">
        <v>519</v>
      </c>
      <c r="D72" t="s">
        <v>544</v>
      </c>
      <c r="E72">
        <v>3113</v>
      </c>
      <c r="F72" t="s">
        <v>518</v>
      </c>
      <c r="I72">
        <v>2005</v>
      </c>
      <c r="J72">
        <v>4</v>
      </c>
      <c r="K72" t="s">
        <v>520</v>
      </c>
      <c r="L72" t="s">
        <v>543</v>
      </c>
      <c r="M72">
        <v>558</v>
      </c>
      <c r="N72" t="s">
        <v>518</v>
      </c>
    </row>
    <row r="73" spans="1:14" x14ac:dyDescent="0.25">
      <c r="A73">
        <v>2005</v>
      </c>
      <c r="B73">
        <v>3</v>
      </c>
      <c r="C73" t="s">
        <v>519</v>
      </c>
      <c r="D73" t="s">
        <v>544</v>
      </c>
      <c r="E73">
        <v>8234</v>
      </c>
      <c r="F73" t="s">
        <v>518</v>
      </c>
      <c r="I73">
        <v>2005</v>
      </c>
      <c r="J73">
        <v>2</v>
      </c>
      <c r="K73" t="s">
        <v>520</v>
      </c>
      <c r="L73" t="s">
        <v>543</v>
      </c>
      <c r="M73">
        <v>3298</v>
      </c>
      <c r="N73" t="s">
        <v>518</v>
      </c>
    </row>
    <row r="74" spans="1:14" x14ac:dyDescent="0.25">
      <c r="A74">
        <v>2005</v>
      </c>
      <c r="B74">
        <v>1</v>
      </c>
      <c r="C74" t="s">
        <v>519</v>
      </c>
      <c r="D74" t="s">
        <v>544</v>
      </c>
      <c r="E74">
        <v>2260</v>
      </c>
      <c r="F74" t="s">
        <v>518</v>
      </c>
      <c r="I74">
        <v>2005</v>
      </c>
      <c r="J74">
        <v>1</v>
      </c>
      <c r="K74" t="s">
        <v>520</v>
      </c>
      <c r="L74" t="s">
        <v>543</v>
      </c>
      <c r="M74">
        <v>1627</v>
      </c>
      <c r="N74" t="s">
        <v>518</v>
      </c>
    </row>
    <row r="75" spans="1:14" x14ac:dyDescent="0.25">
      <c r="A75">
        <v>2005</v>
      </c>
      <c r="B75">
        <v>4</v>
      </c>
      <c r="C75" t="s">
        <v>519</v>
      </c>
      <c r="D75" t="s">
        <v>544</v>
      </c>
      <c r="E75">
        <v>611</v>
      </c>
      <c r="F75" t="s">
        <v>518</v>
      </c>
      <c r="I75">
        <v>2005</v>
      </c>
      <c r="J75">
        <v>5</v>
      </c>
      <c r="K75" t="s">
        <v>520</v>
      </c>
      <c r="L75" t="s">
        <v>543</v>
      </c>
      <c r="M75">
        <v>2638</v>
      </c>
      <c r="N75" t="s">
        <v>518</v>
      </c>
    </row>
    <row r="76" spans="1:14" x14ac:dyDescent="0.25">
      <c r="A76">
        <v>2005</v>
      </c>
      <c r="B76">
        <v>2</v>
      </c>
      <c r="C76" t="s">
        <v>519</v>
      </c>
      <c r="D76" t="s">
        <v>544</v>
      </c>
      <c r="E76">
        <v>3583</v>
      </c>
      <c r="F76" t="s">
        <v>518</v>
      </c>
      <c r="I76">
        <v>2005</v>
      </c>
      <c r="J76">
        <v>3</v>
      </c>
      <c r="K76" t="s">
        <v>520</v>
      </c>
      <c r="L76" t="s">
        <v>543</v>
      </c>
      <c r="M76">
        <v>7098</v>
      </c>
      <c r="N76" t="s">
        <v>518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CE731-18E3-4DBE-B64A-ED6AED93A381}">
  <sheetPr codeName="Sheet8"/>
  <dimension ref="A1:U76"/>
  <sheetViews>
    <sheetView zoomScale="115" zoomScaleNormal="115" workbookViewId="0">
      <selection activeCell="G57" sqref="G57"/>
    </sheetView>
  </sheetViews>
  <sheetFormatPr defaultRowHeight="15" x14ac:dyDescent="0.25"/>
  <cols>
    <col min="8" max="8" width="15" bestFit="1" customWidth="1"/>
  </cols>
  <sheetData>
    <row r="1" spans="1:21" x14ac:dyDescent="0.25">
      <c r="A1" t="s">
        <v>431</v>
      </c>
      <c r="B1" t="s">
        <v>1</v>
      </c>
      <c r="C1" t="s">
        <v>522</v>
      </c>
      <c r="D1" t="s">
        <v>521</v>
      </c>
      <c r="E1" t="s">
        <v>523</v>
      </c>
      <c r="G1" t="s">
        <v>431</v>
      </c>
      <c r="H1" t="s">
        <v>525</v>
      </c>
      <c r="I1" t="s">
        <v>527</v>
      </c>
      <c r="J1" t="s">
        <v>529</v>
      </c>
      <c r="K1" t="s">
        <v>531</v>
      </c>
      <c r="L1" t="s">
        <v>533</v>
      </c>
      <c r="M1" t="s">
        <v>524</v>
      </c>
      <c r="N1" t="s">
        <v>526</v>
      </c>
      <c r="O1" t="s">
        <v>528</v>
      </c>
      <c r="P1" t="s">
        <v>530</v>
      </c>
      <c r="Q1" t="s">
        <v>532</v>
      </c>
      <c r="S1" t="s">
        <v>1</v>
      </c>
      <c r="T1" t="s">
        <v>534</v>
      </c>
      <c r="U1" t="s">
        <v>535</v>
      </c>
    </row>
    <row r="2" spans="1:21" x14ac:dyDescent="0.25">
      <c r="A2">
        <v>2005</v>
      </c>
      <c r="B2">
        <v>1</v>
      </c>
      <c r="C2">
        <f>SUMIFS('Ref Pro&amp;Input_RAW'!$M$2:$M$76,'Ref Pro&amp;Input_RAW'!$I$2:$I$76,'LinearReg Model'!$A2,'Ref Pro&amp;Input_RAW'!$J$2:$J$76,'LinearReg Model'!$B2)</f>
        <v>1627</v>
      </c>
      <c r="D2">
        <f>SUMIFS('Ref Pro&amp;Input_RAW'!$E$2:$E$76,'Ref Pro&amp;Input_RAW'!$A$2:$A$76,'LinearReg Model'!$A2,'Ref Pro&amp;Input_RAW'!$B$2:$B$76,'LinearReg Model'!$B2)</f>
        <v>2260</v>
      </c>
      <c r="E2" t="s">
        <v>518</v>
      </c>
      <c r="G2">
        <v>2005</v>
      </c>
      <c r="H2">
        <v>2260</v>
      </c>
      <c r="I2">
        <v>3583</v>
      </c>
      <c r="J2">
        <v>8234</v>
      </c>
      <c r="K2">
        <v>611</v>
      </c>
      <c r="L2">
        <v>3113</v>
      </c>
      <c r="M2">
        <v>1627</v>
      </c>
      <c r="N2">
        <v>3298</v>
      </c>
      <c r="O2">
        <v>7098</v>
      </c>
      <c r="P2">
        <v>558</v>
      </c>
      <c r="Q2">
        <v>2638</v>
      </c>
      <c r="S2">
        <v>1</v>
      </c>
      <c r="T2" cm="1">
        <f t="array" ref="T2:U2">LINEST(M$2:M$16,H$2:H$16,FALSE,FALSE)</f>
        <v>0.33513571416054289</v>
      </c>
      <c r="U2">
        <v>0</v>
      </c>
    </row>
    <row r="3" spans="1:21" x14ac:dyDescent="0.25">
      <c r="A3">
        <v>2005</v>
      </c>
      <c r="B3">
        <v>2</v>
      </c>
      <c r="C3">
        <f>SUMIFS('Ref Pro&amp;Input_RAW'!$M$2:$M$76,'Ref Pro&amp;Input_RAW'!$I$2:$I$76,'LinearReg Model'!$A3,'Ref Pro&amp;Input_RAW'!$J$2:$J$76,'LinearReg Model'!$B3)</f>
        <v>3298</v>
      </c>
      <c r="D3">
        <f>SUMIFS('Ref Pro&amp;Input_RAW'!$E$2:$E$76,'Ref Pro&amp;Input_RAW'!$A$2:$A$76,'LinearReg Model'!$A3,'Ref Pro&amp;Input_RAW'!$B$2:$B$76,'LinearReg Model'!$B3)</f>
        <v>3583</v>
      </c>
      <c r="E3" t="s">
        <v>518</v>
      </c>
      <c r="G3">
        <v>2006</v>
      </c>
      <c r="H3">
        <v>2502</v>
      </c>
      <c r="I3">
        <v>3600</v>
      </c>
      <c r="J3">
        <v>8184</v>
      </c>
      <c r="K3">
        <v>601</v>
      </c>
      <c r="L3">
        <v>3087</v>
      </c>
      <c r="M3">
        <v>1512</v>
      </c>
      <c r="N3">
        <v>3297</v>
      </c>
      <c r="O3">
        <v>7260</v>
      </c>
      <c r="P3">
        <v>553</v>
      </c>
      <c r="Q3">
        <v>2621</v>
      </c>
      <c r="S3">
        <v>2</v>
      </c>
      <c r="T3" cm="1">
        <f t="array" ref="T3:U3">LINEST(N$2:N$16,I$2:I$16,FALSE,FALSE)</f>
        <v>0.82581045901858297</v>
      </c>
      <c r="U3">
        <v>0</v>
      </c>
    </row>
    <row r="4" spans="1:21" x14ac:dyDescent="0.25">
      <c r="A4">
        <v>2005</v>
      </c>
      <c r="B4">
        <v>3</v>
      </c>
      <c r="C4">
        <f>SUMIFS('Ref Pro&amp;Input_RAW'!$M$2:$M$76,'Ref Pro&amp;Input_RAW'!$I$2:$I$76,'LinearReg Model'!$A4,'Ref Pro&amp;Input_RAW'!$J$2:$J$76,'LinearReg Model'!$B4)</f>
        <v>7098</v>
      </c>
      <c r="D4">
        <f>SUMIFS('Ref Pro&amp;Input_RAW'!$E$2:$E$76,'Ref Pro&amp;Input_RAW'!$A$2:$A$76,'LinearReg Model'!$A4,'Ref Pro&amp;Input_RAW'!$B$2:$B$76,'LinearReg Model'!$B4)</f>
        <v>8234</v>
      </c>
      <c r="E4" t="s">
        <v>518</v>
      </c>
      <c r="G4">
        <v>2007</v>
      </c>
      <c r="H4">
        <v>2592</v>
      </c>
      <c r="I4">
        <v>3533</v>
      </c>
      <c r="J4">
        <v>8257</v>
      </c>
      <c r="K4">
        <v>593</v>
      </c>
      <c r="L4">
        <v>3019</v>
      </c>
      <c r="M4">
        <v>1513</v>
      </c>
      <c r="N4">
        <v>3226</v>
      </c>
      <c r="O4">
        <v>7315</v>
      </c>
      <c r="P4">
        <v>542</v>
      </c>
      <c r="Q4">
        <v>2560</v>
      </c>
      <c r="S4">
        <v>3</v>
      </c>
      <c r="T4" cm="1">
        <f t="array" ref="T4:U4">LINEST(O$2:O$16,J$2:J$16,FALSE,FALSE)</f>
        <v>1.0050596483870533</v>
      </c>
      <c r="U4">
        <v>0</v>
      </c>
    </row>
    <row r="5" spans="1:21" x14ac:dyDescent="0.25">
      <c r="A5">
        <v>2005</v>
      </c>
      <c r="B5">
        <v>4</v>
      </c>
      <c r="C5">
        <f>SUMIFS('Ref Pro&amp;Input_RAW'!$M$2:$M$76,'Ref Pro&amp;Input_RAW'!$I$2:$I$76,'LinearReg Model'!$A5,'Ref Pro&amp;Input_RAW'!$J$2:$J$76,'LinearReg Model'!$B5)</f>
        <v>558</v>
      </c>
      <c r="D5">
        <f>SUMIFS('Ref Pro&amp;Input_RAW'!$E$2:$E$76,'Ref Pro&amp;Input_RAW'!$A$2:$A$76,'LinearReg Model'!$A5,'Ref Pro&amp;Input_RAW'!$B$2:$B$76,'LinearReg Model'!$B5)</f>
        <v>611</v>
      </c>
      <c r="E5" t="s">
        <v>518</v>
      </c>
      <c r="G5">
        <v>2008</v>
      </c>
      <c r="H5">
        <v>2953</v>
      </c>
      <c r="I5">
        <v>3814</v>
      </c>
      <c r="J5">
        <v>7722</v>
      </c>
      <c r="K5">
        <v>595</v>
      </c>
      <c r="L5">
        <v>3061</v>
      </c>
      <c r="M5">
        <v>1421</v>
      </c>
      <c r="N5">
        <v>3221</v>
      </c>
      <c r="O5">
        <v>6899</v>
      </c>
      <c r="P5">
        <v>536</v>
      </c>
      <c r="Q5">
        <v>2571</v>
      </c>
      <c r="S5">
        <v>4</v>
      </c>
      <c r="T5" cm="1">
        <f t="array" ref="T5:U5">LINEST(P$2:P$16,K$2:K$16,FALSE,FALSE)</f>
        <v>0.90832760145997771</v>
      </c>
      <c r="U5">
        <v>0</v>
      </c>
    </row>
    <row r="6" spans="1:21" x14ac:dyDescent="0.25">
      <c r="A6">
        <v>2005</v>
      </c>
      <c r="B6">
        <v>5</v>
      </c>
      <c r="C6">
        <f>SUMIFS('Ref Pro&amp;Input_RAW'!$M$2:$M$76,'Ref Pro&amp;Input_RAW'!$I$2:$I$76,'LinearReg Model'!$A6,'Ref Pro&amp;Input_RAW'!$J$2:$J$76,'LinearReg Model'!$B6)</f>
        <v>2638</v>
      </c>
      <c r="D6">
        <f>SUMIFS('Ref Pro&amp;Input_RAW'!$E$2:$E$76,'Ref Pro&amp;Input_RAW'!$A$2:$A$76,'LinearReg Model'!$A6,'Ref Pro&amp;Input_RAW'!$B$2:$B$76,'LinearReg Model'!$B6)</f>
        <v>3113</v>
      </c>
      <c r="E6" t="s">
        <v>518</v>
      </c>
      <c r="G6">
        <v>2009</v>
      </c>
      <c r="H6">
        <v>3193</v>
      </c>
      <c r="I6">
        <v>3748</v>
      </c>
      <c r="J6">
        <v>7395</v>
      </c>
      <c r="K6">
        <v>611</v>
      </c>
      <c r="L6">
        <v>2934</v>
      </c>
      <c r="M6">
        <v>1259</v>
      </c>
      <c r="N6">
        <v>3135</v>
      </c>
      <c r="O6">
        <v>7020</v>
      </c>
      <c r="P6">
        <v>540</v>
      </c>
      <c r="Q6">
        <v>2382</v>
      </c>
      <c r="S6">
        <v>5</v>
      </c>
      <c r="T6" cm="1">
        <f t="array" ref="T6:U6">LINEST(Q$2:Q$16,L$2:L$16,FALSE,FALSE)</f>
        <v>0.797590745958207</v>
      </c>
      <c r="U6">
        <v>0</v>
      </c>
    </row>
    <row r="7" spans="1:21" x14ac:dyDescent="0.25">
      <c r="A7">
        <f>+A2+1</f>
        <v>2006</v>
      </c>
      <c r="B7">
        <f>+B2</f>
        <v>1</v>
      </c>
      <c r="C7">
        <f>SUMIFS('Ref Pro&amp;Input_RAW'!$M$2:$M$76,'Ref Pro&amp;Input_RAW'!$I$2:$I$76,'LinearReg Model'!$A7,'Ref Pro&amp;Input_RAW'!$J$2:$J$76,'LinearReg Model'!$B7)</f>
        <v>1512</v>
      </c>
      <c r="D7">
        <f>SUMIFS('Ref Pro&amp;Input_RAW'!$E$2:$E$76,'Ref Pro&amp;Input_RAW'!$A$2:$A$76,'LinearReg Model'!$A7,'Ref Pro&amp;Input_RAW'!$B$2:$B$76,'LinearReg Model'!$B7)</f>
        <v>2502</v>
      </c>
      <c r="E7" t="s">
        <v>518</v>
      </c>
      <c r="G7">
        <v>2010</v>
      </c>
      <c r="H7">
        <v>3435</v>
      </c>
      <c r="I7">
        <v>4023</v>
      </c>
      <c r="J7">
        <v>7435</v>
      </c>
      <c r="K7">
        <v>600</v>
      </c>
      <c r="L7">
        <v>2959</v>
      </c>
      <c r="M7">
        <v>1118</v>
      </c>
      <c r="N7">
        <v>3281</v>
      </c>
      <c r="O7">
        <v>7433</v>
      </c>
      <c r="P7">
        <v>540</v>
      </c>
      <c r="Q7">
        <v>2351</v>
      </c>
    </row>
    <row r="8" spans="1:21" x14ac:dyDescent="0.25">
      <c r="A8">
        <f t="shared" ref="A8:A71" si="0">+A3+1</f>
        <v>2006</v>
      </c>
      <c r="B8">
        <f t="shared" ref="B8:B71" si="1">+B3</f>
        <v>2</v>
      </c>
      <c r="C8">
        <f>SUMIFS('Ref Pro&amp;Input_RAW'!$M$2:$M$76,'Ref Pro&amp;Input_RAW'!$I$2:$I$76,'LinearReg Model'!$A8,'Ref Pro&amp;Input_RAW'!$J$2:$J$76,'LinearReg Model'!$B8)</f>
        <v>3297</v>
      </c>
      <c r="D8">
        <f>SUMIFS('Ref Pro&amp;Input_RAW'!$E$2:$E$76,'Ref Pro&amp;Input_RAW'!$A$2:$A$76,'LinearReg Model'!$A8,'Ref Pro&amp;Input_RAW'!$B$2:$B$76,'LinearReg Model'!$B8)</f>
        <v>3600</v>
      </c>
      <c r="E8" t="s">
        <v>518</v>
      </c>
      <c r="G8">
        <v>2011</v>
      </c>
      <c r="H8">
        <v>3610</v>
      </c>
      <c r="I8">
        <v>4116</v>
      </c>
      <c r="J8">
        <v>7327</v>
      </c>
      <c r="K8">
        <v>601</v>
      </c>
      <c r="L8">
        <v>3019</v>
      </c>
      <c r="M8">
        <v>1097</v>
      </c>
      <c r="N8">
        <v>3372</v>
      </c>
      <c r="O8">
        <v>7447</v>
      </c>
      <c r="P8">
        <v>545</v>
      </c>
      <c r="Q8">
        <v>2346</v>
      </c>
    </row>
    <row r="9" spans="1:21" x14ac:dyDescent="0.25">
      <c r="A9">
        <f t="shared" si="0"/>
        <v>2006</v>
      </c>
      <c r="B9">
        <f t="shared" si="1"/>
        <v>3</v>
      </c>
      <c r="C9">
        <f>SUMIFS('Ref Pro&amp;Input_RAW'!$M$2:$M$76,'Ref Pro&amp;Input_RAW'!$I$2:$I$76,'LinearReg Model'!$A9,'Ref Pro&amp;Input_RAW'!$J$2:$J$76,'LinearReg Model'!$B9)</f>
        <v>7260</v>
      </c>
      <c r="D9">
        <f>SUMIFS('Ref Pro&amp;Input_RAW'!$E$2:$E$76,'Ref Pro&amp;Input_RAW'!$A$2:$A$76,'LinearReg Model'!$A9,'Ref Pro&amp;Input_RAW'!$B$2:$B$76,'LinearReg Model'!$B9)</f>
        <v>8184</v>
      </c>
      <c r="E9" t="s">
        <v>518</v>
      </c>
      <c r="G9">
        <v>2012</v>
      </c>
      <c r="H9">
        <v>3498</v>
      </c>
      <c r="I9">
        <v>4163</v>
      </c>
      <c r="J9">
        <v>7284</v>
      </c>
      <c r="K9">
        <v>631</v>
      </c>
      <c r="L9">
        <v>2988</v>
      </c>
      <c r="M9">
        <v>919</v>
      </c>
      <c r="N9">
        <v>3442</v>
      </c>
      <c r="O9">
        <v>7734</v>
      </c>
      <c r="P9">
        <v>573</v>
      </c>
      <c r="Q9">
        <v>2331</v>
      </c>
    </row>
    <row r="10" spans="1:21" x14ac:dyDescent="0.25">
      <c r="A10">
        <f t="shared" si="0"/>
        <v>2006</v>
      </c>
      <c r="B10">
        <f t="shared" si="1"/>
        <v>4</v>
      </c>
      <c r="C10">
        <f>SUMIFS('Ref Pro&amp;Input_RAW'!$M$2:$M$76,'Ref Pro&amp;Input_RAW'!$I$2:$I$76,'LinearReg Model'!$A10,'Ref Pro&amp;Input_RAW'!$J$2:$J$76,'LinearReg Model'!$B10)</f>
        <v>553</v>
      </c>
      <c r="D10">
        <f>SUMIFS('Ref Pro&amp;Input_RAW'!$E$2:$E$76,'Ref Pro&amp;Input_RAW'!$A$2:$A$76,'LinearReg Model'!$A10,'Ref Pro&amp;Input_RAW'!$B$2:$B$76,'LinearReg Model'!$B10)</f>
        <v>601</v>
      </c>
      <c r="E10" t="s">
        <v>518</v>
      </c>
      <c r="G10">
        <v>2013</v>
      </c>
      <c r="H10">
        <v>3589</v>
      </c>
      <c r="I10">
        <v>4226</v>
      </c>
      <c r="J10">
        <v>7569</v>
      </c>
      <c r="K10">
        <v>646</v>
      </c>
      <c r="L10">
        <v>3077</v>
      </c>
      <c r="M10">
        <v>1038</v>
      </c>
      <c r="N10">
        <v>3406</v>
      </c>
      <c r="O10">
        <v>7952</v>
      </c>
      <c r="P10">
        <v>578</v>
      </c>
      <c r="Q10">
        <v>2339</v>
      </c>
    </row>
    <row r="11" spans="1:21" x14ac:dyDescent="0.25">
      <c r="A11">
        <f t="shared" si="0"/>
        <v>2006</v>
      </c>
      <c r="B11">
        <f t="shared" si="1"/>
        <v>5</v>
      </c>
      <c r="C11">
        <f>SUMIFS('Ref Pro&amp;Input_RAW'!$M$2:$M$76,'Ref Pro&amp;Input_RAW'!$I$2:$I$76,'LinearReg Model'!$A11,'Ref Pro&amp;Input_RAW'!$J$2:$J$76,'LinearReg Model'!$B11)</f>
        <v>2621</v>
      </c>
      <c r="D11">
        <f>SUMIFS('Ref Pro&amp;Input_RAW'!$E$2:$E$76,'Ref Pro&amp;Input_RAW'!$A$2:$A$76,'LinearReg Model'!$A11,'Ref Pro&amp;Input_RAW'!$B$2:$B$76,'LinearReg Model'!$B11)</f>
        <v>3087</v>
      </c>
      <c r="E11" t="s">
        <v>518</v>
      </c>
      <c r="G11">
        <v>2014</v>
      </c>
      <c r="H11">
        <v>3659</v>
      </c>
      <c r="I11">
        <v>4444</v>
      </c>
      <c r="J11">
        <v>7730</v>
      </c>
      <c r="K11">
        <v>682</v>
      </c>
      <c r="L11">
        <v>3138</v>
      </c>
      <c r="M11">
        <v>1087</v>
      </c>
      <c r="N11">
        <v>3523</v>
      </c>
      <c r="O11">
        <v>8255</v>
      </c>
      <c r="P11">
        <v>581</v>
      </c>
      <c r="Q11">
        <v>2402</v>
      </c>
    </row>
    <row r="12" spans="1:21" x14ac:dyDescent="0.25">
      <c r="A12">
        <f t="shared" si="0"/>
        <v>2007</v>
      </c>
      <c r="B12">
        <f t="shared" si="1"/>
        <v>1</v>
      </c>
      <c r="C12">
        <f>SUMIFS('Ref Pro&amp;Input_RAW'!$M$2:$M$76,'Ref Pro&amp;Input_RAW'!$I$2:$I$76,'LinearReg Model'!$A12,'Ref Pro&amp;Input_RAW'!$J$2:$J$76,'LinearReg Model'!$B12)</f>
        <v>1513</v>
      </c>
      <c r="D12">
        <f>SUMIFS('Ref Pro&amp;Input_RAW'!$E$2:$E$76,'Ref Pro&amp;Input_RAW'!$A$2:$A$76,'LinearReg Model'!$A12,'Ref Pro&amp;Input_RAW'!$B$2:$B$76,'LinearReg Model'!$B12)</f>
        <v>2592</v>
      </c>
      <c r="E12" t="s">
        <v>518</v>
      </c>
      <c r="G12">
        <v>2015</v>
      </c>
      <c r="H12">
        <v>3799</v>
      </c>
      <c r="I12">
        <v>4519</v>
      </c>
      <c r="J12">
        <v>7870</v>
      </c>
      <c r="K12">
        <v>663</v>
      </c>
      <c r="L12">
        <v>3034</v>
      </c>
      <c r="M12">
        <v>1122</v>
      </c>
      <c r="N12">
        <v>3561</v>
      </c>
      <c r="O12">
        <v>8512</v>
      </c>
      <c r="P12">
        <v>602</v>
      </c>
      <c r="Q12">
        <v>2390</v>
      </c>
    </row>
    <row r="13" spans="1:21" x14ac:dyDescent="0.25">
      <c r="A13">
        <f t="shared" si="0"/>
        <v>2007</v>
      </c>
      <c r="B13">
        <f t="shared" si="1"/>
        <v>2</v>
      </c>
      <c r="C13">
        <f>SUMIFS('Ref Pro&amp;Input_RAW'!$M$2:$M$76,'Ref Pro&amp;Input_RAW'!$I$2:$I$76,'LinearReg Model'!$A13,'Ref Pro&amp;Input_RAW'!$J$2:$J$76,'LinearReg Model'!$B13)</f>
        <v>3226</v>
      </c>
      <c r="D13">
        <f>SUMIFS('Ref Pro&amp;Input_RAW'!$E$2:$E$76,'Ref Pro&amp;Input_RAW'!$A$2:$A$76,'LinearReg Model'!$A13,'Ref Pro&amp;Input_RAW'!$B$2:$B$76,'LinearReg Model'!$B13)</f>
        <v>3533</v>
      </c>
      <c r="E13" t="s">
        <v>518</v>
      </c>
      <c r="G13">
        <v>2016</v>
      </c>
      <c r="H13">
        <v>3894</v>
      </c>
      <c r="I13">
        <v>4585</v>
      </c>
      <c r="J13">
        <v>7873</v>
      </c>
      <c r="K13">
        <v>654</v>
      </c>
      <c r="L13">
        <v>3073</v>
      </c>
      <c r="M13">
        <v>1108</v>
      </c>
      <c r="N13">
        <v>3621</v>
      </c>
      <c r="O13">
        <v>8511</v>
      </c>
      <c r="P13">
        <v>598</v>
      </c>
      <c r="Q13">
        <v>2349</v>
      </c>
    </row>
    <row r="14" spans="1:21" x14ac:dyDescent="0.25">
      <c r="A14">
        <f t="shared" si="0"/>
        <v>2007</v>
      </c>
      <c r="B14">
        <f t="shared" si="1"/>
        <v>3</v>
      </c>
      <c r="C14">
        <f>SUMIFS('Ref Pro&amp;Input_RAW'!$M$2:$M$76,'Ref Pro&amp;Input_RAW'!$I$2:$I$76,'LinearReg Model'!$A14,'Ref Pro&amp;Input_RAW'!$J$2:$J$76,'LinearReg Model'!$B14)</f>
        <v>7315</v>
      </c>
      <c r="D14">
        <f>SUMIFS('Ref Pro&amp;Input_RAW'!$E$2:$E$76,'Ref Pro&amp;Input_RAW'!$A$2:$A$76,'LinearReg Model'!$A14,'Ref Pro&amp;Input_RAW'!$B$2:$B$76,'LinearReg Model'!$B14)</f>
        <v>8257</v>
      </c>
      <c r="E14" t="s">
        <v>518</v>
      </c>
      <c r="G14">
        <v>2017</v>
      </c>
      <c r="H14">
        <v>3871</v>
      </c>
      <c r="I14">
        <v>4652</v>
      </c>
      <c r="J14">
        <v>7986</v>
      </c>
      <c r="K14">
        <v>667</v>
      </c>
      <c r="L14">
        <v>3121</v>
      </c>
      <c r="M14">
        <v>1071</v>
      </c>
      <c r="N14">
        <v>3758</v>
      </c>
      <c r="O14">
        <v>8719</v>
      </c>
      <c r="P14">
        <v>622</v>
      </c>
      <c r="Q14">
        <v>2420</v>
      </c>
    </row>
    <row r="15" spans="1:21" x14ac:dyDescent="0.25">
      <c r="A15">
        <f t="shared" si="0"/>
        <v>2007</v>
      </c>
      <c r="B15">
        <f t="shared" si="1"/>
        <v>4</v>
      </c>
      <c r="C15">
        <f>SUMIFS('Ref Pro&amp;Input_RAW'!$M$2:$M$76,'Ref Pro&amp;Input_RAW'!$I$2:$I$76,'LinearReg Model'!$A15,'Ref Pro&amp;Input_RAW'!$J$2:$J$76,'LinearReg Model'!$B15)</f>
        <v>542</v>
      </c>
      <c r="D15">
        <f>SUMIFS('Ref Pro&amp;Input_RAW'!$E$2:$E$76,'Ref Pro&amp;Input_RAW'!$A$2:$A$76,'LinearReg Model'!$A15,'Ref Pro&amp;Input_RAW'!$B$2:$B$76,'LinearReg Model'!$B15)</f>
        <v>593</v>
      </c>
      <c r="E15" t="s">
        <v>518</v>
      </c>
      <c r="G15">
        <v>2018</v>
      </c>
      <c r="H15">
        <v>3869</v>
      </c>
      <c r="I15">
        <v>4691</v>
      </c>
      <c r="J15">
        <v>8312</v>
      </c>
      <c r="K15">
        <v>664</v>
      </c>
      <c r="L15">
        <v>3156</v>
      </c>
      <c r="M15">
        <v>1045</v>
      </c>
      <c r="N15">
        <v>3795</v>
      </c>
      <c r="O15">
        <v>9035</v>
      </c>
      <c r="P15">
        <v>620</v>
      </c>
      <c r="Q15">
        <v>2474</v>
      </c>
    </row>
    <row r="16" spans="1:21" x14ac:dyDescent="0.25">
      <c r="A16">
        <f t="shared" si="0"/>
        <v>2007</v>
      </c>
      <c r="B16">
        <f t="shared" si="1"/>
        <v>5</v>
      </c>
      <c r="C16">
        <f>SUMIFS('Ref Pro&amp;Input_RAW'!$M$2:$M$76,'Ref Pro&amp;Input_RAW'!$I$2:$I$76,'LinearReg Model'!$A16,'Ref Pro&amp;Input_RAW'!$J$2:$J$76,'LinearReg Model'!$B16)</f>
        <v>2560</v>
      </c>
      <c r="D16">
        <f>SUMIFS('Ref Pro&amp;Input_RAW'!$E$2:$E$76,'Ref Pro&amp;Input_RAW'!$A$2:$A$76,'LinearReg Model'!$A16,'Ref Pro&amp;Input_RAW'!$B$2:$B$76,'LinearReg Model'!$B16)</f>
        <v>3019</v>
      </c>
      <c r="E16" t="s">
        <v>518</v>
      </c>
      <c r="G16">
        <v>2019</v>
      </c>
      <c r="H16">
        <v>3838</v>
      </c>
      <c r="I16">
        <v>4692</v>
      </c>
      <c r="J16">
        <v>8165</v>
      </c>
      <c r="K16">
        <v>668</v>
      </c>
      <c r="L16">
        <v>3077</v>
      </c>
      <c r="M16">
        <v>896</v>
      </c>
      <c r="N16">
        <v>3803</v>
      </c>
      <c r="O16">
        <v>8831</v>
      </c>
      <c r="P16">
        <v>629</v>
      </c>
      <c r="Q16">
        <v>2404</v>
      </c>
    </row>
    <row r="17" spans="1:17" x14ac:dyDescent="0.25">
      <c r="A17">
        <f t="shared" si="0"/>
        <v>2008</v>
      </c>
      <c r="B17">
        <f t="shared" si="1"/>
        <v>1</v>
      </c>
      <c r="C17">
        <f>SUMIFS('Ref Pro&amp;Input_RAW'!$M$2:$M$76,'Ref Pro&amp;Input_RAW'!$I$2:$I$76,'LinearReg Model'!$A17,'Ref Pro&amp;Input_RAW'!$J$2:$J$76,'LinearReg Model'!$B17)</f>
        <v>1421</v>
      </c>
      <c r="D17">
        <f>SUMIFS('Ref Pro&amp;Input_RAW'!$E$2:$E$76,'Ref Pro&amp;Input_RAW'!$A$2:$A$76,'LinearReg Model'!$A17,'Ref Pro&amp;Input_RAW'!$B$2:$B$76,'LinearReg Model'!$B17)</f>
        <v>2953</v>
      </c>
      <c r="E17" t="s">
        <v>518</v>
      </c>
    </row>
    <row r="18" spans="1:17" x14ac:dyDescent="0.25">
      <c r="A18">
        <f t="shared" si="0"/>
        <v>2008</v>
      </c>
      <c r="B18">
        <f t="shared" si="1"/>
        <v>2</v>
      </c>
      <c r="C18">
        <f>SUMIFS('Ref Pro&amp;Input_RAW'!$M$2:$M$76,'Ref Pro&amp;Input_RAW'!$I$2:$I$76,'LinearReg Model'!$A18,'Ref Pro&amp;Input_RAW'!$J$2:$J$76,'LinearReg Model'!$B18)</f>
        <v>3221</v>
      </c>
      <c r="D18">
        <f>SUMIFS('Ref Pro&amp;Input_RAW'!$E$2:$E$76,'Ref Pro&amp;Input_RAW'!$A$2:$A$76,'LinearReg Model'!$A18,'Ref Pro&amp;Input_RAW'!$B$2:$B$76,'LinearReg Model'!$B18)</f>
        <v>3814</v>
      </c>
      <c r="E18" t="s">
        <v>518</v>
      </c>
    </row>
    <row r="19" spans="1:17" x14ac:dyDescent="0.25">
      <c r="A19">
        <f t="shared" si="0"/>
        <v>2008</v>
      </c>
      <c r="B19">
        <f t="shared" si="1"/>
        <v>3</v>
      </c>
      <c r="C19">
        <f>SUMIFS('Ref Pro&amp;Input_RAW'!$M$2:$M$76,'Ref Pro&amp;Input_RAW'!$I$2:$I$76,'LinearReg Model'!$A19,'Ref Pro&amp;Input_RAW'!$J$2:$J$76,'LinearReg Model'!$B19)</f>
        <v>6899</v>
      </c>
      <c r="D19">
        <f>SUMIFS('Ref Pro&amp;Input_RAW'!$E$2:$E$76,'Ref Pro&amp;Input_RAW'!$A$2:$A$76,'LinearReg Model'!$A19,'Ref Pro&amp;Input_RAW'!$B$2:$B$76,'LinearReg Model'!$B19)</f>
        <v>7722</v>
      </c>
      <c r="E19" t="s">
        <v>518</v>
      </c>
    </row>
    <row r="20" spans="1:17" x14ac:dyDescent="0.25">
      <c r="A20">
        <f t="shared" si="0"/>
        <v>2008</v>
      </c>
      <c r="B20">
        <f t="shared" si="1"/>
        <v>4</v>
      </c>
      <c r="C20">
        <f>SUMIFS('Ref Pro&amp;Input_RAW'!$M$2:$M$76,'Ref Pro&amp;Input_RAW'!$I$2:$I$76,'LinearReg Model'!$A20,'Ref Pro&amp;Input_RAW'!$J$2:$J$76,'LinearReg Model'!$B20)</f>
        <v>536</v>
      </c>
      <c r="D20">
        <f>SUMIFS('Ref Pro&amp;Input_RAW'!$E$2:$E$76,'Ref Pro&amp;Input_RAW'!$A$2:$A$76,'LinearReg Model'!$A20,'Ref Pro&amp;Input_RAW'!$B$2:$B$76,'LinearReg Model'!$B20)</f>
        <v>595</v>
      </c>
      <c r="E20" t="s">
        <v>518</v>
      </c>
      <c r="H20">
        <v>1</v>
      </c>
      <c r="I20">
        <v>2</v>
      </c>
      <c r="J20">
        <v>3</v>
      </c>
      <c r="K20">
        <v>4</v>
      </c>
      <c r="L20">
        <v>5</v>
      </c>
      <c r="M20">
        <v>1</v>
      </c>
      <c r="N20">
        <v>2</v>
      </c>
      <c r="O20">
        <v>3</v>
      </c>
      <c r="P20">
        <v>4</v>
      </c>
      <c r="Q20">
        <v>5</v>
      </c>
    </row>
    <row r="21" spans="1:17" x14ac:dyDescent="0.25">
      <c r="A21">
        <f t="shared" si="0"/>
        <v>2008</v>
      </c>
      <c r="B21">
        <f t="shared" si="1"/>
        <v>5</v>
      </c>
      <c r="C21">
        <f>SUMIFS('Ref Pro&amp;Input_RAW'!$M$2:$M$76,'Ref Pro&amp;Input_RAW'!$I$2:$I$76,'LinearReg Model'!$A21,'Ref Pro&amp;Input_RAW'!$J$2:$J$76,'LinearReg Model'!$B21)</f>
        <v>2571</v>
      </c>
      <c r="D21">
        <f>SUMIFS('Ref Pro&amp;Input_RAW'!$E$2:$E$76,'Ref Pro&amp;Input_RAW'!$A$2:$A$76,'LinearReg Model'!$A21,'Ref Pro&amp;Input_RAW'!$B$2:$B$76,'LinearReg Model'!$B21)</f>
        <v>3061</v>
      </c>
      <c r="E21" t="s">
        <v>518</v>
      </c>
      <c r="G21">
        <v>2005</v>
      </c>
      <c r="H21">
        <f t="shared" ref="H21:H35" si="2">SUMIFS($D$2:$D$76,$A$2:$A$76,$G21,$B$2:$B$76,H$20)</f>
        <v>2260</v>
      </c>
      <c r="I21">
        <f t="shared" ref="I21:L35" si="3">SUMIFS($D$2:$D$76,$A$2:$A$76,$G21,$B$2:$B$76,I$20)</f>
        <v>3583</v>
      </c>
      <c r="J21">
        <f t="shared" si="3"/>
        <v>8234</v>
      </c>
      <c r="K21">
        <f t="shared" si="3"/>
        <v>611</v>
      </c>
      <c r="L21">
        <f t="shared" si="3"/>
        <v>3113</v>
      </c>
      <c r="M21">
        <f>SUMIFS($C$2:$C$76,$A$2:$A$76,$G21,$B$2:$B$76,M$20)</f>
        <v>1627</v>
      </c>
      <c r="N21">
        <f t="shared" ref="N21:Q35" si="4">SUMIFS($C$2:$C$76,$A$2:$A$76,$G21,$B$2:$B$76,N$20)</f>
        <v>3298</v>
      </c>
      <c r="O21">
        <f t="shared" si="4"/>
        <v>7098</v>
      </c>
      <c r="P21">
        <f t="shared" si="4"/>
        <v>558</v>
      </c>
      <c r="Q21">
        <f t="shared" si="4"/>
        <v>2638</v>
      </c>
    </row>
    <row r="22" spans="1:17" x14ac:dyDescent="0.25">
      <c r="A22">
        <f t="shared" si="0"/>
        <v>2009</v>
      </c>
      <c r="B22">
        <f t="shared" si="1"/>
        <v>1</v>
      </c>
      <c r="C22">
        <f>SUMIFS('Ref Pro&amp;Input_RAW'!$M$2:$M$76,'Ref Pro&amp;Input_RAW'!$I$2:$I$76,'LinearReg Model'!$A22,'Ref Pro&amp;Input_RAW'!$J$2:$J$76,'LinearReg Model'!$B22)</f>
        <v>1259</v>
      </c>
      <c r="D22">
        <f>SUMIFS('Ref Pro&amp;Input_RAW'!$E$2:$E$76,'Ref Pro&amp;Input_RAW'!$A$2:$A$76,'LinearReg Model'!$A22,'Ref Pro&amp;Input_RAW'!$B$2:$B$76,'LinearReg Model'!$B22)</f>
        <v>3193</v>
      </c>
      <c r="E22" t="s">
        <v>518</v>
      </c>
      <c r="G22">
        <v>2006</v>
      </c>
      <c r="H22">
        <f t="shared" si="2"/>
        <v>2502</v>
      </c>
      <c r="I22">
        <f t="shared" si="3"/>
        <v>3600</v>
      </c>
      <c r="J22">
        <f t="shared" si="3"/>
        <v>8184</v>
      </c>
      <c r="K22">
        <f t="shared" si="3"/>
        <v>601</v>
      </c>
      <c r="L22">
        <f t="shared" si="3"/>
        <v>3087</v>
      </c>
      <c r="M22">
        <f t="shared" ref="M22:M35" si="5">SUMIFS($C$2:$C$76,$A$2:$A$76,$G22,$B$2:$B$76,M$20)</f>
        <v>1512</v>
      </c>
      <c r="N22">
        <f t="shared" si="4"/>
        <v>3297</v>
      </c>
      <c r="O22">
        <f t="shared" si="4"/>
        <v>7260</v>
      </c>
      <c r="P22">
        <f t="shared" si="4"/>
        <v>553</v>
      </c>
      <c r="Q22">
        <f t="shared" si="4"/>
        <v>2621</v>
      </c>
    </row>
    <row r="23" spans="1:17" x14ac:dyDescent="0.25">
      <c r="A23">
        <f t="shared" si="0"/>
        <v>2009</v>
      </c>
      <c r="B23">
        <f t="shared" si="1"/>
        <v>2</v>
      </c>
      <c r="C23">
        <f>SUMIFS('Ref Pro&amp;Input_RAW'!$M$2:$M$76,'Ref Pro&amp;Input_RAW'!$I$2:$I$76,'LinearReg Model'!$A23,'Ref Pro&amp;Input_RAW'!$J$2:$J$76,'LinearReg Model'!$B23)</f>
        <v>3135</v>
      </c>
      <c r="D23">
        <f>SUMIFS('Ref Pro&amp;Input_RAW'!$E$2:$E$76,'Ref Pro&amp;Input_RAW'!$A$2:$A$76,'LinearReg Model'!$A23,'Ref Pro&amp;Input_RAW'!$B$2:$B$76,'LinearReg Model'!$B23)</f>
        <v>3748</v>
      </c>
      <c r="E23" t="s">
        <v>518</v>
      </c>
      <c r="G23">
        <v>2007</v>
      </c>
      <c r="H23">
        <f t="shared" si="2"/>
        <v>2592</v>
      </c>
      <c r="I23">
        <f t="shared" si="3"/>
        <v>3533</v>
      </c>
      <c r="J23">
        <f t="shared" si="3"/>
        <v>8257</v>
      </c>
      <c r="K23">
        <f t="shared" si="3"/>
        <v>593</v>
      </c>
      <c r="L23">
        <f t="shared" si="3"/>
        <v>3019</v>
      </c>
      <c r="M23">
        <f t="shared" si="5"/>
        <v>1513</v>
      </c>
      <c r="N23">
        <f t="shared" si="4"/>
        <v>3226</v>
      </c>
      <c r="O23">
        <f t="shared" si="4"/>
        <v>7315</v>
      </c>
      <c r="P23">
        <f t="shared" si="4"/>
        <v>542</v>
      </c>
      <c r="Q23">
        <f t="shared" si="4"/>
        <v>2560</v>
      </c>
    </row>
    <row r="24" spans="1:17" x14ac:dyDescent="0.25">
      <c r="A24">
        <f t="shared" si="0"/>
        <v>2009</v>
      </c>
      <c r="B24">
        <f t="shared" si="1"/>
        <v>3</v>
      </c>
      <c r="C24">
        <f>SUMIFS('Ref Pro&amp;Input_RAW'!$M$2:$M$76,'Ref Pro&amp;Input_RAW'!$I$2:$I$76,'LinearReg Model'!$A24,'Ref Pro&amp;Input_RAW'!$J$2:$J$76,'LinearReg Model'!$B24)</f>
        <v>7020</v>
      </c>
      <c r="D24">
        <f>SUMIFS('Ref Pro&amp;Input_RAW'!$E$2:$E$76,'Ref Pro&amp;Input_RAW'!$A$2:$A$76,'LinearReg Model'!$A24,'Ref Pro&amp;Input_RAW'!$B$2:$B$76,'LinearReg Model'!$B24)</f>
        <v>7395</v>
      </c>
      <c r="E24" t="s">
        <v>518</v>
      </c>
      <c r="G24">
        <v>2008</v>
      </c>
      <c r="H24">
        <f t="shared" si="2"/>
        <v>2953</v>
      </c>
      <c r="I24">
        <f t="shared" si="3"/>
        <v>3814</v>
      </c>
      <c r="J24">
        <f t="shared" si="3"/>
        <v>7722</v>
      </c>
      <c r="K24">
        <f t="shared" si="3"/>
        <v>595</v>
      </c>
      <c r="L24">
        <f t="shared" si="3"/>
        <v>3061</v>
      </c>
      <c r="M24">
        <f t="shared" si="5"/>
        <v>1421</v>
      </c>
      <c r="N24">
        <f t="shared" si="4"/>
        <v>3221</v>
      </c>
      <c r="O24">
        <f t="shared" si="4"/>
        <v>6899</v>
      </c>
      <c r="P24">
        <f t="shared" si="4"/>
        <v>536</v>
      </c>
      <c r="Q24">
        <f t="shared" si="4"/>
        <v>2571</v>
      </c>
    </row>
    <row r="25" spans="1:17" x14ac:dyDescent="0.25">
      <c r="A25">
        <f t="shared" si="0"/>
        <v>2009</v>
      </c>
      <c r="B25">
        <f t="shared" si="1"/>
        <v>4</v>
      </c>
      <c r="C25">
        <f>SUMIFS('Ref Pro&amp;Input_RAW'!$M$2:$M$76,'Ref Pro&amp;Input_RAW'!$I$2:$I$76,'LinearReg Model'!$A25,'Ref Pro&amp;Input_RAW'!$J$2:$J$76,'LinearReg Model'!$B25)</f>
        <v>540</v>
      </c>
      <c r="D25">
        <f>SUMIFS('Ref Pro&amp;Input_RAW'!$E$2:$E$76,'Ref Pro&amp;Input_RAW'!$A$2:$A$76,'LinearReg Model'!$A25,'Ref Pro&amp;Input_RAW'!$B$2:$B$76,'LinearReg Model'!$B25)</f>
        <v>611</v>
      </c>
      <c r="E25" t="s">
        <v>518</v>
      </c>
      <c r="G25">
        <v>2009</v>
      </c>
      <c r="H25">
        <f t="shared" si="2"/>
        <v>3193</v>
      </c>
      <c r="I25">
        <f t="shared" si="3"/>
        <v>3748</v>
      </c>
      <c r="J25">
        <f t="shared" si="3"/>
        <v>7395</v>
      </c>
      <c r="K25">
        <f t="shared" si="3"/>
        <v>611</v>
      </c>
      <c r="L25">
        <f t="shared" si="3"/>
        <v>2934</v>
      </c>
      <c r="M25">
        <f t="shared" si="5"/>
        <v>1259</v>
      </c>
      <c r="N25">
        <f t="shared" si="4"/>
        <v>3135</v>
      </c>
      <c r="O25">
        <f t="shared" si="4"/>
        <v>7020</v>
      </c>
      <c r="P25">
        <f t="shared" si="4"/>
        <v>540</v>
      </c>
      <c r="Q25">
        <f t="shared" si="4"/>
        <v>2382</v>
      </c>
    </row>
    <row r="26" spans="1:17" x14ac:dyDescent="0.25">
      <c r="A26">
        <f t="shared" si="0"/>
        <v>2009</v>
      </c>
      <c r="B26">
        <f t="shared" si="1"/>
        <v>5</v>
      </c>
      <c r="C26">
        <f>SUMIFS('Ref Pro&amp;Input_RAW'!$M$2:$M$76,'Ref Pro&amp;Input_RAW'!$I$2:$I$76,'LinearReg Model'!$A26,'Ref Pro&amp;Input_RAW'!$J$2:$J$76,'LinearReg Model'!$B26)</f>
        <v>2382</v>
      </c>
      <c r="D26">
        <f>SUMIFS('Ref Pro&amp;Input_RAW'!$E$2:$E$76,'Ref Pro&amp;Input_RAW'!$A$2:$A$76,'LinearReg Model'!$A26,'Ref Pro&amp;Input_RAW'!$B$2:$B$76,'LinearReg Model'!$B26)</f>
        <v>2934</v>
      </c>
      <c r="E26" t="s">
        <v>518</v>
      </c>
      <c r="G26">
        <v>2010</v>
      </c>
      <c r="H26">
        <f t="shared" si="2"/>
        <v>3435</v>
      </c>
      <c r="I26">
        <f t="shared" si="3"/>
        <v>4023</v>
      </c>
      <c r="J26">
        <f t="shared" si="3"/>
        <v>7435</v>
      </c>
      <c r="K26">
        <f t="shared" si="3"/>
        <v>600</v>
      </c>
      <c r="L26">
        <f t="shared" si="3"/>
        <v>2959</v>
      </c>
      <c r="M26">
        <f t="shared" si="5"/>
        <v>1118</v>
      </c>
      <c r="N26">
        <f t="shared" si="4"/>
        <v>3281</v>
      </c>
      <c r="O26">
        <f t="shared" si="4"/>
        <v>7433</v>
      </c>
      <c r="P26">
        <f t="shared" si="4"/>
        <v>540</v>
      </c>
      <c r="Q26">
        <f t="shared" si="4"/>
        <v>2351</v>
      </c>
    </row>
    <row r="27" spans="1:17" x14ac:dyDescent="0.25">
      <c r="A27">
        <f t="shared" si="0"/>
        <v>2010</v>
      </c>
      <c r="B27">
        <f t="shared" si="1"/>
        <v>1</v>
      </c>
      <c r="C27">
        <f>SUMIFS('Ref Pro&amp;Input_RAW'!$M$2:$M$76,'Ref Pro&amp;Input_RAW'!$I$2:$I$76,'LinearReg Model'!$A27,'Ref Pro&amp;Input_RAW'!$J$2:$J$76,'LinearReg Model'!$B27)</f>
        <v>1118</v>
      </c>
      <c r="D27">
        <f>SUMIFS('Ref Pro&amp;Input_RAW'!$E$2:$E$76,'Ref Pro&amp;Input_RAW'!$A$2:$A$76,'LinearReg Model'!$A27,'Ref Pro&amp;Input_RAW'!$B$2:$B$76,'LinearReg Model'!$B27)</f>
        <v>3435</v>
      </c>
      <c r="E27" t="s">
        <v>518</v>
      </c>
      <c r="G27">
        <v>2011</v>
      </c>
      <c r="H27">
        <f t="shared" si="2"/>
        <v>3610</v>
      </c>
      <c r="I27">
        <f t="shared" si="3"/>
        <v>4116</v>
      </c>
      <c r="J27">
        <f t="shared" si="3"/>
        <v>7327</v>
      </c>
      <c r="K27">
        <f t="shared" si="3"/>
        <v>601</v>
      </c>
      <c r="L27">
        <f t="shared" si="3"/>
        <v>3019</v>
      </c>
      <c r="M27">
        <f t="shared" si="5"/>
        <v>1097</v>
      </c>
      <c r="N27">
        <f t="shared" si="4"/>
        <v>3372</v>
      </c>
      <c r="O27">
        <f t="shared" si="4"/>
        <v>7447</v>
      </c>
      <c r="P27">
        <f t="shared" si="4"/>
        <v>545</v>
      </c>
      <c r="Q27">
        <f t="shared" si="4"/>
        <v>2346</v>
      </c>
    </row>
    <row r="28" spans="1:17" x14ac:dyDescent="0.25">
      <c r="A28">
        <f t="shared" si="0"/>
        <v>2010</v>
      </c>
      <c r="B28">
        <f t="shared" si="1"/>
        <v>2</v>
      </c>
      <c r="C28">
        <f>SUMIFS('Ref Pro&amp;Input_RAW'!$M$2:$M$76,'Ref Pro&amp;Input_RAW'!$I$2:$I$76,'LinearReg Model'!$A28,'Ref Pro&amp;Input_RAW'!$J$2:$J$76,'LinearReg Model'!$B28)</f>
        <v>3281</v>
      </c>
      <c r="D28">
        <f>SUMIFS('Ref Pro&amp;Input_RAW'!$E$2:$E$76,'Ref Pro&amp;Input_RAW'!$A$2:$A$76,'LinearReg Model'!$A28,'Ref Pro&amp;Input_RAW'!$B$2:$B$76,'LinearReg Model'!$B28)</f>
        <v>4023</v>
      </c>
      <c r="E28" t="s">
        <v>518</v>
      </c>
      <c r="G28">
        <v>2012</v>
      </c>
      <c r="H28">
        <f t="shared" si="2"/>
        <v>3498</v>
      </c>
      <c r="I28">
        <f t="shared" si="3"/>
        <v>4163</v>
      </c>
      <c r="J28">
        <f t="shared" si="3"/>
        <v>7284</v>
      </c>
      <c r="K28">
        <f t="shared" si="3"/>
        <v>631</v>
      </c>
      <c r="L28">
        <f t="shared" si="3"/>
        <v>2988</v>
      </c>
      <c r="M28">
        <f t="shared" si="5"/>
        <v>919</v>
      </c>
      <c r="N28">
        <f t="shared" si="4"/>
        <v>3442</v>
      </c>
      <c r="O28">
        <f t="shared" si="4"/>
        <v>7734</v>
      </c>
      <c r="P28">
        <f t="shared" si="4"/>
        <v>573</v>
      </c>
      <c r="Q28">
        <f t="shared" si="4"/>
        <v>2331</v>
      </c>
    </row>
    <row r="29" spans="1:17" x14ac:dyDescent="0.25">
      <c r="A29">
        <f t="shared" si="0"/>
        <v>2010</v>
      </c>
      <c r="B29">
        <f t="shared" si="1"/>
        <v>3</v>
      </c>
      <c r="C29">
        <f>SUMIFS('Ref Pro&amp;Input_RAW'!$M$2:$M$76,'Ref Pro&amp;Input_RAW'!$I$2:$I$76,'LinearReg Model'!$A29,'Ref Pro&amp;Input_RAW'!$J$2:$J$76,'LinearReg Model'!$B29)</f>
        <v>7433</v>
      </c>
      <c r="D29">
        <f>SUMIFS('Ref Pro&amp;Input_RAW'!$E$2:$E$76,'Ref Pro&amp;Input_RAW'!$A$2:$A$76,'LinearReg Model'!$A29,'Ref Pro&amp;Input_RAW'!$B$2:$B$76,'LinearReg Model'!$B29)</f>
        <v>7435</v>
      </c>
      <c r="E29" t="s">
        <v>518</v>
      </c>
      <c r="G29">
        <v>2013</v>
      </c>
      <c r="H29">
        <f t="shared" si="2"/>
        <v>3589</v>
      </c>
      <c r="I29">
        <f t="shared" si="3"/>
        <v>4226</v>
      </c>
      <c r="J29">
        <f t="shared" si="3"/>
        <v>7569</v>
      </c>
      <c r="K29">
        <f t="shared" si="3"/>
        <v>646</v>
      </c>
      <c r="L29">
        <f t="shared" si="3"/>
        <v>3077</v>
      </c>
      <c r="M29">
        <f t="shared" si="5"/>
        <v>1038</v>
      </c>
      <c r="N29">
        <f t="shared" si="4"/>
        <v>3406</v>
      </c>
      <c r="O29">
        <f t="shared" si="4"/>
        <v>7952</v>
      </c>
      <c r="P29">
        <f t="shared" si="4"/>
        <v>578</v>
      </c>
      <c r="Q29">
        <f t="shared" si="4"/>
        <v>2339</v>
      </c>
    </row>
    <row r="30" spans="1:17" x14ac:dyDescent="0.25">
      <c r="A30">
        <f t="shared" si="0"/>
        <v>2010</v>
      </c>
      <c r="B30">
        <f t="shared" si="1"/>
        <v>4</v>
      </c>
      <c r="C30">
        <f>SUMIFS('Ref Pro&amp;Input_RAW'!$M$2:$M$76,'Ref Pro&amp;Input_RAW'!$I$2:$I$76,'LinearReg Model'!$A30,'Ref Pro&amp;Input_RAW'!$J$2:$J$76,'LinearReg Model'!$B30)</f>
        <v>540</v>
      </c>
      <c r="D30">
        <f>SUMIFS('Ref Pro&amp;Input_RAW'!$E$2:$E$76,'Ref Pro&amp;Input_RAW'!$A$2:$A$76,'LinearReg Model'!$A30,'Ref Pro&amp;Input_RAW'!$B$2:$B$76,'LinearReg Model'!$B30)</f>
        <v>600</v>
      </c>
      <c r="E30" t="s">
        <v>518</v>
      </c>
      <c r="G30">
        <v>2014</v>
      </c>
      <c r="H30">
        <f t="shared" si="2"/>
        <v>3659</v>
      </c>
      <c r="I30">
        <f t="shared" si="3"/>
        <v>4444</v>
      </c>
      <c r="J30">
        <f t="shared" si="3"/>
        <v>7730</v>
      </c>
      <c r="K30">
        <f t="shared" si="3"/>
        <v>682</v>
      </c>
      <c r="L30">
        <f t="shared" si="3"/>
        <v>3138</v>
      </c>
      <c r="M30">
        <f t="shared" si="5"/>
        <v>1087</v>
      </c>
      <c r="N30">
        <f t="shared" si="4"/>
        <v>3523</v>
      </c>
      <c r="O30">
        <f t="shared" si="4"/>
        <v>8255</v>
      </c>
      <c r="P30">
        <f t="shared" si="4"/>
        <v>581</v>
      </c>
      <c r="Q30">
        <f t="shared" si="4"/>
        <v>2402</v>
      </c>
    </row>
    <row r="31" spans="1:17" x14ac:dyDescent="0.25">
      <c r="A31">
        <f t="shared" si="0"/>
        <v>2010</v>
      </c>
      <c r="B31">
        <f t="shared" si="1"/>
        <v>5</v>
      </c>
      <c r="C31">
        <f>SUMIFS('Ref Pro&amp;Input_RAW'!$M$2:$M$76,'Ref Pro&amp;Input_RAW'!$I$2:$I$76,'LinearReg Model'!$A31,'Ref Pro&amp;Input_RAW'!$J$2:$J$76,'LinearReg Model'!$B31)</f>
        <v>2351</v>
      </c>
      <c r="D31">
        <f>SUMIFS('Ref Pro&amp;Input_RAW'!$E$2:$E$76,'Ref Pro&amp;Input_RAW'!$A$2:$A$76,'LinearReg Model'!$A31,'Ref Pro&amp;Input_RAW'!$B$2:$B$76,'LinearReg Model'!$B31)</f>
        <v>2959</v>
      </c>
      <c r="E31" t="s">
        <v>518</v>
      </c>
      <c r="G31">
        <v>2015</v>
      </c>
      <c r="H31">
        <f t="shared" si="2"/>
        <v>3799</v>
      </c>
      <c r="I31">
        <f t="shared" si="3"/>
        <v>4519</v>
      </c>
      <c r="J31">
        <f t="shared" si="3"/>
        <v>7870</v>
      </c>
      <c r="K31">
        <f t="shared" si="3"/>
        <v>663</v>
      </c>
      <c r="L31">
        <f t="shared" si="3"/>
        <v>3034</v>
      </c>
      <c r="M31">
        <f t="shared" si="5"/>
        <v>1122</v>
      </c>
      <c r="N31">
        <f t="shared" si="4"/>
        <v>3561</v>
      </c>
      <c r="O31">
        <f t="shared" si="4"/>
        <v>8512</v>
      </c>
      <c r="P31">
        <f t="shared" si="4"/>
        <v>602</v>
      </c>
      <c r="Q31">
        <f t="shared" si="4"/>
        <v>2390</v>
      </c>
    </row>
    <row r="32" spans="1:17" x14ac:dyDescent="0.25">
      <c r="A32">
        <f t="shared" si="0"/>
        <v>2011</v>
      </c>
      <c r="B32">
        <f t="shared" si="1"/>
        <v>1</v>
      </c>
      <c r="C32">
        <f>SUMIFS('Ref Pro&amp;Input_RAW'!$M$2:$M$76,'Ref Pro&amp;Input_RAW'!$I$2:$I$76,'LinearReg Model'!$A32,'Ref Pro&amp;Input_RAW'!$J$2:$J$76,'LinearReg Model'!$B32)</f>
        <v>1097</v>
      </c>
      <c r="D32">
        <f>SUMIFS('Ref Pro&amp;Input_RAW'!$E$2:$E$76,'Ref Pro&amp;Input_RAW'!$A$2:$A$76,'LinearReg Model'!$A32,'Ref Pro&amp;Input_RAW'!$B$2:$B$76,'LinearReg Model'!$B32)</f>
        <v>3610</v>
      </c>
      <c r="E32" t="s">
        <v>518</v>
      </c>
      <c r="G32">
        <v>2016</v>
      </c>
      <c r="H32">
        <f t="shared" si="2"/>
        <v>3894</v>
      </c>
      <c r="I32">
        <f t="shared" si="3"/>
        <v>4585</v>
      </c>
      <c r="J32">
        <f t="shared" si="3"/>
        <v>7873</v>
      </c>
      <c r="K32">
        <f t="shared" si="3"/>
        <v>654</v>
      </c>
      <c r="L32">
        <f t="shared" si="3"/>
        <v>3073</v>
      </c>
      <c r="M32">
        <f t="shared" si="5"/>
        <v>1108</v>
      </c>
      <c r="N32">
        <f t="shared" si="4"/>
        <v>3621</v>
      </c>
      <c r="O32">
        <f t="shared" si="4"/>
        <v>8511</v>
      </c>
      <c r="P32">
        <f t="shared" si="4"/>
        <v>598</v>
      </c>
      <c r="Q32">
        <f t="shared" si="4"/>
        <v>2349</v>
      </c>
    </row>
    <row r="33" spans="1:17" x14ac:dyDescent="0.25">
      <c r="A33">
        <f t="shared" si="0"/>
        <v>2011</v>
      </c>
      <c r="B33">
        <f t="shared" si="1"/>
        <v>2</v>
      </c>
      <c r="C33">
        <f>SUMIFS('Ref Pro&amp;Input_RAW'!$M$2:$M$76,'Ref Pro&amp;Input_RAW'!$I$2:$I$76,'LinearReg Model'!$A33,'Ref Pro&amp;Input_RAW'!$J$2:$J$76,'LinearReg Model'!$B33)</f>
        <v>3372</v>
      </c>
      <c r="D33">
        <f>SUMIFS('Ref Pro&amp;Input_RAW'!$E$2:$E$76,'Ref Pro&amp;Input_RAW'!$A$2:$A$76,'LinearReg Model'!$A33,'Ref Pro&amp;Input_RAW'!$B$2:$B$76,'LinearReg Model'!$B33)</f>
        <v>4116</v>
      </c>
      <c r="E33" t="s">
        <v>518</v>
      </c>
      <c r="G33">
        <v>2017</v>
      </c>
      <c r="H33">
        <f t="shared" si="2"/>
        <v>3871</v>
      </c>
      <c r="I33">
        <f t="shared" si="3"/>
        <v>4652</v>
      </c>
      <c r="J33">
        <f t="shared" si="3"/>
        <v>7986</v>
      </c>
      <c r="K33">
        <f t="shared" si="3"/>
        <v>667</v>
      </c>
      <c r="L33">
        <f t="shared" si="3"/>
        <v>3121</v>
      </c>
      <c r="M33">
        <f t="shared" si="5"/>
        <v>1071</v>
      </c>
      <c r="N33">
        <f t="shared" si="4"/>
        <v>3758</v>
      </c>
      <c r="O33">
        <f t="shared" si="4"/>
        <v>8719</v>
      </c>
      <c r="P33">
        <f t="shared" si="4"/>
        <v>622</v>
      </c>
      <c r="Q33">
        <f t="shared" si="4"/>
        <v>2420</v>
      </c>
    </row>
    <row r="34" spans="1:17" x14ac:dyDescent="0.25">
      <c r="A34">
        <f t="shared" si="0"/>
        <v>2011</v>
      </c>
      <c r="B34">
        <f t="shared" si="1"/>
        <v>3</v>
      </c>
      <c r="C34">
        <f>SUMIFS('Ref Pro&amp;Input_RAW'!$M$2:$M$76,'Ref Pro&amp;Input_RAW'!$I$2:$I$76,'LinearReg Model'!$A34,'Ref Pro&amp;Input_RAW'!$J$2:$J$76,'LinearReg Model'!$B34)</f>
        <v>7447</v>
      </c>
      <c r="D34">
        <f>SUMIFS('Ref Pro&amp;Input_RAW'!$E$2:$E$76,'Ref Pro&amp;Input_RAW'!$A$2:$A$76,'LinearReg Model'!$A34,'Ref Pro&amp;Input_RAW'!$B$2:$B$76,'LinearReg Model'!$B34)</f>
        <v>7327</v>
      </c>
      <c r="E34" t="s">
        <v>518</v>
      </c>
      <c r="G34">
        <v>2018</v>
      </c>
      <c r="H34">
        <f t="shared" si="2"/>
        <v>3869</v>
      </c>
      <c r="I34">
        <f t="shared" si="3"/>
        <v>4691</v>
      </c>
      <c r="J34">
        <f t="shared" si="3"/>
        <v>8312</v>
      </c>
      <c r="K34">
        <f t="shared" si="3"/>
        <v>664</v>
      </c>
      <c r="L34">
        <f t="shared" si="3"/>
        <v>3156</v>
      </c>
      <c r="M34">
        <f t="shared" si="5"/>
        <v>1045</v>
      </c>
      <c r="N34">
        <f t="shared" si="4"/>
        <v>3795</v>
      </c>
      <c r="O34">
        <f t="shared" si="4"/>
        <v>9035</v>
      </c>
      <c r="P34">
        <f t="shared" si="4"/>
        <v>620</v>
      </c>
      <c r="Q34">
        <f t="shared" si="4"/>
        <v>2474</v>
      </c>
    </row>
    <row r="35" spans="1:17" x14ac:dyDescent="0.25">
      <c r="A35">
        <f t="shared" si="0"/>
        <v>2011</v>
      </c>
      <c r="B35">
        <f t="shared" si="1"/>
        <v>4</v>
      </c>
      <c r="C35">
        <f>SUMIFS('Ref Pro&amp;Input_RAW'!$M$2:$M$76,'Ref Pro&amp;Input_RAW'!$I$2:$I$76,'LinearReg Model'!$A35,'Ref Pro&amp;Input_RAW'!$J$2:$J$76,'LinearReg Model'!$B35)</f>
        <v>545</v>
      </c>
      <c r="D35">
        <f>SUMIFS('Ref Pro&amp;Input_RAW'!$E$2:$E$76,'Ref Pro&amp;Input_RAW'!$A$2:$A$76,'LinearReg Model'!$A35,'Ref Pro&amp;Input_RAW'!$B$2:$B$76,'LinearReg Model'!$B35)</f>
        <v>601</v>
      </c>
      <c r="E35" t="s">
        <v>518</v>
      </c>
      <c r="G35">
        <v>2019</v>
      </c>
      <c r="H35">
        <f t="shared" si="2"/>
        <v>3838</v>
      </c>
      <c r="I35">
        <f t="shared" si="3"/>
        <v>4692</v>
      </c>
      <c r="J35">
        <f t="shared" si="3"/>
        <v>8165</v>
      </c>
      <c r="K35">
        <f t="shared" si="3"/>
        <v>668</v>
      </c>
      <c r="L35">
        <f t="shared" si="3"/>
        <v>3077</v>
      </c>
      <c r="M35">
        <f t="shared" si="5"/>
        <v>896</v>
      </c>
      <c r="N35">
        <f t="shared" si="4"/>
        <v>3803</v>
      </c>
      <c r="O35">
        <f t="shared" si="4"/>
        <v>8831</v>
      </c>
      <c r="P35">
        <f t="shared" si="4"/>
        <v>629</v>
      </c>
      <c r="Q35">
        <f t="shared" si="4"/>
        <v>2404</v>
      </c>
    </row>
    <row r="36" spans="1:17" x14ac:dyDescent="0.25">
      <c r="A36">
        <f t="shared" si="0"/>
        <v>2011</v>
      </c>
      <c r="B36">
        <f t="shared" si="1"/>
        <v>5</v>
      </c>
      <c r="C36">
        <f>SUMIFS('Ref Pro&amp;Input_RAW'!$M$2:$M$76,'Ref Pro&amp;Input_RAW'!$I$2:$I$76,'LinearReg Model'!$A36,'Ref Pro&amp;Input_RAW'!$J$2:$J$76,'LinearReg Model'!$B36)</f>
        <v>2346</v>
      </c>
      <c r="D36">
        <f>SUMIFS('Ref Pro&amp;Input_RAW'!$E$2:$E$76,'Ref Pro&amp;Input_RAW'!$A$2:$A$76,'LinearReg Model'!$A36,'Ref Pro&amp;Input_RAW'!$B$2:$B$76,'LinearReg Model'!$B36)</f>
        <v>3019</v>
      </c>
      <c r="E36" t="s">
        <v>518</v>
      </c>
    </row>
    <row r="37" spans="1:17" x14ac:dyDescent="0.25">
      <c r="A37">
        <f t="shared" si="0"/>
        <v>2012</v>
      </c>
      <c r="B37">
        <f t="shared" si="1"/>
        <v>1</v>
      </c>
      <c r="C37">
        <f>SUMIFS('Ref Pro&amp;Input_RAW'!$M$2:$M$76,'Ref Pro&amp;Input_RAW'!$I$2:$I$76,'LinearReg Model'!$A37,'Ref Pro&amp;Input_RAW'!$J$2:$J$76,'LinearReg Model'!$B37)</f>
        <v>919</v>
      </c>
      <c r="D37">
        <f>SUMIFS('Ref Pro&amp;Input_RAW'!$E$2:$E$76,'Ref Pro&amp;Input_RAW'!$A$2:$A$76,'LinearReg Model'!$A37,'Ref Pro&amp;Input_RAW'!$B$2:$B$76,'LinearReg Model'!$B37)</f>
        <v>3498</v>
      </c>
      <c r="E37" t="s">
        <v>518</v>
      </c>
    </row>
    <row r="38" spans="1:17" x14ac:dyDescent="0.25">
      <c r="A38">
        <f t="shared" si="0"/>
        <v>2012</v>
      </c>
      <c r="B38">
        <f t="shared" si="1"/>
        <v>2</v>
      </c>
      <c r="C38">
        <f>SUMIFS('Ref Pro&amp;Input_RAW'!$M$2:$M$76,'Ref Pro&amp;Input_RAW'!$I$2:$I$76,'LinearReg Model'!$A38,'Ref Pro&amp;Input_RAW'!$J$2:$J$76,'LinearReg Model'!$B38)</f>
        <v>3442</v>
      </c>
      <c r="D38">
        <f>SUMIFS('Ref Pro&amp;Input_RAW'!$E$2:$E$76,'Ref Pro&amp;Input_RAW'!$A$2:$A$76,'LinearReg Model'!$A38,'Ref Pro&amp;Input_RAW'!$B$2:$B$76,'LinearReg Model'!$B38)</f>
        <v>4163</v>
      </c>
      <c r="E38" t="s">
        <v>518</v>
      </c>
    </row>
    <row r="39" spans="1:17" x14ac:dyDescent="0.25">
      <c r="A39">
        <f t="shared" si="0"/>
        <v>2012</v>
      </c>
      <c r="B39">
        <f t="shared" si="1"/>
        <v>3</v>
      </c>
      <c r="C39">
        <f>SUMIFS('Ref Pro&amp;Input_RAW'!$M$2:$M$76,'Ref Pro&amp;Input_RAW'!$I$2:$I$76,'LinearReg Model'!$A39,'Ref Pro&amp;Input_RAW'!$J$2:$J$76,'LinearReg Model'!$B39)</f>
        <v>7734</v>
      </c>
      <c r="D39">
        <f>SUMIFS('Ref Pro&amp;Input_RAW'!$E$2:$E$76,'Ref Pro&amp;Input_RAW'!$A$2:$A$76,'LinearReg Model'!$A39,'Ref Pro&amp;Input_RAW'!$B$2:$B$76,'LinearReg Model'!$B39)</f>
        <v>7284</v>
      </c>
      <c r="E39" t="s">
        <v>518</v>
      </c>
    </row>
    <row r="40" spans="1:17" x14ac:dyDescent="0.25">
      <c r="A40">
        <f t="shared" si="0"/>
        <v>2012</v>
      </c>
      <c r="B40">
        <f t="shared" si="1"/>
        <v>4</v>
      </c>
      <c r="C40">
        <f>SUMIFS('Ref Pro&amp;Input_RAW'!$M$2:$M$76,'Ref Pro&amp;Input_RAW'!$I$2:$I$76,'LinearReg Model'!$A40,'Ref Pro&amp;Input_RAW'!$J$2:$J$76,'LinearReg Model'!$B40)</f>
        <v>573</v>
      </c>
      <c r="D40">
        <f>SUMIFS('Ref Pro&amp;Input_RAW'!$E$2:$E$76,'Ref Pro&amp;Input_RAW'!$A$2:$A$76,'LinearReg Model'!$A40,'Ref Pro&amp;Input_RAW'!$B$2:$B$76,'LinearReg Model'!$B40)</f>
        <v>631</v>
      </c>
      <c r="E40" t="s">
        <v>518</v>
      </c>
    </row>
    <row r="41" spans="1:17" x14ac:dyDescent="0.25">
      <c r="A41">
        <f t="shared" si="0"/>
        <v>2012</v>
      </c>
      <c r="B41">
        <f t="shared" si="1"/>
        <v>5</v>
      </c>
      <c r="C41">
        <f>SUMIFS('Ref Pro&amp;Input_RAW'!$M$2:$M$76,'Ref Pro&amp;Input_RAW'!$I$2:$I$76,'LinearReg Model'!$A41,'Ref Pro&amp;Input_RAW'!$J$2:$J$76,'LinearReg Model'!$B41)</f>
        <v>2331</v>
      </c>
      <c r="D41">
        <f>SUMIFS('Ref Pro&amp;Input_RAW'!$E$2:$E$76,'Ref Pro&amp;Input_RAW'!$A$2:$A$76,'LinearReg Model'!$A41,'Ref Pro&amp;Input_RAW'!$B$2:$B$76,'LinearReg Model'!$B41)</f>
        <v>2988</v>
      </c>
      <c r="E41" t="s">
        <v>518</v>
      </c>
    </row>
    <row r="42" spans="1:17" x14ac:dyDescent="0.25">
      <c r="A42">
        <f t="shared" si="0"/>
        <v>2013</v>
      </c>
      <c r="B42">
        <f t="shared" si="1"/>
        <v>1</v>
      </c>
      <c r="C42">
        <f>SUMIFS('Ref Pro&amp;Input_RAW'!$M$2:$M$76,'Ref Pro&amp;Input_RAW'!$I$2:$I$76,'LinearReg Model'!$A42,'Ref Pro&amp;Input_RAW'!$J$2:$J$76,'LinearReg Model'!$B42)</f>
        <v>1038</v>
      </c>
      <c r="D42">
        <f>SUMIFS('Ref Pro&amp;Input_RAW'!$E$2:$E$76,'Ref Pro&amp;Input_RAW'!$A$2:$A$76,'LinearReg Model'!$A42,'Ref Pro&amp;Input_RAW'!$B$2:$B$76,'LinearReg Model'!$B42)</f>
        <v>3589</v>
      </c>
      <c r="E42" t="s">
        <v>518</v>
      </c>
    </row>
    <row r="43" spans="1:17" x14ac:dyDescent="0.25">
      <c r="A43">
        <f>+A38+1</f>
        <v>2013</v>
      </c>
      <c r="B43">
        <f>+B38</f>
        <v>2</v>
      </c>
      <c r="C43">
        <f>SUMIFS('Ref Pro&amp;Input_RAW'!$M$2:$M$76,'Ref Pro&amp;Input_RAW'!$I$2:$I$76,'LinearReg Model'!$A43,'Ref Pro&amp;Input_RAW'!$J$2:$J$76,'LinearReg Model'!$B43)</f>
        <v>3406</v>
      </c>
      <c r="D43">
        <f>SUMIFS('Ref Pro&amp;Input_RAW'!$E$2:$E$76,'Ref Pro&amp;Input_RAW'!$A$2:$A$76,'LinearReg Model'!$A43,'Ref Pro&amp;Input_RAW'!$B$2:$B$76,'LinearReg Model'!$B43)</f>
        <v>4226</v>
      </c>
      <c r="E43" t="s">
        <v>518</v>
      </c>
    </row>
    <row r="44" spans="1:17" x14ac:dyDescent="0.25">
      <c r="A44">
        <f t="shared" si="0"/>
        <v>2013</v>
      </c>
      <c r="B44">
        <f t="shared" si="1"/>
        <v>3</v>
      </c>
      <c r="C44">
        <f>SUMIFS('Ref Pro&amp;Input_RAW'!$M$2:$M$76,'Ref Pro&amp;Input_RAW'!$I$2:$I$76,'LinearReg Model'!$A44,'Ref Pro&amp;Input_RAW'!$J$2:$J$76,'LinearReg Model'!$B44)</f>
        <v>7952</v>
      </c>
      <c r="D44">
        <f>SUMIFS('Ref Pro&amp;Input_RAW'!$E$2:$E$76,'Ref Pro&amp;Input_RAW'!$A$2:$A$76,'LinearReg Model'!$A44,'Ref Pro&amp;Input_RAW'!$B$2:$B$76,'LinearReg Model'!$B44)</f>
        <v>7569</v>
      </c>
      <c r="E44" t="s">
        <v>518</v>
      </c>
    </row>
    <row r="45" spans="1:17" x14ac:dyDescent="0.25">
      <c r="A45">
        <f t="shared" si="0"/>
        <v>2013</v>
      </c>
      <c r="B45">
        <f t="shared" si="1"/>
        <v>4</v>
      </c>
      <c r="C45">
        <f>SUMIFS('Ref Pro&amp;Input_RAW'!$M$2:$M$76,'Ref Pro&amp;Input_RAW'!$I$2:$I$76,'LinearReg Model'!$A45,'Ref Pro&amp;Input_RAW'!$J$2:$J$76,'LinearReg Model'!$B45)</f>
        <v>578</v>
      </c>
      <c r="D45">
        <f>SUMIFS('Ref Pro&amp;Input_RAW'!$E$2:$E$76,'Ref Pro&amp;Input_RAW'!$A$2:$A$76,'LinearReg Model'!$A45,'Ref Pro&amp;Input_RAW'!$B$2:$B$76,'LinearReg Model'!$B45)</f>
        <v>646</v>
      </c>
      <c r="E45" t="s">
        <v>518</v>
      </c>
    </row>
    <row r="46" spans="1:17" x14ac:dyDescent="0.25">
      <c r="A46">
        <f t="shared" si="0"/>
        <v>2013</v>
      </c>
      <c r="B46">
        <f t="shared" si="1"/>
        <v>5</v>
      </c>
      <c r="C46">
        <f>SUMIFS('Ref Pro&amp;Input_RAW'!$M$2:$M$76,'Ref Pro&amp;Input_RAW'!$I$2:$I$76,'LinearReg Model'!$A46,'Ref Pro&amp;Input_RAW'!$J$2:$J$76,'LinearReg Model'!$B46)</f>
        <v>2339</v>
      </c>
      <c r="D46">
        <f>SUMIFS('Ref Pro&amp;Input_RAW'!$E$2:$E$76,'Ref Pro&amp;Input_RAW'!$A$2:$A$76,'LinearReg Model'!$A46,'Ref Pro&amp;Input_RAW'!$B$2:$B$76,'LinearReg Model'!$B46)</f>
        <v>3077</v>
      </c>
      <c r="E46" t="s">
        <v>518</v>
      </c>
    </row>
    <row r="47" spans="1:17" x14ac:dyDescent="0.25">
      <c r="A47">
        <f t="shared" si="0"/>
        <v>2014</v>
      </c>
      <c r="B47">
        <f t="shared" si="1"/>
        <v>1</v>
      </c>
      <c r="C47">
        <f>SUMIFS('Ref Pro&amp;Input_RAW'!$M$2:$M$76,'Ref Pro&amp;Input_RAW'!$I$2:$I$76,'LinearReg Model'!$A47,'Ref Pro&amp;Input_RAW'!$J$2:$J$76,'LinearReg Model'!$B47)</f>
        <v>1087</v>
      </c>
      <c r="D47">
        <f>SUMIFS('Ref Pro&amp;Input_RAW'!$E$2:$E$76,'Ref Pro&amp;Input_RAW'!$A$2:$A$76,'LinearReg Model'!$A47,'Ref Pro&amp;Input_RAW'!$B$2:$B$76,'LinearReg Model'!$B47)</f>
        <v>3659</v>
      </c>
      <c r="E47" t="s">
        <v>518</v>
      </c>
    </row>
    <row r="48" spans="1:17" x14ac:dyDescent="0.25">
      <c r="A48">
        <f t="shared" si="0"/>
        <v>2014</v>
      </c>
      <c r="B48">
        <f t="shared" si="1"/>
        <v>2</v>
      </c>
      <c r="C48">
        <f>SUMIFS('Ref Pro&amp;Input_RAW'!$M$2:$M$76,'Ref Pro&amp;Input_RAW'!$I$2:$I$76,'LinearReg Model'!$A48,'Ref Pro&amp;Input_RAW'!$J$2:$J$76,'LinearReg Model'!$B48)</f>
        <v>3523</v>
      </c>
      <c r="D48">
        <f>SUMIFS('Ref Pro&amp;Input_RAW'!$E$2:$E$76,'Ref Pro&amp;Input_RAW'!$A$2:$A$76,'LinearReg Model'!$A48,'Ref Pro&amp;Input_RAW'!$B$2:$B$76,'LinearReg Model'!$B48)</f>
        <v>4444</v>
      </c>
      <c r="E48" t="s">
        <v>518</v>
      </c>
    </row>
    <row r="49" spans="1:5" x14ac:dyDescent="0.25">
      <c r="A49">
        <f t="shared" si="0"/>
        <v>2014</v>
      </c>
      <c r="B49">
        <f t="shared" si="1"/>
        <v>3</v>
      </c>
      <c r="C49">
        <f>SUMIFS('Ref Pro&amp;Input_RAW'!$M$2:$M$76,'Ref Pro&amp;Input_RAW'!$I$2:$I$76,'LinearReg Model'!$A49,'Ref Pro&amp;Input_RAW'!$J$2:$J$76,'LinearReg Model'!$B49)</f>
        <v>8255</v>
      </c>
      <c r="D49">
        <f>SUMIFS('Ref Pro&amp;Input_RAW'!$E$2:$E$76,'Ref Pro&amp;Input_RAW'!$A$2:$A$76,'LinearReg Model'!$A49,'Ref Pro&amp;Input_RAW'!$B$2:$B$76,'LinearReg Model'!$B49)</f>
        <v>7730</v>
      </c>
      <c r="E49" t="s">
        <v>518</v>
      </c>
    </row>
    <row r="50" spans="1:5" x14ac:dyDescent="0.25">
      <c r="A50">
        <f t="shared" si="0"/>
        <v>2014</v>
      </c>
      <c r="B50">
        <f t="shared" si="1"/>
        <v>4</v>
      </c>
      <c r="C50">
        <f>SUMIFS('Ref Pro&amp;Input_RAW'!$M$2:$M$76,'Ref Pro&amp;Input_RAW'!$I$2:$I$76,'LinearReg Model'!$A50,'Ref Pro&amp;Input_RAW'!$J$2:$J$76,'LinearReg Model'!$B50)</f>
        <v>581</v>
      </c>
      <c r="D50">
        <f>SUMIFS('Ref Pro&amp;Input_RAW'!$E$2:$E$76,'Ref Pro&amp;Input_RAW'!$A$2:$A$76,'LinearReg Model'!$A50,'Ref Pro&amp;Input_RAW'!$B$2:$B$76,'LinearReg Model'!$B50)</f>
        <v>682</v>
      </c>
      <c r="E50" t="s">
        <v>518</v>
      </c>
    </row>
    <row r="51" spans="1:5" x14ac:dyDescent="0.25">
      <c r="A51">
        <f t="shared" si="0"/>
        <v>2014</v>
      </c>
      <c r="B51">
        <f t="shared" si="1"/>
        <v>5</v>
      </c>
      <c r="C51">
        <f>SUMIFS('Ref Pro&amp;Input_RAW'!$M$2:$M$76,'Ref Pro&amp;Input_RAW'!$I$2:$I$76,'LinearReg Model'!$A51,'Ref Pro&amp;Input_RAW'!$J$2:$J$76,'LinearReg Model'!$B51)</f>
        <v>2402</v>
      </c>
      <c r="D51">
        <f>SUMIFS('Ref Pro&amp;Input_RAW'!$E$2:$E$76,'Ref Pro&amp;Input_RAW'!$A$2:$A$76,'LinearReg Model'!$A51,'Ref Pro&amp;Input_RAW'!$B$2:$B$76,'LinearReg Model'!$B51)</f>
        <v>3138</v>
      </c>
      <c r="E51" t="s">
        <v>518</v>
      </c>
    </row>
    <row r="52" spans="1:5" x14ac:dyDescent="0.25">
      <c r="A52">
        <f t="shared" si="0"/>
        <v>2015</v>
      </c>
      <c r="B52">
        <f t="shared" si="1"/>
        <v>1</v>
      </c>
      <c r="C52">
        <f>SUMIFS('Ref Pro&amp;Input_RAW'!$M$2:$M$76,'Ref Pro&amp;Input_RAW'!$I$2:$I$76,'LinearReg Model'!$A52,'Ref Pro&amp;Input_RAW'!$J$2:$J$76,'LinearReg Model'!$B52)</f>
        <v>1122</v>
      </c>
      <c r="D52">
        <f>SUMIFS('Ref Pro&amp;Input_RAW'!$E$2:$E$76,'Ref Pro&amp;Input_RAW'!$A$2:$A$76,'LinearReg Model'!$A52,'Ref Pro&amp;Input_RAW'!$B$2:$B$76,'LinearReg Model'!$B52)</f>
        <v>3799</v>
      </c>
      <c r="E52" t="s">
        <v>518</v>
      </c>
    </row>
    <row r="53" spans="1:5" x14ac:dyDescent="0.25">
      <c r="A53">
        <f t="shared" si="0"/>
        <v>2015</v>
      </c>
      <c r="B53">
        <f t="shared" si="1"/>
        <v>2</v>
      </c>
      <c r="C53">
        <f>SUMIFS('Ref Pro&amp;Input_RAW'!$M$2:$M$76,'Ref Pro&amp;Input_RAW'!$I$2:$I$76,'LinearReg Model'!$A53,'Ref Pro&amp;Input_RAW'!$J$2:$J$76,'LinearReg Model'!$B53)</f>
        <v>3561</v>
      </c>
      <c r="D53">
        <f>SUMIFS('Ref Pro&amp;Input_RAW'!$E$2:$E$76,'Ref Pro&amp;Input_RAW'!$A$2:$A$76,'LinearReg Model'!$A53,'Ref Pro&amp;Input_RAW'!$B$2:$B$76,'LinearReg Model'!$B53)</f>
        <v>4519</v>
      </c>
      <c r="E53" t="s">
        <v>518</v>
      </c>
    </row>
    <row r="54" spans="1:5" x14ac:dyDescent="0.25">
      <c r="A54">
        <f t="shared" si="0"/>
        <v>2015</v>
      </c>
      <c r="B54">
        <f t="shared" si="1"/>
        <v>3</v>
      </c>
      <c r="C54">
        <f>SUMIFS('Ref Pro&amp;Input_RAW'!$M$2:$M$76,'Ref Pro&amp;Input_RAW'!$I$2:$I$76,'LinearReg Model'!$A54,'Ref Pro&amp;Input_RAW'!$J$2:$J$76,'LinearReg Model'!$B54)</f>
        <v>8512</v>
      </c>
      <c r="D54">
        <f>SUMIFS('Ref Pro&amp;Input_RAW'!$E$2:$E$76,'Ref Pro&amp;Input_RAW'!$A$2:$A$76,'LinearReg Model'!$A54,'Ref Pro&amp;Input_RAW'!$B$2:$B$76,'LinearReg Model'!$B54)</f>
        <v>7870</v>
      </c>
      <c r="E54" t="s">
        <v>518</v>
      </c>
    </row>
    <row r="55" spans="1:5" x14ac:dyDescent="0.25">
      <c r="A55">
        <f t="shared" si="0"/>
        <v>2015</v>
      </c>
      <c r="B55">
        <f t="shared" si="1"/>
        <v>4</v>
      </c>
      <c r="C55">
        <f>SUMIFS('Ref Pro&amp;Input_RAW'!$M$2:$M$76,'Ref Pro&amp;Input_RAW'!$I$2:$I$76,'LinearReg Model'!$A55,'Ref Pro&amp;Input_RAW'!$J$2:$J$76,'LinearReg Model'!$B55)</f>
        <v>602</v>
      </c>
      <c r="D55">
        <f>SUMIFS('Ref Pro&amp;Input_RAW'!$E$2:$E$76,'Ref Pro&amp;Input_RAW'!$A$2:$A$76,'LinearReg Model'!$A55,'Ref Pro&amp;Input_RAW'!$B$2:$B$76,'LinearReg Model'!$B55)</f>
        <v>663</v>
      </c>
      <c r="E55" t="s">
        <v>518</v>
      </c>
    </row>
    <row r="56" spans="1:5" x14ac:dyDescent="0.25">
      <c r="A56">
        <f t="shared" si="0"/>
        <v>2015</v>
      </c>
      <c r="B56">
        <f t="shared" si="1"/>
        <v>5</v>
      </c>
      <c r="C56">
        <f>SUMIFS('Ref Pro&amp;Input_RAW'!$M$2:$M$76,'Ref Pro&amp;Input_RAW'!$I$2:$I$76,'LinearReg Model'!$A56,'Ref Pro&amp;Input_RAW'!$J$2:$J$76,'LinearReg Model'!$B56)</f>
        <v>2390</v>
      </c>
      <c r="D56">
        <f>SUMIFS('Ref Pro&amp;Input_RAW'!$E$2:$E$76,'Ref Pro&amp;Input_RAW'!$A$2:$A$76,'LinearReg Model'!$A56,'Ref Pro&amp;Input_RAW'!$B$2:$B$76,'LinearReg Model'!$B56)</f>
        <v>3034</v>
      </c>
      <c r="E56" t="s">
        <v>518</v>
      </c>
    </row>
    <row r="57" spans="1:5" x14ac:dyDescent="0.25">
      <c r="A57">
        <f t="shared" si="0"/>
        <v>2016</v>
      </c>
      <c r="B57">
        <f t="shared" si="1"/>
        <v>1</v>
      </c>
      <c r="C57">
        <f>SUMIFS('Ref Pro&amp;Input_RAW'!$M$2:$M$76,'Ref Pro&amp;Input_RAW'!$I$2:$I$76,'LinearReg Model'!$A57,'Ref Pro&amp;Input_RAW'!$J$2:$J$76,'LinearReg Model'!$B57)</f>
        <v>1108</v>
      </c>
      <c r="D57">
        <f>SUMIFS('Ref Pro&amp;Input_RAW'!$E$2:$E$76,'Ref Pro&amp;Input_RAW'!$A$2:$A$76,'LinearReg Model'!$A57,'Ref Pro&amp;Input_RAW'!$B$2:$B$76,'LinearReg Model'!$B57)</f>
        <v>3894</v>
      </c>
      <c r="E57" t="s">
        <v>518</v>
      </c>
    </row>
    <row r="58" spans="1:5" x14ac:dyDescent="0.25">
      <c r="A58">
        <f t="shared" si="0"/>
        <v>2016</v>
      </c>
      <c r="B58">
        <f t="shared" si="1"/>
        <v>2</v>
      </c>
      <c r="C58">
        <f>SUMIFS('Ref Pro&amp;Input_RAW'!$M$2:$M$76,'Ref Pro&amp;Input_RAW'!$I$2:$I$76,'LinearReg Model'!$A58,'Ref Pro&amp;Input_RAW'!$J$2:$J$76,'LinearReg Model'!$B58)</f>
        <v>3621</v>
      </c>
      <c r="D58">
        <f>SUMIFS('Ref Pro&amp;Input_RAW'!$E$2:$E$76,'Ref Pro&amp;Input_RAW'!$A$2:$A$76,'LinearReg Model'!$A58,'Ref Pro&amp;Input_RAW'!$B$2:$B$76,'LinearReg Model'!$B58)</f>
        <v>4585</v>
      </c>
      <c r="E58" t="s">
        <v>518</v>
      </c>
    </row>
    <row r="59" spans="1:5" x14ac:dyDescent="0.25">
      <c r="A59">
        <f t="shared" si="0"/>
        <v>2016</v>
      </c>
      <c r="B59">
        <f t="shared" si="1"/>
        <v>3</v>
      </c>
      <c r="C59">
        <f>SUMIFS('Ref Pro&amp;Input_RAW'!$M$2:$M$76,'Ref Pro&amp;Input_RAW'!$I$2:$I$76,'LinearReg Model'!$A59,'Ref Pro&amp;Input_RAW'!$J$2:$J$76,'LinearReg Model'!$B59)</f>
        <v>8511</v>
      </c>
      <c r="D59">
        <f>SUMIFS('Ref Pro&amp;Input_RAW'!$E$2:$E$76,'Ref Pro&amp;Input_RAW'!$A$2:$A$76,'LinearReg Model'!$A59,'Ref Pro&amp;Input_RAW'!$B$2:$B$76,'LinearReg Model'!$B59)</f>
        <v>7873</v>
      </c>
      <c r="E59" t="s">
        <v>518</v>
      </c>
    </row>
    <row r="60" spans="1:5" x14ac:dyDescent="0.25">
      <c r="A60">
        <f t="shared" si="0"/>
        <v>2016</v>
      </c>
      <c r="B60">
        <f t="shared" si="1"/>
        <v>4</v>
      </c>
      <c r="C60">
        <f>SUMIFS('Ref Pro&amp;Input_RAW'!$M$2:$M$76,'Ref Pro&amp;Input_RAW'!$I$2:$I$76,'LinearReg Model'!$A60,'Ref Pro&amp;Input_RAW'!$J$2:$J$76,'LinearReg Model'!$B60)</f>
        <v>598</v>
      </c>
      <c r="D60">
        <f>SUMIFS('Ref Pro&amp;Input_RAW'!$E$2:$E$76,'Ref Pro&amp;Input_RAW'!$A$2:$A$76,'LinearReg Model'!$A60,'Ref Pro&amp;Input_RAW'!$B$2:$B$76,'LinearReg Model'!$B60)</f>
        <v>654</v>
      </c>
      <c r="E60" t="s">
        <v>518</v>
      </c>
    </row>
    <row r="61" spans="1:5" x14ac:dyDescent="0.25">
      <c r="A61">
        <f t="shared" si="0"/>
        <v>2016</v>
      </c>
      <c r="B61">
        <f t="shared" si="1"/>
        <v>5</v>
      </c>
      <c r="C61">
        <f>SUMIFS('Ref Pro&amp;Input_RAW'!$M$2:$M$76,'Ref Pro&amp;Input_RAW'!$I$2:$I$76,'LinearReg Model'!$A61,'Ref Pro&amp;Input_RAW'!$J$2:$J$76,'LinearReg Model'!$B61)</f>
        <v>2349</v>
      </c>
      <c r="D61">
        <f>SUMIFS('Ref Pro&amp;Input_RAW'!$E$2:$E$76,'Ref Pro&amp;Input_RAW'!$A$2:$A$76,'LinearReg Model'!$A61,'Ref Pro&amp;Input_RAW'!$B$2:$B$76,'LinearReg Model'!$B61)</f>
        <v>3073</v>
      </c>
      <c r="E61" t="s">
        <v>518</v>
      </c>
    </row>
    <row r="62" spans="1:5" x14ac:dyDescent="0.25">
      <c r="A62">
        <f t="shared" si="0"/>
        <v>2017</v>
      </c>
      <c r="B62">
        <f t="shared" si="1"/>
        <v>1</v>
      </c>
      <c r="C62">
        <f>SUMIFS('Ref Pro&amp;Input_RAW'!$M$2:$M$76,'Ref Pro&amp;Input_RAW'!$I$2:$I$76,'LinearReg Model'!$A62,'Ref Pro&amp;Input_RAW'!$J$2:$J$76,'LinearReg Model'!$B62)</f>
        <v>1071</v>
      </c>
      <c r="D62">
        <f>SUMIFS('Ref Pro&amp;Input_RAW'!$E$2:$E$76,'Ref Pro&amp;Input_RAW'!$A$2:$A$76,'LinearReg Model'!$A62,'Ref Pro&amp;Input_RAW'!$B$2:$B$76,'LinearReg Model'!$B62)</f>
        <v>3871</v>
      </c>
      <c r="E62" t="s">
        <v>518</v>
      </c>
    </row>
    <row r="63" spans="1:5" x14ac:dyDescent="0.25">
      <c r="A63">
        <f t="shared" si="0"/>
        <v>2017</v>
      </c>
      <c r="B63">
        <f t="shared" si="1"/>
        <v>2</v>
      </c>
      <c r="C63">
        <f>SUMIFS('Ref Pro&amp;Input_RAW'!$M$2:$M$76,'Ref Pro&amp;Input_RAW'!$I$2:$I$76,'LinearReg Model'!$A63,'Ref Pro&amp;Input_RAW'!$J$2:$J$76,'LinearReg Model'!$B63)</f>
        <v>3758</v>
      </c>
      <c r="D63">
        <f>SUMIFS('Ref Pro&amp;Input_RAW'!$E$2:$E$76,'Ref Pro&amp;Input_RAW'!$A$2:$A$76,'LinearReg Model'!$A63,'Ref Pro&amp;Input_RAW'!$B$2:$B$76,'LinearReg Model'!$B63)</f>
        <v>4652</v>
      </c>
      <c r="E63" t="s">
        <v>518</v>
      </c>
    </row>
    <row r="64" spans="1:5" x14ac:dyDescent="0.25">
      <c r="A64">
        <f t="shared" si="0"/>
        <v>2017</v>
      </c>
      <c r="B64">
        <f t="shared" si="1"/>
        <v>3</v>
      </c>
      <c r="C64">
        <f>SUMIFS('Ref Pro&amp;Input_RAW'!$M$2:$M$76,'Ref Pro&amp;Input_RAW'!$I$2:$I$76,'LinearReg Model'!$A64,'Ref Pro&amp;Input_RAW'!$J$2:$J$76,'LinearReg Model'!$B64)</f>
        <v>8719</v>
      </c>
      <c r="D64">
        <f>SUMIFS('Ref Pro&amp;Input_RAW'!$E$2:$E$76,'Ref Pro&amp;Input_RAW'!$A$2:$A$76,'LinearReg Model'!$A64,'Ref Pro&amp;Input_RAW'!$B$2:$B$76,'LinearReg Model'!$B64)</f>
        <v>7986</v>
      </c>
      <c r="E64" t="s">
        <v>518</v>
      </c>
    </row>
    <row r="65" spans="1:5" x14ac:dyDescent="0.25">
      <c r="A65">
        <f t="shared" si="0"/>
        <v>2017</v>
      </c>
      <c r="B65">
        <f t="shared" si="1"/>
        <v>4</v>
      </c>
      <c r="C65">
        <f>SUMIFS('Ref Pro&amp;Input_RAW'!$M$2:$M$76,'Ref Pro&amp;Input_RAW'!$I$2:$I$76,'LinearReg Model'!$A65,'Ref Pro&amp;Input_RAW'!$J$2:$J$76,'LinearReg Model'!$B65)</f>
        <v>622</v>
      </c>
      <c r="D65">
        <f>SUMIFS('Ref Pro&amp;Input_RAW'!$E$2:$E$76,'Ref Pro&amp;Input_RAW'!$A$2:$A$76,'LinearReg Model'!$A65,'Ref Pro&amp;Input_RAW'!$B$2:$B$76,'LinearReg Model'!$B65)</f>
        <v>667</v>
      </c>
      <c r="E65" t="s">
        <v>518</v>
      </c>
    </row>
    <row r="66" spans="1:5" x14ac:dyDescent="0.25">
      <c r="A66">
        <f t="shared" si="0"/>
        <v>2017</v>
      </c>
      <c r="B66">
        <f t="shared" si="1"/>
        <v>5</v>
      </c>
      <c r="C66">
        <f>SUMIFS('Ref Pro&amp;Input_RAW'!$M$2:$M$76,'Ref Pro&amp;Input_RAW'!$I$2:$I$76,'LinearReg Model'!$A66,'Ref Pro&amp;Input_RAW'!$J$2:$J$76,'LinearReg Model'!$B66)</f>
        <v>2420</v>
      </c>
      <c r="D66">
        <f>SUMIFS('Ref Pro&amp;Input_RAW'!$E$2:$E$76,'Ref Pro&amp;Input_RAW'!$A$2:$A$76,'LinearReg Model'!$A66,'Ref Pro&amp;Input_RAW'!$B$2:$B$76,'LinearReg Model'!$B66)</f>
        <v>3121</v>
      </c>
      <c r="E66" t="s">
        <v>518</v>
      </c>
    </row>
    <row r="67" spans="1:5" x14ac:dyDescent="0.25">
      <c r="A67">
        <f t="shared" si="0"/>
        <v>2018</v>
      </c>
      <c r="B67">
        <f t="shared" si="1"/>
        <v>1</v>
      </c>
      <c r="C67">
        <f>SUMIFS('Ref Pro&amp;Input_RAW'!$M$2:$M$76,'Ref Pro&amp;Input_RAW'!$I$2:$I$76,'LinearReg Model'!$A67,'Ref Pro&amp;Input_RAW'!$J$2:$J$76,'LinearReg Model'!$B67)</f>
        <v>1045</v>
      </c>
      <c r="D67">
        <f>SUMIFS('Ref Pro&amp;Input_RAW'!$E$2:$E$76,'Ref Pro&amp;Input_RAW'!$A$2:$A$76,'LinearReg Model'!$A67,'Ref Pro&amp;Input_RAW'!$B$2:$B$76,'LinearReg Model'!$B67)</f>
        <v>3869</v>
      </c>
      <c r="E67" t="s">
        <v>518</v>
      </c>
    </row>
    <row r="68" spans="1:5" x14ac:dyDescent="0.25">
      <c r="A68">
        <f t="shared" si="0"/>
        <v>2018</v>
      </c>
      <c r="B68">
        <f t="shared" si="1"/>
        <v>2</v>
      </c>
      <c r="C68">
        <f>SUMIFS('Ref Pro&amp;Input_RAW'!$M$2:$M$76,'Ref Pro&amp;Input_RAW'!$I$2:$I$76,'LinearReg Model'!$A68,'Ref Pro&amp;Input_RAW'!$J$2:$J$76,'LinearReg Model'!$B68)</f>
        <v>3795</v>
      </c>
      <c r="D68">
        <f>SUMIFS('Ref Pro&amp;Input_RAW'!$E$2:$E$76,'Ref Pro&amp;Input_RAW'!$A$2:$A$76,'LinearReg Model'!$A68,'Ref Pro&amp;Input_RAW'!$B$2:$B$76,'LinearReg Model'!$B68)</f>
        <v>4691</v>
      </c>
      <c r="E68" t="s">
        <v>518</v>
      </c>
    </row>
    <row r="69" spans="1:5" x14ac:dyDescent="0.25">
      <c r="A69">
        <f t="shared" si="0"/>
        <v>2018</v>
      </c>
      <c r="B69">
        <f t="shared" si="1"/>
        <v>3</v>
      </c>
      <c r="C69">
        <f>SUMIFS('Ref Pro&amp;Input_RAW'!$M$2:$M$76,'Ref Pro&amp;Input_RAW'!$I$2:$I$76,'LinearReg Model'!$A69,'Ref Pro&amp;Input_RAW'!$J$2:$J$76,'LinearReg Model'!$B69)</f>
        <v>9035</v>
      </c>
      <c r="D69">
        <f>SUMIFS('Ref Pro&amp;Input_RAW'!$E$2:$E$76,'Ref Pro&amp;Input_RAW'!$A$2:$A$76,'LinearReg Model'!$A69,'Ref Pro&amp;Input_RAW'!$B$2:$B$76,'LinearReg Model'!$B69)</f>
        <v>8312</v>
      </c>
      <c r="E69" t="s">
        <v>518</v>
      </c>
    </row>
    <row r="70" spans="1:5" x14ac:dyDescent="0.25">
      <c r="A70">
        <f t="shared" si="0"/>
        <v>2018</v>
      </c>
      <c r="B70">
        <f t="shared" si="1"/>
        <v>4</v>
      </c>
      <c r="C70">
        <f>SUMIFS('Ref Pro&amp;Input_RAW'!$M$2:$M$76,'Ref Pro&amp;Input_RAW'!$I$2:$I$76,'LinearReg Model'!$A70,'Ref Pro&amp;Input_RAW'!$J$2:$J$76,'LinearReg Model'!$B70)</f>
        <v>620</v>
      </c>
      <c r="D70">
        <f>SUMIFS('Ref Pro&amp;Input_RAW'!$E$2:$E$76,'Ref Pro&amp;Input_RAW'!$A$2:$A$76,'LinearReg Model'!$A70,'Ref Pro&amp;Input_RAW'!$B$2:$B$76,'LinearReg Model'!$B70)</f>
        <v>664</v>
      </c>
      <c r="E70" t="s">
        <v>518</v>
      </c>
    </row>
    <row r="71" spans="1:5" x14ac:dyDescent="0.25">
      <c r="A71">
        <f t="shared" si="0"/>
        <v>2018</v>
      </c>
      <c r="B71">
        <f t="shared" si="1"/>
        <v>5</v>
      </c>
      <c r="C71">
        <f>SUMIFS('Ref Pro&amp;Input_RAW'!$M$2:$M$76,'Ref Pro&amp;Input_RAW'!$I$2:$I$76,'LinearReg Model'!$A71,'Ref Pro&amp;Input_RAW'!$J$2:$J$76,'LinearReg Model'!$B71)</f>
        <v>2474</v>
      </c>
      <c r="D71">
        <f>SUMIFS('Ref Pro&amp;Input_RAW'!$E$2:$E$76,'Ref Pro&amp;Input_RAW'!$A$2:$A$76,'LinearReg Model'!$A71,'Ref Pro&amp;Input_RAW'!$B$2:$B$76,'LinearReg Model'!$B71)</f>
        <v>3156</v>
      </c>
      <c r="E71" t="s">
        <v>518</v>
      </c>
    </row>
    <row r="72" spans="1:5" x14ac:dyDescent="0.25">
      <c r="A72">
        <f t="shared" ref="A72:A76" si="6">+A67+1</f>
        <v>2019</v>
      </c>
      <c r="B72">
        <f t="shared" ref="B72:B76" si="7">+B67</f>
        <v>1</v>
      </c>
      <c r="C72">
        <f>SUMIFS('Ref Pro&amp;Input_RAW'!$M$2:$M$76,'Ref Pro&amp;Input_RAW'!$I$2:$I$76,'LinearReg Model'!$A72,'Ref Pro&amp;Input_RAW'!$J$2:$J$76,'LinearReg Model'!$B72)</f>
        <v>896</v>
      </c>
      <c r="D72">
        <f>SUMIFS('Ref Pro&amp;Input_RAW'!$E$2:$E$76,'Ref Pro&amp;Input_RAW'!$A$2:$A$76,'LinearReg Model'!$A72,'Ref Pro&amp;Input_RAW'!$B$2:$B$76,'LinearReg Model'!$B72)</f>
        <v>3838</v>
      </c>
      <c r="E72" t="s">
        <v>518</v>
      </c>
    </row>
    <row r="73" spans="1:5" x14ac:dyDescent="0.25">
      <c r="A73">
        <f t="shared" si="6"/>
        <v>2019</v>
      </c>
      <c r="B73">
        <f t="shared" si="7"/>
        <v>2</v>
      </c>
      <c r="C73">
        <f>SUMIFS('Ref Pro&amp;Input_RAW'!$M$2:$M$76,'Ref Pro&amp;Input_RAW'!$I$2:$I$76,'LinearReg Model'!$A73,'Ref Pro&amp;Input_RAW'!$J$2:$J$76,'LinearReg Model'!$B73)</f>
        <v>3803</v>
      </c>
      <c r="D73">
        <f>SUMIFS('Ref Pro&amp;Input_RAW'!$E$2:$E$76,'Ref Pro&amp;Input_RAW'!$A$2:$A$76,'LinearReg Model'!$A73,'Ref Pro&amp;Input_RAW'!$B$2:$B$76,'LinearReg Model'!$B73)</f>
        <v>4692</v>
      </c>
      <c r="E73" t="s">
        <v>518</v>
      </c>
    </row>
    <row r="74" spans="1:5" x14ac:dyDescent="0.25">
      <c r="A74">
        <f t="shared" si="6"/>
        <v>2019</v>
      </c>
      <c r="B74">
        <f t="shared" si="7"/>
        <v>3</v>
      </c>
      <c r="C74">
        <f>SUMIFS('Ref Pro&amp;Input_RAW'!$M$2:$M$76,'Ref Pro&amp;Input_RAW'!$I$2:$I$76,'LinearReg Model'!$A74,'Ref Pro&amp;Input_RAW'!$J$2:$J$76,'LinearReg Model'!$B74)</f>
        <v>8831</v>
      </c>
      <c r="D74">
        <f>SUMIFS('Ref Pro&amp;Input_RAW'!$E$2:$E$76,'Ref Pro&amp;Input_RAW'!$A$2:$A$76,'LinearReg Model'!$A74,'Ref Pro&amp;Input_RAW'!$B$2:$B$76,'LinearReg Model'!$B74)</f>
        <v>8165</v>
      </c>
      <c r="E74" t="s">
        <v>518</v>
      </c>
    </row>
    <row r="75" spans="1:5" x14ac:dyDescent="0.25">
      <c r="A75">
        <f t="shared" si="6"/>
        <v>2019</v>
      </c>
      <c r="B75">
        <f t="shared" si="7"/>
        <v>4</v>
      </c>
      <c r="C75">
        <f>SUMIFS('Ref Pro&amp;Input_RAW'!$M$2:$M$76,'Ref Pro&amp;Input_RAW'!$I$2:$I$76,'LinearReg Model'!$A75,'Ref Pro&amp;Input_RAW'!$J$2:$J$76,'LinearReg Model'!$B75)</f>
        <v>629</v>
      </c>
      <c r="D75">
        <f>SUMIFS('Ref Pro&amp;Input_RAW'!$E$2:$E$76,'Ref Pro&amp;Input_RAW'!$A$2:$A$76,'LinearReg Model'!$A75,'Ref Pro&amp;Input_RAW'!$B$2:$B$76,'LinearReg Model'!$B75)</f>
        <v>668</v>
      </c>
      <c r="E75" t="s">
        <v>518</v>
      </c>
    </row>
    <row r="76" spans="1:5" x14ac:dyDescent="0.25">
      <c r="A76">
        <f t="shared" si="6"/>
        <v>2019</v>
      </c>
      <c r="B76">
        <f t="shared" si="7"/>
        <v>5</v>
      </c>
      <c r="C76">
        <f>SUMIFS('Ref Pro&amp;Input_RAW'!$M$2:$M$76,'Ref Pro&amp;Input_RAW'!$I$2:$I$76,'LinearReg Model'!$A76,'Ref Pro&amp;Input_RAW'!$J$2:$J$76,'LinearReg Model'!$B76)</f>
        <v>2404</v>
      </c>
      <c r="D76">
        <f>SUMIFS('Ref Pro&amp;Input_RAW'!$E$2:$E$76,'Ref Pro&amp;Input_RAW'!$A$2:$A$76,'LinearReg Model'!$A76,'Ref Pro&amp;Input_RAW'!$B$2:$B$76,'LinearReg Model'!$B76)</f>
        <v>3077</v>
      </c>
      <c r="E76" t="s">
        <v>518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B5DC5-2E54-4F3C-B8EC-129671723558}">
  <sheetPr codeName="Sheet9" filterMode="1"/>
  <dimension ref="A1:BM166"/>
  <sheetViews>
    <sheetView tabSelected="1" topLeftCell="S1" workbookViewId="0">
      <selection activeCell="X39" activeCellId="4" sqref="X7 X15 X23 X31 X39"/>
    </sheetView>
  </sheetViews>
  <sheetFormatPr defaultRowHeight="15" x14ac:dyDescent="0.25"/>
  <cols>
    <col min="24" max="24" width="24" bestFit="1" customWidth="1"/>
    <col min="25" max="25" width="31" bestFit="1" customWidth="1"/>
    <col min="26" max="26" width="12" bestFit="1" customWidth="1"/>
  </cols>
  <sheetData>
    <row r="1" spans="1:65" x14ac:dyDescent="0.25">
      <c r="A1" t="s">
        <v>461</v>
      </c>
      <c r="B1" t="s">
        <v>462</v>
      </c>
      <c r="C1" t="s">
        <v>0</v>
      </c>
      <c r="D1" t="s">
        <v>1</v>
      </c>
      <c r="E1" t="s">
        <v>463</v>
      </c>
      <c r="F1" t="s">
        <v>464</v>
      </c>
      <c r="G1" t="s">
        <v>473</v>
      </c>
      <c r="H1" t="s">
        <v>474</v>
      </c>
      <c r="I1" t="s">
        <v>475</v>
      </c>
      <c r="J1" t="s">
        <v>443</v>
      </c>
      <c r="K1" t="s">
        <v>445</v>
      </c>
      <c r="L1" t="s">
        <v>476</v>
      </c>
      <c r="M1" t="s">
        <v>477</v>
      </c>
      <c r="N1" t="s">
        <v>478</v>
      </c>
      <c r="O1" t="s">
        <v>479</v>
      </c>
      <c r="P1" t="s">
        <v>480</v>
      </c>
      <c r="Q1" t="s">
        <v>481</v>
      </c>
      <c r="R1" t="s">
        <v>482</v>
      </c>
      <c r="S1" t="s">
        <v>483</v>
      </c>
      <c r="T1" t="s">
        <v>17</v>
      </c>
      <c r="U1" t="s">
        <v>484</v>
      </c>
      <c r="V1" t="s">
        <v>485</v>
      </c>
      <c r="W1" t="s">
        <v>486</v>
      </c>
      <c r="X1" t="s">
        <v>510</v>
      </c>
      <c r="Y1" t="s">
        <v>511</v>
      </c>
      <c r="Z1" t="s">
        <v>487</v>
      </c>
      <c r="AA1" t="s">
        <v>488</v>
      </c>
      <c r="AB1" t="s">
        <v>575</v>
      </c>
      <c r="AC1" t="s">
        <v>438</v>
      </c>
      <c r="AD1" t="s">
        <v>437</v>
      </c>
      <c r="AE1" t="s">
        <v>547</v>
      </c>
      <c r="AF1" t="s">
        <v>548</v>
      </c>
      <c r="AG1">
        <v>0</v>
      </c>
      <c r="AH1">
        <v>1</v>
      </c>
      <c r="AI1">
        <v>2</v>
      </c>
      <c r="AJ1">
        <v>3</v>
      </c>
      <c r="AK1">
        <v>4</v>
      </c>
      <c r="AL1">
        <v>5</v>
      </c>
      <c r="AM1">
        <v>6</v>
      </c>
      <c r="AN1" t="s">
        <v>489</v>
      </c>
      <c r="AO1" t="s">
        <v>490</v>
      </c>
      <c r="AP1" t="s">
        <v>491</v>
      </c>
      <c r="AQ1" t="s">
        <v>492</v>
      </c>
      <c r="AR1" t="s">
        <v>493</v>
      </c>
      <c r="AS1" t="s">
        <v>494</v>
      </c>
      <c r="AT1" t="s">
        <v>495</v>
      </c>
      <c r="AU1" t="s">
        <v>496</v>
      </c>
      <c r="AV1" t="s">
        <v>497</v>
      </c>
      <c r="AW1" t="s">
        <v>498</v>
      </c>
      <c r="AX1" t="s">
        <v>499</v>
      </c>
      <c r="AY1" t="s">
        <v>500</v>
      </c>
      <c r="AZ1" t="s">
        <v>501</v>
      </c>
      <c r="BA1" t="s">
        <v>502</v>
      </c>
      <c r="BB1" t="s">
        <v>503</v>
      </c>
      <c r="BC1" t="s">
        <v>504</v>
      </c>
      <c r="BD1" t="s">
        <v>505</v>
      </c>
      <c r="BE1" t="s">
        <v>506</v>
      </c>
      <c r="BF1" t="s">
        <v>507</v>
      </c>
      <c r="BG1" t="s">
        <v>508</v>
      </c>
      <c r="BH1" t="s">
        <v>509</v>
      </c>
      <c r="BI1" t="s">
        <v>564</v>
      </c>
      <c r="BJ1" t="s">
        <v>545</v>
      </c>
      <c r="BK1" t="s">
        <v>546</v>
      </c>
      <c r="BL1" t="s">
        <v>549</v>
      </c>
      <c r="BM1" t="s">
        <v>589</v>
      </c>
    </row>
    <row r="2" spans="1:65" hidden="1" x14ac:dyDescent="0.25">
      <c r="A2">
        <v>1</v>
      </c>
      <c r="B2" t="s">
        <v>465</v>
      </c>
      <c r="C2">
        <v>2035</v>
      </c>
      <c r="D2">
        <v>1</v>
      </c>
      <c r="E2" t="s">
        <v>466</v>
      </c>
      <c r="F2" t="s">
        <v>467</v>
      </c>
      <c r="G2">
        <v>1110.1970668029492</v>
      </c>
      <c r="H2">
        <v>83.228414800475107</v>
      </c>
      <c r="I2">
        <v>312.27598023090906</v>
      </c>
      <c r="J2">
        <v>110.04113489570344</v>
      </c>
      <c r="K2">
        <v>126.58285122181967</v>
      </c>
      <c r="L2">
        <v>0</v>
      </c>
      <c r="M2">
        <v>0</v>
      </c>
      <c r="N2">
        <v>0</v>
      </c>
      <c r="O2">
        <v>0</v>
      </c>
      <c r="P2">
        <v>143.60580193208193</v>
      </c>
      <c r="Q2">
        <v>0</v>
      </c>
      <c r="R2">
        <v>0</v>
      </c>
      <c r="S2">
        <v>0</v>
      </c>
      <c r="T2">
        <v>10.257393535321418</v>
      </c>
      <c r="U2">
        <v>0</v>
      </c>
      <c r="V2">
        <v>0</v>
      </c>
      <c r="W2">
        <v>0</v>
      </c>
      <c r="X2">
        <f>SUM($G2:$W2)</f>
        <v>1896.1886434192597</v>
      </c>
      <c r="Y2">
        <f>X2*VLOOKUP($D2,'LinearReg Model'!$S$2:$T$6,2,FALSE)</f>
        <v>635.48053519542464</v>
      </c>
      <c r="Z2">
        <f>G2/$X2</f>
        <v>0.58548872268373631</v>
      </c>
      <c r="AA2">
        <f>I2/$X2</f>
        <v>0.16468613569365356</v>
      </c>
      <c r="AB2">
        <f>H2/$X2</f>
        <v>4.389247614646364E-2</v>
      </c>
      <c r="AC2">
        <v>30.30214176476078</v>
      </c>
      <c r="AD2">
        <v>0.41766843364396622</v>
      </c>
      <c r="AE2" s="2">
        <f>VLOOKUP($D2,'MultiReg Model'!$A$5:$F$9,2,FALSE)+AC2*VLOOKUP($D2,'MultiReg Model'!$A$5:$F$9,3,FALSE)+Z2*VLOOKUP($D2,'MultiReg Model'!$A$5:$F$9,4,FALSE)+AA2*VLOOKUP($D2,'MultiReg Model'!$A$5:$F$9,5,FALSE)+AB2*VLOOKUP($D2,'MultiReg Model'!$A$5:$F$9,6,FALSE)</f>
        <v>8.2424254666023984</v>
      </c>
      <c r="AF2" cm="1">
        <f t="array" ref="AF2">MMULT($AG2:$AM2,'Avg CI Index'!$C$2:$C$8)/BI2</f>
        <v>8.2524252250592003</v>
      </c>
      <c r="AG2">
        <v>32.309516377966695</v>
      </c>
      <c r="AH2">
        <v>344.81274364011273</v>
      </c>
      <c r="AI2">
        <v>0</v>
      </c>
      <c r="AJ2">
        <v>98.716145919736363</v>
      </c>
      <c r="AK2">
        <v>77.236694709424071</v>
      </c>
      <c r="AL2">
        <v>0</v>
      </c>
      <c r="AM2">
        <v>85.86750458883381</v>
      </c>
      <c r="AN2" cm="1">
        <f t="array" ref="AN2">$Y2*INDEX(RefCapacity!$D$2:$D$526,MATCH(1,(RefCapacity!$A$2:$A$526=RefCapacityProj!$D2)*(RefCapacity!$B$2:$B$526=2019)*(RefCapacity!$C$2:$C$526=AG$1),0))/SUMIFS(RefCapacity!$D$2:$D$526,RefCapacity!$A$2:$A$526,RefCapacityProj!$D2,RefCapacity!$B$2:$B$526,2019)</f>
        <v>17.062443347324567</v>
      </c>
      <c r="AO2" cm="1">
        <f t="array" ref="AO2">$Y2*INDEX(RefCapacity!$D$2:$D$526,MATCH(1,(RefCapacity!$A$2:$A$526=RefCapacityProj!$D2)*(RefCapacity!$B$2:$B$526=2019)*(RefCapacity!$C$2:$C$526=AH$1),0))/SUMIFS(RefCapacity!$D$2:$D$526,RefCapacity!$A$2:$A$526,RefCapacityProj!$D2,RefCapacity!$B$2:$B$526,2019)</f>
        <v>341.79077757911961</v>
      </c>
      <c r="AP2" cm="1">
        <f t="array" ref="AP2">$Y2*INDEX(RefCapacity!$D$2:$D$526,MATCH(1,(RefCapacity!$A$2:$A$526=RefCapacityProj!$D2)*(RefCapacity!$B$2:$B$526=2019)*(RefCapacity!$C$2:$C$526=AI$1),0))/SUMIFS(RefCapacity!$D$2:$D$526,RefCapacity!$A$2:$A$526,RefCapacityProj!$D2,RefCapacity!$B$2:$B$526,2019)</f>
        <v>0</v>
      </c>
      <c r="AQ2" cm="1">
        <f t="array" ref="AQ2">$Y2*INDEX(RefCapacity!$D$2:$D$526,MATCH(1,(RefCapacity!$A$2:$A$526=RefCapacityProj!$D2)*(RefCapacity!$B$2:$B$526=2019)*(RefCapacity!$C$2:$C$526=AJ$1),0))/SUMIFS(RefCapacity!$D$2:$D$526,RefCapacity!$A$2:$A$526,RefCapacityProj!$D2,RefCapacity!$B$2:$B$526,2019)</f>
        <v>101.98242000699742</v>
      </c>
      <c r="AR2" cm="1">
        <f t="array" ref="AR2">$Y2*INDEX(RefCapacity!$D$2:$D$526,MATCH(1,(RefCapacity!$A$2:$A$526=RefCapacityProj!$D2)*(RefCapacity!$B$2:$B$526=2019)*(RefCapacity!$C$2:$C$526=AK$1),0))/SUMIFS(RefCapacity!$D$2:$D$526,RefCapacity!$A$2:$A$526,RefCapacityProj!$D2,RefCapacity!$B$2:$B$526,2019)</f>
        <v>81.389815967122928</v>
      </c>
      <c r="AS2" cm="1">
        <f t="array" ref="AS2">$Y2*INDEX(RefCapacity!$D$2:$D$526,MATCH(1,(RefCapacity!$A$2:$A$526=RefCapacityProj!$D2)*(RefCapacity!$B$2:$B$526=2019)*(RefCapacity!$C$2:$C$526=AL$1),0))/SUMIFS(RefCapacity!$D$2:$D$526,RefCapacity!$A$2:$A$526,RefCapacityProj!$D2,RefCapacity!$B$2:$B$526,2019)</f>
        <v>0</v>
      </c>
      <c r="AT2" cm="1">
        <f t="array" ref="AT2">$Y2*INDEX(RefCapacity!$D$2:$D$526,MATCH(1,(RefCapacity!$A$2:$A$526=RefCapacityProj!$D2)*(RefCapacity!$B$2:$B$526=2019)*(RefCapacity!$C$2:$C$526=AM$1),0))/SUMIFS(RefCapacity!$D$2:$D$526,RefCapacity!$A$2:$A$526,RefCapacityProj!$D2,RefCapacity!$B$2:$B$526,2019)</f>
        <v>93.255078294860141</v>
      </c>
      <c r="AU2" cm="1">
        <f t="array" ref="AU2">INDEX(RefCapacity!$D$2:$D$526,MATCH(1,(RefCapacity!$A$2:$A$526=RefCapacityProj!$D2)*(RefCapacity!$B$2:$B$526=2019)*(RefCapacity!$C$2:$C$526=RefCapacityProj!AG$1),0))*IF($C2=2035,1+VLOOKUP(AG$1,RefCapacity!$H$2:$L$8,2,FALSE),1+VLOOKUP(AG$1,RefCapacity!$H$2:$L$8,4,FALSE))</f>
        <v>91.42693476369206</v>
      </c>
      <c r="AV2" cm="1">
        <f t="array" ref="AV2">INDEX(RefCapacity!$D$2:$D$526,MATCH(1,(RefCapacity!$A$2:$A$526=RefCapacityProj!$D2)*(RefCapacity!$B$2:$B$526=2019)*(RefCapacity!$C$2:$C$526=RefCapacityProj!AH$1),0))*IF($C2=2035,1+VLOOKUP(AH$1,RefCapacity!$H$2:$L$8,2,FALSE),1+VLOOKUP(AH$1,RefCapacity!$H$2:$L$8,4,FALSE))</f>
        <v>892.71066470160065</v>
      </c>
      <c r="AW2" cm="1">
        <f t="array" ref="AW2">INDEX(RefCapacity!$D$2:$D$526,MATCH(1,(RefCapacity!$A$2:$A$526=RefCapacityProj!$D2)*(RefCapacity!$B$2:$B$526=2019)*(RefCapacity!$C$2:$C$526=RefCapacityProj!AI$1),0))*IF($C2=2035,1+VLOOKUP(AI$1,RefCapacity!$H$2:$L$8,2,FALSE),1+VLOOKUP(AI$1,RefCapacity!$H$2:$L$8,4,FALSE))</f>
        <v>0</v>
      </c>
      <c r="AX2" cm="1">
        <f t="array" ref="AX2">INDEX(RefCapacity!$D$2:$D$526,MATCH(1,(RefCapacity!$A$2:$A$526=RefCapacityProj!$D2)*(RefCapacity!$B$2:$B$526=2019)*(RefCapacity!$C$2:$C$526=RefCapacityProj!AJ$1),0))*IF($C2=2035,1+VLOOKUP(AJ$1,RefCapacity!$H$2:$L$8,2,FALSE),1+VLOOKUP(AJ$1,RefCapacity!$H$2:$L$8,4,FALSE))</f>
        <v>378.33333333333331</v>
      </c>
      <c r="AY2" cm="1">
        <f t="array" ref="AY2">INDEX(RefCapacity!$D$2:$D$526,MATCH(1,(RefCapacity!$A$2:$A$526=RefCapacityProj!$D2)*(RefCapacity!$B$2:$B$526=2019)*(RefCapacity!$C$2:$C$526=RefCapacityProj!AK$1),0))*IF($C2=2035,1+VLOOKUP(AK$1,RefCapacity!$H$2:$L$8,2,FALSE),1+VLOOKUP(AK$1,RefCapacity!$H$2:$L$8,4,FALSE))</f>
        <v>195.80557682200353</v>
      </c>
      <c r="AZ2" cm="1">
        <f t="array" ref="AZ2">INDEX(RefCapacity!$D$2:$D$526,MATCH(1,(RefCapacity!$A$2:$A$526=RefCapacityProj!$D2)*(RefCapacity!$B$2:$B$526=2019)*(RefCapacity!$C$2:$C$526=RefCapacityProj!AL$1),0))*IF($C2=2035,1+VLOOKUP(AL$1,RefCapacity!$H$2:$L$8,2,FALSE),1+VLOOKUP(AL$1,RefCapacity!$H$2:$L$8,4,FALSE))</f>
        <v>0</v>
      </c>
      <c r="BA2" cm="1">
        <f t="array" ref="BA2">INDEX(RefCapacity!$D$2:$D$526,MATCH(1,(RefCapacity!$A$2:$A$526=RefCapacityProj!$D2)*(RefCapacity!$B$2:$B$526=2019)*(RefCapacity!$C$2:$C$526=RefCapacityProj!AM$1),0))*IF($C2=2035,1+VLOOKUP(AM$1,RefCapacity!$H$2:$L$8,2,FALSE),1+VLOOKUP(AM$1,RefCapacity!$H$2:$L$8,4,FALSE))</f>
        <v>187.81193219368552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f>SUM(AG2:AM2)</f>
        <v>638.94260523607363</v>
      </c>
      <c r="BJ2">
        <f>ABS(Y2-BI2)</f>
        <v>3.4620700406489959</v>
      </c>
      <c r="BK2">
        <f>ABS(AE2-AF2)</f>
        <v>9.9997584568018993E-3</v>
      </c>
      <c r="BL2" cm="1">
        <f t="array" ref="BL2">AG2/$BI2*INDEX('GHG Emission'!$C$2:$C$1121,MATCH(1,('GHG Emission'!$D$2:$D$1121=$D2)*('GHG Emission'!$E$2:$E$1121=$C2)*('GHG Emission'!$F$2:$F$1121=$B2)*('GHG Emission'!$I$2:$I$1121=$E2)*('GHG Emission'!$J$2:$J$1121=$F2)*('GHG Emission'!$K$2:$K$1121=AG$1),0))+AH2/$BI2*INDEX('GHG Emission'!$C$2:$C$1121,MATCH(1,('GHG Emission'!$D$2:$D$1121=$D2)*('GHG Emission'!$E$2:$E$1121=$C2)*('GHG Emission'!$F$2:$F$1121=$B2)*('GHG Emission'!$I$2:$I$1121=$E2)*('GHG Emission'!$J$2:$J$1121=$F2)*('GHG Emission'!$K$2:$K$1121=AH$1),0))+AI2/$BI2*INDEX('GHG Emission'!$C$2:$C$1121,MATCH(1,('GHG Emission'!$D$2:$D$1121=$D2)*('GHG Emission'!$E$2:$E$1121=$C2)*('GHG Emission'!$F$2:$F$1121=$B2)*('GHG Emission'!$I$2:$I$1121=$E2)*('GHG Emission'!$J$2:$J$1121=$F2)*('GHG Emission'!$K$2:$K$1121=AI$1),0))+AJ2/$BI2*INDEX('GHG Emission'!$C$2:$C$1121,MATCH(1,('GHG Emission'!$D$2:$D$1121=$D2)*('GHG Emission'!$E$2:$E$1121=$C2)*('GHG Emission'!$F$2:$F$1121=$B2)*('GHG Emission'!$I$2:$I$1121=$E2)*('GHG Emission'!$J$2:$J$1121=$F2)*('GHG Emission'!$K$2:$K$1121=AJ$1),0))+AK2/$BI2*INDEX('GHG Emission'!$C$2:$C$1121,MATCH(1,('GHG Emission'!$D$2:$D$1121=$D2)*('GHG Emission'!$E$2:$E$1121=$C2)*('GHG Emission'!$F$2:$F$1121=$B2)*('GHG Emission'!$I$2:$I$1121=$E2)*('GHG Emission'!$J$2:$J$1121=$F2)*('GHG Emission'!$K$2:$K$1121=AK$1),0))+AL2/$BI2*INDEX('GHG Emission'!$C$2:$C$1121,MATCH(1,('GHG Emission'!$D$2:$D$1121=$D2)*('GHG Emission'!$E$2:$E$1121=$C2)*('GHG Emission'!$F$2:$F$1121=$B2)*('GHG Emission'!$I$2:$I$1121=$E2)*('GHG Emission'!$J$2:$J$1121=$F2)*('GHG Emission'!$K$2:$K$1121=AL$1),0))+AM2/$BI2*INDEX('GHG Emission'!$C$2:$C$1121,MATCH(1,('GHG Emission'!$D$2:$D$1121=$D2)*('GHG Emission'!$E$2:$E$1121=$C2)*('GHG Emission'!$F$2:$F$1121=$B2)*('GHG Emission'!$I$2:$I$1121=$E2)*('GHG Emission'!$J$2:$J$1121=$F2)*('GHG Emission'!$K$2:$K$1121=AM$1),0))</f>
        <v>33.091131273381414</v>
      </c>
      <c r="BM2" t="str">
        <f>_xlfn.CONCAT(E2,"/",F2)</f>
        <v>HEAVY/SWEET</v>
      </c>
    </row>
    <row r="3" spans="1:65" x14ac:dyDescent="0.25">
      <c r="A3">
        <v>2</v>
      </c>
      <c r="B3" t="s">
        <v>465</v>
      </c>
      <c r="C3">
        <v>2035</v>
      </c>
      <c r="D3">
        <v>1</v>
      </c>
      <c r="E3" t="s">
        <v>466</v>
      </c>
      <c r="F3" t="s">
        <v>468</v>
      </c>
      <c r="G3">
        <v>1110.1970668029492</v>
      </c>
      <c r="H3">
        <v>83.228414800475107</v>
      </c>
      <c r="I3">
        <v>312.27598023090906</v>
      </c>
      <c r="J3">
        <v>110.04113489570344</v>
      </c>
      <c r="K3">
        <v>126.58285122181967</v>
      </c>
      <c r="L3">
        <v>0</v>
      </c>
      <c r="M3">
        <v>0</v>
      </c>
      <c r="N3">
        <v>0</v>
      </c>
      <c r="O3">
        <v>0</v>
      </c>
      <c r="P3">
        <v>143.60580193208193</v>
      </c>
      <c r="Q3">
        <v>0</v>
      </c>
      <c r="R3">
        <v>0</v>
      </c>
      <c r="S3">
        <v>0</v>
      </c>
      <c r="T3">
        <v>10.257393535321418</v>
      </c>
      <c r="U3">
        <v>0</v>
      </c>
      <c r="V3">
        <v>0</v>
      </c>
      <c r="W3">
        <v>0</v>
      </c>
      <c r="X3">
        <f t="shared" ref="X3:X66" si="0">SUM($G3:$W3)</f>
        <v>1896.1886434192597</v>
      </c>
      <c r="Y3">
        <f>X3*VLOOKUP($D3,'LinearReg Model'!$S$2:$T$6,2,FALSE)</f>
        <v>635.48053519542464</v>
      </c>
      <c r="Z3">
        <f t="shared" ref="Z3:Z66" si="1">G3/$X3</f>
        <v>0.58548872268373631</v>
      </c>
      <c r="AA3">
        <f t="shared" ref="AA3:AA66" si="2">I3/$X3</f>
        <v>0.16468613569365356</v>
      </c>
      <c r="AB3">
        <f t="shared" ref="AB3:AB66" si="3">H3/$X3</f>
        <v>4.389247614646364E-2</v>
      </c>
      <c r="AC3">
        <v>30.30214176476078</v>
      </c>
      <c r="AD3">
        <v>1.5301400799730309</v>
      </c>
      <c r="AE3" s="2">
        <f>VLOOKUP($D3,'MultiReg Model'!$A$5:$F$9,2,FALSE)+AC3*VLOOKUP($D3,'MultiReg Model'!$A$5:$F$9,3,FALSE)+Z3*VLOOKUP($D3,'MultiReg Model'!$A$5:$F$9,4,FALSE)+AA3*VLOOKUP($D3,'MultiReg Model'!$A$5:$F$9,5,FALSE)+AB3*VLOOKUP($D3,'MultiReg Model'!$A$5:$F$9,6,FALSE)</f>
        <v>8.2424254666023984</v>
      </c>
      <c r="AF3" cm="1">
        <f t="array" ref="AF3">MMULT($AG3:$AM3,'Avg CI Index'!$C$2:$C$8)/BI3</f>
        <v>8.2524252250592003</v>
      </c>
      <c r="AG3">
        <v>32.309516377966695</v>
      </c>
      <c r="AH3">
        <v>344.81274364011273</v>
      </c>
      <c r="AI3">
        <v>0</v>
      </c>
      <c r="AJ3">
        <v>98.716145919736363</v>
      </c>
      <c r="AK3">
        <v>77.236694709424071</v>
      </c>
      <c r="AL3">
        <v>0</v>
      </c>
      <c r="AM3">
        <v>85.86750458883381</v>
      </c>
      <c r="AN3" cm="1">
        <f t="array" ref="AN3">$Y3*INDEX(RefCapacity!$D$2:$D$526,MATCH(1,(RefCapacity!$A$2:$A$526=RefCapacityProj!$D3)*(RefCapacity!$B$2:$B$526=2019)*(RefCapacity!$C$2:$C$526=AG$1),0))/SUMIFS(RefCapacity!$D$2:$D$526,RefCapacity!$A$2:$A$526,RefCapacityProj!$D3,RefCapacity!$B$2:$B$526,2019)</f>
        <v>17.062443347324567</v>
      </c>
      <c r="AO3" cm="1">
        <f t="array" ref="AO3">$Y3*INDEX(RefCapacity!$D$2:$D$526,MATCH(1,(RefCapacity!$A$2:$A$526=RefCapacityProj!$D3)*(RefCapacity!$B$2:$B$526=2019)*(RefCapacity!$C$2:$C$526=AH$1),0))/SUMIFS(RefCapacity!$D$2:$D$526,RefCapacity!$A$2:$A$526,RefCapacityProj!$D3,RefCapacity!$B$2:$B$526,2019)</f>
        <v>341.79077757911961</v>
      </c>
      <c r="AP3" cm="1">
        <f t="array" ref="AP3">$Y3*INDEX(RefCapacity!$D$2:$D$526,MATCH(1,(RefCapacity!$A$2:$A$526=RefCapacityProj!$D3)*(RefCapacity!$B$2:$B$526=2019)*(RefCapacity!$C$2:$C$526=AI$1),0))/SUMIFS(RefCapacity!$D$2:$D$526,RefCapacity!$A$2:$A$526,RefCapacityProj!$D3,RefCapacity!$B$2:$B$526,2019)</f>
        <v>0</v>
      </c>
      <c r="AQ3" cm="1">
        <f t="array" ref="AQ3">$Y3*INDEX(RefCapacity!$D$2:$D$526,MATCH(1,(RefCapacity!$A$2:$A$526=RefCapacityProj!$D3)*(RefCapacity!$B$2:$B$526=2019)*(RefCapacity!$C$2:$C$526=AJ$1),0))/SUMIFS(RefCapacity!$D$2:$D$526,RefCapacity!$A$2:$A$526,RefCapacityProj!$D3,RefCapacity!$B$2:$B$526,2019)</f>
        <v>101.98242000699742</v>
      </c>
      <c r="AR3" cm="1">
        <f t="array" ref="AR3">$Y3*INDEX(RefCapacity!$D$2:$D$526,MATCH(1,(RefCapacity!$A$2:$A$526=RefCapacityProj!$D3)*(RefCapacity!$B$2:$B$526=2019)*(RefCapacity!$C$2:$C$526=AK$1),0))/SUMIFS(RefCapacity!$D$2:$D$526,RefCapacity!$A$2:$A$526,RefCapacityProj!$D3,RefCapacity!$B$2:$B$526,2019)</f>
        <v>81.389815967122928</v>
      </c>
      <c r="AS3" cm="1">
        <f t="array" ref="AS3">$Y3*INDEX(RefCapacity!$D$2:$D$526,MATCH(1,(RefCapacity!$A$2:$A$526=RefCapacityProj!$D3)*(RefCapacity!$B$2:$B$526=2019)*(RefCapacity!$C$2:$C$526=AL$1),0))/SUMIFS(RefCapacity!$D$2:$D$526,RefCapacity!$A$2:$A$526,RefCapacityProj!$D3,RefCapacity!$B$2:$B$526,2019)</f>
        <v>0</v>
      </c>
      <c r="AT3" cm="1">
        <f t="array" ref="AT3">$Y3*INDEX(RefCapacity!$D$2:$D$526,MATCH(1,(RefCapacity!$A$2:$A$526=RefCapacityProj!$D3)*(RefCapacity!$B$2:$B$526=2019)*(RefCapacity!$C$2:$C$526=AM$1),0))/SUMIFS(RefCapacity!$D$2:$D$526,RefCapacity!$A$2:$A$526,RefCapacityProj!$D3,RefCapacity!$B$2:$B$526,2019)</f>
        <v>93.255078294860141</v>
      </c>
      <c r="AU3" cm="1">
        <f t="array" ref="AU3">INDEX(RefCapacity!$D$2:$D$526,MATCH(1,(RefCapacity!$A$2:$A$526=RefCapacityProj!$D3)*(RefCapacity!$B$2:$B$526=2019)*(RefCapacity!$C$2:$C$526=RefCapacityProj!AG$1),0))*IF($C3=2035,1+VLOOKUP(AG$1,RefCapacity!$H$2:$L$8,2,FALSE),1+VLOOKUP(AG$1,RefCapacity!$H$2:$L$8,4,FALSE))</f>
        <v>91.42693476369206</v>
      </c>
      <c r="AV3" cm="1">
        <f t="array" ref="AV3">INDEX(RefCapacity!$D$2:$D$526,MATCH(1,(RefCapacity!$A$2:$A$526=RefCapacityProj!$D3)*(RefCapacity!$B$2:$B$526=2019)*(RefCapacity!$C$2:$C$526=RefCapacityProj!AH$1),0))*IF($C3=2035,1+VLOOKUP(AH$1,RefCapacity!$H$2:$L$8,2,FALSE),1+VLOOKUP(AH$1,RefCapacity!$H$2:$L$8,4,FALSE))</f>
        <v>892.71066470160065</v>
      </c>
      <c r="AW3" cm="1">
        <f t="array" ref="AW3">INDEX(RefCapacity!$D$2:$D$526,MATCH(1,(RefCapacity!$A$2:$A$526=RefCapacityProj!$D3)*(RefCapacity!$B$2:$B$526=2019)*(RefCapacity!$C$2:$C$526=RefCapacityProj!AI$1),0))*IF($C3=2035,1+VLOOKUP(AI$1,RefCapacity!$H$2:$L$8,2,FALSE),1+VLOOKUP(AI$1,RefCapacity!$H$2:$L$8,4,FALSE))</f>
        <v>0</v>
      </c>
      <c r="AX3" cm="1">
        <f t="array" ref="AX3">INDEX(RefCapacity!$D$2:$D$526,MATCH(1,(RefCapacity!$A$2:$A$526=RefCapacityProj!$D3)*(RefCapacity!$B$2:$B$526=2019)*(RefCapacity!$C$2:$C$526=RefCapacityProj!AJ$1),0))*IF($C3=2035,1+VLOOKUP(AJ$1,RefCapacity!$H$2:$L$8,2,FALSE),1+VLOOKUP(AJ$1,RefCapacity!$H$2:$L$8,4,FALSE))</f>
        <v>378.33333333333331</v>
      </c>
      <c r="AY3" cm="1">
        <f t="array" ref="AY3">INDEX(RefCapacity!$D$2:$D$526,MATCH(1,(RefCapacity!$A$2:$A$526=RefCapacityProj!$D3)*(RefCapacity!$B$2:$B$526=2019)*(RefCapacity!$C$2:$C$526=RefCapacityProj!AK$1),0))*IF($C3=2035,1+VLOOKUP(AK$1,RefCapacity!$H$2:$L$8,2,FALSE),1+VLOOKUP(AK$1,RefCapacity!$H$2:$L$8,4,FALSE))</f>
        <v>195.80557682200353</v>
      </c>
      <c r="AZ3" cm="1">
        <f t="array" ref="AZ3">INDEX(RefCapacity!$D$2:$D$526,MATCH(1,(RefCapacity!$A$2:$A$526=RefCapacityProj!$D3)*(RefCapacity!$B$2:$B$526=2019)*(RefCapacity!$C$2:$C$526=RefCapacityProj!AL$1),0))*IF($C3=2035,1+VLOOKUP(AL$1,RefCapacity!$H$2:$L$8,2,FALSE),1+VLOOKUP(AL$1,RefCapacity!$H$2:$L$8,4,FALSE))</f>
        <v>0</v>
      </c>
      <c r="BA3" cm="1">
        <f t="array" ref="BA3">INDEX(RefCapacity!$D$2:$D$526,MATCH(1,(RefCapacity!$A$2:$A$526=RefCapacityProj!$D3)*(RefCapacity!$B$2:$B$526=2019)*(RefCapacity!$C$2:$C$526=RefCapacityProj!AM$1),0))*IF($C3=2035,1+VLOOKUP(AM$1,RefCapacity!$H$2:$L$8,2,FALSE),1+VLOOKUP(AM$1,RefCapacity!$H$2:$L$8,4,FALSE))</f>
        <v>187.81193219368552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f t="shared" ref="BI3:BI66" si="4">SUM(AG3:AM3)</f>
        <v>638.94260523607363</v>
      </c>
      <c r="BJ3">
        <f t="shared" ref="BJ3:BJ66" si="5">ABS(Y3-BI3)</f>
        <v>3.4620700406489959</v>
      </c>
      <c r="BK3">
        <f t="shared" ref="BK3:BK66" si="6">ABS(AE3-AF3)</f>
        <v>9.9997584568018993E-3</v>
      </c>
      <c r="BL3" cm="1">
        <f t="array" ref="BL3">AG3/$BI3*INDEX('GHG Emission'!$C$2:$C$1121,MATCH(1,('GHG Emission'!$D$2:$D$1121=$D3)*('GHG Emission'!$E$2:$E$1121=$C3)*('GHG Emission'!$F$2:$F$1121=$B3)*('GHG Emission'!$I$2:$I$1121=$E3)*('GHG Emission'!$J$2:$J$1121=$F3)*('GHG Emission'!$K$2:$K$1121=AG$1),0))+AH3/$BI3*INDEX('GHG Emission'!$C$2:$C$1121,MATCH(1,('GHG Emission'!$D$2:$D$1121=$D3)*('GHG Emission'!$E$2:$E$1121=$C3)*('GHG Emission'!$F$2:$F$1121=$B3)*('GHG Emission'!$I$2:$I$1121=$E3)*('GHG Emission'!$J$2:$J$1121=$F3)*('GHG Emission'!$K$2:$K$1121=AH$1),0))+AI3/$BI3*INDEX('GHG Emission'!$C$2:$C$1121,MATCH(1,('GHG Emission'!$D$2:$D$1121=$D3)*('GHG Emission'!$E$2:$E$1121=$C3)*('GHG Emission'!$F$2:$F$1121=$B3)*('GHG Emission'!$I$2:$I$1121=$E3)*('GHG Emission'!$J$2:$J$1121=$F3)*('GHG Emission'!$K$2:$K$1121=AI$1),0))+AJ3/$BI3*INDEX('GHG Emission'!$C$2:$C$1121,MATCH(1,('GHG Emission'!$D$2:$D$1121=$D3)*('GHG Emission'!$E$2:$E$1121=$C3)*('GHG Emission'!$F$2:$F$1121=$B3)*('GHG Emission'!$I$2:$I$1121=$E3)*('GHG Emission'!$J$2:$J$1121=$F3)*('GHG Emission'!$K$2:$K$1121=AJ$1),0))+AK3/$BI3*INDEX('GHG Emission'!$C$2:$C$1121,MATCH(1,('GHG Emission'!$D$2:$D$1121=$D3)*('GHG Emission'!$E$2:$E$1121=$C3)*('GHG Emission'!$F$2:$F$1121=$B3)*('GHG Emission'!$I$2:$I$1121=$E3)*('GHG Emission'!$J$2:$J$1121=$F3)*('GHG Emission'!$K$2:$K$1121=AK$1),0))+AL3/$BI3*INDEX('GHG Emission'!$C$2:$C$1121,MATCH(1,('GHG Emission'!$D$2:$D$1121=$D3)*('GHG Emission'!$E$2:$E$1121=$C3)*('GHG Emission'!$F$2:$F$1121=$B3)*('GHG Emission'!$I$2:$I$1121=$E3)*('GHG Emission'!$J$2:$J$1121=$F3)*('GHG Emission'!$K$2:$K$1121=AL$1),0))+AM3/$BI3*INDEX('GHG Emission'!$C$2:$C$1121,MATCH(1,('GHG Emission'!$D$2:$D$1121=$D3)*('GHG Emission'!$E$2:$E$1121=$C3)*('GHG Emission'!$F$2:$F$1121=$B3)*('GHG Emission'!$I$2:$I$1121=$E3)*('GHG Emission'!$J$2:$J$1121=$F3)*('GHG Emission'!$K$2:$K$1121=AM$1),0))</f>
        <v>33.523832316148678</v>
      </c>
      <c r="BM3" t="str">
        <f t="shared" ref="BM3:BM66" si="7">_xlfn.CONCAT(E3,"/",F3)</f>
        <v>HEAVY/SOUR</v>
      </c>
    </row>
    <row r="4" spans="1:65" hidden="1" x14ac:dyDescent="0.25">
      <c r="A4">
        <v>3</v>
      </c>
      <c r="B4" t="s">
        <v>465</v>
      </c>
      <c r="C4">
        <v>2035</v>
      </c>
      <c r="D4">
        <v>1</v>
      </c>
      <c r="E4" t="s">
        <v>469</v>
      </c>
      <c r="F4" t="s">
        <v>467</v>
      </c>
      <c r="G4">
        <v>1110.1970668029492</v>
      </c>
      <c r="H4">
        <v>83.228414800475107</v>
      </c>
      <c r="I4">
        <v>312.27598023090906</v>
      </c>
      <c r="J4">
        <v>110.04113489570344</v>
      </c>
      <c r="K4">
        <v>126.58285122181967</v>
      </c>
      <c r="L4">
        <v>0</v>
      </c>
      <c r="M4">
        <v>0</v>
      </c>
      <c r="N4">
        <v>0</v>
      </c>
      <c r="O4">
        <v>0</v>
      </c>
      <c r="P4">
        <v>143.60580193208193</v>
      </c>
      <c r="Q4">
        <v>0</v>
      </c>
      <c r="R4">
        <v>0</v>
      </c>
      <c r="S4">
        <v>0</v>
      </c>
      <c r="T4">
        <v>10.257393535321418</v>
      </c>
      <c r="U4">
        <v>0</v>
      </c>
      <c r="V4">
        <v>0</v>
      </c>
      <c r="W4">
        <v>0</v>
      </c>
      <c r="X4">
        <f t="shared" si="0"/>
        <v>1896.1886434192597</v>
      </c>
      <c r="Y4">
        <f>X4*VLOOKUP($D4,'LinearReg Model'!$S$2:$T$6,2,FALSE)</f>
        <v>635.48053519542464</v>
      </c>
      <c r="Z4">
        <f t="shared" si="1"/>
        <v>0.58548872268373631</v>
      </c>
      <c r="AA4">
        <f t="shared" si="2"/>
        <v>0.16468613569365356</v>
      </c>
      <c r="AB4">
        <f t="shared" si="3"/>
        <v>4.389247614646364E-2</v>
      </c>
      <c r="AC4">
        <v>36.614652924665549</v>
      </c>
      <c r="AD4">
        <v>0.41766843364396622</v>
      </c>
      <c r="AE4" s="2">
        <f>VLOOKUP($D4,'MultiReg Model'!$A$5:$F$9,2,FALSE)+AC4*VLOOKUP($D4,'MultiReg Model'!$A$5:$F$9,3,FALSE)+Z4*VLOOKUP($D4,'MultiReg Model'!$A$5:$F$9,4,FALSE)+AA4*VLOOKUP($D4,'MultiReg Model'!$A$5:$F$9,5,FALSE)+AB4*VLOOKUP($D4,'MultiReg Model'!$A$5:$F$9,6,FALSE)</f>
        <v>7.4901986850423734</v>
      </c>
      <c r="AF4" cm="1">
        <f t="array" ref="AF4">MMULT($AG4:$AM4,'Avg CI Index'!$C$2:$C$8)/BI4</f>
        <v>7.500198824962089</v>
      </c>
      <c r="AG4">
        <v>90.959073204587185</v>
      </c>
      <c r="AH4">
        <v>354.64842055298772</v>
      </c>
      <c r="AI4">
        <v>0</v>
      </c>
      <c r="AJ4">
        <v>83.29732181429867</v>
      </c>
      <c r="AK4">
        <v>58.267495958416603</v>
      </c>
      <c r="AL4">
        <v>0</v>
      </c>
      <c r="AM4">
        <v>53.919786961497309</v>
      </c>
      <c r="AN4" cm="1">
        <f t="array" ref="AN4">$Y4*INDEX(RefCapacity!$D$2:$D$526,MATCH(1,(RefCapacity!$A$2:$A$526=RefCapacityProj!$D4)*(RefCapacity!$B$2:$B$526=2019)*(RefCapacity!$C$2:$C$526=AG$1),0))/SUMIFS(RefCapacity!$D$2:$D$526,RefCapacity!$A$2:$A$526,RefCapacityProj!$D4,RefCapacity!$B$2:$B$526,2019)</f>
        <v>17.062443347324567</v>
      </c>
      <c r="AO4" cm="1">
        <f t="array" ref="AO4">$Y4*INDEX(RefCapacity!$D$2:$D$526,MATCH(1,(RefCapacity!$A$2:$A$526=RefCapacityProj!$D4)*(RefCapacity!$B$2:$B$526=2019)*(RefCapacity!$C$2:$C$526=AH$1),0))/SUMIFS(RefCapacity!$D$2:$D$526,RefCapacity!$A$2:$A$526,RefCapacityProj!$D4,RefCapacity!$B$2:$B$526,2019)</f>
        <v>341.79077757911961</v>
      </c>
      <c r="AP4" cm="1">
        <f t="array" ref="AP4">$Y4*INDEX(RefCapacity!$D$2:$D$526,MATCH(1,(RefCapacity!$A$2:$A$526=RefCapacityProj!$D4)*(RefCapacity!$B$2:$B$526=2019)*(RefCapacity!$C$2:$C$526=AI$1),0))/SUMIFS(RefCapacity!$D$2:$D$526,RefCapacity!$A$2:$A$526,RefCapacityProj!$D4,RefCapacity!$B$2:$B$526,2019)</f>
        <v>0</v>
      </c>
      <c r="AQ4" cm="1">
        <f t="array" ref="AQ4">$Y4*INDEX(RefCapacity!$D$2:$D$526,MATCH(1,(RefCapacity!$A$2:$A$526=RefCapacityProj!$D4)*(RefCapacity!$B$2:$B$526=2019)*(RefCapacity!$C$2:$C$526=AJ$1),0))/SUMIFS(RefCapacity!$D$2:$D$526,RefCapacity!$A$2:$A$526,RefCapacityProj!$D4,RefCapacity!$B$2:$B$526,2019)</f>
        <v>101.98242000699742</v>
      </c>
      <c r="AR4" cm="1">
        <f t="array" ref="AR4">$Y4*INDEX(RefCapacity!$D$2:$D$526,MATCH(1,(RefCapacity!$A$2:$A$526=RefCapacityProj!$D4)*(RefCapacity!$B$2:$B$526=2019)*(RefCapacity!$C$2:$C$526=AK$1),0))/SUMIFS(RefCapacity!$D$2:$D$526,RefCapacity!$A$2:$A$526,RefCapacityProj!$D4,RefCapacity!$B$2:$B$526,2019)</f>
        <v>81.389815967122928</v>
      </c>
      <c r="AS4" cm="1">
        <f t="array" ref="AS4">$Y4*INDEX(RefCapacity!$D$2:$D$526,MATCH(1,(RefCapacity!$A$2:$A$526=RefCapacityProj!$D4)*(RefCapacity!$B$2:$B$526=2019)*(RefCapacity!$C$2:$C$526=AL$1),0))/SUMIFS(RefCapacity!$D$2:$D$526,RefCapacity!$A$2:$A$526,RefCapacityProj!$D4,RefCapacity!$B$2:$B$526,2019)</f>
        <v>0</v>
      </c>
      <c r="AT4" cm="1">
        <f t="array" ref="AT4">$Y4*INDEX(RefCapacity!$D$2:$D$526,MATCH(1,(RefCapacity!$A$2:$A$526=RefCapacityProj!$D4)*(RefCapacity!$B$2:$B$526=2019)*(RefCapacity!$C$2:$C$526=AM$1),0))/SUMIFS(RefCapacity!$D$2:$D$526,RefCapacity!$A$2:$A$526,RefCapacityProj!$D4,RefCapacity!$B$2:$B$526,2019)</f>
        <v>93.255078294860141</v>
      </c>
      <c r="AU4" cm="1">
        <f t="array" ref="AU4">INDEX(RefCapacity!$D$2:$D$526,MATCH(1,(RefCapacity!$A$2:$A$526=RefCapacityProj!$D4)*(RefCapacity!$B$2:$B$526=2019)*(RefCapacity!$C$2:$C$526=RefCapacityProj!AG$1),0))*IF($C4=2035,1+VLOOKUP(AG$1,RefCapacity!$H$2:$L$8,2,FALSE),1+VLOOKUP(AG$1,RefCapacity!$H$2:$L$8,4,FALSE))</f>
        <v>91.42693476369206</v>
      </c>
      <c r="AV4" cm="1">
        <f t="array" ref="AV4">INDEX(RefCapacity!$D$2:$D$526,MATCH(1,(RefCapacity!$A$2:$A$526=RefCapacityProj!$D4)*(RefCapacity!$B$2:$B$526=2019)*(RefCapacity!$C$2:$C$526=RefCapacityProj!AH$1),0))*IF($C4=2035,1+VLOOKUP(AH$1,RefCapacity!$H$2:$L$8,2,FALSE),1+VLOOKUP(AH$1,RefCapacity!$H$2:$L$8,4,FALSE))</f>
        <v>892.71066470160065</v>
      </c>
      <c r="AW4" cm="1">
        <f t="array" ref="AW4">INDEX(RefCapacity!$D$2:$D$526,MATCH(1,(RefCapacity!$A$2:$A$526=RefCapacityProj!$D4)*(RefCapacity!$B$2:$B$526=2019)*(RefCapacity!$C$2:$C$526=RefCapacityProj!AI$1),0))*IF($C4=2035,1+VLOOKUP(AI$1,RefCapacity!$H$2:$L$8,2,FALSE),1+VLOOKUP(AI$1,RefCapacity!$H$2:$L$8,4,FALSE))</f>
        <v>0</v>
      </c>
      <c r="AX4" cm="1">
        <f t="array" ref="AX4">INDEX(RefCapacity!$D$2:$D$526,MATCH(1,(RefCapacity!$A$2:$A$526=RefCapacityProj!$D4)*(RefCapacity!$B$2:$B$526=2019)*(RefCapacity!$C$2:$C$526=RefCapacityProj!AJ$1),0))*IF($C4=2035,1+VLOOKUP(AJ$1,RefCapacity!$H$2:$L$8,2,FALSE),1+VLOOKUP(AJ$1,RefCapacity!$H$2:$L$8,4,FALSE))</f>
        <v>378.33333333333331</v>
      </c>
      <c r="AY4" cm="1">
        <f t="array" ref="AY4">INDEX(RefCapacity!$D$2:$D$526,MATCH(1,(RefCapacity!$A$2:$A$526=RefCapacityProj!$D4)*(RefCapacity!$B$2:$B$526=2019)*(RefCapacity!$C$2:$C$526=RefCapacityProj!AK$1),0))*IF($C4=2035,1+VLOOKUP(AK$1,RefCapacity!$H$2:$L$8,2,FALSE),1+VLOOKUP(AK$1,RefCapacity!$H$2:$L$8,4,FALSE))</f>
        <v>195.80557682200353</v>
      </c>
      <c r="AZ4" cm="1">
        <f t="array" ref="AZ4">INDEX(RefCapacity!$D$2:$D$526,MATCH(1,(RefCapacity!$A$2:$A$526=RefCapacityProj!$D4)*(RefCapacity!$B$2:$B$526=2019)*(RefCapacity!$C$2:$C$526=RefCapacityProj!AL$1),0))*IF($C4=2035,1+VLOOKUP(AL$1,RefCapacity!$H$2:$L$8,2,FALSE),1+VLOOKUP(AL$1,RefCapacity!$H$2:$L$8,4,FALSE))</f>
        <v>0</v>
      </c>
      <c r="BA4" cm="1">
        <f t="array" ref="BA4">INDEX(RefCapacity!$D$2:$D$526,MATCH(1,(RefCapacity!$A$2:$A$526=RefCapacityProj!$D4)*(RefCapacity!$B$2:$B$526=2019)*(RefCapacity!$C$2:$C$526=RefCapacityProj!AM$1),0))*IF($C4=2035,1+VLOOKUP(AM$1,RefCapacity!$H$2:$L$8,2,FALSE),1+VLOOKUP(AM$1,RefCapacity!$H$2:$L$8,4,FALSE))</f>
        <v>187.81193219368552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f t="shared" si="4"/>
        <v>641.0920984917874</v>
      </c>
      <c r="BJ4">
        <f t="shared" si="5"/>
        <v>5.6115632963627604</v>
      </c>
      <c r="BK4">
        <f t="shared" si="6"/>
        <v>1.00001399197156E-2</v>
      </c>
      <c r="BL4" cm="1">
        <f t="array" ref="BL4">AG4/$BI4*INDEX('GHG Emission'!$C$2:$C$1121,MATCH(1,('GHG Emission'!$D$2:$D$1121=$D4)*('GHG Emission'!$E$2:$E$1121=$C4)*('GHG Emission'!$F$2:$F$1121=$B4)*('GHG Emission'!$I$2:$I$1121=$E4)*('GHG Emission'!$J$2:$J$1121=$F4)*('GHG Emission'!$K$2:$K$1121=AG$1),0))+AH4/$BI4*INDEX('GHG Emission'!$C$2:$C$1121,MATCH(1,('GHG Emission'!$D$2:$D$1121=$D4)*('GHG Emission'!$E$2:$E$1121=$C4)*('GHG Emission'!$F$2:$F$1121=$B4)*('GHG Emission'!$I$2:$I$1121=$E4)*('GHG Emission'!$J$2:$J$1121=$F4)*('GHG Emission'!$K$2:$K$1121=AH$1),0))+AI4/$BI4*INDEX('GHG Emission'!$C$2:$C$1121,MATCH(1,('GHG Emission'!$D$2:$D$1121=$D4)*('GHG Emission'!$E$2:$E$1121=$C4)*('GHG Emission'!$F$2:$F$1121=$B4)*('GHG Emission'!$I$2:$I$1121=$E4)*('GHG Emission'!$J$2:$J$1121=$F4)*('GHG Emission'!$K$2:$K$1121=AI$1),0))+AJ4/$BI4*INDEX('GHG Emission'!$C$2:$C$1121,MATCH(1,('GHG Emission'!$D$2:$D$1121=$D4)*('GHG Emission'!$E$2:$E$1121=$C4)*('GHG Emission'!$F$2:$F$1121=$B4)*('GHG Emission'!$I$2:$I$1121=$E4)*('GHG Emission'!$J$2:$J$1121=$F4)*('GHG Emission'!$K$2:$K$1121=AJ$1),0))+AK4/$BI4*INDEX('GHG Emission'!$C$2:$C$1121,MATCH(1,('GHG Emission'!$D$2:$D$1121=$D4)*('GHG Emission'!$E$2:$E$1121=$C4)*('GHG Emission'!$F$2:$F$1121=$B4)*('GHG Emission'!$I$2:$I$1121=$E4)*('GHG Emission'!$J$2:$J$1121=$F4)*('GHG Emission'!$K$2:$K$1121=AK$1),0))+AL4/$BI4*INDEX('GHG Emission'!$C$2:$C$1121,MATCH(1,('GHG Emission'!$D$2:$D$1121=$D4)*('GHG Emission'!$E$2:$E$1121=$C4)*('GHG Emission'!$F$2:$F$1121=$B4)*('GHG Emission'!$I$2:$I$1121=$E4)*('GHG Emission'!$J$2:$J$1121=$F4)*('GHG Emission'!$K$2:$K$1121=AL$1),0))+AM4/$BI4*INDEX('GHG Emission'!$C$2:$C$1121,MATCH(1,('GHG Emission'!$D$2:$D$1121=$D4)*('GHG Emission'!$E$2:$E$1121=$C4)*('GHG Emission'!$F$2:$F$1121=$B4)*('GHG Emission'!$I$2:$I$1121=$E4)*('GHG Emission'!$J$2:$J$1121=$F4)*('GHG Emission'!$K$2:$K$1121=AM$1),0))</f>
        <v>33.885524084395904</v>
      </c>
      <c r="BM4" t="str">
        <f t="shared" si="7"/>
        <v>LIGHT/SWEET</v>
      </c>
    </row>
    <row r="5" spans="1:65" hidden="1" x14ac:dyDescent="0.25">
      <c r="A5">
        <v>4</v>
      </c>
      <c r="B5" t="s">
        <v>465</v>
      </c>
      <c r="C5">
        <v>2035</v>
      </c>
      <c r="D5">
        <v>1</v>
      </c>
      <c r="E5" t="s">
        <v>469</v>
      </c>
      <c r="F5" t="s">
        <v>468</v>
      </c>
      <c r="G5">
        <v>1110.1970668029492</v>
      </c>
      <c r="H5">
        <v>83.228414800475107</v>
      </c>
      <c r="I5">
        <v>312.27598023090906</v>
      </c>
      <c r="J5">
        <v>110.04113489570344</v>
      </c>
      <c r="K5">
        <v>126.58285122181967</v>
      </c>
      <c r="L5">
        <v>0</v>
      </c>
      <c r="M5">
        <v>0</v>
      </c>
      <c r="N5">
        <v>0</v>
      </c>
      <c r="O5">
        <v>0</v>
      </c>
      <c r="P5">
        <v>143.60580193208193</v>
      </c>
      <c r="Q5">
        <v>0</v>
      </c>
      <c r="R5">
        <v>0</v>
      </c>
      <c r="S5">
        <v>0</v>
      </c>
      <c r="T5">
        <v>10.257393535321418</v>
      </c>
      <c r="U5">
        <v>0</v>
      </c>
      <c r="V5">
        <v>0</v>
      </c>
      <c r="W5">
        <v>0</v>
      </c>
      <c r="X5">
        <f t="shared" si="0"/>
        <v>1896.1886434192597</v>
      </c>
      <c r="Y5">
        <f>X5*VLOOKUP($D5,'LinearReg Model'!$S$2:$T$6,2,FALSE)</f>
        <v>635.48053519542464</v>
      </c>
      <c r="Z5">
        <f t="shared" si="1"/>
        <v>0.58548872268373631</v>
      </c>
      <c r="AA5">
        <f t="shared" si="2"/>
        <v>0.16468613569365356</v>
      </c>
      <c r="AB5">
        <f t="shared" si="3"/>
        <v>4.389247614646364E-2</v>
      </c>
      <c r="AC5">
        <v>36.614652924665549</v>
      </c>
      <c r="AD5">
        <v>1.5301400799730309</v>
      </c>
      <c r="AE5" s="2">
        <f>VLOOKUP($D5,'MultiReg Model'!$A$5:$F$9,2,FALSE)+AC5*VLOOKUP($D5,'MultiReg Model'!$A$5:$F$9,3,FALSE)+Z5*VLOOKUP($D5,'MultiReg Model'!$A$5:$F$9,4,FALSE)+AA5*VLOOKUP($D5,'MultiReg Model'!$A$5:$F$9,5,FALSE)+AB5*VLOOKUP($D5,'MultiReg Model'!$A$5:$F$9,6,FALSE)</f>
        <v>7.4901986850423734</v>
      </c>
      <c r="AF5" cm="1">
        <f t="array" ref="AF5">MMULT($AG5:$AM5,'Avg CI Index'!$C$2:$C$8)/BI5</f>
        <v>7.500198824962089</v>
      </c>
      <c r="AG5">
        <v>90.959073204587185</v>
      </c>
      <c r="AH5">
        <v>354.64842055298772</v>
      </c>
      <c r="AI5">
        <v>0</v>
      </c>
      <c r="AJ5">
        <v>83.29732181429867</v>
      </c>
      <c r="AK5">
        <v>58.267495958416603</v>
      </c>
      <c r="AL5">
        <v>0</v>
      </c>
      <c r="AM5">
        <v>53.919786961497309</v>
      </c>
      <c r="AN5" cm="1">
        <f t="array" ref="AN5">$Y5*INDEX(RefCapacity!$D$2:$D$526,MATCH(1,(RefCapacity!$A$2:$A$526=RefCapacityProj!$D5)*(RefCapacity!$B$2:$B$526=2019)*(RefCapacity!$C$2:$C$526=AG$1),0))/SUMIFS(RefCapacity!$D$2:$D$526,RefCapacity!$A$2:$A$526,RefCapacityProj!$D5,RefCapacity!$B$2:$B$526,2019)</f>
        <v>17.062443347324567</v>
      </c>
      <c r="AO5" cm="1">
        <f t="array" ref="AO5">$Y5*INDEX(RefCapacity!$D$2:$D$526,MATCH(1,(RefCapacity!$A$2:$A$526=RefCapacityProj!$D5)*(RefCapacity!$B$2:$B$526=2019)*(RefCapacity!$C$2:$C$526=AH$1),0))/SUMIFS(RefCapacity!$D$2:$D$526,RefCapacity!$A$2:$A$526,RefCapacityProj!$D5,RefCapacity!$B$2:$B$526,2019)</f>
        <v>341.79077757911961</v>
      </c>
      <c r="AP5" cm="1">
        <f t="array" ref="AP5">$Y5*INDEX(RefCapacity!$D$2:$D$526,MATCH(1,(RefCapacity!$A$2:$A$526=RefCapacityProj!$D5)*(RefCapacity!$B$2:$B$526=2019)*(RefCapacity!$C$2:$C$526=AI$1),0))/SUMIFS(RefCapacity!$D$2:$D$526,RefCapacity!$A$2:$A$526,RefCapacityProj!$D5,RefCapacity!$B$2:$B$526,2019)</f>
        <v>0</v>
      </c>
      <c r="AQ5" cm="1">
        <f t="array" ref="AQ5">$Y5*INDEX(RefCapacity!$D$2:$D$526,MATCH(1,(RefCapacity!$A$2:$A$526=RefCapacityProj!$D5)*(RefCapacity!$B$2:$B$526=2019)*(RefCapacity!$C$2:$C$526=AJ$1),0))/SUMIFS(RefCapacity!$D$2:$D$526,RefCapacity!$A$2:$A$526,RefCapacityProj!$D5,RefCapacity!$B$2:$B$526,2019)</f>
        <v>101.98242000699742</v>
      </c>
      <c r="AR5" cm="1">
        <f t="array" ref="AR5">$Y5*INDEX(RefCapacity!$D$2:$D$526,MATCH(1,(RefCapacity!$A$2:$A$526=RefCapacityProj!$D5)*(RefCapacity!$B$2:$B$526=2019)*(RefCapacity!$C$2:$C$526=AK$1),0))/SUMIFS(RefCapacity!$D$2:$D$526,RefCapacity!$A$2:$A$526,RefCapacityProj!$D5,RefCapacity!$B$2:$B$526,2019)</f>
        <v>81.389815967122928</v>
      </c>
      <c r="AS5" cm="1">
        <f t="array" ref="AS5">$Y5*INDEX(RefCapacity!$D$2:$D$526,MATCH(1,(RefCapacity!$A$2:$A$526=RefCapacityProj!$D5)*(RefCapacity!$B$2:$B$526=2019)*(RefCapacity!$C$2:$C$526=AL$1),0))/SUMIFS(RefCapacity!$D$2:$D$526,RefCapacity!$A$2:$A$526,RefCapacityProj!$D5,RefCapacity!$B$2:$B$526,2019)</f>
        <v>0</v>
      </c>
      <c r="AT5" cm="1">
        <f t="array" ref="AT5">$Y5*INDEX(RefCapacity!$D$2:$D$526,MATCH(1,(RefCapacity!$A$2:$A$526=RefCapacityProj!$D5)*(RefCapacity!$B$2:$B$526=2019)*(RefCapacity!$C$2:$C$526=AM$1),0))/SUMIFS(RefCapacity!$D$2:$D$526,RefCapacity!$A$2:$A$526,RefCapacityProj!$D5,RefCapacity!$B$2:$B$526,2019)</f>
        <v>93.255078294860141</v>
      </c>
      <c r="AU5" cm="1">
        <f t="array" ref="AU5">INDEX(RefCapacity!$D$2:$D$526,MATCH(1,(RefCapacity!$A$2:$A$526=RefCapacityProj!$D5)*(RefCapacity!$B$2:$B$526=2019)*(RefCapacity!$C$2:$C$526=RefCapacityProj!AG$1),0))*IF($C5=2035,1+VLOOKUP(AG$1,RefCapacity!$H$2:$L$8,2,FALSE),1+VLOOKUP(AG$1,RefCapacity!$H$2:$L$8,4,FALSE))</f>
        <v>91.42693476369206</v>
      </c>
      <c r="AV5" cm="1">
        <f t="array" ref="AV5">INDEX(RefCapacity!$D$2:$D$526,MATCH(1,(RefCapacity!$A$2:$A$526=RefCapacityProj!$D5)*(RefCapacity!$B$2:$B$526=2019)*(RefCapacity!$C$2:$C$526=RefCapacityProj!AH$1),0))*IF($C5=2035,1+VLOOKUP(AH$1,RefCapacity!$H$2:$L$8,2,FALSE),1+VLOOKUP(AH$1,RefCapacity!$H$2:$L$8,4,FALSE))</f>
        <v>892.71066470160065</v>
      </c>
      <c r="AW5" cm="1">
        <f t="array" ref="AW5">INDEX(RefCapacity!$D$2:$D$526,MATCH(1,(RefCapacity!$A$2:$A$526=RefCapacityProj!$D5)*(RefCapacity!$B$2:$B$526=2019)*(RefCapacity!$C$2:$C$526=RefCapacityProj!AI$1),0))*IF($C5=2035,1+VLOOKUP(AI$1,RefCapacity!$H$2:$L$8,2,FALSE),1+VLOOKUP(AI$1,RefCapacity!$H$2:$L$8,4,FALSE))</f>
        <v>0</v>
      </c>
      <c r="AX5" cm="1">
        <f t="array" ref="AX5">INDEX(RefCapacity!$D$2:$D$526,MATCH(1,(RefCapacity!$A$2:$A$526=RefCapacityProj!$D5)*(RefCapacity!$B$2:$B$526=2019)*(RefCapacity!$C$2:$C$526=RefCapacityProj!AJ$1),0))*IF($C5=2035,1+VLOOKUP(AJ$1,RefCapacity!$H$2:$L$8,2,FALSE),1+VLOOKUP(AJ$1,RefCapacity!$H$2:$L$8,4,FALSE))</f>
        <v>378.33333333333331</v>
      </c>
      <c r="AY5" cm="1">
        <f t="array" ref="AY5">INDEX(RefCapacity!$D$2:$D$526,MATCH(1,(RefCapacity!$A$2:$A$526=RefCapacityProj!$D5)*(RefCapacity!$B$2:$B$526=2019)*(RefCapacity!$C$2:$C$526=RefCapacityProj!AK$1),0))*IF($C5=2035,1+VLOOKUP(AK$1,RefCapacity!$H$2:$L$8,2,FALSE),1+VLOOKUP(AK$1,RefCapacity!$H$2:$L$8,4,FALSE))</f>
        <v>195.80557682200353</v>
      </c>
      <c r="AZ5" cm="1">
        <f t="array" ref="AZ5">INDEX(RefCapacity!$D$2:$D$526,MATCH(1,(RefCapacity!$A$2:$A$526=RefCapacityProj!$D5)*(RefCapacity!$B$2:$B$526=2019)*(RefCapacity!$C$2:$C$526=RefCapacityProj!AL$1),0))*IF($C5=2035,1+VLOOKUP(AL$1,RefCapacity!$H$2:$L$8,2,FALSE),1+VLOOKUP(AL$1,RefCapacity!$H$2:$L$8,4,FALSE))</f>
        <v>0</v>
      </c>
      <c r="BA5" cm="1">
        <f t="array" ref="BA5">INDEX(RefCapacity!$D$2:$D$526,MATCH(1,(RefCapacity!$A$2:$A$526=RefCapacityProj!$D5)*(RefCapacity!$B$2:$B$526=2019)*(RefCapacity!$C$2:$C$526=RefCapacityProj!AM$1),0))*IF($C5=2035,1+VLOOKUP(AM$1,RefCapacity!$H$2:$L$8,2,FALSE),1+VLOOKUP(AM$1,RefCapacity!$H$2:$L$8,4,FALSE))</f>
        <v>187.81193219368552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f t="shared" si="4"/>
        <v>641.0920984917874</v>
      </c>
      <c r="BJ5">
        <f t="shared" si="5"/>
        <v>5.6115632963627604</v>
      </c>
      <c r="BK5">
        <f t="shared" si="6"/>
        <v>1.00001399197156E-2</v>
      </c>
      <c r="BL5" cm="1">
        <f t="array" ref="BL5">AG5/$BI5*INDEX('GHG Emission'!$C$2:$C$1121,MATCH(1,('GHG Emission'!$D$2:$D$1121=$D5)*('GHG Emission'!$E$2:$E$1121=$C5)*('GHG Emission'!$F$2:$F$1121=$B5)*('GHG Emission'!$I$2:$I$1121=$E5)*('GHG Emission'!$J$2:$J$1121=$F5)*('GHG Emission'!$K$2:$K$1121=AG$1),0))+AH5/$BI5*INDEX('GHG Emission'!$C$2:$C$1121,MATCH(1,('GHG Emission'!$D$2:$D$1121=$D5)*('GHG Emission'!$E$2:$E$1121=$C5)*('GHG Emission'!$F$2:$F$1121=$B5)*('GHG Emission'!$I$2:$I$1121=$E5)*('GHG Emission'!$J$2:$J$1121=$F5)*('GHG Emission'!$K$2:$K$1121=AH$1),0))+AI5/$BI5*INDEX('GHG Emission'!$C$2:$C$1121,MATCH(1,('GHG Emission'!$D$2:$D$1121=$D5)*('GHG Emission'!$E$2:$E$1121=$C5)*('GHG Emission'!$F$2:$F$1121=$B5)*('GHG Emission'!$I$2:$I$1121=$E5)*('GHG Emission'!$J$2:$J$1121=$F5)*('GHG Emission'!$K$2:$K$1121=AI$1),0))+AJ5/$BI5*INDEX('GHG Emission'!$C$2:$C$1121,MATCH(1,('GHG Emission'!$D$2:$D$1121=$D5)*('GHG Emission'!$E$2:$E$1121=$C5)*('GHG Emission'!$F$2:$F$1121=$B5)*('GHG Emission'!$I$2:$I$1121=$E5)*('GHG Emission'!$J$2:$J$1121=$F5)*('GHG Emission'!$K$2:$K$1121=AJ$1),0))+AK5/$BI5*INDEX('GHG Emission'!$C$2:$C$1121,MATCH(1,('GHG Emission'!$D$2:$D$1121=$D5)*('GHG Emission'!$E$2:$E$1121=$C5)*('GHG Emission'!$F$2:$F$1121=$B5)*('GHG Emission'!$I$2:$I$1121=$E5)*('GHG Emission'!$J$2:$J$1121=$F5)*('GHG Emission'!$K$2:$K$1121=AK$1),0))+AL5/$BI5*INDEX('GHG Emission'!$C$2:$C$1121,MATCH(1,('GHG Emission'!$D$2:$D$1121=$D5)*('GHG Emission'!$E$2:$E$1121=$C5)*('GHG Emission'!$F$2:$F$1121=$B5)*('GHG Emission'!$I$2:$I$1121=$E5)*('GHG Emission'!$J$2:$J$1121=$F5)*('GHG Emission'!$K$2:$K$1121=AL$1),0))+AM5/$BI5*INDEX('GHG Emission'!$C$2:$C$1121,MATCH(1,('GHG Emission'!$D$2:$D$1121=$D5)*('GHG Emission'!$E$2:$E$1121=$C5)*('GHG Emission'!$F$2:$F$1121=$B5)*('GHG Emission'!$I$2:$I$1121=$E5)*('GHG Emission'!$J$2:$J$1121=$F5)*('GHG Emission'!$K$2:$K$1121=AM$1),0))</f>
        <v>32.016645070146197</v>
      </c>
      <c r="BM5" t="str">
        <f t="shared" si="7"/>
        <v>LIGHT/SOUR</v>
      </c>
    </row>
    <row r="6" spans="1:65" hidden="1" x14ac:dyDescent="0.25">
      <c r="A6">
        <v>5</v>
      </c>
      <c r="B6" t="s">
        <v>465</v>
      </c>
      <c r="C6">
        <v>2050</v>
      </c>
      <c r="D6">
        <v>1</v>
      </c>
      <c r="E6" t="s">
        <v>466</v>
      </c>
      <c r="F6" t="s">
        <v>467</v>
      </c>
      <c r="G6">
        <v>1035.011860720035</v>
      </c>
      <c r="H6">
        <v>80.745234797457613</v>
      </c>
      <c r="I6">
        <v>336.48167651968691</v>
      </c>
      <c r="J6">
        <v>118.57084085832106</v>
      </c>
      <c r="K6">
        <v>150.322538005761</v>
      </c>
      <c r="L6">
        <v>0</v>
      </c>
      <c r="M6">
        <v>0</v>
      </c>
      <c r="N6">
        <v>0</v>
      </c>
      <c r="O6">
        <v>0</v>
      </c>
      <c r="P6">
        <v>175.81576906160231</v>
      </c>
      <c r="Q6">
        <v>0</v>
      </c>
      <c r="R6">
        <v>0</v>
      </c>
      <c r="S6">
        <v>0</v>
      </c>
      <c r="T6">
        <v>10.451643824017232</v>
      </c>
      <c r="U6">
        <v>0</v>
      </c>
      <c r="V6">
        <v>0</v>
      </c>
      <c r="W6">
        <v>0</v>
      </c>
      <c r="X6">
        <f t="shared" si="0"/>
        <v>1907.3995637868816</v>
      </c>
      <c r="Y6">
        <f>X6*VLOOKUP($D6,'LinearReg Model'!$S$2:$T$6,2,FALSE)</f>
        <v>639.23771499922452</v>
      </c>
      <c r="Z6">
        <f t="shared" si="1"/>
        <v>0.54262980886142187</v>
      </c>
      <c r="AA6">
        <f t="shared" si="2"/>
        <v>0.17640859466888439</v>
      </c>
      <c r="AB6">
        <f t="shared" si="3"/>
        <v>4.2332627274564834E-2</v>
      </c>
      <c r="AC6">
        <v>28.267512206646213</v>
      </c>
      <c r="AD6">
        <v>0.27799592561789516</v>
      </c>
      <c r="AE6" s="2">
        <f>VLOOKUP($D6,'MultiReg Model'!$A$5:$F$9,2,FALSE)+AC6*VLOOKUP($D6,'MultiReg Model'!$A$5:$F$9,3,FALSE)+Z6*VLOOKUP($D6,'MultiReg Model'!$A$5:$F$9,4,FALSE)+AA6*VLOOKUP($D6,'MultiReg Model'!$A$5:$F$9,5,FALSE)+AB6*VLOOKUP($D6,'MultiReg Model'!$A$5:$F$9,6,FALSE)</f>
        <v>8.3258898301560471</v>
      </c>
      <c r="AF6" cm="1">
        <f t="array" ref="AF6">MMULT($AG6:$AM6,'Avg CI Index'!$C$2:$C$8)/BI6</f>
        <v>8.3358897793864362</v>
      </c>
      <c r="AG6">
        <v>25.741691901825451</v>
      </c>
      <c r="AH6">
        <v>345.50279782437843</v>
      </c>
      <c r="AI6">
        <v>0</v>
      </c>
      <c r="AJ6">
        <v>100.73939415161627</v>
      </c>
      <c r="AK6">
        <v>79.525802009743614</v>
      </c>
      <c r="AL6">
        <v>0</v>
      </c>
      <c r="AM6">
        <v>89.641283699212025</v>
      </c>
      <c r="AN6" cm="1">
        <f t="array" ref="AN6">$Y6*INDEX(RefCapacity!$D$2:$D$526,MATCH(1,(RefCapacity!$A$2:$A$526=RefCapacityProj!$D6)*(RefCapacity!$B$2:$B$526=2019)*(RefCapacity!$C$2:$C$526=AG$1),0))/SUMIFS(RefCapacity!$D$2:$D$526,RefCapacity!$A$2:$A$526,RefCapacityProj!$D6,RefCapacity!$B$2:$B$526,2019)</f>
        <v>17.163322389242563</v>
      </c>
      <c r="AO6" cm="1">
        <f t="array" ref="AO6">$Y6*INDEX(RefCapacity!$D$2:$D$526,MATCH(1,(RefCapacity!$A$2:$A$526=RefCapacityProj!$D6)*(RefCapacity!$B$2:$B$526=2019)*(RefCapacity!$C$2:$C$526=AH$1),0))/SUMIFS(RefCapacity!$D$2:$D$526,RefCapacity!$A$2:$A$526,RefCapacityProj!$D6,RefCapacity!$B$2:$B$526,2019)</f>
        <v>343.81156237979081</v>
      </c>
      <c r="AP6" cm="1">
        <f t="array" ref="AP6">$Y6*INDEX(RefCapacity!$D$2:$D$526,MATCH(1,(RefCapacity!$A$2:$A$526=RefCapacityProj!$D6)*(RefCapacity!$B$2:$B$526=2019)*(RefCapacity!$C$2:$C$526=AI$1),0))/SUMIFS(RefCapacity!$D$2:$D$526,RefCapacity!$A$2:$A$526,RefCapacityProj!$D6,RefCapacity!$B$2:$B$526,2019)</f>
        <v>0</v>
      </c>
      <c r="AQ6" cm="1">
        <f t="array" ref="AQ6">$Y6*INDEX(RefCapacity!$D$2:$D$526,MATCH(1,(RefCapacity!$A$2:$A$526=RefCapacityProj!$D6)*(RefCapacity!$B$2:$B$526=2019)*(RefCapacity!$C$2:$C$526=AJ$1),0))/SUMIFS(RefCapacity!$D$2:$D$526,RefCapacity!$A$2:$A$526,RefCapacityProj!$D6,RefCapacity!$B$2:$B$526,2019)</f>
        <v>102.58537520007047</v>
      </c>
      <c r="AR6" cm="1">
        <f t="array" ref="AR6">$Y6*INDEX(RefCapacity!$D$2:$D$526,MATCH(1,(RefCapacity!$A$2:$A$526=RefCapacityProj!$D6)*(RefCapacity!$B$2:$B$526=2019)*(RefCapacity!$C$2:$C$526=AK$1),0))/SUMIFS(RefCapacity!$D$2:$D$526,RefCapacity!$A$2:$A$526,RefCapacityProj!$D6,RefCapacity!$B$2:$B$526,2019)</f>
        <v>81.871020592363934</v>
      </c>
      <c r="AS6" cm="1">
        <f t="array" ref="AS6">$Y6*INDEX(RefCapacity!$D$2:$D$526,MATCH(1,(RefCapacity!$A$2:$A$526=RefCapacityProj!$D6)*(RefCapacity!$B$2:$B$526=2019)*(RefCapacity!$C$2:$C$526=AL$1),0))/SUMIFS(RefCapacity!$D$2:$D$526,RefCapacity!$A$2:$A$526,RefCapacityProj!$D6,RefCapacity!$B$2:$B$526,2019)</f>
        <v>0</v>
      </c>
      <c r="AT6" cm="1">
        <f t="array" ref="AT6">$Y6*INDEX(RefCapacity!$D$2:$D$526,MATCH(1,(RefCapacity!$A$2:$A$526=RefCapacityProj!$D6)*(RefCapacity!$B$2:$B$526=2019)*(RefCapacity!$C$2:$C$526=AM$1),0))/SUMIFS(RefCapacity!$D$2:$D$526,RefCapacity!$A$2:$A$526,RefCapacityProj!$D6,RefCapacity!$B$2:$B$526,2019)</f>
        <v>93.806434437756749</v>
      </c>
      <c r="AU6" cm="1">
        <f t="array" ref="AU6">INDEX(RefCapacity!$D$2:$D$526,MATCH(1,(RefCapacity!$A$2:$A$526=RefCapacityProj!$D6)*(RefCapacity!$B$2:$B$526=2019)*(RefCapacity!$C$2:$C$526=RefCapacityProj!AG$1),0))*IF($C6=2035,1+VLOOKUP(AG$1,RefCapacity!$H$2:$L$8,2,FALSE),1+VLOOKUP(AG$1,RefCapacity!$H$2:$L$8,4,FALSE))</f>
        <v>149.79386952738412</v>
      </c>
      <c r="AV6" cm="1">
        <f t="array" ref="AV6">INDEX(RefCapacity!$D$2:$D$526,MATCH(1,(RefCapacity!$A$2:$A$526=RefCapacityProj!$D6)*(RefCapacity!$B$2:$B$526=2019)*(RefCapacity!$C$2:$C$526=RefCapacityProj!AH$1),0))*IF($C6=2035,1+VLOOKUP(AH$1,RefCapacity!$H$2:$L$8,2,FALSE),1+VLOOKUP(AH$1,RefCapacity!$H$2:$L$8,4,FALSE))</f>
        <v>1123.1713294032013</v>
      </c>
      <c r="AW6" cm="1">
        <f t="array" ref="AW6">INDEX(RefCapacity!$D$2:$D$526,MATCH(1,(RefCapacity!$A$2:$A$526=RefCapacityProj!$D6)*(RefCapacity!$B$2:$B$526=2019)*(RefCapacity!$C$2:$C$526=RefCapacityProj!AI$1),0))*IF($C6=2035,1+VLOOKUP(AI$1,RefCapacity!$H$2:$L$8,2,FALSE),1+VLOOKUP(AI$1,RefCapacity!$H$2:$L$8,4,FALSE))</f>
        <v>0</v>
      </c>
      <c r="AX6" cm="1">
        <f t="array" ref="AX6">INDEX(RefCapacity!$D$2:$D$526,MATCH(1,(RefCapacity!$A$2:$A$526=RefCapacityProj!$D6)*(RefCapacity!$B$2:$B$526=2019)*(RefCapacity!$C$2:$C$526=RefCapacityProj!AJ$1),0))*IF($C6=2035,1+VLOOKUP(AJ$1,RefCapacity!$H$2:$L$8,2,FALSE),1+VLOOKUP(AJ$1,RefCapacity!$H$2:$L$8,4,FALSE))</f>
        <v>559.06666666666661</v>
      </c>
      <c r="AY6" cm="1">
        <f t="array" ref="AY6">INDEX(RefCapacity!$D$2:$D$526,MATCH(1,(RefCapacity!$A$2:$A$526=RefCapacityProj!$D6)*(RefCapacity!$B$2:$B$526=2019)*(RefCapacity!$C$2:$C$526=RefCapacityProj!AK$1),0))*IF($C6=2035,1+VLOOKUP(AK$1,RefCapacity!$H$2:$L$8,2,FALSE),1+VLOOKUP(AK$1,RefCapacity!$H$2:$L$8,4,FALSE))</f>
        <v>233.91115364400702</v>
      </c>
      <c r="AZ6" cm="1">
        <f t="array" ref="AZ6">INDEX(RefCapacity!$D$2:$D$526,MATCH(1,(RefCapacity!$A$2:$A$526=RefCapacityProj!$D6)*(RefCapacity!$B$2:$B$526=2019)*(RefCapacity!$C$2:$C$526=RefCapacityProj!AL$1),0))*IF($C6=2035,1+VLOOKUP(AL$1,RefCapacity!$H$2:$L$8,2,FALSE),1+VLOOKUP(AL$1,RefCapacity!$H$2:$L$8,4,FALSE))</f>
        <v>0</v>
      </c>
      <c r="BA6" cm="1">
        <f t="array" ref="BA6">INDEX(RefCapacity!$D$2:$D$526,MATCH(1,(RefCapacity!$A$2:$A$526=RefCapacityProj!$D6)*(RefCapacity!$B$2:$B$526=2019)*(RefCapacity!$C$2:$C$526=RefCapacityProj!AM$1),0))*IF($C6=2035,1+VLOOKUP(AM$1,RefCapacity!$H$2:$L$8,2,FALSE),1+VLOOKUP(AM$1,RefCapacity!$H$2:$L$8,4,FALSE))</f>
        <v>194.9338643873711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f t="shared" si="4"/>
        <v>641.15096958677589</v>
      </c>
      <c r="BJ6">
        <f t="shared" si="5"/>
        <v>1.9132545875513642</v>
      </c>
      <c r="BK6">
        <f t="shared" si="6"/>
        <v>9.9999492303890491E-3</v>
      </c>
      <c r="BL6" cm="1">
        <f t="array" ref="BL6">AG6/$BI6*INDEX('GHG Emission'!$C$2:$C$1121,MATCH(1,('GHG Emission'!$D$2:$D$1121=$D6)*('GHG Emission'!$E$2:$E$1121=$C6)*('GHG Emission'!$F$2:$F$1121=$B6)*('GHG Emission'!$I$2:$I$1121=$E6)*('GHG Emission'!$J$2:$J$1121=$F6)*('GHG Emission'!$K$2:$K$1121=AG$1),0))+AH6/$BI6*INDEX('GHG Emission'!$C$2:$C$1121,MATCH(1,('GHG Emission'!$D$2:$D$1121=$D6)*('GHG Emission'!$E$2:$E$1121=$C6)*('GHG Emission'!$F$2:$F$1121=$B6)*('GHG Emission'!$I$2:$I$1121=$E6)*('GHG Emission'!$J$2:$J$1121=$F6)*('GHG Emission'!$K$2:$K$1121=AH$1),0))+AI6/$BI6*INDEX('GHG Emission'!$C$2:$C$1121,MATCH(1,('GHG Emission'!$D$2:$D$1121=$D6)*('GHG Emission'!$E$2:$E$1121=$C6)*('GHG Emission'!$F$2:$F$1121=$B6)*('GHG Emission'!$I$2:$I$1121=$E6)*('GHG Emission'!$J$2:$J$1121=$F6)*('GHG Emission'!$K$2:$K$1121=AI$1),0))+AJ6/$BI6*INDEX('GHG Emission'!$C$2:$C$1121,MATCH(1,('GHG Emission'!$D$2:$D$1121=$D6)*('GHG Emission'!$E$2:$E$1121=$C6)*('GHG Emission'!$F$2:$F$1121=$B6)*('GHG Emission'!$I$2:$I$1121=$E6)*('GHG Emission'!$J$2:$J$1121=$F6)*('GHG Emission'!$K$2:$K$1121=AJ$1),0))+AK6/$BI6*INDEX('GHG Emission'!$C$2:$C$1121,MATCH(1,('GHG Emission'!$D$2:$D$1121=$D6)*('GHG Emission'!$E$2:$E$1121=$C6)*('GHG Emission'!$F$2:$F$1121=$B6)*('GHG Emission'!$I$2:$I$1121=$E6)*('GHG Emission'!$J$2:$J$1121=$F6)*('GHG Emission'!$K$2:$K$1121=AK$1),0))+AL6/$BI6*INDEX('GHG Emission'!$C$2:$C$1121,MATCH(1,('GHG Emission'!$D$2:$D$1121=$D6)*('GHG Emission'!$E$2:$E$1121=$C6)*('GHG Emission'!$F$2:$F$1121=$B6)*('GHG Emission'!$I$2:$I$1121=$E6)*('GHG Emission'!$J$2:$J$1121=$F6)*('GHG Emission'!$K$2:$K$1121=AL$1),0))+AM6/$BI6*INDEX('GHG Emission'!$C$2:$C$1121,MATCH(1,('GHG Emission'!$D$2:$D$1121=$D6)*('GHG Emission'!$E$2:$E$1121=$C6)*('GHG Emission'!$F$2:$F$1121=$B6)*('GHG Emission'!$I$2:$I$1121=$E6)*('GHG Emission'!$J$2:$J$1121=$F6)*('GHG Emission'!$K$2:$K$1121=AM$1),0))</f>
        <v>33.061354200032305</v>
      </c>
      <c r="BM6" t="str">
        <f t="shared" si="7"/>
        <v>HEAVY/SWEET</v>
      </c>
    </row>
    <row r="7" spans="1:65" x14ac:dyDescent="0.25">
      <c r="A7">
        <v>6</v>
      </c>
      <c r="B7" t="s">
        <v>465</v>
      </c>
      <c r="C7">
        <v>2050</v>
      </c>
      <c r="D7">
        <v>1</v>
      </c>
      <c r="E7" t="s">
        <v>466</v>
      </c>
      <c r="F7" t="s">
        <v>468</v>
      </c>
      <c r="G7">
        <v>1035.011860720035</v>
      </c>
      <c r="H7">
        <v>80.745234797457613</v>
      </c>
      <c r="I7">
        <v>336.48167651968691</v>
      </c>
      <c r="J7">
        <v>118.57084085832106</v>
      </c>
      <c r="K7">
        <v>150.322538005761</v>
      </c>
      <c r="L7">
        <v>0</v>
      </c>
      <c r="M7">
        <v>0</v>
      </c>
      <c r="N7">
        <v>0</v>
      </c>
      <c r="O7">
        <v>0</v>
      </c>
      <c r="P7">
        <v>175.81576906160231</v>
      </c>
      <c r="Q7">
        <v>0</v>
      </c>
      <c r="R7">
        <v>0</v>
      </c>
      <c r="S7">
        <v>0</v>
      </c>
      <c r="T7">
        <v>10.451643824017232</v>
      </c>
      <c r="U7">
        <v>0</v>
      </c>
      <c r="V7">
        <v>0</v>
      </c>
      <c r="W7">
        <v>0</v>
      </c>
      <c r="X7">
        <f t="shared" si="0"/>
        <v>1907.3995637868816</v>
      </c>
      <c r="Y7">
        <f>X7*VLOOKUP($D7,'LinearReg Model'!$S$2:$T$6,2,FALSE)</f>
        <v>639.23771499922452</v>
      </c>
      <c r="Z7">
        <f t="shared" si="1"/>
        <v>0.54262980886142187</v>
      </c>
      <c r="AA7">
        <f t="shared" si="2"/>
        <v>0.17640859466888439</v>
      </c>
      <c r="AB7">
        <f t="shared" si="3"/>
        <v>4.2332627274564834E-2</v>
      </c>
      <c r="AC7">
        <v>28.267512206646213</v>
      </c>
      <c r="AD7">
        <v>1.8266228074543227</v>
      </c>
      <c r="AE7" s="2">
        <f>VLOOKUP($D7,'MultiReg Model'!$A$5:$F$9,2,FALSE)+AC7*VLOOKUP($D7,'MultiReg Model'!$A$5:$F$9,3,FALSE)+Z7*VLOOKUP($D7,'MultiReg Model'!$A$5:$F$9,4,FALSE)+AA7*VLOOKUP($D7,'MultiReg Model'!$A$5:$F$9,5,FALSE)+AB7*VLOOKUP($D7,'MultiReg Model'!$A$5:$F$9,6,FALSE)</f>
        <v>8.3258898301560471</v>
      </c>
      <c r="AF7" cm="1">
        <f t="array" ref="AF7">MMULT($AG7:$AM7,'Avg CI Index'!$C$2:$C$8)/BI7</f>
        <v>8.3358897793864362</v>
      </c>
      <c r="AG7">
        <v>25.741691901825451</v>
      </c>
      <c r="AH7">
        <v>345.50279782437843</v>
      </c>
      <c r="AI7">
        <v>0</v>
      </c>
      <c r="AJ7">
        <v>100.73939415161627</v>
      </c>
      <c r="AK7">
        <v>79.525802009743614</v>
      </c>
      <c r="AL7">
        <v>0</v>
      </c>
      <c r="AM7">
        <v>89.641283699212025</v>
      </c>
      <c r="AN7" cm="1">
        <f t="array" ref="AN7">$Y7*INDEX(RefCapacity!$D$2:$D$526,MATCH(1,(RefCapacity!$A$2:$A$526=RefCapacityProj!$D7)*(RefCapacity!$B$2:$B$526=2019)*(RefCapacity!$C$2:$C$526=AG$1),0))/SUMIFS(RefCapacity!$D$2:$D$526,RefCapacity!$A$2:$A$526,RefCapacityProj!$D7,RefCapacity!$B$2:$B$526,2019)</f>
        <v>17.163322389242563</v>
      </c>
      <c r="AO7" cm="1">
        <f t="array" ref="AO7">$Y7*INDEX(RefCapacity!$D$2:$D$526,MATCH(1,(RefCapacity!$A$2:$A$526=RefCapacityProj!$D7)*(RefCapacity!$B$2:$B$526=2019)*(RefCapacity!$C$2:$C$526=AH$1),0))/SUMIFS(RefCapacity!$D$2:$D$526,RefCapacity!$A$2:$A$526,RefCapacityProj!$D7,RefCapacity!$B$2:$B$526,2019)</f>
        <v>343.81156237979081</v>
      </c>
      <c r="AP7" cm="1">
        <f t="array" ref="AP7">$Y7*INDEX(RefCapacity!$D$2:$D$526,MATCH(1,(RefCapacity!$A$2:$A$526=RefCapacityProj!$D7)*(RefCapacity!$B$2:$B$526=2019)*(RefCapacity!$C$2:$C$526=AI$1),0))/SUMIFS(RefCapacity!$D$2:$D$526,RefCapacity!$A$2:$A$526,RefCapacityProj!$D7,RefCapacity!$B$2:$B$526,2019)</f>
        <v>0</v>
      </c>
      <c r="AQ7" cm="1">
        <f t="array" ref="AQ7">$Y7*INDEX(RefCapacity!$D$2:$D$526,MATCH(1,(RefCapacity!$A$2:$A$526=RefCapacityProj!$D7)*(RefCapacity!$B$2:$B$526=2019)*(RefCapacity!$C$2:$C$526=AJ$1),0))/SUMIFS(RefCapacity!$D$2:$D$526,RefCapacity!$A$2:$A$526,RefCapacityProj!$D7,RefCapacity!$B$2:$B$526,2019)</f>
        <v>102.58537520007047</v>
      </c>
      <c r="AR7" cm="1">
        <f t="array" ref="AR7">$Y7*INDEX(RefCapacity!$D$2:$D$526,MATCH(1,(RefCapacity!$A$2:$A$526=RefCapacityProj!$D7)*(RefCapacity!$B$2:$B$526=2019)*(RefCapacity!$C$2:$C$526=AK$1),0))/SUMIFS(RefCapacity!$D$2:$D$526,RefCapacity!$A$2:$A$526,RefCapacityProj!$D7,RefCapacity!$B$2:$B$526,2019)</f>
        <v>81.871020592363934</v>
      </c>
      <c r="AS7" cm="1">
        <f t="array" ref="AS7">$Y7*INDEX(RefCapacity!$D$2:$D$526,MATCH(1,(RefCapacity!$A$2:$A$526=RefCapacityProj!$D7)*(RefCapacity!$B$2:$B$526=2019)*(RefCapacity!$C$2:$C$526=AL$1),0))/SUMIFS(RefCapacity!$D$2:$D$526,RefCapacity!$A$2:$A$526,RefCapacityProj!$D7,RefCapacity!$B$2:$B$526,2019)</f>
        <v>0</v>
      </c>
      <c r="AT7" cm="1">
        <f t="array" ref="AT7">$Y7*INDEX(RefCapacity!$D$2:$D$526,MATCH(1,(RefCapacity!$A$2:$A$526=RefCapacityProj!$D7)*(RefCapacity!$B$2:$B$526=2019)*(RefCapacity!$C$2:$C$526=AM$1),0))/SUMIFS(RefCapacity!$D$2:$D$526,RefCapacity!$A$2:$A$526,RefCapacityProj!$D7,RefCapacity!$B$2:$B$526,2019)</f>
        <v>93.806434437756749</v>
      </c>
      <c r="AU7" cm="1">
        <f t="array" ref="AU7">INDEX(RefCapacity!$D$2:$D$526,MATCH(1,(RefCapacity!$A$2:$A$526=RefCapacityProj!$D7)*(RefCapacity!$B$2:$B$526=2019)*(RefCapacity!$C$2:$C$526=RefCapacityProj!AG$1),0))*IF($C7=2035,1+VLOOKUP(AG$1,RefCapacity!$H$2:$L$8,2,FALSE),1+VLOOKUP(AG$1,RefCapacity!$H$2:$L$8,4,FALSE))</f>
        <v>149.79386952738412</v>
      </c>
      <c r="AV7" cm="1">
        <f t="array" ref="AV7">INDEX(RefCapacity!$D$2:$D$526,MATCH(1,(RefCapacity!$A$2:$A$526=RefCapacityProj!$D7)*(RefCapacity!$B$2:$B$526=2019)*(RefCapacity!$C$2:$C$526=RefCapacityProj!AH$1),0))*IF($C7=2035,1+VLOOKUP(AH$1,RefCapacity!$H$2:$L$8,2,FALSE),1+VLOOKUP(AH$1,RefCapacity!$H$2:$L$8,4,FALSE))</f>
        <v>1123.1713294032013</v>
      </c>
      <c r="AW7" cm="1">
        <f t="array" ref="AW7">INDEX(RefCapacity!$D$2:$D$526,MATCH(1,(RefCapacity!$A$2:$A$526=RefCapacityProj!$D7)*(RefCapacity!$B$2:$B$526=2019)*(RefCapacity!$C$2:$C$526=RefCapacityProj!AI$1),0))*IF($C7=2035,1+VLOOKUP(AI$1,RefCapacity!$H$2:$L$8,2,FALSE),1+VLOOKUP(AI$1,RefCapacity!$H$2:$L$8,4,FALSE))</f>
        <v>0</v>
      </c>
      <c r="AX7" cm="1">
        <f t="array" ref="AX7">INDEX(RefCapacity!$D$2:$D$526,MATCH(1,(RefCapacity!$A$2:$A$526=RefCapacityProj!$D7)*(RefCapacity!$B$2:$B$526=2019)*(RefCapacity!$C$2:$C$526=RefCapacityProj!AJ$1),0))*IF($C7=2035,1+VLOOKUP(AJ$1,RefCapacity!$H$2:$L$8,2,FALSE),1+VLOOKUP(AJ$1,RefCapacity!$H$2:$L$8,4,FALSE))</f>
        <v>559.06666666666661</v>
      </c>
      <c r="AY7" cm="1">
        <f t="array" ref="AY7">INDEX(RefCapacity!$D$2:$D$526,MATCH(1,(RefCapacity!$A$2:$A$526=RefCapacityProj!$D7)*(RefCapacity!$B$2:$B$526=2019)*(RefCapacity!$C$2:$C$526=RefCapacityProj!AK$1),0))*IF($C7=2035,1+VLOOKUP(AK$1,RefCapacity!$H$2:$L$8,2,FALSE),1+VLOOKUP(AK$1,RefCapacity!$H$2:$L$8,4,FALSE))</f>
        <v>233.91115364400702</v>
      </c>
      <c r="AZ7" cm="1">
        <f t="array" ref="AZ7">INDEX(RefCapacity!$D$2:$D$526,MATCH(1,(RefCapacity!$A$2:$A$526=RefCapacityProj!$D7)*(RefCapacity!$B$2:$B$526=2019)*(RefCapacity!$C$2:$C$526=RefCapacityProj!AL$1),0))*IF($C7=2035,1+VLOOKUP(AL$1,RefCapacity!$H$2:$L$8,2,FALSE),1+VLOOKUP(AL$1,RefCapacity!$H$2:$L$8,4,FALSE))</f>
        <v>0</v>
      </c>
      <c r="BA7" cm="1">
        <f t="array" ref="BA7">INDEX(RefCapacity!$D$2:$D$526,MATCH(1,(RefCapacity!$A$2:$A$526=RefCapacityProj!$D7)*(RefCapacity!$B$2:$B$526=2019)*(RefCapacity!$C$2:$C$526=RefCapacityProj!AM$1),0))*IF($C7=2035,1+VLOOKUP(AM$1,RefCapacity!$H$2:$L$8,2,FALSE),1+VLOOKUP(AM$1,RefCapacity!$H$2:$L$8,4,FALSE))</f>
        <v>194.9338643873711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f t="shared" si="4"/>
        <v>641.15096958677589</v>
      </c>
      <c r="BJ7">
        <f t="shared" si="5"/>
        <v>1.9132545875513642</v>
      </c>
      <c r="BK7">
        <f t="shared" si="6"/>
        <v>9.9999492303890491E-3</v>
      </c>
      <c r="BL7" cm="1">
        <f t="array" ref="BL7">AG7/$BI7*INDEX('GHG Emission'!$C$2:$C$1121,MATCH(1,('GHG Emission'!$D$2:$D$1121=$D7)*('GHG Emission'!$E$2:$E$1121=$C7)*('GHG Emission'!$F$2:$F$1121=$B7)*('GHG Emission'!$I$2:$I$1121=$E7)*('GHG Emission'!$J$2:$J$1121=$F7)*('GHG Emission'!$K$2:$K$1121=AG$1),0))+AH7/$BI7*INDEX('GHG Emission'!$C$2:$C$1121,MATCH(1,('GHG Emission'!$D$2:$D$1121=$D7)*('GHG Emission'!$E$2:$E$1121=$C7)*('GHG Emission'!$F$2:$F$1121=$B7)*('GHG Emission'!$I$2:$I$1121=$E7)*('GHG Emission'!$J$2:$J$1121=$F7)*('GHG Emission'!$K$2:$K$1121=AH$1),0))+AI7/$BI7*INDEX('GHG Emission'!$C$2:$C$1121,MATCH(1,('GHG Emission'!$D$2:$D$1121=$D7)*('GHG Emission'!$E$2:$E$1121=$C7)*('GHG Emission'!$F$2:$F$1121=$B7)*('GHG Emission'!$I$2:$I$1121=$E7)*('GHG Emission'!$J$2:$J$1121=$F7)*('GHG Emission'!$K$2:$K$1121=AI$1),0))+AJ7/$BI7*INDEX('GHG Emission'!$C$2:$C$1121,MATCH(1,('GHG Emission'!$D$2:$D$1121=$D7)*('GHG Emission'!$E$2:$E$1121=$C7)*('GHG Emission'!$F$2:$F$1121=$B7)*('GHG Emission'!$I$2:$I$1121=$E7)*('GHG Emission'!$J$2:$J$1121=$F7)*('GHG Emission'!$K$2:$K$1121=AJ$1),0))+AK7/$BI7*INDEX('GHG Emission'!$C$2:$C$1121,MATCH(1,('GHG Emission'!$D$2:$D$1121=$D7)*('GHG Emission'!$E$2:$E$1121=$C7)*('GHG Emission'!$F$2:$F$1121=$B7)*('GHG Emission'!$I$2:$I$1121=$E7)*('GHG Emission'!$J$2:$J$1121=$F7)*('GHG Emission'!$K$2:$K$1121=AK$1),0))+AL7/$BI7*INDEX('GHG Emission'!$C$2:$C$1121,MATCH(1,('GHG Emission'!$D$2:$D$1121=$D7)*('GHG Emission'!$E$2:$E$1121=$C7)*('GHG Emission'!$F$2:$F$1121=$B7)*('GHG Emission'!$I$2:$I$1121=$E7)*('GHG Emission'!$J$2:$J$1121=$F7)*('GHG Emission'!$K$2:$K$1121=AL$1),0))+AM7/$BI7*INDEX('GHG Emission'!$C$2:$C$1121,MATCH(1,('GHG Emission'!$D$2:$D$1121=$D7)*('GHG Emission'!$E$2:$E$1121=$C7)*('GHG Emission'!$F$2:$F$1121=$B7)*('GHG Emission'!$I$2:$I$1121=$E7)*('GHG Emission'!$J$2:$J$1121=$F7)*('GHG Emission'!$K$2:$K$1121=AM$1),0))</f>
        <v>31.992003368548627</v>
      </c>
      <c r="BM7" t="str">
        <f t="shared" si="7"/>
        <v>HEAVY/SOUR</v>
      </c>
    </row>
    <row r="8" spans="1:65" hidden="1" x14ac:dyDescent="0.25">
      <c r="A8">
        <v>7</v>
      </c>
      <c r="B8" t="s">
        <v>465</v>
      </c>
      <c r="C8">
        <v>2050</v>
      </c>
      <c r="D8">
        <v>1</v>
      </c>
      <c r="E8" t="s">
        <v>469</v>
      </c>
      <c r="F8" t="s">
        <v>467</v>
      </c>
      <c r="G8">
        <v>1035.011860720035</v>
      </c>
      <c r="H8">
        <v>80.745234797457613</v>
      </c>
      <c r="I8">
        <v>336.48167651968691</v>
      </c>
      <c r="J8">
        <v>118.57084085832106</v>
      </c>
      <c r="K8">
        <v>150.322538005761</v>
      </c>
      <c r="L8">
        <v>0</v>
      </c>
      <c r="M8">
        <v>0</v>
      </c>
      <c r="N8">
        <v>0</v>
      </c>
      <c r="O8">
        <v>0</v>
      </c>
      <c r="P8">
        <v>175.81576906160231</v>
      </c>
      <c r="Q8">
        <v>0</v>
      </c>
      <c r="R8">
        <v>0</v>
      </c>
      <c r="S8">
        <v>0</v>
      </c>
      <c r="T8">
        <v>10.451643824017232</v>
      </c>
      <c r="U8">
        <v>0</v>
      </c>
      <c r="V8">
        <v>0</v>
      </c>
      <c r="W8">
        <v>0</v>
      </c>
      <c r="X8">
        <f t="shared" si="0"/>
        <v>1907.3995637868816</v>
      </c>
      <c r="Y8">
        <f>X8*VLOOKUP($D8,'LinearReg Model'!$S$2:$T$6,2,FALSE)</f>
        <v>639.23771499922452</v>
      </c>
      <c r="Z8">
        <f t="shared" si="1"/>
        <v>0.54262980886142187</v>
      </c>
      <c r="AA8">
        <f t="shared" si="2"/>
        <v>0.17640859466888439</v>
      </c>
      <c r="AB8">
        <f t="shared" si="3"/>
        <v>4.2332627274564834E-2</v>
      </c>
      <c r="AC8">
        <v>37.317276792879753</v>
      </c>
      <c r="AD8">
        <v>0.27799592561789516</v>
      </c>
      <c r="AE8" s="2">
        <f>VLOOKUP($D8,'MultiReg Model'!$A$5:$F$9,2,FALSE)+AC8*VLOOKUP($D8,'MultiReg Model'!$A$5:$F$9,3,FALSE)+Z8*VLOOKUP($D8,'MultiReg Model'!$A$5:$F$9,4,FALSE)+AA8*VLOOKUP($D8,'MultiReg Model'!$A$5:$F$9,5,FALSE)+AB8*VLOOKUP($D8,'MultiReg Model'!$A$5:$F$9,6,FALSE)</f>
        <v>7.2474798097797759</v>
      </c>
      <c r="AF8" cm="1">
        <f t="array" ref="AF8">MMULT($AG8:$AM8,'Avg CI Index'!$C$2:$C$8)/BI8</f>
        <v>7.2574799113662518</v>
      </c>
      <c r="AG8">
        <v>110.51248037603982</v>
      </c>
      <c r="AH8">
        <v>359.69138747853333</v>
      </c>
      <c r="AI8">
        <v>0</v>
      </c>
      <c r="AJ8">
        <v>78.656780792349181</v>
      </c>
      <c r="AK8">
        <v>52.341828632143496</v>
      </c>
      <c r="AL8">
        <v>0</v>
      </c>
      <c r="AM8">
        <v>43.824450547309198</v>
      </c>
      <c r="AN8" cm="1">
        <f t="array" ref="AN8">$Y8*INDEX(RefCapacity!$D$2:$D$526,MATCH(1,(RefCapacity!$A$2:$A$526=RefCapacityProj!$D8)*(RefCapacity!$B$2:$B$526=2019)*(RefCapacity!$C$2:$C$526=AG$1),0))/SUMIFS(RefCapacity!$D$2:$D$526,RefCapacity!$A$2:$A$526,RefCapacityProj!$D8,RefCapacity!$B$2:$B$526,2019)</f>
        <v>17.163322389242563</v>
      </c>
      <c r="AO8" cm="1">
        <f t="array" ref="AO8">$Y8*INDEX(RefCapacity!$D$2:$D$526,MATCH(1,(RefCapacity!$A$2:$A$526=RefCapacityProj!$D8)*(RefCapacity!$B$2:$B$526=2019)*(RefCapacity!$C$2:$C$526=AH$1),0))/SUMIFS(RefCapacity!$D$2:$D$526,RefCapacity!$A$2:$A$526,RefCapacityProj!$D8,RefCapacity!$B$2:$B$526,2019)</f>
        <v>343.81156237979081</v>
      </c>
      <c r="AP8" cm="1">
        <f t="array" ref="AP8">$Y8*INDEX(RefCapacity!$D$2:$D$526,MATCH(1,(RefCapacity!$A$2:$A$526=RefCapacityProj!$D8)*(RefCapacity!$B$2:$B$526=2019)*(RefCapacity!$C$2:$C$526=AI$1),0))/SUMIFS(RefCapacity!$D$2:$D$526,RefCapacity!$A$2:$A$526,RefCapacityProj!$D8,RefCapacity!$B$2:$B$526,2019)</f>
        <v>0</v>
      </c>
      <c r="AQ8" cm="1">
        <f t="array" ref="AQ8">$Y8*INDEX(RefCapacity!$D$2:$D$526,MATCH(1,(RefCapacity!$A$2:$A$526=RefCapacityProj!$D8)*(RefCapacity!$B$2:$B$526=2019)*(RefCapacity!$C$2:$C$526=AJ$1),0))/SUMIFS(RefCapacity!$D$2:$D$526,RefCapacity!$A$2:$A$526,RefCapacityProj!$D8,RefCapacity!$B$2:$B$526,2019)</f>
        <v>102.58537520007047</v>
      </c>
      <c r="AR8" cm="1">
        <f t="array" ref="AR8">$Y8*INDEX(RefCapacity!$D$2:$D$526,MATCH(1,(RefCapacity!$A$2:$A$526=RefCapacityProj!$D8)*(RefCapacity!$B$2:$B$526=2019)*(RefCapacity!$C$2:$C$526=AK$1),0))/SUMIFS(RefCapacity!$D$2:$D$526,RefCapacity!$A$2:$A$526,RefCapacityProj!$D8,RefCapacity!$B$2:$B$526,2019)</f>
        <v>81.871020592363934</v>
      </c>
      <c r="AS8" cm="1">
        <f t="array" ref="AS8">$Y8*INDEX(RefCapacity!$D$2:$D$526,MATCH(1,(RefCapacity!$A$2:$A$526=RefCapacityProj!$D8)*(RefCapacity!$B$2:$B$526=2019)*(RefCapacity!$C$2:$C$526=AL$1),0))/SUMIFS(RefCapacity!$D$2:$D$526,RefCapacity!$A$2:$A$526,RefCapacityProj!$D8,RefCapacity!$B$2:$B$526,2019)</f>
        <v>0</v>
      </c>
      <c r="AT8" cm="1">
        <f t="array" ref="AT8">$Y8*INDEX(RefCapacity!$D$2:$D$526,MATCH(1,(RefCapacity!$A$2:$A$526=RefCapacityProj!$D8)*(RefCapacity!$B$2:$B$526=2019)*(RefCapacity!$C$2:$C$526=AM$1),0))/SUMIFS(RefCapacity!$D$2:$D$526,RefCapacity!$A$2:$A$526,RefCapacityProj!$D8,RefCapacity!$B$2:$B$526,2019)</f>
        <v>93.806434437756749</v>
      </c>
      <c r="AU8" cm="1">
        <f t="array" ref="AU8">INDEX(RefCapacity!$D$2:$D$526,MATCH(1,(RefCapacity!$A$2:$A$526=RefCapacityProj!$D8)*(RefCapacity!$B$2:$B$526=2019)*(RefCapacity!$C$2:$C$526=RefCapacityProj!AG$1),0))*IF($C8=2035,1+VLOOKUP(AG$1,RefCapacity!$H$2:$L$8,2,FALSE),1+VLOOKUP(AG$1,RefCapacity!$H$2:$L$8,4,FALSE))</f>
        <v>149.79386952738412</v>
      </c>
      <c r="AV8" cm="1">
        <f t="array" ref="AV8">INDEX(RefCapacity!$D$2:$D$526,MATCH(1,(RefCapacity!$A$2:$A$526=RefCapacityProj!$D8)*(RefCapacity!$B$2:$B$526=2019)*(RefCapacity!$C$2:$C$526=RefCapacityProj!AH$1),0))*IF($C8=2035,1+VLOOKUP(AH$1,RefCapacity!$H$2:$L$8,2,FALSE),1+VLOOKUP(AH$1,RefCapacity!$H$2:$L$8,4,FALSE))</f>
        <v>1123.1713294032013</v>
      </c>
      <c r="AW8" cm="1">
        <f t="array" ref="AW8">INDEX(RefCapacity!$D$2:$D$526,MATCH(1,(RefCapacity!$A$2:$A$526=RefCapacityProj!$D8)*(RefCapacity!$B$2:$B$526=2019)*(RefCapacity!$C$2:$C$526=RefCapacityProj!AI$1),0))*IF($C8=2035,1+VLOOKUP(AI$1,RefCapacity!$H$2:$L$8,2,FALSE),1+VLOOKUP(AI$1,RefCapacity!$H$2:$L$8,4,FALSE))</f>
        <v>0</v>
      </c>
      <c r="AX8" cm="1">
        <f t="array" ref="AX8">INDEX(RefCapacity!$D$2:$D$526,MATCH(1,(RefCapacity!$A$2:$A$526=RefCapacityProj!$D8)*(RefCapacity!$B$2:$B$526=2019)*(RefCapacity!$C$2:$C$526=RefCapacityProj!AJ$1),0))*IF($C8=2035,1+VLOOKUP(AJ$1,RefCapacity!$H$2:$L$8,2,FALSE),1+VLOOKUP(AJ$1,RefCapacity!$H$2:$L$8,4,FALSE))</f>
        <v>559.06666666666661</v>
      </c>
      <c r="AY8" cm="1">
        <f t="array" ref="AY8">INDEX(RefCapacity!$D$2:$D$526,MATCH(1,(RefCapacity!$A$2:$A$526=RefCapacityProj!$D8)*(RefCapacity!$B$2:$B$526=2019)*(RefCapacity!$C$2:$C$526=RefCapacityProj!AK$1),0))*IF($C8=2035,1+VLOOKUP(AK$1,RefCapacity!$H$2:$L$8,2,FALSE),1+VLOOKUP(AK$1,RefCapacity!$H$2:$L$8,4,FALSE))</f>
        <v>233.91115364400702</v>
      </c>
      <c r="AZ8" cm="1">
        <f t="array" ref="AZ8">INDEX(RefCapacity!$D$2:$D$526,MATCH(1,(RefCapacity!$A$2:$A$526=RefCapacityProj!$D8)*(RefCapacity!$B$2:$B$526=2019)*(RefCapacity!$C$2:$C$526=RefCapacityProj!AL$1),0))*IF($C8=2035,1+VLOOKUP(AL$1,RefCapacity!$H$2:$L$8,2,FALSE),1+VLOOKUP(AL$1,RefCapacity!$H$2:$L$8,4,FALSE))</f>
        <v>0</v>
      </c>
      <c r="BA8" cm="1">
        <f t="array" ref="BA8">INDEX(RefCapacity!$D$2:$D$526,MATCH(1,(RefCapacity!$A$2:$A$526=RefCapacityProj!$D8)*(RefCapacity!$B$2:$B$526=2019)*(RefCapacity!$C$2:$C$526=RefCapacityProj!AM$1),0))*IF($C8=2035,1+VLOOKUP(AM$1,RefCapacity!$H$2:$L$8,2,FALSE),1+VLOOKUP(AM$1,RefCapacity!$H$2:$L$8,4,FALSE))</f>
        <v>194.9338643873711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f t="shared" si="4"/>
        <v>645.02692782637496</v>
      </c>
      <c r="BJ8">
        <f t="shared" si="5"/>
        <v>5.7892128271504362</v>
      </c>
      <c r="BK8">
        <f t="shared" si="6"/>
        <v>1.0000101586475907E-2</v>
      </c>
      <c r="BL8" cm="1">
        <f t="array" ref="BL8">AG8/$BI8*INDEX('GHG Emission'!$C$2:$C$1121,MATCH(1,('GHG Emission'!$D$2:$D$1121=$D8)*('GHG Emission'!$E$2:$E$1121=$C8)*('GHG Emission'!$F$2:$F$1121=$B8)*('GHG Emission'!$I$2:$I$1121=$E8)*('GHG Emission'!$J$2:$J$1121=$F8)*('GHG Emission'!$K$2:$K$1121=AG$1),0))+AH8/$BI8*INDEX('GHG Emission'!$C$2:$C$1121,MATCH(1,('GHG Emission'!$D$2:$D$1121=$D8)*('GHG Emission'!$E$2:$E$1121=$C8)*('GHG Emission'!$F$2:$F$1121=$B8)*('GHG Emission'!$I$2:$I$1121=$E8)*('GHG Emission'!$J$2:$J$1121=$F8)*('GHG Emission'!$K$2:$K$1121=AH$1),0))+AI8/$BI8*INDEX('GHG Emission'!$C$2:$C$1121,MATCH(1,('GHG Emission'!$D$2:$D$1121=$D8)*('GHG Emission'!$E$2:$E$1121=$C8)*('GHG Emission'!$F$2:$F$1121=$B8)*('GHG Emission'!$I$2:$I$1121=$E8)*('GHG Emission'!$J$2:$J$1121=$F8)*('GHG Emission'!$K$2:$K$1121=AI$1),0))+AJ8/$BI8*INDEX('GHG Emission'!$C$2:$C$1121,MATCH(1,('GHG Emission'!$D$2:$D$1121=$D8)*('GHG Emission'!$E$2:$E$1121=$C8)*('GHG Emission'!$F$2:$F$1121=$B8)*('GHG Emission'!$I$2:$I$1121=$E8)*('GHG Emission'!$J$2:$J$1121=$F8)*('GHG Emission'!$K$2:$K$1121=AJ$1),0))+AK8/$BI8*INDEX('GHG Emission'!$C$2:$C$1121,MATCH(1,('GHG Emission'!$D$2:$D$1121=$D8)*('GHG Emission'!$E$2:$E$1121=$C8)*('GHG Emission'!$F$2:$F$1121=$B8)*('GHG Emission'!$I$2:$I$1121=$E8)*('GHG Emission'!$J$2:$J$1121=$F8)*('GHG Emission'!$K$2:$K$1121=AK$1),0))+AL8/$BI8*INDEX('GHG Emission'!$C$2:$C$1121,MATCH(1,('GHG Emission'!$D$2:$D$1121=$D8)*('GHG Emission'!$E$2:$E$1121=$C8)*('GHG Emission'!$F$2:$F$1121=$B8)*('GHG Emission'!$I$2:$I$1121=$E8)*('GHG Emission'!$J$2:$J$1121=$F8)*('GHG Emission'!$K$2:$K$1121=AL$1),0))+AM8/$BI8*INDEX('GHG Emission'!$C$2:$C$1121,MATCH(1,('GHG Emission'!$D$2:$D$1121=$D8)*('GHG Emission'!$E$2:$E$1121=$C8)*('GHG Emission'!$F$2:$F$1121=$B8)*('GHG Emission'!$I$2:$I$1121=$E8)*('GHG Emission'!$J$2:$J$1121=$F8)*('GHG Emission'!$K$2:$K$1121=AM$1),0))</f>
        <v>32.075597555022675</v>
      </c>
      <c r="BM8" t="str">
        <f t="shared" si="7"/>
        <v>LIGHT/SWEET</v>
      </c>
    </row>
    <row r="9" spans="1:65" hidden="1" x14ac:dyDescent="0.25">
      <c r="A9">
        <v>8</v>
      </c>
      <c r="B9" t="s">
        <v>465</v>
      </c>
      <c r="C9">
        <v>2050</v>
      </c>
      <c r="D9">
        <v>1</v>
      </c>
      <c r="E9" t="s">
        <v>469</v>
      </c>
      <c r="F9" t="s">
        <v>468</v>
      </c>
      <c r="G9">
        <v>1035.011860720035</v>
      </c>
      <c r="H9">
        <v>80.745234797457613</v>
      </c>
      <c r="I9">
        <v>336.48167651968691</v>
      </c>
      <c r="J9">
        <v>118.57084085832106</v>
      </c>
      <c r="K9">
        <v>150.322538005761</v>
      </c>
      <c r="L9">
        <v>0</v>
      </c>
      <c r="M9">
        <v>0</v>
      </c>
      <c r="N9">
        <v>0</v>
      </c>
      <c r="O9">
        <v>0</v>
      </c>
      <c r="P9">
        <v>175.81576906160231</v>
      </c>
      <c r="Q9">
        <v>0</v>
      </c>
      <c r="R9">
        <v>0</v>
      </c>
      <c r="S9">
        <v>0</v>
      </c>
      <c r="T9">
        <v>10.451643824017232</v>
      </c>
      <c r="U9">
        <v>0</v>
      </c>
      <c r="V9">
        <v>0</v>
      </c>
      <c r="W9">
        <v>0</v>
      </c>
      <c r="X9">
        <f t="shared" si="0"/>
        <v>1907.3995637868816</v>
      </c>
      <c r="Y9">
        <f>X9*VLOOKUP($D9,'LinearReg Model'!$S$2:$T$6,2,FALSE)</f>
        <v>639.23771499922452</v>
      </c>
      <c r="Z9">
        <f t="shared" si="1"/>
        <v>0.54262980886142187</v>
      </c>
      <c r="AA9">
        <f t="shared" si="2"/>
        <v>0.17640859466888439</v>
      </c>
      <c r="AB9">
        <f t="shared" si="3"/>
        <v>4.2332627274564834E-2</v>
      </c>
      <c r="AC9">
        <v>37.317276792879753</v>
      </c>
      <c r="AD9">
        <v>1.8266228074543227</v>
      </c>
      <c r="AE9" s="2">
        <f>VLOOKUP($D9,'MultiReg Model'!$A$5:$F$9,2,FALSE)+AC9*VLOOKUP($D9,'MultiReg Model'!$A$5:$F$9,3,FALSE)+Z9*VLOOKUP($D9,'MultiReg Model'!$A$5:$F$9,4,FALSE)+AA9*VLOOKUP($D9,'MultiReg Model'!$A$5:$F$9,5,FALSE)+AB9*VLOOKUP($D9,'MultiReg Model'!$A$5:$F$9,6,FALSE)</f>
        <v>7.2474798097797759</v>
      </c>
      <c r="AF9" cm="1">
        <f t="array" ref="AF9">MMULT($AG9:$AM9,'Avg CI Index'!$C$2:$C$8)/BI9</f>
        <v>7.2574799113662518</v>
      </c>
      <c r="AG9">
        <v>110.51248037603982</v>
      </c>
      <c r="AH9">
        <v>359.69138747853333</v>
      </c>
      <c r="AI9">
        <v>0</v>
      </c>
      <c r="AJ9">
        <v>78.656780792349181</v>
      </c>
      <c r="AK9">
        <v>52.341828632143496</v>
      </c>
      <c r="AL9">
        <v>0</v>
      </c>
      <c r="AM9">
        <v>43.824450547309198</v>
      </c>
      <c r="AN9" cm="1">
        <f t="array" ref="AN9">$Y9*INDEX(RefCapacity!$D$2:$D$526,MATCH(1,(RefCapacity!$A$2:$A$526=RefCapacityProj!$D9)*(RefCapacity!$B$2:$B$526=2019)*(RefCapacity!$C$2:$C$526=AG$1),0))/SUMIFS(RefCapacity!$D$2:$D$526,RefCapacity!$A$2:$A$526,RefCapacityProj!$D9,RefCapacity!$B$2:$B$526,2019)</f>
        <v>17.163322389242563</v>
      </c>
      <c r="AO9" cm="1">
        <f t="array" ref="AO9">$Y9*INDEX(RefCapacity!$D$2:$D$526,MATCH(1,(RefCapacity!$A$2:$A$526=RefCapacityProj!$D9)*(RefCapacity!$B$2:$B$526=2019)*(RefCapacity!$C$2:$C$526=AH$1),0))/SUMIFS(RefCapacity!$D$2:$D$526,RefCapacity!$A$2:$A$526,RefCapacityProj!$D9,RefCapacity!$B$2:$B$526,2019)</f>
        <v>343.81156237979081</v>
      </c>
      <c r="AP9" cm="1">
        <f t="array" ref="AP9">$Y9*INDEX(RefCapacity!$D$2:$D$526,MATCH(1,(RefCapacity!$A$2:$A$526=RefCapacityProj!$D9)*(RefCapacity!$B$2:$B$526=2019)*(RefCapacity!$C$2:$C$526=AI$1),0))/SUMIFS(RefCapacity!$D$2:$D$526,RefCapacity!$A$2:$A$526,RefCapacityProj!$D9,RefCapacity!$B$2:$B$526,2019)</f>
        <v>0</v>
      </c>
      <c r="AQ9" cm="1">
        <f t="array" ref="AQ9">$Y9*INDEX(RefCapacity!$D$2:$D$526,MATCH(1,(RefCapacity!$A$2:$A$526=RefCapacityProj!$D9)*(RefCapacity!$B$2:$B$526=2019)*(RefCapacity!$C$2:$C$526=AJ$1),0))/SUMIFS(RefCapacity!$D$2:$D$526,RefCapacity!$A$2:$A$526,RefCapacityProj!$D9,RefCapacity!$B$2:$B$526,2019)</f>
        <v>102.58537520007047</v>
      </c>
      <c r="AR9" cm="1">
        <f t="array" ref="AR9">$Y9*INDEX(RefCapacity!$D$2:$D$526,MATCH(1,(RefCapacity!$A$2:$A$526=RefCapacityProj!$D9)*(RefCapacity!$B$2:$B$526=2019)*(RefCapacity!$C$2:$C$526=AK$1),0))/SUMIFS(RefCapacity!$D$2:$D$526,RefCapacity!$A$2:$A$526,RefCapacityProj!$D9,RefCapacity!$B$2:$B$526,2019)</f>
        <v>81.871020592363934</v>
      </c>
      <c r="AS9" cm="1">
        <f t="array" ref="AS9">$Y9*INDEX(RefCapacity!$D$2:$D$526,MATCH(1,(RefCapacity!$A$2:$A$526=RefCapacityProj!$D9)*(RefCapacity!$B$2:$B$526=2019)*(RefCapacity!$C$2:$C$526=AL$1),0))/SUMIFS(RefCapacity!$D$2:$D$526,RefCapacity!$A$2:$A$526,RefCapacityProj!$D9,RefCapacity!$B$2:$B$526,2019)</f>
        <v>0</v>
      </c>
      <c r="AT9" cm="1">
        <f t="array" ref="AT9">$Y9*INDEX(RefCapacity!$D$2:$D$526,MATCH(1,(RefCapacity!$A$2:$A$526=RefCapacityProj!$D9)*(RefCapacity!$B$2:$B$526=2019)*(RefCapacity!$C$2:$C$526=AM$1),0))/SUMIFS(RefCapacity!$D$2:$D$526,RefCapacity!$A$2:$A$526,RefCapacityProj!$D9,RefCapacity!$B$2:$B$526,2019)</f>
        <v>93.806434437756749</v>
      </c>
      <c r="AU9" cm="1">
        <f t="array" ref="AU9">INDEX(RefCapacity!$D$2:$D$526,MATCH(1,(RefCapacity!$A$2:$A$526=RefCapacityProj!$D9)*(RefCapacity!$B$2:$B$526=2019)*(RefCapacity!$C$2:$C$526=RefCapacityProj!AG$1),0))*IF($C9=2035,1+VLOOKUP(AG$1,RefCapacity!$H$2:$L$8,2,FALSE),1+VLOOKUP(AG$1,RefCapacity!$H$2:$L$8,4,FALSE))</f>
        <v>149.79386952738412</v>
      </c>
      <c r="AV9" cm="1">
        <f t="array" ref="AV9">INDEX(RefCapacity!$D$2:$D$526,MATCH(1,(RefCapacity!$A$2:$A$526=RefCapacityProj!$D9)*(RefCapacity!$B$2:$B$526=2019)*(RefCapacity!$C$2:$C$526=RefCapacityProj!AH$1),0))*IF($C9=2035,1+VLOOKUP(AH$1,RefCapacity!$H$2:$L$8,2,FALSE),1+VLOOKUP(AH$1,RefCapacity!$H$2:$L$8,4,FALSE))</f>
        <v>1123.1713294032013</v>
      </c>
      <c r="AW9" cm="1">
        <f t="array" ref="AW9">INDEX(RefCapacity!$D$2:$D$526,MATCH(1,(RefCapacity!$A$2:$A$526=RefCapacityProj!$D9)*(RefCapacity!$B$2:$B$526=2019)*(RefCapacity!$C$2:$C$526=RefCapacityProj!AI$1),0))*IF($C9=2035,1+VLOOKUP(AI$1,RefCapacity!$H$2:$L$8,2,FALSE),1+VLOOKUP(AI$1,RefCapacity!$H$2:$L$8,4,FALSE))</f>
        <v>0</v>
      </c>
      <c r="AX9" cm="1">
        <f t="array" ref="AX9">INDEX(RefCapacity!$D$2:$D$526,MATCH(1,(RefCapacity!$A$2:$A$526=RefCapacityProj!$D9)*(RefCapacity!$B$2:$B$526=2019)*(RefCapacity!$C$2:$C$526=RefCapacityProj!AJ$1),0))*IF($C9=2035,1+VLOOKUP(AJ$1,RefCapacity!$H$2:$L$8,2,FALSE),1+VLOOKUP(AJ$1,RefCapacity!$H$2:$L$8,4,FALSE))</f>
        <v>559.06666666666661</v>
      </c>
      <c r="AY9" cm="1">
        <f t="array" ref="AY9">INDEX(RefCapacity!$D$2:$D$526,MATCH(1,(RefCapacity!$A$2:$A$526=RefCapacityProj!$D9)*(RefCapacity!$B$2:$B$526=2019)*(RefCapacity!$C$2:$C$526=RefCapacityProj!AK$1),0))*IF($C9=2035,1+VLOOKUP(AK$1,RefCapacity!$H$2:$L$8,2,FALSE),1+VLOOKUP(AK$1,RefCapacity!$H$2:$L$8,4,FALSE))</f>
        <v>233.91115364400702</v>
      </c>
      <c r="AZ9" cm="1">
        <f t="array" ref="AZ9">INDEX(RefCapacity!$D$2:$D$526,MATCH(1,(RefCapacity!$A$2:$A$526=RefCapacityProj!$D9)*(RefCapacity!$B$2:$B$526=2019)*(RefCapacity!$C$2:$C$526=RefCapacityProj!AL$1),0))*IF($C9=2035,1+VLOOKUP(AL$1,RefCapacity!$H$2:$L$8,2,FALSE),1+VLOOKUP(AL$1,RefCapacity!$H$2:$L$8,4,FALSE))</f>
        <v>0</v>
      </c>
      <c r="BA9" cm="1">
        <f t="array" ref="BA9">INDEX(RefCapacity!$D$2:$D$526,MATCH(1,(RefCapacity!$A$2:$A$526=RefCapacityProj!$D9)*(RefCapacity!$B$2:$B$526=2019)*(RefCapacity!$C$2:$C$526=RefCapacityProj!AM$1),0))*IF($C9=2035,1+VLOOKUP(AM$1,RefCapacity!$H$2:$L$8,2,FALSE),1+VLOOKUP(AM$1,RefCapacity!$H$2:$L$8,4,FALSE))</f>
        <v>194.9338643873711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f t="shared" si="4"/>
        <v>645.02692782637496</v>
      </c>
      <c r="BJ9">
        <f t="shared" si="5"/>
        <v>5.7892128271504362</v>
      </c>
      <c r="BK9">
        <f t="shared" si="6"/>
        <v>1.0000101586475907E-2</v>
      </c>
      <c r="BL9" cm="1">
        <f t="array" ref="BL9">AG9/$BI9*INDEX('GHG Emission'!$C$2:$C$1121,MATCH(1,('GHG Emission'!$D$2:$D$1121=$D9)*('GHG Emission'!$E$2:$E$1121=$C9)*('GHG Emission'!$F$2:$F$1121=$B9)*('GHG Emission'!$I$2:$I$1121=$E9)*('GHG Emission'!$J$2:$J$1121=$F9)*('GHG Emission'!$K$2:$K$1121=AG$1),0))+AH9/$BI9*INDEX('GHG Emission'!$C$2:$C$1121,MATCH(1,('GHG Emission'!$D$2:$D$1121=$D9)*('GHG Emission'!$E$2:$E$1121=$C9)*('GHG Emission'!$F$2:$F$1121=$B9)*('GHG Emission'!$I$2:$I$1121=$E9)*('GHG Emission'!$J$2:$J$1121=$F9)*('GHG Emission'!$K$2:$K$1121=AH$1),0))+AI9/$BI9*INDEX('GHG Emission'!$C$2:$C$1121,MATCH(1,('GHG Emission'!$D$2:$D$1121=$D9)*('GHG Emission'!$E$2:$E$1121=$C9)*('GHG Emission'!$F$2:$F$1121=$B9)*('GHG Emission'!$I$2:$I$1121=$E9)*('GHG Emission'!$J$2:$J$1121=$F9)*('GHG Emission'!$K$2:$K$1121=AI$1),0))+AJ9/$BI9*INDEX('GHG Emission'!$C$2:$C$1121,MATCH(1,('GHG Emission'!$D$2:$D$1121=$D9)*('GHG Emission'!$E$2:$E$1121=$C9)*('GHG Emission'!$F$2:$F$1121=$B9)*('GHG Emission'!$I$2:$I$1121=$E9)*('GHG Emission'!$J$2:$J$1121=$F9)*('GHG Emission'!$K$2:$K$1121=AJ$1),0))+AK9/$BI9*INDEX('GHG Emission'!$C$2:$C$1121,MATCH(1,('GHG Emission'!$D$2:$D$1121=$D9)*('GHG Emission'!$E$2:$E$1121=$C9)*('GHG Emission'!$F$2:$F$1121=$B9)*('GHG Emission'!$I$2:$I$1121=$E9)*('GHG Emission'!$J$2:$J$1121=$F9)*('GHG Emission'!$K$2:$K$1121=AK$1),0))+AL9/$BI9*INDEX('GHG Emission'!$C$2:$C$1121,MATCH(1,('GHG Emission'!$D$2:$D$1121=$D9)*('GHG Emission'!$E$2:$E$1121=$C9)*('GHG Emission'!$F$2:$F$1121=$B9)*('GHG Emission'!$I$2:$I$1121=$E9)*('GHG Emission'!$J$2:$J$1121=$F9)*('GHG Emission'!$K$2:$K$1121=AL$1),0))+AM9/$BI9*INDEX('GHG Emission'!$C$2:$C$1121,MATCH(1,('GHG Emission'!$D$2:$D$1121=$D9)*('GHG Emission'!$E$2:$E$1121=$C9)*('GHG Emission'!$F$2:$F$1121=$B9)*('GHG Emission'!$I$2:$I$1121=$E9)*('GHG Emission'!$J$2:$J$1121=$F9)*('GHG Emission'!$K$2:$K$1121=AM$1),0))</f>
        <v>33.262113937042464</v>
      </c>
      <c r="BM9" t="str">
        <f t="shared" si="7"/>
        <v>LIGHT/SOUR</v>
      </c>
    </row>
    <row r="10" spans="1:65" hidden="1" x14ac:dyDescent="0.25">
      <c r="A10">
        <v>9</v>
      </c>
      <c r="B10" t="s">
        <v>465</v>
      </c>
      <c r="C10">
        <v>2035</v>
      </c>
      <c r="D10">
        <v>2</v>
      </c>
      <c r="E10" t="s">
        <v>466</v>
      </c>
      <c r="F10" t="s">
        <v>467</v>
      </c>
      <c r="G10">
        <v>2334.9472793392815</v>
      </c>
      <c r="H10">
        <v>198.11758713828263</v>
      </c>
      <c r="I10">
        <v>1211.1971507513754</v>
      </c>
      <c r="J10">
        <v>74.484884121821509</v>
      </c>
      <c r="K10">
        <v>41.316115877463915</v>
      </c>
      <c r="L10">
        <v>29.323153592751066</v>
      </c>
      <c r="M10">
        <v>0</v>
      </c>
      <c r="N10">
        <v>0</v>
      </c>
      <c r="O10">
        <v>0</v>
      </c>
      <c r="P10">
        <v>298.48989607922942</v>
      </c>
      <c r="Q10">
        <v>0</v>
      </c>
      <c r="R10">
        <v>0</v>
      </c>
      <c r="S10">
        <v>0</v>
      </c>
      <c r="T10">
        <v>8.9774380545843417</v>
      </c>
      <c r="U10">
        <v>0</v>
      </c>
      <c r="V10">
        <v>0</v>
      </c>
      <c r="W10">
        <v>0</v>
      </c>
      <c r="X10">
        <f t="shared" si="0"/>
        <v>4196.8535049547891</v>
      </c>
      <c r="Y10">
        <f>X10*VLOOKUP($D10,'LinearReg Model'!$S$2:$T$6,2,FALSE)</f>
        <v>3465.8055193604632</v>
      </c>
      <c r="Z10">
        <f t="shared" si="1"/>
        <v>0.55635663160094861</v>
      </c>
      <c r="AA10">
        <f t="shared" si="2"/>
        <v>0.28859648051127845</v>
      </c>
      <c r="AB10">
        <f t="shared" si="3"/>
        <v>4.7206219350850766E-2</v>
      </c>
      <c r="AC10">
        <v>30.283494646922765</v>
      </c>
      <c r="AD10">
        <v>0.85848259090407375</v>
      </c>
      <c r="AE10" s="2">
        <f>VLOOKUP($D10,'MultiReg Model'!$A$5:$F$9,2,FALSE)+AC10*VLOOKUP($D10,'MultiReg Model'!$A$5:$F$9,3,FALSE)+Z10*VLOOKUP($D10,'MultiReg Model'!$A$5:$F$9,4,FALSE)+AA10*VLOOKUP($D10,'MultiReg Model'!$A$5:$F$9,5,FALSE)+AB10*VLOOKUP($D10,'MultiReg Model'!$A$5:$F$9,6,FALSE)</f>
        <v>9.6619726849597658</v>
      </c>
      <c r="AF10" cm="1">
        <f t="array" ref="AF10">MMULT($AG10:$AM10,'Avg CI Index'!$C$2:$C$8)/BI10</f>
        <v>9.6719726889607927</v>
      </c>
      <c r="AG10">
        <v>69.093112296540269</v>
      </c>
      <c r="AH10">
        <v>599.03305953025574</v>
      </c>
      <c r="AI10">
        <v>0</v>
      </c>
      <c r="AJ10">
        <v>432.53681249447618</v>
      </c>
      <c r="AK10">
        <v>1344.3428935448717</v>
      </c>
      <c r="AL10">
        <v>0</v>
      </c>
      <c r="AM10">
        <v>1049.676546229616</v>
      </c>
      <c r="AN10" cm="1">
        <f t="array" ref="AN10">$Y10*INDEX(RefCapacity!$D$2:$D$526,MATCH(1,(RefCapacity!$A$2:$A$526=RefCapacityProj!$D10)*(RefCapacity!$B$2:$B$526=2019)*(RefCapacity!$C$2:$C$526=AG$1),0))/SUMIFS(RefCapacity!$D$2:$D$526,RefCapacity!$A$2:$A$526,RefCapacityProj!$D10,RefCapacity!$B$2:$B$526,2019)</f>
        <v>21.267562482464335</v>
      </c>
      <c r="AO10" cm="1">
        <f t="array" ref="AO10">$Y10*INDEX(RefCapacity!$D$2:$D$526,MATCH(1,(RefCapacity!$A$2:$A$526=RefCapacityProj!$D10)*(RefCapacity!$B$2:$B$526=2019)*(RefCapacity!$C$2:$C$526=AH$1),0))/SUMIFS(RefCapacity!$D$2:$D$526,RefCapacity!$A$2:$A$526,RefCapacityProj!$D10,RefCapacity!$B$2:$B$526,2019)</f>
        <v>523.92748471387574</v>
      </c>
      <c r="AP10" cm="1">
        <f t="array" ref="AP10">$Y10*INDEX(RefCapacity!$D$2:$D$526,MATCH(1,(RefCapacity!$A$2:$A$526=RefCapacityProj!$D10)*(RefCapacity!$B$2:$B$526=2019)*(RefCapacity!$C$2:$C$526=AI$1),0))/SUMIFS(RefCapacity!$D$2:$D$526,RefCapacity!$A$2:$A$526,RefCapacityProj!$D10,RefCapacity!$B$2:$B$526,2019)</f>
        <v>0</v>
      </c>
      <c r="AQ10" cm="1">
        <f t="array" ref="AQ10">$Y10*INDEX(RefCapacity!$D$2:$D$526,MATCH(1,(RefCapacity!$A$2:$A$526=RefCapacityProj!$D10)*(RefCapacity!$B$2:$B$526=2019)*(RefCapacity!$C$2:$C$526=AJ$1),0))/SUMIFS(RefCapacity!$D$2:$D$526,RefCapacity!$A$2:$A$526,RefCapacityProj!$D10,RefCapacity!$B$2:$B$526,2019)</f>
        <v>441.52430096675005</v>
      </c>
      <c r="AR10" cm="1">
        <f t="array" ref="AR10">$Y10*INDEX(RefCapacity!$D$2:$D$526,MATCH(1,(RefCapacity!$A$2:$A$526=RefCapacityProj!$D10)*(RefCapacity!$B$2:$B$526=2019)*(RefCapacity!$C$2:$C$526=AK$1),0))/SUMIFS(RefCapacity!$D$2:$D$526,RefCapacity!$A$2:$A$526,RefCapacityProj!$D10,RefCapacity!$B$2:$B$526,2019)</f>
        <v>1365.2311026991258</v>
      </c>
      <c r="AS10" cm="1">
        <f t="array" ref="AS10">$Y10*INDEX(RefCapacity!$D$2:$D$526,MATCH(1,(RefCapacity!$A$2:$A$526=RefCapacityProj!$D10)*(RefCapacity!$B$2:$B$526=2019)*(RefCapacity!$C$2:$C$526=AL$1),0))/SUMIFS(RefCapacity!$D$2:$D$526,RefCapacity!$A$2:$A$526,RefCapacityProj!$D10,RefCapacity!$B$2:$B$526,2019)</f>
        <v>0</v>
      </c>
      <c r="AT10" cm="1">
        <f t="array" ref="AT10">$Y10*INDEX(RefCapacity!$D$2:$D$526,MATCH(1,(RefCapacity!$A$2:$A$526=RefCapacityProj!$D10)*(RefCapacity!$B$2:$B$526=2019)*(RefCapacity!$C$2:$C$526=AM$1),0))/SUMIFS(RefCapacity!$D$2:$D$526,RefCapacity!$A$2:$A$526,RefCapacityProj!$D10,RefCapacity!$B$2:$B$526,2019)</f>
        <v>1113.855068498247</v>
      </c>
      <c r="AU10" cm="1">
        <f t="array" ref="AU10">INDEX(RefCapacity!$D$2:$D$526,MATCH(1,(RefCapacity!$A$2:$A$526=RefCapacityProj!$D10)*(RefCapacity!$B$2:$B$526=2019)*(RefCapacity!$C$2:$C$526=RefCapacityProj!AG$1),0))*IF($C10=2035,1+VLOOKUP(AG$1,RefCapacity!$H$2:$L$8,2,FALSE),1+VLOOKUP(AG$1,RefCapacity!$H$2:$L$8,4,FALSE))</f>
        <v>69.095643226583363</v>
      </c>
      <c r="AV10" cm="1">
        <f t="array" ref="AV10">INDEX(RefCapacity!$D$2:$D$526,MATCH(1,(RefCapacity!$A$2:$A$526=RefCapacityProj!$D10)*(RefCapacity!$B$2:$B$526=2019)*(RefCapacity!$C$2:$C$526=RefCapacityProj!AH$1),0))*IF($C10=2035,1+VLOOKUP(AH$1,RefCapacity!$H$2:$L$8,2,FALSE),1+VLOOKUP(AH$1,RefCapacity!$H$2:$L$8,4,FALSE))</f>
        <v>829.70092482947541</v>
      </c>
      <c r="AW10" cm="1">
        <f t="array" ref="AW10">INDEX(RefCapacity!$D$2:$D$526,MATCH(1,(RefCapacity!$A$2:$A$526=RefCapacityProj!$D10)*(RefCapacity!$B$2:$B$526=2019)*(RefCapacity!$C$2:$C$526=RefCapacityProj!AI$1),0))*IF($C10=2035,1+VLOOKUP(AI$1,RefCapacity!$H$2:$L$8,2,FALSE),1+VLOOKUP(AI$1,RefCapacity!$H$2:$L$8,4,FALSE))</f>
        <v>0</v>
      </c>
      <c r="AX10" cm="1">
        <f t="array" ref="AX10">INDEX(RefCapacity!$D$2:$D$526,MATCH(1,(RefCapacity!$A$2:$A$526=RefCapacityProj!$D10)*(RefCapacity!$B$2:$B$526=2019)*(RefCapacity!$C$2:$C$526=RefCapacityProj!AJ$1),0))*IF($C10=2035,1+VLOOKUP(AJ$1,RefCapacity!$H$2:$L$8,2,FALSE),1+VLOOKUP(AJ$1,RefCapacity!$H$2:$L$8,4,FALSE))</f>
        <v>993.12500000000011</v>
      </c>
      <c r="AY10" cm="1">
        <f t="array" ref="AY10">INDEX(RefCapacity!$D$2:$D$526,MATCH(1,(RefCapacity!$A$2:$A$526=RefCapacityProj!$D10)*(RefCapacity!$B$2:$B$526=2019)*(RefCapacity!$C$2:$C$526=RefCapacityProj!AK$1),0))*IF($C10=2035,1+VLOOKUP(AK$1,RefCapacity!$H$2:$L$8,2,FALSE),1+VLOOKUP(AK$1,RefCapacity!$H$2:$L$8,4,FALSE))</f>
        <v>1991.4122477464978</v>
      </c>
      <c r="AZ10" cm="1">
        <f t="array" ref="AZ10">INDEX(RefCapacity!$D$2:$D$526,MATCH(1,(RefCapacity!$A$2:$A$526=RefCapacityProj!$D10)*(RefCapacity!$B$2:$B$526=2019)*(RefCapacity!$C$2:$C$526=RefCapacityProj!AL$1),0))*IF($C10=2035,1+VLOOKUP(AL$1,RefCapacity!$H$2:$L$8,2,FALSE),1+VLOOKUP(AL$1,RefCapacity!$H$2:$L$8,4,FALSE))</f>
        <v>0</v>
      </c>
      <c r="BA10" cm="1">
        <f t="array" ref="BA10">INDEX(RefCapacity!$D$2:$D$526,MATCH(1,(RefCapacity!$A$2:$A$526=RefCapacityProj!$D10)*(RefCapacity!$B$2:$B$526=2019)*(RefCapacity!$C$2:$C$526=RefCapacityProj!AM$1),0))*IF($C10=2035,1+VLOOKUP(AM$1,RefCapacity!$H$2:$L$8,2,FALSE),1+VLOOKUP(AM$1,RefCapacity!$H$2:$L$8,4,FALSE))</f>
        <v>1360.1267578285858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f t="shared" si="4"/>
        <v>3494.6824240957603</v>
      </c>
      <c r="BJ10">
        <f t="shared" si="5"/>
        <v>28.876904735297103</v>
      </c>
      <c r="BK10">
        <f t="shared" si="6"/>
        <v>1.0000004001026852E-2</v>
      </c>
      <c r="BL10" cm="1">
        <f t="array" ref="BL10">AG10/$BI10*INDEX('GHG Emission'!$C$2:$C$1121,MATCH(1,('GHG Emission'!$D$2:$D$1121=$D10)*('GHG Emission'!$E$2:$E$1121=$C10)*('GHG Emission'!$F$2:$F$1121=$B10)*('GHG Emission'!$I$2:$I$1121=$E10)*('GHG Emission'!$J$2:$J$1121=$F10)*('GHG Emission'!$K$2:$K$1121=AG$1),0))+AH10/$BI10*INDEX('GHG Emission'!$C$2:$C$1121,MATCH(1,('GHG Emission'!$D$2:$D$1121=$D10)*('GHG Emission'!$E$2:$E$1121=$C10)*('GHG Emission'!$F$2:$F$1121=$B10)*('GHG Emission'!$I$2:$I$1121=$E10)*('GHG Emission'!$J$2:$J$1121=$F10)*('GHG Emission'!$K$2:$K$1121=AH$1),0))+AI10/$BI10*INDEX('GHG Emission'!$C$2:$C$1121,MATCH(1,('GHG Emission'!$D$2:$D$1121=$D10)*('GHG Emission'!$E$2:$E$1121=$C10)*('GHG Emission'!$F$2:$F$1121=$B10)*('GHG Emission'!$I$2:$I$1121=$E10)*('GHG Emission'!$J$2:$J$1121=$F10)*('GHG Emission'!$K$2:$K$1121=AI$1),0))+AJ10/$BI10*INDEX('GHG Emission'!$C$2:$C$1121,MATCH(1,('GHG Emission'!$D$2:$D$1121=$D10)*('GHG Emission'!$E$2:$E$1121=$C10)*('GHG Emission'!$F$2:$F$1121=$B10)*('GHG Emission'!$I$2:$I$1121=$E10)*('GHG Emission'!$J$2:$J$1121=$F10)*('GHG Emission'!$K$2:$K$1121=AJ$1),0))+AK10/$BI10*INDEX('GHG Emission'!$C$2:$C$1121,MATCH(1,('GHG Emission'!$D$2:$D$1121=$D10)*('GHG Emission'!$E$2:$E$1121=$C10)*('GHG Emission'!$F$2:$F$1121=$B10)*('GHG Emission'!$I$2:$I$1121=$E10)*('GHG Emission'!$J$2:$J$1121=$F10)*('GHG Emission'!$K$2:$K$1121=AK$1),0))+AL10/$BI10*INDEX('GHG Emission'!$C$2:$C$1121,MATCH(1,('GHG Emission'!$D$2:$D$1121=$D10)*('GHG Emission'!$E$2:$E$1121=$C10)*('GHG Emission'!$F$2:$F$1121=$B10)*('GHG Emission'!$I$2:$I$1121=$E10)*('GHG Emission'!$J$2:$J$1121=$F10)*('GHG Emission'!$K$2:$K$1121=AL$1),0))+AM10/$BI10*INDEX('GHG Emission'!$C$2:$C$1121,MATCH(1,('GHG Emission'!$D$2:$D$1121=$D10)*('GHG Emission'!$E$2:$E$1121=$C10)*('GHG Emission'!$F$2:$F$1121=$B10)*('GHG Emission'!$I$2:$I$1121=$E10)*('GHG Emission'!$J$2:$J$1121=$F10)*('GHG Emission'!$K$2:$K$1121=AM$1),0))</f>
        <v>35.587587064639756</v>
      </c>
      <c r="BM10" t="str">
        <f t="shared" si="7"/>
        <v>HEAVY/SWEET</v>
      </c>
    </row>
    <row r="11" spans="1:65" x14ac:dyDescent="0.25">
      <c r="A11">
        <v>10</v>
      </c>
      <c r="B11" t="s">
        <v>465</v>
      </c>
      <c r="C11">
        <v>2035</v>
      </c>
      <c r="D11">
        <v>2</v>
      </c>
      <c r="E11" t="s">
        <v>466</v>
      </c>
      <c r="F11" t="s">
        <v>468</v>
      </c>
      <c r="G11">
        <v>2334.9472793392815</v>
      </c>
      <c r="H11">
        <v>198.11758713828263</v>
      </c>
      <c r="I11">
        <v>1211.1971507513754</v>
      </c>
      <c r="J11">
        <v>74.484884121821509</v>
      </c>
      <c r="K11">
        <v>41.316115877463915</v>
      </c>
      <c r="L11">
        <v>29.323153592751066</v>
      </c>
      <c r="M11">
        <v>0</v>
      </c>
      <c r="N11">
        <v>0</v>
      </c>
      <c r="O11">
        <v>0</v>
      </c>
      <c r="P11">
        <v>298.48989607922942</v>
      </c>
      <c r="Q11">
        <v>0</v>
      </c>
      <c r="R11">
        <v>0</v>
      </c>
      <c r="S11">
        <v>0</v>
      </c>
      <c r="T11">
        <v>8.9774380545843417</v>
      </c>
      <c r="U11">
        <v>0</v>
      </c>
      <c r="V11">
        <v>0</v>
      </c>
      <c r="W11">
        <v>0</v>
      </c>
      <c r="X11">
        <f t="shared" si="0"/>
        <v>4196.8535049547891</v>
      </c>
      <c r="Y11">
        <f>X11*VLOOKUP($D11,'LinearReg Model'!$S$2:$T$6,2,FALSE)</f>
        <v>3465.8055193604632</v>
      </c>
      <c r="Z11">
        <f t="shared" si="1"/>
        <v>0.55635663160094861</v>
      </c>
      <c r="AA11">
        <f t="shared" si="2"/>
        <v>0.28859648051127845</v>
      </c>
      <c r="AB11">
        <f t="shared" si="3"/>
        <v>4.7206219350850766E-2</v>
      </c>
      <c r="AC11">
        <v>30.283494646922765</v>
      </c>
      <c r="AD11">
        <v>2.3964868933205583</v>
      </c>
      <c r="AE11" s="2">
        <f>VLOOKUP($D11,'MultiReg Model'!$A$5:$F$9,2,FALSE)+AC11*VLOOKUP($D11,'MultiReg Model'!$A$5:$F$9,3,FALSE)+Z11*VLOOKUP($D11,'MultiReg Model'!$A$5:$F$9,4,FALSE)+AA11*VLOOKUP($D11,'MultiReg Model'!$A$5:$F$9,5,FALSE)+AB11*VLOOKUP($D11,'MultiReg Model'!$A$5:$F$9,6,FALSE)</f>
        <v>9.6619726849597658</v>
      </c>
      <c r="AF11" cm="1">
        <f t="array" ref="AF11">MMULT($AG11:$AM11,'Avg CI Index'!$C$2:$C$8)/BI11</f>
        <v>9.6719726889607927</v>
      </c>
      <c r="AG11">
        <v>69.093112296540269</v>
      </c>
      <c r="AH11">
        <v>599.03305953025574</v>
      </c>
      <c r="AI11">
        <v>0</v>
      </c>
      <c r="AJ11">
        <v>432.53681249447618</v>
      </c>
      <c r="AK11">
        <v>1344.3428935448717</v>
      </c>
      <c r="AL11">
        <v>0</v>
      </c>
      <c r="AM11">
        <v>1049.676546229616</v>
      </c>
      <c r="AN11" cm="1">
        <f t="array" ref="AN11">$Y11*INDEX(RefCapacity!$D$2:$D$526,MATCH(1,(RefCapacity!$A$2:$A$526=RefCapacityProj!$D11)*(RefCapacity!$B$2:$B$526=2019)*(RefCapacity!$C$2:$C$526=AG$1),0))/SUMIFS(RefCapacity!$D$2:$D$526,RefCapacity!$A$2:$A$526,RefCapacityProj!$D11,RefCapacity!$B$2:$B$526,2019)</f>
        <v>21.267562482464335</v>
      </c>
      <c r="AO11" cm="1">
        <f t="array" ref="AO11">$Y11*INDEX(RefCapacity!$D$2:$D$526,MATCH(1,(RefCapacity!$A$2:$A$526=RefCapacityProj!$D11)*(RefCapacity!$B$2:$B$526=2019)*(RefCapacity!$C$2:$C$526=AH$1),0))/SUMIFS(RefCapacity!$D$2:$D$526,RefCapacity!$A$2:$A$526,RefCapacityProj!$D11,RefCapacity!$B$2:$B$526,2019)</f>
        <v>523.92748471387574</v>
      </c>
      <c r="AP11" cm="1">
        <f t="array" ref="AP11">$Y11*INDEX(RefCapacity!$D$2:$D$526,MATCH(1,(RefCapacity!$A$2:$A$526=RefCapacityProj!$D11)*(RefCapacity!$B$2:$B$526=2019)*(RefCapacity!$C$2:$C$526=AI$1),0))/SUMIFS(RefCapacity!$D$2:$D$526,RefCapacity!$A$2:$A$526,RefCapacityProj!$D11,RefCapacity!$B$2:$B$526,2019)</f>
        <v>0</v>
      </c>
      <c r="AQ11" cm="1">
        <f t="array" ref="AQ11">$Y11*INDEX(RefCapacity!$D$2:$D$526,MATCH(1,(RefCapacity!$A$2:$A$526=RefCapacityProj!$D11)*(RefCapacity!$B$2:$B$526=2019)*(RefCapacity!$C$2:$C$526=AJ$1),0))/SUMIFS(RefCapacity!$D$2:$D$526,RefCapacity!$A$2:$A$526,RefCapacityProj!$D11,RefCapacity!$B$2:$B$526,2019)</f>
        <v>441.52430096675005</v>
      </c>
      <c r="AR11" cm="1">
        <f t="array" ref="AR11">$Y11*INDEX(RefCapacity!$D$2:$D$526,MATCH(1,(RefCapacity!$A$2:$A$526=RefCapacityProj!$D11)*(RefCapacity!$B$2:$B$526=2019)*(RefCapacity!$C$2:$C$526=AK$1),0))/SUMIFS(RefCapacity!$D$2:$D$526,RefCapacity!$A$2:$A$526,RefCapacityProj!$D11,RefCapacity!$B$2:$B$526,2019)</f>
        <v>1365.2311026991258</v>
      </c>
      <c r="AS11" cm="1">
        <f t="array" ref="AS11">$Y11*INDEX(RefCapacity!$D$2:$D$526,MATCH(1,(RefCapacity!$A$2:$A$526=RefCapacityProj!$D11)*(RefCapacity!$B$2:$B$526=2019)*(RefCapacity!$C$2:$C$526=AL$1),0))/SUMIFS(RefCapacity!$D$2:$D$526,RefCapacity!$A$2:$A$526,RefCapacityProj!$D11,RefCapacity!$B$2:$B$526,2019)</f>
        <v>0</v>
      </c>
      <c r="AT11" cm="1">
        <f t="array" ref="AT11">$Y11*INDEX(RefCapacity!$D$2:$D$526,MATCH(1,(RefCapacity!$A$2:$A$526=RefCapacityProj!$D11)*(RefCapacity!$B$2:$B$526=2019)*(RefCapacity!$C$2:$C$526=AM$1),0))/SUMIFS(RefCapacity!$D$2:$D$526,RefCapacity!$A$2:$A$526,RefCapacityProj!$D11,RefCapacity!$B$2:$B$526,2019)</f>
        <v>1113.855068498247</v>
      </c>
      <c r="AU11" cm="1">
        <f t="array" ref="AU11">INDEX(RefCapacity!$D$2:$D$526,MATCH(1,(RefCapacity!$A$2:$A$526=RefCapacityProj!$D11)*(RefCapacity!$B$2:$B$526=2019)*(RefCapacity!$C$2:$C$526=RefCapacityProj!AG$1),0))*IF($C11=2035,1+VLOOKUP(AG$1,RefCapacity!$H$2:$L$8,2,FALSE),1+VLOOKUP(AG$1,RefCapacity!$H$2:$L$8,4,FALSE))</f>
        <v>69.095643226583363</v>
      </c>
      <c r="AV11" cm="1">
        <f t="array" ref="AV11">INDEX(RefCapacity!$D$2:$D$526,MATCH(1,(RefCapacity!$A$2:$A$526=RefCapacityProj!$D11)*(RefCapacity!$B$2:$B$526=2019)*(RefCapacity!$C$2:$C$526=RefCapacityProj!AH$1),0))*IF($C11=2035,1+VLOOKUP(AH$1,RefCapacity!$H$2:$L$8,2,FALSE),1+VLOOKUP(AH$1,RefCapacity!$H$2:$L$8,4,FALSE))</f>
        <v>829.70092482947541</v>
      </c>
      <c r="AW11" cm="1">
        <f t="array" ref="AW11">INDEX(RefCapacity!$D$2:$D$526,MATCH(1,(RefCapacity!$A$2:$A$526=RefCapacityProj!$D11)*(RefCapacity!$B$2:$B$526=2019)*(RefCapacity!$C$2:$C$526=RefCapacityProj!AI$1),0))*IF($C11=2035,1+VLOOKUP(AI$1,RefCapacity!$H$2:$L$8,2,FALSE),1+VLOOKUP(AI$1,RefCapacity!$H$2:$L$8,4,FALSE))</f>
        <v>0</v>
      </c>
      <c r="AX11" cm="1">
        <f t="array" ref="AX11">INDEX(RefCapacity!$D$2:$D$526,MATCH(1,(RefCapacity!$A$2:$A$526=RefCapacityProj!$D11)*(RefCapacity!$B$2:$B$526=2019)*(RefCapacity!$C$2:$C$526=RefCapacityProj!AJ$1),0))*IF($C11=2035,1+VLOOKUP(AJ$1,RefCapacity!$H$2:$L$8,2,FALSE),1+VLOOKUP(AJ$1,RefCapacity!$H$2:$L$8,4,FALSE))</f>
        <v>993.12500000000011</v>
      </c>
      <c r="AY11" cm="1">
        <f t="array" ref="AY11">INDEX(RefCapacity!$D$2:$D$526,MATCH(1,(RefCapacity!$A$2:$A$526=RefCapacityProj!$D11)*(RefCapacity!$B$2:$B$526=2019)*(RefCapacity!$C$2:$C$526=RefCapacityProj!AK$1),0))*IF($C11=2035,1+VLOOKUP(AK$1,RefCapacity!$H$2:$L$8,2,FALSE),1+VLOOKUP(AK$1,RefCapacity!$H$2:$L$8,4,FALSE))</f>
        <v>1991.4122477464978</v>
      </c>
      <c r="AZ11" cm="1">
        <f t="array" ref="AZ11">INDEX(RefCapacity!$D$2:$D$526,MATCH(1,(RefCapacity!$A$2:$A$526=RefCapacityProj!$D11)*(RefCapacity!$B$2:$B$526=2019)*(RefCapacity!$C$2:$C$526=RefCapacityProj!AL$1),0))*IF($C11=2035,1+VLOOKUP(AL$1,RefCapacity!$H$2:$L$8,2,FALSE),1+VLOOKUP(AL$1,RefCapacity!$H$2:$L$8,4,FALSE))</f>
        <v>0</v>
      </c>
      <c r="BA11" cm="1">
        <f t="array" ref="BA11">INDEX(RefCapacity!$D$2:$D$526,MATCH(1,(RefCapacity!$A$2:$A$526=RefCapacityProj!$D11)*(RefCapacity!$B$2:$B$526=2019)*(RefCapacity!$C$2:$C$526=RefCapacityProj!AM$1),0))*IF($C11=2035,1+VLOOKUP(AM$1,RefCapacity!$H$2:$L$8,2,FALSE),1+VLOOKUP(AM$1,RefCapacity!$H$2:$L$8,4,FALSE))</f>
        <v>1360.1267578285858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f t="shared" si="4"/>
        <v>3494.6824240957603</v>
      </c>
      <c r="BJ11">
        <f t="shared" si="5"/>
        <v>28.876904735297103</v>
      </c>
      <c r="BK11">
        <f t="shared" si="6"/>
        <v>1.0000004001026852E-2</v>
      </c>
      <c r="BL11" cm="1">
        <f t="array" ref="BL11">AG11/$BI11*INDEX('GHG Emission'!$C$2:$C$1121,MATCH(1,('GHG Emission'!$D$2:$D$1121=$D11)*('GHG Emission'!$E$2:$E$1121=$C11)*('GHG Emission'!$F$2:$F$1121=$B11)*('GHG Emission'!$I$2:$I$1121=$E11)*('GHG Emission'!$J$2:$J$1121=$F11)*('GHG Emission'!$K$2:$K$1121=AG$1),0))+AH11/$BI11*INDEX('GHG Emission'!$C$2:$C$1121,MATCH(1,('GHG Emission'!$D$2:$D$1121=$D11)*('GHG Emission'!$E$2:$E$1121=$C11)*('GHG Emission'!$F$2:$F$1121=$B11)*('GHG Emission'!$I$2:$I$1121=$E11)*('GHG Emission'!$J$2:$J$1121=$F11)*('GHG Emission'!$K$2:$K$1121=AH$1),0))+AI11/$BI11*INDEX('GHG Emission'!$C$2:$C$1121,MATCH(1,('GHG Emission'!$D$2:$D$1121=$D11)*('GHG Emission'!$E$2:$E$1121=$C11)*('GHG Emission'!$F$2:$F$1121=$B11)*('GHG Emission'!$I$2:$I$1121=$E11)*('GHG Emission'!$J$2:$J$1121=$F11)*('GHG Emission'!$K$2:$K$1121=AI$1),0))+AJ11/$BI11*INDEX('GHG Emission'!$C$2:$C$1121,MATCH(1,('GHG Emission'!$D$2:$D$1121=$D11)*('GHG Emission'!$E$2:$E$1121=$C11)*('GHG Emission'!$F$2:$F$1121=$B11)*('GHG Emission'!$I$2:$I$1121=$E11)*('GHG Emission'!$J$2:$J$1121=$F11)*('GHG Emission'!$K$2:$K$1121=AJ$1),0))+AK11/$BI11*INDEX('GHG Emission'!$C$2:$C$1121,MATCH(1,('GHG Emission'!$D$2:$D$1121=$D11)*('GHG Emission'!$E$2:$E$1121=$C11)*('GHG Emission'!$F$2:$F$1121=$B11)*('GHG Emission'!$I$2:$I$1121=$E11)*('GHG Emission'!$J$2:$J$1121=$F11)*('GHG Emission'!$K$2:$K$1121=AK$1),0))+AL11/$BI11*INDEX('GHG Emission'!$C$2:$C$1121,MATCH(1,('GHG Emission'!$D$2:$D$1121=$D11)*('GHG Emission'!$E$2:$E$1121=$C11)*('GHG Emission'!$F$2:$F$1121=$B11)*('GHG Emission'!$I$2:$I$1121=$E11)*('GHG Emission'!$J$2:$J$1121=$F11)*('GHG Emission'!$K$2:$K$1121=AL$1),0))+AM11/$BI11*INDEX('GHG Emission'!$C$2:$C$1121,MATCH(1,('GHG Emission'!$D$2:$D$1121=$D11)*('GHG Emission'!$E$2:$E$1121=$C11)*('GHG Emission'!$F$2:$F$1121=$B11)*('GHG Emission'!$I$2:$I$1121=$E11)*('GHG Emission'!$J$2:$J$1121=$F11)*('GHG Emission'!$K$2:$K$1121=AM$1),0))</f>
        <v>35.999051719998036</v>
      </c>
      <c r="BM11" t="str">
        <f t="shared" si="7"/>
        <v>HEAVY/SOUR</v>
      </c>
    </row>
    <row r="12" spans="1:65" hidden="1" x14ac:dyDescent="0.25">
      <c r="A12">
        <v>11</v>
      </c>
      <c r="B12" t="s">
        <v>465</v>
      </c>
      <c r="C12">
        <v>2035</v>
      </c>
      <c r="D12">
        <v>2</v>
      </c>
      <c r="E12" t="s">
        <v>469</v>
      </c>
      <c r="F12" t="s">
        <v>467</v>
      </c>
      <c r="G12">
        <v>2334.9472793392815</v>
      </c>
      <c r="H12">
        <v>198.11758713828263</v>
      </c>
      <c r="I12">
        <v>1211.1971507513754</v>
      </c>
      <c r="J12">
        <v>74.484884121821509</v>
      </c>
      <c r="K12">
        <v>41.316115877463915</v>
      </c>
      <c r="L12">
        <v>29.323153592751066</v>
      </c>
      <c r="M12">
        <v>0</v>
      </c>
      <c r="N12">
        <v>0</v>
      </c>
      <c r="O12">
        <v>0</v>
      </c>
      <c r="P12">
        <v>298.48989607922942</v>
      </c>
      <c r="Q12">
        <v>0</v>
      </c>
      <c r="R12">
        <v>0</v>
      </c>
      <c r="S12">
        <v>0</v>
      </c>
      <c r="T12">
        <v>8.9774380545843417</v>
      </c>
      <c r="U12">
        <v>0</v>
      </c>
      <c r="V12">
        <v>0</v>
      </c>
      <c r="W12">
        <v>0</v>
      </c>
      <c r="X12">
        <f t="shared" si="0"/>
        <v>4196.8535049547891</v>
      </c>
      <c r="Y12">
        <f>X12*VLOOKUP($D12,'LinearReg Model'!$S$2:$T$6,2,FALSE)</f>
        <v>3465.8055193604632</v>
      </c>
      <c r="Z12">
        <f t="shared" si="1"/>
        <v>0.55635663160094861</v>
      </c>
      <c r="AA12">
        <f t="shared" si="2"/>
        <v>0.28859648051127845</v>
      </c>
      <c r="AB12">
        <f t="shared" si="3"/>
        <v>4.7206219350850766E-2</v>
      </c>
      <c r="AC12">
        <v>34.957728681668918</v>
      </c>
      <c r="AD12">
        <v>0.85848259090407375</v>
      </c>
      <c r="AE12" s="2">
        <f>VLOOKUP($D12,'MultiReg Model'!$A$5:$F$9,2,FALSE)+AC12*VLOOKUP($D12,'MultiReg Model'!$A$5:$F$9,3,FALSE)+Z12*VLOOKUP($D12,'MultiReg Model'!$A$5:$F$9,4,FALSE)+AA12*VLOOKUP($D12,'MultiReg Model'!$A$5:$F$9,5,FALSE)+AB12*VLOOKUP($D12,'MultiReg Model'!$A$5:$F$9,6,FALSE)</f>
        <v>9.3728395805507958</v>
      </c>
      <c r="AF12" cm="1">
        <f t="array" ref="AF12">MMULT($AG12:$AM12,'Avg CI Index'!$C$2:$C$8)/BI12</f>
        <v>9.3828396241765031</v>
      </c>
      <c r="AG12">
        <v>69.094409156970343</v>
      </c>
      <c r="AH12">
        <v>829.69674757506368</v>
      </c>
      <c r="AI12">
        <v>0</v>
      </c>
      <c r="AJ12">
        <v>463.43746656245816</v>
      </c>
      <c r="AK12">
        <v>1306.6174475700918</v>
      </c>
      <c r="AL12">
        <v>0</v>
      </c>
      <c r="AM12">
        <v>762.305134057788</v>
      </c>
      <c r="AN12" cm="1">
        <f t="array" ref="AN12">$Y12*INDEX(RefCapacity!$D$2:$D$526,MATCH(1,(RefCapacity!$A$2:$A$526=RefCapacityProj!$D12)*(RefCapacity!$B$2:$B$526=2019)*(RefCapacity!$C$2:$C$526=AG$1),0))/SUMIFS(RefCapacity!$D$2:$D$526,RefCapacity!$A$2:$A$526,RefCapacityProj!$D12,RefCapacity!$B$2:$B$526,2019)</f>
        <v>21.267562482464335</v>
      </c>
      <c r="AO12" cm="1">
        <f t="array" ref="AO12">$Y12*INDEX(RefCapacity!$D$2:$D$526,MATCH(1,(RefCapacity!$A$2:$A$526=RefCapacityProj!$D12)*(RefCapacity!$B$2:$B$526=2019)*(RefCapacity!$C$2:$C$526=AH$1),0))/SUMIFS(RefCapacity!$D$2:$D$526,RefCapacity!$A$2:$A$526,RefCapacityProj!$D12,RefCapacity!$B$2:$B$526,2019)</f>
        <v>523.92748471387574</v>
      </c>
      <c r="AP12" cm="1">
        <f t="array" ref="AP12">$Y12*INDEX(RefCapacity!$D$2:$D$526,MATCH(1,(RefCapacity!$A$2:$A$526=RefCapacityProj!$D12)*(RefCapacity!$B$2:$B$526=2019)*(RefCapacity!$C$2:$C$526=AI$1),0))/SUMIFS(RefCapacity!$D$2:$D$526,RefCapacity!$A$2:$A$526,RefCapacityProj!$D12,RefCapacity!$B$2:$B$526,2019)</f>
        <v>0</v>
      </c>
      <c r="AQ12" cm="1">
        <f t="array" ref="AQ12">$Y12*INDEX(RefCapacity!$D$2:$D$526,MATCH(1,(RefCapacity!$A$2:$A$526=RefCapacityProj!$D12)*(RefCapacity!$B$2:$B$526=2019)*(RefCapacity!$C$2:$C$526=AJ$1),0))/SUMIFS(RefCapacity!$D$2:$D$526,RefCapacity!$A$2:$A$526,RefCapacityProj!$D12,RefCapacity!$B$2:$B$526,2019)</f>
        <v>441.52430096675005</v>
      </c>
      <c r="AR12" cm="1">
        <f t="array" ref="AR12">$Y12*INDEX(RefCapacity!$D$2:$D$526,MATCH(1,(RefCapacity!$A$2:$A$526=RefCapacityProj!$D12)*(RefCapacity!$B$2:$B$526=2019)*(RefCapacity!$C$2:$C$526=AK$1),0))/SUMIFS(RefCapacity!$D$2:$D$526,RefCapacity!$A$2:$A$526,RefCapacityProj!$D12,RefCapacity!$B$2:$B$526,2019)</f>
        <v>1365.2311026991258</v>
      </c>
      <c r="AS12" cm="1">
        <f t="array" ref="AS12">$Y12*INDEX(RefCapacity!$D$2:$D$526,MATCH(1,(RefCapacity!$A$2:$A$526=RefCapacityProj!$D12)*(RefCapacity!$B$2:$B$526=2019)*(RefCapacity!$C$2:$C$526=AL$1),0))/SUMIFS(RefCapacity!$D$2:$D$526,RefCapacity!$A$2:$A$526,RefCapacityProj!$D12,RefCapacity!$B$2:$B$526,2019)</f>
        <v>0</v>
      </c>
      <c r="AT12" cm="1">
        <f t="array" ref="AT12">$Y12*INDEX(RefCapacity!$D$2:$D$526,MATCH(1,(RefCapacity!$A$2:$A$526=RefCapacityProj!$D12)*(RefCapacity!$B$2:$B$526=2019)*(RefCapacity!$C$2:$C$526=AM$1),0))/SUMIFS(RefCapacity!$D$2:$D$526,RefCapacity!$A$2:$A$526,RefCapacityProj!$D12,RefCapacity!$B$2:$B$526,2019)</f>
        <v>1113.855068498247</v>
      </c>
      <c r="AU12" cm="1">
        <f t="array" ref="AU12">INDEX(RefCapacity!$D$2:$D$526,MATCH(1,(RefCapacity!$A$2:$A$526=RefCapacityProj!$D12)*(RefCapacity!$B$2:$B$526=2019)*(RefCapacity!$C$2:$C$526=RefCapacityProj!AG$1),0))*IF($C12=2035,1+VLOOKUP(AG$1,RefCapacity!$H$2:$L$8,2,FALSE),1+VLOOKUP(AG$1,RefCapacity!$H$2:$L$8,4,FALSE))</f>
        <v>69.095643226583363</v>
      </c>
      <c r="AV12" cm="1">
        <f t="array" ref="AV12">INDEX(RefCapacity!$D$2:$D$526,MATCH(1,(RefCapacity!$A$2:$A$526=RefCapacityProj!$D12)*(RefCapacity!$B$2:$B$526=2019)*(RefCapacity!$C$2:$C$526=RefCapacityProj!AH$1),0))*IF($C12=2035,1+VLOOKUP(AH$1,RefCapacity!$H$2:$L$8,2,FALSE),1+VLOOKUP(AH$1,RefCapacity!$H$2:$L$8,4,FALSE))</f>
        <v>829.70092482947541</v>
      </c>
      <c r="AW12" cm="1">
        <f t="array" ref="AW12">INDEX(RefCapacity!$D$2:$D$526,MATCH(1,(RefCapacity!$A$2:$A$526=RefCapacityProj!$D12)*(RefCapacity!$B$2:$B$526=2019)*(RefCapacity!$C$2:$C$526=RefCapacityProj!AI$1),0))*IF($C12=2035,1+VLOOKUP(AI$1,RefCapacity!$H$2:$L$8,2,FALSE),1+VLOOKUP(AI$1,RefCapacity!$H$2:$L$8,4,FALSE))</f>
        <v>0</v>
      </c>
      <c r="AX12" cm="1">
        <f t="array" ref="AX12">INDEX(RefCapacity!$D$2:$D$526,MATCH(1,(RefCapacity!$A$2:$A$526=RefCapacityProj!$D12)*(RefCapacity!$B$2:$B$526=2019)*(RefCapacity!$C$2:$C$526=RefCapacityProj!AJ$1),0))*IF($C12=2035,1+VLOOKUP(AJ$1,RefCapacity!$H$2:$L$8,2,FALSE),1+VLOOKUP(AJ$1,RefCapacity!$H$2:$L$8,4,FALSE))</f>
        <v>993.12500000000011</v>
      </c>
      <c r="AY12" cm="1">
        <f t="array" ref="AY12">INDEX(RefCapacity!$D$2:$D$526,MATCH(1,(RefCapacity!$A$2:$A$526=RefCapacityProj!$D12)*(RefCapacity!$B$2:$B$526=2019)*(RefCapacity!$C$2:$C$526=RefCapacityProj!AK$1),0))*IF($C12=2035,1+VLOOKUP(AK$1,RefCapacity!$H$2:$L$8,2,FALSE),1+VLOOKUP(AK$1,RefCapacity!$H$2:$L$8,4,FALSE))</f>
        <v>1991.4122477464978</v>
      </c>
      <c r="AZ12" cm="1">
        <f t="array" ref="AZ12">INDEX(RefCapacity!$D$2:$D$526,MATCH(1,(RefCapacity!$A$2:$A$526=RefCapacityProj!$D12)*(RefCapacity!$B$2:$B$526=2019)*(RefCapacity!$C$2:$C$526=RefCapacityProj!AL$1),0))*IF($C12=2035,1+VLOOKUP(AL$1,RefCapacity!$H$2:$L$8,2,FALSE),1+VLOOKUP(AL$1,RefCapacity!$H$2:$L$8,4,FALSE))</f>
        <v>0</v>
      </c>
      <c r="BA12" cm="1">
        <f t="array" ref="BA12">INDEX(RefCapacity!$D$2:$D$526,MATCH(1,(RefCapacity!$A$2:$A$526=RefCapacityProj!$D12)*(RefCapacity!$B$2:$B$526=2019)*(RefCapacity!$C$2:$C$526=RefCapacityProj!AM$1),0))*IF($C12=2035,1+VLOOKUP(AM$1,RefCapacity!$H$2:$L$8,2,FALSE),1+VLOOKUP(AM$1,RefCapacity!$H$2:$L$8,4,FALSE))</f>
        <v>1360.1267578285858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f t="shared" si="4"/>
        <v>3431.151204922372</v>
      </c>
      <c r="BJ12">
        <f t="shared" si="5"/>
        <v>34.654314438091205</v>
      </c>
      <c r="BK12">
        <f t="shared" si="6"/>
        <v>1.0000043625707278E-2</v>
      </c>
      <c r="BL12" cm="1">
        <f t="array" ref="BL12">AG12/$BI12*INDEX('GHG Emission'!$C$2:$C$1121,MATCH(1,('GHG Emission'!$D$2:$D$1121=$D12)*('GHG Emission'!$E$2:$E$1121=$C12)*('GHG Emission'!$F$2:$F$1121=$B12)*('GHG Emission'!$I$2:$I$1121=$E12)*('GHG Emission'!$J$2:$J$1121=$F12)*('GHG Emission'!$K$2:$K$1121=AG$1),0))+AH12/$BI12*INDEX('GHG Emission'!$C$2:$C$1121,MATCH(1,('GHG Emission'!$D$2:$D$1121=$D12)*('GHG Emission'!$E$2:$E$1121=$C12)*('GHG Emission'!$F$2:$F$1121=$B12)*('GHG Emission'!$I$2:$I$1121=$E12)*('GHG Emission'!$J$2:$J$1121=$F12)*('GHG Emission'!$K$2:$K$1121=AH$1),0))+AI12/$BI12*INDEX('GHG Emission'!$C$2:$C$1121,MATCH(1,('GHG Emission'!$D$2:$D$1121=$D12)*('GHG Emission'!$E$2:$E$1121=$C12)*('GHG Emission'!$F$2:$F$1121=$B12)*('GHG Emission'!$I$2:$I$1121=$E12)*('GHG Emission'!$J$2:$J$1121=$F12)*('GHG Emission'!$K$2:$K$1121=AI$1),0))+AJ12/$BI12*INDEX('GHG Emission'!$C$2:$C$1121,MATCH(1,('GHG Emission'!$D$2:$D$1121=$D12)*('GHG Emission'!$E$2:$E$1121=$C12)*('GHG Emission'!$F$2:$F$1121=$B12)*('GHG Emission'!$I$2:$I$1121=$E12)*('GHG Emission'!$J$2:$J$1121=$F12)*('GHG Emission'!$K$2:$K$1121=AJ$1),0))+AK12/$BI12*INDEX('GHG Emission'!$C$2:$C$1121,MATCH(1,('GHG Emission'!$D$2:$D$1121=$D12)*('GHG Emission'!$E$2:$E$1121=$C12)*('GHG Emission'!$F$2:$F$1121=$B12)*('GHG Emission'!$I$2:$I$1121=$E12)*('GHG Emission'!$J$2:$J$1121=$F12)*('GHG Emission'!$K$2:$K$1121=AK$1),0))+AL12/$BI12*INDEX('GHG Emission'!$C$2:$C$1121,MATCH(1,('GHG Emission'!$D$2:$D$1121=$D12)*('GHG Emission'!$E$2:$E$1121=$C12)*('GHG Emission'!$F$2:$F$1121=$B12)*('GHG Emission'!$I$2:$I$1121=$E12)*('GHG Emission'!$J$2:$J$1121=$F12)*('GHG Emission'!$K$2:$K$1121=AL$1),0))+AM12/$BI12*INDEX('GHG Emission'!$C$2:$C$1121,MATCH(1,('GHG Emission'!$D$2:$D$1121=$D12)*('GHG Emission'!$E$2:$E$1121=$C12)*('GHG Emission'!$F$2:$F$1121=$B12)*('GHG Emission'!$I$2:$I$1121=$E12)*('GHG Emission'!$J$2:$J$1121=$F12)*('GHG Emission'!$K$2:$K$1121=AM$1),0))</f>
        <v>35.371406658914395</v>
      </c>
      <c r="BM12" t="str">
        <f t="shared" si="7"/>
        <v>LIGHT/SWEET</v>
      </c>
    </row>
    <row r="13" spans="1:65" hidden="1" x14ac:dyDescent="0.25">
      <c r="A13">
        <v>12</v>
      </c>
      <c r="B13" t="s">
        <v>465</v>
      </c>
      <c r="C13">
        <v>2035</v>
      </c>
      <c r="D13">
        <v>2</v>
      </c>
      <c r="E13" t="s">
        <v>469</v>
      </c>
      <c r="F13" t="s">
        <v>468</v>
      </c>
      <c r="G13">
        <v>2334.9472793392815</v>
      </c>
      <c r="H13">
        <v>198.11758713828263</v>
      </c>
      <c r="I13">
        <v>1211.1971507513754</v>
      </c>
      <c r="J13">
        <v>74.484884121821509</v>
      </c>
      <c r="K13">
        <v>41.316115877463915</v>
      </c>
      <c r="L13">
        <v>29.323153592751066</v>
      </c>
      <c r="M13">
        <v>0</v>
      </c>
      <c r="N13">
        <v>0</v>
      </c>
      <c r="O13">
        <v>0</v>
      </c>
      <c r="P13">
        <v>298.48989607922942</v>
      </c>
      <c r="Q13">
        <v>0</v>
      </c>
      <c r="R13">
        <v>0</v>
      </c>
      <c r="S13">
        <v>0</v>
      </c>
      <c r="T13">
        <v>8.9774380545843417</v>
      </c>
      <c r="U13">
        <v>0</v>
      </c>
      <c r="V13">
        <v>0</v>
      </c>
      <c r="W13">
        <v>0</v>
      </c>
      <c r="X13">
        <f t="shared" si="0"/>
        <v>4196.8535049547891</v>
      </c>
      <c r="Y13">
        <f>X13*VLOOKUP($D13,'LinearReg Model'!$S$2:$T$6,2,FALSE)</f>
        <v>3465.8055193604632</v>
      </c>
      <c r="Z13">
        <f t="shared" si="1"/>
        <v>0.55635663160094861</v>
      </c>
      <c r="AA13">
        <f t="shared" si="2"/>
        <v>0.28859648051127845</v>
      </c>
      <c r="AB13">
        <f t="shared" si="3"/>
        <v>4.7206219350850766E-2</v>
      </c>
      <c r="AC13">
        <v>34.957728681668918</v>
      </c>
      <c r="AD13">
        <v>2.3964868933205583</v>
      </c>
      <c r="AE13" s="2">
        <f>VLOOKUP($D13,'MultiReg Model'!$A$5:$F$9,2,FALSE)+AC13*VLOOKUP($D13,'MultiReg Model'!$A$5:$F$9,3,FALSE)+Z13*VLOOKUP($D13,'MultiReg Model'!$A$5:$F$9,4,FALSE)+AA13*VLOOKUP($D13,'MultiReg Model'!$A$5:$F$9,5,FALSE)+AB13*VLOOKUP($D13,'MultiReg Model'!$A$5:$F$9,6,FALSE)</f>
        <v>9.3728395805507958</v>
      </c>
      <c r="AF13" cm="1">
        <f t="array" ref="AF13">MMULT($AG13:$AM13,'Avg CI Index'!$C$2:$C$8)/BI13</f>
        <v>9.3828396241765031</v>
      </c>
      <c r="AG13">
        <v>69.094409156970343</v>
      </c>
      <c r="AH13">
        <v>829.69674757506368</v>
      </c>
      <c r="AI13">
        <v>0</v>
      </c>
      <c r="AJ13">
        <v>463.43746656245816</v>
      </c>
      <c r="AK13">
        <v>1306.6174475700918</v>
      </c>
      <c r="AL13">
        <v>0</v>
      </c>
      <c r="AM13">
        <v>762.305134057788</v>
      </c>
      <c r="AN13" cm="1">
        <f t="array" ref="AN13">$Y13*INDEX(RefCapacity!$D$2:$D$526,MATCH(1,(RefCapacity!$A$2:$A$526=RefCapacityProj!$D13)*(RefCapacity!$B$2:$B$526=2019)*(RefCapacity!$C$2:$C$526=AG$1),0))/SUMIFS(RefCapacity!$D$2:$D$526,RefCapacity!$A$2:$A$526,RefCapacityProj!$D13,RefCapacity!$B$2:$B$526,2019)</f>
        <v>21.267562482464335</v>
      </c>
      <c r="AO13" cm="1">
        <f t="array" ref="AO13">$Y13*INDEX(RefCapacity!$D$2:$D$526,MATCH(1,(RefCapacity!$A$2:$A$526=RefCapacityProj!$D13)*(RefCapacity!$B$2:$B$526=2019)*(RefCapacity!$C$2:$C$526=AH$1),0))/SUMIFS(RefCapacity!$D$2:$D$526,RefCapacity!$A$2:$A$526,RefCapacityProj!$D13,RefCapacity!$B$2:$B$526,2019)</f>
        <v>523.92748471387574</v>
      </c>
      <c r="AP13" cm="1">
        <f t="array" ref="AP13">$Y13*INDEX(RefCapacity!$D$2:$D$526,MATCH(1,(RefCapacity!$A$2:$A$526=RefCapacityProj!$D13)*(RefCapacity!$B$2:$B$526=2019)*(RefCapacity!$C$2:$C$526=AI$1),0))/SUMIFS(RefCapacity!$D$2:$D$526,RefCapacity!$A$2:$A$526,RefCapacityProj!$D13,RefCapacity!$B$2:$B$526,2019)</f>
        <v>0</v>
      </c>
      <c r="AQ13" cm="1">
        <f t="array" ref="AQ13">$Y13*INDEX(RefCapacity!$D$2:$D$526,MATCH(1,(RefCapacity!$A$2:$A$526=RefCapacityProj!$D13)*(RefCapacity!$B$2:$B$526=2019)*(RefCapacity!$C$2:$C$526=AJ$1),0))/SUMIFS(RefCapacity!$D$2:$D$526,RefCapacity!$A$2:$A$526,RefCapacityProj!$D13,RefCapacity!$B$2:$B$526,2019)</f>
        <v>441.52430096675005</v>
      </c>
      <c r="AR13" cm="1">
        <f t="array" ref="AR13">$Y13*INDEX(RefCapacity!$D$2:$D$526,MATCH(1,(RefCapacity!$A$2:$A$526=RefCapacityProj!$D13)*(RefCapacity!$B$2:$B$526=2019)*(RefCapacity!$C$2:$C$526=AK$1),0))/SUMIFS(RefCapacity!$D$2:$D$526,RefCapacity!$A$2:$A$526,RefCapacityProj!$D13,RefCapacity!$B$2:$B$526,2019)</f>
        <v>1365.2311026991258</v>
      </c>
      <c r="AS13" cm="1">
        <f t="array" ref="AS13">$Y13*INDEX(RefCapacity!$D$2:$D$526,MATCH(1,(RefCapacity!$A$2:$A$526=RefCapacityProj!$D13)*(RefCapacity!$B$2:$B$526=2019)*(RefCapacity!$C$2:$C$526=AL$1),0))/SUMIFS(RefCapacity!$D$2:$D$526,RefCapacity!$A$2:$A$526,RefCapacityProj!$D13,RefCapacity!$B$2:$B$526,2019)</f>
        <v>0</v>
      </c>
      <c r="AT13" cm="1">
        <f t="array" ref="AT13">$Y13*INDEX(RefCapacity!$D$2:$D$526,MATCH(1,(RefCapacity!$A$2:$A$526=RefCapacityProj!$D13)*(RefCapacity!$B$2:$B$526=2019)*(RefCapacity!$C$2:$C$526=AM$1),0))/SUMIFS(RefCapacity!$D$2:$D$526,RefCapacity!$A$2:$A$526,RefCapacityProj!$D13,RefCapacity!$B$2:$B$526,2019)</f>
        <v>1113.855068498247</v>
      </c>
      <c r="AU13" cm="1">
        <f t="array" ref="AU13">INDEX(RefCapacity!$D$2:$D$526,MATCH(1,(RefCapacity!$A$2:$A$526=RefCapacityProj!$D13)*(RefCapacity!$B$2:$B$526=2019)*(RefCapacity!$C$2:$C$526=RefCapacityProj!AG$1),0))*IF($C13=2035,1+VLOOKUP(AG$1,RefCapacity!$H$2:$L$8,2,FALSE),1+VLOOKUP(AG$1,RefCapacity!$H$2:$L$8,4,FALSE))</f>
        <v>69.095643226583363</v>
      </c>
      <c r="AV13" cm="1">
        <f t="array" ref="AV13">INDEX(RefCapacity!$D$2:$D$526,MATCH(1,(RefCapacity!$A$2:$A$526=RefCapacityProj!$D13)*(RefCapacity!$B$2:$B$526=2019)*(RefCapacity!$C$2:$C$526=RefCapacityProj!AH$1),0))*IF($C13=2035,1+VLOOKUP(AH$1,RefCapacity!$H$2:$L$8,2,FALSE),1+VLOOKUP(AH$1,RefCapacity!$H$2:$L$8,4,FALSE))</f>
        <v>829.70092482947541</v>
      </c>
      <c r="AW13" cm="1">
        <f t="array" ref="AW13">INDEX(RefCapacity!$D$2:$D$526,MATCH(1,(RefCapacity!$A$2:$A$526=RefCapacityProj!$D13)*(RefCapacity!$B$2:$B$526=2019)*(RefCapacity!$C$2:$C$526=RefCapacityProj!AI$1),0))*IF($C13=2035,1+VLOOKUP(AI$1,RefCapacity!$H$2:$L$8,2,FALSE),1+VLOOKUP(AI$1,RefCapacity!$H$2:$L$8,4,FALSE))</f>
        <v>0</v>
      </c>
      <c r="AX13" cm="1">
        <f t="array" ref="AX13">INDEX(RefCapacity!$D$2:$D$526,MATCH(1,(RefCapacity!$A$2:$A$526=RefCapacityProj!$D13)*(RefCapacity!$B$2:$B$526=2019)*(RefCapacity!$C$2:$C$526=RefCapacityProj!AJ$1),0))*IF($C13=2035,1+VLOOKUP(AJ$1,RefCapacity!$H$2:$L$8,2,FALSE),1+VLOOKUP(AJ$1,RefCapacity!$H$2:$L$8,4,FALSE))</f>
        <v>993.12500000000011</v>
      </c>
      <c r="AY13" cm="1">
        <f t="array" ref="AY13">INDEX(RefCapacity!$D$2:$D$526,MATCH(1,(RefCapacity!$A$2:$A$526=RefCapacityProj!$D13)*(RefCapacity!$B$2:$B$526=2019)*(RefCapacity!$C$2:$C$526=RefCapacityProj!AK$1),0))*IF($C13=2035,1+VLOOKUP(AK$1,RefCapacity!$H$2:$L$8,2,FALSE),1+VLOOKUP(AK$1,RefCapacity!$H$2:$L$8,4,FALSE))</f>
        <v>1991.4122477464978</v>
      </c>
      <c r="AZ13" cm="1">
        <f t="array" ref="AZ13">INDEX(RefCapacity!$D$2:$D$526,MATCH(1,(RefCapacity!$A$2:$A$526=RefCapacityProj!$D13)*(RefCapacity!$B$2:$B$526=2019)*(RefCapacity!$C$2:$C$526=RefCapacityProj!AL$1),0))*IF($C13=2035,1+VLOOKUP(AL$1,RefCapacity!$H$2:$L$8,2,FALSE),1+VLOOKUP(AL$1,RefCapacity!$H$2:$L$8,4,FALSE))</f>
        <v>0</v>
      </c>
      <c r="BA13" cm="1">
        <f t="array" ref="BA13">INDEX(RefCapacity!$D$2:$D$526,MATCH(1,(RefCapacity!$A$2:$A$526=RefCapacityProj!$D13)*(RefCapacity!$B$2:$B$526=2019)*(RefCapacity!$C$2:$C$526=RefCapacityProj!AM$1),0))*IF($C13=2035,1+VLOOKUP(AM$1,RefCapacity!$H$2:$L$8,2,FALSE),1+VLOOKUP(AM$1,RefCapacity!$H$2:$L$8,4,FALSE))</f>
        <v>1360.1267578285858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f t="shared" si="4"/>
        <v>3431.151204922372</v>
      </c>
      <c r="BJ13">
        <f t="shared" si="5"/>
        <v>34.654314438091205</v>
      </c>
      <c r="BK13">
        <f t="shared" si="6"/>
        <v>1.0000043625707278E-2</v>
      </c>
      <c r="BL13" cm="1">
        <f t="array" ref="BL13">AG13/$BI13*INDEX('GHG Emission'!$C$2:$C$1121,MATCH(1,('GHG Emission'!$D$2:$D$1121=$D13)*('GHG Emission'!$E$2:$E$1121=$C13)*('GHG Emission'!$F$2:$F$1121=$B13)*('GHG Emission'!$I$2:$I$1121=$E13)*('GHG Emission'!$J$2:$J$1121=$F13)*('GHG Emission'!$K$2:$K$1121=AG$1),0))+AH13/$BI13*INDEX('GHG Emission'!$C$2:$C$1121,MATCH(1,('GHG Emission'!$D$2:$D$1121=$D13)*('GHG Emission'!$E$2:$E$1121=$C13)*('GHG Emission'!$F$2:$F$1121=$B13)*('GHG Emission'!$I$2:$I$1121=$E13)*('GHG Emission'!$J$2:$J$1121=$F13)*('GHG Emission'!$K$2:$K$1121=AH$1),0))+AI13/$BI13*INDEX('GHG Emission'!$C$2:$C$1121,MATCH(1,('GHG Emission'!$D$2:$D$1121=$D13)*('GHG Emission'!$E$2:$E$1121=$C13)*('GHG Emission'!$F$2:$F$1121=$B13)*('GHG Emission'!$I$2:$I$1121=$E13)*('GHG Emission'!$J$2:$J$1121=$F13)*('GHG Emission'!$K$2:$K$1121=AI$1),0))+AJ13/$BI13*INDEX('GHG Emission'!$C$2:$C$1121,MATCH(1,('GHG Emission'!$D$2:$D$1121=$D13)*('GHG Emission'!$E$2:$E$1121=$C13)*('GHG Emission'!$F$2:$F$1121=$B13)*('GHG Emission'!$I$2:$I$1121=$E13)*('GHG Emission'!$J$2:$J$1121=$F13)*('GHG Emission'!$K$2:$K$1121=AJ$1),0))+AK13/$BI13*INDEX('GHG Emission'!$C$2:$C$1121,MATCH(1,('GHG Emission'!$D$2:$D$1121=$D13)*('GHG Emission'!$E$2:$E$1121=$C13)*('GHG Emission'!$F$2:$F$1121=$B13)*('GHG Emission'!$I$2:$I$1121=$E13)*('GHG Emission'!$J$2:$J$1121=$F13)*('GHG Emission'!$K$2:$K$1121=AK$1),0))+AL13/$BI13*INDEX('GHG Emission'!$C$2:$C$1121,MATCH(1,('GHG Emission'!$D$2:$D$1121=$D13)*('GHG Emission'!$E$2:$E$1121=$C13)*('GHG Emission'!$F$2:$F$1121=$B13)*('GHG Emission'!$I$2:$I$1121=$E13)*('GHG Emission'!$J$2:$J$1121=$F13)*('GHG Emission'!$K$2:$K$1121=AL$1),0))+AM13/$BI13*INDEX('GHG Emission'!$C$2:$C$1121,MATCH(1,('GHG Emission'!$D$2:$D$1121=$D13)*('GHG Emission'!$E$2:$E$1121=$C13)*('GHG Emission'!$F$2:$F$1121=$B13)*('GHG Emission'!$I$2:$I$1121=$E13)*('GHG Emission'!$J$2:$J$1121=$F13)*('GHG Emission'!$K$2:$K$1121=AM$1),0))</f>
        <v>33.729731684655583</v>
      </c>
      <c r="BM13" t="str">
        <f t="shared" si="7"/>
        <v>LIGHT/SOUR</v>
      </c>
    </row>
    <row r="14" spans="1:65" hidden="1" x14ac:dyDescent="0.25">
      <c r="A14">
        <v>13</v>
      </c>
      <c r="B14" t="s">
        <v>465</v>
      </c>
      <c r="C14">
        <v>2050</v>
      </c>
      <c r="D14">
        <v>2</v>
      </c>
      <c r="E14" t="s">
        <v>466</v>
      </c>
      <c r="F14" t="s">
        <v>467</v>
      </c>
      <c r="G14">
        <v>2185.1467938308306</v>
      </c>
      <c r="H14">
        <v>195.15645299887345</v>
      </c>
      <c r="I14">
        <v>1276.0262266491197</v>
      </c>
      <c r="J14">
        <v>78.471672072051305</v>
      </c>
      <c r="K14">
        <v>49.225586995672721</v>
      </c>
      <c r="L14">
        <v>34.936717005258899</v>
      </c>
      <c r="M14">
        <v>0</v>
      </c>
      <c r="N14">
        <v>0</v>
      </c>
      <c r="O14">
        <v>0</v>
      </c>
      <c r="P14">
        <v>366.28540801510849</v>
      </c>
      <c r="Q14">
        <v>0</v>
      </c>
      <c r="R14">
        <v>0</v>
      </c>
      <c r="S14">
        <v>0</v>
      </c>
      <c r="T14">
        <v>9.1474490742304866</v>
      </c>
      <c r="U14">
        <v>0</v>
      </c>
      <c r="V14">
        <v>0</v>
      </c>
      <c r="W14">
        <v>0</v>
      </c>
      <c r="X14">
        <f t="shared" si="0"/>
        <v>4194.3963066411452</v>
      </c>
      <c r="Y14">
        <f>X14*VLOOKUP($D14,'LinearReg Model'!$S$2:$T$6,2,FALSE)</f>
        <v>3463.7763392931734</v>
      </c>
      <c r="Z14">
        <f t="shared" si="1"/>
        <v>0.52096812844580409</v>
      </c>
      <c r="AA14">
        <f t="shared" si="2"/>
        <v>0.3042216646597603</v>
      </c>
      <c r="AB14">
        <f t="shared" si="3"/>
        <v>4.6527900258226652E-2</v>
      </c>
      <c r="AC14">
        <v>28.354057795771688</v>
      </c>
      <c r="AD14">
        <v>0.49194998451747501</v>
      </c>
      <c r="AE14" s="2">
        <f>VLOOKUP($D14,'MultiReg Model'!$A$5:$F$9,2,FALSE)+AC14*VLOOKUP($D14,'MultiReg Model'!$A$5:$F$9,3,FALSE)+Z14*VLOOKUP($D14,'MultiReg Model'!$A$5:$F$9,4,FALSE)+AA14*VLOOKUP($D14,'MultiReg Model'!$A$5:$F$9,5,FALSE)+AB14*VLOOKUP($D14,'MultiReg Model'!$A$5:$F$9,6,FALSE)</f>
        <v>9.6771992137307805</v>
      </c>
      <c r="AF14" cm="1">
        <f t="array" ref="AF14">MMULT($AG14:$AM14,'Avg CI Index'!$C$2:$C$8)/BI14</f>
        <v>9.6871988869052181</v>
      </c>
      <c r="AG14">
        <v>89.583978716782511</v>
      </c>
      <c r="AH14">
        <v>540.39022219050958</v>
      </c>
      <c r="AI14">
        <v>0</v>
      </c>
      <c r="AJ14">
        <v>431.49921869606715</v>
      </c>
      <c r="AK14">
        <v>1350.9083430698274</v>
      </c>
      <c r="AL14">
        <v>0</v>
      </c>
      <c r="AM14">
        <v>1086.0199787939096</v>
      </c>
      <c r="AN14" cm="1">
        <f t="array" ref="AN14">$Y14*INDEX(RefCapacity!$D$2:$D$526,MATCH(1,(RefCapacity!$A$2:$A$526=RefCapacityProj!$D14)*(RefCapacity!$B$2:$B$526=2019)*(RefCapacity!$C$2:$C$526=AG$1),0))/SUMIFS(RefCapacity!$D$2:$D$526,RefCapacity!$A$2:$A$526,RefCapacityProj!$D14,RefCapacity!$B$2:$B$526,2019)</f>
        <v>21.255110625708902</v>
      </c>
      <c r="AO14" cm="1">
        <f t="array" ref="AO14">$Y14*INDEX(RefCapacity!$D$2:$D$526,MATCH(1,(RefCapacity!$A$2:$A$526=RefCapacityProj!$D14)*(RefCapacity!$B$2:$B$526=2019)*(RefCapacity!$C$2:$C$526=AH$1),0))/SUMIFS(RefCapacity!$D$2:$D$526,RefCapacity!$A$2:$A$526,RefCapacityProj!$D14,RefCapacity!$B$2:$B$526,2019)</f>
        <v>523.62073258864882</v>
      </c>
      <c r="AP14" cm="1">
        <f t="array" ref="AP14">$Y14*INDEX(RefCapacity!$D$2:$D$526,MATCH(1,(RefCapacity!$A$2:$A$526=RefCapacityProj!$D14)*(RefCapacity!$B$2:$B$526=2019)*(RefCapacity!$C$2:$C$526=AI$1),0))/SUMIFS(RefCapacity!$D$2:$D$526,RefCapacity!$A$2:$A$526,RefCapacityProj!$D14,RefCapacity!$B$2:$B$526,2019)</f>
        <v>0</v>
      </c>
      <c r="AQ14" cm="1">
        <f t="array" ref="AQ14">$Y14*INDEX(RefCapacity!$D$2:$D$526,MATCH(1,(RefCapacity!$A$2:$A$526=RefCapacityProj!$D14)*(RefCapacity!$B$2:$B$526=2019)*(RefCapacity!$C$2:$C$526=AJ$1),0))/SUMIFS(RefCapacity!$D$2:$D$526,RefCapacity!$A$2:$A$526,RefCapacityProj!$D14,RefCapacity!$B$2:$B$526,2019)</f>
        <v>441.26579473905178</v>
      </c>
      <c r="AR14" cm="1">
        <f t="array" ref="AR14">$Y14*INDEX(RefCapacity!$D$2:$D$526,MATCH(1,(RefCapacity!$A$2:$A$526=RefCapacityProj!$D14)*(RefCapacity!$B$2:$B$526=2019)*(RefCapacity!$C$2:$C$526=AK$1),0))/SUMIFS(RefCapacity!$D$2:$D$526,RefCapacity!$A$2:$A$526,RefCapacityProj!$D14,RefCapacity!$B$2:$B$526,2019)</f>
        <v>1364.4317792156339</v>
      </c>
      <c r="AS14" cm="1">
        <f t="array" ref="AS14">$Y14*INDEX(RefCapacity!$D$2:$D$526,MATCH(1,(RefCapacity!$A$2:$A$526=RefCapacityProj!$D14)*(RefCapacity!$B$2:$B$526=2019)*(RefCapacity!$C$2:$C$526=AL$1),0))/SUMIFS(RefCapacity!$D$2:$D$526,RefCapacity!$A$2:$A$526,RefCapacityProj!$D14,RefCapacity!$B$2:$B$526,2019)</f>
        <v>0</v>
      </c>
      <c r="AT14" cm="1">
        <f t="array" ref="AT14">$Y14*INDEX(RefCapacity!$D$2:$D$526,MATCH(1,(RefCapacity!$A$2:$A$526=RefCapacityProj!$D14)*(RefCapacity!$B$2:$B$526=2019)*(RefCapacity!$C$2:$C$526=AM$1),0))/SUMIFS(RefCapacity!$D$2:$D$526,RefCapacity!$A$2:$A$526,RefCapacityProj!$D14,RefCapacity!$B$2:$B$526,2019)</f>
        <v>1113.2029221241298</v>
      </c>
      <c r="AU14" cm="1">
        <f t="array" ref="AU14">INDEX(RefCapacity!$D$2:$D$526,MATCH(1,(RefCapacity!$A$2:$A$526=RefCapacityProj!$D14)*(RefCapacity!$B$2:$B$526=2019)*(RefCapacity!$C$2:$C$526=RefCapacityProj!AG$1),0))*IF($C14=2035,1+VLOOKUP(AG$1,RefCapacity!$H$2:$L$8,2,FALSE),1+VLOOKUP(AG$1,RefCapacity!$H$2:$L$8,4,FALSE))</f>
        <v>113.20628645316671</v>
      </c>
      <c r="AV14" cm="1">
        <f t="array" ref="AV14">INDEX(RefCapacity!$D$2:$D$526,MATCH(1,(RefCapacity!$A$2:$A$526=RefCapacityProj!$D14)*(RefCapacity!$B$2:$B$526=2019)*(RefCapacity!$C$2:$C$526=RefCapacityProj!AH$1),0))*IF($C14=2035,1+VLOOKUP(AH$1,RefCapacity!$H$2:$L$8,2,FALSE),1+VLOOKUP(AH$1,RefCapacity!$H$2:$L$8,4,FALSE))</f>
        <v>1043.8951024062037</v>
      </c>
      <c r="AW14" cm="1">
        <f t="array" ref="AW14">INDEX(RefCapacity!$D$2:$D$526,MATCH(1,(RefCapacity!$A$2:$A$526=RefCapacityProj!$D14)*(RefCapacity!$B$2:$B$526=2019)*(RefCapacity!$C$2:$C$526=RefCapacityProj!AI$1),0))*IF($C14=2035,1+VLOOKUP(AI$1,RefCapacity!$H$2:$L$8,2,FALSE),1+VLOOKUP(AI$1,RefCapacity!$H$2:$L$8,4,FALSE))</f>
        <v>0</v>
      </c>
      <c r="AX14" cm="1">
        <f t="array" ref="AX14">INDEX(RefCapacity!$D$2:$D$526,MATCH(1,(RefCapacity!$A$2:$A$526=RefCapacityProj!$D14)*(RefCapacity!$B$2:$B$526=2019)*(RefCapacity!$C$2:$C$526=RefCapacityProj!AJ$1),0))*IF($C14=2035,1+VLOOKUP(AJ$1,RefCapacity!$H$2:$L$8,2,FALSE),1+VLOOKUP(AJ$1,RefCapacity!$H$2:$L$8,4,FALSE))</f>
        <v>1467.5500000000002</v>
      </c>
      <c r="AY14" cm="1">
        <f t="array" ref="AY14">INDEX(RefCapacity!$D$2:$D$526,MATCH(1,(RefCapacity!$A$2:$A$526=RefCapacityProj!$D14)*(RefCapacity!$B$2:$B$526=2019)*(RefCapacity!$C$2:$C$526=RefCapacityProj!AK$1),0))*IF($C14=2035,1+VLOOKUP(AK$1,RefCapacity!$H$2:$L$8,2,FALSE),1+VLOOKUP(AK$1,RefCapacity!$H$2:$L$8,4,FALSE))</f>
        <v>2378.9594954929953</v>
      </c>
      <c r="AZ14" cm="1">
        <f t="array" ref="AZ14">INDEX(RefCapacity!$D$2:$D$526,MATCH(1,(RefCapacity!$A$2:$A$526=RefCapacityProj!$D14)*(RefCapacity!$B$2:$B$526=2019)*(RefCapacity!$C$2:$C$526=RefCapacityProj!AL$1),0))*IF($C14=2035,1+VLOOKUP(AL$1,RefCapacity!$H$2:$L$8,2,FALSE),1+VLOOKUP(AL$1,RefCapacity!$H$2:$L$8,4,FALSE))</f>
        <v>0</v>
      </c>
      <c r="BA14" cm="1">
        <f t="array" ref="BA14">INDEX(RefCapacity!$D$2:$D$526,MATCH(1,(RefCapacity!$A$2:$A$526=RefCapacityProj!$D14)*(RefCapacity!$B$2:$B$526=2019)*(RefCapacity!$C$2:$C$526=RefCapacityProj!AM$1),0))*IF($C14=2035,1+VLOOKUP(AM$1,RefCapacity!$H$2:$L$8,2,FALSE),1+VLOOKUP(AM$1,RefCapacity!$H$2:$L$8,4,FALSE))</f>
        <v>1411.7035156571721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f t="shared" si="4"/>
        <v>3498.4017414670961</v>
      </c>
      <c r="BJ14">
        <f t="shared" si="5"/>
        <v>34.625402173922794</v>
      </c>
      <c r="BK14">
        <f t="shared" si="6"/>
        <v>9.9996731744376177E-3</v>
      </c>
      <c r="BL14" cm="1">
        <f t="array" ref="BL14">AG14/$BI14*INDEX('GHG Emission'!$C$2:$C$1121,MATCH(1,('GHG Emission'!$D$2:$D$1121=$D14)*('GHG Emission'!$E$2:$E$1121=$C14)*('GHG Emission'!$F$2:$F$1121=$B14)*('GHG Emission'!$I$2:$I$1121=$E14)*('GHG Emission'!$J$2:$J$1121=$F14)*('GHG Emission'!$K$2:$K$1121=AG$1),0))+AH14/$BI14*INDEX('GHG Emission'!$C$2:$C$1121,MATCH(1,('GHG Emission'!$D$2:$D$1121=$D14)*('GHG Emission'!$E$2:$E$1121=$C14)*('GHG Emission'!$F$2:$F$1121=$B14)*('GHG Emission'!$I$2:$I$1121=$E14)*('GHG Emission'!$J$2:$J$1121=$F14)*('GHG Emission'!$K$2:$K$1121=AH$1),0))+AI14/$BI14*INDEX('GHG Emission'!$C$2:$C$1121,MATCH(1,('GHG Emission'!$D$2:$D$1121=$D14)*('GHG Emission'!$E$2:$E$1121=$C14)*('GHG Emission'!$F$2:$F$1121=$B14)*('GHG Emission'!$I$2:$I$1121=$E14)*('GHG Emission'!$J$2:$J$1121=$F14)*('GHG Emission'!$K$2:$K$1121=AI$1),0))+AJ14/$BI14*INDEX('GHG Emission'!$C$2:$C$1121,MATCH(1,('GHG Emission'!$D$2:$D$1121=$D14)*('GHG Emission'!$E$2:$E$1121=$C14)*('GHG Emission'!$F$2:$F$1121=$B14)*('GHG Emission'!$I$2:$I$1121=$E14)*('GHG Emission'!$J$2:$J$1121=$F14)*('GHG Emission'!$K$2:$K$1121=AJ$1),0))+AK14/$BI14*INDEX('GHG Emission'!$C$2:$C$1121,MATCH(1,('GHG Emission'!$D$2:$D$1121=$D14)*('GHG Emission'!$E$2:$E$1121=$C14)*('GHG Emission'!$F$2:$F$1121=$B14)*('GHG Emission'!$I$2:$I$1121=$E14)*('GHG Emission'!$J$2:$J$1121=$F14)*('GHG Emission'!$K$2:$K$1121=AK$1),0))+AL14/$BI14*INDEX('GHG Emission'!$C$2:$C$1121,MATCH(1,('GHG Emission'!$D$2:$D$1121=$D14)*('GHG Emission'!$E$2:$E$1121=$C14)*('GHG Emission'!$F$2:$F$1121=$B14)*('GHG Emission'!$I$2:$I$1121=$E14)*('GHG Emission'!$J$2:$J$1121=$F14)*('GHG Emission'!$K$2:$K$1121=AL$1),0))+AM14/$BI14*INDEX('GHG Emission'!$C$2:$C$1121,MATCH(1,('GHG Emission'!$D$2:$D$1121=$D14)*('GHG Emission'!$E$2:$E$1121=$C14)*('GHG Emission'!$F$2:$F$1121=$B14)*('GHG Emission'!$I$2:$I$1121=$E14)*('GHG Emission'!$J$2:$J$1121=$F14)*('GHG Emission'!$K$2:$K$1121=AM$1),0))</f>
        <v>33.033147626459353</v>
      </c>
      <c r="BM14" t="str">
        <f t="shared" si="7"/>
        <v>HEAVY/SWEET</v>
      </c>
    </row>
    <row r="15" spans="1:65" x14ac:dyDescent="0.25">
      <c r="A15">
        <v>14</v>
      </c>
      <c r="B15" t="s">
        <v>465</v>
      </c>
      <c r="C15">
        <v>2050</v>
      </c>
      <c r="D15">
        <v>2</v>
      </c>
      <c r="E15" t="s">
        <v>466</v>
      </c>
      <c r="F15" t="s">
        <v>468</v>
      </c>
      <c r="G15">
        <v>2185.1467938308306</v>
      </c>
      <c r="H15">
        <v>195.15645299887345</v>
      </c>
      <c r="I15">
        <v>1276.0262266491197</v>
      </c>
      <c r="J15">
        <v>78.471672072051305</v>
      </c>
      <c r="K15">
        <v>49.225586995672721</v>
      </c>
      <c r="L15">
        <v>34.936717005258899</v>
      </c>
      <c r="M15">
        <v>0</v>
      </c>
      <c r="N15">
        <v>0</v>
      </c>
      <c r="O15">
        <v>0</v>
      </c>
      <c r="P15">
        <v>366.28540801510849</v>
      </c>
      <c r="Q15">
        <v>0</v>
      </c>
      <c r="R15">
        <v>0</v>
      </c>
      <c r="S15">
        <v>0</v>
      </c>
      <c r="T15">
        <v>9.1474490742304866</v>
      </c>
      <c r="U15">
        <v>0</v>
      </c>
      <c r="V15">
        <v>0</v>
      </c>
      <c r="W15">
        <v>0</v>
      </c>
      <c r="X15">
        <f t="shared" si="0"/>
        <v>4194.3963066411452</v>
      </c>
      <c r="Y15">
        <f>X15*VLOOKUP($D15,'LinearReg Model'!$S$2:$T$6,2,FALSE)</f>
        <v>3463.7763392931734</v>
      </c>
      <c r="Z15">
        <f t="shared" si="1"/>
        <v>0.52096812844580409</v>
      </c>
      <c r="AA15">
        <f t="shared" si="2"/>
        <v>0.3042216646597603</v>
      </c>
      <c r="AB15">
        <f t="shared" si="3"/>
        <v>4.6527900258226652E-2</v>
      </c>
      <c r="AC15">
        <v>28.354057795771688</v>
      </c>
      <c r="AD15">
        <v>4.4723269444483442</v>
      </c>
      <c r="AE15" s="2">
        <f>VLOOKUP($D15,'MultiReg Model'!$A$5:$F$9,2,FALSE)+AC15*VLOOKUP($D15,'MultiReg Model'!$A$5:$F$9,3,FALSE)+Z15*VLOOKUP($D15,'MultiReg Model'!$A$5:$F$9,4,FALSE)+AA15*VLOOKUP($D15,'MultiReg Model'!$A$5:$F$9,5,FALSE)+AB15*VLOOKUP($D15,'MultiReg Model'!$A$5:$F$9,6,FALSE)</f>
        <v>9.6771992137307805</v>
      </c>
      <c r="AF15" cm="1">
        <f t="array" ref="AF15">MMULT($AG15:$AM15,'Avg CI Index'!$C$2:$C$8)/BI15</f>
        <v>9.6871988869052181</v>
      </c>
      <c r="AG15">
        <v>89.583978716782511</v>
      </c>
      <c r="AH15">
        <v>540.39022219050958</v>
      </c>
      <c r="AI15">
        <v>0</v>
      </c>
      <c r="AJ15">
        <v>431.49921869606715</v>
      </c>
      <c r="AK15">
        <v>1350.9083430698274</v>
      </c>
      <c r="AL15">
        <v>0</v>
      </c>
      <c r="AM15">
        <v>1086.0199787939096</v>
      </c>
      <c r="AN15" cm="1">
        <f t="array" ref="AN15">$Y15*INDEX(RefCapacity!$D$2:$D$526,MATCH(1,(RefCapacity!$A$2:$A$526=RefCapacityProj!$D15)*(RefCapacity!$B$2:$B$526=2019)*(RefCapacity!$C$2:$C$526=AG$1),0))/SUMIFS(RefCapacity!$D$2:$D$526,RefCapacity!$A$2:$A$526,RefCapacityProj!$D15,RefCapacity!$B$2:$B$526,2019)</f>
        <v>21.255110625708902</v>
      </c>
      <c r="AO15" cm="1">
        <f t="array" ref="AO15">$Y15*INDEX(RefCapacity!$D$2:$D$526,MATCH(1,(RefCapacity!$A$2:$A$526=RefCapacityProj!$D15)*(RefCapacity!$B$2:$B$526=2019)*(RefCapacity!$C$2:$C$526=AH$1),0))/SUMIFS(RefCapacity!$D$2:$D$526,RefCapacity!$A$2:$A$526,RefCapacityProj!$D15,RefCapacity!$B$2:$B$526,2019)</f>
        <v>523.62073258864882</v>
      </c>
      <c r="AP15" cm="1">
        <f t="array" ref="AP15">$Y15*INDEX(RefCapacity!$D$2:$D$526,MATCH(1,(RefCapacity!$A$2:$A$526=RefCapacityProj!$D15)*(RefCapacity!$B$2:$B$526=2019)*(RefCapacity!$C$2:$C$526=AI$1),0))/SUMIFS(RefCapacity!$D$2:$D$526,RefCapacity!$A$2:$A$526,RefCapacityProj!$D15,RefCapacity!$B$2:$B$526,2019)</f>
        <v>0</v>
      </c>
      <c r="AQ15" cm="1">
        <f t="array" ref="AQ15">$Y15*INDEX(RefCapacity!$D$2:$D$526,MATCH(1,(RefCapacity!$A$2:$A$526=RefCapacityProj!$D15)*(RefCapacity!$B$2:$B$526=2019)*(RefCapacity!$C$2:$C$526=AJ$1),0))/SUMIFS(RefCapacity!$D$2:$D$526,RefCapacity!$A$2:$A$526,RefCapacityProj!$D15,RefCapacity!$B$2:$B$526,2019)</f>
        <v>441.26579473905178</v>
      </c>
      <c r="AR15" cm="1">
        <f t="array" ref="AR15">$Y15*INDEX(RefCapacity!$D$2:$D$526,MATCH(1,(RefCapacity!$A$2:$A$526=RefCapacityProj!$D15)*(RefCapacity!$B$2:$B$526=2019)*(RefCapacity!$C$2:$C$526=AK$1),0))/SUMIFS(RefCapacity!$D$2:$D$526,RefCapacity!$A$2:$A$526,RefCapacityProj!$D15,RefCapacity!$B$2:$B$526,2019)</f>
        <v>1364.4317792156339</v>
      </c>
      <c r="AS15" cm="1">
        <f t="array" ref="AS15">$Y15*INDEX(RefCapacity!$D$2:$D$526,MATCH(1,(RefCapacity!$A$2:$A$526=RefCapacityProj!$D15)*(RefCapacity!$B$2:$B$526=2019)*(RefCapacity!$C$2:$C$526=AL$1),0))/SUMIFS(RefCapacity!$D$2:$D$526,RefCapacity!$A$2:$A$526,RefCapacityProj!$D15,RefCapacity!$B$2:$B$526,2019)</f>
        <v>0</v>
      </c>
      <c r="AT15" cm="1">
        <f t="array" ref="AT15">$Y15*INDEX(RefCapacity!$D$2:$D$526,MATCH(1,(RefCapacity!$A$2:$A$526=RefCapacityProj!$D15)*(RefCapacity!$B$2:$B$526=2019)*(RefCapacity!$C$2:$C$526=AM$1),0))/SUMIFS(RefCapacity!$D$2:$D$526,RefCapacity!$A$2:$A$526,RefCapacityProj!$D15,RefCapacity!$B$2:$B$526,2019)</f>
        <v>1113.2029221241298</v>
      </c>
      <c r="AU15" cm="1">
        <f t="array" ref="AU15">INDEX(RefCapacity!$D$2:$D$526,MATCH(1,(RefCapacity!$A$2:$A$526=RefCapacityProj!$D15)*(RefCapacity!$B$2:$B$526=2019)*(RefCapacity!$C$2:$C$526=RefCapacityProj!AG$1),0))*IF($C15=2035,1+VLOOKUP(AG$1,RefCapacity!$H$2:$L$8,2,FALSE),1+VLOOKUP(AG$1,RefCapacity!$H$2:$L$8,4,FALSE))</f>
        <v>113.20628645316671</v>
      </c>
      <c r="AV15" cm="1">
        <f t="array" ref="AV15">INDEX(RefCapacity!$D$2:$D$526,MATCH(1,(RefCapacity!$A$2:$A$526=RefCapacityProj!$D15)*(RefCapacity!$B$2:$B$526=2019)*(RefCapacity!$C$2:$C$526=RefCapacityProj!AH$1),0))*IF($C15=2035,1+VLOOKUP(AH$1,RefCapacity!$H$2:$L$8,2,FALSE),1+VLOOKUP(AH$1,RefCapacity!$H$2:$L$8,4,FALSE))</f>
        <v>1043.8951024062037</v>
      </c>
      <c r="AW15" cm="1">
        <f t="array" ref="AW15">INDEX(RefCapacity!$D$2:$D$526,MATCH(1,(RefCapacity!$A$2:$A$526=RefCapacityProj!$D15)*(RefCapacity!$B$2:$B$526=2019)*(RefCapacity!$C$2:$C$526=RefCapacityProj!AI$1),0))*IF($C15=2035,1+VLOOKUP(AI$1,RefCapacity!$H$2:$L$8,2,FALSE),1+VLOOKUP(AI$1,RefCapacity!$H$2:$L$8,4,FALSE))</f>
        <v>0</v>
      </c>
      <c r="AX15" cm="1">
        <f t="array" ref="AX15">INDEX(RefCapacity!$D$2:$D$526,MATCH(1,(RefCapacity!$A$2:$A$526=RefCapacityProj!$D15)*(RefCapacity!$B$2:$B$526=2019)*(RefCapacity!$C$2:$C$526=RefCapacityProj!AJ$1),0))*IF($C15=2035,1+VLOOKUP(AJ$1,RefCapacity!$H$2:$L$8,2,FALSE),1+VLOOKUP(AJ$1,RefCapacity!$H$2:$L$8,4,FALSE))</f>
        <v>1467.5500000000002</v>
      </c>
      <c r="AY15" cm="1">
        <f t="array" ref="AY15">INDEX(RefCapacity!$D$2:$D$526,MATCH(1,(RefCapacity!$A$2:$A$526=RefCapacityProj!$D15)*(RefCapacity!$B$2:$B$526=2019)*(RefCapacity!$C$2:$C$526=RefCapacityProj!AK$1),0))*IF($C15=2035,1+VLOOKUP(AK$1,RefCapacity!$H$2:$L$8,2,FALSE),1+VLOOKUP(AK$1,RefCapacity!$H$2:$L$8,4,FALSE))</f>
        <v>2378.9594954929953</v>
      </c>
      <c r="AZ15" cm="1">
        <f t="array" ref="AZ15">INDEX(RefCapacity!$D$2:$D$526,MATCH(1,(RefCapacity!$A$2:$A$526=RefCapacityProj!$D15)*(RefCapacity!$B$2:$B$526=2019)*(RefCapacity!$C$2:$C$526=RefCapacityProj!AL$1),0))*IF($C15=2035,1+VLOOKUP(AL$1,RefCapacity!$H$2:$L$8,2,FALSE),1+VLOOKUP(AL$1,RefCapacity!$H$2:$L$8,4,FALSE))</f>
        <v>0</v>
      </c>
      <c r="BA15" cm="1">
        <f t="array" ref="BA15">INDEX(RefCapacity!$D$2:$D$526,MATCH(1,(RefCapacity!$A$2:$A$526=RefCapacityProj!$D15)*(RefCapacity!$B$2:$B$526=2019)*(RefCapacity!$C$2:$C$526=RefCapacityProj!AM$1),0))*IF($C15=2035,1+VLOOKUP(AM$1,RefCapacity!$H$2:$L$8,2,FALSE),1+VLOOKUP(AM$1,RefCapacity!$H$2:$L$8,4,FALSE))</f>
        <v>1411.7035156571721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f t="shared" si="4"/>
        <v>3498.4017414670961</v>
      </c>
      <c r="BJ15">
        <f t="shared" si="5"/>
        <v>34.625402173922794</v>
      </c>
      <c r="BK15">
        <f t="shared" si="6"/>
        <v>9.9996731744376177E-3</v>
      </c>
      <c r="BL15" cm="1">
        <f t="array" ref="BL15">AG15/$BI15*INDEX('GHG Emission'!$C$2:$C$1121,MATCH(1,('GHG Emission'!$D$2:$D$1121=$D15)*('GHG Emission'!$E$2:$E$1121=$C15)*('GHG Emission'!$F$2:$F$1121=$B15)*('GHG Emission'!$I$2:$I$1121=$E15)*('GHG Emission'!$J$2:$J$1121=$F15)*('GHG Emission'!$K$2:$K$1121=AG$1),0))+AH15/$BI15*INDEX('GHG Emission'!$C$2:$C$1121,MATCH(1,('GHG Emission'!$D$2:$D$1121=$D15)*('GHG Emission'!$E$2:$E$1121=$C15)*('GHG Emission'!$F$2:$F$1121=$B15)*('GHG Emission'!$I$2:$I$1121=$E15)*('GHG Emission'!$J$2:$J$1121=$F15)*('GHG Emission'!$K$2:$K$1121=AH$1),0))+AI15/$BI15*INDEX('GHG Emission'!$C$2:$C$1121,MATCH(1,('GHG Emission'!$D$2:$D$1121=$D15)*('GHG Emission'!$E$2:$E$1121=$C15)*('GHG Emission'!$F$2:$F$1121=$B15)*('GHG Emission'!$I$2:$I$1121=$E15)*('GHG Emission'!$J$2:$J$1121=$F15)*('GHG Emission'!$K$2:$K$1121=AI$1),0))+AJ15/$BI15*INDEX('GHG Emission'!$C$2:$C$1121,MATCH(1,('GHG Emission'!$D$2:$D$1121=$D15)*('GHG Emission'!$E$2:$E$1121=$C15)*('GHG Emission'!$F$2:$F$1121=$B15)*('GHG Emission'!$I$2:$I$1121=$E15)*('GHG Emission'!$J$2:$J$1121=$F15)*('GHG Emission'!$K$2:$K$1121=AJ$1),0))+AK15/$BI15*INDEX('GHG Emission'!$C$2:$C$1121,MATCH(1,('GHG Emission'!$D$2:$D$1121=$D15)*('GHG Emission'!$E$2:$E$1121=$C15)*('GHG Emission'!$F$2:$F$1121=$B15)*('GHG Emission'!$I$2:$I$1121=$E15)*('GHG Emission'!$J$2:$J$1121=$F15)*('GHG Emission'!$K$2:$K$1121=AK$1),0))+AL15/$BI15*INDEX('GHG Emission'!$C$2:$C$1121,MATCH(1,('GHG Emission'!$D$2:$D$1121=$D15)*('GHG Emission'!$E$2:$E$1121=$C15)*('GHG Emission'!$F$2:$F$1121=$B15)*('GHG Emission'!$I$2:$I$1121=$E15)*('GHG Emission'!$J$2:$J$1121=$F15)*('GHG Emission'!$K$2:$K$1121=AL$1),0))+AM15/$BI15*INDEX('GHG Emission'!$C$2:$C$1121,MATCH(1,('GHG Emission'!$D$2:$D$1121=$D15)*('GHG Emission'!$E$2:$E$1121=$C15)*('GHG Emission'!$F$2:$F$1121=$B15)*('GHG Emission'!$I$2:$I$1121=$E15)*('GHG Emission'!$J$2:$J$1121=$F15)*('GHG Emission'!$K$2:$K$1121=AM$1),0))</f>
        <v>34.057922908529804</v>
      </c>
      <c r="BM15" t="str">
        <f t="shared" si="7"/>
        <v>HEAVY/SOUR</v>
      </c>
    </row>
    <row r="16" spans="1:65" hidden="1" x14ac:dyDescent="0.25">
      <c r="A16">
        <v>15</v>
      </c>
      <c r="B16" t="s">
        <v>465</v>
      </c>
      <c r="C16">
        <v>2050</v>
      </c>
      <c r="D16">
        <v>2</v>
      </c>
      <c r="E16" t="s">
        <v>469</v>
      </c>
      <c r="F16" t="s">
        <v>467</v>
      </c>
      <c r="G16">
        <v>2185.1467938308306</v>
      </c>
      <c r="H16">
        <v>195.15645299887345</v>
      </c>
      <c r="I16">
        <v>1276.0262266491197</v>
      </c>
      <c r="J16">
        <v>78.471672072051305</v>
      </c>
      <c r="K16">
        <v>49.225586995672721</v>
      </c>
      <c r="L16">
        <v>34.936717005258899</v>
      </c>
      <c r="M16">
        <v>0</v>
      </c>
      <c r="N16">
        <v>0</v>
      </c>
      <c r="O16">
        <v>0</v>
      </c>
      <c r="P16">
        <v>366.28540801510849</v>
      </c>
      <c r="Q16">
        <v>0</v>
      </c>
      <c r="R16">
        <v>0</v>
      </c>
      <c r="S16">
        <v>0</v>
      </c>
      <c r="T16">
        <v>9.1474490742304866</v>
      </c>
      <c r="U16">
        <v>0</v>
      </c>
      <c r="V16">
        <v>0</v>
      </c>
      <c r="W16">
        <v>0</v>
      </c>
      <c r="X16">
        <f t="shared" si="0"/>
        <v>4194.3963066411452</v>
      </c>
      <c r="Y16">
        <f>X16*VLOOKUP($D16,'LinearReg Model'!$S$2:$T$6,2,FALSE)</f>
        <v>3463.7763392931734</v>
      </c>
      <c r="Z16">
        <f t="shared" si="1"/>
        <v>0.52096812844580409</v>
      </c>
      <c r="AA16">
        <f t="shared" si="2"/>
        <v>0.3042216646597603</v>
      </c>
      <c r="AB16">
        <f t="shared" si="3"/>
        <v>4.6527900258226652E-2</v>
      </c>
      <c r="AC16">
        <v>34.957728681668918</v>
      </c>
      <c r="AD16">
        <v>0.49194998451747501</v>
      </c>
      <c r="AE16" s="2">
        <f>VLOOKUP($D16,'MultiReg Model'!$A$5:$F$9,2,FALSE)+AC16*VLOOKUP($D16,'MultiReg Model'!$A$5:$F$9,3,FALSE)+Z16*VLOOKUP($D16,'MultiReg Model'!$A$5:$F$9,4,FALSE)+AA16*VLOOKUP($D16,'MultiReg Model'!$A$5:$F$9,5,FALSE)+AB16*VLOOKUP($D16,'MultiReg Model'!$A$5:$F$9,6,FALSE)</f>
        <v>9.2687173427886282</v>
      </c>
      <c r="AF16" cm="1">
        <f t="array" ref="AF16">MMULT($AG16:$AM16,'Avg CI Index'!$C$2:$C$8)/BI16</f>
        <v>9.2787173574905104</v>
      </c>
      <c r="AG16">
        <v>113.20539615678824</v>
      </c>
      <c r="AH16">
        <v>890.28287429312343</v>
      </c>
      <c r="AI16">
        <v>0</v>
      </c>
      <c r="AJ16">
        <v>406.02400955810873</v>
      </c>
      <c r="AK16">
        <v>1272.3102283693113</v>
      </c>
      <c r="AL16">
        <v>0</v>
      </c>
      <c r="AM16">
        <v>814.17859708895844</v>
      </c>
      <c r="AN16" cm="1">
        <f t="array" ref="AN16">$Y16*INDEX(RefCapacity!$D$2:$D$526,MATCH(1,(RefCapacity!$A$2:$A$526=RefCapacityProj!$D16)*(RefCapacity!$B$2:$B$526=2019)*(RefCapacity!$C$2:$C$526=AG$1),0))/SUMIFS(RefCapacity!$D$2:$D$526,RefCapacity!$A$2:$A$526,RefCapacityProj!$D16,RefCapacity!$B$2:$B$526,2019)</f>
        <v>21.255110625708902</v>
      </c>
      <c r="AO16" cm="1">
        <f t="array" ref="AO16">$Y16*INDEX(RefCapacity!$D$2:$D$526,MATCH(1,(RefCapacity!$A$2:$A$526=RefCapacityProj!$D16)*(RefCapacity!$B$2:$B$526=2019)*(RefCapacity!$C$2:$C$526=AH$1),0))/SUMIFS(RefCapacity!$D$2:$D$526,RefCapacity!$A$2:$A$526,RefCapacityProj!$D16,RefCapacity!$B$2:$B$526,2019)</f>
        <v>523.62073258864882</v>
      </c>
      <c r="AP16" cm="1">
        <f t="array" ref="AP16">$Y16*INDEX(RefCapacity!$D$2:$D$526,MATCH(1,(RefCapacity!$A$2:$A$526=RefCapacityProj!$D16)*(RefCapacity!$B$2:$B$526=2019)*(RefCapacity!$C$2:$C$526=AI$1),0))/SUMIFS(RefCapacity!$D$2:$D$526,RefCapacity!$A$2:$A$526,RefCapacityProj!$D16,RefCapacity!$B$2:$B$526,2019)</f>
        <v>0</v>
      </c>
      <c r="AQ16" cm="1">
        <f t="array" ref="AQ16">$Y16*INDEX(RefCapacity!$D$2:$D$526,MATCH(1,(RefCapacity!$A$2:$A$526=RefCapacityProj!$D16)*(RefCapacity!$B$2:$B$526=2019)*(RefCapacity!$C$2:$C$526=AJ$1),0))/SUMIFS(RefCapacity!$D$2:$D$526,RefCapacity!$A$2:$A$526,RefCapacityProj!$D16,RefCapacity!$B$2:$B$526,2019)</f>
        <v>441.26579473905178</v>
      </c>
      <c r="AR16" cm="1">
        <f t="array" ref="AR16">$Y16*INDEX(RefCapacity!$D$2:$D$526,MATCH(1,(RefCapacity!$A$2:$A$526=RefCapacityProj!$D16)*(RefCapacity!$B$2:$B$526=2019)*(RefCapacity!$C$2:$C$526=AK$1),0))/SUMIFS(RefCapacity!$D$2:$D$526,RefCapacity!$A$2:$A$526,RefCapacityProj!$D16,RefCapacity!$B$2:$B$526,2019)</f>
        <v>1364.4317792156339</v>
      </c>
      <c r="AS16" cm="1">
        <f t="array" ref="AS16">$Y16*INDEX(RefCapacity!$D$2:$D$526,MATCH(1,(RefCapacity!$A$2:$A$526=RefCapacityProj!$D16)*(RefCapacity!$B$2:$B$526=2019)*(RefCapacity!$C$2:$C$526=AL$1),0))/SUMIFS(RefCapacity!$D$2:$D$526,RefCapacity!$A$2:$A$526,RefCapacityProj!$D16,RefCapacity!$B$2:$B$526,2019)</f>
        <v>0</v>
      </c>
      <c r="AT16" cm="1">
        <f t="array" ref="AT16">$Y16*INDEX(RefCapacity!$D$2:$D$526,MATCH(1,(RefCapacity!$A$2:$A$526=RefCapacityProj!$D16)*(RefCapacity!$B$2:$B$526=2019)*(RefCapacity!$C$2:$C$526=AM$1),0))/SUMIFS(RefCapacity!$D$2:$D$526,RefCapacity!$A$2:$A$526,RefCapacityProj!$D16,RefCapacity!$B$2:$B$526,2019)</f>
        <v>1113.2029221241298</v>
      </c>
      <c r="AU16" cm="1">
        <f t="array" ref="AU16">INDEX(RefCapacity!$D$2:$D$526,MATCH(1,(RefCapacity!$A$2:$A$526=RefCapacityProj!$D16)*(RefCapacity!$B$2:$B$526=2019)*(RefCapacity!$C$2:$C$526=RefCapacityProj!AG$1),0))*IF($C16=2035,1+VLOOKUP(AG$1,RefCapacity!$H$2:$L$8,2,FALSE),1+VLOOKUP(AG$1,RefCapacity!$H$2:$L$8,4,FALSE))</f>
        <v>113.20628645316671</v>
      </c>
      <c r="AV16" cm="1">
        <f t="array" ref="AV16">INDEX(RefCapacity!$D$2:$D$526,MATCH(1,(RefCapacity!$A$2:$A$526=RefCapacityProj!$D16)*(RefCapacity!$B$2:$B$526=2019)*(RefCapacity!$C$2:$C$526=RefCapacityProj!AH$1),0))*IF($C16=2035,1+VLOOKUP(AH$1,RefCapacity!$H$2:$L$8,2,FALSE),1+VLOOKUP(AH$1,RefCapacity!$H$2:$L$8,4,FALSE))</f>
        <v>1043.8951024062037</v>
      </c>
      <c r="AW16" cm="1">
        <f t="array" ref="AW16">INDEX(RefCapacity!$D$2:$D$526,MATCH(1,(RefCapacity!$A$2:$A$526=RefCapacityProj!$D16)*(RefCapacity!$B$2:$B$526=2019)*(RefCapacity!$C$2:$C$526=RefCapacityProj!AI$1),0))*IF($C16=2035,1+VLOOKUP(AI$1,RefCapacity!$H$2:$L$8,2,FALSE),1+VLOOKUP(AI$1,RefCapacity!$H$2:$L$8,4,FALSE))</f>
        <v>0</v>
      </c>
      <c r="AX16" cm="1">
        <f t="array" ref="AX16">INDEX(RefCapacity!$D$2:$D$526,MATCH(1,(RefCapacity!$A$2:$A$526=RefCapacityProj!$D16)*(RefCapacity!$B$2:$B$526=2019)*(RefCapacity!$C$2:$C$526=RefCapacityProj!AJ$1),0))*IF($C16=2035,1+VLOOKUP(AJ$1,RefCapacity!$H$2:$L$8,2,FALSE),1+VLOOKUP(AJ$1,RefCapacity!$H$2:$L$8,4,FALSE))</f>
        <v>1467.5500000000002</v>
      </c>
      <c r="AY16" cm="1">
        <f t="array" ref="AY16">INDEX(RefCapacity!$D$2:$D$526,MATCH(1,(RefCapacity!$A$2:$A$526=RefCapacityProj!$D16)*(RefCapacity!$B$2:$B$526=2019)*(RefCapacity!$C$2:$C$526=RefCapacityProj!AK$1),0))*IF($C16=2035,1+VLOOKUP(AK$1,RefCapacity!$H$2:$L$8,2,FALSE),1+VLOOKUP(AK$1,RefCapacity!$H$2:$L$8,4,FALSE))</f>
        <v>2378.9594954929953</v>
      </c>
      <c r="AZ16" cm="1">
        <f t="array" ref="AZ16">INDEX(RefCapacity!$D$2:$D$526,MATCH(1,(RefCapacity!$A$2:$A$526=RefCapacityProj!$D16)*(RefCapacity!$B$2:$B$526=2019)*(RefCapacity!$C$2:$C$526=RefCapacityProj!AL$1),0))*IF($C16=2035,1+VLOOKUP(AL$1,RefCapacity!$H$2:$L$8,2,FALSE),1+VLOOKUP(AL$1,RefCapacity!$H$2:$L$8,4,FALSE))</f>
        <v>0</v>
      </c>
      <c r="BA16" cm="1">
        <f t="array" ref="BA16">INDEX(RefCapacity!$D$2:$D$526,MATCH(1,(RefCapacity!$A$2:$A$526=RefCapacityProj!$D16)*(RefCapacity!$B$2:$B$526=2019)*(RefCapacity!$C$2:$C$526=RefCapacityProj!AM$1),0))*IF($C16=2035,1+VLOOKUP(AM$1,RefCapacity!$H$2:$L$8,2,FALSE),1+VLOOKUP(AM$1,RefCapacity!$H$2:$L$8,4,FALSE))</f>
        <v>1411.7035156571721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f t="shared" si="4"/>
        <v>3496.00110546629</v>
      </c>
      <c r="BJ16">
        <f t="shared" si="5"/>
        <v>32.224766173116677</v>
      </c>
      <c r="BK16">
        <f t="shared" si="6"/>
        <v>1.0000014701882165E-2</v>
      </c>
      <c r="BL16" cm="1">
        <f t="array" ref="BL16">AG16/$BI16*INDEX('GHG Emission'!$C$2:$C$1121,MATCH(1,('GHG Emission'!$D$2:$D$1121=$D16)*('GHG Emission'!$E$2:$E$1121=$C16)*('GHG Emission'!$F$2:$F$1121=$B16)*('GHG Emission'!$I$2:$I$1121=$E16)*('GHG Emission'!$J$2:$J$1121=$F16)*('GHG Emission'!$K$2:$K$1121=AG$1),0))+AH16/$BI16*INDEX('GHG Emission'!$C$2:$C$1121,MATCH(1,('GHG Emission'!$D$2:$D$1121=$D16)*('GHG Emission'!$E$2:$E$1121=$C16)*('GHG Emission'!$F$2:$F$1121=$B16)*('GHG Emission'!$I$2:$I$1121=$E16)*('GHG Emission'!$J$2:$J$1121=$F16)*('GHG Emission'!$K$2:$K$1121=AH$1),0))+AI16/$BI16*INDEX('GHG Emission'!$C$2:$C$1121,MATCH(1,('GHG Emission'!$D$2:$D$1121=$D16)*('GHG Emission'!$E$2:$E$1121=$C16)*('GHG Emission'!$F$2:$F$1121=$B16)*('GHG Emission'!$I$2:$I$1121=$E16)*('GHG Emission'!$J$2:$J$1121=$F16)*('GHG Emission'!$K$2:$K$1121=AI$1),0))+AJ16/$BI16*INDEX('GHG Emission'!$C$2:$C$1121,MATCH(1,('GHG Emission'!$D$2:$D$1121=$D16)*('GHG Emission'!$E$2:$E$1121=$C16)*('GHG Emission'!$F$2:$F$1121=$B16)*('GHG Emission'!$I$2:$I$1121=$E16)*('GHG Emission'!$J$2:$J$1121=$F16)*('GHG Emission'!$K$2:$K$1121=AJ$1),0))+AK16/$BI16*INDEX('GHG Emission'!$C$2:$C$1121,MATCH(1,('GHG Emission'!$D$2:$D$1121=$D16)*('GHG Emission'!$E$2:$E$1121=$C16)*('GHG Emission'!$F$2:$F$1121=$B16)*('GHG Emission'!$I$2:$I$1121=$E16)*('GHG Emission'!$J$2:$J$1121=$F16)*('GHG Emission'!$K$2:$K$1121=AK$1),0))+AL16/$BI16*INDEX('GHG Emission'!$C$2:$C$1121,MATCH(1,('GHG Emission'!$D$2:$D$1121=$D16)*('GHG Emission'!$E$2:$E$1121=$C16)*('GHG Emission'!$F$2:$F$1121=$B16)*('GHG Emission'!$I$2:$I$1121=$E16)*('GHG Emission'!$J$2:$J$1121=$F16)*('GHG Emission'!$K$2:$K$1121=AL$1),0))+AM16/$BI16*INDEX('GHG Emission'!$C$2:$C$1121,MATCH(1,('GHG Emission'!$D$2:$D$1121=$D16)*('GHG Emission'!$E$2:$E$1121=$C16)*('GHG Emission'!$F$2:$F$1121=$B16)*('GHG Emission'!$I$2:$I$1121=$E16)*('GHG Emission'!$J$2:$J$1121=$F16)*('GHG Emission'!$K$2:$K$1121=AM$1),0))</f>
        <v>34.516287898982284</v>
      </c>
      <c r="BM16" t="str">
        <f t="shared" si="7"/>
        <v>LIGHT/SWEET</v>
      </c>
    </row>
    <row r="17" spans="1:65" hidden="1" x14ac:dyDescent="0.25">
      <c r="A17">
        <v>16</v>
      </c>
      <c r="B17" t="s">
        <v>465</v>
      </c>
      <c r="C17">
        <v>2050</v>
      </c>
      <c r="D17">
        <v>2</v>
      </c>
      <c r="E17" t="s">
        <v>469</v>
      </c>
      <c r="F17" t="s">
        <v>468</v>
      </c>
      <c r="G17">
        <v>2185.1467938308306</v>
      </c>
      <c r="H17">
        <v>195.15645299887345</v>
      </c>
      <c r="I17">
        <v>1276.0262266491197</v>
      </c>
      <c r="J17">
        <v>78.471672072051305</v>
      </c>
      <c r="K17">
        <v>49.225586995672721</v>
      </c>
      <c r="L17">
        <v>34.936717005258899</v>
      </c>
      <c r="M17">
        <v>0</v>
      </c>
      <c r="N17">
        <v>0</v>
      </c>
      <c r="O17">
        <v>0</v>
      </c>
      <c r="P17">
        <v>366.28540801510849</v>
      </c>
      <c r="Q17">
        <v>0</v>
      </c>
      <c r="R17">
        <v>0</v>
      </c>
      <c r="S17">
        <v>0</v>
      </c>
      <c r="T17">
        <v>9.1474490742304866</v>
      </c>
      <c r="U17">
        <v>0</v>
      </c>
      <c r="V17">
        <v>0</v>
      </c>
      <c r="W17">
        <v>0</v>
      </c>
      <c r="X17">
        <f t="shared" si="0"/>
        <v>4194.3963066411452</v>
      </c>
      <c r="Y17">
        <f>X17*VLOOKUP($D17,'LinearReg Model'!$S$2:$T$6,2,FALSE)</f>
        <v>3463.7763392931734</v>
      </c>
      <c r="Z17">
        <f t="shared" si="1"/>
        <v>0.52096812844580409</v>
      </c>
      <c r="AA17">
        <f t="shared" si="2"/>
        <v>0.3042216646597603</v>
      </c>
      <c r="AB17">
        <f t="shared" si="3"/>
        <v>4.6527900258226652E-2</v>
      </c>
      <c r="AC17">
        <v>34.957728681668918</v>
      </c>
      <c r="AD17">
        <v>4.4723269444483442</v>
      </c>
      <c r="AE17" s="2">
        <f>VLOOKUP($D17,'MultiReg Model'!$A$5:$F$9,2,FALSE)+AC17*VLOOKUP($D17,'MultiReg Model'!$A$5:$F$9,3,FALSE)+Z17*VLOOKUP($D17,'MultiReg Model'!$A$5:$F$9,4,FALSE)+AA17*VLOOKUP($D17,'MultiReg Model'!$A$5:$F$9,5,FALSE)+AB17*VLOOKUP($D17,'MultiReg Model'!$A$5:$F$9,6,FALSE)</f>
        <v>9.2687173427886282</v>
      </c>
      <c r="AF17" cm="1">
        <f t="array" ref="AF17">MMULT($AG17:$AM17,'Avg CI Index'!$C$2:$C$8)/BI17</f>
        <v>9.2787173574905104</v>
      </c>
      <c r="AG17">
        <v>113.20539615678824</v>
      </c>
      <c r="AH17">
        <v>890.28287429312343</v>
      </c>
      <c r="AI17">
        <v>0</v>
      </c>
      <c r="AJ17">
        <v>406.02400955810873</v>
      </c>
      <c r="AK17">
        <v>1272.3102283693113</v>
      </c>
      <c r="AL17">
        <v>0</v>
      </c>
      <c r="AM17">
        <v>814.17859708895844</v>
      </c>
      <c r="AN17" cm="1">
        <f t="array" ref="AN17">$Y17*INDEX(RefCapacity!$D$2:$D$526,MATCH(1,(RefCapacity!$A$2:$A$526=RefCapacityProj!$D17)*(RefCapacity!$B$2:$B$526=2019)*(RefCapacity!$C$2:$C$526=AG$1),0))/SUMIFS(RefCapacity!$D$2:$D$526,RefCapacity!$A$2:$A$526,RefCapacityProj!$D17,RefCapacity!$B$2:$B$526,2019)</f>
        <v>21.255110625708902</v>
      </c>
      <c r="AO17" cm="1">
        <f t="array" ref="AO17">$Y17*INDEX(RefCapacity!$D$2:$D$526,MATCH(1,(RefCapacity!$A$2:$A$526=RefCapacityProj!$D17)*(RefCapacity!$B$2:$B$526=2019)*(RefCapacity!$C$2:$C$526=AH$1),0))/SUMIFS(RefCapacity!$D$2:$D$526,RefCapacity!$A$2:$A$526,RefCapacityProj!$D17,RefCapacity!$B$2:$B$526,2019)</f>
        <v>523.62073258864882</v>
      </c>
      <c r="AP17" cm="1">
        <f t="array" ref="AP17">$Y17*INDEX(RefCapacity!$D$2:$D$526,MATCH(1,(RefCapacity!$A$2:$A$526=RefCapacityProj!$D17)*(RefCapacity!$B$2:$B$526=2019)*(RefCapacity!$C$2:$C$526=AI$1),0))/SUMIFS(RefCapacity!$D$2:$D$526,RefCapacity!$A$2:$A$526,RefCapacityProj!$D17,RefCapacity!$B$2:$B$526,2019)</f>
        <v>0</v>
      </c>
      <c r="AQ17" cm="1">
        <f t="array" ref="AQ17">$Y17*INDEX(RefCapacity!$D$2:$D$526,MATCH(1,(RefCapacity!$A$2:$A$526=RefCapacityProj!$D17)*(RefCapacity!$B$2:$B$526=2019)*(RefCapacity!$C$2:$C$526=AJ$1),0))/SUMIFS(RefCapacity!$D$2:$D$526,RefCapacity!$A$2:$A$526,RefCapacityProj!$D17,RefCapacity!$B$2:$B$526,2019)</f>
        <v>441.26579473905178</v>
      </c>
      <c r="AR17" cm="1">
        <f t="array" ref="AR17">$Y17*INDEX(RefCapacity!$D$2:$D$526,MATCH(1,(RefCapacity!$A$2:$A$526=RefCapacityProj!$D17)*(RefCapacity!$B$2:$B$526=2019)*(RefCapacity!$C$2:$C$526=AK$1),0))/SUMIFS(RefCapacity!$D$2:$D$526,RefCapacity!$A$2:$A$526,RefCapacityProj!$D17,RefCapacity!$B$2:$B$526,2019)</f>
        <v>1364.4317792156339</v>
      </c>
      <c r="AS17" cm="1">
        <f t="array" ref="AS17">$Y17*INDEX(RefCapacity!$D$2:$D$526,MATCH(1,(RefCapacity!$A$2:$A$526=RefCapacityProj!$D17)*(RefCapacity!$B$2:$B$526=2019)*(RefCapacity!$C$2:$C$526=AL$1),0))/SUMIFS(RefCapacity!$D$2:$D$526,RefCapacity!$A$2:$A$526,RefCapacityProj!$D17,RefCapacity!$B$2:$B$526,2019)</f>
        <v>0</v>
      </c>
      <c r="AT17" cm="1">
        <f t="array" ref="AT17">$Y17*INDEX(RefCapacity!$D$2:$D$526,MATCH(1,(RefCapacity!$A$2:$A$526=RefCapacityProj!$D17)*(RefCapacity!$B$2:$B$526=2019)*(RefCapacity!$C$2:$C$526=AM$1),0))/SUMIFS(RefCapacity!$D$2:$D$526,RefCapacity!$A$2:$A$526,RefCapacityProj!$D17,RefCapacity!$B$2:$B$526,2019)</f>
        <v>1113.2029221241298</v>
      </c>
      <c r="AU17" cm="1">
        <f t="array" ref="AU17">INDEX(RefCapacity!$D$2:$D$526,MATCH(1,(RefCapacity!$A$2:$A$526=RefCapacityProj!$D17)*(RefCapacity!$B$2:$B$526=2019)*(RefCapacity!$C$2:$C$526=RefCapacityProj!AG$1),0))*IF($C17=2035,1+VLOOKUP(AG$1,RefCapacity!$H$2:$L$8,2,FALSE),1+VLOOKUP(AG$1,RefCapacity!$H$2:$L$8,4,FALSE))</f>
        <v>113.20628645316671</v>
      </c>
      <c r="AV17" cm="1">
        <f t="array" ref="AV17">INDEX(RefCapacity!$D$2:$D$526,MATCH(1,(RefCapacity!$A$2:$A$526=RefCapacityProj!$D17)*(RefCapacity!$B$2:$B$526=2019)*(RefCapacity!$C$2:$C$526=RefCapacityProj!AH$1),0))*IF($C17=2035,1+VLOOKUP(AH$1,RefCapacity!$H$2:$L$8,2,FALSE),1+VLOOKUP(AH$1,RefCapacity!$H$2:$L$8,4,FALSE))</f>
        <v>1043.8951024062037</v>
      </c>
      <c r="AW17" cm="1">
        <f t="array" ref="AW17">INDEX(RefCapacity!$D$2:$D$526,MATCH(1,(RefCapacity!$A$2:$A$526=RefCapacityProj!$D17)*(RefCapacity!$B$2:$B$526=2019)*(RefCapacity!$C$2:$C$526=RefCapacityProj!AI$1),0))*IF($C17=2035,1+VLOOKUP(AI$1,RefCapacity!$H$2:$L$8,2,FALSE),1+VLOOKUP(AI$1,RefCapacity!$H$2:$L$8,4,FALSE))</f>
        <v>0</v>
      </c>
      <c r="AX17" cm="1">
        <f t="array" ref="AX17">INDEX(RefCapacity!$D$2:$D$526,MATCH(1,(RefCapacity!$A$2:$A$526=RefCapacityProj!$D17)*(RefCapacity!$B$2:$B$526=2019)*(RefCapacity!$C$2:$C$526=RefCapacityProj!AJ$1),0))*IF($C17=2035,1+VLOOKUP(AJ$1,RefCapacity!$H$2:$L$8,2,FALSE),1+VLOOKUP(AJ$1,RefCapacity!$H$2:$L$8,4,FALSE))</f>
        <v>1467.5500000000002</v>
      </c>
      <c r="AY17" cm="1">
        <f t="array" ref="AY17">INDEX(RefCapacity!$D$2:$D$526,MATCH(1,(RefCapacity!$A$2:$A$526=RefCapacityProj!$D17)*(RefCapacity!$B$2:$B$526=2019)*(RefCapacity!$C$2:$C$526=RefCapacityProj!AK$1),0))*IF($C17=2035,1+VLOOKUP(AK$1,RefCapacity!$H$2:$L$8,2,FALSE),1+VLOOKUP(AK$1,RefCapacity!$H$2:$L$8,4,FALSE))</f>
        <v>2378.9594954929953</v>
      </c>
      <c r="AZ17" cm="1">
        <f t="array" ref="AZ17">INDEX(RefCapacity!$D$2:$D$526,MATCH(1,(RefCapacity!$A$2:$A$526=RefCapacityProj!$D17)*(RefCapacity!$B$2:$B$526=2019)*(RefCapacity!$C$2:$C$526=RefCapacityProj!AL$1),0))*IF($C17=2035,1+VLOOKUP(AL$1,RefCapacity!$H$2:$L$8,2,FALSE),1+VLOOKUP(AL$1,RefCapacity!$H$2:$L$8,4,FALSE))</f>
        <v>0</v>
      </c>
      <c r="BA17" cm="1">
        <f t="array" ref="BA17">INDEX(RefCapacity!$D$2:$D$526,MATCH(1,(RefCapacity!$A$2:$A$526=RefCapacityProj!$D17)*(RefCapacity!$B$2:$B$526=2019)*(RefCapacity!$C$2:$C$526=RefCapacityProj!AM$1),0))*IF($C17=2035,1+VLOOKUP(AM$1,RefCapacity!$H$2:$L$8,2,FALSE),1+VLOOKUP(AM$1,RefCapacity!$H$2:$L$8,4,FALSE))</f>
        <v>1411.7035156571721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f t="shared" si="4"/>
        <v>3496.00110546629</v>
      </c>
      <c r="BJ17">
        <f t="shared" si="5"/>
        <v>32.224766173116677</v>
      </c>
      <c r="BK17">
        <f t="shared" si="6"/>
        <v>1.0000014701882165E-2</v>
      </c>
      <c r="BL17" cm="1">
        <f t="array" ref="BL17">AG17/$BI17*INDEX('GHG Emission'!$C$2:$C$1121,MATCH(1,('GHG Emission'!$D$2:$D$1121=$D17)*('GHG Emission'!$E$2:$E$1121=$C17)*('GHG Emission'!$F$2:$F$1121=$B17)*('GHG Emission'!$I$2:$I$1121=$E17)*('GHG Emission'!$J$2:$J$1121=$F17)*('GHG Emission'!$K$2:$K$1121=AG$1),0))+AH17/$BI17*INDEX('GHG Emission'!$C$2:$C$1121,MATCH(1,('GHG Emission'!$D$2:$D$1121=$D17)*('GHG Emission'!$E$2:$E$1121=$C17)*('GHG Emission'!$F$2:$F$1121=$B17)*('GHG Emission'!$I$2:$I$1121=$E17)*('GHG Emission'!$J$2:$J$1121=$F17)*('GHG Emission'!$K$2:$K$1121=AH$1),0))+AI17/$BI17*INDEX('GHG Emission'!$C$2:$C$1121,MATCH(1,('GHG Emission'!$D$2:$D$1121=$D17)*('GHG Emission'!$E$2:$E$1121=$C17)*('GHG Emission'!$F$2:$F$1121=$B17)*('GHG Emission'!$I$2:$I$1121=$E17)*('GHG Emission'!$J$2:$J$1121=$F17)*('GHG Emission'!$K$2:$K$1121=AI$1),0))+AJ17/$BI17*INDEX('GHG Emission'!$C$2:$C$1121,MATCH(1,('GHG Emission'!$D$2:$D$1121=$D17)*('GHG Emission'!$E$2:$E$1121=$C17)*('GHG Emission'!$F$2:$F$1121=$B17)*('GHG Emission'!$I$2:$I$1121=$E17)*('GHG Emission'!$J$2:$J$1121=$F17)*('GHG Emission'!$K$2:$K$1121=AJ$1),0))+AK17/$BI17*INDEX('GHG Emission'!$C$2:$C$1121,MATCH(1,('GHG Emission'!$D$2:$D$1121=$D17)*('GHG Emission'!$E$2:$E$1121=$C17)*('GHG Emission'!$F$2:$F$1121=$B17)*('GHG Emission'!$I$2:$I$1121=$E17)*('GHG Emission'!$J$2:$J$1121=$F17)*('GHG Emission'!$K$2:$K$1121=AK$1),0))+AL17/$BI17*INDEX('GHG Emission'!$C$2:$C$1121,MATCH(1,('GHG Emission'!$D$2:$D$1121=$D17)*('GHG Emission'!$E$2:$E$1121=$C17)*('GHG Emission'!$F$2:$F$1121=$B17)*('GHG Emission'!$I$2:$I$1121=$E17)*('GHG Emission'!$J$2:$J$1121=$F17)*('GHG Emission'!$K$2:$K$1121=AL$1),0))+AM17/$BI17*INDEX('GHG Emission'!$C$2:$C$1121,MATCH(1,('GHG Emission'!$D$2:$D$1121=$D17)*('GHG Emission'!$E$2:$E$1121=$C17)*('GHG Emission'!$F$2:$F$1121=$B17)*('GHG Emission'!$I$2:$I$1121=$E17)*('GHG Emission'!$J$2:$J$1121=$F17)*('GHG Emission'!$K$2:$K$1121=AM$1),0))</f>
        <v>33.352327618274856</v>
      </c>
      <c r="BM17" t="str">
        <f t="shared" si="7"/>
        <v>LIGHT/SOUR</v>
      </c>
    </row>
    <row r="18" spans="1:65" hidden="1" x14ac:dyDescent="0.25">
      <c r="A18">
        <v>17</v>
      </c>
      <c r="B18" t="s">
        <v>465</v>
      </c>
      <c r="C18">
        <v>2035</v>
      </c>
      <c r="D18">
        <v>3</v>
      </c>
      <c r="E18" t="s">
        <v>466</v>
      </c>
      <c r="F18" t="s">
        <v>467</v>
      </c>
      <c r="G18">
        <v>3183.1099711418956</v>
      </c>
      <c r="H18">
        <v>684.26784185324789</v>
      </c>
      <c r="I18">
        <v>2397.4657885687948</v>
      </c>
      <c r="J18">
        <v>1700.6793855468002</v>
      </c>
      <c r="K18">
        <v>227.03245314490249</v>
      </c>
      <c r="L18">
        <v>42.104798242288538</v>
      </c>
      <c r="M18">
        <v>0</v>
      </c>
      <c r="N18">
        <v>0</v>
      </c>
      <c r="O18">
        <v>0</v>
      </c>
      <c r="P18">
        <v>101.2831980294727</v>
      </c>
      <c r="Q18">
        <v>0</v>
      </c>
      <c r="R18">
        <v>0</v>
      </c>
      <c r="S18">
        <v>0</v>
      </c>
      <c r="T18">
        <v>12.728894991386792</v>
      </c>
      <c r="U18">
        <v>0</v>
      </c>
      <c r="V18">
        <v>0</v>
      </c>
      <c r="W18">
        <v>0</v>
      </c>
      <c r="X18">
        <f t="shared" si="0"/>
        <v>8348.6723315187883</v>
      </c>
      <c r="Y18">
        <f>X18*VLOOKUP($D18,'LinearReg Model'!$S$2:$T$6,2,FALSE)</f>
        <v>8390.9136780149947</v>
      </c>
      <c r="Z18">
        <f t="shared" si="1"/>
        <v>0.38127139798320786</v>
      </c>
      <c r="AA18">
        <f t="shared" si="2"/>
        <v>0.28716731156373559</v>
      </c>
      <c r="AB18">
        <f t="shared" si="3"/>
        <v>8.1961276557702203E-2</v>
      </c>
      <c r="AC18">
        <v>30.30214176476078</v>
      </c>
      <c r="AD18">
        <v>1.0500146884775321</v>
      </c>
      <c r="AE18" s="2">
        <f>VLOOKUP($D18,'MultiReg Model'!$A$5:$F$9,2,FALSE)+AC18*VLOOKUP($D18,'MultiReg Model'!$A$5:$F$9,3,FALSE)+Z18*VLOOKUP($D18,'MultiReg Model'!$A$5:$F$9,4,FALSE)+AA18*VLOOKUP($D18,'MultiReg Model'!$A$5:$F$9,5,FALSE)+AB18*VLOOKUP($D18,'MultiReg Model'!$A$5:$F$9,6,FALSE)</f>
        <v>9.6341438077688863</v>
      </c>
      <c r="AF18" cm="1">
        <f t="array" ref="AF18">MMULT($AG18:$AM18,'Avg CI Index'!$C$2:$C$8)/BI18</f>
        <v>9.6441436652801649</v>
      </c>
      <c r="AG18">
        <v>653.57720075431212</v>
      </c>
      <c r="AH18">
        <v>666.5137214314617</v>
      </c>
      <c r="AI18">
        <v>305.84922712588525</v>
      </c>
      <c r="AJ18">
        <v>777.98687259593373</v>
      </c>
      <c r="AK18">
        <v>1663.3948481400043</v>
      </c>
      <c r="AL18">
        <v>6.6099425128713918E-3</v>
      </c>
      <c r="AM18">
        <v>4407.4818920318639</v>
      </c>
      <c r="AN18" cm="1">
        <f t="array" ref="AN18">$Y18*INDEX(RefCapacity!$D$2:$D$526,MATCH(1,(RefCapacity!$A$2:$A$526=RefCapacityProj!$D18)*(RefCapacity!$B$2:$B$526=2019)*(RefCapacity!$C$2:$C$526=AG$1),0))/SUMIFS(RefCapacity!$D$2:$D$526,RefCapacity!$A$2:$A$526,RefCapacityProj!$D18,RefCapacity!$B$2:$B$526,2019)</f>
        <v>254.95703836105648</v>
      </c>
      <c r="AO18" cm="1">
        <f t="array" ref="AO18">$Y18*INDEX(RefCapacity!$D$2:$D$526,MATCH(1,(RefCapacity!$A$2:$A$526=RefCapacityProj!$D18)*(RefCapacity!$B$2:$B$526=2019)*(RefCapacity!$C$2:$C$526=AH$1),0))/SUMIFS(RefCapacity!$D$2:$D$526,RefCapacity!$A$2:$A$526,RefCapacityProj!$D18,RefCapacity!$B$2:$B$526,2019)</f>
        <v>592.42866656501815</v>
      </c>
      <c r="AP18" cm="1">
        <f t="array" ref="AP18">$Y18*INDEX(RefCapacity!$D$2:$D$526,MATCH(1,(RefCapacity!$A$2:$A$526=RefCapacityProj!$D18)*(RefCapacity!$B$2:$B$526=2019)*(RefCapacity!$C$2:$C$526=AI$1),0))/SUMIFS(RefCapacity!$D$2:$D$526,RefCapacity!$A$2:$A$526,RefCapacityProj!$D18,RefCapacity!$B$2:$B$526,2019)</f>
        <v>254.7047633589803</v>
      </c>
      <c r="AQ18" cm="1">
        <f t="array" ref="AQ18">$Y18*INDEX(RefCapacity!$D$2:$D$526,MATCH(1,(RefCapacity!$A$2:$A$526=RefCapacityProj!$D18)*(RefCapacity!$B$2:$B$526=2019)*(RefCapacity!$C$2:$C$526=AJ$1),0))/SUMIFS(RefCapacity!$D$2:$D$526,RefCapacity!$A$2:$A$526,RefCapacityProj!$D18,RefCapacity!$B$2:$B$526,2019)</f>
        <v>869.63842652559333</v>
      </c>
      <c r="AR18" cm="1">
        <f t="array" ref="AR18">$Y18*INDEX(RefCapacity!$D$2:$D$526,MATCH(1,(RefCapacity!$A$2:$A$526=RefCapacityProj!$D18)*(RefCapacity!$B$2:$B$526=2019)*(RefCapacity!$C$2:$C$526=AK$1),0))/SUMIFS(RefCapacity!$D$2:$D$526,RefCapacity!$A$2:$A$526,RefCapacityProj!$D18,RefCapacity!$B$2:$B$526,2019)</f>
        <v>1778.504324363784</v>
      </c>
      <c r="AS18" cm="1">
        <f t="array" ref="AS18">$Y18*INDEX(RefCapacity!$D$2:$D$526,MATCH(1,(RefCapacity!$A$2:$A$526=RefCapacityProj!$D18)*(RefCapacity!$B$2:$B$526=2019)*(RefCapacity!$C$2:$C$526=AL$1),0))/SUMIFS(RefCapacity!$D$2:$D$526,RefCapacity!$A$2:$A$526,RefCapacityProj!$D18,RefCapacity!$B$2:$B$526,2019)</f>
        <v>32.718259654931856</v>
      </c>
      <c r="AT18" cm="1">
        <f t="array" ref="AT18">$Y18*INDEX(RefCapacity!$D$2:$D$526,MATCH(1,(RefCapacity!$A$2:$A$526=RefCapacityProj!$D18)*(RefCapacity!$B$2:$B$526=2019)*(RefCapacity!$C$2:$C$526=AM$1),0))/SUMIFS(RefCapacity!$D$2:$D$526,RefCapacity!$A$2:$A$526,RefCapacityProj!$D18,RefCapacity!$B$2:$B$526,2019)</f>
        <v>4607.9621991856302</v>
      </c>
      <c r="AU18" cm="1">
        <f t="array" ref="AU18">INDEX(RefCapacity!$D$2:$D$526,MATCH(1,(RefCapacity!$A$2:$A$526=RefCapacityProj!$D18)*(RefCapacity!$B$2:$B$526=2019)*(RefCapacity!$C$2:$C$526=RefCapacityProj!AG$1),0))*IF($C18=2035,1+VLOOKUP(AG$1,RefCapacity!$H$2:$L$8,2,FALSE),1+VLOOKUP(AG$1,RefCapacity!$H$2:$L$8,4,FALSE))</f>
        <v>818.90159671962101</v>
      </c>
      <c r="AV18" cm="1">
        <f t="array" ref="AV18">INDEX(RefCapacity!$D$2:$D$526,MATCH(1,(RefCapacity!$A$2:$A$526=RefCapacityProj!$D18)*(RefCapacity!$B$2:$B$526=2019)*(RefCapacity!$C$2:$C$526=RefCapacityProj!AH$1),0))*IF($C18=2035,1+VLOOKUP(AH$1,RefCapacity!$H$2:$L$8,2,FALSE),1+VLOOKUP(AH$1,RefCapacity!$H$2:$L$8,4,FALSE))</f>
        <v>927.50919366992355</v>
      </c>
      <c r="AW18" cm="1">
        <f t="array" ref="AW18">INDEX(RefCapacity!$D$2:$D$526,MATCH(1,(RefCapacity!$A$2:$A$526=RefCapacityProj!$D18)*(RefCapacity!$B$2:$B$526=2019)*(RefCapacity!$C$2:$C$526=RefCapacityProj!AI$1),0))*IF($C18=2035,1+VLOOKUP(AI$1,RefCapacity!$H$2:$L$8,2,FALSE),1+VLOOKUP(AI$1,RefCapacity!$H$2:$L$8,4,FALSE))</f>
        <v>305.85558861538459</v>
      </c>
      <c r="AX18" cm="1">
        <f t="array" ref="AX18">INDEX(RefCapacity!$D$2:$D$526,MATCH(1,(RefCapacity!$A$2:$A$526=RefCapacityProj!$D18)*(RefCapacity!$B$2:$B$526=2019)*(RefCapacity!$C$2:$C$526=RefCapacityProj!AJ$1),0))*IF($C18=2035,1+VLOOKUP(AJ$1,RefCapacity!$H$2:$L$8,2,FALSE),1+VLOOKUP(AJ$1,RefCapacity!$H$2:$L$8,4,FALSE))</f>
        <v>1933.836664979757</v>
      </c>
      <c r="AY18" cm="1">
        <f t="array" ref="AY18">INDEX(RefCapacity!$D$2:$D$526,MATCH(1,(RefCapacity!$A$2:$A$526=RefCapacityProj!$D18)*(RefCapacity!$B$2:$B$526=2019)*(RefCapacity!$C$2:$C$526=RefCapacityProj!AK$1),0))*IF($C18=2035,1+VLOOKUP(AK$1,RefCapacity!$H$2:$L$8,2,FALSE),1+VLOOKUP(AK$1,RefCapacity!$H$2:$L$8,4,FALSE))</f>
        <v>2564.7302317013236</v>
      </c>
      <c r="AZ18" cm="1">
        <f t="array" ref="AZ18">INDEX(RefCapacity!$D$2:$D$526,MATCH(1,(RefCapacity!$A$2:$A$526=RefCapacityProj!$D18)*(RefCapacity!$B$2:$B$526=2019)*(RefCapacity!$C$2:$C$526=RefCapacityProj!AL$1),0))*IF($C18=2035,1+VLOOKUP(AL$1,RefCapacity!$H$2:$L$8,2,FALSE),1+VLOOKUP(AL$1,RefCapacity!$H$2:$L$8,4,FALSE))</f>
        <v>53.6302514614692</v>
      </c>
      <c r="BA18" cm="1">
        <f t="array" ref="BA18">INDEX(RefCapacity!$D$2:$D$526,MATCH(1,(RefCapacity!$A$2:$A$526=RefCapacityProj!$D18)*(RefCapacity!$B$2:$B$526=2019)*(RefCapacity!$C$2:$C$526=RefCapacityProj!AM$1),0))*IF($C18=2035,1+VLOOKUP(AM$1,RefCapacity!$H$2:$L$8,2,FALSE),1+VLOOKUP(AM$1,RefCapacity!$H$2:$L$8,4,FALSE))</f>
        <v>5562.7734410987441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f t="shared" si="4"/>
        <v>8474.8103720219733</v>
      </c>
      <c r="BJ18">
        <f t="shared" si="5"/>
        <v>83.896694006978578</v>
      </c>
      <c r="BK18">
        <f t="shared" si="6"/>
        <v>9.9998575112785204E-3</v>
      </c>
      <c r="BL18" cm="1">
        <f t="array" ref="BL18">AG18/$BI18*INDEX('GHG Emission'!$C$2:$C$1121,MATCH(1,('GHG Emission'!$D$2:$D$1121=$D18)*('GHG Emission'!$E$2:$E$1121=$C18)*('GHG Emission'!$F$2:$F$1121=$B18)*('GHG Emission'!$I$2:$I$1121=$E18)*('GHG Emission'!$J$2:$J$1121=$F18)*('GHG Emission'!$K$2:$K$1121=AG$1),0))+AH18/$BI18*INDEX('GHG Emission'!$C$2:$C$1121,MATCH(1,('GHG Emission'!$D$2:$D$1121=$D18)*('GHG Emission'!$E$2:$E$1121=$C18)*('GHG Emission'!$F$2:$F$1121=$B18)*('GHG Emission'!$I$2:$I$1121=$E18)*('GHG Emission'!$J$2:$J$1121=$F18)*('GHG Emission'!$K$2:$K$1121=AH$1),0))+AI18/$BI18*INDEX('GHG Emission'!$C$2:$C$1121,MATCH(1,('GHG Emission'!$D$2:$D$1121=$D18)*('GHG Emission'!$E$2:$E$1121=$C18)*('GHG Emission'!$F$2:$F$1121=$B18)*('GHG Emission'!$I$2:$I$1121=$E18)*('GHG Emission'!$J$2:$J$1121=$F18)*('GHG Emission'!$K$2:$K$1121=AI$1),0))+AJ18/$BI18*INDEX('GHG Emission'!$C$2:$C$1121,MATCH(1,('GHG Emission'!$D$2:$D$1121=$D18)*('GHG Emission'!$E$2:$E$1121=$C18)*('GHG Emission'!$F$2:$F$1121=$B18)*('GHG Emission'!$I$2:$I$1121=$E18)*('GHG Emission'!$J$2:$J$1121=$F18)*('GHG Emission'!$K$2:$K$1121=AJ$1),0))+AK18/$BI18*INDEX('GHG Emission'!$C$2:$C$1121,MATCH(1,('GHG Emission'!$D$2:$D$1121=$D18)*('GHG Emission'!$E$2:$E$1121=$C18)*('GHG Emission'!$F$2:$F$1121=$B18)*('GHG Emission'!$I$2:$I$1121=$E18)*('GHG Emission'!$J$2:$J$1121=$F18)*('GHG Emission'!$K$2:$K$1121=AK$1),0))+AL18/$BI18*INDEX('GHG Emission'!$C$2:$C$1121,MATCH(1,('GHG Emission'!$D$2:$D$1121=$D18)*('GHG Emission'!$E$2:$E$1121=$C18)*('GHG Emission'!$F$2:$F$1121=$B18)*('GHG Emission'!$I$2:$I$1121=$E18)*('GHG Emission'!$J$2:$J$1121=$F18)*('GHG Emission'!$K$2:$K$1121=AL$1),0))+AM18/$BI18*INDEX('GHG Emission'!$C$2:$C$1121,MATCH(1,('GHG Emission'!$D$2:$D$1121=$D18)*('GHG Emission'!$E$2:$E$1121=$C18)*('GHG Emission'!$F$2:$F$1121=$B18)*('GHG Emission'!$I$2:$I$1121=$E18)*('GHG Emission'!$J$2:$J$1121=$F18)*('GHG Emission'!$K$2:$K$1121=AM$1),0))</f>
        <v>37.220644600468333</v>
      </c>
      <c r="BM18" t="str">
        <f t="shared" si="7"/>
        <v>HEAVY/SWEET</v>
      </c>
    </row>
    <row r="19" spans="1:65" x14ac:dyDescent="0.25">
      <c r="A19">
        <v>18</v>
      </c>
      <c r="B19" t="s">
        <v>465</v>
      </c>
      <c r="C19">
        <v>2035</v>
      </c>
      <c r="D19">
        <v>3</v>
      </c>
      <c r="E19" t="s">
        <v>466</v>
      </c>
      <c r="F19" t="s">
        <v>468</v>
      </c>
      <c r="G19">
        <v>3183.1099711418956</v>
      </c>
      <c r="H19">
        <v>684.26784185324789</v>
      </c>
      <c r="I19">
        <v>2397.4657885687948</v>
      </c>
      <c r="J19">
        <v>1700.6793855468002</v>
      </c>
      <c r="K19">
        <v>227.03245314490249</v>
      </c>
      <c r="L19">
        <v>42.104798242288538</v>
      </c>
      <c r="M19">
        <v>0</v>
      </c>
      <c r="N19">
        <v>0</v>
      </c>
      <c r="O19">
        <v>0</v>
      </c>
      <c r="P19">
        <v>101.2831980294727</v>
      </c>
      <c r="Q19">
        <v>0</v>
      </c>
      <c r="R19">
        <v>0</v>
      </c>
      <c r="S19">
        <v>0</v>
      </c>
      <c r="T19">
        <v>12.728894991386792</v>
      </c>
      <c r="U19">
        <v>0</v>
      </c>
      <c r="V19">
        <v>0</v>
      </c>
      <c r="W19">
        <v>0</v>
      </c>
      <c r="X19">
        <f t="shared" si="0"/>
        <v>8348.6723315187883</v>
      </c>
      <c r="Y19">
        <f>X19*VLOOKUP($D19,'LinearReg Model'!$S$2:$T$6,2,FALSE)</f>
        <v>8390.9136780149947</v>
      </c>
      <c r="Z19">
        <f t="shared" si="1"/>
        <v>0.38127139798320786</v>
      </c>
      <c r="AA19">
        <f t="shared" si="2"/>
        <v>0.28716731156373559</v>
      </c>
      <c r="AB19">
        <f t="shared" si="3"/>
        <v>8.1961276557702203E-2</v>
      </c>
      <c r="AC19">
        <v>30.30214176476078</v>
      </c>
      <c r="AD19">
        <v>1.975455919496689</v>
      </c>
      <c r="AE19" s="2">
        <f>VLOOKUP($D19,'MultiReg Model'!$A$5:$F$9,2,FALSE)+AC19*VLOOKUP($D19,'MultiReg Model'!$A$5:$F$9,3,FALSE)+Z19*VLOOKUP($D19,'MultiReg Model'!$A$5:$F$9,4,FALSE)+AA19*VLOOKUP($D19,'MultiReg Model'!$A$5:$F$9,5,FALSE)+AB19*VLOOKUP($D19,'MultiReg Model'!$A$5:$F$9,6,FALSE)</f>
        <v>9.6341438077688863</v>
      </c>
      <c r="AF19" cm="1">
        <f t="array" ref="AF19">MMULT($AG19:$AM19,'Avg CI Index'!$C$2:$C$8)/BI19</f>
        <v>9.6441436652801649</v>
      </c>
      <c r="AG19">
        <v>653.57720075431212</v>
      </c>
      <c r="AH19">
        <v>666.5137214314617</v>
      </c>
      <c r="AI19">
        <v>305.84922712588525</v>
      </c>
      <c r="AJ19">
        <v>777.98687259593373</v>
      </c>
      <c r="AK19">
        <v>1663.3948481400043</v>
      </c>
      <c r="AL19">
        <v>6.6099425128713918E-3</v>
      </c>
      <c r="AM19">
        <v>4407.4818920318639</v>
      </c>
      <c r="AN19" cm="1">
        <f t="array" ref="AN19">$Y19*INDEX(RefCapacity!$D$2:$D$526,MATCH(1,(RefCapacity!$A$2:$A$526=RefCapacityProj!$D19)*(RefCapacity!$B$2:$B$526=2019)*(RefCapacity!$C$2:$C$526=AG$1),0))/SUMIFS(RefCapacity!$D$2:$D$526,RefCapacity!$A$2:$A$526,RefCapacityProj!$D19,RefCapacity!$B$2:$B$526,2019)</f>
        <v>254.95703836105648</v>
      </c>
      <c r="AO19" cm="1">
        <f t="array" ref="AO19">$Y19*INDEX(RefCapacity!$D$2:$D$526,MATCH(1,(RefCapacity!$A$2:$A$526=RefCapacityProj!$D19)*(RefCapacity!$B$2:$B$526=2019)*(RefCapacity!$C$2:$C$526=AH$1),0))/SUMIFS(RefCapacity!$D$2:$D$526,RefCapacity!$A$2:$A$526,RefCapacityProj!$D19,RefCapacity!$B$2:$B$526,2019)</f>
        <v>592.42866656501815</v>
      </c>
      <c r="AP19" cm="1">
        <f t="array" ref="AP19">$Y19*INDEX(RefCapacity!$D$2:$D$526,MATCH(1,(RefCapacity!$A$2:$A$526=RefCapacityProj!$D19)*(RefCapacity!$B$2:$B$526=2019)*(RefCapacity!$C$2:$C$526=AI$1),0))/SUMIFS(RefCapacity!$D$2:$D$526,RefCapacity!$A$2:$A$526,RefCapacityProj!$D19,RefCapacity!$B$2:$B$526,2019)</f>
        <v>254.7047633589803</v>
      </c>
      <c r="AQ19" cm="1">
        <f t="array" ref="AQ19">$Y19*INDEX(RefCapacity!$D$2:$D$526,MATCH(1,(RefCapacity!$A$2:$A$526=RefCapacityProj!$D19)*(RefCapacity!$B$2:$B$526=2019)*(RefCapacity!$C$2:$C$526=AJ$1),0))/SUMIFS(RefCapacity!$D$2:$D$526,RefCapacity!$A$2:$A$526,RefCapacityProj!$D19,RefCapacity!$B$2:$B$526,2019)</f>
        <v>869.63842652559333</v>
      </c>
      <c r="AR19" cm="1">
        <f t="array" ref="AR19">$Y19*INDEX(RefCapacity!$D$2:$D$526,MATCH(1,(RefCapacity!$A$2:$A$526=RefCapacityProj!$D19)*(RefCapacity!$B$2:$B$526=2019)*(RefCapacity!$C$2:$C$526=AK$1),0))/SUMIFS(RefCapacity!$D$2:$D$526,RefCapacity!$A$2:$A$526,RefCapacityProj!$D19,RefCapacity!$B$2:$B$526,2019)</f>
        <v>1778.504324363784</v>
      </c>
      <c r="AS19" cm="1">
        <f t="array" ref="AS19">$Y19*INDEX(RefCapacity!$D$2:$D$526,MATCH(1,(RefCapacity!$A$2:$A$526=RefCapacityProj!$D19)*(RefCapacity!$B$2:$B$526=2019)*(RefCapacity!$C$2:$C$526=AL$1),0))/SUMIFS(RefCapacity!$D$2:$D$526,RefCapacity!$A$2:$A$526,RefCapacityProj!$D19,RefCapacity!$B$2:$B$526,2019)</f>
        <v>32.718259654931856</v>
      </c>
      <c r="AT19" cm="1">
        <f t="array" ref="AT19">$Y19*INDEX(RefCapacity!$D$2:$D$526,MATCH(1,(RefCapacity!$A$2:$A$526=RefCapacityProj!$D19)*(RefCapacity!$B$2:$B$526=2019)*(RefCapacity!$C$2:$C$526=AM$1),0))/SUMIFS(RefCapacity!$D$2:$D$526,RefCapacity!$A$2:$A$526,RefCapacityProj!$D19,RefCapacity!$B$2:$B$526,2019)</f>
        <v>4607.9621991856302</v>
      </c>
      <c r="AU19" cm="1">
        <f t="array" ref="AU19">INDEX(RefCapacity!$D$2:$D$526,MATCH(1,(RefCapacity!$A$2:$A$526=RefCapacityProj!$D19)*(RefCapacity!$B$2:$B$526=2019)*(RefCapacity!$C$2:$C$526=RefCapacityProj!AG$1),0))*IF($C19=2035,1+VLOOKUP(AG$1,RefCapacity!$H$2:$L$8,2,FALSE),1+VLOOKUP(AG$1,RefCapacity!$H$2:$L$8,4,FALSE))</f>
        <v>818.90159671962101</v>
      </c>
      <c r="AV19" cm="1">
        <f t="array" ref="AV19">INDEX(RefCapacity!$D$2:$D$526,MATCH(1,(RefCapacity!$A$2:$A$526=RefCapacityProj!$D19)*(RefCapacity!$B$2:$B$526=2019)*(RefCapacity!$C$2:$C$526=RefCapacityProj!AH$1),0))*IF($C19=2035,1+VLOOKUP(AH$1,RefCapacity!$H$2:$L$8,2,FALSE),1+VLOOKUP(AH$1,RefCapacity!$H$2:$L$8,4,FALSE))</f>
        <v>927.50919366992355</v>
      </c>
      <c r="AW19" cm="1">
        <f t="array" ref="AW19">INDEX(RefCapacity!$D$2:$D$526,MATCH(1,(RefCapacity!$A$2:$A$526=RefCapacityProj!$D19)*(RefCapacity!$B$2:$B$526=2019)*(RefCapacity!$C$2:$C$526=RefCapacityProj!AI$1),0))*IF($C19=2035,1+VLOOKUP(AI$1,RefCapacity!$H$2:$L$8,2,FALSE),1+VLOOKUP(AI$1,RefCapacity!$H$2:$L$8,4,FALSE))</f>
        <v>305.85558861538459</v>
      </c>
      <c r="AX19" cm="1">
        <f t="array" ref="AX19">INDEX(RefCapacity!$D$2:$D$526,MATCH(1,(RefCapacity!$A$2:$A$526=RefCapacityProj!$D19)*(RefCapacity!$B$2:$B$526=2019)*(RefCapacity!$C$2:$C$526=RefCapacityProj!AJ$1),0))*IF($C19=2035,1+VLOOKUP(AJ$1,RefCapacity!$H$2:$L$8,2,FALSE),1+VLOOKUP(AJ$1,RefCapacity!$H$2:$L$8,4,FALSE))</f>
        <v>1933.836664979757</v>
      </c>
      <c r="AY19" cm="1">
        <f t="array" ref="AY19">INDEX(RefCapacity!$D$2:$D$526,MATCH(1,(RefCapacity!$A$2:$A$526=RefCapacityProj!$D19)*(RefCapacity!$B$2:$B$526=2019)*(RefCapacity!$C$2:$C$526=RefCapacityProj!AK$1),0))*IF($C19=2035,1+VLOOKUP(AK$1,RefCapacity!$H$2:$L$8,2,FALSE),1+VLOOKUP(AK$1,RefCapacity!$H$2:$L$8,4,FALSE))</f>
        <v>2564.7302317013236</v>
      </c>
      <c r="AZ19" cm="1">
        <f t="array" ref="AZ19">INDEX(RefCapacity!$D$2:$D$526,MATCH(1,(RefCapacity!$A$2:$A$526=RefCapacityProj!$D19)*(RefCapacity!$B$2:$B$526=2019)*(RefCapacity!$C$2:$C$526=RefCapacityProj!AL$1),0))*IF($C19=2035,1+VLOOKUP(AL$1,RefCapacity!$H$2:$L$8,2,FALSE),1+VLOOKUP(AL$1,RefCapacity!$H$2:$L$8,4,FALSE))</f>
        <v>53.6302514614692</v>
      </c>
      <c r="BA19" cm="1">
        <f t="array" ref="BA19">INDEX(RefCapacity!$D$2:$D$526,MATCH(1,(RefCapacity!$A$2:$A$526=RefCapacityProj!$D19)*(RefCapacity!$B$2:$B$526=2019)*(RefCapacity!$C$2:$C$526=RefCapacityProj!AM$1),0))*IF($C19=2035,1+VLOOKUP(AM$1,RefCapacity!$H$2:$L$8,2,FALSE),1+VLOOKUP(AM$1,RefCapacity!$H$2:$L$8,4,FALSE))</f>
        <v>5562.7734410987441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f t="shared" si="4"/>
        <v>8474.8103720219733</v>
      </c>
      <c r="BJ19">
        <f t="shared" si="5"/>
        <v>83.896694006978578</v>
      </c>
      <c r="BK19">
        <f t="shared" si="6"/>
        <v>9.9998575112785204E-3</v>
      </c>
      <c r="BL19" cm="1">
        <f t="array" ref="BL19">AG19/$BI19*INDEX('GHG Emission'!$C$2:$C$1121,MATCH(1,('GHG Emission'!$D$2:$D$1121=$D19)*('GHG Emission'!$E$2:$E$1121=$C19)*('GHG Emission'!$F$2:$F$1121=$B19)*('GHG Emission'!$I$2:$I$1121=$E19)*('GHG Emission'!$J$2:$J$1121=$F19)*('GHG Emission'!$K$2:$K$1121=AG$1),0))+AH19/$BI19*INDEX('GHG Emission'!$C$2:$C$1121,MATCH(1,('GHG Emission'!$D$2:$D$1121=$D19)*('GHG Emission'!$E$2:$E$1121=$C19)*('GHG Emission'!$F$2:$F$1121=$B19)*('GHG Emission'!$I$2:$I$1121=$E19)*('GHG Emission'!$J$2:$J$1121=$F19)*('GHG Emission'!$K$2:$K$1121=AH$1),0))+AI19/$BI19*INDEX('GHG Emission'!$C$2:$C$1121,MATCH(1,('GHG Emission'!$D$2:$D$1121=$D19)*('GHG Emission'!$E$2:$E$1121=$C19)*('GHG Emission'!$F$2:$F$1121=$B19)*('GHG Emission'!$I$2:$I$1121=$E19)*('GHG Emission'!$J$2:$J$1121=$F19)*('GHG Emission'!$K$2:$K$1121=AI$1),0))+AJ19/$BI19*INDEX('GHG Emission'!$C$2:$C$1121,MATCH(1,('GHG Emission'!$D$2:$D$1121=$D19)*('GHG Emission'!$E$2:$E$1121=$C19)*('GHG Emission'!$F$2:$F$1121=$B19)*('GHG Emission'!$I$2:$I$1121=$E19)*('GHG Emission'!$J$2:$J$1121=$F19)*('GHG Emission'!$K$2:$K$1121=AJ$1),0))+AK19/$BI19*INDEX('GHG Emission'!$C$2:$C$1121,MATCH(1,('GHG Emission'!$D$2:$D$1121=$D19)*('GHG Emission'!$E$2:$E$1121=$C19)*('GHG Emission'!$F$2:$F$1121=$B19)*('GHG Emission'!$I$2:$I$1121=$E19)*('GHG Emission'!$J$2:$J$1121=$F19)*('GHG Emission'!$K$2:$K$1121=AK$1),0))+AL19/$BI19*INDEX('GHG Emission'!$C$2:$C$1121,MATCH(1,('GHG Emission'!$D$2:$D$1121=$D19)*('GHG Emission'!$E$2:$E$1121=$C19)*('GHG Emission'!$F$2:$F$1121=$B19)*('GHG Emission'!$I$2:$I$1121=$E19)*('GHG Emission'!$J$2:$J$1121=$F19)*('GHG Emission'!$K$2:$K$1121=AL$1),0))+AM19/$BI19*INDEX('GHG Emission'!$C$2:$C$1121,MATCH(1,('GHG Emission'!$D$2:$D$1121=$D19)*('GHG Emission'!$E$2:$E$1121=$C19)*('GHG Emission'!$F$2:$F$1121=$B19)*('GHG Emission'!$I$2:$I$1121=$E19)*('GHG Emission'!$J$2:$J$1121=$F19)*('GHG Emission'!$K$2:$K$1121=AM$1),0))</f>
        <v>36.867428827642655</v>
      </c>
      <c r="BM19" t="str">
        <f t="shared" si="7"/>
        <v>HEAVY/SOUR</v>
      </c>
    </row>
    <row r="20" spans="1:65" hidden="1" x14ac:dyDescent="0.25">
      <c r="A20">
        <v>19</v>
      </c>
      <c r="B20" t="s">
        <v>465</v>
      </c>
      <c r="C20">
        <v>2035</v>
      </c>
      <c r="D20">
        <v>3</v>
      </c>
      <c r="E20" t="s">
        <v>469</v>
      </c>
      <c r="F20" t="s">
        <v>467</v>
      </c>
      <c r="G20">
        <v>3183.1099711418956</v>
      </c>
      <c r="H20">
        <v>684.26784185324789</v>
      </c>
      <c r="I20">
        <v>2397.4657885687948</v>
      </c>
      <c r="J20">
        <v>1700.6793855468002</v>
      </c>
      <c r="K20">
        <v>227.03245314490249</v>
      </c>
      <c r="L20">
        <v>42.104798242288538</v>
      </c>
      <c r="M20">
        <v>0</v>
      </c>
      <c r="N20">
        <v>0</v>
      </c>
      <c r="O20">
        <v>0</v>
      </c>
      <c r="P20">
        <v>101.2831980294727</v>
      </c>
      <c r="Q20">
        <v>0</v>
      </c>
      <c r="R20">
        <v>0</v>
      </c>
      <c r="S20">
        <v>0</v>
      </c>
      <c r="T20">
        <v>12.728894991386792</v>
      </c>
      <c r="U20">
        <v>0</v>
      </c>
      <c r="V20">
        <v>0</v>
      </c>
      <c r="W20">
        <v>0</v>
      </c>
      <c r="X20">
        <f t="shared" si="0"/>
        <v>8348.6723315187883</v>
      </c>
      <c r="Y20">
        <f>X20*VLOOKUP($D20,'LinearReg Model'!$S$2:$T$6,2,FALSE)</f>
        <v>8390.9136780149947</v>
      </c>
      <c r="Z20">
        <f t="shared" si="1"/>
        <v>0.38127139798320786</v>
      </c>
      <c r="AA20">
        <f t="shared" si="2"/>
        <v>0.28716731156373559</v>
      </c>
      <c r="AB20">
        <f t="shared" si="3"/>
        <v>8.1961276557702203E-2</v>
      </c>
      <c r="AC20">
        <v>36.614652924665549</v>
      </c>
      <c r="AD20">
        <v>1.0500146884775321</v>
      </c>
      <c r="AE20" s="2">
        <f>VLOOKUP($D20,'MultiReg Model'!$A$5:$F$9,2,FALSE)+AC20*VLOOKUP($D20,'MultiReg Model'!$A$5:$F$9,3,FALSE)+Z20*VLOOKUP($D20,'MultiReg Model'!$A$5:$F$9,4,FALSE)+AA20*VLOOKUP($D20,'MultiReg Model'!$A$5:$F$9,5,FALSE)+AB20*VLOOKUP($D20,'MultiReg Model'!$A$5:$F$9,6,FALSE)</f>
        <v>9.1716068977002774</v>
      </c>
      <c r="AF20" cm="1">
        <f t="array" ref="AF20">MMULT($AG20:$AM20,'Avg CI Index'!$C$2:$C$8)/BI20</f>
        <v>9.1816068420679198</v>
      </c>
      <c r="AG20">
        <v>818.90133857978287</v>
      </c>
      <c r="AH20">
        <v>927.5088238876989</v>
      </c>
      <c r="AI20">
        <v>305.85516035670582</v>
      </c>
      <c r="AJ20">
        <v>1379.0242050532147</v>
      </c>
      <c r="AK20">
        <v>1828.6437956180544</v>
      </c>
      <c r="AL20">
        <v>53.629988209043283</v>
      </c>
      <c r="AM20">
        <v>2993.4424935979669</v>
      </c>
      <c r="AN20" cm="1">
        <f t="array" ref="AN20">$Y20*INDEX(RefCapacity!$D$2:$D$526,MATCH(1,(RefCapacity!$A$2:$A$526=RefCapacityProj!$D20)*(RefCapacity!$B$2:$B$526=2019)*(RefCapacity!$C$2:$C$526=AG$1),0))/SUMIFS(RefCapacity!$D$2:$D$526,RefCapacity!$A$2:$A$526,RefCapacityProj!$D20,RefCapacity!$B$2:$B$526,2019)</f>
        <v>254.95703836105648</v>
      </c>
      <c r="AO20" cm="1">
        <f t="array" ref="AO20">$Y20*INDEX(RefCapacity!$D$2:$D$526,MATCH(1,(RefCapacity!$A$2:$A$526=RefCapacityProj!$D20)*(RefCapacity!$B$2:$B$526=2019)*(RefCapacity!$C$2:$C$526=AH$1),0))/SUMIFS(RefCapacity!$D$2:$D$526,RefCapacity!$A$2:$A$526,RefCapacityProj!$D20,RefCapacity!$B$2:$B$526,2019)</f>
        <v>592.42866656501815</v>
      </c>
      <c r="AP20" cm="1">
        <f t="array" ref="AP20">$Y20*INDEX(RefCapacity!$D$2:$D$526,MATCH(1,(RefCapacity!$A$2:$A$526=RefCapacityProj!$D20)*(RefCapacity!$B$2:$B$526=2019)*(RefCapacity!$C$2:$C$526=AI$1),0))/SUMIFS(RefCapacity!$D$2:$D$526,RefCapacity!$A$2:$A$526,RefCapacityProj!$D20,RefCapacity!$B$2:$B$526,2019)</f>
        <v>254.7047633589803</v>
      </c>
      <c r="AQ20" cm="1">
        <f t="array" ref="AQ20">$Y20*INDEX(RefCapacity!$D$2:$D$526,MATCH(1,(RefCapacity!$A$2:$A$526=RefCapacityProj!$D20)*(RefCapacity!$B$2:$B$526=2019)*(RefCapacity!$C$2:$C$526=AJ$1),0))/SUMIFS(RefCapacity!$D$2:$D$526,RefCapacity!$A$2:$A$526,RefCapacityProj!$D20,RefCapacity!$B$2:$B$526,2019)</f>
        <v>869.63842652559333</v>
      </c>
      <c r="AR20" cm="1">
        <f t="array" ref="AR20">$Y20*INDEX(RefCapacity!$D$2:$D$526,MATCH(1,(RefCapacity!$A$2:$A$526=RefCapacityProj!$D20)*(RefCapacity!$B$2:$B$526=2019)*(RefCapacity!$C$2:$C$526=AK$1),0))/SUMIFS(RefCapacity!$D$2:$D$526,RefCapacity!$A$2:$A$526,RefCapacityProj!$D20,RefCapacity!$B$2:$B$526,2019)</f>
        <v>1778.504324363784</v>
      </c>
      <c r="AS20" cm="1">
        <f t="array" ref="AS20">$Y20*INDEX(RefCapacity!$D$2:$D$526,MATCH(1,(RefCapacity!$A$2:$A$526=RefCapacityProj!$D20)*(RefCapacity!$B$2:$B$526=2019)*(RefCapacity!$C$2:$C$526=AL$1),0))/SUMIFS(RefCapacity!$D$2:$D$526,RefCapacity!$A$2:$A$526,RefCapacityProj!$D20,RefCapacity!$B$2:$B$526,2019)</f>
        <v>32.718259654931856</v>
      </c>
      <c r="AT20" cm="1">
        <f t="array" ref="AT20">$Y20*INDEX(RefCapacity!$D$2:$D$526,MATCH(1,(RefCapacity!$A$2:$A$526=RefCapacityProj!$D20)*(RefCapacity!$B$2:$B$526=2019)*(RefCapacity!$C$2:$C$526=AM$1),0))/SUMIFS(RefCapacity!$D$2:$D$526,RefCapacity!$A$2:$A$526,RefCapacityProj!$D20,RefCapacity!$B$2:$B$526,2019)</f>
        <v>4607.9621991856302</v>
      </c>
      <c r="AU20" cm="1">
        <f t="array" ref="AU20">INDEX(RefCapacity!$D$2:$D$526,MATCH(1,(RefCapacity!$A$2:$A$526=RefCapacityProj!$D20)*(RefCapacity!$B$2:$B$526=2019)*(RefCapacity!$C$2:$C$526=RefCapacityProj!AG$1),0))*IF($C20=2035,1+VLOOKUP(AG$1,RefCapacity!$H$2:$L$8,2,FALSE),1+VLOOKUP(AG$1,RefCapacity!$H$2:$L$8,4,FALSE))</f>
        <v>818.90159671962101</v>
      </c>
      <c r="AV20" cm="1">
        <f t="array" ref="AV20">INDEX(RefCapacity!$D$2:$D$526,MATCH(1,(RefCapacity!$A$2:$A$526=RefCapacityProj!$D20)*(RefCapacity!$B$2:$B$526=2019)*(RefCapacity!$C$2:$C$526=RefCapacityProj!AH$1),0))*IF($C20=2035,1+VLOOKUP(AH$1,RefCapacity!$H$2:$L$8,2,FALSE),1+VLOOKUP(AH$1,RefCapacity!$H$2:$L$8,4,FALSE))</f>
        <v>927.50919366992355</v>
      </c>
      <c r="AW20" cm="1">
        <f t="array" ref="AW20">INDEX(RefCapacity!$D$2:$D$526,MATCH(1,(RefCapacity!$A$2:$A$526=RefCapacityProj!$D20)*(RefCapacity!$B$2:$B$526=2019)*(RefCapacity!$C$2:$C$526=RefCapacityProj!AI$1),0))*IF($C20=2035,1+VLOOKUP(AI$1,RefCapacity!$H$2:$L$8,2,FALSE),1+VLOOKUP(AI$1,RefCapacity!$H$2:$L$8,4,FALSE))</f>
        <v>305.85558861538459</v>
      </c>
      <c r="AX20" cm="1">
        <f t="array" ref="AX20">INDEX(RefCapacity!$D$2:$D$526,MATCH(1,(RefCapacity!$A$2:$A$526=RefCapacityProj!$D20)*(RefCapacity!$B$2:$B$526=2019)*(RefCapacity!$C$2:$C$526=RefCapacityProj!AJ$1),0))*IF($C20=2035,1+VLOOKUP(AJ$1,RefCapacity!$H$2:$L$8,2,FALSE),1+VLOOKUP(AJ$1,RefCapacity!$H$2:$L$8,4,FALSE))</f>
        <v>1933.836664979757</v>
      </c>
      <c r="AY20" cm="1">
        <f t="array" ref="AY20">INDEX(RefCapacity!$D$2:$D$526,MATCH(1,(RefCapacity!$A$2:$A$526=RefCapacityProj!$D20)*(RefCapacity!$B$2:$B$526=2019)*(RefCapacity!$C$2:$C$526=RefCapacityProj!AK$1),0))*IF($C20=2035,1+VLOOKUP(AK$1,RefCapacity!$H$2:$L$8,2,FALSE),1+VLOOKUP(AK$1,RefCapacity!$H$2:$L$8,4,FALSE))</f>
        <v>2564.7302317013236</v>
      </c>
      <c r="AZ20" cm="1">
        <f t="array" ref="AZ20">INDEX(RefCapacity!$D$2:$D$526,MATCH(1,(RefCapacity!$A$2:$A$526=RefCapacityProj!$D20)*(RefCapacity!$B$2:$B$526=2019)*(RefCapacity!$C$2:$C$526=RefCapacityProj!AL$1),0))*IF($C20=2035,1+VLOOKUP(AL$1,RefCapacity!$H$2:$L$8,2,FALSE),1+VLOOKUP(AL$1,RefCapacity!$H$2:$L$8,4,FALSE))</f>
        <v>53.6302514614692</v>
      </c>
      <c r="BA20" cm="1">
        <f t="array" ref="BA20">INDEX(RefCapacity!$D$2:$D$526,MATCH(1,(RefCapacity!$A$2:$A$526=RefCapacityProj!$D20)*(RefCapacity!$B$2:$B$526=2019)*(RefCapacity!$C$2:$C$526=RefCapacityProj!AM$1),0))*IF($C20=2035,1+VLOOKUP(AM$1,RefCapacity!$H$2:$L$8,2,FALSE),1+VLOOKUP(AM$1,RefCapacity!$H$2:$L$8,4,FALSE))</f>
        <v>5562.7734410987441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f t="shared" si="4"/>
        <v>8307.0058053024659</v>
      </c>
      <c r="BJ20">
        <f t="shared" si="5"/>
        <v>83.907872712528842</v>
      </c>
      <c r="BK20">
        <f t="shared" si="6"/>
        <v>9.9999443676423994E-3</v>
      </c>
      <c r="BL20" cm="1">
        <f t="array" ref="BL20">AG20/$BI20*INDEX('GHG Emission'!$C$2:$C$1121,MATCH(1,('GHG Emission'!$D$2:$D$1121=$D20)*('GHG Emission'!$E$2:$E$1121=$C20)*('GHG Emission'!$F$2:$F$1121=$B20)*('GHG Emission'!$I$2:$I$1121=$E20)*('GHG Emission'!$J$2:$J$1121=$F20)*('GHG Emission'!$K$2:$K$1121=AG$1),0))+AH20/$BI20*INDEX('GHG Emission'!$C$2:$C$1121,MATCH(1,('GHG Emission'!$D$2:$D$1121=$D20)*('GHG Emission'!$E$2:$E$1121=$C20)*('GHG Emission'!$F$2:$F$1121=$B20)*('GHG Emission'!$I$2:$I$1121=$E20)*('GHG Emission'!$J$2:$J$1121=$F20)*('GHG Emission'!$K$2:$K$1121=AH$1),0))+AI20/$BI20*INDEX('GHG Emission'!$C$2:$C$1121,MATCH(1,('GHG Emission'!$D$2:$D$1121=$D20)*('GHG Emission'!$E$2:$E$1121=$C20)*('GHG Emission'!$F$2:$F$1121=$B20)*('GHG Emission'!$I$2:$I$1121=$E20)*('GHG Emission'!$J$2:$J$1121=$F20)*('GHG Emission'!$K$2:$K$1121=AI$1),0))+AJ20/$BI20*INDEX('GHG Emission'!$C$2:$C$1121,MATCH(1,('GHG Emission'!$D$2:$D$1121=$D20)*('GHG Emission'!$E$2:$E$1121=$C20)*('GHG Emission'!$F$2:$F$1121=$B20)*('GHG Emission'!$I$2:$I$1121=$E20)*('GHG Emission'!$J$2:$J$1121=$F20)*('GHG Emission'!$K$2:$K$1121=AJ$1),0))+AK20/$BI20*INDEX('GHG Emission'!$C$2:$C$1121,MATCH(1,('GHG Emission'!$D$2:$D$1121=$D20)*('GHG Emission'!$E$2:$E$1121=$C20)*('GHG Emission'!$F$2:$F$1121=$B20)*('GHG Emission'!$I$2:$I$1121=$E20)*('GHG Emission'!$J$2:$J$1121=$F20)*('GHG Emission'!$K$2:$K$1121=AK$1),0))+AL20/$BI20*INDEX('GHG Emission'!$C$2:$C$1121,MATCH(1,('GHG Emission'!$D$2:$D$1121=$D20)*('GHG Emission'!$E$2:$E$1121=$C20)*('GHG Emission'!$F$2:$F$1121=$B20)*('GHG Emission'!$I$2:$I$1121=$E20)*('GHG Emission'!$J$2:$J$1121=$F20)*('GHG Emission'!$K$2:$K$1121=AL$1),0))+AM20/$BI20*INDEX('GHG Emission'!$C$2:$C$1121,MATCH(1,('GHG Emission'!$D$2:$D$1121=$D20)*('GHG Emission'!$E$2:$E$1121=$C20)*('GHG Emission'!$F$2:$F$1121=$B20)*('GHG Emission'!$I$2:$I$1121=$E20)*('GHG Emission'!$J$2:$J$1121=$F20)*('GHG Emission'!$K$2:$K$1121=AM$1),0))</f>
        <v>36.53047779778781</v>
      </c>
      <c r="BM20" t="str">
        <f t="shared" si="7"/>
        <v>LIGHT/SWEET</v>
      </c>
    </row>
    <row r="21" spans="1:65" hidden="1" x14ac:dyDescent="0.25">
      <c r="A21">
        <v>20</v>
      </c>
      <c r="B21" t="s">
        <v>465</v>
      </c>
      <c r="C21">
        <v>2035</v>
      </c>
      <c r="D21">
        <v>3</v>
      </c>
      <c r="E21" t="s">
        <v>469</v>
      </c>
      <c r="F21" t="s">
        <v>468</v>
      </c>
      <c r="G21">
        <v>3183.1099711418956</v>
      </c>
      <c r="H21">
        <v>684.26784185324789</v>
      </c>
      <c r="I21">
        <v>2397.4657885687948</v>
      </c>
      <c r="J21">
        <v>1700.6793855468002</v>
      </c>
      <c r="K21">
        <v>227.03245314490249</v>
      </c>
      <c r="L21">
        <v>42.104798242288538</v>
      </c>
      <c r="M21">
        <v>0</v>
      </c>
      <c r="N21">
        <v>0</v>
      </c>
      <c r="O21">
        <v>0</v>
      </c>
      <c r="P21">
        <v>101.2831980294727</v>
      </c>
      <c r="Q21">
        <v>0</v>
      </c>
      <c r="R21">
        <v>0</v>
      </c>
      <c r="S21">
        <v>0</v>
      </c>
      <c r="T21">
        <v>12.728894991386792</v>
      </c>
      <c r="U21">
        <v>0</v>
      </c>
      <c r="V21">
        <v>0</v>
      </c>
      <c r="W21">
        <v>0</v>
      </c>
      <c r="X21">
        <f t="shared" si="0"/>
        <v>8348.6723315187883</v>
      </c>
      <c r="Y21">
        <f>X21*VLOOKUP($D21,'LinearReg Model'!$S$2:$T$6,2,FALSE)</f>
        <v>8390.9136780149947</v>
      </c>
      <c r="Z21">
        <f t="shared" si="1"/>
        <v>0.38127139798320786</v>
      </c>
      <c r="AA21">
        <f t="shared" si="2"/>
        <v>0.28716731156373559</v>
      </c>
      <c r="AB21">
        <f t="shared" si="3"/>
        <v>8.1961276557702203E-2</v>
      </c>
      <c r="AC21">
        <v>36.614652924665549</v>
      </c>
      <c r="AD21">
        <v>1.975455919496689</v>
      </c>
      <c r="AE21" s="2">
        <f>VLOOKUP($D21,'MultiReg Model'!$A$5:$F$9,2,FALSE)+AC21*VLOOKUP($D21,'MultiReg Model'!$A$5:$F$9,3,FALSE)+Z21*VLOOKUP($D21,'MultiReg Model'!$A$5:$F$9,4,FALSE)+AA21*VLOOKUP($D21,'MultiReg Model'!$A$5:$F$9,5,FALSE)+AB21*VLOOKUP($D21,'MultiReg Model'!$A$5:$F$9,6,FALSE)</f>
        <v>9.1716068977002774</v>
      </c>
      <c r="AF21" cm="1">
        <f t="array" ref="AF21">MMULT($AG21:$AM21,'Avg CI Index'!$C$2:$C$8)/BI21</f>
        <v>9.1816068420679198</v>
      </c>
      <c r="AG21">
        <v>818.90133857978287</v>
      </c>
      <c r="AH21">
        <v>927.5088238876989</v>
      </c>
      <c r="AI21">
        <v>305.85516035670582</v>
      </c>
      <c r="AJ21">
        <v>1379.0242050532147</v>
      </c>
      <c r="AK21">
        <v>1828.6437956180544</v>
      </c>
      <c r="AL21">
        <v>53.629988209043283</v>
      </c>
      <c r="AM21">
        <v>2993.4424935979669</v>
      </c>
      <c r="AN21" cm="1">
        <f t="array" ref="AN21">$Y21*INDEX(RefCapacity!$D$2:$D$526,MATCH(1,(RefCapacity!$A$2:$A$526=RefCapacityProj!$D21)*(RefCapacity!$B$2:$B$526=2019)*(RefCapacity!$C$2:$C$526=AG$1),0))/SUMIFS(RefCapacity!$D$2:$D$526,RefCapacity!$A$2:$A$526,RefCapacityProj!$D21,RefCapacity!$B$2:$B$526,2019)</f>
        <v>254.95703836105648</v>
      </c>
      <c r="AO21" cm="1">
        <f t="array" ref="AO21">$Y21*INDEX(RefCapacity!$D$2:$D$526,MATCH(1,(RefCapacity!$A$2:$A$526=RefCapacityProj!$D21)*(RefCapacity!$B$2:$B$526=2019)*(RefCapacity!$C$2:$C$526=AH$1),0))/SUMIFS(RefCapacity!$D$2:$D$526,RefCapacity!$A$2:$A$526,RefCapacityProj!$D21,RefCapacity!$B$2:$B$526,2019)</f>
        <v>592.42866656501815</v>
      </c>
      <c r="AP21" cm="1">
        <f t="array" ref="AP21">$Y21*INDEX(RefCapacity!$D$2:$D$526,MATCH(1,(RefCapacity!$A$2:$A$526=RefCapacityProj!$D21)*(RefCapacity!$B$2:$B$526=2019)*(RefCapacity!$C$2:$C$526=AI$1),0))/SUMIFS(RefCapacity!$D$2:$D$526,RefCapacity!$A$2:$A$526,RefCapacityProj!$D21,RefCapacity!$B$2:$B$526,2019)</f>
        <v>254.7047633589803</v>
      </c>
      <c r="AQ21" cm="1">
        <f t="array" ref="AQ21">$Y21*INDEX(RefCapacity!$D$2:$D$526,MATCH(1,(RefCapacity!$A$2:$A$526=RefCapacityProj!$D21)*(RefCapacity!$B$2:$B$526=2019)*(RefCapacity!$C$2:$C$526=AJ$1),0))/SUMIFS(RefCapacity!$D$2:$D$526,RefCapacity!$A$2:$A$526,RefCapacityProj!$D21,RefCapacity!$B$2:$B$526,2019)</f>
        <v>869.63842652559333</v>
      </c>
      <c r="AR21" cm="1">
        <f t="array" ref="AR21">$Y21*INDEX(RefCapacity!$D$2:$D$526,MATCH(1,(RefCapacity!$A$2:$A$526=RefCapacityProj!$D21)*(RefCapacity!$B$2:$B$526=2019)*(RefCapacity!$C$2:$C$526=AK$1),0))/SUMIFS(RefCapacity!$D$2:$D$526,RefCapacity!$A$2:$A$526,RefCapacityProj!$D21,RefCapacity!$B$2:$B$526,2019)</f>
        <v>1778.504324363784</v>
      </c>
      <c r="AS21" cm="1">
        <f t="array" ref="AS21">$Y21*INDEX(RefCapacity!$D$2:$D$526,MATCH(1,(RefCapacity!$A$2:$A$526=RefCapacityProj!$D21)*(RefCapacity!$B$2:$B$526=2019)*(RefCapacity!$C$2:$C$526=AL$1),0))/SUMIFS(RefCapacity!$D$2:$D$526,RefCapacity!$A$2:$A$526,RefCapacityProj!$D21,RefCapacity!$B$2:$B$526,2019)</f>
        <v>32.718259654931856</v>
      </c>
      <c r="AT21" cm="1">
        <f t="array" ref="AT21">$Y21*INDEX(RefCapacity!$D$2:$D$526,MATCH(1,(RefCapacity!$A$2:$A$526=RefCapacityProj!$D21)*(RefCapacity!$B$2:$B$526=2019)*(RefCapacity!$C$2:$C$526=AM$1),0))/SUMIFS(RefCapacity!$D$2:$D$526,RefCapacity!$A$2:$A$526,RefCapacityProj!$D21,RefCapacity!$B$2:$B$526,2019)</f>
        <v>4607.9621991856302</v>
      </c>
      <c r="AU21" cm="1">
        <f t="array" ref="AU21">INDEX(RefCapacity!$D$2:$D$526,MATCH(1,(RefCapacity!$A$2:$A$526=RefCapacityProj!$D21)*(RefCapacity!$B$2:$B$526=2019)*(RefCapacity!$C$2:$C$526=RefCapacityProj!AG$1),0))*IF($C21=2035,1+VLOOKUP(AG$1,RefCapacity!$H$2:$L$8,2,FALSE),1+VLOOKUP(AG$1,RefCapacity!$H$2:$L$8,4,FALSE))</f>
        <v>818.90159671962101</v>
      </c>
      <c r="AV21" cm="1">
        <f t="array" ref="AV21">INDEX(RefCapacity!$D$2:$D$526,MATCH(1,(RefCapacity!$A$2:$A$526=RefCapacityProj!$D21)*(RefCapacity!$B$2:$B$526=2019)*(RefCapacity!$C$2:$C$526=RefCapacityProj!AH$1),0))*IF($C21=2035,1+VLOOKUP(AH$1,RefCapacity!$H$2:$L$8,2,FALSE),1+VLOOKUP(AH$1,RefCapacity!$H$2:$L$8,4,FALSE))</f>
        <v>927.50919366992355</v>
      </c>
      <c r="AW21" cm="1">
        <f t="array" ref="AW21">INDEX(RefCapacity!$D$2:$D$526,MATCH(1,(RefCapacity!$A$2:$A$526=RefCapacityProj!$D21)*(RefCapacity!$B$2:$B$526=2019)*(RefCapacity!$C$2:$C$526=RefCapacityProj!AI$1),0))*IF($C21=2035,1+VLOOKUP(AI$1,RefCapacity!$H$2:$L$8,2,FALSE),1+VLOOKUP(AI$1,RefCapacity!$H$2:$L$8,4,FALSE))</f>
        <v>305.85558861538459</v>
      </c>
      <c r="AX21" cm="1">
        <f t="array" ref="AX21">INDEX(RefCapacity!$D$2:$D$526,MATCH(1,(RefCapacity!$A$2:$A$526=RefCapacityProj!$D21)*(RefCapacity!$B$2:$B$526=2019)*(RefCapacity!$C$2:$C$526=RefCapacityProj!AJ$1),0))*IF($C21=2035,1+VLOOKUP(AJ$1,RefCapacity!$H$2:$L$8,2,FALSE),1+VLOOKUP(AJ$1,RefCapacity!$H$2:$L$8,4,FALSE))</f>
        <v>1933.836664979757</v>
      </c>
      <c r="AY21" cm="1">
        <f t="array" ref="AY21">INDEX(RefCapacity!$D$2:$D$526,MATCH(1,(RefCapacity!$A$2:$A$526=RefCapacityProj!$D21)*(RefCapacity!$B$2:$B$526=2019)*(RefCapacity!$C$2:$C$526=RefCapacityProj!AK$1),0))*IF($C21=2035,1+VLOOKUP(AK$1,RefCapacity!$H$2:$L$8,2,FALSE),1+VLOOKUP(AK$1,RefCapacity!$H$2:$L$8,4,FALSE))</f>
        <v>2564.7302317013236</v>
      </c>
      <c r="AZ21" cm="1">
        <f t="array" ref="AZ21">INDEX(RefCapacity!$D$2:$D$526,MATCH(1,(RefCapacity!$A$2:$A$526=RefCapacityProj!$D21)*(RefCapacity!$B$2:$B$526=2019)*(RefCapacity!$C$2:$C$526=RefCapacityProj!AL$1),0))*IF($C21=2035,1+VLOOKUP(AL$1,RefCapacity!$H$2:$L$8,2,FALSE),1+VLOOKUP(AL$1,RefCapacity!$H$2:$L$8,4,FALSE))</f>
        <v>53.6302514614692</v>
      </c>
      <c r="BA21" cm="1">
        <f t="array" ref="BA21">INDEX(RefCapacity!$D$2:$D$526,MATCH(1,(RefCapacity!$A$2:$A$526=RefCapacityProj!$D21)*(RefCapacity!$B$2:$B$526=2019)*(RefCapacity!$C$2:$C$526=RefCapacityProj!AM$1),0))*IF($C21=2035,1+VLOOKUP(AM$1,RefCapacity!$H$2:$L$8,2,FALSE),1+VLOOKUP(AM$1,RefCapacity!$H$2:$L$8,4,FALSE))</f>
        <v>5562.7734410987441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f t="shared" si="4"/>
        <v>8307.0058053024659</v>
      </c>
      <c r="BJ21">
        <f t="shared" si="5"/>
        <v>83.907872712528842</v>
      </c>
      <c r="BK21">
        <f t="shared" si="6"/>
        <v>9.9999443676423994E-3</v>
      </c>
      <c r="BL21" cm="1">
        <f t="array" ref="BL21">AG21/$BI21*INDEX('GHG Emission'!$C$2:$C$1121,MATCH(1,('GHG Emission'!$D$2:$D$1121=$D21)*('GHG Emission'!$E$2:$E$1121=$C21)*('GHG Emission'!$F$2:$F$1121=$B21)*('GHG Emission'!$I$2:$I$1121=$E21)*('GHG Emission'!$J$2:$J$1121=$F21)*('GHG Emission'!$K$2:$K$1121=AG$1),0))+AH21/$BI21*INDEX('GHG Emission'!$C$2:$C$1121,MATCH(1,('GHG Emission'!$D$2:$D$1121=$D21)*('GHG Emission'!$E$2:$E$1121=$C21)*('GHG Emission'!$F$2:$F$1121=$B21)*('GHG Emission'!$I$2:$I$1121=$E21)*('GHG Emission'!$J$2:$J$1121=$F21)*('GHG Emission'!$K$2:$K$1121=AH$1),0))+AI21/$BI21*INDEX('GHG Emission'!$C$2:$C$1121,MATCH(1,('GHG Emission'!$D$2:$D$1121=$D21)*('GHG Emission'!$E$2:$E$1121=$C21)*('GHG Emission'!$F$2:$F$1121=$B21)*('GHG Emission'!$I$2:$I$1121=$E21)*('GHG Emission'!$J$2:$J$1121=$F21)*('GHG Emission'!$K$2:$K$1121=AI$1),0))+AJ21/$BI21*INDEX('GHG Emission'!$C$2:$C$1121,MATCH(1,('GHG Emission'!$D$2:$D$1121=$D21)*('GHG Emission'!$E$2:$E$1121=$C21)*('GHG Emission'!$F$2:$F$1121=$B21)*('GHG Emission'!$I$2:$I$1121=$E21)*('GHG Emission'!$J$2:$J$1121=$F21)*('GHG Emission'!$K$2:$K$1121=AJ$1),0))+AK21/$BI21*INDEX('GHG Emission'!$C$2:$C$1121,MATCH(1,('GHG Emission'!$D$2:$D$1121=$D21)*('GHG Emission'!$E$2:$E$1121=$C21)*('GHG Emission'!$F$2:$F$1121=$B21)*('GHG Emission'!$I$2:$I$1121=$E21)*('GHG Emission'!$J$2:$J$1121=$F21)*('GHG Emission'!$K$2:$K$1121=AK$1),0))+AL21/$BI21*INDEX('GHG Emission'!$C$2:$C$1121,MATCH(1,('GHG Emission'!$D$2:$D$1121=$D21)*('GHG Emission'!$E$2:$E$1121=$C21)*('GHG Emission'!$F$2:$F$1121=$B21)*('GHG Emission'!$I$2:$I$1121=$E21)*('GHG Emission'!$J$2:$J$1121=$F21)*('GHG Emission'!$K$2:$K$1121=AL$1),0))+AM21/$BI21*INDEX('GHG Emission'!$C$2:$C$1121,MATCH(1,('GHG Emission'!$D$2:$D$1121=$D21)*('GHG Emission'!$E$2:$E$1121=$C21)*('GHG Emission'!$F$2:$F$1121=$B21)*('GHG Emission'!$I$2:$I$1121=$E21)*('GHG Emission'!$J$2:$J$1121=$F21)*('GHG Emission'!$K$2:$K$1121=AM$1),0))</f>
        <v>36.238790360977305</v>
      </c>
      <c r="BM21" t="str">
        <f t="shared" si="7"/>
        <v>LIGHT/SOUR</v>
      </c>
    </row>
    <row r="22" spans="1:65" hidden="1" x14ac:dyDescent="0.25">
      <c r="A22">
        <v>21</v>
      </c>
      <c r="B22" t="s">
        <v>465</v>
      </c>
      <c r="C22">
        <v>2050</v>
      </c>
      <c r="D22">
        <v>3</v>
      </c>
      <c r="E22" t="s">
        <v>466</v>
      </c>
      <c r="F22" t="s">
        <v>467</v>
      </c>
      <c r="G22">
        <v>3001.470395855767</v>
      </c>
      <c r="H22">
        <v>637.69345190601518</v>
      </c>
      <c r="I22">
        <v>2542.3070187512535</v>
      </c>
      <c r="J22">
        <v>1803.4247492233335</v>
      </c>
      <c r="K22">
        <v>269.32588574164436</v>
      </c>
      <c r="L22">
        <v>49.948418930838677</v>
      </c>
      <c r="M22">
        <v>0</v>
      </c>
      <c r="N22">
        <v>0</v>
      </c>
      <c r="O22">
        <v>0</v>
      </c>
      <c r="P22">
        <v>124.2815058048555</v>
      </c>
      <c r="Q22">
        <v>0</v>
      </c>
      <c r="R22">
        <v>0</v>
      </c>
      <c r="S22">
        <v>0</v>
      </c>
      <c r="T22">
        <v>12.969949555427933</v>
      </c>
      <c r="U22">
        <v>0</v>
      </c>
      <c r="V22">
        <v>0</v>
      </c>
      <c r="W22">
        <v>0</v>
      </c>
      <c r="X22">
        <f t="shared" si="0"/>
        <v>8441.4213757691377</v>
      </c>
      <c r="Y22">
        <f>X22*VLOOKUP($D22,'LinearReg Model'!$S$2:$T$6,2,FALSE)</f>
        <v>8484.1319998174858</v>
      </c>
      <c r="Z22">
        <f t="shared" si="1"/>
        <v>0.35556457405045594</v>
      </c>
      <c r="AA22">
        <f t="shared" si="2"/>
        <v>0.30117049079540964</v>
      </c>
      <c r="AB22">
        <f t="shared" si="3"/>
        <v>7.5543373979232484E-2</v>
      </c>
      <c r="AC22">
        <v>28.267512206646213</v>
      </c>
      <c r="AD22">
        <v>1.0693086579627853</v>
      </c>
      <c r="AE22" s="2">
        <f>VLOOKUP($D22,'MultiReg Model'!$A$5:$F$9,2,FALSE)+AC22*VLOOKUP($D22,'MultiReg Model'!$A$5:$F$9,3,FALSE)+Z22*VLOOKUP($D22,'MultiReg Model'!$A$5:$F$9,4,FALSE)+AA22*VLOOKUP($D22,'MultiReg Model'!$A$5:$F$9,5,FALSE)+AB22*VLOOKUP($D22,'MultiReg Model'!$A$5:$F$9,6,FALSE)</f>
        <v>9.7624536969087075</v>
      </c>
      <c r="AF22" cm="1">
        <f t="array" ref="AF22">MMULT($AG22:$AM22,'Avg CI Index'!$C$2:$C$8)/BI22</f>
        <v>9.7724528455232935</v>
      </c>
      <c r="AG22">
        <v>524.98586005351535</v>
      </c>
      <c r="AH22">
        <v>651.28165208421024</v>
      </c>
      <c r="AI22">
        <v>315.8815829100223</v>
      </c>
      <c r="AJ22">
        <v>821.83186125789837</v>
      </c>
      <c r="AK22">
        <v>1725.2652108193568</v>
      </c>
      <c r="AL22">
        <v>7.2177124606499334E-3</v>
      </c>
      <c r="AM22">
        <v>4529.6423745205293</v>
      </c>
      <c r="AN22" cm="1">
        <f t="array" ref="AN22">$Y22*INDEX(RefCapacity!$D$2:$D$526,MATCH(1,(RefCapacity!$A$2:$A$526=RefCapacityProj!$D22)*(RefCapacity!$B$2:$B$526=2019)*(RefCapacity!$C$2:$C$526=AG$1),0))/SUMIFS(RefCapacity!$D$2:$D$526,RefCapacity!$A$2:$A$526,RefCapacityProj!$D22,RefCapacity!$B$2:$B$526,2019)</f>
        <v>257.78946736220593</v>
      </c>
      <c r="AO22" cm="1">
        <f t="array" ref="AO22">$Y22*INDEX(RefCapacity!$D$2:$D$526,MATCH(1,(RefCapacity!$A$2:$A$526=RefCapacityProj!$D22)*(RefCapacity!$B$2:$B$526=2019)*(RefCapacity!$C$2:$C$526=AH$1),0))/SUMIFS(RefCapacity!$D$2:$D$526,RefCapacity!$A$2:$A$526,RefCapacityProj!$D22,RefCapacity!$B$2:$B$526,2019)</f>
        <v>599.01021515484263</v>
      </c>
      <c r="AP22" cm="1">
        <f t="array" ref="AP22">$Y22*INDEX(RefCapacity!$D$2:$D$526,MATCH(1,(RefCapacity!$A$2:$A$526=RefCapacityProj!$D22)*(RefCapacity!$B$2:$B$526=2019)*(RefCapacity!$C$2:$C$526=AI$1),0))/SUMIFS(RefCapacity!$D$2:$D$526,RefCapacity!$A$2:$A$526,RefCapacityProj!$D22,RefCapacity!$B$2:$B$526,2019)</f>
        <v>257.53438972704009</v>
      </c>
      <c r="AQ22" cm="1">
        <f t="array" ref="AQ22">$Y22*INDEX(RefCapacity!$D$2:$D$526,MATCH(1,(RefCapacity!$A$2:$A$526=RefCapacityProj!$D22)*(RefCapacity!$B$2:$B$526=2019)*(RefCapacity!$C$2:$C$526=AJ$1),0))/SUMIFS(RefCapacity!$D$2:$D$526,RefCapacity!$A$2:$A$526,RefCapacityProj!$D22,RefCapacity!$B$2:$B$526,2019)</f>
        <v>879.29961931179446</v>
      </c>
      <c r="AR22" cm="1">
        <f t="array" ref="AR22">$Y22*INDEX(RefCapacity!$D$2:$D$526,MATCH(1,(RefCapacity!$A$2:$A$526=RefCapacityProj!$D22)*(RefCapacity!$B$2:$B$526=2019)*(RefCapacity!$C$2:$C$526=AK$1),0))/SUMIFS(RefCapacity!$D$2:$D$526,RefCapacity!$A$2:$A$526,RefCapacityProj!$D22,RefCapacity!$B$2:$B$526,2019)</f>
        <v>1798.2625050336733</v>
      </c>
      <c r="AS22" cm="1">
        <f t="array" ref="AS22">$Y22*INDEX(RefCapacity!$D$2:$D$526,MATCH(1,(RefCapacity!$A$2:$A$526=RefCapacityProj!$D22)*(RefCapacity!$B$2:$B$526=2019)*(RefCapacity!$C$2:$C$526=AL$1),0))/SUMIFS(RefCapacity!$D$2:$D$526,RefCapacity!$A$2:$A$526,RefCapacityProj!$D22,RefCapacity!$B$2:$B$526,2019)</f>
        <v>33.081741079525941</v>
      </c>
      <c r="AT22" cm="1">
        <f t="array" ref="AT22">$Y22*INDEX(RefCapacity!$D$2:$D$526,MATCH(1,(RefCapacity!$A$2:$A$526=RefCapacityProj!$D22)*(RefCapacity!$B$2:$B$526=2019)*(RefCapacity!$C$2:$C$526=AM$1),0))/SUMIFS(RefCapacity!$D$2:$D$526,RefCapacity!$A$2:$A$526,RefCapacityProj!$D22,RefCapacity!$B$2:$B$526,2019)</f>
        <v>4659.1540621484028</v>
      </c>
      <c r="AU22" cm="1">
        <f t="array" ref="AU22">INDEX(RefCapacity!$D$2:$D$526,MATCH(1,(RefCapacity!$A$2:$A$526=RefCapacityProj!$D22)*(RefCapacity!$B$2:$B$526=2019)*(RefCapacity!$C$2:$C$526=RefCapacityProj!AG$1),0))*IF($C22=2035,1+VLOOKUP(AG$1,RefCapacity!$H$2:$L$8,2,FALSE),1+VLOOKUP(AG$1,RefCapacity!$H$2:$L$8,4,FALSE))</f>
        <v>1341.688193439242</v>
      </c>
      <c r="AV22" cm="1">
        <f t="array" ref="AV22">INDEX(RefCapacity!$D$2:$D$526,MATCH(1,(RefCapacity!$A$2:$A$526=RefCapacityProj!$D22)*(RefCapacity!$B$2:$B$526=2019)*(RefCapacity!$C$2:$C$526=RefCapacityProj!AH$1),0))*IF($C22=2035,1+VLOOKUP(AH$1,RefCapacity!$H$2:$L$8,2,FALSE),1+VLOOKUP(AH$1,RefCapacity!$H$2:$L$8,4,FALSE))</f>
        <v>1166.9533873398473</v>
      </c>
      <c r="AW22" cm="1">
        <f t="array" ref="AW22">INDEX(RefCapacity!$D$2:$D$526,MATCH(1,(RefCapacity!$A$2:$A$526=RefCapacityProj!$D22)*(RefCapacity!$B$2:$B$526=2019)*(RefCapacity!$C$2:$C$526=RefCapacityProj!AI$1),0))*IF($C22=2035,1+VLOOKUP(AI$1,RefCapacity!$H$2:$L$8,2,FALSE),1+VLOOKUP(AI$1,RefCapacity!$H$2:$L$8,4,FALSE))</f>
        <v>315.88917723076923</v>
      </c>
      <c r="AX22" cm="1">
        <f t="array" ref="AX22">INDEX(RefCapacity!$D$2:$D$526,MATCH(1,(RefCapacity!$A$2:$A$526=RefCapacityProj!$D22)*(RefCapacity!$B$2:$B$526=2019)*(RefCapacity!$C$2:$C$526=RefCapacityProj!AJ$1),0))*IF($C22=2035,1+VLOOKUP(AJ$1,RefCapacity!$H$2:$L$8,2,FALSE),1+VLOOKUP(AJ$1,RefCapacity!$H$2:$L$8,4,FALSE))</f>
        <v>2857.6483299595143</v>
      </c>
      <c r="AY22" cm="1">
        <f t="array" ref="AY22">INDEX(RefCapacity!$D$2:$D$526,MATCH(1,(RefCapacity!$A$2:$A$526=RefCapacityProj!$D22)*(RefCapacity!$B$2:$B$526=2019)*(RefCapacity!$C$2:$C$526=RefCapacityProj!AK$1),0))*IF($C22=2035,1+VLOOKUP(AK$1,RefCapacity!$H$2:$L$8,2,FALSE),1+VLOOKUP(AK$1,RefCapacity!$H$2:$L$8,4,FALSE))</f>
        <v>3063.8504634026467</v>
      </c>
      <c r="AZ22" cm="1">
        <f t="array" ref="AZ22">INDEX(RefCapacity!$D$2:$D$526,MATCH(1,(RefCapacity!$A$2:$A$526=RefCapacityProj!$D22)*(RefCapacity!$B$2:$B$526=2019)*(RefCapacity!$C$2:$C$526=RefCapacityProj!AL$1),0))*IF($C22=2035,1+VLOOKUP(AL$1,RefCapacity!$H$2:$L$8,2,FALSE),1+VLOOKUP(AL$1,RefCapacity!$H$2:$L$8,4,FALSE))</f>
        <v>69.2605029229384</v>
      </c>
      <c r="BA22" cm="1">
        <f t="array" ref="BA22">INDEX(RefCapacity!$D$2:$D$526,MATCH(1,(RefCapacity!$A$2:$A$526=RefCapacityProj!$D22)*(RefCapacity!$B$2:$B$526=2019)*(RefCapacity!$C$2:$C$526=RefCapacityProj!AM$1),0))*IF($C22=2035,1+VLOOKUP(AM$1,RefCapacity!$H$2:$L$8,2,FALSE),1+VLOOKUP(AM$1,RefCapacity!$H$2:$L$8,4,FALSE))</f>
        <v>5773.7168821974883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f t="shared" si="4"/>
        <v>8568.8957593579926</v>
      </c>
      <c r="BJ22">
        <f t="shared" si="5"/>
        <v>84.763759540506726</v>
      </c>
      <c r="BK22">
        <f t="shared" si="6"/>
        <v>9.999148614586062E-3</v>
      </c>
      <c r="BL22" cm="1">
        <f t="array" ref="BL22">AG22/$BI22*INDEX('GHG Emission'!$C$2:$C$1121,MATCH(1,('GHG Emission'!$D$2:$D$1121=$D22)*('GHG Emission'!$E$2:$E$1121=$C22)*('GHG Emission'!$F$2:$F$1121=$B22)*('GHG Emission'!$I$2:$I$1121=$E22)*('GHG Emission'!$J$2:$J$1121=$F22)*('GHG Emission'!$K$2:$K$1121=AG$1),0))+AH22/$BI22*INDEX('GHG Emission'!$C$2:$C$1121,MATCH(1,('GHG Emission'!$D$2:$D$1121=$D22)*('GHG Emission'!$E$2:$E$1121=$C22)*('GHG Emission'!$F$2:$F$1121=$B22)*('GHG Emission'!$I$2:$I$1121=$E22)*('GHG Emission'!$J$2:$J$1121=$F22)*('GHG Emission'!$K$2:$K$1121=AH$1),0))+AI22/$BI22*INDEX('GHG Emission'!$C$2:$C$1121,MATCH(1,('GHG Emission'!$D$2:$D$1121=$D22)*('GHG Emission'!$E$2:$E$1121=$C22)*('GHG Emission'!$F$2:$F$1121=$B22)*('GHG Emission'!$I$2:$I$1121=$E22)*('GHG Emission'!$J$2:$J$1121=$F22)*('GHG Emission'!$K$2:$K$1121=AI$1),0))+AJ22/$BI22*INDEX('GHG Emission'!$C$2:$C$1121,MATCH(1,('GHG Emission'!$D$2:$D$1121=$D22)*('GHG Emission'!$E$2:$E$1121=$C22)*('GHG Emission'!$F$2:$F$1121=$B22)*('GHG Emission'!$I$2:$I$1121=$E22)*('GHG Emission'!$J$2:$J$1121=$F22)*('GHG Emission'!$K$2:$K$1121=AJ$1),0))+AK22/$BI22*INDEX('GHG Emission'!$C$2:$C$1121,MATCH(1,('GHG Emission'!$D$2:$D$1121=$D22)*('GHG Emission'!$E$2:$E$1121=$C22)*('GHG Emission'!$F$2:$F$1121=$B22)*('GHG Emission'!$I$2:$I$1121=$E22)*('GHG Emission'!$J$2:$J$1121=$F22)*('GHG Emission'!$K$2:$K$1121=AK$1),0))+AL22/$BI22*INDEX('GHG Emission'!$C$2:$C$1121,MATCH(1,('GHG Emission'!$D$2:$D$1121=$D22)*('GHG Emission'!$E$2:$E$1121=$C22)*('GHG Emission'!$F$2:$F$1121=$B22)*('GHG Emission'!$I$2:$I$1121=$E22)*('GHG Emission'!$J$2:$J$1121=$F22)*('GHG Emission'!$K$2:$K$1121=AL$1),0))+AM22/$BI22*INDEX('GHG Emission'!$C$2:$C$1121,MATCH(1,('GHG Emission'!$D$2:$D$1121=$D22)*('GHG Emission'!$E$2:$E$1121=$C22)*('GHG Emission'!$F$2:$F$1121=$B22)*('GHG Emission'!$I$2:$I$1121=$E22)*('GHG Emission'!$J$2:$J$1121=$F22)*('GHG Emission'!$K$2:$K$1121=AM$1),0))</f>
        <v>36.98998109211216</v>
      </c>
      <c r="BM22" t="str">
        <f t="shared" si="7"/>
        <v>HEAVY/SWEET</v>
      </c>
    </row>
    <row r="23" spans="1:65" x14ac:dyDescent="0.25">
      <c r="A23">
        <v>22</v>
      </c>
      <c r="B23" t="s">
        <v>465</v>
      </c>
      <c r="C23">
        <v>2050</v>
      </c>
      <c r="D23">
        <v>3</v>
      </c>
      <c r="E23" t="s">
        <v>466</v>
      </c>
      <c r="F23" t="s">
        <v>468</v>
      </c>
      <c r="G23">
        <v>3001.470395855767</v>
      </c>
      <c r="H23">
        <v>637.69345190601518</v>
      </c>
      <c r="I23">
        <v>2542.3070187512535</v>
      </c>
      <c r="J23">
        <v>1803.4247492233335</v>
      </c>
      <c r="K23">
        <v>269.32588574164436</v>
      </c>
      <c r="L23">
        <v>49.948418930838677</v>
      </c>
      <c r="M23">
        <v>0</v>
      </c>
      <c r="N23">
        <v>0</v>
      </c>
      <c r="O23">
        <v>0</v>
      </c>
      <c r="P23">
        <v>124.2815058048555</v>
      </c>
      <c r="Q23">
        <v>0</v>
      </c>
      <c r="R23">
        <v>0</v>
      </c>
      <c r="S23">
        <v>0</v>
      </c>
      <c r="T23">
        <v>12.969949555427933</v>
      </c>
      <c r="U23">
        <v>0</v>
      </c>
      <c r="V23">
        <v>0</v>
      </c>
      <c r="W23">
        <v>0</v>
      </c>
      <c r="X23">
        <f t="shared" si="0"/>
        <v>8441.4213757691377</v>
      </c>
      <c r="Y23">
        <f>X23*VLOOKUP($D23,'LinearReg Model'!$S$2:$T$6,2,FALSE)</f>
        <v>8484.1319998174858</v>
      </c>
      <c r="Z23">
        <f t="shared" si="1"/>
        <v>0.35556457405045594</v>
      </c>
      <c r="AA23">
        <f t="shared" si="2"/>
        <v>0.30117049079540964</v>
      </c>
      <c r="AB23">
        <f t="shared" si="3"/>
        <v>7.5543373979232484E-2</v>
      </c>
      <c r="AC23">
        <v>28.267512206646213</v>
      </c>
      <c r="AD23">
        <v>2.673413137685352</v>
      </c>
      <c r="AE23" s="2">
        <f>VLOOKUP($D23,'MultiReg Model'!$A$5:$F$9,2,FALSE)+AC23*VLOOKUP($D23,'MultiReg Model'!$A$5:$F$9,3,FALSE)+Z23*VLOOKUP($D23,'MultiReg Model'!$A$5:$F$9,4,FALSE)+AA23*VLOOKUP($D23,'MultiReg Model'!$A$5:$F$9,5,FALSE)+AB23*VLOOKUP($D23,'MultiReg Model'!$A$5:$F$9,6,FALSE)</f>
        <v>9.7624536969087075</v>
      </c>
      <c r="AF23" cm="1">
        <f t="array" ref="AF23">MMULT($AG23:$AM23,'Avg CI Index'!$C$2:$C$8)/BI23</f>
        <v>9.7724528455232935</v>
      </c>
      <c r="AG23">
        <v>524.98586005351535</v>
      </c>
      <c r="AH23">
        <v>651.28165208421024</v>
      </c>
      <c r="AI23">
        <v>315.8815829100223</v>
      </c>
      <c r="AJ23">
        <v>821.83186125789837</v>
      </c>
      <c r="AK23">
        <v>1725.2652108193568</v>
      </c>
      <c r="AL23">
        <v>7.2177124606499334E-3</v>
      </c>
      <c r="AM23">
        <v>4529.6423745205293</v>
      </c>
      <c r="AN23" cm="1">
        <f t="array" ref="AN23">$Y23*INDEX(RefCapacity!$D$2:$D$526,MATCH(1,(RefCapacity!$A$2:$A$526=RefCapacityProj!$D23)*(RefCapacity!$B$2:$B$526=2019)*(RefCapacity!$C$2:$C$526=AG$1),0))/SUMIFS(RefCapacity!$D$2:$D$526,RefCapacity!$A$2:$A$526,RefCapacityProj!$D23,RefCapacity!$B$2:$B$526,2019)</f>
        <v>257.78946736220593</v>
      </c>
      <c r="AO23" cm="1">
        <f t="array" ref="AO23">$Y23*INDEX(RefCapacity!$D$2:$D$526,MATCH(1,(RefCapacity!$A$2:$A$526=RefCapacityProj!$D23)*(RefCapacity!$B$2:$B$526=2019)*(RefCapacity!$C$2:$C$526=AH$1),0))/SUMIFS(RefCapacity!$D$2:$D$526,RefCapacity!$A$2:$A$526,RefCapacityProj!$D23,RefCapacity!$B$2:$B$526,2019)</f>
        <v>599.01021515484263</v>
      </c>
      <c r="AP23" cm="1">
        <f t="array" ref="AP23">$Y23*INDEX(RefCapacity!$D$2:$D$526,MATCH(1,(RefCapacity!$A$2:$A$526=RefCapacityProj!$D23)*(RefCapacity!$B$2:$B$526=2019)*(RefCapacity!$C$2:$C$526=AI$1),0))/SUMIFS(RefCapacity!$D$2:$D$526,RefCapacity!$A$2:$A$526,RefCapacityProj!$D23,RefCapacity!$B$2:$B$526,2019)</f>
        <v>257.53438972704009</v>
      </c>
      <c r="AQ23" cm="1">
        <f t="array" ref="AQ23">$Y23*INDEX(RefCapacity!$D$2:$D$526,MATCH(1,(RefCapacity!$A$2:$A$526=RefCapacityProj!$D23)*(RefCapacity!$B$2:$B$526=2019)*(RefCapacity!$C$2:$C$526=AJ$1),0))/SUMIFS(RefCapacity!$D$2:$D$526,RefCapacity!$A$2:$A$526,RefCapacityProj!$D23,RefCapacity!$B$2:$B$526,2019)</f>
        <v>879.29961931179446</v>
      </c>
      <c r="AR23" cm="1">
        <f t="array" ref="AR23">$Y23*INDEX(RefCapacity!$D$2:$D$526,MATCH(1,(RefCapacity!$A$2:$A$526=RefCapacityProj!$D23)*(RefCapacity!$B$2:$B$526=2019)*(RefCapacity!$C$2:$C$526=AK$1),0))/SUMIFS(RefCapacity!$D$2:$D$526,RefCapacity!$A$2:$A$526,RefCapacityProj!$D23,RefCapacity!$B$2:$B$526,2019)</f>
        <v>1798.2625050336733</v>
      </c>
      <c r="AS23" cm="1">
        <f t="array" ref="AS23">$Y23*INDEX(RefCapacity!$D$2:$D$526,MATCH(1,(RefCapacity!$A$2:$A$526=RefCapacityProj!$D23)*(RefCapacity!$B$2:$B$526=2019)*(RefCapacity!$C$2:$C$526=AL$1),0))/SUMIFS(RefCapacity!$D$2:$D$526,RefCapacity!$A$2:$A$526,RefCapacityProj!$D23,RefCapacity!$B$2:$B$526,2019)</f>
        <v>33.081741079525941</v>
      </c>
      <c r="AT23" cm="1">
        <f t="array" ref="AT23">$Y23*INDEX(RefCapacity!$D$2:$D$526,MATCH(1,(RefCapacity!$A$2:$A$526=RefCapacityProj!$D23)*(RefCapacity!$B$2:$B$526=2019)*(RefCapacity!$C$2:$C$526=AM$1),0))/SUMIFS(RefCapacity!$D$2:$D$526,RefCapacity!$A$2:$A$526,RefCapacityProj!$D23,RefCapacity!$B$2:$B$526,2019)</f>
        <v>4659.1540621484028</v>
      </c>
      <c r="AU23" cm="1">
        <f t="array" ref="AU23">INDEX(RefCapacity!$D$2:$D$526,MATCH(1,(RefCapacity!$A$2:$A$526=RefCapacityProj!$D23)*(RefCapacity!$B$2:$B$526=2019)*(RefCapacity!$C$2:$C$526=RefCapacityProj!AG$1),0))*IF($C23=2035,1+VLOOKUP(AG$1,RefCapacity!$H$2:$L$8,2,FALSE),1+VLOOKUP(AG$1,RefCapacity!$H$2:$L$8,4,FALSE))</f>
        <v>1341.688193439242</v>
      </c>
      <c r="AV23" cm="1">
        <f t="array" ref="AV23">INDEX(RefCapacity!$D$2:$D$526,MATCH(1,(RefCapacity!$A$2:$A$526=RefCapacityProj!$D23)*(RefCapacity!$B$2:$B$526=2019)*(RefCapacity!$C$2:$C$526=RefCapacityProj!AH$1),0))*IF($C23=2035,1+VLOOKUP(AH$1,RefCapacity!$H$2:$L$8,2,FALSE),1+VLOOKUP(AH$1,RefCapacity!$H$2:$L$8,4,FALSE))</f>
        <v>1166.9533873398473</v>
      </c>
      <c r="AW23" cm="1">
        <f t="array" ref="AW23">INDEX(RefCapacity!$D$2:$D$526,MATCH(1,(RefCapacity!$A$2:$A$526=RefCapacityProj!$D23)*(RefCapacity!$B$2:$B$526=2019)*(RefCapacity!$C$2:$C$526=RefCapacityProj!AI$1),0))*IF($C23=2035,1+VLOOKUP(AI$1,RefCapacity!$H$2:$L$8,2,FALSE),1+VLOOKUP(AI$1,RefCapacity!$H$2:$L$8,4,FALSE))</f>
        <v>315.88917723076923</v>
      </c>
      <c r="AX23" cm="1">
        <f t="array" ref="AX23">INDEX(RefCapacity!$D$2:$D$526,MATCH(1,(RefCapacity!$A$2:$A$526=RefCapacityProj!$D23)*(RefCapacity!$B$2:$B$526=2019)*(RefCapacity!$C$2:$C$526=RefCapacityProj!AJ$1),0))*IF($C23=2035,1+VLOOKUP(AJ$1,RefCapacity!$H$2:$L$8,2,FALSE),1+VLOOKUP(AJ$1,RefCapacity!$H$2:$L$8,4,FALSE))</f>
        <v>2857.6483299595143</v>
      </c>
      <c r="AY23" cm="1">
        <f t="array" ref="AY23">INDEX(RefCapacity!$D$2:$D$526,MATCH(1,(RefCapacity!$A$2:$A$526=RefCapacityProj!$D23)*(RefCapacity!$B$2:$B$526=2019)*(RefCapacity!$C$2:$C$526=RefCapacityProj!AK$1),0))*IF($C23=2035,1+VLOOKUP(AK$1,RefCapacity!$H$2:$L$8,2,FALSE),1+VLOOKUP(AK$1,RefCapacity!$H$2:$L$8,4,FALSE))</f>
        <v>3063.8504634026467</v>
      </c>
      <c r="AZ23" cm="1">
        <f t="array" ref="AZ23">INDEX(RefCapacity!$D$2:$D$526,MATCH(1,(RefCapacity!$A$2:$A$526=RefCapacityProj!$D23)*(RefCapacity!$B$2:$B$526=2019)*(RefCapacity!$C$2:$C$526=RefCapacityProj!AL$1),0))*IF($C23=2035,1+VLOOKUP(AL$1,RefCapacity!$H$2:$L$8,2,FALSE),1+VLOOKUP(AL$1,RefCapacity!$H$2:$L$8,4,FALSE))</f>
        <v>69.2605029229384</v>
      </c>
      <c r="BA23" cm="1">
        <f t="array" ref="BA23">INDEX(RefCapacity!$D$2:$D$526,MATCH(1,(RefCapacity!$A$2:$A$526=RefCapacityProj!$D23)*(RefCapacity!$B$2:$B$526=2019)*(RefCapacity!$C$2:$C$526=RefCapacityProj!AM$1),0))*IF($C23=2035,1+VLOOKUP(AM$1,RefCapacity!$H$2:$L$8,2,FALSE),1+VLOOKUP(AM$1,RefCapacity!$H$2:$L$8,4,FALSE))</f>
        <v>5773.7168821974883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f t="shared" si="4"/>
        <v>8568.8957593579926</v>
      </c>
      <c r="BJ23">
        <f t="shared" si="5"/>
        <v>84.763759540506726</v>
      </c>
      <c r="BK23">
        <f t="shared" si="6"/>
        <v>9.999148614586062E-3</v>
      </c>
      <c r="BL23" cm="1">
        <f t="array" ref="BL23">AG23/$BI23*INDEX('GHG Emission'!$C$2:$C$1121,MATCH(1,('GHG Emission'!$D$2:$D$1121=$D23)*('GHG Emission'!$E$2:$E$1121=$C23)*('GHG Emission'!$F$2:$F$1121=$B23)*('GHG Emission'!$I$2:$I$1121=$E23)*('GHG Emission'!$J$2:$J$1121=$F23)*('GHG Emission'!$K$2:$K$1121=AG$1),0))+AH23/$BI23*INDEX('GHG Emission'!$C$2:$C$1121,MATCH(1,('GHG Emission'!$D$2:$D$1121=$D23)*('GHG Emission'!$E$2:$E$1121=$C23)*('GHG Emission'!$F$2:$F$1121=$B23)*('GHG Emission'!$I$2:$I$1121=$E23)*('GHG Emission'!$J$2:$J$1121=$F23)*('GHG Emission'!$K$2:$K$1121=AH$1),0))+AI23/$BI23*INDEX('GHG Emission'!$C$2:$C$1121,MATCH(1,('GHG Emission'!$D$2:$D$1121=$D23)*('GHG Emission'!$E$2:$E$1121=$C23)*('GHG Emission'!$F$2:$F$1121=$B23)*('GHG Emission'!$I$2:$I$1121=$E23)*('GHG Emission'!$J$2:$J$1121=$F23)*('GHG Emission'!$K$2:$K$1121=AI$1),0))+AJ23/$BI23*INDEX('GHG Emission'!$C$2:$C$1121,MATCH(1,('GHG Emission'!$D$2:$D$1121=$D23)*('GHG Emission'!$E$2:$E$1121=$C23)*('GHG Emission'!$F$2:$F$1121=$B23)*('GHG Emission'!$I$2:$I$1121=$E23)*('GHG Emission'!$J$2:$J$1121=$F23)*('GHG Emission'!$K$2:$K$1121=AJ$1),0))+AK23/$BI23*INDEX('GHG Emission'!$C$2:$C$1121,MATCH(1,('GHG Emission'!$D$2:$D$1121=$D23)*('GHG Emission'!$E$2:$E$1121=$C23)*('GHG Emission'!$F$2:$F$1121=$B23)*('GHG Emission'!$I$2:$I$1121=$E23)*('GHG Emission'!$J$2:$J$1121=$F23)*('GHG Emission'!$K$2:$K$1121=AK$1),0))+AL23/$BI23*INDEX('GHG Emission'!$C$2:$C$1121,MATCH(1,('GHG Emission'!$D$2:$D$1121=$D23)*('GHG Emission'!$E$2:$E$1121=$C23)*('GHG Emission'!$F$2:$F$1121=$B23)*('GHG Emission'!$I$2:$I$1121=$E23)*('GHG Emission'!$J$2:$J$1121=$F23)*('GHG Emission'!$K$2:$K$1121=AL$1),0))+AM23/$BI23*INDEX('GHG Emission'!$C$2:$C$1121,MATCH(1,('GHG Emission'!$D$2:$D$1121=$D23)*('GHG Emission'!$E$2:$E$1121=$C23)*('GHG Emission'!$F$2:$F$1121=$B23)*('GHG Emission'!$I$2:$I$1121=$E23)*('GHG Emission'!$J$2:$J$1121=$F23)*('GHG Emission'!$K$2:$K$1121=AM$1),0))</f>
        <v>37.24377459716645</v>
      </c>
      <c r="BM23" t="str">
        <f t="shared" si="7"/>
        <v>HEAVY/SOUR</v>
      </c>
    </row>
    <row r="24" spans="1:65" hidden="1" x14ac:dyDescent="0.25">
      <c r="A24">
        <v>23</v>
      </c>
      <c r="B24" t="s">
        <v>465</v>
      </c>
      <c r="C24">
        <v>2050</v>
      </c>
      <c r="D24">
        <v>3</v>
      </c>
      <c r="E24" t="s">
        <v>469</v>
      </c>
      <c r="F24" t="s">
        <v>467</v>
      </c>
      <c r="G24">
        <v>3001.470395855767</v>
      </c>
      <c r="H24">
        <v>637.69345190601518</v>
      </c>
      <c r="I24">
        <v>2542.3070187512535</v>
      </c>
      <c r="J24">
        <v>1803.4247492233335</v>
      </c>
      <c r="K24">
        <v>269.32588574164436</v>
      </c>
      <c r="L24">
        <v>49.948418930838677</v>
      </c>
      <c r="M24">
        <v>0</v>
      </c>
      <c r="N24">
        <v>0</v>
      </c>
      <c r="O24">
        <v>0</v>
      </c>
      <c r="P24">
        <v>124.2815058048555</v>
      </c>
      <c r="Q24">
        <v>0</v>
      </c>
      <c r="R24">
        <v>0</v>
      </c>
      <c r="S24">
        <v>0</v>
      </c>
      <c r="T24">
        <v>12.969949555427933</v>
      </c>
      <c r="U24">
        <v>0</v>
      </c>
      <c r="V24">
        <v>0</v>
      </c>
      <c r="W24">
        <v>0</v>
      </c>
      <c r="X24">
        <f t="shared" si="0"/>
        <v>8441.4213757691377</v>
      </c>
      <c r="Y24">
        <f>X24*VLOOKUP($D24,'LinearReg Model'!$S$2:$T$6,2,FALSE)</f>
        <v>8484.1319998174858</v>
      </c>
      <c r="Z24">
        <f t="shared" si="1"/>
        <v>0.35556457405045594</v>
      </c>
      <c r="AA24">
        <f t="shared" si="2"/>
        <v>0.30117049079540964</v>
      </c>
      <c r="AB24">
        <f t="shared" si="3"/>
        <v>7.5543373979232484E-2</v>
      </c>
      <c r="AC24">
        <v>37.317276792879753</v>
      </c>
      <c r="AD24">
        <v>1.0693086579627853</v>
      </c>
      <c r="AE24" s="2">
        <f>VLOOKUP($D24,'MultiReg Model'!$A$5:$F$9,2,FALSE)+AC24*VLOOKUP($D24,'MultiReg Model'!$A$5:$F$9,3,FALSE)+Z24*VLOOKUP($D24,'MultiReg Model'!$A$5:$F$9,4,FALSE)+AA24*VLOOKUP($D24,'MultiReg Model'!$A$5:$F$9,5,FALSE)+AB24*VLOOKUP($D24,'MultiReg Model'!$A$5:$F$9,6,FALSE)</f>
        <v>9.0993498951836393</v>
      </c>
      <c r="AF24" cm="1">
        <f t="array" ref="AF24">MMULT($AG24:$AM24,'Avg CI Index'!$C$2:$C$8)/BI24</f>
        <v>9.1093498997964719</v>
      </c>
      <c r="AG24">
        <v>1212.1346752428269</v>
      </c>
      <c r="AH24">
        <v>759.72797575357652</v>
      </c>
      <c r="AI24">
        <v>315.87415017675528</v>
      </c>
      <c r="AJ24">
        <v>634.78468860485441</v>
      </c>
      <c r="AK24">
        <v>1496.3607368823516</v>
      </c>
      <c r="AL24">
        <v>3.2539849613758397E-3</v>
      </c>
      <c r="AM24">
        <v>4148.5279065860686</v>
      </c>
      <c r="AN24" cm="1">
        <f t="array" ref="AN24">$Y24*INDEX(RefCapacity!$D$2:$D$526,MATCH(1,(RefCapacity!$A$2:$A$526=RefCapacityProj!$D24)*(RefCapacity!$B$2:$B$526=2019)*(RefCapacity!$C$2:$C$526=AG$1),0))/SUMIFS(RefCapacity!$D$2:$D$526,RefCapacity!$A$2:$A$526,RefCapacityProj!$D24,RefCapacity!$B$2:$B$526,2019)</f>
        <v>257.78946736220593</v>
      </c>
      <c r="AO24" cm="1">
        <f t="array" ref="AO24">$Y24*INDEX(RefCapacity!$D$2:$D$526,MATCH(1,(RefCapacity!$A$2:$A$526=RefCapacityProj!$D24)*(RefCapacity!$B$2:$B$526=2019)*(RefCapacity!$C$2:$C$526=AH$1),0))/SUMIFS(RefCapacity!$D$2:$D$526,RefCapacity!$A$2:$A$526,RefCapacityProj!$D24,RefCapacity!$B$2:$B$526,2019)</f>
        <v>599.01021515484263</v>
      </c>
      <c r="AP24" cm="1">
        <f t="array" ref="AP24">$Y24*INDEX(RefCapacity!$D$2:$D$526,MATCH(1,(RefCapacity!$A$2:$A$526=RefCapacityProj!$D24)*(RefCapacity!$B$2:$B$526=2019)*(RefCapacity!$C$2:$C$526=AI$1),0))/SUMIFS(RefCapacity!$D$2:$D$526,RefCapacity!$A$2:$A$526,RefCapacityProj!$D24,RefCapacity!$B$2:$B$526,2019)</f>
        <v>257.53438972704009</v>
      </c>
      <c r="AQ24" cm="1">
        <f t="array" ref="AQ24">$Y24*INDEX(RefCapacity!$D$2:$D$526,MATCH(1,(RefCapacity!$A$2:$A$526=RefCapacityProj!$D24)*(RefCapacity!$B$2:$B$526=2019)*(RefCapacity!$C$2:$C$526=AJ$1),0))/SUMIFS(RefCapacity!$D$2:$D$526,RefCapacity!$A$2:$A$526,RefCapacityProj!$D24,RefCapacity!$B$2:$B$526,2019)</f>
        <v>879.29961931179446</v>
      </c>
      <c r="AR24" cm="1">
        <f t="array" ref="AR24">$Y24*INDEX(RefCapacity!$D$2:$D$526,MATCH(1,(RefCapacity!$A$2:$A$526=RefCapacityProj!$D24)*(RefCapacity!$B$2:$B$526=2019)*(RefCapacity!$C$2:$C$526=AK$1),0))/SUMIFS(RefCapacity!$D$2:$D$526,RefCapacity!$A$2:$A$526,RefCapacityProj!$D24,RefCapacity!$B$2:$B$526,2019)</f>
        <v>1798.2625050336733</v>
      </c>
      <c r="AS24" cm="1">
        <f t="array" ref="AS24">$Y24*INDEX(RefCapacity!$D$2:$D$526,MATCH(1,(RefCapacity!$A$2:$A$526=RefCapacityProj!$D24)*(RefCapacity!$B$2:$B$526=2019)*(RefCapacity!$C$2:$C$526=AL$1),0))/SUMIFS(RefCapacity!$D$2:$D$526,RefCapacity!$A$2:$A$526,RefCapacityProj!$D24,RefCapacity!$B$2:$B$526,2019)</f>
        <v>33.081741079525941</v>
      </c>
      <c r="AT24" cm="1">
        <f t="array" ref="AT24">$Y24*INDEX(RefCapacity!$D$2:$D$526,MATCH(1,(RefCapacity!$A$2:$A$526=RefCapacityProj!$D24)*(RefCapacity!$B$2:$B$526=2019)*(RefCapacity!$C$2:$C$526=AM$1),0))/SUMIFS(RefCapacity!$D$2:$D$526,RefCapacity!$A$2:$A$526,RefCapacityProj!$D24,RefCapacity!$B$2:$B$526,2019)</f>
        <v>4659.1540621484028</v>
      </c>
      <c r="AU24" cm="1">
        <f t="array" ref="AU24">INDEX(RefCapacity!$D$2:$D$526,MATCH(1,(RefCapacity!$A$2:$A$526=RefCapacityProj!$D24)*(RefCapacity!$B$2:$B$526=2019)*(RefCapacity!$C$2:$C$526=RefCapacityProj!AG$1),0))*IF($C24=2035,1+VLOOKUP(AG$1,RefCapacity!$H$2:$L$8,2,FALSE),1+VLOOKUP(AG$1,RefCapacity!$H$2:$L$8,4,FALSE))</f>
        <v>1341.688193439242</v>
      </c>
      <c r="AV24" cm="1">
        <f t="array" ref="AV24">INDEX(RefCapacity!$D$2:$D$526,MATCH(1,(RefCapacity!$A$2:$A$526=RefCapacityProj!$D24)*(RefCapacity!$B$2:$B$526=2019)*(RefCapacity!$C$2:$C$526=RefCapacityProj!AH$1),0))*IF($C24=2035,1+VLOOKUP(AH$1,RefCapacity!$H$2:$L$8,2,FALSE),1+VLOOKUP(AH$1,RefCapacity!$H$2:$L$8,4,FALSE))</f>
        <v>1166.9533873398473</v>
      </c>
      <c r="AW24" cm="1">
        <f t="array" ref="AW24">INDEX(RefCapacity!$D$2:$D$526,MATCH(1,(RefCapacity!$A$2:$A$526=RefCapacityProj!$D24)*(RefCapacity!$B$2:$B$526=2019)*(RefCapacity!$C$2:$C$526=RefCapacityProj!AI$1),0))*IF($C24=2035,1+VLOOKUP(AI$1,RefCapacity!$H$2:$L$8,2,FALSE),1+VLOOKUP(AI$1,RefCapacity!$H$2:$L$8,4,FALSE))</f>
        <v>315.88917723076923</v>
      </c>
      <c r="AX24" cm="1">
        <f t="array" ref="AX24">INDEX(RefCapacity!$D$2:$D$526,MATCH(1,(RefCapacity!$A$2:$A$526=RefCapacityProj!$D24)*(RefCapacity!$B$2:$B$526=2019)*(RefCapacity!$C$2:$C$526=RefCapacityProj!AJ$1),0))*IF($C24=2035,1+VLOOKUP(AJ$1,RefCapacity!$H$2:$L$8,2,FALSE),1+VLOOKUP(AJ$1,RefCapacity!$H$2:$L$8,4,FALSE))</f>
        <v>2857.6483299595143</v>
      </c>
      <c r="AY24" cm="1">
        <f t="array" ref="AY24">INDEX(RefCapacity!$D$2:$D$526,MATCH(1,(RefCapacity!$A$2:$A$526=RefCapacityProj!$D24)*(RefCapacity!$B$2:$B$526=2019)*(RefCapacity!$C$2:$C$526=RefCapacityProj!AK$1),0))*IF($C24=2035,1+VLOOKUP(AK$1,RefCapacity!$H$2:$L$8,2,FALSE),1+VLOOKUP(AK$1,RefCapacity!$H$2:$L$8,4,FALSE))</f>
        <v>3063.8504634026467</v>
      </c>
      <c r="AZ24" cm="1">
        <f t="array" ref="AZ24">INDEX(RefCapacity!$D$2:$D$526,MATCH(1,(RefCapacity!$A$2:$A$526=RefCapacityProj!$D24)*(RefCapacity!$B$2:$B$526=2019)*(RefCapacity!$C$2:$C$526=RefCapacityProj!AL$1),0))*IF($C24=2035,1+VLOOKUP(AL$1,RefCapacity!$H$2:$L$8,2,FALSE),1+VLOOKUP(AL$1,RefCapacity!$H$2:$L$8,4,FALSE))</f>
        <v>69.2605029229384</v>
      </c>
      <c r="BA24" cm="1">
        <f t="array" ref="BA24">INDEX(RefCapacity!$D$2:$D$526,MATCH(1,(RefCapacity!$A$2:$A$526=RefCapacityProj!$D24)*(RefCapacity!$B$2:$B$526=2019)*(RefCapacity!$C$2:$C$526=RefCapacityProj!AM$1),0))*IF($C24=2035,1+VLOOKUP(AM$1,RefCapacity!$H$2:$L$8,2,FALSE),1+VLOOKUP(AM$1,RefCapacity!$H$2:$L$8,4,FALSE))</f>
        <v>5773.7168821974883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f t="shared" si="4"/>
        <v>8567.4133872313942</v>
      </c>
      <c r="BJ24">
        <f t="shared" si="5"/>
        <v>83.281387413908305</v>
      </c>
      <c r="BK24">
        <f t="shared" si="6"/>
        <v>1.0000004612832569E-2</v>
      </c>
      <c r="BL24" cm="1">
        <f t="array" ref="BL24">AG24/$BI24*INDEX('GHG Emission'!$C$2:$C$1121,MATCH(1,('GHG Emission'!$D$2:$D$1121=$D24)*('GHG Emission'!$E$2:$E$1121=$C24)*('GHG Emission'!$F$2:$F$1121=$B24)*('GHG Emission'!$I$2:$I$1121=$E24)*('GHG Emission'!$J$2:$J$1121=$F24)*('GHG Emission'!$K$2:$K$1121=AG$1),0))+AH24/$BI24*INDEX('GHG Emission'!$C$2:$C$1121,MATCH(1,('GHG Emission'!$D$2:$D$1121=$D24)*('GHG Emission'!$E$2:$E$1121=$C24)*('GHG Emission'!$F$2:$F$1121=$B24)*('GHG Emission'!$I$2:$I$1121=$E24)*('GHG Emission'!$J$2:$J$1121=$F24)*('GHG Emission'!$K$2:$K$1121=AH$1),0))+AI24/$BI24*INDEX('GHG Emission'!$C$2:$C$1121,MATCH(1,('GHG Emission'!$D$2:$D$1121=$D24)*('GHG Emission'!$E$2:$E$1121=$C24)*('GHG Emission'!$F$2:$F$1121=$B24)*('GHG Emission'!$I$2:$I$1121=$E24)*('GHG Emission'!$J$2:$J$1121=$F24)*('GHG Emission'!$K$2:$K$1121=AI$1),0))+AJ24/$BI24*INDEX('GHG Emission'!$C$2:$C$1121,MATCH(1,('GHG Emission'!$D$2:$D$1121=$D24)*('GHG Emission'!$E$2:$E$1121=$C24)*('GHG Emission'!$F$2:$F$1121=$B24)*('GHG Emission'!$I$2:$I$1121=$E24)*('GHG Emission'!$J$2:$J$1121=$F24)*('GHG Emission'!$K$2:$K$1121=AJ$1),0))+AK24/$BI24*INDEX('GHG Emission'!$C$2:$C$1121,MATCH(1,('GHG Emission'!$D$2:$D$1121=$D24)*('GHG Emission'!$E$2:$E$1121=$C24)*('GHG Emission'!$F$2:$F$1121=$B24)*('GHG Emission'!$I$2:$I$1121=$E24)*('GHG Emission'!$J$2:$J$1121=$F24)*('GHG Emission'!$K$2:$K$1121=AK$1),0))+AL24/$BI24*INDEX('GHG Emission'!$C$2:$C$1121,MATCH(1,('GHG Emission'!$D$2:$D$1121=$D24)*('GHG Emission'!$E$2:$E$1121=$C24)*('GHG Emission'!$F$2:$F$1121=$B24)*('GHG Emission'!$I$2:$I$1121=$E24)*('GHG Emission'!$J$2:$J$1121=$F24)*('GHG Emission'!$K$2:$K$1121=AL$1),0))+AM24/$BI24*INDEX('GHG Emission'!$C$2:$C$1121,MATCH(1,('GHG Emission'!$D$2:$D$1121=$D24)*('GHG Emission'!$E$2:$E$1121=$C24)*('GHG Emission'!$F$2:$F$1121=$B24)*('GHG Emission'!$I$2:$I$1121=$E24)*('GHG Emission'!$J$2:$J$1121=$F24)*('GHG Emission'!$K$2:$K$1121=AM$1),0))</f>
        <v>35.873355233431411</v>
      </c>
      <c r="BM24" t="str">
        <f t="shared" si="7"/>
        <v>LIGHT/SWEET</v>
      </c>
    </row>
    <row r="25" spans="1:65" hidden="1" x14ac:dyDescent="0.25">
      <c r="A25">
        <v>24</v>
      </c>
      <c r="B25" t="s">
        <v>465</v>
      </c>
      <c r="C25">
        <v>2050</v>
      </c>
      <c r="D25">
        <v>3</v>
      </c>
      <c r="E25" t="s">
        <v>469</v>
      </c>
      <c r="F25" t="s">
        <v>468</v>
      </c>
      <c r="G25">
        <v>3001.470395855767</v>
      </c>
      <c r="H25">
        <v>637.69345190601518</v>
      </c>
      <c r="I25">
        <v>2542.3070187512535</v>
      </c>
      <c r="J25">
        <v>1803.4247492233335</v>
      </c>
      <c r="K25">
        <v>269.32588574164436</v>
      </c>
      <c r="L25">
        <v>49.948418930838677</v>
      </c>
      <c r="M25">
        <v>0</v>
      </c>
      <c r="N25">
        <v>0</v>
      </c>
      <c r="O25">
        <v>0</v>
      </c>
      <c r="P25">
        <v>124.2815058048555</v>
      </c>
      <c r="Q25">
        <v>0</v>
      </c>
      <c r="R25">
        <v>0</v>
      </c>
      <c r="S25">
        <v>0</v>
      </c>
      <c r="T25">
        <v>12.969949555427933</v>
      </c>
      <c r="U25">
        <v>0</v>
      </c>
      <c r="V25">
        <v>0</v>
      </c>
      <c r="W25">
        <v>0</v>
      </c>
      <c r="X25">
        <f t="shared" si="0"/>
        <v>8441.4213757691377</v>
      </c>
      <c r="Y25">
        <f>X25*VLOOKUP($D25,'LinearReg Model'!$S$2:$T$6,2,FALSE)</f>
        <v>8484.1319998174858</v>
      </c>
      <c r="Z25">
        <f t="shared" si="1"/>
        <v>0.35556457405045594</v>
      </c>
      <c r="AA25">
        <f t="shared" si="2"/>
        <v>0.30117049079540964</v>
      </c>
      <c r="AB25">
        <f t="shared" si="3"/>
        <v>7.5543373979232484E-2</v>
      </c>
      <c r="AC25">
        <v>37.317276792879753</v>
      </c>
      <c r="AD25">
        <v>2.673413137685352</v>
      </c>
      <c r="AE25" s="2">
        <f>VLOOKUP($D25,'MultiReg Model'!$A$5:$F$9,2,FALSE)+AC25*VLOOKUP($D25,'MultiReg Model'!$A$5:$F$9,3,FALSE)+Z25*VLOOKUP($D25,'MultiReg Model'!$A$5:$F$9,4,FALSE)+AA25*VLOOKUP($D25,'MultiReg Model'!$A$5:$F$9,5,FALSE)+AB25*VLOOKUP($D25,'MultiReg Model'!$A$5:$F$9,6,FALSE)</f>
        <v>9.0993498951836393</v>
      </c>
      <c r="AF25" cm="1">
        <f t="array" ref="AF25">MMULT($AG25:$AM25,'Avg CI Index'!$C$2:$C$8)/BI25</f>
        <v>9.1093498997964719</v>
      </c>
      <c r="AG25">
        <v>1212.1346752428269</v>
      </c>
      <c r="AH25">
        <v>759.72797575357652</v>
      </c>
      <c r="AI25">
        <v>315.87415017675528</v>
      </c>
      <c r="AJ25">
        <v>634.78468860485441</v>
      </c>
      <c r="AK25">
        <v>1496.3607368823516</v>
      </c>
      <c r="AL25">
        <v>3.2539849613758397E-3</v>
      </c>
      <c r="AM25">
        <v>4148.5279065860686</v>
      </c>
      <c r="AN25" cm="1">
        <f t="array" ref="AN25">$Y25*INDEX(RefCapacity!$D$2:$D$526,MATCH(1,(RefCapacity!$A$2:$A$526=RefCapacityProj!$D25)*(RefCapacity!$B$2:$B$526=2019)*(RefCapacity!$C$2:$C$526=AG$1),0))/SUMIFS(RefCapacity!$D$2:$D$526,RefCapacity!$A$2:$A$526,RefCapacityProj!$D25,RefCapacity!$B$2:$B$526,2019)</f>
        <v>257.78946736220593</v>
      </c>
      <c r="AO25" cm="1">
        <f t="array" ref="AO25">$Y25*INDEX(RefCapacity!$D$2:$D$526,MATCH(1,(RefCapacity!$A$2:$A$526=RefCapacityProj!$D25)*(RefCapacity!$B$2:$B$526=2019)*(RefCapacity!$C$2:$C$526=AH$1),0))/SUMIFS(RefCapacity!$D$2:$D$526,RefCapacity!$A$2:$A$526,RefCapacityProj!$D25,RefCapacity!$B$2:$B$526,2019)</f>
        <v>599.01021515484263</v>
      </c>
      <c r="AP25" cm="1">
        <f t="array" ref="AP25">$Y25*INDEX(RefCapacity!$D$2:$D$526,MATCH(1,(RefCapacity!$A$2:$A$526=RefCapacityProj!$D25)*(RefCapacity!$B$2:$B$526=2019)*(RefCapacity!$C$2:$C$526=AI$1),0))/SUMIFS(RefCapacity!$D$2:$D$526,RefCapacity!$A$2:$A$526,RefCapacityProj!$D25,RefCapacity!$B$2:$B$526,2019)</f>
        <v>257.53438972704009</v>
      </c>
      <c r="AQ25" cm="1">
        <f t="array" ref="AQ25">$Y25*INDEX(RefCapacity!$D$2:$D$526,MATCH(1,(RefCapacity!$A$2:$A$526=RefCapacityProj!$D25)*(RefCapacity!$B$2:$B$526=2019)*(RefCapacity!$C$2:$C$526=AJ$1),0))/SUMIFS(RefCapacity!$D$2:$D$526,RefCapacity!$A$2:$A$526,RefCapacityProj!$D25,RefCapacity!$B$2:$B$526,2019)</f>
        <v>879.29961931179446</v>
      </c>
      <c r="AR25" cm="1">
        <f t="array" ref="AR25">$Y25*INDEX(RefCapacity!$D$2:$D$526,MATCH(1,(RefCapacity!$A$2:$A$526=RefCapacityProj!$D25)*(RefCapacity!$B$2:$B$526=2019)*(RefCapacity!$C$2:$C$526=AK$1),0))/SUMIFS(RefCapacity!$D$2:$D$526,RefCapacity!$A$2:$A$526,RefCapacityProj!$D25,RefCapacity!$B$2:$B$526,2019)</f>
        <v>1798.2625050336733</v>
      </c>
      <c r="AS25" cm="1">
        <f t="array" ref="AS25">$Y25*INDEX(RefCapacity!$D$2:$D$526,MATCH(1,(RefCapacity!$A$2:$A$526=RefCapacityProj!$D25)*(RefCapacity!$B$2:$B$526=2019)*(RefCapacity!$C$2:$C$526=AL$1),0))/SUMIFS(RefCapacity!$D$2:$D$526,RefCapacity!$A$2:$A$526,RefCapacityProj!$D25,RefCapacity!$B$2:$B$526,2019)</f>
        <v>33.081741079525941</v>
      </c>
      <c r="AT25" cm="1">
        <f t="array" ref="AT25">$Y25*INDEX(RefCapacity!$D$2:$D$526,MATCH(1,(RefCapacity!$A$2:$A$526=RefCapacityProj!$D25)*(RefCapacity!$B$2:$B$526=2019)*(RefCapacity!$C$2:$C$526=AM$1),0))/SUMIFS(RefCapacity!$D$2:$D$526,RefCapacity!$A$2:$A$526,RefCapacityProj!$D25,RefCapacity!$B$2:$B$526,2019)</f>
        <v>4659.1540621484028</v>
      </c>
      <c r="AU25" cm="1">
        <f t="array" ref="AU25">INDEX(RefCapacity!$D$2:$D$526,MATCH(1,(RefCapacity!$A$2:$A$526=RefCapacityProj!$D25)*(RefCapacity!$B$2:$B$526=2019)*(RefCapacity!$C$2:$C$526=RefCapacityProj!AG$1),0))*IF($C25=2035,1+VLOOKUP(AG$1,RefCapacity!$H$2:$L$8,2,FALSE),1+VLOOKUP(AG$1,RefCapacity!$H$2:$L$8,4,FALSE))</f>
        <v>1341.688193439242</v>
      </c>
      <c r="AV25" cm="1">
        <f t="array" ref="AV25">INDEX(RefCapacity!$D$2:$D$526,MATCH(1,(RefCapacity!$A$2:$A$526=RefCapacityProj!$D25)*(RefCapacity!$B$2:$B$526=2019)*(RefCapacity!$C$2:$C$526=RefCapacityProj!AH$1),0))*IF($C25=2035,1+VLOOKUP(AH$1,RefCapacity!$H$2:$L$8,2,FALSE),1+VLOOKUP(AH$1,RefCapacity!$H$2:$L$8,4,FALSE))</f>
        <v>1166.9533873398473</v>
      </c>
      <c r="AW25" cm="1">
        <f t="array" ref="AW25">INDEX(RefCapacity!$D$2:$D$526,MATCH(1,(RefCapacity!$A$2:$A$526=RefCapacityProj!$D25)*(RefCapacity!$B$2:$B$526=2019)*(RefCapacity!$C$2:$C$526=RefCapacityProj!AI$1),0))*IF($C25=2035,1+VLOOKUP(AI$1,RefCapacity!$H$2:$L$8,2,FALSE),1+VLOOKUP(AI$1,RefCapacity!$H$2:$L$8,4,FALSE))</f>
        <v>315.88917723076923</v>
      </c>
      <c r="AX25" cm="1">
        <f t="array" ref="AX25">INDEX(RefCapacity!$D$2:$D$526,MATCH(1,(RefCapacity!$A$2:$A$526=RefCapacityProj!$D25)*(RefCapacity!$B$2:$B$526=2019)*(RefCapacity!$C$2:$C$526=RefCapacityProj!AJ$1),0))*IF($C25=2035,1+VLOOKUP(AJ$1,RefCapacity!$H$2:$L$8,2,FALSE),1+VLOOKUP(AJ$1,RefCapacity!$H$2:$L$8,4,FALSE))</f>
        <v>2857.6483299595143</v>
      </c>
      <c r="AY25" cm="1">
        <f t="array" ref="AY25">INDEX(RefCapacity!$D$2:$D$526,MATCH(1,(RefCapacity!$A$2:$A$526=RefCapacityProj!$D25)*(RefCapacity!$B$2:$B$526=2019)*(RefCapacity!$C$2:$C$526=RefCapacityProj!AK$1),0))*IF($C25=2035,1+VLOOKUP(AK$1,RefCapacity!$H$2:$L$8,2,FALSE),1+VLOOKUP(AK$1,RefCapacity!$H$2:$L$8,4,FALSE))</f>
        <v>3063.8504634026467</v>
      </c>
      <c r="AZ25" cm="1">
        <f t="array" ref="AZ25">INDEX(RefCapacity!$D$2:$D$526,MATCH(1,(RefCapacity!$A$2:$A$526=RefCapacityProj!$D25)*(RefCapacity!$B$2:$B$526=2019)*(RefCapacity!$C$2:$C$526=RefCapacityProj!AL$1),0))*IF($C25=2035,1+VLOOKUP(AL$1,RefCapacity!$H$2:$L$8,2,FALSE),1+VLOOKUP(AL$1,RefCapacity!$H$2:$L$8,4,FALSE))</f>
        <v>69.2605029229384</v>
      </c>
      <c r="BA25" cm="1">
        <f t="array" ref="BA25">INDEX(RefCapacity!$D$2:$D$526,MATCH(1,(RefCapacity!$A$2:$A$526=RefCapacityProj!$D25)*(RefCapacity!$B$2:$B$526=2019)*(RefCapacity!$C$2:$C$526=RefCapacityProj!AM$1),0))*IF($C25=2035,1+VLOOKUP(AM$1,RefCapacity!$H$2:$L$8,2,FALSE),1+VLOOKUP(AM$1,RefCapacity!$H$2:$L$8,4,FALSE))</f>
        <v>5773.7168821974883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f t="shared" si="4"/>
        <v>8567.4133872313942</v>
      </c>
      <c r="BJ25">
        <f t="shared" si="5"/>
        <v>83.281387413908305</v>
      </c>
      <c r="BK25">
        <f t="shared" si="6"/>
        <v>1.0000004612832569E-2</v>
      </c>
      <c r="BL25" cm="1">
        <f t="array" ref="BL25">AG25/$BI25*INDEX('GHG Emission'!$C$2:$C$1121,MATCH(1,('GHG Emission'!$D$2:$D$1121=$D25)*('GHG Emission'!$E$2:$E$1121=$C25)*('GHG Emission'!$F$2:$F$1121=$B25)*('GHG Emission'!$I$2:$I$1121=$E25)*('GHG Emission'!$J$2:$J$1121=$F25)*('GHG Emission'!$K$2:$K$1121=AG$1),0))+AH25/$BI25*INDEX('GHG Emission'!$C$2:$C$1121,MATCH(1,('GHG Emission'!$D$2:$D$1121=$D25)*('GHG Emission'!$E$2:$E$1121=$C25)*('GHG Emission'!$F$2:$F$1121=$B25)*('GHG Emission'!$I$2:$I$1121=$E25)*('GHG Emission'!$J$2:$J$1121=$F25)*('GHG Emission'!$K$2:$K$1121=AH$1),0))+AI25/$BI25*INDEX('GHG Emission'!$C$2:$C$1121,MATCH(1,('GHG Emission'!$D$2:$D$1121=$D25)*('GHG Emission'!$E$2:$E$1121=$C25)*('GHG Emission'!$F$2:$F$1121=$B25)*('GHG Emission'!$I$2:$I$1121=$E25)*('GHG Emission'!$J$2:$J$1121=$F25)*('GHG Emission'!$K$2:$K$1121=AI$1),0))+AJ25/$BI25*INDEX('GHG Emission'!$C$2:$C$1121,MATCH(1,('GHG Emission'!$D$2:$D$1121=$D25)*('GHG Emission'!$E$2:$E$1121=$C25)*('GHG Emission'!$F$2:$F$1121=$B25)*('GHG Emission'!$I$2:$I$1121=$E25)*('GHG Emission'!$J$2:$J$1121=$F25)*('GHG Emission'!$K$2:$K$1121=AJ$1),0))+AK25/$BI25*INDEX('GHG Emission'!$C$2:$C$1121,MATCH(1,('GHG Emission'!$D$2:$D$1121=$D25)*('GHG Emission'!$E$2:$E$1121=$C25)*('GHG Emission'!$F$2:$F$1121=$B25)*('GHG Emission'!$I$2:$I$1121=$E25)*('GHG Emission'!$J$2:$J$1121=$F25)*('GHG Emission'!$K$2:$K$1121=AK$1),0))+AL25/$BI25*INDEX('GHG Emission'!$C$2:$C$1121,MATCH(1,('GHG Emission'!$D$2:$D$1121=$D25)*('GHG Emission'!$E$2:$E$1121=$C25)*('GHG Emission'!$F$2:$F$1121=$B25)*('GHG Emission'!$I$2:$I$1121=$E25)*('GHG Emission'!$J$2:$J$1121=$F25)*('GHG Emission'!$K$2:$K$1121=AL$1),0))+AM25/$BI25*INDEX('GHG Emission'!$C$2:$C$1121,MATCH(1,('GHG Emission'!$D$2:$D$1121=$D25)*('GHG Emission'!$E$2:$E$1121=$C25)*('GHG Emission'!$F$2:$F$1121=$B25)*('GHG Emission'!$I$2:$I$1121=$E25)*('GHG Emission'!$J$2:$J$1121=$F25)*('GHG Emission'!$K$2:$K$1121=AM$1),0))</f>
        <v>34.765355701497612</v>
      </c>
      <c r="BM25" t="str">
        <f t="shared" si="7"/>
        <v>LIGHT/SOUR</v>
      </c>
    </row>
    <row r="26" spans="1:65" hidden="1" x14ac:dyDescent="0.25">
      <c r="A26">
        <v>25</v>
      </c>
      <c r="B26" t="s">
        <v>465</v>
      </c>
      <c r="C26">
        <v>2035</v>
      </c>
      <c r="D26">
        <v>4</v>
      </c>
      <c r="E26" t="s">
        <v>466</v>
      </c>
      <c r="F26" t="s">
        <v>467</v>
      </c>
      <c r="G26">
        <v>335.76119925999257</v>
      </c>
      <c r="H26">
        <v>20.444107162091317</v>
      </c>
      <c r="I26">
        <v>170.00639635193204</v>
      </c>
      <c r="J26">
        <v>41.069540670068839</v>
      </c>
      <c r="K26">
        <v>4.5959626645722889</v>
      </c>
      <c r="L26">
        <v>2.1462026217592438</v>
      </c>
      <c r="M26">
        <v>0</v>
      </c>
      <c r="N26">
        <v>0</v>
      </c>
      <c r="O26">
        <v>0</v>
      </c>
      <c r="P26">
        <v>153.51055198997955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f t="shared" si="0"/>
        <v>727.53396072039595</v>
      </c>
      <c r="Y26">
        <f>X26*VLOOKUP($D26,'LinearReg Model'!$S$2:$T$6,2,FALSE)</f>
        <v>660.83917752183493</v>
      </c>
      <c r="Z26">
        <f t="shared" si="1"/>
        <v>0.4615058779215277</v>
      </c>
      <c r="AA26">
        <f t="shared" si="2"/>
        <v>0.23367485991113543</v>
      </c>
      <c r="AB26">
        <f t="shared" si="3"/>
        <v>2.8100553741639486E-2</v>
      </c>
      <c r="AC26">
        <v>29.333484298143549</v>
      </c>
      <c r="AD26">
        <v>1.1317892699899461</v>
      </c>
      <c r="AE26" s="2">
        <f>VLOOKUP($D26,'MultiReg Model'!$A$5:$F$9,2,FALSE)+AC26*VLOOKUP($D26,'MultiReg Model'!$A$5:$F$9,3,FALSE)+Z26*VLOOKUP($D26,'MultiReg Model'!$A$5:$F$9,4,FALSE)+AA26*VLOOKUP($D26,'MultiReg Model'!$A$5:$F$9,5,FALSE)+AB26*VLOOKUP($D26,'MultiReg Model'!$A$5:$F$9,6,FALSE)</f>
        <v>6.7508836220775752</v>
      </c>
      <c r="AF26" cm="1">
        <f t="array" ref="AF26">MMULT($AG26:$AM26,'Avg CI Index'!$C$2:$C$8)/BI26</f>
        <v>8.1495633175967175</v>
      </c>
      <c r="AG26">
        <v>41.247209074374091</v>
      </c>
      <c r="AH26">
        <v>311.65678471726608</v>
      </c>
      <c r="AI26">
        <v>0</v>
      </c>
      <c r="AJ26">
        <v>138.96474358920781</v>
      </c>
      <c r="AK26">
        <v>162.30854184767787</v>
      </c>
      <c r="AL26">
        <v>0</v>
      </c>
      <c r="AM26">
        <v>7.3428630665131843E-11</v>
      </c>
      <c r="AN26" cm="1">
        <f t="array" ref="AN26">$Y26*INDEX(RefCapacity!$D$2:$D$526,MATCH(1,(RefCapacity!$A$2:$A$526=RefCapacityProj!$D26)*(RefCapacity!$B$2:$B$526=2019)*(RefCapacity!$C$2:$C$526=AG$1),0))/SUMIFS(RefCapacity!$D$2:$D$526,RefCapacity!$A$2:$A$526,RefCapacityProj!$D26,RefCapacity!$B$2:$B$526,2019)</f>
        <v>14.401648657190901</v>
      </c>
      <c r="AO26" cm="1">
        <f t="array" ref="AO26">$Y26*INDEX(RefCapacity!$D$2:$D$526,MATCH(1,(RefCapacity!$A$2:$A$526=RefCapacityProj!$D26)*(RefCapacity!$B$2:$B$526=2019)*(RefCapacity!$C$2:$C$526=AH$1),0))/SUMIFS(RefCapacity!$D$2:$D$526,RefCapacity!$A$2:$A$526,RefCapacityProj!$D26,RefCapacity!$B$2:$B$526,2019)</f>
        <v>223.24245186339502</v>
      </c>
      <c r="AP26" cm="1">
        <f t="array" ref="AP26">$Y26*INDEX(RefCapacity!$D$2:$D$526,MATCH(1,(RefCapacity!$A$2:$A$526=RefCapacityProj!$D26)*(RefCapacity!$B$2:$B$526=2019)*(RefCapacity!$C$2:$C$526=AI$1),0))/SUMIFS(RefCapacity!$D$2:$D$526,RefCapacity!$A$2:$A$526,RefCapacityProj!$D26,RefCapacity!$B$2:$B$526,2019)</f>
        <v>0</v>
      </c>
      <c r="AQ26" cm="1">
        <f t="array" ref="AQ26">$Y26*INDEX(RefCapacity!$D$2:$D$526,MATCH(1,(RefCapacity!$A$2:$A$526=RefCapacityProj!$D26)*(RefCapacity!$B$2:$B$526=2019)*(RefCapacity!$C$2:$C$526=AJ$1),0))/SUMIFS(RefCapacity!$D$2:$D$526,RefCapacity!$A$2:$A$526,RefCapacityProj!$D26,RefCapacity!$B$2:$B$526,2019)</f>
        <v>70.081908115247458</v>
      </c>
      <c r="AR26" cm="1">
        <f t="array" ref="AR26">$Y26*INDEX(RefCapacity!$D$2:$D$526,MATCH(1,(RefCapacity!$A$2:$A$526=RefCapacityProj!$D26)*(RefCapacity!$B$2:$B$526=2019)*(RefCapacity!$C$2:$C$526=AK$1),0))/SUMIFS(RefCapacity!$D$2:$D$526,RefCapacity!$A$2:$A$526,RefCapacityProj!$D26,RefCapacity!$B$2:$B$526,2019)</f>
        <v>212.85762240928253</v>
      </c>
      <c r="AS26" cm="1">
        <f t="array" ref="AS26">$Y26*INDEX(RefCapacity!$D$2:$D$526,MATCH(1,(RefCapacity!$A$2:$A$526=RefCapacityProj!$D26)*(RefCapacity!$B$2:$B$526=2019)*(RefCapacity!$C$2:$C$526=AL$1),0))/SUMIFS(RefCapacity!$D$2:$D$526,RefCapacity!$A$2:$A$526,RefCapacityProj!$D26,RefCapacity!$B$2:$B$526,2019)</f>
        <v>0</v>
      </c>
      <c r="AT26" cm="1">
        <f t="array" ref="AT26">$Y26*INDEX(RefCapacity!$D$2:$D$526,MATCH(1,(RefCapacity!$A$2:$A$526=RefCapacityProj!$D26)*(RefCapacity!$B$2:$B$526=2019)*(RefCapacity!$C$2:$C$526=AM$1),0))/SUMIFS(RefCapacity!$D$2:$D$526,RefCapacity!$A$2:$A$526,RefCapacityProj!$D26,RefCapacity!$B$2:$B$526,2019)</f>
        <v>140.25554647671905</v>
      </c>
      <c r="AU26" cm="1">
        <f t="array" ref="AU26">INDEX(RefCapacity!$D$2:$D$526,MATCH(1,(RefCapacity!$A$2:$A$526=RefCapacityProj!$D26)*(RefCapacity!$B$2:$B$526=2019)*(RefCapacity!$C$2:$C$526=RefCapacityProj!AG$1),0))*IF($C26=2035,1+VLOOKUP(AG$1,RefCapacity!$H$2:$L$8,2,FALSE),1+VLOOKUP(AG$1,RefCapacity!$H$2:$L$8,4,FALSE))</f>
        <v>41.247209074424283</v>
      </c>
      <c r="AV26" cm="1">
        <f t="array" ref="AV26">INDEX(RefCapacity!$D$2:$D$526,MATCH(1,(RefCapacity!$A$2:$A$526=RefCapacityProj!$D26)*(RefCapacity!$B$2:$B$526=2019)*(RefCapacity!$C$2:$C$526=RefCapacityProj!AH$1),0))*IF($C26=2035,1+VLOOKUP(AH$1,RefCapacity!$H$2:$L$8,2,FALSE),1+VLOOKUP(AH$1,RefCapacity!$H$2:$L$8,4,FALSE))</f>
        <v>311.65678471726699</v>
      </c>
      <c r="AW26" cm="1">
        <f t="array" ref="AW26">INDEX(RefCapacity!$D$2:$D$526,MATCH(1,(RefCapacity!$A$2:$A$526=RefCapacityProj!$D26)*(RefCapacity!$B$2:$B$526=2019)*(RefCapacity!$C$2:$C$526=RefCapacityProj!AI$1),0))*IF($C26=2035,1+VLOOKUP(AI$1,RefCapacity!$H$2:$L$8,2,FALSE),1+VLOOKUP(AI$1,RefCapacity!$H$2:$L$8,4,FALSE))</f>
        <v>0</v>
      </c>
      <c r="AX26" cm="1">
        <f t="array" ref="AX26">INDEX(RefCapacity!$D$2:$D$526,MATCH(1,(RefCapacity!$A$2:$A$526=RefCapacityProj!$D26)*(RefCapacity!$B$2:$B$526=2019)*(RefCapacity!$C$2:$C$526=RefCapacityProj!AJ$1),0))*IF($C26=2035,1+VLOOKUP(AJ$1,RefCapacity!$H$2:$L$8,2,FALSE),1+VLOOKUP(AJ$1,RefCapacity!$H$2:$L$8,4,FALSE))</f>
        <v>138.96474358974359</v>
      </c>
      <c r="AY26" cm="1">
        <f t="array" ref="AY26">INDEX(RefCapacity!$D$2:$D$526,MATCH(1,(RefCapacity!$A$2:$A$526=RefCapacityProj!$D26)*(RefCapacity!$B$2:$B$526=2019)*(RefCapacity!$C$2:$C$526=RefCapacityProj!AK$1),0))*IF($C26=2035,1+VLOOKUP(AK$1,RefCapacity!$H$2:$L$8,2,FALSE),1+VLOOKUP(AK$1,RefCapacity!$H$2:$L$8,4,FALSE))</f>
        <v>273.7118603838083</v>
      </c>
      <c r="AZ26" cm="1">
        <f t="array" ref="AZ26">INDEX(RefCapacity!$D$2:$D$526,MATCH(1,(RefCapacity!$A$2:$A$526=RefCapacityProj!$D26)*(RefCapacity!$B$2:$B$526=2019)*(RefCapacity!$C$2:$C$526=RefCapacityProj!AL$1),0))*IF($C26=2035,1+VLOOKUP(AL$1,RefCapacity!$H$2:$L$8,2,FALSE),1+VLOOKUP(AL$1,RefCapacity!$H$2:$L$8,4,FALSE))</f>
        <v>0</v>
      </c>
      <c r="BA26" cm="1">
        <f t="array" ref="BA26">INDEX(RefCapacity!$D$2:$D$526,MATCH(1,(RefCapacity!$A$2:$A$526=RefCapacityProj!$D26)*(RefCapacity!$B$2:$B$526=2019)*(RefCapacity!$C$2:$C$526=RefCapacityProj!AM$1),0))*IF($C26=2035,1+VLOOKUP(AM$1,RefCapacity!$H$2:$L$8,2,FALSE),1+VLOOKUP(AM$1,RefCapacity!$H$2:$L$8,4,FALSE))</f>
        <v>150.98025463940334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f t="shared" si="4"/>
        <v>654.17727922859922</v>
      </c>
      <c r="BJ26">
        <f t="shared" si="5"/>
        <v>6.6618982932357085</v>
      </c>
      <c r="BK26">
        <f t="shared" si="6"/>
        <v>1.3986796955191423</v>
      </c>
      <c r="BL26" cm="1">
        <f t="array" ref="BL26">AG26/$BI26*INDEX('GHG Emission'!$C$2:$C$1121,MATCH(1,('GHG Emission'!$D$2:$D$1121=$D26)*('GHG Emission'!$E$2:$E$1121=$C26)*('GHG Emission'!$F$2:$F$1121=$B26)*('GHG Emission'!$I$2:$I$1121=$E26)*('GHG Emission'!$J$2:$J$1121=$F26)*('GHG Emission'!$K$2:$K$1121=AG$1),0))+AH26/$BI26*INDEX('GHG Emission'!$C$2:$C$1121,MATCH(1,('GHG Emission'!$D$2:$D$1121=$D26)*('GHG Emission'!$E$2:$E$1121=$C26)*('GHG Emission'!$F$2:$F$1121=$B26)*('GHG Emission'!$I$2:$I$1121=$E26)*('GHG Emission'!$J$2:$J$1121=$F26)*('GHG Emission'!$K$2:$K$1121=AH$1),0))+AI26/$BI26*INDEX('GHG Emission'!$C$2:$C$1121,MATCH(1,('GHG Emission'!$D$2:$D$1121=$D26)*('GHG Emission'!$E$2:$E$1121=$C26)*('GHG Emission'!$F$2:$F$1121=$B26)*('GHG Emission'!$I$2:$I$1121=$E26)*('GHG Emission'!$J$2:$J$1121=$F26)*('GHG Emission'!$K$2:$K$1121=AI$1),0))+AJ26/$BI26*INDEX('GHG Emission'!$C$2:$C$1121,MATCH(1,('GHG Emission'!$D$2:$D$1121=$D26)*('GHG Emission'!$E$2:$E$1121=$C26)*('GHG Emission'!$F$2:$F$1121=$B26)*('GHG Emission'!$I$2:$I$1121=$E26)*('GHG Emission'!$J$2:$J$1121=$F26)*('GHG Emission'!$K$2:$K$1121=AJ$1),0))+AK26/$BI26*INDEX('GHG Emission'!$C$2:$C$1121,MATCH(1,('GHG Emission'!$D$2:$D$1121=$D26)*('GHG Emission'!$E$2:$E$1121=$C26)*('GHG Emission'!$F$2:$F$1121=$B26)*('GHG Emission'!$I$2:$I$1121=$E26)*('GHG Emission'!$J$2:$J$1121=$F26)*('GHG Emission'!$K$2:$K$1121=AK$1),0))+AL26/$BI26*INDEX('GHG Emission'!$C$2:$C$1121,MATCH(1,('GHG Emission'!$D$2:$D$1121=$D26)*('GHG Emission'!$E$2:$E$1121=$C26)*('GHG Emission'!$F$2:$F$1121=$B26)*('GHG Emission'!$I$2:$I$1121=$E26)*('GHG Emission'!$J$2:$J$1121=$F26)*('GHG Emission'!$K$2:$K$1121=AL$1),0))+AM26/$BI26*INDEX('GHG Emission'!$C$2:$C$1121,MATCH(1,('GHG Emission'!$D$2:$D$1121=$D26)*('GHG Emission'!$E$2:$E$1121=$C26)*('GHG Emission'!$F$2:$F$1121=$B26)*('GHG Emission'!$I$2:$I$1121=$E26)*('GHG Emission'!$J$2:$J$1121=$F26)*('GHG Emission'!$K$2:$K$1121=AM$1),0))</f>
        <v>35.096726276649662</v>
      </c>
      <c r="BM26" t="str">
        <f t="shared" si="7"/>
        <v>HEAVY/SWEET</v>
      </c>
    </row>
    <row r="27" spans="1:65" x14ac:dyDescent="0.25">
      <c r="A27">
        <v>26</v>
      </c>
      <c r="B27" t="s">
        <v>465</v>
      </c>
      <c r="C27">
        <v>2035</v>
      </c>
      <c r="D27">
        <v>4</v>
      </c>
      <c r="E27" t="s">
        <v>466</v>
      </c>
      <c r="F27" t="s">
        <v>468</v>
      </c>
      <c r="G27">
        <v>335.76119925999257</v>
      </c>
      <c r="H27">
        <v>20.444107162091317</v>
      </c>
      <c r="I27">
        <v>170.00639635193204</v>
      </c>
      <c r="J27">
        <v>41.069540670068839</v>
      </c>
      <c r="K27">
        <v>4.5959626645722889</v>
      </c>
      <c r="L27">
        <v>2.1462026217592438</v>
      </c>
      <c r="M27">
        <v>0</v>
      </c>
      <c r="N27">
        <v>0</v>
      </c>
      <c r="O27">
        <v>0</v>
      </c>
      <c r="P27">
        <v>153.51055198997955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f t="shared" si="0"/>
        <v>727.53396072039595</v>
      </c>
      <c r="Y27">
        <f>X27*VLOOKUP($D27,'LinearReg Model'!$S$2:$T$6,2,FALSE)</f>
        <v>660.83917752183493</v>
      </c>
      <c r="Z27">
        <f t="shared" si="1"/>
        <v>0.4615058779215277</v>
      </c>
      <c r="AA27">
        <f t="shared" si="2"/>
        <v>0.23367485991113543</v>
      </c>
      <c r="AB27">
        <f t="shared" si="3"/>
        <v>2.8100553741639486E-2</v>
      </c>
      <c r="AC27">
        <v>29.333484298143549</v>
      </c>
      <c r="AD27">
        <v>2.5473042893453721</v>
      </c>
      <c r="AE27" s="2">
        <f>VLOOKUP($D27,'MultiReg Model'!$A$5:$F$9,2,FALSE)+AC27*VLOOKUP($D27,'MultiReg Model'!$A$5:$F$9,3,FALSE)+Z27*VLOOKUP($D27,'MultiReg Model'!$A$5:$F$9,4,FALSE)+AA27*VLOOKUP($D27,'MultiReg Model'!$A$5:$F$9,5,FALSE)+AB27*VLOOKUP($D27,'MultiReg Model'!$A$5:$F$9,6,FALSE)</f>
        <v>6.7508836220775752</v>
      </c>
      <c r="AF27" cm="1">
        <f t="array" ref="AF27">MMULT($AG27:$AM27,'Avg CI Index'!$C$2:$C$8)/BI27</f>
        <v>8.1495633175967175</v>
      </c>
      <c r="AG27">
        <v>41.247209074374091</v>
      </c>
      <c r="AH27">
        <v>311.65678471726608</v>
      </c>
      <c r="AI27">
        <v>0</v>
      </c>
      <c r="AJ27">
        <v>138.96474358920781</v>
      </c>
      <c r="AK27">
        <v>162.30854184767787</v>
      </c>
      <c r="AL27">
        <v>0</v>
      </c>
      <c r="AM27">
        <v>7.3428630665131843E-11</v>
      </c>
      <c r="AN27" cm="1">
        <f t="array" ref="AN27">$Y27*INDEX(RefCapacity!$D$2:$D$526,MATCH(1,(RefCapacity!$A$2:$A$526=RefCapacityProj!$D27)*(RefCapacity!$B$2:$B$526=2019)*(RefCapacity!$C$2:$C$526=AG$1),0))/SUMIFS(RefCapacity!$D$2:$D$526,RefCapacity!$A$2:$A$526,RefCapacityProj!$D27,RefCapacity!$B$2:$B$526,2019)</f>
        <v>14.401648657190901</v>
      </c>
      <c r="AO27" cm="1">
        <f t="array" ref="AO27">$Y27*INDEX(RefCapacity!$D$2:$D$526,MATCH(1,(RefCapacity!$A$2:$A$526=RefCapacityProj!$D27)*(RefCapacity!$B$2:$B$526=2019)*(RefCapacity!$C$2:$C$526=AH$1),0))/SUMIFS(RefCapacity!$D$2:$D$526,RefCapacity!$A$2:$A$526,RefCapacityProj!$D27,RefCapacity!$B$2:$B$526,2019)</f>
        <v>223.24245186339502</v>
      </c>
      <c r="AP27" cm="1">
        <f t="array" ref="AP27">$Y27*INDEX(RefCapacity!$D$2:$D$526,MATCH(1,(RefCapacity!$A$2:$A$526=RefCapacityProj!$D27)*(RefCapacity!$B$2:$B$526=2019)*(RefCapacity!$C$2:$C$526=AI$1),0))/SUMIFS(RefCapacity!$D$2:$D$526,RefCapacity!$A$2:$A$526,RefCapacityProj!$D27,RefCapacity!$B$2:$B$526,2019)</f>
        <v>0</v>
      </c>
      <c r="AQ27" cm="1">
        <f t="array" ref="AQ27">$Y27*INDEX(RefCapacity!$D$2:$D$526,MATCH(1,(RefCapacity!$A$2:$A$526=RefCapacityProj!$D27)*(RefCapacity!$B$2:$B$526=2019)*(RefCapacity!$C$2:$C$526=AJ$1),0))/SUMIFS(RefCapacity!$D$2:$D$526,RefCapacity!$A$2:$A$526,RefCapacityProj!$D27,RefCapacity!$B$2:$B$526,2019)</f>
        <v>70.081908115247458</v>
      </c>
      <c r="AR27" cm="1">
        <f t="array" ref="AR27">$Y27*INDEX(RefCapacity!$D$2:$D$526,MATCH(1,(RefCapacity!$A$2:$A$526=RefCapacityProj!$D27)*(RefCapacity!$B$2:$B$526=2019)*(RefCapacity!$C$2:$C$526=AK$1),0))/SUMIFS(RefCapacity!$D$2:$D$526,RefCapacity!$A$2:$A$526,RefCapacityProj!$D27,RefCapacity!$B$2:$B$526,2019)</f>
        <v>212.85762240928253</v>
      </c>
      <c r="AS27" cm="1">
        <f t="array" ref="AS27">$Y27*INDEX(RefCapacity!$D$2:$D$526,MATCH(1,(RefCapacity!$A$2:$A$526=RefCapacityProj!$D27)*(RefCapacity!$B$2:$B$526=2019)*(RefCapacity!$C$2:$C$526=AL$1),0))/SUMIFS(RefCapacity!$D$2:$D$526,RefCapacity!$A$2:$A$526,RefCapacityProj!$D27,RefCapacity!$B$2:$B$526,2019)</f>
        <v>0</v>
      </c>
      <c r="AT27" cm="1">
        <f t="array" ref="AT27">$Y27*INDEX(RefCapacity!$D$2:$D$526,MATCH(1,(RefCapacity!$A$2:$A$526=RefCapacityProj!$D27)*(RefCapacity!$B$2:$B$526=2019)*(RefCapacity!$C$2:$C$526=AM$1),0))/SUMIFS(RefCapacity!$D$2:$D$526,RefCapacity!$A$2:$A$526,RefCapacityProj!$D27,RefCapacity!$B$2:$B$526,2019)</f>
        <v>140.25554647671905</v>
      </c>
      <c r="AU27" cm="1">
        <f t="array" ref="AU27">INDEX(RefCapacity!$D$2:$D$526,MATCH(1,(RefCapacity!$A$2:$A$526=RefCapacityProj!$D27)*(RefCapacity!$B$2:$B$526=2019)*(RefCapacity!$C$2:$C$526=RefCapacityProj!AG$1),0))*IF($C27=2035,1+VLOOKUP(AG$1,RefCapacity!$H$2:$L$8,2,FALSE),1+VLOOKUP(AG$1,RefCapacity!$H$2:$L$8,4,FALSE))</f>
        <v>41.247209074424283</v>
      </c>
      <c r="AV27" cm="1">
        <f t="array" ref="AV27">INDEX(RefCapacity!$D$2:$D$526,MATCH(1,(RefCapacity!$A$2:$A$526=RefCapacityProj!$D27)*(RefCapacity!$B$2:$B$526=2019)*(RefCapacity!$C$2:$C$526=RefCapacityProj!AH$1),0))*IF($C27=2035,1+VLOOKUP(AH$1,RefCapacity!$H$2:$L$8,2,FALSE),1+VLOOKUP(AH$1,RefCapacity!$H$2:$L$8,4,FALSE))</f>
        <v>311.65678471726699</v>
      </c>
      <c r="AW27" cm="1">
        <f t="array" ref="AW27">INDEX(RefCapacity!$D$2:$D$526,MATCH(1,(RefCapacity!$A$2:$A$526=RefCapacityProj!$D27)*(RefCapacity!$B$2:$B$526=2019)*(RefCapacity!$C$2:$C$526=RefCapacityProj!AI$1),0))*IF($C27=2035,1+VLOOKUP(AI$1,RefCapacity!$H$2:$L$8,2,FALSE),1+VLOOKUP(AI$1,RefCapacity!$H$2:$L$8,4,FALSE))</f>
        <v>0</v>
      </c>
      <c r="AX27" cm="1">
        <f t="array" ref="AX27">INDEX(RefCapacity!$D$2:$D$526,MATCH(1,(RefCapacity!$A$2:$A$526=RefCapacityProj!$D27)*(RefCapacity!$B$2:$B$526=2019)*(RefCapacity!$C$2:$C$526=RefCapacityProj!AJ$1),0))*IF($C27=2035,1+VLOOKUP(AJ$1,RefCapacity!$H$2:$L$8,2,FALSE),1+VLOOKUP(AJ$1,RefCapacity!$H$2:$L$8,4,FALSE))</f>
        <v>138.96474358974359</v>
      </c>
      <c r="AY27" cm="1">
        <f t="array" ref="AY27">INDEX(RefCapacity!$D$2:$D$526,MATCH(1,(RefCapacity!$A$2:$A$526=RefCapacityProj!$D27)*(RefCapacity!$B$2:$B$526=2019)*(RefCapacity!$C$2:$C$526=RefCapacityProj!AK$1),0))*IF($C27=2035,1+VLOOKUP(AK$1,RefCapacity!$H$2:$L$8,2,FALSE),1+VLOOKUP(AK$1,RefCapacity!$H$2:$L$8,4,FALSE))</f>
        <v>273.7118603838083</v>
      </c>
      <c r="AZ27" cm="1">
        <f t="array" ref="AZ27">INDEX(RefCapacity!$D$2:$D$526,MATCH(1,(RefCapacity!$A$2:$A$526=RefCapacityProj!$D27)*(RefCapacity!$B$2:$B$526=2019)*(RefCapacity!$C$2:$C$526=RefCapacityProj!AL$1),0))*IF($C27=2035,1+VLOOKUP(AL$1,RefCapacity!$H$2:$L$8,2,FALSE),1+VLOOKUP(AL$1,RefCapacity!$H$2:$L$8,4,FALSE))</f>
        <v>0</v>
      </c>
      <c r="BA27" cm="1">
        <f t="array" ref="BA27">INDEX(RefCapacity!$D$2:$D$526,MATCH(1,(RefCapacity!$A$2:$A$526=RefCapacityProj!$D27)*(RefCapacity!$B$2:$B$526=2019)*(RefCapacity!$C$2:$C$526=RefCapacityProj!AM$1),0))*IF($C27=2035,1+VLOOKUP(AM$1,RefCapacity!$H$2:$L$8,2,FALSE),1+VLOOKUP(AM$1,RefCapacity!$H$2:$L$8,4,FALSE))</f>
        <v>150.98025463940334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f t="shared" si="4"/>
        <v>654.17727922859922</v>
      </c>
      <c r="BJ27">
        <f t="shared" si="5"/>
        <v>6.6618982932357085</v>
      </c>
      <c r="BK27">
        <f t="shared" si="6"/>
        <v>1.3986796955191423</v>
      </c>
      <c r="BL27" cm="1">
        <f t="array" ref="BL27">AG27/$BI27*INDEX('GHG Emission'!$C$2:$C$1121,MATCH(1,('GHG Emission'!$D$2:$D$1121=$D27)*('GHG Emission'!$E$2:$E$1121=$C27)*('GHG Emission'!$F$2:$F$1121=$B27)*('GHG Emission'!$I$2:$I$1121=$E27)*('GHG Emission'!$J$2:$J$1121=$F27)*('GHG Emission'!$K$2:$K$1121=AG$1),0))+AH27/$BI27*INDEX('GHG Emission'!$C$2:$C$1121,MATCH(1,('GHG Emission'!$D$2:$D$1121=$D27)*('GHG Emission'!$E$2:$E$1121=$C27)*('GHG Emission'!$F$2:$F$1121=$B27)*('GHG Emission'!$I$2:$I$1121=$E27)*('GHG Emission'!$J$2:$J$1121=$F27)*('GHG Emission'!$K$2:$K$1121=AH$1),0))+AI27/$BI27*INDEX('GHG Emission'!$C$2:$C$1121,MATCH(1,('GHG Emission'!$D$2:$D$1121=$D27)*('GHG Emission'!$E$2:$E$1121=$C27)*('GHG Emission'!$F$2:$F$1121=$B27)*('GHG Emission'!$I$2:$I$1121=$E27)*('GHG Emission'!$J$2:$J$1121=$F27)*('GHG Emission'!$K$2:$K$1121=AI$1),0))+AJ27/$BI27*INDEX('GHG Emission'!$C$2:$C$1121,MATCH(1,('GHG Emission'!$D$2:$D$1121=$D27)*('GHG Emission'!$E$2:$E$1121=$C27)*('GHG Emission'!$F$2:$F$1121=$B27)*('GHG Emission'!$I$2:$I$1121=$E27)*('GHG Emission'!$J$2:$J$1121=$F27)*('GHG Emission'!$K$2:$K$1121=AJ$1),0))+AK27/$BI27*INDEX('GHG Emission'!$C$2:$C$1121,MATCH(1,('GHG Emission'!$D$2:$D$1121=$D27)*('GHG Emission'!$E$2:$E$1121=$C27)*('GHG Emission'!$F$2:$F$1121=$B27)*('GHG Emission'!$I$2:$I$1121=$E27)*('GHG Emission'!$J$2:$J$1121=$F27)*('GHG Emission'!$K$2:$K$1121=AK$1),0))+AL27/$BI27*INDEX('GHG Emission'!$C$2:$C$1121,MATCH(1,('GHG Emission'!$D$2:$D$1121=$D27)*('GHG Emission'!$E$2:$E$1121=$C27)*('GHG Emission'!$F$2:$F$1121=$B27)*('GHG Emission'!$I$2:$I$1121=$E27)*('GHG Emission'!$J$2:$J$1121=$F27)*('GHG Emission'!$K$2:$K$1121=AL$1),0))+AM27/$BI27*INDEX('GHG Emission'!$C$2:$C$1121,MATCH(1,('GHG Emission'!$D$2:$D$1121=$D27)*('GHG Emission'!$E$2:$E$1121=$C27)*('GHG Emission'!$F$2:$F$1121=$B27)*('GHG Emission'!$I$2:$I$1121=$E27)*('GHG Emission'!$J$2:$J$1121=$F27)*('GHG Emission'!$K$2:$K$1121=AM$1),0))</f>
        <v>33.369851936133202</v>
      </c>
      <c r="BM27" t="str">
        <f t="shared" si="7"/>
        <v>HEAVY/SOUR</v>
      </c>
    </row>
    <row r="28" spans="1:65" hidden="1" x14ac:dyDescent="0.25">
      <c r="A28">
        <v>27</v>
      </c>
      <c r="B28" t="s">
        <v>465</v>
      </c>
      <c r="C28">
        <v>2035</v>
      </c>
      <c r="D28">
        <v>4</v>
      </c>
      <c r="E28" t="s">
        <v>469</v>
      </c>
      <c r="F28" t="s">
        <v>467</v>
      </c>
      <c r="G28">
        <v>335.76119925999257</v>
      </c>
      <c r="H28">
        <v>20.444107162091317</v>
      </c>
      <c r="I28">
        <v>170.00639635193204</v>
      </c>
      <c r="J28">
        <v>41.069540670068839</v>
      </c>
      <c r="K28">
        <v>4.5959626645722889</v>
      </c>
      <c r="L28">
        <v>2.1462026217592438</v>
      </c>
      <c r="M28">
        <v>0</v>
      </c>
      <c r="N28">
        <v>0</v>
      </c>
      <c r="O28">
        <v>0</v>
      </c>
      <c r="P28">
        <v>153.51055198997955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f t="shared" si="0"/>
        <v>727.53396072039595</v>
      </c>
      <c r="Y28">
        <f>X28*VLOOKUP($D28,'LinearReg Model'!$S$2:$T$6,2,FALSE)</f>
        <v>660.83917752183493</v>
      </c>
      <c r="Z28">
        <f t="shared" si="1"/>
        <v>0.4615058779215277</v>
      </c>
      <c r="AA28">
        <f t="shared" si="2"/>
        <v>0.23367485991113543</v>
      </c>
      <c r="AB28">
        <f t="shared" si="3"/>
        <v>2.8100553741639486E-2</v>
      </c>
      <c r="AC28">
        <v>34.027824378954648</v>
      </c>
      <c r="AD28">
        <v>1.1317892699899461</v>
      </c>
      <c r="AE28" s="2">
        <f>VLOOKUP($D28,'MultiReg Model'!$A$5:$F$9,2,FALSE)+AC28*VLOOKUP($D28,'MultiReg Model'!$A$5:$F$9,3,FALSE)+Z28*VLOOKUP($D28,'MultiReg Model'!$A$5:$F$9,4,FALSE)+AA28*VLOOKUP($D28,'MultiReg Model'!$A$5:$F$9,5,FALSE)+AB28*VLOOKUP($D28,'MultiReg Model'!$A$5:$F$9,6,FALSE)</f>
        <v>6.5900181221706458</v>
      </c>
      <c r="AF28" cm="1">
        <f t="array" ref="AF28">MMULT($AG28:$AM28,'Avg CI Index'!$C$2:$C$8)/BI28</f>
        <v>8.1497101814233854</v>
      </c>
      <c r="AG28">
        <v>41.247209074410449</v>
      </c>
      <c r="AH28">
        <v>311.65678471723101</v>
      </c>
      <c r="AI28">
        <v>0</v>
      </c>
      <c r="AJ28">
        <v>138.96474358945324</v>
      </c>
      <c r="AK28">
        <v>162.3618236670888</v>
      </c>
      <c r="AL28">
        <v>0</v>
      </c>
      <c r="AM28">
        <v>7.9800740468368622E-11</v>
      </c>
      <c r="AN28" cm="1">
        <f t="array" ref="AN28">$Y28*INDEX(RefCapacity!$D$2:$D$526,MATCH(1,(RefCapacity!$A$2:$A$526=RefCapacityProj!$D28)*(RefCapacity!$B$2:$B$526=2019)*(RefCapacity!$C$2:$C$526=AG$1),0))/SUMIFS(RefCapacity!$D$2:$D$526,RefCapacity!$A$2:$A$526,RefCapacityProj!$D28,RefCapacity!$B$2:$B$526,2019)</f>
        <v>14.401648657190901</v>
      </c>
      <c r="AO28" cm="1">
        <f t="array" ref="AO28">$Y28*INDEX(RefCapacity!$D$2:$D$526,MATCH(1,(RefCapacity!$A$2:$A$526=RefCapacityProj!$D28)*(RefCapacity!$B$2:$B$526=2019)*(RefCapacity!$C$2:$C$526=AH$1),0))/SUMIFS(RefCapacity!$D$2:$D$526,RefCapacity!$A$2:$A$526,RefCapacityProj!$D28,RefCapacity!$B$2:$B$526,2019)</f>
        <v>223.24245186339502</v>
      </c>
      <c r="AP28" cm="1">
        <f t="array" ref="AP28">$Y28*INDEX(RefCapacity!$D$2:$D$526,MATCH(1,(RefCapacity!$A$2:$A$526=RefCapacityProj!$D28)*(RefCapacity!$B$2:$B$526=2019)*(RefCapacity!$C$2:$C$526=AI$1),0))/SUMIFS(RefCapacity!$D$2:$D$526,RefCapacity!$A$2:$A$526,RefCapacityProj!$D28,RefCapacity!$B$2:$B$526,2019)</f>
        <v>0</v>
      </c>
      <c r="AQ28" cm="1">
        <f t="array" ref="AQ28">$Y28*INDEX(RefCapacity!$D$2:$D$526,MATCH(1,(RefCapacity!$A$2:$A$526=RefCapacityProj!$D28)*(RefCapacity!$B$2:$B$526=2019)*(RefCapacity!$C$2:$C$526=AJ$1),0))/SUMIFS(RefCapacity!$D$2:$D$526,RefCapacity!$A$2:$A$526,RefCapacityProj!$D28,RefCapacity!$B$2:$B$526,2019)</f>
        <v>70.081908115247458</v>
      </c>
      <c r="AR28" cm="1">
        <f t="array" ref="AR28">$Y28*INDEX(RefCapacity!$D$2:$D$526,MATCH(1,(RefCapacity!$A$2:$A$526=RefCapacityProj!$D28)*(RefCapacity!$B$2:$B$526=2019)*(RefCapacity!$C$2:$C$526=AK$1),0))/SUMIFS(RefCapacity!$D$2:$D$526,RefCapacity!$A$2:$A$526,RefCapacityProj!$D28,RefCapacity!$B$2:$B$526,2019)</f>
        <v>212.85762240928253</v>
      </c>
      <c r="AS28" cm="1">
        <f t="array" ref="AS28">$Y28*INDEX(RefCapacity!$D$2:$D$526,MATCH(1,(RefCapacity!$A$2:$A$526=RefCapacityProj!$D28)*(RefCapacity!$B$2:$B$526=2019)*(RefCapacity!$C$2:$C$526=AL$1),0))/SUMIFS(RefCapacity!$D$2:$D$526,RefCapacity!$A$2:$A$526,RefCapacityProj!$D28,RefCapacity!$B$2:$B$526,2019)</f>
        <v>0</v>
      </c>
      <c r="AT28" cm="1">
        <f t="array" ref="AT28">$Y28*INDEX(RefCapacity!$D$2:$D$526,MATCH(1,(RefCapacity!$A$2:$A$526=RefCapacityProj!$D28)*(RefCapacity!$B$2:$B$526=2019)*(RefCapacity!$C$2:$C$526=AM$1),0))/SUMIFS(RefCapacity!$D$2:$D$526,RefCapacity!$A$2:$A$526,RefCapacityProj!$D28,RefCapacity!$B$2:$B$526,2019)</f>
        <v>140.25554647671905</v>
      </c>
      <c r="AU28" cm="1">
        <f t="array" ref="AU28">INDEX(RefCapacity!$D$2:$D$526,MATCH(1,(RefCapacity!$A$2:$A$526=RefCapacityProj!$D28)*(RefCapacity!$B$2:$B$526=2019)*(RefCapacity!$C$2:$C$526=RefCapacityProj!AG$1),0))*IF($C28=2035,1+VLOOKUP(AG$1,RefCapacity!$H$2:$L$8,2,FALSE),1+VLOOKUP(AG$1,RefCapacity!$H$2:$L$8,4,FALSE))</f>
        <v>41.247209074424283</v>
      </c>
      <c r="AV28" cm="1">
        <f t="array" ref="AV28">INDEX(RefCapacity!$D$2:$D$526,MATCH(1,(RefCapacity!$A$2:$A$526=RefCapacityProj!$D28)*(RefCapacity!$B$2:$B$526=2019)*(RefCapacity!$C$2:$C$526=RefCapacityProj!AH$1),0))*IF($C28=2035,1+VLOOKUP(AH$1,RefCapacity!$H$2:$L$8,2,FALSE),1+VLOOKUP(AH$1,RefCapacity!$H$2:$L$8,4,FALSE))</f>
        <v>311.65678471726699</v>
      </c>
      <c r="AW28" cm="1">
        <f t="array" ref="AW28">INDEX(RefCapacity!$D$2:$D$526,MATCH(1,(RefCapacity!$A$2:$A$526=RefCapacityProj!$D28)*(RefCapacity!$B$2:$B$526=2019)*(RefCapacity!$C$2:$C$526=RefCapacityProj!AI$1),0))*IF($C28=2035,1+VLOOKUP(AI$1,RefCapacity!$H$2:$L$8,2,FALSE),1+VLOOKUP(AI$1,RefCapacity!$H$2:$L$8,4,FALSE))</f>
        <v>0</v>
      </c>
      <c r="AX28" cm="1">
        <f t="array" ref="AX28">INDEX(RefCapacity!$D$2:$D$526,MATCH(1,(RefCapacity!$A$2:$A$526=RefCapacityProj!$D28)*(RefCapacity!$B$2:$B$526=2019)*(RefCapacity!$C$2:$C$526=RefCapacityProj!AJ$1),0))*IF($C28=2035,1+VLOOKUP(AJ$1,RefCapacity!$H$2:$L$8,2,FALSE),1+VLOOKUP(AJ$1,RefCapacity!$H$2:$L$8,4,FALSE))</f>
        <v>138.96474358974359</v>
      </c>
      <c r="AY28" cm="1">
        <f t="array" ref="AY28">INDEX(RefCapacity!$D$2:$D$526,MATCH(1,(RefCapacity!$A$2:$A$526=RefCapacityProj!$D28)*(RefCapacity!$B$2:$B$526=2019)*(RefCapacity!$C$2:$C$526=RefCapacityProj!AK$1),0))*IF($C28=2035,1+VLOOKUP(AK$1,RefCapacity!$H$2:$L$8,2,FALSE),1+VLOOKUP(AK$1,RefCapacity!$H$2:$L$8,4,FALSE))</f>
        <v>273.7118603838083</v>
      </c>
      <c r="AZ28" cm="1">
        <f t="array" ref="AZ28">INDEX(RefCapacity!$D$2:$D$526,MATCH(1,(RefCapacity!$A$2:$A$526=RefCapacityProj!$D28)*(RefCapacity!$B$2:$B$526=2019)*(RefCapacity!$C$2:$C$526=RefCapacityProj!AL$1),0))*IF($C28=2035,1+VLOOKUP(AL$1,RefCapacity!$H$2:$L$8,2,FALSE),1+VLOOKUP(AL$1,RefCapacity!$H$2:$L$8,4,FALSE))</f>
        <v>0</v>
      </c>
      <c r="BA28" cm="1">
        <f t="array" ref="BA28">INDEX(RefCapacity!$D$2:$D$526,MATCH(1,(RefCapacity!$A$2:$A$526=RefCapacityProj!$D28)*(RefCapacity!$B$2:$B$526=2019)*(RefCapacity!$C$2:$C$526=RefCapacityProj!AM$1),0))*IF($C28=2035,1+VLOOKUP(AM$1,RefCapacity!$H$2:$L$8,2,FALSE),1+VLOOKUP(AM$1,RefCapacity!$H$2:$L$8,4,FALSE))</f>
        <v>150.98025463940334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f t="shared" si="4"/>
        <v>654.23056104826333</v>
      </c>
      <c r="BJ28">
        <f t="shared" si="5"/>
        <v>6.6086164735716011</v>
      </c>
      <c r="BK28">
        <f t="shared" si="6"/>
        <v>1.5596920592527397</v>
      </c>
      <c r="BL28" cm="1">
        <f t="array" ref="BL28">AG28/$BI28*INDEX('GHG Emission'!$C$2:$C$1121,MATCH(1,('GHG Emission'!$D$2:$D$1121=$D28)*('GHG Emission'!$E$2:$E$1121=$C28)*('GHG Emission'!$F$2:$F$1121=$B28)*('GHG Emission'!$I$2:$I$1121=$E28)*('GHG Emission'!$J$2:$J$1121=$F28)*('GHG Emission'!$K$2:$K$1121=AG$1),0))+AH28/$BI28*INDEX('GHG Emission'!$C$2:$C$1121,MATCH(1,('GHG Emission'!$D$2:$D$1121=$D28)*('GHG Emission'!$E$2:$E$1121=$C28)*('GHG Emission'!$F$2:$F$1121=$B28)*('GHG Emission'!$I$2:$I$1121=$E28)*('GHG Emission'!$J$2:$J$1121=$F28)*('GHG Emission'!$K$2:$K$1121=AH$1),0))+AI28/$BI28*INDEX('GHG Emission'!$C$2:$C$1121,MATCH(1,('GHG Emission'!$D$2:$D$1121=$D28)*('GHG Emission'!$E$2:$E$1121=$C28)*('GHG Emission'!$F$2:$F$1121=$B28)*('GHG Emission'!$I$2:$I$1121=$E28)*('GHG Emission'!$J$2:$J$1121=$F28)*('GHG Emission'!$K$2:$K$1121=AI$1),0))+AJ28/$BI28*INDEX('GHG Emission'!$C$2:$C$1121,MATCH(1,('GHG Emission'!$D$2:$D$1121=$D28)*('GHG Emission'!$E$2:$E$1121=$C28)*('GHG Emission'!$F$2:$F$1121=$B28)*('GHG Emission'!$I$2:$I$1121=$E28)*('GHG Emission'!$J$2:$J$1121=$F28)*('GHG Emission'!$K$2:$K$1121=AJ$1),0))+AK28/$BI28*INDEX('GHG Emission'!$C$2:$C$1121,MATCH(1,('GHG Emission'!$D$2:$D$1121=$D28)*('GHG Emission'!$E$2:$E$1121=$C28)*('GHG Emission'!$F$2:$F$1121=$B28)*('GHG Emission'!$I$2:$I$1121=$E28)*('GHG Emission'!$J$2:$J$1121=$F28)*('GHG Emission'!$K$2:$K$1121=AK$1),0))+AL28/$BI28*INDEX('GHG Emission'!$C$2:$C$1121,MATCH(1,('GHG Emission'!$D$2:$D$1121=$D28)*('GHG Emission'!$E$2:$E$1121=$C28)*('GHG Emission'!$F$2:$F$1121=$B28)*('GHG Emission'!$I$2:$I$1121=$E28)*('GHG Emission'!$J$2:$J$1121=$F28)*('GHG Emission'!$K$2:$K$1121=AL$1),0))+AM28/$BI28*INDEX('GHG Emission'!$C$2:$C$1121,MATCH(1,('GHG Emission'!$D$2:$D$1121=$D28)*('GHG Emission'!$E$2:$E$1121=$C28)*('GHG Emission'!$F$2:$F$1121=$B28)*('GHG Emission'!$I$2:$I$1121=$E28)*('GHG Emission'!$J$2:$J$1121=$F28)*('GHG Emission'!$K$2:$K$1121=AM$1),0))</f>
        <v>36.401706472803319</v>
      </c>
      <c r="BM28" t="str">
        <f t="shared" si="7"/>
        <v>LIGHT/SWEET</v>
      </c>
    </row>
    <row r="29" spans="1:65" hidden="1" x14ac:dyDescent="0.25">
      <c r="A29">
        <v>28</v>
      </c>
      <c r="B29" t="s">
        <v>465</v>
      </c>
      <c r="C29">
        <v>2035</v>
      </c>
      <c r="D29">
        <v>4</v>
      </c>
      <c r="E29" t="s">
        <v>469</v>
      </c>
      <c r="F29" t="s">
        <v>468</v>
      </c>
      <c r="G29">
        <v>335.76119925999257</v>
      </c>
      <c r="H29">
        <v>20.444107162091317</v>
      </c>
      <c r="I29">
        <v>170.00639635193204</v>
      </c>
      <c r="J29">
        <v>41.069540670068839</v>
      </c>
      <c r="K29">
        <v>4.5959626645722889</v>
      </c>
      <c r="L29">
        <v>2.1462026217592438</v>
      </c>
      <c r="M29">
        <v>0</v>
      </c>
      <c r="N29">
        <v>0</v>
      </c>
      <c r="O29">
        <v>0</v>
      </c>
      <c r="P29">
        <v>153.51055198997955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f t="shared" si="0"/>
        <v>727.53396072039595</v>
      </c>
      <c r="Y29">
        <f>X29*VLOOKUP($D29,'LinearReg Model'!$S$2:$T$6,2,FALSE)</f>
        <v>660.83917752183493</v>
      </c>
      <c r="Z29">
        <f t="shared" si="1"/>
        <v>0.4615058779215277</v>
      </c>
      <c r="AA29">
        <f t="shared" si="2"/>
        <v>0.23367485991113543</v>
      </c>
      <c r="AB29">
        <f t="shared" si="3"/>
        <v>2.8100553741639486E-2</v>
      </c>
      <c r="AC29">
        <v>34.027824378954648</v>
      </c>
      <c r="AD29">
        <v>2.5473042893453721</v>
      </c>
      <c r="AE29" s="2">
        <f>VLOOKUP($D29,'MultiReg Model'!$A$5:$F$9,2,FALSE)+AC29*VLOOKUP($D29,'MultiReg Model'!$A$5:$F$9,3,FALSE)+Z29*VLOOKUP($D29,'MultiReg Model'!$A$5:$F$9,4,FALSE)+AA29*VLOOKUP($D29,'MultiReg Model'!$A$5:$F$9,5,FALSE)+AB29*VLOOKUP($D29,'MultiReg Model'!$A$5:$F$9,6,FALSE)</f>
        <v>6.5900181221706458</v>
      </c>
      <c r="AF29" cm="1">
        <f t="array" ref="AF29">MMULT($AG29:$AM29,'Avg CI Index'!$C$2:$C$8)/BI29</f>
        <v>8.1497101814233854</v>
      </c>
      <c r="AG29">
        <v>41.247209074410449</v>
      </c>
      <c r="AH29">
        <v>311.65678471723101</v>
      </c>
      <c r="AI29">
        <v>0</v>
      </c>
      <c r="AJ29">
        <v>138.96474358945324</v>
      </c>
      <c r="AK29">
        <v>162.3618236670888</v>
      </c>
      <c r="AL29">
        <v>0</v>
      </c>
      <c r="AM29">
        <v>7.9800740468368622E-11</v>
      </c>
      <c r="AN29" cm="1">
        <f t="array" ref="AN29">$Y29*INDEX(RefCapacity!$D$2:$D$526,MATCH(1,(RefCapacity!$A$2:$A$526=RefCapacityProj!$D29)*(RefCapacity!$B$2:$B$526=2019)*(RefCapacity!$C$2:$C$526=AG$1),0))/SUMIFS(RefCapacity!$D$2:$D$526,RefCapacity!$A$2:$A$526,RefCapacityProj!$D29,RefCapacity!$B$2:$B$526,2019)</f>
        <v>14.401648657190901</v>
      </c>
      <c r="AO29" cm="1">
        <f t="array" ref="AO29">$Y29*INDEX(RefCapacity!$D$2:$D$526,MATCH(1,(RefCapacity!$A$2:$A$526=RefCapacityProj!$D29)*(RefCapacity!$B$2:$B$526=2019)*(RefCapacity!$C$2:$C$526=AH$1),0))/SUMIFS(RefCapacity!$D$2:$D$526,RefCapacity!$A$2:$A$526,RefCapacityProj!$D29,RefCapacity!$B$2:$B$526,2019)</f>
        <v>223.24245186339502</v>
      </c>
      <c r="AP29" cm="1">
        <f t="array" ref="AP29">$Y29*INDEX(RefCapacity!$D$2:$D$526,MATCH(1,(RefCapacity!$A$2:$A$526=RefCapacityProj!$D29)*(RefCapacity!$B$2:$B$526=2019)*(RefCapacity!$C$2:$C$526=AI$1),0))/SUMIFS(RefCapacity!$D$2:$D$526,RefCapacity!$A$2:$A$526,RefCapacityProj!$D29,RefCapacity!$B$2:$B$526,2019)</f>
        <v>0</v>
      </c>
      <c r="AQ29" cm="1">
        <f t="array" ref="AQ29">$Y29*INDEX(RefCapacity!$D$2:$D$526,MATCH(1,(RefCapacity!$A$2:$A$526=RefCapacityProj!$D29)*(RefCapacity!$B$2:$B$526=2019)*(RefCapacity!$C$2:$C$526=AJ$1),0))/SUMIFS(RefCapacity!$D$2:$D$526,RefCapacity!$A$2:$A$526,RefCapacityProj!$D29,RefCapacity!$B$2:$B$526,2019)</f>
        <v>70.081908115247458</v>
      </c>
      <c r="AR29" cm="1">
        <f t="array" ref="AR29">$Y29*INDEX(RefCapacity!$D$2:$D$526,MATCH(1,(RefCapacity!$A$2:$A$526=RefCapacityProj!$D29)*(RefCapacity!$B$2:$B$526=2019)*(RefCapacity!$C$2:$C$526=AK$1),0))/SUMIFS(RefCapacity!$D$2:$D$526,RefCapacity!$A$2:$A$526,RefCapacityProj!$D29,RefCapacity!$B$2:$B$526,2019)</f>
        <v>212.85762240928253</v>
      </c>
      <c r="AS29" cm="1">
        <f t="array" ref="AS29">$Y29*INDEX(RefCapacity!$D$2:$D$526,MATCH(1,(RefCapacity!$A$2:$A$526=RefCapacityProj!$D29)*(RefCapacity!$B$2:$B$526=2019)*(RefCapacity!$C$2:$C$526=AL$1),0))/SUMIFS(RefCapacity!$D$2:$D$526,RefCapacity!$A$2:$A$526,RefCapacityProj!$D29,RefCapacity!$B$2:$B$526,2019)</f>
        <v>0</v>
      </c>
      <c r="AT29" cm="1">
        <f t="array" ref="AT29">$Y29*INDEX(RefCapacity!$D$2:$D$526,MATCH(1,(RefCapacity!$A$2:$A$526=RefCapacityProj!$D29)*(RefCapacity!$B$2:$B$526=2019)*(RefCapacity!$C$2:$C$526=AM$1),0))/SUMIFS(RefCapacity!$D$2:$D$526,RefCapacity!$A$2:$A$526,RefCapacityProj!$D29,RefCapacity!$B$2:$B$526,2019)</f>
        <v>140.25554647671905</v>
      </c>
      <c r="AU29" cm="1">
        <f t="array" ref="AU29">INDEX(RefCapacity!$D$2:$D$526,MATCH(1,(RefCapacity!$A$2:$A$526=RefCapacityProj!$D29)*(RefCapacity!$B$2:$B$526=2019)*(RefCapacity!$C$2:$C$526=RefCapacityProj!AG$1),0))*IF($C29=2035,1+VLOOKUP(AG$1,RefCapacity!$H$2:$L$8,2,FALSE),1+VLOOKUP(AG$1,RefCapacity!$H$2:$L$8,4,FALSE))</f>
        <v>41.247209074424283</v>
      </c>
      <c r="AV29" cm="1">
        <f t="array" ref="AV29">INDEX(RefCapacity!$D$2:$D$526,MATCH(1,(RefCapacity!$A$2:$A$526=RefCapacityProj!$D29)*(RefCapacity!$B$2:$B$526=2019)*(RefCapacity!$C$2:$C$526=RefCapacityProj!AH$1),0))*IF($C29=2035,1+VLOOKUP(AH$1,RefCapacity!$H$2:$L$8,2,FALSE),1+VLOOKUP(AH$1,RefCapacity!$H$2:$L$8,4,FALSE))</f>
        <v>311.65678471726699</v>
      </c>
      <c r="AW29" cm="1">
        <f t="array" ref="AW29">INDEX(RefCapacity!$D$2:$D$526,MATCH(1,(RefCapacity!$A$2:$A$526=RefCapacityProj!$D29)*(RefCapacity!$B$2:$B$526=2019)*(RefCapacity!$C$2:$C$526=RefCapacityProj!AI$1),0))*IF($C29=2035,1+VLOOKUP(AI$1,RefCapacity!$H$2:$L$8,2,FALSE),1+VLOOKUP(AI$1,RefCapacity!$H$2:$L$8,4,FALSE))</f>
        <v>0</v>
      </c>
      <c r="AX29" cm="1">
        <f t="array" ref="AX29">INDEX(RefCapacity!$D$2:$D$526,MATCH(1,(RefCapacity!$A$2:$A$526=RefCapacityProj!$D29)*(RefCapacity!$B$2:$B$526=2019)*(RefCapacity!$C$2:$C$526=RefCapacityProj!AJ$1),0))*IF($C29=2035,1+VLOOKUP(AJ$1,RefCapacity!$H$2:$L$8,2,FALSE),1+VLOOKUP(AJ$1,RefCapacity!$H$2:$L$8,4,FALSE))</f>
        <v>138.96474358974359</v>
      </c>
      <c r="AY29" cm="1">
        <f t="array" ref="AY29">INDEX(RefCapacity!$D$2:$D$526,MATCH(1,(RefCapacity!$A$2:$A$526=RefCapacityProj!$D29)*(RefCapacity!$B$2:$B$526=2019)*(RefCapacity!$C$2:$C$526=RefCapacityProj!AK$1),0))*IF($C29=2035,1+VLOOKUP(AK$1,RefCapacity!$H$2:$L$8,2,FALSE),1+VLOOKUP(AK$1,RefCapacity!$H$2:$L$8,4,FALSE))</f>
        <v>273.7118603838083</v>
      </c>
      <c r="AZ29" cm="1">
        <f t="array" ref="AZ29">INDEX(RefCapacity!$D$2:$D$526,MATCH(1,(RefCapacity!$A$2:$A$526=RefCapacityProj!$D29)*(RefCapacity!$B$2:$B$526=2019)*(RefCapacity!$C$2:$C$526=RefCapacityProj!AL$1),0))*IF($C29=2035,1+VLOOKUP(AL$1,RefCapacity!$H$2:$L$8,2,FALSE),1+VLOOKUP(AL$1,RefCapacity!$H$2:$L$8,4,FALSE))</f>
        <v>0</v>
      </c>
      <c r="BA29" cm="1">
        <f t="array" ref="BA29">INDEX(RefCapacity!$D$2:$D$526,MATCH(1,(RefCapacity!$A$2:$A$526=RefCapacityProj!$D29)*(RefCapacity!$B$2:$B$526=2019)*(RefCapacity!$C$2:$C$526=RefCapacityProj!AM$1),0))*IF($C29=2035,1+VLOOKUP(AM$1,RefCapacity!$H$2:$L$8,2,FALSE),1+VLOOKUP(AM$1,RefCapacity!$H$2:$L$8,4,FALSE))</f>
        <v>150.98025463940334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f t="shared" si="4"/>
        <v>654.23056104826333</v>
      </c>
      <c r="BJ29">
        <f t="shared" si="5"/>
        <v>6.6086164735716011</v>
      </c>
      <c r="BK29">
        <f t="shared" si="6"/>
        <v>1.5596920592527397</v>
      </c>
      <c r="BL29" cm="1">
        <f t="array" ref="BL29">AG29/$BI29*INDEX('GHG Emission'!$C$2:$C$1121,MATCH(1,('GHG Emission'!$D$2:$D$1121=$D29)*('GHG Emission'!$E$2:$E$1121=$C29)*('GHG Emission'!$F$2:$F$1121=$B29)*('GHG Emission'!$I$2:$I$1121=$E29)*('GHG Emission'!$J$2:$J$1121=$F29)*('GHG Emission'!$K$2:$K$1121=AG$1),0))+AH29/$BI29*INDEX('GHG Emission'!$C$2:$C$1121,MATCH(1,('GHG Emission'!$D$2:$D$1121=$D29)*('GHG Emission'!$E$2:$E$1121=$C29)*('GHG Emission'!$F$2:$F$1121=$B29)*('GHG Emission'!$I$2:$I$1121=$E29)*('GHG Emission'!$J$2:$J$1121=$F29)*('GHG Emission'!$K$2:$K$1121=AH$1),0))+AI29/$BI29*INDEX('GHG Emission'!$C$2:$C$1121,MATCH(1,('GHG Emission'!$D$2:$D$1121=$D29)*('GHG Emission'!$E$2:$E$1121=$C29)*('GHG Emission'!$F$2:$F$1121=$B29)*('GHG Emission'!$I$2:$I$1121=$E29)*('GHG Emission'!$J$2:$J$1121=$F29)*('GHG Emission'!$K$2:$K$1121=AI$1),0))+AJ29/$BI29*INDEX('GHG Emission'!$C$2:$C$1121,MATCH(1,('GHG Emission'!$D$2:$D$1121=$D29)*('GHG Emission'!$E$2:$E$1121=$C29)*('GHG Emission'!$F$2:$F$1121=$B29)*('GHG Emission'!$I$2:$I$1121=$E29)*('GHG Emission'!$J$2:$J$1121=$F29)*('GHG Emission'!$K$2:$K$1121=AJ$1),0))+AK29/$BI29*INDEX('GHG Emission'!$C$2:$C$1121,MATCH(1,('GHG Emission'!$D$2:$D$1121=$D29)*('GHG Emission'!$E$2:$E$1121=$C29)*('GHG Emission'!$F$2:$F$1121=$B29)*('GHG Emission'!$I$2:$I$1121=$E29)*('GHG Emission'!$J$2:$J$1121=$F29)*('GHG Emission'!$K$2:$K$1121=AK$1),0))+AL29/$BI29*INDEX('GHG Emission'!$C$2:$C$1121,MATCH(1,('GHG Emission'!$D$2:$D$1121=$D29)*('GHG Emission'!$E$2:$E$1121=$C29)*('GHG Emission'!$F$2:$F$1121=$B29)*('GHG Emission'!$I$2:$I$1121=$E29)*('GHG Emission'!$J$2:$J$1121=$F29)*('GHG Emission'!$K$2:$K$1121=AL$1),0))+AM29/$BI29*INDEX('GHG Emission'!$C$2:$C$1121,MATCH(1,('GHG Emission'!$D$2:$D$1121=$D29)*('GHG Emission'!$E$2:$E$1121=$C29)*('GHG Emission'!$F$2:$F$1121=$B29)*('GHG Emission'!$I$2:$I$1121=$E29)*('GHG Emission'!$J$2:$J$1121=$F29)*('GHG Emission'!$K$2:$K$1121=AM$1),0))</f>
        <v>34.055768575590591</v>
      </c>
      <c r="BM29" t="str">
        <f t="shared" si="7"/>
        <v>LIGHT/SOUR</v>
      </c>
    </row>
    <row r="30" spans="1:65" hidden="1" x14ac:dyDescent="0.25">
      <c r="A30">
        <v>29</v>
      </c>
      <c r="B30" t="s">
        <v>465</v>
      </c>
      <c r="C30">
        <v>2050</v>
      </c>
      <c r="D30">
        <v>4</v>
      </c>
      <c r="E30" t="s">
        <v>466</v>
      </c>
      <c r="F30" t="s">
        <v>467</v>
      </c>
      <c r="G30">
        <v>316.52366436777658</v>
      </c>
      <c r="H30">
        <v>19.459955188057229</v>
      </c>
      <c r="I30">
        <v>179.05965176001402</v>
      </c>
      <c r="J30">
        <v>43.256593917224599</v>
      </c>
      <c r="K30">
        <v>5.489384803663925</v>
      </c>
      <c r="L30">
        <v>2.5634089998782152</v>
      </c>
      <c r="M30">
        <v>0</v>
      </c>
      <c r="N30">
        <v>0</v>
      </c>
      <c r="O30">
        <v>0</v>
      </c>
      <c r="P30">
        <v>187.83978707366825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f t="shared" si="0"/>
        <v>754.19244611028284</v>
      </c>
      <c r="Y30">
        <f>X30*VLOOKUP($D30,'LinearReg Model'!$S$2:$T$6,2,FALSE)</f>
        <v>685.05381561458671</v>
      </c>
      <c r="Z30">
        <f t="shared" si="1"/>
        <v>0.41968554047476159</v>
      </c>
      <c r="AA30">
        <f t="shared" si="2"/>
        <v>0.23741904693358698</v>
      </c>
      <c r="AB30">
        <f t="shared" si="3"/>
        <v>2.5802373503501876E-2</v>
      </c>
      <c r="AC30">
        <v>26.924463078862729</v>
      </c>
      <c r="AD30">
        <v>1.1684886308416846</v>
      </c>
      <c r="AE30" s="2">
        <f>VLOOKUP($D30,'MultiReg Model'!$A$5:$F$9,2,FALSE)+AC30*VLOOKUP($D30,'MultiReg Model'!$A$5:$F$9,3,FALSE)+Z30*VLOOKUP($D30,'MultiReg Model'!$A$5:$F$9,4,FALSE)+AA30*VLOOKUP($D30,'MultiReg Model'!$A$5:$F$9,5,FALSE)+AB30*VLOOKUP($D30,'MultiReg Model'!$A$5:$F$9,6,FALSE)</f>
        <v>6.3023651776214802</v>
      </c>
      <c r="AF30" cm="1">
        <f t="array" ref="AF30">MMULT($AG30:$AM30,'Avg CI Index'!$C$2:$C$8)/BI30</f>
        <v>7.5812222807580003</v>
      </c>
      <c r="AG30">
        <v>67.579418148747223</v>
      </c>
      <c r="AH30">
        <v>392.11356943425875</v>
      </c>
      <c r="AI30">
        <v>0</v>
      </c>
      <c r="AJ30">
        <v>205.34948717726684</v>
      </c>
      <c r="AK30">
        <v>13.094856883224784</v>
      </c>
      <c r="AL30">
        <v>0</v>
      </c>
      <c r="AM30">
        <v>6.102300632119987E-10</v>
      </c>
      <c r="AN30" cm="1">
        <f t="array" ref="AN30">$Y30*INDEX(RefCapacity!$D$2:$D$526,MATCH(1,(RefCapacity!$A$2:$A$526=RefCapacityProj!$D30)*(RefCapacity!$B$2:$B$526=2019)*(RefCapacity!$C$2:$C$526=AG$1),0))/SUMIFS(RefCapacity!$D$2:$D$526,RefCapacity!$A$2:$A$526,RefCapacityProj!$D30,RefCapacity!$B$2:$B$526,2019)</f>
        <v>14.929357549209975</v>
      </c>
      <c r="AO30" cm="1">
        <f t="array" ref="AO30">$Y30*INDEX(RefCapacity!$D$2:$D$526,MATCH(1,(RefCapacity!$A$2:$A$526=RefCapacityProj!$D30)*(RefCapacity!$B$2:$B$526=2019)*(RefCapacity!$C$2:$C$526=AH$1),0))/SUMIFS(RefCapacity!$D$2:$D$526,RefCapacity!$A$2:$A$526,RefCapacityProj!$D30,RefCapacity!$B$2:$B$526,2019)</f>
        <v>231.42255885868897</v>
      </c>
      <c r="AP30" cm="1">
        <f t="array" ref="AP30">$Y30*INDEX(RefCapacity!$D$2:$D$526,MATCH(1,(RefCapacity!$A$2:$A$526=RefCapacityProj!$D30)*(RefCapacity!$B$2:$B$526=2019)*(RefCapacity!$C$2:$C$526=AI$1),0))/SUMIFS(RefCapacity!$D$2:$D$526,RefCapacity!$A$2:$A$526,RefCapacityProj!$D30,RefCapacity!$B$2:$B$526,2019)</f>
        <v>0</v>
      </c>
      <c r="AQ30" cm="1">
        <f t="array" ref="AQ30">$Y30*INDEX(RefCapacity!$D$2:$D$526,MATCH(1,(RefCapacity!$A$2:$A$526=RefCapacityProj!$D30)*(RefCapacity!$B$2:$B$526=2019)*(RefCapacity!$C$2:$C$526=AJ$1),0))/SUMIFS(RefCapacity!$D$2:$D$526,RefCapacity!$A$2:$A$526,RefCapacityProj!$D30,RefCapacity!$B$2:$B$526,2019)</f>
        <v>72.649867309531345</v>
      </c>
      <c r="AR30" cm="1">
        <f t="array" ref="AR30">$Y30*INDEX(RefCapacity!$D$2:$D$526,MATCH(1,(RefCapacity!$A$2:$A$526=RefCapacityProj!$D30)*(RefCapacity!$B$2:$B$526=2019)*(RefCapacity!$C$2:$C$526=AK$1),0))/SUMIFS(RefCapacity!$D$2:$D$526,RefCapacity!$A$2:$A$526,RefCapacityProj!$D30,RefCapacity!$B$2:$B$526,2019)</f>
        <v>220.6572058287357</v>
      </c>
      <c r="AS30" cm="1">
        <f t="array" ref="AS30">$Y30*INDEX(RefCapacity!$D$2:$D$526,MATCH(1,(RefCapacity!$A$2:$A$526=RefCapacityProj!$D30)*(RefCapacity!$B$2:$B$526=2019)*(RefCapacity!$C$2:$C$526=AL$1),0))/SUMIFS(RefCapacity!$D$2:$D$526,RefCapacity!$A$2:$A$526,RefCapacityProj!$D30,RefCapacity!$B$2:$B$526,2019)</f>
        <v>0</v>
      </c>
      <c r="AT30" cm="1">
        <f t="array" ref="AT30">$Y30*INDEX(RefCapacity!$D$2:$D$526,MATCH(1,(RefCapacity!$A$2:$A$526=RefCapacityProj!$D30)*(RefCapacity!$B$2:$B$526=2019)*(RefCapacity!$C$2:$C$526=AM$1),0))/SUMIFS(RefCapacity!$D$2:$D$526,RefCapacity!$A$2:$A$526,RefCapacityProj!$D30,RefCapacity!$B$2:$B$526,2019)</f>
        <v>145.39482606842071</v>
      </c>
      <c r="AU30" cm="1">
        <f t="array" ref="AU30">INDEX(RefCapacity!$D$2:$D$526,MATCH(1,(RefCapacity!$A$2:$A$526=RefCapacityProj!$D30)*(RefCapacity!$B$2:$B$526=2019)*(RefCapacity!$C$2:$C$526=RefCapacityProj!AG$1),0))*IF($C30=2035,1+VLOOKUP(AG$1,RefCapacity!$H$2:$L$8,2,FALSE),1+VLOOKUP(AG$1,RefCapacity!$H$2:$L$8,4,FALSE))</f>
        <v>67.579418148848575</v>
      </c>
      <c r="AV30" cm="1">
        <f t="array" ref="AV30">INDEX(RefCapacity!$D$2:$D$526,MATCH(1,(RefCapacity!$A$2:$A$526=RefCapacityProj!$D30)*(RefCapacity!$B$2:$B$526=2019)*(RefCapacity!$C$2:$C$526=RefCapacityProj!AH$1),0))*IF($C30=2035,1+VLOOKUP(AH$1,RefCapacity!$H$2:$L$8,2,FALSE),1+VLOOKUP(AH$1,RefCapacity!$H$2:$L$8,4,FALSE))</f>
        <v>392.11356943453399</v>
      </c>
      <c r="AW30" cm="1">
        <f t="array" ref="AW30">INDEX(RefCapacity!$D$2:$D$526,MATCH(1,(RefCapacity!$A$2:$A$526=RefCapacityProj!$D30)*(RefCapacity!$B$2:$B$526=2019)*(RefCapacity!$C$2:$C$526=RefCapacityProj!AI$1),0))*IF($C30=2035,1+VLOOKUP(AI$1,RefCapacity!$H$2:$L$8,2,FALSE),1+VLOOKUP(AI$1,RefCapacity!$H$2:$L$8,4,FALSE))</f>
        <v>0</v>
      </c>
      <c r="AX30" cm="1">
        <f t="array" ref="AX30">INDEX(RefCapacity!$D$2:$D$526,MATCH(1,(RefCapacity!$A$2:$A$526=RefCapacityProj!$D30)*(RefCapacity!$B$2:$B$526=2019)*(RefCapacity!$C$2:$C$526=RefCapacityProj!AJ$1),0))*IF($C30=2035,1+VLOOKUP(AJ$1,RefCapacity!$H$2:$L$8,2,FALSE),1+VLOOKUP(AJ$1,RefCapacity!$H$2:$L$8,4,FALSE))</f>
        <v>205.34948717948717</v>
      </c>
      <c r="AY30" cm="1">
        <f t="array" ref="AY30">INDEX(RefCapacity!$D$2:$D$526,MATCH(1,(RefCapacity!$A$2:$A$526=RefCapacityProj!$D30)*(RefCapacity!$B$2:$B$526=2019)*(RefCapacity!$C$2:$C$526=RefCapacityProj!AK$1),0))*IF($C30=2035,1+VLOOKUP(AK$1,RefCapacity!$H$2:$L$8,2,FALSE),1+VLOOKUP(AK$1,RefCapacity!$H$2:$L$8,4,FALSE))</f>
        <v>326.97872076761655</v>
      </c>
      <c r="AZ30" cm="1">
        <f t="array" ref="AZ30">INDEX(RefCapacity!$D$2:$D$526,MATCH(1,(RefCapacity!$A$2:$A$526=RefCapacityProj!$D30)*(RefCapacity!$B$2:$B$526=2019)*(RefCapacity!$C$2:$C$526=RefCapacityProj!AL$1),0))*IF($C30=2035,1+VLOOKUP(AL$1,RefCapacity!$H$2:$L$8,2,FALSE),1+VLOOKUP(AL$1,RefCapacity!$H$2:$L$8,4,FALSE))</f>
        <v>0</v>
      </c>
      <c r="BA30" cm="1">
        <f t="array" ref="BA30">INDEX(RefCapacity!$D$2:$D$526,MATCH(1,(RefCapacity!$A$2:$A$526=RefCapacityProj!$D30)*(RefCapacity!$B$2:$B$526=2019)*(RefCapacity!$C$2:$C$526=RefCapacityProj!AM$1),0))*IF($C30=2035,1+VLOOKUP(AM$1,RefCapacity!$H$2:$L$8,2,FALSE),1+VLOOKUP(AM$1,RefCapacity!$H$2:$L$8,4,FALSE))</f>
        <v>156.70550927880672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f t="shared" si="4"/>
        <v>678.13733164410792</v>
      </c>
      <c r="BJ30">
        <f t="shared" si="5"/>
        <v>6.9164839704787937</v>
      </c>
      <c r="BK30">
        <f t="shared" si="6"/>
        <v>1.2788571031365201</v>
      </c>
      <c r="BL30" cm="1">
        <f t="array" ref="BL30">AG30/$BI30*INDEX('GHG Emission'!$C$2:$C$1121,MATCH(1,('GHG Emission'!$D$2:$D$1121=$D30)*('GHG Emission'!$E$2:$E$1121=$C30)*('GHG Emission'!$F$2:$F$1121=$B30)*('GHG Emission'!$I$2:$I$1121=$E30)*('GHG Emission'!$J$2:$J$1121=$F30)*('GHG Emission'!$K$2:$K$1121=AG$1),0))+AH30/$BI30*INDEX('GHG Emission'!$C$2:$C$1121,MATCH(1,('GHG Emission'!$D$2:$D$1121=$D30)*('GHG Emission'!$E$2:$E$1121=$C30)*('GHG Emission'!$F$2:$F$1121=$B30)*('GHG Emission'!$I$2:$I$1121=$E30)*('GHG Emission'!$J$2:$J$1121=$F30)*('GHG Emission'!$K$2:$K$1121=AH$1),0))+AI30/$BI30*INDEX('GHG Emission'!$C$2:$C$1121,MATCH(1,('GHG Emission'!$D$2:$D$1121=$D30)*('GHG Emission'!$E$2:$E$1121=$C30)*('GHG Emission'!$F$2:$F$1121=$B30)*('GHG Emission'!$I$2:$I$1121=$E30)*('GHG Emission'!$J$2:$J$1121=$F30)*('GHG Emission'!$K$2:$K$1121=AI$1),0))+AJ30/$BI30*INDEX('GHG Emission'!$C$2:$C$1121,MATCH(1,('GHG Emission'!$D$2:$D$1121=$D30)*('GHG Emission'!$E$2:$E$1121=$C30)*('GHG Emission'!$F$2:$F$1121=$B30)*('GHG Emission'!$I$2:$I$1121=$E30)*('GHG Emission'!$J$2:$J$1121=$F30)*('GHG Emission'!$K$2:$K$1121=AJ$1),0))+AK30/$BI30*INDEX('GHG Emission'!$C$2:$C$1121,MATCH(1,('GHG Emission'!$D$2:$D$1121=$D30)*('GHG Emission'!$E$2:$E$1121=$C30)*('GHG Emission'!$F$2:$F$1121=$B30)*('GHG Emission'!$I$2:$I$1121=$E30)*('GHG Emission'!$J$2:$J$1121=$F30)*('GHG Emission'!$K$2:$K$1121=AK$1),0))+AL30/$BI30*INDEX('GHG Emission'!$C$2:$C$1121,MATCH(1,('GHG Emission'!$D$2:$D$1121=$D30)*('GHG Emission'!$E$2:$E$1121=$C30)*('GHG Emission'!$F$2:$F$1121=$B30)*('GHG Emission'!$I$2:$I$1121=$E30)*('GHG Emission'!$J$2:$J$1121=$F30)*('GHG Emission'!$K$2:$K$1121=AL$1),0))+AM30/$BI30*INDEX('GHG Emission'!$C$2:$C$1121,MATCH(1,('GHG Emission'!$D$2:$D$1121=$D30)*('GHG Emission'!$E$2:$E$1121=$C30)*('GHG Emission'!$F$2:$F$1121=$B30)*('GHG Emission'!$I$2:$I$1121=$E30)*('GHG Emission'!$J$2:$J$1121=$F30)*('GHG Emission'!$K$2:$K$1121=AM$1),0))</f>
        <v>34.606766865019445</v>
      </c>
      <c r="BM30" t="str">
        <f t="shared" si="7"/>
        <v>HEAVY/SWEET</v>
      </c>
    </row>
    <row r="31" spans="1:65" x14ac:dyDescent="0.25">
      <c r="A31">
        <v>30</v>
      </c>
      <c r="B31" t="s">
        <v>465</v>
      </c>
      <c r="C31">
        <v>2050</v>
      </c>
      <c r="D31">
        <v>4</v>
      </c>
      <c r="E31" t="s">
        <v>466</v>
      </c>
      <c r="F31" t="s">
        <v>468</v>
      </c>
      <c r="G31">
        <v>316.52366436777658</v>
      </c>
      <c r="H31">
        <v>19.459955188057229</v>
      </c>
      <c r="I31">
        <v>179.05965176001402</v>
      </c>
      <c r="J31">
        <v>43.256593917224599</v>
      </c>
      <c r="K31">
        <v>5.489384803663925</v>
      </c>
      <c r="L31">
        <v>2.5634089998782152</v>
      </c>
      <c r="M31">
        <v>0</v>
      </c>
      <c r="N31">
        <v>0</v>
      </c>
      <c r="O31">
        <v>0</v>
      </c>
      <c r="P31">
        <v>187.83978707366825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f t="shared" si="0"/>
        <v>754.19244611028284</v>
      </c>
      <c r="Y31">
        <f>X31*VLOOKUP($D31,'LinearReg Model'!$S$2:$T$6,2,FALSE)</f>
        <v>685.05381561458671</v>
      </c>
      <c r="Z31">
        <f t="shared" si="1"/>
        <v>0.41968554047476159</v>
      </c>
      <c r="AA31">
        <f t="shared" si="2"/>
        <v>0.23741904693358698</v>
      </c>
      <c r="AB31">
        <f t="shared" si="3"/>
        <v>2.5802373503501876E-2</v>
      </c>
      <c r="AC31">
        <v>26.924463078862729</v>
      </c>
      <c r="AD31">
        <v>3.7883857319296892</v>
      </c>
      <c r="AE31" s="2">
        <f>VLOOKUP($D31,'MultiReg Model'!$A$5:$F$9,2,FALSE)+AC31*VLOOKUP($D31,'MultiReg Model'!$A$5:$F$9,3,FALSE)+Z31*VLOOKUP($D31,'MultiReg Model'!$A$5:$F$9,4,FALSE)+AA31*VLOOKUP($D31,'MultiReg Model'!$A$5:$F$9,5,FALSE)+AB31*VLOOKUP($D31,'MultiReg Model'!$A$5:$F$9,6,FALSE)</f>
        <v>6.3023651776214802</v>
      </c>
      <c r="AF31" cm="1">
        <f t="array" ref="AF31">MMULT($AG31:$AM31,'Avg CI Index'!$C$2:$C$8)/BI31</f>
        <v>7.5812222807580003</v>
      </c>
      <c r="AG31">
        <v>67.579418148747223</v>
      </c>
      <c r="AH31">
        <v>392.11356943425875</v>
      </c>
      <c r="AI31">
        <v>0</v>
      </c>
      <c r="AJ31">
        <v>205.34948717726684</v>
      </c>
      <c r="AK31">
        <v>13.094856883224784</v>
      </c>
      <c r="AL31">
        <v>0</v>
      </c>
      <c r="AM31">
        <v>6.102300632119987E-10</v>
      </c>
      <c r="AN31" cm="1">
        <f t="array" ref="AN31">$Y31*INDEX(RefCapacity!$D$2:$D$526,MATCH(1,(RefCapacity!$A$2:$A$526=RefCapacityProj!$D31)*(RefCapacity!$B$2:$B$526=2019)*(RefCapacity!$C$2:$C$526=AG$1),0))/SUMIFS(RefCapacity!$D$2:$D$526,RefCapacity!$A$2:$A$526,RefCapacityProj!$D31,RefCapacity!$B$2:$B$526,2019)</f>
        <v>14.929357549209975</v>
      </c>
      <c r="AO31" cm="1">
        <f t="array" ref="AO31">$Y31*INDEX(RefCapacity!$D$2:$D$526,MATCH(1,(RefCapacity!$A$2:$A$526=RefCapacityProj!$D31)*(RefCapacity!$B$2:$B$526=2019)*(RefCapacity!$C$2:$C$526=AH$1),0))/SUMIFS(RefCapacity!$D$2:$D$526,RefCapacity!$A$2:$A$526,RefCapacityProj!$D31,RefCapacity!$B$2:$B$526,2019)</f>
        <v>231.42255885868897</v>
      </c>
      <c r="AP31" cm="1">
        <f t="array" ref="AP31">$Y31*INDEX(RefCapacity!$D$2:$D$526,MATCH(1,(RefCapacity!$A$2:$A$526=RefCapacityProj!$D31)*(RefCapacity!$B$2:$B$526=2019)*(RefCapacity!$C$2:$C$526=AI$1),0))/SUMIFS(RefCapacity!$D$2:$D$526,RefCapacity!$A$2:$A$526,RefCapacityProj!$D31,RefCapacity!$B$2:$B$526,2019)</f>
        <v>0</v>
      </c>
      <c r="AQ31" cm="1">
        <f t="array" ref="AQ31">$Y31*INDEX(RefCapacity!$D$2:$D$526,MATCH(1,(RefCapacity!$A$2:$A$526=RefCapacityProj!$D31)*(RefCapacity!$B$2:$B$526=2019)*(RefCapacity!$C$2:$C$526=AJ$1),0))/SUMIFS(RefCapacity!$D$2:$D$526,RefCapacity!$A$2:$A$526,RefCapacityProj!$D31,RefCapacity!$B$2:$B$526,2019)</f>
        <v>72.649867309531345</v>
      </c>
      <c r="AR31" cm="1">
        <f t="array" ref="AR31">$Y31*INDEX(RefCapacity!$D$2:$D$526,MATCH(1,(RefCapacity!$A$2:$A$526=RefCapacityProj!$D31)*(RefCapacity!$B$2:$B$526=2019)*(RefCapacity!$C$2:$C$526=AK$1),0))/SUMIFS(RefCapacity!$D$2:$D$526,RefCapacity!$A$2:$A$526,RefCapacityProj!$D31,RefCapacity!$B$2:$B$526,2019)</f>
        <v>220.6572058287357</v>
      </c>
      <c r="AS31" cm="1">
        <f t="array" ref="AS31">$Y31*INDEX(RefCapacity!$D$2:$D$526,MATCH(1,(RefCapacity!$A$2:$A$526=RefCapacityProj!$D31)*(RefCapacity!$B$2:$B$526=2019)*(RefCapacity!$C$2:$C$526=AL$1),0))/SUMIFS(RefCapacity!$D$2:$D$526,RefCapacity!$A$2:$A$526,RefCapacityProj!$D31,RefCapacity!$B$2:$B$526,2019)</f>
        <v>0</v>
      </c>
      <c r="AT31" cm="1">
        <f t="array" ref="AT31">$Y31*INDEX(RefCapacity!$D$2:$D$526,MATCH(1,(RefCapacity!$A$2:$A$526=RefCapacityProj!$D31)*(RefCapacity!$B$2:$B$526=2019)*(RefCapacity!$C$2:$C$526=AM$1),0))/SUMIFS(RefCapacity!$D$2:$D$526,RefCapacity!$A$2:$A$526,RefCapacityProj!$D31,RefCapacity!$B$2:$B$526,2019)</f>
        <v>145.39482606842071</v>
      </c>
      <c r="AU31" cm="1">
        <f t="array" ref="AU31">INDEX(RefCapacity!$D$2:$D$526,MATCH(1,(RefCapacity!$A$2:$A$526=RefCapacityProj!$D31)*(RefCapacity!$B$2:$B$526=2019)*(RefCapacity!$C$2:$C$526=RefCapacityProj!AG$1),0))*IF($C31=2035,1+VLOOKUP(AG$1,RefCapacity!$H$2:$L$8,2,FALSE),1+VLOOKUP(AG$1,RefCapacity!$H$2:$L$8,4,FALSE))</f>
        <v>67.579418148848575</v>
      </c>
      <c r="AV31" cm="1">
        <f t="array" ref="AV31">INDEX(RefCapacity!$D$2:$D$526,MATCH(1,(RefCapacity!$A$2:$A$526=RefCapacityProj!$D31)*(RefCapacity!$B$2:$B$526=2019)*(RefCapacity!$C$2:$C$526=RefCapacityProj!AH$1),0))*IF($C31=2035,1+VLOOKUP(AH$1,RefCapacity!$H$2:$L$8,2,FALSE),1+VLOOKUP(AH$1,RefCapacity!$H$2:$L$8,4,FALSE))</f>
        <v>392.11356943453399</v>
      </c>
      <c r="AW31" cm="1">
        <f t="array" ref="AW31">INDEX(RefCapacity!$D$2:$D$526,MATCH(1,(RefCapacity!$A$2:$A$526=RefCapacityProj!$D31)*(RefCapacity!$B$2:$B$526=2019)*(RefCapacity!$C$2:$C$526=RefCapacityProj!AI$1),0))*IF($C31=2035,1+VLOOKUP(AI$1,RefCapacity!$H$2:$L$8,2,FALSE),1+VLOOKUP(AI$1,RefCapacity!$H$2:$L$8,4,FALSE))</f>
        <v>0</v>
      </c>
      <c r="AX31" cm="1">
        <f t="array" ref="AX31">INDEX(RefCapacity!$D$2:$D$526,MATCH(1,(RefCapacity!$A$2:$A$526=RefCapacityProj!$D31)*(RefCapacity!$B$2:$B$526=2019)*(RefCapacity!$C$2:$C$526=RefCapacityProj!AJ$1),0))*IF($C31=2035,1+VLOOKUP(AJ$1,RefCapacity!$H$2:$L$8,2,FALSE),1+VLOOKUP(AJ$1,RefCapacity!$H$2:$L$8,4,FALSE))</f>
        <v>205.34948717948717</v>
      </c>
      <c r="AY31" cm="1">
        <f t="array" ref="AY31">INDEX(RefCapacity!$D$2:$D$526,MATCH(1,(RefCapacity!$A$2:$A$526=RefCapacityProj!$D31)*(RefCapacity!$B$2:$B$526=2019)*(RefCapacity!$C$2:$C$526=RefCapacityProj!AK$1),0))*IF($C31=2035,1+VLOOKUP(AK$1,RefCapacity!$H$2:$L$8,2,FALSE),1+VLOOKUP(AK$1,RefCapacity!$H$2:$L$8,4,FALSE))</f>
        <v>326.97872076761655</v>
      </c>
      <c r="AZ31" cm="1">
        <f t="array" ref="AZ31">INDEX(RefCapacity!$D$2:$D$526,MATCH(1,(RefCapacity!$A$2:$A$526=RefCapacityProj!$D31)*(RefCapacity!$B$2:$B$526=2019)*(RefCapacity!$C$2:$C$526=RefCapacityProj!AL$1),0))*IF($C31=2035,1+VLOOKUP(AL$1,RefCapacity!$H$2:$L$8,2,FALSE),1+VLOOKUP(AL$1,RefCapacity!$H$2:$L$8,4,FALSE))</f>
        <v>0</v>
      </c>
      <c r="BA31" cm="1">
        <f t="array" ref="BA31">INDEX(RefCapacity!$D$2:$D$526,MATCH(1,(RefCapacity!$A$2:$A$526=RefCapacityProj!$D31)*(RefCapacity!$B$2:$B$526=2019)*(RefCapacity!$C$2:$C$526=RefCapacityProj!AM$1),0))*IF($C31=2035,1+VLOOKUP(AM$1,RefCapacity!$H$2:$L$8,2,FALSE),1+VLOOKUP(AM$1,RefCapacity!$H$2:$L$8,4,FALSE))</f>
        <v>156.70550927880672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f t="shared" si="4"/>
        <v>678.13733164410792</v>
      </c>
      <c r="BJ31">
        <f t="shared" si="5"/>
        <v>6.9164839704787937</v>
      </c>
      <c r="BK31">
        <f t="shared" si="6"/>
        <v>1.2788571031365201</v>
      </c>
      <c r="BL31" cm="1">
        <f t="array" ref="BL31">AG31/$BI31*INDEX('GHG Emission'!$C$2:$C$1121,MATCH(1,('GHG Emission'!$D$2:$D$1121=$D31)*('GHG Emission'!$E$2:$E$1121=$C31)*('GHG Emission'!$F$2:$F$1121=$B31)*('GHG Emission'!$I$2:$I$1121=$E31)*('GHG Emission'!$J$2:$J$1121=$F31)*('GHG Emission'!$K$2:$K$1121=AG$1),0))+AH31/$BI31*INDEX('GHG Emission'!$C$2:$C$1121,MATCH(1,('GHG Emission'!$D$2:$D$1121=$D31)*('GHG Emission'!$E$2:$E$1121=$C31)*('GHG Emission'!$F$2:$F$1121=$B31)*('GHG Emission'!$I$2:$I$1121=$E31)*('GHG Emission'!$J$2:$J$1121=$F31)*('GHG Emission'!$K$2:$K$1121=AH$1),0))+AI31/$BI31*INDEX('GHG Emission'!$C$2:$C$1121,MATCH(1,('GHG Emission'!$D$2:$D$1121=$D31)*('GHG Emission'!$E$2:$E$1121=$C31)*('GHG Emission'!$F$2:$F$1121=$B31)*('GHG Emission'!$I$2:$I$1121=$E31)*('GHG Emission'!$J$2:$J$1121=$F31)*('GHG Emission'!$K$2:$K$1121=AI$1),0))+AJ31/$BI31*INDEX('GHG Emission'!$C$2:$C$1121,MATCH(1,('GHG Emission'!$D$2:$D$1121=$D31)*('GHG Emission'!$E$2:$E$1121=$C31)*('GHG Emission'!$F$2:$F$1121=$B31)*('GHG Emission'!$I$2:$I$1121=$E31)*('GHG Emission'!$J$2:$J$1121=$F31)*('GHG Emission'!$K$2:$K$1121=AJ$1),0))+AK31/$BI31*INDEX('GHG Emission'!$C$2:$C$1121,MATCH(1,('GHG Emission'!$D$2:$D$1121=$D31)*('GHG Emission'!$E$2:$E$1121=$C31)*('GHG Emission'!$F$2:$F$1121=$B31)*('GHG Emission'!$I$2:$I$1121=$E31)*('GHG Emission'!$J$2:$J$1121=$F31)*('GHG Emission'!$K$2:$K$1121=AK$1),0))+AL31/$BI31*INDEX('GHG Emission'!$C$2:$C$1121,MATCH(1,('GHG Emission'!$D$2:$D$1121=$D31)*('GHG Emission'!$E$2:$E$1121=$C31)*('GHG Emission'!$F$2:$F$1121=$B31)*('GHG Emission'!$I$2:$I$1121=$E31)*('GHG Emission'!$J$2:$J$1121=$F31)*('GHG Emission'!$K$2:$K$1121=AL$1),0))+AM31/$BI31*INDEX('GHG Emission'!$C$2:$C$1121,MATCH(1,('GHG Emission'!$D$2:$D$1121=$D31)*('GHG Emission'!$E$2:$E$1121=$C31)*('GHG Emission'!$F$2:$F$1121=$B31)*('GHG Emission'!$I$2:$I$1121=$E31)*('GHG Emission'!$J$2:$J$1121=$F31)*('GHG Emission'!$K$2:$K$1121=AM$1),0))</f>
        <v>33.984397601643508</v>
      </c>
      <c r="BM31" t="str">
        <f t="shared" si="7"/>
        <v>HEAVY/SOUR</v>
      </c>
    </row>
    <row r="32" spans="1:65" hidden="1" x14ac:dyDescent="0.25">
      <c r="A32">
        <v>31</v>
      </c>
      <c r="B32" t="s">
        <v>465</v>
      </c>
      <c r="C32">
        <v>2050</v>
      </c>
      <c r="D32">
        <v>4</v>
      </c>
      <c r="E32" t="s">
        <v>469</v>
      </c>
      <c r="F32" t="s">
        <v>467</v>
      </c>
      <c r="G32">
        <v>316.52366436777658</v>
      </c>
      <c r="H32">
        <v>19.459955188057229</v>
      </c>
      <c r="I32">
        <v>179.05965176001402</v>
      </c>
      <c r="J32">
        <v>43.256593917224599</v>
      </c>
      <c r="K32">
        <v>5.489384803663925</v>
      </c>
      <c r="L32">
        <v>2.5634089998782152</v>
      </c>
      <c r="M32">
        <v>0</v>
      </c>
      <c r="N32">
        <v>0</v>
      </c>
      <c r="O32">
        <v>0</v>
      </c>
      <c r="P32">
        <v>187.83978707366825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f t="shared" si="0"/>
        <v>754.19244611028284</v>
      </c>
      <c r="Y32">
        <f>X32*VLOOKUP($D32,'LinearReg Model'!$S$2:$T$6,2,FALSE)</f>
        <v>685.05381561458671</v>
      </c>
      <c r="Z32">
        <f t="shared" si="1"/>
        <v>0.41968554047476159</v>
      </c>
      <c r="AA32">
        <f t="shared" si="2"/>
        <v>0.23741904693358698</v>
      </c>
      <c r="AB32">
        <f t="shared" si="3"/>
        <v>2.5802373503501876E-2</v>
      </c>
      <c r="AC32">
        <v>33.609676323697812</v>
      </c>
      <c r="AD32">
        <v>1.1684886308416846</v>
      </c>
      <c r="AE32" s="2">
        <f>VLOOKUP($D32,'MultiReg Model'!$A$5:$F$9,2,FALSE)+AC32*VLOOKUP($D32,'MultiReg Model'!$A$5:$F$9,3,FALSE)+Z32*VLOOKUP($D32,'MultiReg Model'!$A$5:$F$9,4,FALSE)+AA32*VLOOKUP($D32,'MultiReg Model'!$A$5:$F$9,5,FALSE)+AB32*VLOOKUP($D32,'MultiReg Model'!$A$5:$F$9,6,FALSE)</f>
        <v>6.0732764980409826</v>
      </c>
      <c r="AF32" cm="1">
        <f t="array" ref="AF32">MMULT($AG32:$AM32,'Avg CI Index'!$C$2:$C$8)/BI32</f>
        <v>7.5813420441332493</v>
      </c>
      <c r="AG32">
        <v>67.579418148754712</v>
      </c>
      <c r="AH32">
        <v>392.1135694342791</v>
      </c>
      <c r="AI32">
        <v>0</v>
      </c>
      <c r="AJ32">
        <v>205.34948717743092</v>
      </c>
      <c r="AK32">
        <v>13.129103343605934</v>
      </c>
      <c r="AL32">
        <v>0</v>
      </c>
      <c r="AM32">
        <v>5.6521976483622757E-10</v>
      </c>
      <c r="AN32" cm="1">
        <f t="array" ref="AN32">$Y32*INDEX(RefCapacity!$D$2:$D$526,MATCH(1,(RefCapacity!$A$2:$A$526=RefCapacityProj!$D32)*(RefCapacity!$B$2:$B$526=2019)*(RefCapacity!$C$2:$C$526=AG$1),0))/SUMIFS(RefCapacity!$D$2:$D$526,RefCapacity!$A$2:$A$526,RefCapacityProj!$D32,RefCapacity!$B$2:$B$526,2019)</f>
        <v>14.929357549209975</v>
      </c>
      <c r="AO32" cm="1">
        <f t="array" ref="AO32">$Y32*INDEX(RefCapacity!$D$2:$D$526,MATCH(1,(RefCapacity!$A$2:$A$526=RefCapacityProj!$D32)*(RefCapacity!$B$2:$B$526=2019)*(RefCapacity!$C$2:$C$526=AH$1),0))/SUMIFS(RefCapacity!$D$2:$D$526,RefCapacity!$A$2:$A$526,RefCapacityProj!$D32,RefCapacity!$B$2:$B$526,2019)</f>
        <v>231.42255885868897</v>
      </c>
      <c r="AP32" cm="1">
        <f t="array" ref="AP32">$Y32*INDEX(RefCapacity!$D$2:$D$526,MATCH(1,(RefCapacity!$A$2:$A$526=RefCapacityProj!$D32)*(RefCapacity!$B$2:$B$526=2019)*(RefCapacity!$C$2:$C$526=AI$1),0))/SUMIFS(RefCapacity!$D$2:$D$526,RefCapacity!$A$2:$A$526,RefCapacityProj!$D32,RefCapacity!$B$2:$B$526,2019)</f>
        <v>0</v>
      </c>
      <c r="AQ32" cm="1">
        <f t="array" ref="AQ32">$Y32*INDEX(RefCapacity!$D$2:$D$526,MATCH(1,(RefCapacity!$A$2:$A$526=RefCapacityProj!$D32)*(RefCapacity!$B$2:$B$526=2019)*(RefCapacity!$C$2:$C$526=AJ$1),0))/SUMIFS(RefCapacity!$D$2:$D$526,RefCapacity!$A$2:$A$526,RefCapacityProj!$D32,RefCapacity!$B$2:$B$526,2019)</f>
        <v>72.649867309531345</v>
      </c>
      <c r="AR32" cm="1">
        <f t="array" ref="AR32">$Y32*INDEX(RefCapacity!$D$2:$D$526,MATCH(1,(RefCapacity!$A$2:$A$526=RefCapacityProj!$D32)*(RefCapacity!$B$2:$B$526=2019)*(RefCapacity!$C$2:$C$526=AK$1),0))/SUMIFS(RefCapacity!$D$2:$D$526,RefCapacity!$A$2:$A$526,RefCapacityProj!$D32,RefCapacity!$B$2:$B$526,2019)</f>
        <v>220.6572058287357</v>
      </c>
      <c r="AS32" cm="1">
        <f t="array" ref="AS32">$Y32*INDEX(RefCapacity!$D$2:$D$526,MATCH(1,(RefCapacity!$A$2:$A$526=RefCapacityProj!$D32)*(RefCapacity!$B$2:$B$526=2019)*(RefCapacity!$C$2:$C$526=AL$1),0))/SUMIFS(RefCapacity!$D$2:$D$526,RefCapacity!$A$2:$A$526,RefCapacityProj!$D32,RefCapacity!$B$2:$B$526,2019)</f>
        <v>0</v>
      </c>
      <c r="AT32" cm="1">
        <f t="array" ref="AT32">$Y32*INDEX(RefCapacity!$D$2:$D$526,MATCH(1,(RefCapacity!$A$2:$A$526=RefCapacityProj!$D32)*(RefCapacity!$B$2:$B$526=2019)*(RefCapacity!$C$2:$C$526=AM$1),0))/SUMIFS(RefCapacity!$D$2:$D$526,RefCapacity!$A$2:$A$526,RefCapacityProj!$D32,RefCapacity!$B$2:$B$526,2019)</f>
        <v>145.39482606842071</v>
      </c>
      <c r="AU32" cm="1">
        <f t="array" ref="AU32">INDEX(RefCapacity!$D$2:$D$526,MATCH(1,(RefCapacity!$A$2:$A$526=RefCapacityProj!$D32)*(RefCapacity!$B$2:$B$526=2019)*(RefCapacity!$C$2:$C$526=RefCapacityProj!AG$1),0))*IF($C32=2035,1+VLOOKUP(AG$1,RefCapacity!$H$2:$L$8,2,FALSE),1+VLOOKUP(AG$1,RefCapacity!$H$2:$L$8,4,FALSE))</f>
        <v>67.579418148848575</v>
      </c>
      <c r="AV32" cm="1">
        <f t="array" ref="AV32">INDEX(RefCapacity!$D$2:$D$526,MATCH(1,(RefCapacity!$A$2:$A$526=RefCapacityProj!$D32)*(RefCapacity!$B$2:$B$526=2019)*(RefCapacity!$C$2:$C$526=RefCapacityProj!AH$1),0))*IF($C32=2035,1+VLOOKUP(AH$1,RefCapacity!$H$2:$L$8,2,FALSE),1+VLOOKUP(AH$1,RefCapacity!$H$2:$L$8,4,FALSE))</f>
        <v>392.11356943453399</v>
      </c>
      <c r="AW32" cm="1">
        <f t="array" ref="AW32">INDEX(RefCapacity!$D$2:$D$526,MATCH(1,(RefCapacity!$A$2:$A$526=RefCapacityProj!$D32)*(RefCapacity!$B$2:$B$526=2019)*(RefCapacity!$C$2:$C$526=RefCapacityProj!AI$1),0))*IF($C32=2035,1+VLOOKUP(AI$1,RefCapacity!$H$2:$L$8,2,FALSE),1+VLOOKUP(AI$1,RefCapacity!$H$2:$L$8,4,FALSE))</f>
        <v>0</v>
      </c>
      <c r="AX32" cm="1">
        <f t="array" ref="AX32">INDEX(RefCapacity!$D$2:$D$526,MATCH(1,(RefCapacity!$A$2:$A$526=RefCapacityProj!$D32)*(RefCapacity!$B$2:$B$526=2019)*(RefCapacity!$C$2:$C$526=RefCapacityProj!AJ$1),0))*IF($C32=2035,1+VLOOKUP(AJ$1,RefCapacity!$H$2:$L$8,2,FALSE),1+VLOOKUP(AJ$1,RefCapacity!$H$2:$L$8,4,FALSE))</f>
        <v>205.34948717948717</v>
      </c>
      <c r="AY32" cm="1">
        <f t="array" ref="AY32">INDEX(RefCapacity!$D$2:$D$526,MATCH(1,(RefCapacity!$A$2:$A$526=RefCapacityProj!$D32)*(RefCapacity!$B$2:$B$526=2019)*(RefCapacity!$C$2:$C$526=RefCapacityProj!AK$1),0))*IF($C32=2035,1+VLOOKUP(AK$1,RefCapacity!$H$2:$L$8,2,FALSE),1+VLOOKUP(AK$1,RefCapacity!$H$2:$L$8,4,FALSE))</f>
        <v>326.97872076761655</v>
      </c>
      <c r="AZ32" cm="1">
        <f t="array" ref="AZ32">INDEX(RefCapacity!$D$2:$D$526,MATCH(1,(RefCapacity!$A$2:$A$526=RefCapacityProj!$D32)*(RefCapacity!$B$2:$B$526=2019)*(RefCapacity!$C$2:$C$526=RefCapacityProj!AL$1),0))*IF($C32=2035,1+VLOOKUP(AL$1,RefCapacity!$H$2:$L$8,2,FALSE),1+VLOOKUP(AL$1,RefCapacity!$H$2:$L$8,4,FALSE))</f>
        <v>0</v>
      </c>
      <c r="BA32" cm="1">
        <f t="array" ref="BA32">INDEX(RefCapacity!$D$2:$D$526,MATCH(1,(RefCapacity!$A$2:$A$526=RefCapacityProj!$D32)*(RefCapacity!$B$2:$B$526=2019)*(RefCapacity!$C$2:$C$526=RefCapacityProj!AM$1),0))*IF($C32=2035,1+VLOOKUP(AM$1,RefCapacity!$H$2:$L$8,2,FALSE),1+VLOOKUP(AM$1,RefCapacity!$H$2:$L$8,4,FALSE))</f>
        <v>156.70550927880672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f t="shared" si="4"/>
        <v>678.17157810463596</v>
      </c>
      <c r="BJ32">
        <f t="shared" si="5"/>
        <v>6.8822375099507553</v>
      </c>
      <c r="BK32">
        <f t="shared" si="6"/>
        <v>1.5080655460922667</v>
      </c>
      <c r="BL32" cm="1">
        <f t="array" ref="BL32">AG32/$BI32*INDEX('GHG Emission'!$C$2:$C$1121,MATCH(1,('GHG Emission'!$D$2:$D$1121=$D32)*('GHG Emission'!$E$2:$E$1121=$C32)*('GHG Emission'!$F$2:$F$1121=$B32)*('GHG Emission'!$I$2:$I$1121=$E32)*('GHG Emission'!$J$2:$J$1121=$F32)*('GHG Emission'!$K$2:$K$1121=AG$1),0))+AH32/$BI32*INDEX('GHG Emission'!$C$2:$C$1121,MATCH(1,('GHG Emission'!$D$2:$D$1121=$D32)*('GHG Emission'!$E$2:$E$1121=$C32)*('GHG Emission'!$F$2:$F$1121=$B32)*('GHG Emission'!$I$2:$I$1121=$E32)*('GHG Emission'!$J$2:$J$1121=$F32)*('GHG Emission'!$K$2:$K$1121=AH$1),0))+AI32/$BI32*INDEX('GHG Emission'!$C$2:$C$1121,MATCH(1,('GHG Emission'!$D$2:$D$1121=$D32)*('GHG Emission'!$E$2:$E$1121=$C32)*('GHG Emission'!$F$2:$F$1121=$B32)*('GHG Emission'!$I$2:$I$1121=$E32)*('GHG Emission'!$J$2:$J$1121=$F32)*('GHG Emission'!$K$2:$K$1121=AI$1),0))+AJ32/$BI32*INDEX('GHG Emission'!$C$2:$C$1121,MATCH(1,('GHG Emission'!$D$2:$D$1121=$D32)*('GHG Emission'!$E$2:$E$1121=$C32)*('GHG Emission'!$F$2:$F$1121=$B32)*('GHG Emission'!$I$2:$I$1121=$E32)*('GHG Emission'!$J$2:$J$1121=$F32)*('GHG Emission'!$K$2:$K$1121=AJ$1),0))+AK32/$BI32*INDEX('GHG Emission'!$C$2:$C$1121,MATCH(1,('GHG Emission'!$D$2:$D$1121=$D32)*('GHG Emission'!$E$2:$E$1121=$C32)*('GHG Emission'!$F$2:$F$1121=$B32)*('GHG Emission'!$I$2:$I$1121=$E32)*('GHG Emission'!$J$2:$J$1121=$F32)*('GHG Emission'!$K$2:$K$1121=AK$1),0))+AL32/$BI32*INDEX('GHG Emission'!$C$2:$C$1121,MATCH(1,('GHG Emission'!$D$2:$D$1121=$D32)*('GHG Emission'!$E$2:$E$1121=$C32)*('GHG Emission'!$F$2:$F$1121=$B32)*('GHG Emission'!$I$2:$I$1121=$E32)*('GHG Emission'!$J$2:$J$1121=$F32)*('GHG Emission'!$K$2:$K$1121=AL$1),0))+AM32/$BI32*INDEX('GHG Emission'!$C$2:$C$1121,MATCH(1,('GHG Emission'!$D$2:$D$1121=$D32)*('GHG Emission'!$E$2:$E$1121=$C32)*('GHG Emission'!$F$2:$F$1121=$B32)*('GHG Emission'!$I$2:$I$1121=$E32)*('GHG Emission'!$J$2:$J$1121=$F32)*('GHG Emission'!$K$2:$K$1121=AM$1),0))</f>
        <v>31.952411044147386</v>
      </c>
      <c r="BM32" t="str">
        <f t="shared" si="7"/>
        <v>LIGHT/SWEET</v>
      </c>
    </row>
    <row r="33" spans="1:65" hidden="1" x14ac:dyDescent="0.25">
      <c r="A33">
        <v>32</v>
      </c>
      <c r="B33" t="s">
        <v>465</v>
      </c>
      <c r="C33">
        <v>2050</v>
      </c>
      <c r="D33">
        <v>4</v>
      </c>
      <c r="E33" t="s">
        <v>469</v>
      </c>
      <c r="F33" t="s">
        <v>468</v>
      </c>
      <c r="G33">
        <v>316.52366436777658</v>
      </c>
      <c r="H33">
        <v>19.459955188057229</v>
      </c>
      <c r="I33">
        <v>179.05965176001402</v>
      </c>
      <c r="J33">
        <v>43.256593917224599</v>
      </c>
      <c r="K33">
        <v>5.489384803663925</v>
      </c>
      <c r="L33">
        <v>2.5634089998782152</v>
      </c>
      <c r="M33">
        <v>0</v>
      </c>
      <c r="N33">
        <v>0</v>
      </c>
      <c r="O33">
        <v>0</v>
      </c>
      <c r="P33">
        <v>187.83978707366825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f t="shared" si="0"/>
        <v>754.19244611028284</v>
      </c>
      <c r="Y33">
        <f>X33*VLOOKUP($D33,'LinearReg Model'!$S$2:$T$6,2,FALSE)</f>
        <v>685.05381561458671</v>
      </c>
      <c r="Z33">
        <f t="shared" si="1"/>
        <v>0.41968554047476159</v>
      </c>
      <c r="AA33">
        <f t="shared" si="2"/>
        <v>0.23741904693358698</v>
      </c>
      <c r="AB33">
        <f t="shared" si="3"/>
        <v>2.5802373503501876E-2</v>
      </c>
      <c r="AC33">
        <v>33.609676323697812</v>
      </c>
      <c r="AD33">
        <v>3.7883857319296892</v>
      </c>
      <c r="AE33" s="2">
        <f>VLOOKUP($D33,'MultiReg Model'!$A$5:$F$9,2,FALSE)+AC33*VLOOKUP($D33,'MultiReg Model'!$A$5:$F$9,3,FALSE)+Z33*VLOOKUP($D33,'MultiReg Model'!$A$5:$F$9,4,FALSE)+AA33*VLOOKUP($D33,'MultiReg Model'!$A$5:$F$9,5,FALSE)+AB33*VLOOKUP($D33,'MultiReg Model'!$A$5:$F$9,6,FALSE)</f>
        <v>6.0732764980409826</v>
      </c>
      <c r="AF33" cm="1">
        <f t="array" ref="AF33">MMULT($AG33:$AM33,'Avg CI Index'!$C$2:$C$8)/BI33</f>
        <v>7.5813420441332493</v>
      </c>
      <c r="AG33">
        <v>67.579418148754712</v>
      </c>
      <c r="AH33">
        <v>392.1135694342791</v>
      </c>
      <c r="AI33">
        <v>0</v>
      </c>
      <c r="AJ33">
        <v>205.34948717743092</v>
      </c>
      <c r="AK33">
        <v>13.129103343605934</v>
      </c>
      <c r="AL33">
        <v>0</v>
      </c>
      <c r="AM33">
        <v>5.6521976483622757E-10</v>
      </c>
      <c r="AN33" cm="1">
        <f t="array" ref="AN33">$Y33*INDEX(RefCapacity!$D$2:$D$526,MATCH(1,(RefCapacity!$A$2:$A$526=RefCapacityProj!$D33)*(RefCapacity!$B$2:$B$526=2019)*(RefCapacity!$C$2:$C$526=AG$1),0))/SUMIFS(RefCapacity!$D$2:$D$526,RefCapacity!$A$2:$A$526,RefCapacityProj!$D33,RefCapacity!$B$2:$B$526,2019)</f>
        <v>14.929357549209975</v>
      </c>
      <c r="AO33" cm="1">
        <f t="array" ref="AO33">$Y33*INDEX(RefCapacity!$D$2:$D$526,MATCH(1,(RefCapacity!$A$2:$A$526=RefCapacityProj!$D33)*(RefCapacity!$B$2:$B$526=2019)*(RefCapacity!$C$2:$C$526=AH$1),0))/SUMIFS(RefCapacity!$D$2:$D$526,RefCapacity!$A$2:$A$526,RefCapacityProj!$D33,RefCapacity!$B$2:$B$526,2019)</f>
        <v>231.42255885868897</v>
      </c>
      <c r="AP33" cm="1">
        <f t="array" ref="AP33">$Y33*INDEX(RefCapacity!$D$2:$D$526,MATCH(1,(RefCapacity!$A$2:$A$526=RefCapacityProj!$D33)*(RefCapacity!$B$2:$B$526=2019)*(RefCapacity!$C$2:$C$526=AI$1),0))/SUMIFS(RefCapacity!$D$2:$D$526,RefCapacity!$A$2:$A$526,RefCapacityProj!$D33,RefCapacity!$B$2:$B$526,2019)</f>
        <v>0</v>
      </c>
      <c r="AQ33" cm="1">
        <f t="array" ref="AQ33">$Y33*INDEX(RefCapacity!$D$2:$D$526,MATCH(1,(RefCapacity!$A$2:$A$526=RefCapacityProj!$D33)*(RefCapacity!$B$2:$B$526=2019)*(RefCapacity!$C$2:$C$526=AJ$1),0))/SUMIFS(RefCapacity!$D$2:$D$526,RefCapacity!$A$2:$A$526,RefCapacityProj!$D33,RefCapacity!$B$2:$B$526,2019)</f>
        <v>72.649867309531345</v>
      </c>
      <c r="AR33" cm="1">
        <f t="array" ref="AR33">$Y33*INDEX(RefCapacity!$D$2:$D$526,MATCH(1,(RefCapacity!$A$2:$A$526=RefCapacityProj!$D33)*(RefCapacity!$B$2:$B$526=2019)*(RefCapacity!$C$2:$C$526=AK$1),0))/SUMIFS(RefCapacity!$D$2:$D$526,RefCapacity!$A$2:$A$526,RefCapacityProj!$D33,RefCapacity!$B$2:$B$526,2019)</f>
        <v>220.6572058287357</v>
      </c>
      <c r="AS33" cm="1">
        <f t="array" ref="AS33">$Y33*INDEX(RefCapacity!$D$2:$D$526,MATCH(1,(RefCapacity!$A$2:$A$526=RefCapacityProj!$D33)*(RefCapacity!$B$2:$B$526=2019)*(RefCapacity!$C$2:$C$526=AL$1),0))/SUMIFS(RefCapacity!$D$2:$D$526,RefCapacity!$A$2:$A$526,RefCapacityProj!$D33,RefCapacity!$B$2:$B$526,2019)</f>
        <v>0</v>
      </c>
      <c r="AT33" cm="1">
        <f t="array" ref="AT33">$Y33*INDEX(RefCapacity!$D$2:$D$526,MATCH(1,(RefCapacity!$A$2:$A$526=RefCapacityProj!$D33)*(RefCapacity!$B$2:$B$526=2019)*(RefCapacity!$C$2:$C$526=AM$1),0))/SUMIFS(RefCapacity!$D$2:$D$526,RefCapacity!$A$2:$A$526,RefCapacityProj!$D33,RefCapacity!$B$2:$B$526,2019)</f>
        <v>145.39482606842071</v>
      </c>
      <c r="AU33" cm="1">
        <f t="array" ref="AU33">INDEX(RefCapacity!$D$2:$D$526,MATCH(1,(RefCapacity!$A$2:$A$526=RefCapacityProj!$D33)*(RefCapacity!$B$2:$B$526=2019)*(RefCapacity!$C$2:$C$526=RefCapacityProj!AG$1),0))*IF($C33=2035,1+VLOOKUP(AG$1,RefCapacity!$H$2:$L$8,2,FALSE),1+VLOOKUP(AG$1,RefCapacity!$H$2:$L$8,4,FALSE))</f>
        <v>67.579418148848575</v>
      </c>
      <c r="AV33" cm="1">
        <f t="array" ref="AV33">INDEX(RefCapacity!$D$2:$D$526,MATCH(1,(RefCapacity!$A$2:$A$526=RefCapacityProj!$D33)*(RefCapacity!$B$2:$B$526=2019)*(RefCapacity!$C$2:$C$526=RefCapacityProj!AH$1),0))*IF($C33=2035,1+VLOOKUP(AH$1,RefCapacity!$H$2:$L$8,2,FALSE),1+VLOOKUP(AH$1,RefCapacity!$H$2:$L$8,4,FALSE))</f>
        <v>392.11356943453399</v>
      </c>
      <c r="AW33" cm="1">
        <f t="array" ref="AW33">INDEX(RefCapacity!$D$2:$D$526,MATCH(1,(RefCapacity!$A$2:$A$526=RefCapacityProj!$D33)*(RefCapacity!$B$2:$B$526=2019)*(RefCapacity!$C$2:$C$526=RefCapacityProj!AI$1),0))*IF($C33=2035,1+VLOOKUP(AI$1,RefCapacity!$H$2:$L$8,2,FALSE),1+VLOOKUP(AI$1,RefCapacity!$H$2:$L$8,4,FALSE))</f>
        <v>0</v>
      </c>
      <c r="AX33" cm="1">
        <f t="array" ref="AX33">INDEX(RefCapacity!$D$2:$D$526,MATCH(1,(RefCapacity!$A$2:$A$526=RefCapacityProj!$D33)*(RefCapacity!$B$2:$B$526=2019)*(RefCapacity!$C$2:$C$526=RefCapacityProj!AJ$1),0))*IF($C33=2035,1+VLOOKUP(AJ$1,RefCapacity!$H$2:$L$8,2,FALSE),1+VLOOKUP(AJ$1,RefCapacity!$H$2:$L$8,4,FALSE))</f>
        <v>205.34948717948717</v>
      </c>
      <c r="AY33" cm="1">
        <f t="array" ref="AY33">INDEX(RefCapacity!$D$2:$D$526,MATCH(1,(RefCapacity!$A$2:$A$526=RefCapacityProj!$D33)*(RefCapacity!$B$2:$B$526=2019)*(RefCapacity!$C$2:$C$526=RefCapacityProj!AK$1),0))*IF($C33=2035,1+VLOOKUP(AK$1,RefCapacity!$H$2:$L$8,2,FALSE),1+VLOOKUP(AK$1,RefCapacity!$H$2:$L$8,4,FALSE))</f>
        <v>326.97872076761655</v>
      </c>
      <c r="AZ33" cm="1">
        <f t="array" ref="AZ33">INDEX(RefCapacity!$D$2:$D$526,MATCH(1,(RefCapacity!$A$2:$A$526=RefCapacityProj!$D33)*(RefCapacity!$B$2:$B$526=2019)*(RefCapacity!$C$2:$C$526=RefCapacityProj!AL$1),0))*IF($C33=2035,1+VLOOKUP(AL$1,RefCapacity!$H$2:$L$8,2,FALSE),1+VLOOKUP(AL$1,RefCapacity!$H$2:$L$8,4,FALSE))</f>
        <v>0</v>
      </c>
      <c r="BA33" cm="1">
        <f t="array" ref="BA33">INDEX(RefCapacity!$D$2:$D$526,MATCH(1,(RefCapacity!$A$2:$A$526=RefCapacityProj!$D33)*(RefCapacity!$B$2:$B$526=2019)*(RefCapacity!$C$2:$C$526=RefCapacityProj!AM$1),0))*IF($C33=2035,1+VLOOKUP(AM$1,RefCapacity!$H$2:$L$8,2,FALSE),1+VLOOKUP(AM$1,RefCapacity!$H$2:$L$8,4,FALSE))</f>
        <v>156.70550927880672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f t="shared" si="4"/>
        <v>678.17157810463596</v>
      </c>
      <c r="BJ33">
        <f t="shared" si="5"/>
        <v>6.8822375099507553</v>
      </c>
      <c r="BK33">
        <f t="shared" si="6"/>
        <v>1.5080655460922667</v>
      </c>
      <c r="BL33" cm="1">
        <f t="array" ref="BL33">AG33/$BI33*INDEX('GHG Emission'!$C$2:$C$1121,MATCH(1,('GHG Emission'!$D$2:$D$1121=$D33)*('GHG Emission'!$E$2:$E$1121=$C33)*('GHG Emission'!$F$2:$F$1121=$B33)*('GHG Emission'!$I$2:$I$1121=$E33)*('GHG Emission'!$J$2:$J$1121=$F33)*('GHG Emission'!$K$2:$K$1121=AG$1),0))+AH33/$BI33*INDEX('GHG Emission'!$C$2:$C$1121,MATCH(1,('GHG Emission'!$D$2:$D$1121=$D33)*('GHG Emission'!$E$2:$E$1121=$C33)*('GHG Emission'!$F$2:$F$1121=$B33)*('GHG Emission'!$I$2:$I$1121=$E33)*('GHG Emission'!$J$2:$J$1121=$F33)*('GHG Emission'!$K$2:$K$1121=AH$1),0))+AI33/$BI33*INDEX('GHG Emission'!$C$2:$C$1121,MATCH(1,('GHG Emission'!$D$2:$D$1121=$D33)*('GHG Emission'!$E$2:$E$1121=$C33)*('GHG Emission'!$F$2:$F$1121=$B33)*('GHG Emission'!$I$2:$I$1121=$E33)*('GHG Emission'!$J$2:$J$1121=$F33)*('GHG Emission'!$K$2:$K$1121=AI$1),0))+AJ33/$BI33*INDEX('GHG Emission'!$C$2:$C$1121,MATCH(1,('GHG Emission'!$D$2:$D$1121=$D33)*('GHG Emission'!$E$2:$E$1121=$C33)*('GHG Emission'!$F$2:$F$1121=$B33)*('GHG Emission'!$I$2:$I$1121=$E33)*('GHG Emission'!$J$2:$J$1121=$F33)*('GHG Emission'!$K$2:$K$1121=AJ$1),0))+AK33/$BI33*INDEX('GHG Emission'!$C$2:$C$1121,MATCH(1,('GHG Emission'!$D$2:$D$1121=$D33)*('GHG Emission'!$E$2:$E$1121=$C33)*('GHG Emission'!$F$2:$F$1121=$B33)*('GHG Emission'!$I$2:$I$1121=$E33)*('GHG Emission'!$J$2:$J$1121=$F33)*('GHG Emission'!$K$2:$K$1121=AK$1),0))+AL33/$BI33*INDEX('GHG Emission'!$C$2:$C$1121,MATCH(1,('GHG Emission'!$D$2:$D$1121=$D33)*('GHG Emission'!$E$2:$E$1121=$C33)*('GHG Emission'!$F$2:$F$1121=$B33)*('GHG Emission'!$I$2:$I$1121=$E33)*('GHG Emission'!$J$2:$J$1121=$F33)*('GHG Emission'!$K$2:$K$1121=AL$1),0))+AM33/$BI33*INDEX('GHG Emission'!$C$2:$C$1121,MATCH(1,('GHG Emission'!$D$2:$D$1121=$D33)*('GHG Emission'!$E$2:$E$1121=$C33)*('GHG Emission'!$F$2:$F$1121=$B33)*('GHG Emission'!$I$2:$I$1121=$E33)*('GHG Emission'!$J$2:$J$1121=$F33)*('GHG Emission'!$K$2:$K$1121=AM$1),0))</f>
        <v>33.979944678431131</v>
      </c>
      <c r="BM33" t="str">
        <f t="shared" si="7"/>
        <v>LIGHT/SOUR</v>
      </c>
    </row>
    <row r="34" spans="1:65" hidden="1" x14ac:dyDescent="0.25">
      <c r="A34">
        <v>33</v>
      </c>
      <c r="B34" t="s">
        <v>465</v>
      </c>
      <c r="C34">
        <v>2035</v>
      </c>
      <c r="D34">
        <v>5</v>
      </c>
      <c r="E34" t="s">
        <v>466</v>
      </c>
      <c r="F34" t="s">
        <v>467</v>
      </c>
      <c r="G34">
        <v>1507.34833458495</v>
      </c>
      <c r="H34">
        <v>254.15197548338458</v>
      </c>
      <c r="I34">
        <v>811.16918397342829</v>
      </c>
      <c r="J34">
        <v>426.09643625044845</v>
      </c>
      <c r="K34">
        <v>353.7995949044448</v>
      </c>
      <c r="L34">
        <v>26.363897406863835</v>
      </c>
      <c r="M34">
        <v>0</v>
      </c>
      <c r="N34">
        <v>0</v>
      </c>
      <c r="O34">
        <v>0</v>
      </c>
      <c r="P34">
        <v>58.232075223202372</v>
      </c>
      <c r="Q34">
        <v>0</v>
      </c>
      <c r="R34">
        <v>0</v>
      </c>
      <c r="S34">
        <v>0</v>
      </c>
      <c r="T34">
        <v>25.261154693326308</v>
      </c>
      <c r="U34">
        <v>0</v>
      </c>
      <c r="V34">
        <v>0</v>
      </c>
      <c r="W34">
        <v>0</v>
      </c>
      <c r="X34">
        <f t="shared" si="0"/>
        <v>3462.4226525200484</v>
      </c>
      <c r="Y34">
        <f>X34*VLOOKUP($D34,'LinearReg Model'!$S$2:$T$6,2,FALSE)</f>
        <v>2761.5962662460593</v>
      </c>
      <c r="Z34">
        <f t="shared" si="1"/>
        <v>0.4353449840931059</v>
      </c>
      <c r="AA34">
        <f t="shared" si="2"/>
        <v>0.2342779219582094</v>
      </c>
      <c r="AB34">
        <f t="shared" si="3"/>
        <v>7.3402932278763142E-2</v>
      </c>
      <c r="AC34">
        <v>28.769370330956527</v>
      </c>
      <c r="AD34">
        <v>1.439026873673878</v>
      </c>
      <c r="AE34" s="2">
        <f>VLOOKUP($D34,'MultiReg Model'!$A$5:$F$9,2,FALSE)+AC34*VLOOKUP($D34,'MultiReg Model'!$A$5:$F$9,3,FALSE)+Z34*VLOOKUP($D34,'MultiReg Model'!$A$5:$F$9,4,FALSE)+AA34*VLOOKUP($D34,'MultiReg Model'!$A$5:$F$9,5,FALSE)+AB34*VLOOKUP($D34,'MultiReg Model'!$A$5:$F$9,6,FALSE)</f>
        <v>7.4558263965767555</v>
      </c>
      <c r="AF34" cm="1">
        <f t="array" ref="AF34">MMULT($AG34:$AM34,'Avg CI Index'!$C$2:$C$8)/BI34</f>
        <v>8.029495193630785</v>
      </c>
      <c r="AG34">
        <v>539.89181304250531</v>
      </c>
      <c r="AH34">
        <v>301.95121010662348</v>
      </c>
      <c r="AI34">
        <v>252.01742846855842</v>
      </c>
      <c r="AJ34">
        <v>492.06309040250432</v>
      </c>
      <c r="AK34">
        <v>278.37419353373269</v>
      </c>
      <c r="AL34">
        <v>505.88851672020553</v>
      </c>
      <c r="AM34">
        <v>363.79353643404363</v>
      </c>
      <c r="AN34" cm="1">
        <f t="array" ref="AN34">$Y34*INDEX(RefCapacity!$D$2:$D$526,MATCH(1,(RefCapacity!$A$2:$A$526=RefCapacityProj!$D34)*(RefCapacity!$B$2:$B$526=2019)*(RefCapacity!$C$2:$C$526=AG$1),0))/SUMIFS(RefCapacity!$D$2:$D$526,RefCapacity!$A$2:$A$526,RefCapacityProj!$D34,RefCapacity!$B$2:$B$526,2019)</f>
        <v>187.46668628192256</v>
      </c>
      <c r="AO34" cm="1">
        <f t="array" ref="AO34">$Y34*INDEX(RefCapacity!$D$2:$D$526,MATCH(1,(RefCapacity!$A$2:$A$526=RefCapacityProj!$D34)*(RefCapacity!$B$2:$B$526=2019)*(RefCapacity!$C$2:$C$526=AH$1),0))/SUMIFS(RefCapacity!$D$2:$D$526,RefCapacity!$A$2:$A$526,RefCapacityProj!$D34,RefCapacity!$B$2:$B$526,2019)</f>
        <v>215.09815713740892</v>
      </c>
      <c r="AP34" cm="1">
        <f t="array" ref="AP34">$Y34*INDEX(RefCapacity!$D$2:$D$526,MATCH(1,(RefCapacity!$A$2:$A$526=RefCapacityProj!$D34)*(RefCapacity!$B$2:$B$526=2019)*(RefCapacity!$C$2:$C$526=AI$1),0))/SUMIFS(RefCapacity!$D$2:$D$526,RefCapacity!$A$2:$A$526,RefCapacityProj!$D34,RefCapacity!$B$2:$B$526,2019)</f>
        <v>234.06328483144384</v>
      </c>
      <c r="AQ34" cm="1">
        <f t="array" ref="AQ34">$Y34*INDEX(RefCapacity!$D$2:$D$526,MATCH(1,(RefCapacity!$A$2:$A$526=RefCapacityProj!$D34)*(RefCapacity!$B$2:$B$526=2019)*(RefCapacity!$C$2:$C$526=AJ$1),0))/SUMIFS(RefCapacity!$D$2:$D$526,RefCapacity!$A$2:$A$526,RefCapacityProj!$D34,RefCapacity!$B$2:$B$526,2019)</f>
        <v>246.78672492997362</v>
      </c>
      <c r="AR34" cm="1">
        <f t="array" ref="AR34">$Y34*INDEX(RefCapacity!$D$2:$D$526,MATCH(1,(RefCapacity!$A$2:$A$526=RefCapacityProj!$D34)*(RefCapacity!$B$2:$B$526=2019)*(RefCapacity!$C$2:$C$526=AK$1),0))/SUMIFS(RefCapacity!$D$2:$D$526,RefCapacity!$A$2:$A$526,RefCapacityProj!$D34,RefCapacity!$B$2:$B$526,2019)</f>
        <v>215.29020906342447</v>
      </c>
      <c r="AS34" cm="1">
        <f t="array" ref="AS34">$Y34*INDEX(RefCapacity!$D$2:$D$526,MATCH(1,(RefCapacity!$A$2:$A$526=RefCapacityProj!$D34)*(RefCapacity!$B$2:$B$526=2019)*(RefCapacity!$C$2:$C$526=AL$1),0))/SUMIFS(RefCapacity!$D$2:$D$526,RefCapacity!$A$2:$A$526,RefCapacityProj!$D34,RefCapacity!$B$2:$B$526,2019)</f>
        <v>344.20506440135813</v>
      </c>
      <c r="AT34" cm="1">
        <f t="array" ref="AT34">$Y34*INDEX(RefCapacity!$D$2:$D$526,MATCH(1,(RefCapacity!$A$2:$A$526=RefCapacityProj!$D34)*(RefCapacity!$B$2:$B$526=2019)*(RefCapacity!$C$2:$C$526=AM$1),0))/SUMIFS(RefCapacity!$D$2:$D$526,RefCapacity!$A$2:$A$526,RefCapacityProj!$D34,RefCapacity!$B$2:$B$526,2019)</f>
        <v>1318.6861396005274</v>
      </c>
      <c r="AU34" cm="1">
        <f t="array" ref="AU34">INDEX(RefCapacity!$D$2:$D$526,MATCH(1,(RefCapacity!$A$2:$A$526=RefCapacityProj!$D34)*(RefCapacity!$B$2:$B$526=2019)*(RefCapacity!$C$2:$C$526=RefCapacityProj!AG$1),0))*IF($C34=2035,1+VLOOKUP(AG$1,RefCapacity!$H$2:$L$8,2,FALSE),1+VLOOKUP(AG$1,RefCapacity!$H$2:$L$8,4,FALSE))</f>
        <v>539.89181304421595</v>
      </c>
      <c r="AV34" cm="1">
        <f t="array" ref="AV34">INDEX(RefCapacity!$D$2:$D$526,MATCH(1,(RefCapacity!$A$2:$A$526=RefCapacityProj!$D34)*(RefCapacity!$B$2:$B$526=2019)*(RefCapacity!$C$2:$C$526=RefCapacityProj!AH$1),0))*IF($C34=2035,1+VLOOKUP(AH$1,RefCapacity!$H$2:$L$8,2,FALSE),1+VLOOKUP(AH$1,RefCapacity!$H$2:$L$8,4,FALSE))</f>
        <v>301.95121010669465</v>
      </c>
      <c r="AW34" cm="1">
        <f t="array" ref="AW34">INDEX(RefCapacity!$D$2:$D$526,MATCH(1,(RefCapacity!$A$2:$A$526=RefCapacityProj!$D34)*(RefCapacity!$B$2:$B$526=2019)*(RefCapacity!$C$2:$C$526=RefCapacityProj!AI$1),0))*IF($C34=2035,1+VLOOKUP(AI$1,RefCapacity!$H$2:$L$8,2,FALSE),1+VLOOKUP(AI$1,RefCapacity!$H$2:$L$8,4,FALSE))</f>
        <v>252.01742847049914</v>
      </c>
      <c r="AX34" cm="1">
        <f t="array" ref="AX34">INDEX(RefCapacity!$D$2:$D$526,MATCH(1,(RefCapacity!$A$2:$A$526=RefCapacityProj!$D34)*(RefCapacity!$B$2:$B$526=2019)*(RefCapacity!$C$2:$C$526=RefCapacityProj!AJ$1),0))*IF($C34=2035,1+VLOOKUP(AJ$1,RefCapacity!$H$2:$L$8,2,FALSE),1+VLOOKUP(AJ$1,RefCapacity!$H$2:$L$8,4,FALSE))</f>
        <v>492.06309041835357</v>
      </c>
      <c r="AY34" cm="1">
        <f t="array" ref="AY34">INDEX(RefCapacity!$D$2:$D$526,MATCH(1,(RefCapacity!$A$2:$A$526=RefCapacityProj!$D34)*(RefCapacity!$B$2:$B$526=2019)*(RefCapacity!$C$2:$C$526=RefCapacityProj!AK$1),0))*IF($C34=2035,1+VLOOKUP(AK$1,RefCapacity!$H$2:$L$8,2,FALSE),1+VLOOKUP(AK$1,RefCapacity!$H$2:$L$8,4,FALSE))</f>
        <v>278.3741935541737</v>
      </c>
      <c r="AZ34" cm="1">
        <f t="array" ref="AZ34">INDEX(RefCapacity!$D$2:$D$526,MATCH(1,(RefCapacity!$A$2:$A$526=RefCapacityProj!$D34)*(RefCapacity!$B$2:$B$526=2019)*(RefCapacity!$C$2:$C$526=RefCapacityProj!AL$1),0))*IF($C34=2035,1+VLOOKUP(AL$1,RefCapacity!$H$2:$L$8,2,FALSE),1+VLOOKUP(AL$1,RefCapacity!$H$2:$L$8,4,FALSE))</f>
        <v>505.88851674641143</v>
      </c>
      <c r="BA34" cm="1">
        <f t="array" ref="BA34">INDEX(RefCapacity!$D$2:$D$526,MATCH(1,(RefCapacity!$A$2:$A$526=RefCapacityProj!$D34)*(RefCapacity!$B$2:$B$526=2019)*(RefCapacity!$C$2:$C$526=RefCapacityProj!AM$1),0))*IF($C34=2035,1+VLOOKUP(AM$1,RefCapacity!$H$2:$L$8,2,FALSE),1+VLOOKUP(AM$1,RefCapacity!$H$2:$L$8,4,FALSE))</f>
        <v>1427.387315315184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f t="shared" si="4"/>
        <v>2733.9797887081736</v>
      </c>
      <c r="BJ34">
        <f t="shared" si="5"/>
        <v>27.616477537885658</v>
      </c>
      <c r="BK34">
        <f t="shared" si="6"/>
        <v>0.57366879705402951</v>
      </c>
      <c r="BL34" cm="1">
        <f t="array" ref="BL34">AG34/$BI34*INDEX('GHG Emission'!$C$2:$C$1121,MATCH(1,('GHG Emission'!$D$2:$D$1121=$D34)*('GHG Emission'!$E$2:$E$1121=$C34)*('GHG Emission'!$F$2:$F$1121=$B34)*('GHG Emission'!$I$2:$I$1121=$E34)*('GHG Emission'!$J$2:$J$1121=$F34)*('GHG Emission'!$K$2:$K$1121=AG$1),0))+AH34/$BI34*INDEX('GHG Emission'!$C$2:$C$1121,MATCH(1,('GHG Emission'!$D$2:$D$1121=$D34)*('GHG Emission'!$E$2:$E$1121=$C34)*('GHG Emission'!$F$2:$F$1121=$B34)*('GHG Emission'!$I$2:$I$1121=$E34)*('GHG Emission'!$J$2:$J$1121=$F34)*('GHG Emission'!$K$2:$K$1121=AH$1),0))+AI34/$BI34*INDEX('GHG Emission'!$C$2:$C$1121,MATCH(1,('GHG Emission'!$D$2:$D$1121=$D34)*('GHG Emission'!$E$2:$E$1121=$C34)*('GHG Emission'!$F$2:$F$1121=$B34)*('GHG Emission'!$I$2:$I$1121=$E34)*('GHG Emission'!$J$2:$J$1121=$F34)*('GHG Emission'!$K$2:$K$1121=AI$1),0))+AJ34/$BI34*INDEX('GHG Emission'!$C$2:$C$1121,MATCH(1,('GHG Emission'!$D$2:$D$1121=$D34)*('GHG Emission'!$E$2:$E$1121=$C34)*('GHG Emission'!$F$2:$F$1121=$B34)*('GHG Emission'!$I$2:$I$1121=$E34)*('GHG Emission'!$J$2:$J$1121=$F34)*('GHG Emission'!$K$2:$K$1121=AJ$1),0))+AK34/$BI34*INDEX('GHG Emission'!$C$2:$C$1121,MATCH(1,('GHG Emission'!$D$2:$D$1121=$D34)*('GHG Emission'!$E$2:$E$1121=$C34)*('GHG Emission'!$F$2:$F$1121=$B34)*('GHG Emission'!$I$2:$I$1121=$E34)*('GHG Emission'!$J$2:$J$1121=$F34)*('GHG Emission'!$K$2:$K$1121=AK$1),0))+AL34/$BI34*INDEX('GHG Emission'!$C$2:$C$1121,MATCH(1,('GHG Emission'!$D$2:$D$1121=$D34)*('GHG Emission'!$E$2:$E$1121=$C34)*('GHG Emission'!$F$2:$F$1121=$B34)*('GHG Emission'!$I$2:$I$1121=$E34)*('GHG Emission'!$J$2:$J$1121=$F34)*('GHG Emission'!$K$2:$K$1121=AL$1),0))+AM34/$BI34*INDEX('GHG Emission'!$C$2:$C$1121,MATCH(1,('GHG Emission'!$D$2:$D$1121=$D34)*('GHG Emission'!$E$2:$E$1121=$C34)*('GHG Emission'!$F$2:$F$1121=$B34)*('GHG Emission'!$I$2:$I$1121=$E34)*('GHG Emission'!$J$2:$J$1121=$F34)*('GHG Emission'!$K$2:$K$1121=AM$1),0))</f>
        <v>35.656780451362096</v>
      </c>
      <c r="BM34" t="str">
        <f t="shared" si="7"/>
        <v>HEAVY/SWEET</v>
      </c>
    </row>
    <row r="35" spans="1:65" x14ac:dyDescent="0.25">
      <c r="A35">
        <v>34</v>
      </c>
      <c r="B35" t="s">
        <v>465</v>
      </c>
      <c r="C35">
        <v>2035</v>
      </c>
      <c r="D35">
        <v>5</v>
      </c>
      <c r="E35" t="s">
        <v>466</v>
      </c>
      <c r="F35" t="s">
        <v>468</v>
      </c>
      <c r="G35">
        <v>1507.34833458495</v>
      </c>
      <c r="H35">
        <v>254.15197548338458</v>
      </c>
      <c r="I35">
        <v>811.16918397342829</v>
      </c>
      <c r="J35">
        <v>426.09643625044845</v>
      </c>
      <c r="K35">
        <v>353.7995949044448</v>
      </c>
      <c r="L35">
        <v>26.363897406863835</v>
      </c>
      <c r="M35">
        <v>0</v>
      </c>
      <c r="N35">
        <v>0</v>
      </c>
      <c r="O35">
        <v>0</v>
      </c>
      <c r="P35">
        <v>58.232075223202372</v>
      </c>
      <c r="Q35">
        <v>0</v>
      </c>
      <c r="R35">
        <v>0</v>
      </c>
      <c r="S35">
        <v>0</v>
      </c>
      <c r="T35">
        <v>25.261154693326308</v>
      </c>
      <c r="U35">
        <v>0</v>
      </c>
      <c r="V35">
        <v>0</v>
      </c>
      <c r="W35">
        <v>0</v>
      </c>
      <c r="X35">
        <f t="shared" si="0"/>
        <v>3462.4226525200484</v>
      </c>
      <c r="Y35">
        <f>X35*VLOOKUP($D35,'LinearReg Model'!$S$2:$T$6,2,FALSE)</f>
        <v>2761.5962662460593</v>
      </c>
      <c r="Z35">
        <f t="shared" si="1"/>
        <v>0.4353449840931059</v>
      </c>
      <c r="AA35">
        <f t="shared" si="2"/>
        <v>0.2342779219582094</v>
      </c>
      <c r="AB35">
        <f t="shared" si="3"/>
        <v>7.3402932278763142E-2</v>
      </c>
      <c r="AC35">
        <v>28.769370330956527</v>
      </c>
      <c r="AD35">
        <v>1.664030724437416</v>
      </c>
      <c r="AE35" s="2">
        <f>VLOOKUP($D35,'MultiReg Model'!$A$5:$F$9,2,FALSE)+AC35*VLOOKUP($D35,'MultiReg Model'!$A$5:$F$9,3,FALSE)+Z35*VLOOKUP($D35,'MultiReg Model'!$A$5:$F$9,4,FALSE)+AA35*VLOOKUP($D35,'MultiReg Model'!$A$5:$F$9,5,FALSE)+AB35*VLOOKUP($D35,'MultiReg Model'!$A$5:$F$9,6,FALSE)</f>
        <v>7.4558263965767555</v>
      </c>
      <c r="AF35" cm="1">
        <f t="array" ref="AF35">MMULT($AG35:$AM35,'Avg CI Index'!$C$2:$C$8)/BI35</f>
        <v>8.029495193630785</v>
      </c>
      <c r="AG35">
        <v>539.89181304250531</v>
      </c>
      <c r="AH35">
        <v>301.95121010662348</v>
      </c>
      <c r="AI35">
        <v>252.01742846855842</v>
      </c>
      <c r="AJ35">
        <v>492.06309040250432</v>
      </c>
      <c r="AK35">
        <v>278.37419353373269</v>
      </c>
      <c r="AL35">
        <v>505.88851672020553</v>
      </c>
      <c r="AM35">
        <v>363.79353643404363</v>
      </c>
      <c r="AN35" cm="1">
        <f t="array" ref="AN35">$Y35*INDEX(RefCapacity!$D$2:$D$526,MATCH(1,(RefCapacity!$A$2:$A$526=RefCapacityProj!$D35)*(RefCapacity!$B$2:$B$526=2019)*(RefCapacity!$C$2:$C$526=AG$1),0))/SUMIFS(RefCapacity!$D$2:$D$526,RefCapacity!$A$2:$A$526,RefCapacityProj!$D35,RefCapacity!$B$2:$B$526,2019)</f>
        <v>187.46668628192256</v>
      </c>
      <c r="AO35" cm="1">
        <f t="array" ref="AO35">$Y35*INDEX(RefCapacity!$D$2:$D$526,MATCH(1,(RefCapacity!$A$2:$A$526=RefCapacityProj!$D35)*(RefCapacity!$B$2:$B$526=2019)*(RefCapacity!$C$2:$C$526=AH$1),0))/SUMIFS(RefCapacity!$D$2:$D$526,RefCapacity!$A$2:$A$526,RefCapacityProj!$D35,RefCapacity!$B$2:$B$526,2019)</f>
        <v>215.09815713740892</v>
      </c>
      <c r="AP35" cm="1">
        <f t="array" ref="AP35">$Y35*INDEX(RefCapacity!$D$2:$D$526,MATCH(1,(RefCapacity!$A$2:$A$526=RefCapacityProj!$D35)*(RefCapacity!$B$2:$B$526=2019)*(RefCapacity!$C$2:$C$526=AI$1),0))/SUMIFS(RefCapacity!$D$2:$D$526,RefCapacity!$A$2:$A$526,RefCapacityProj!$D35,RefCapacity!$B$2:$B$526,2019)</f>
        <v>234.06328483144384</v>
      </c>
      <c r="AQ35" cm="1">
        <f t="array" ref="AQ35">$Y35*INDEX(RefCapacity!$D$2:$D$526,MATCH(1,(RefCapacity!$A$2:$A$526=RefCapacityProj!$D35)*(RefCapacity!$B$2:$B$526=2019)*(RefCapacity!$C$2:$C$526=AJ$1),0))/SUMIFS(RefCapacity!$D$2:$D$526,RefCapacity!$A$2:$A$526,RefCapacityProj!$D35,RefCapacity!$B$2:$B$526,2019)</f>
        <v>246.78672492997362</v>
      </c>
      <c r="AR35" cm="1">
        <f t="array" ref="AR35">$Y35*INDEX(RefCapacity!$D$2:$D$526,MATCH(1,(RefCapacity!$A$2:$A$526=RefCapacityProj!$D35)*(RefCapacity!$B$2:$B$526=2019)*(RefCapacity!$C$2:$C$526=AK$1),0))/SUMIFS(RefCapacity!$D$2:$D$526,RefCapacity!$A$2:$A$526,RefCapacityProj!$D35,RefCapacity!$B$2:$B$526,2019)</f>
        <v>215.29020906342447</v>
      </c>
      <c r="AS35" cm="1">
        <f t="array" ref="AS35">$Y35*INDEX(RefCapacity!$D$2:$D$526,MATCH(1,(RefCapacity!$A$2:$A$526=RefCapacityProj!$D35)*(RefCapacity!$B$2:$B$526=2019)*(RefCapacity!$C$2:$C$526=AL$1),0))/SUMIFS(RefCapacity!$D$2:$D$526,RefCapacity!$A$2:$A$526,RefCapacityProj!$D35,RefCapacity!$B$2:$B$526,2019)</f>
        <v>344.20506440135813</v>
      </c>
      <c r="AT35" cm="1">
        <f t="array" ref="AT35">$Y35*INDEX(RefCapacity!$D$2:$D$526,MATCH(1,(RefCapacity!$A$2:$A$526=RefCapacityProj!$D35)*(RefCapacity!$B$2:$B$526=2019)*(RefCapacity!$C$2:$C$526=AM$1),0))/SUMIFS(RefCapacity!$D$2:$D$526,RefCapacity!$A$2:$A$526,RefCapacityProj!$D35,RefCapacity!$B$2:$B$526,2019)</f>
        <v>1318.6861396005274</v>
      </c>
      <c r="AU35" cm="1">
        <f t="array" ref="AU35">INDEX(RefCapacity!$D$2:$D$526,MATCH(1,(RefCapacity!$A$2:$A$526=RefCapacityProj!$D35)*(RefCapacity!$B$2:$B$526=2019)*(RefCapacity!$C$2:$C$526=RefCapacityProj!AG$1),0))*IF($C35=2035,1+VLOOKUP(AG$1,RefCapacity!$H$2:$L$8,2,FALSE),1+VLOOKUP(AG$1,RefCapacity!$H$2:$L$8,4,FALSE))</f>
        <v>539.89181304421595</v>
      </c>
      <c r="AV35" cm="1">
        <f t="array" ref="AV35">INDEX(RefCapacity!$D$2:$D$526,MATCH(1,(RefCapacity!$A$2:$A$526=RefCapacityProj!$D35)*(RefCapacity!$B$2:$B$526=2019)*(RefCapacity!$C$2:$C$526=RefCapacityProj!AH$1),0))*IF($C35=2035,1+VLOOKUP(AH$1,RefCapacity!$H$2:$L$8,2,FALSE),1+VLOOKUP(AH$1,RefCapacity!$H$2:$L$8,4,FALSE))</f>
        <v>301.95121010669465</v>
      </c>
      <c r="AW35" cm="1">
        <f t="array" ref="AW35">INDEX(RefCapacity!$D$2:$D$526,MATCH(1,(RefCapacity!$A$2:$A$526=RefCapacityProj!$D35)*(RefCapacity!$B$2:$B$526=2019)*(RefCapacity!$C$2:$C$526=RefCapacityProj!AI$1),0))*IF($C35=2035,1+VLOOKUP(AI$1,RefCapacity!$H$2:$L$8,2,FALSE),1+VLOOKUP(AI$1,RefCapacity!$H$2:$L$8,4,FALSE))</f>
        <v>252.01742847049914</v>
      </c>
      <c r="AX35" cm="1">
        <f t="array" ref="AX35">INDEX(RefCapacity!$D$2:$D$526,MATCH(1,(RefCapacity!$A$2:$A$526=RefCapacityProj!$D35)*(RefCapacity!$B$2:$B$526=2019)*(RefCapacity!$C$2:$C$526=RefCapacityProj!AJ$1),0))*IF($C35=2035,1+VLOOKUP(AJ$1,RefCapacity!$H$2:$L$8,2,FALSE),1+VLOOKUP(AJ$1,RefCapacity!$H$2:$L$8,4,FALSE))</f>
        <v>492.06309041835357</v>
      </c>
      <c r="AY35" cm="1">
        <f t="array" ref="AY35">INDEX(RefCapacity!$D$2:$D$526,MATCH(1,(RefCapacity!$A$2:$A$526=RefCapacityProj!$D35)*(RefCapacity!$B$2:$B$526=2019)*(RefCapacity!$C$2:$C$526=RefCapacityProj!AK$1),0))*IF($C35=2035,1+VLOOKUP(AK$1,RefCapacity!$H$2:$L$8,2,FALSE),1+VLOOKUP(AK$1,RefCapacity!$H$2:$L$8,4,FALSE))</f>
        <v>278.3741935541737</v>
      </c>
      <c r="AZ35" cm="1">
        <f t="array" ref="AZ35">INDEX(RefCapacity!$D$2:$D$526,MATCH(1,(RefCapacity!$A$2:$A$526=RefCapacityProj!$D35)*(RefCapacity!$B$2:$B$526=2019)*(RefCapacity!$C$2:$C$526=RefCapacityProj!AL$1),0))*IF($C35=2035,1+VLOOKUP(AL$1,RefCapacity!$H$2:$L$8,2,FALSE),1+VLOOKUP(AL$1,RefCapacity!$H$2:$L$8,4,FALSE))</f>
        <v>505.88851674641143</v>
      </c>
      <c r="BA35" cm="1">
        <f t="array" ref="BA35">INDEX(RefCapacity!$D$2:$D$526,MATCH(1,(RefCapacity!$A$2:$A$526=RefCapacityProj!$D35)*(RefCapacity!$B$2:$B$526=2019)*(RefCapacity!$C$2:$C$526=RefCapacityProj!AM$1),0))*IF($C35=2035,1+VLOOKUP(AM$1,RefCapacity!$H$2:$L$8,2,FALSE),1+VLOOKUP(AM$1,RefCapacity!$H$2:$L$8,4,FALSE))</f>
        <v>1427.387315315184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f t="shared" si="4"/>
        <v>2733.9797887081736</v>
      </c>
      <c r="BJ35">
        <f t="shared" si="5"/>
        <v>27.616477537885658</v>
      </c>
      <c r="BK35">
        <f t="shared" si="6"/>
        <v>0.57366879705402951</v>
      </c>
      <c r="BL35" cm="1">
        <f t="array" ref="BL35">AG35/$BI35*INDEX('GHG Emission'!$C$2:$C$1121,MATCH(1,('GHG Emission'!$D$2:$D$1121=$D35)*('GHG Emission'!$E$2:$E$1121=$C35)*('GHG Emission'!$F$2:$F$1121=$B35)*('GHG Emission'!$I$2:$I$1121=$E35)*('GHG Emission'!$J$2:$J$1121=$F35)*('GHG Emission'!$K$2:$K$1121=AG$1),0))+AH35/$BI35*INDEX('GHG Emission'!$C$2:$C$1121,MATCH(1,('GHG Emission'!$D$2:$D$1121=$D35)*('GHG Emission'!$E$2:$E$1121=$C35)*('GHG Emission'!$F$2:$F$1121=$B35)*('GHG Emission'!$I$2:$I$1121=$E35)*('GHG Emission'!$J$2:$J$1121=$F35)*('GHG Emission'!$K$2:$K$1121=AH$1),0))+AI35/$BI35*INDEX('GHG Emission'!$C$2:$C$1121,MATCH(1,('GHG Emission'!$D$2:$D$1121=$D35)*('GHG Emission'!$E$2:$E$1121=$C35)*('GHG Emission'!$F$2:$F$1121=$B35)*('GHG Emission'!$I$2:$I$1121=$E35)*('GHG Emission'!$J$2:$J$1121=$F35)*('GHG Emission'!$K$2:$K$1121=AI$1),0))+AJ35/$BI35*INDEX('GHG Emission'!$C$2:$C$1121,MATCH(1,('GHG Emission'!$D$2:$D$1121=$D35)*('GHG Emission'!$E$2:$E$1121=$C35)*('GHG Emission'!$F$2:$F$1121=$B35)*('GHG Emission'!$I$2:$I$1121=$E35)*('GHG Emission'!$J$2:$J$1121=$F35)*('GHG Emission'!$K$2:$K$1121=AJ$1),0))+AK35/$BI35*INDEX('GHG Emission'!$C$2:$C$1121,MATCH(1,('GHG Emission'!$D$2:$D$1121=$D35)*('GHG Emission'!$E$2:$E$1121=$C35)*('GHG Emission'!$F$2:$F$1121=$B35)*('GHG Emission'!$I$2:$I$1121=$E35)*('GHG Emission'!$J$2:$J$1121=$F35)*('GHG Emission'!$K$2:$K$1121=AK$1),0))+AL35/$BI35*INDEX('GHG Emission'!$C$2:$C$1121,MATCH(1,('GHG Emission'!$D$2:$D$1121=$D35)*('GHG Emission'!$E$2:$E$1121=$C35)*('GHG Emission'!$F$2:$F$1121=$B35)*('GHG Emission'!$I$2:$I$1121=$E35)*('GHG Emission'!$J$2:$J$1121=$F35)*('GHG Emission'!$K$2:$K$1121=AL$1),0))+AM35/$BI35*INDEX('GHG Emission'!$C$2:$C$1121,MATCH(1,('GHG Emission'!$D$2:$D$1121=$D35)*('GHG Emission'!$E$2:$E$1121=$C35)*('GHG Emission'!$F$2:$F$1121=$B35)*('GHG Emission'!$I$2:$I$1121=$E35)*('GHG Emission'!$J$2:$J$1121=$F35)*('GHG Emission'!$K$2:$K$1121=AM$1),0))</f>
        <v>35.581576760450275</v>
      </c>
      <c r="BM35" t="str">
        <f t="shared" si="7"/>
        <v>HEAVY/SOUR</v>
      </c>
    </row>
    <row r="36" spans="1:65" hidden="1" x14ac:dyDescent="0.25">
      <c r="A36">
        <v>35</v>
      </c>
      <c r="B36" t="s">
        <v>465</v>
      </c>
      <c r="C36">
        <v>2035</v>
      </c>
      <c r="D36">
        <v>5</v>
      </c>
      <c r="E36" t="s">
        <v>469</v>
      </c>
      <c r="F36" t="s">
        <v>467</v>
      </c>
      <c r="G36">
        <v>1507.34833458495</v>
      </c>
      <c r="H36">
        <v>254.15197548338458</v>
      </c>
      <c r="I36">
        <v>811.16918397342829</v>
      </c>
      <c r="J36">
        <v>426.09643625044845</v>
      </c>
      <c r="K36">
        <v>353.7995949044448</v>
      </c>
      <c r="L36">
        <v>26.363897406863835</v>
      </c>
      <c r="M36">
        <v>0</v>
      </c>
      <c r="N36">
        <v>0</v>
      </c>
      <c r="O36">
        <v>0</v>
      </c>
      <c r="P36">
        <v>58.232075223202372</v>
      </c>
      <c r="Q36">
        <v>0</v>
      </c>
      <c r="R36">
        <v>0</v>
      </c>
      <c r="S36">
        <v>0</v>
      </c>
      <c r="T36">
        <v>25.261154693326308</v>
      </c>
      <c r="U36">
        <v>0</v>
      </c>
      <c r="V36">
        <v>0</v>
      </c>
      <c r="W36">
        <v>0</v>
      </c>
      <c r="X36">
        <f t="shared" si="0"/>
        <v>3462.4226525200484</v>
      </c>
      <c r="Y36">
        <f>X36*VLOOKUP($D36,'LinearReg Model'!$S$2:$T$6,2,FALSE)</f>
        <v>2761.5962662460593</v>
      </c>
      <c r="Z36">
        <f t="shared" si="1"/>
        <v>0.4353449840931059</v>
      </c>
      <c r="AA36">
        <f t="shared" si="2"/>
        <v>0.2342779219582094</v>
      </c>
      <c r="AB36">
        <f t="shared" si="3"/>
        <v>7.3402932278763142E-2</v>
      </c>
      <c r="AC36">
        <v>31.950804958677317</v>
      </c>
      <c r="AD36">
        <v>1.439026873673878</v>
      </c>
      <c r="AE36" s="2">
        <f>VLOOKUP($D36,'MultiReg Model'!$A$5:$F$9,2,FALSE)+AC36*VLOOKUP($D36,'MultiReg Model'!$A$5:$F$9,3,FALSE)+Z36*VLOOKUP($D36,'MultiReg Model'!$A$5:$F$9,4,FALSE)+AA36*VLOOKUP($D36,'MultiReg Model'!$A$5:$F$9,5,FALSE)+AB36*VLOOKUP($D36,'MultiReg Model'!$A$5:$F$9,6,FALSE)</f>
        <v>8.1174747533634335</v>
      </c>
      <c r="AF36" cm="1">
        <f t="array" ref="AF36">MMULT($AG36:$AM36,'Avg CI Index'!$C$2:$C$8)/BI36</f>
        <v>8.1274747533454885</v>
      </c>
      <c r="AG36">
        <v>539.89180844892269</v>
      </c>
      <c r="AH36">
        <v>301.95118830941209</v>
      </c>
      <c r="AI36">
        <v>252.0174178020404</v>
      </c>
      <c r="AJ36">
        <v>492.06308102903228</v>
      </c>
      <c r="AK36">
        <v>56.393176359510598</v>
      </c>
      <c r="AL36">
        <v>505.88849403224742</v>
      </c>
      <c r="AM36">
        <v>585.77514146880856</v>
      </c>
      <c r="AN36" cm="1">
        <f t="array" ref="AN36">$Y36*INDEX(RefCapacity!$D$2:$D$526,MATCH(1,(RefCapacity!$A$2:$A$526=RefCapacityProj!$D36)*(RefCapacity!$B$2:$B$526=2019)*(RefCapacity!$C$2:$C$526=AG$1),0))/SUMIFS(RefCapacity!$D$2:$D$526,RefCapacity!$A$2:$A$526,RefCapacityProj!$D36,RefCapacity!$B$2:$B$526,2019)</f>
        <v>187.46668628192256</v>
      </c>
      <c r="AO36" cm="1">
        <f t="array" ref="AO36">$Y36*INDEX(RefCapacity!$D$2:$D$526,MATCH(1,(RefCapacity!$A$2:$A$526=RefCapacityProj!$D36)*(RefCapacity!$B$2:$B$526=2019)*(RefCapacity!$C$2:$C$526=AH$1),0))/SUMIFS(RefCapacity!$D$2:$D$526,RefCapacity!$A$2:$A$526,RefCapacityProj!$D36,RefCapacity!$B$2:$B$526,2019)</f>
        <v>215.09815713740892</v>
      </c>
      <c r="AP36" cm="1">
        <f t="array" ref="AP36">$Y36*INDEX(RefCapacity!$D$2:$D$526,MATCH(1,(RefCapacity!$A$2:$A$526=RefCapacityProj!$D36)*(RefCapacity!$B$2:$B$526=2019)*(RefCapacity!$C$2:$C$526=AI$1),0))/SUMIFS(RefCapacity!$D$2:$D$526,RefCapacity!$A$2:$A$526,RefCapacityProj!$D36,RefCapacity!$B$2:$B$526,2019)</f>
        <v>234.06328483144384</v>
      </c>
      <c r="AQ36" cm="1">
        <f t="array" ref="AQ36">$Y36*INDEX(RefCapacity!$D$2:$D$526,MATCH(1,(RefCapacity!$A$2:$A$526=RefCapacityProj!$D36)*(RefCapacity!$B$2:$B$526=2019)*(RefCapacity!$C$2:$C$526=AJ$1),0))/SUMIFS(RefCapacity!$D$2:$D$526,RefCapacity!$A$2:$A$526,RefCapacityProj!$D36,RefCapacity!$B$2:$B$526,2019)</f>
        <v>246.78672492997362</v>
      </c>
      <c r="AR36" cm="1">
        <f t="array" ref="AR36">$Y36*INDEX(RefCapacity!$D$2:$D$526,MATCH(1,(RefCapacity!$A$2:$A$526=RefCapacityProj!$D36)*(RefCapacity!$B$2:$B$526=2019)*(RefCapacity!$C$2:$C$526=AK$1),0))/SUMIFS(RefCapacity!$D$2:$D$526,RefCapacity!$A$2:$A$526,RefCapacityProj!$D36,RefCapacity!$B$2:$B$526,2019)</f>
        <v>215.29020906342447</v>
      </c>
      <c r="AS36" cm="1">
        <f t="array" ref="AS36">$Y36*INDEX(RefCapacity!$D$2:$D$526,MATCH(1,(RefCapacity!$A$2:$A$526=RefCapacityProj!$D36)*(RefCapacity!$B$2:$B$526=2019)*(RefCapacity!$C$2:$C$526=AL$1),0))/SUMIFS(RefCapacity!$D$2:$D$526,RefCapacity!$A$2:$A$526,RefCapacityProj!$D36,RefCapacity!$B$2:$B$526,2019)</f>
        <v>344.20506440135813</v>
      </c>
      <c r="AT36" cm="1">
        <f t="array" ref="AT36">$Y36*INDEX(RefCapacity!$D$2:$D$526,MATCH(1,(RefCapacity!$A$2:$A$526=RefCapacityProj!$D36)*(RefCapacity!$B$2:$B$526=2019)*(RefCapacity!$C$2:$C$526=AM$1),0))/SUMIFS(RefCapacity!$D$2:$D$526,RefCapacity!$A$2:$A$526,RefCapacityProj!$D36,RefCapacity!$B$2:$B$526,2019)</f>
        <v>1318.6861396005274</v>
      </c>
      <c r="AU36" cm="1">
        <f t="array" ref="AU36">INDEX(RefCapacity!$D$2:$D$526,MATCH(1,(RefCapacity!$A$2:$A$526=RefCapacityProj!$D36)*(RefCapacity!$B$2:$B$526=2019)*(RefCapacity!$C$2:$C$526=RefCapacityProj!AG$1),0))*IF($C36=2035,1+VLOOKUP(AG$1,RefCapacity!$H$2:$L$8,2,FALSE),1+VLOOKUP(AG$1,RefCapacity!$H$2:$L$8,4,FALSE))</f>
        <v>539.89181304421595</v>
      </c>
      <c r="AV36" cm="1">
        <f t="array" ref="AV36">INDEX(RefCapacity!$D$2:$D$526,MATCH(1,(RefCapacity!$A$2:$A$526=RefCapacityProj!$D36)*(RefCapacity!$B$2:$B$526=2019)*(RefCapacity!$C$2:$C$526=RefCapacityProj!AH$1),0))*IF($C36=2035,1+VLOOKUP(AH$1,RefCapacity!$H$2:$L$8,2,FALSE),1+VLOOKUP(AH$1,RefCapacity!$H$2:$L$8,4,FALSE))</f>
        <v>301.95121010669465</v>
      </c>
      <c r="AW36" cm="1">
        <f t="array" ref="AW36">INDEX(RefCapacity!$D$2:$D$526,MATCH(1,(RefCapacity!$A$2:$A$526=RefCapacityProj!$D36)*(RefCapacity!$B$2:$B$526=2019)*(RefCapacity!$C$2:$C$526=RefCapacityProj!AI$1),0))*IF($C36=2035,1+VLOOKUP(AI$1,RefCapacity!$H$2:$L$8,2,FALSE),1+VLOOKUP(AI$1,RefCapacity!$H$2:$L$8,4,FALSE))</f>
        <v>252.01742847049914</v>
      </c>
      <c r="AX36" cm="1">
        <f t="array" ref="AX36">INDEX(RefCapacity!$D$2:$D$526,MATCH(1,(RefCapacity!$A$2:$A$526=RefCapacityProj!$D36)*(RefCapacity!$B$2:$B$526=2019)*(RefCapacity!$C$2:$C$526=RefCapacityProj!AJ$1),0))*IF($C36=2035,1+VLOOKUP(AJ$1,RefCapacity!$H$2:$L$8,2,FALSE),1+VLOOKUP(AJ$1,RefCapacity!$H$2:$L$8,4,FALSE))</f>
        <v>492.06309041835357</v>
      </c>
      <c r="AY36" cm="1">
        <f t="array" ref="AY36">INDEX(RefCapacity!$D$2:$D$526,MATCH(1,(RefCapacity!$A$2:$A$526=RefCapacityProj!$D36)*(RefCapacity!$B$2:$B$526=2019)*(RefCapacity!$C$2:$C$526=RefCapacityProj!AK$1),0))*IF($C36=2035,1+VLOOKUP(AK$1,RefCapacity!$H$2:$L$8,2,FALSE),1+VLOOKUP(AK$1,RefCapacity!$H$2:$L$8,4,FALSE))</f>
        <v>278.3741935541737</v>
      </c>
      <c r="AZ36" cm="1">
        <f t="array" ref="AZ36">INDEX(RefCapacity!$D$2:$D$526,MATCH(1,(RefCapacity!$A$2:$A$526=RefCapacityProj!$D36)*(RefCapacity!$B$2:$B$526=2019)*(RefCapacity!$C$2:$C$526=RefCapacityProj!AL$1),0))*IF($C36=2035,1+VLOOKUP(AL$1,RefCapacity!$H$2:$L$8,2,FALSE),1+VLOOKUP(AL$1,RefCapacity!$H$2:$L$8,4,FALSE))</f>
        <v>505.88851674641143</v>
      </c>
      <c r="BA36" cm="1">
        <f t="array" ref="BA36">INDEX(RefCapacity!$D$2:$D$526,MATCH(1,(RefCapacity!$A$2:$A$526=RefCapacityProj!$D36)*(RefCapacity!$B$2:$B$526=2019)*(RefCapacity!$C$2:$C$526=RefCapacityProj!AM$1),0))*IF($C36=2035,1+VLOOKUP(AM$1,RefCapacity!$H$2:$L$8,2,FALSE),1+VLOOKUP(AM$1,RefCapacity!$H$2:$L$8,4,FALSE))</f>
        <v>1427.387315315184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f t="shared" si="4"/>
        <v>2733.9803074499741</v>
      </c>
      <c r="BJ36">
        <f t="shared" si="5"/>
        <v>27.615958796085124</v>
      </c>
      <c r="BK36">
        <f t="shared" si="6"/>
        <v>9.99999998205503E-3</v>
      </c>
      <c r="BL36" cm="1">
        <f t="array" ref="BL36">AG36/$BI36*INDEX('GHG Emission'!$C$2:$C$1121,MATCH(1,('GHG Emission'!$D$2:$D$1121=$D36)*('GHG Emission'!$E$2:$E$1121=$C36)*('GHG Emission'!$F$2:$F$1121=$B36)*('GHG Emission'!$I$2:$I$1121=$E36)*('GHG Emission'!$J$2:$J$1121=$F36)*('GHG Emission'!$K$2:$K$1121=AG$1),0))+AH36/$BI36*INDEX('GHG Emission'!$C$2:$C$1121,MATCH(1,('GHG Emission'!$D$2:$D$1121=$D36)*('GHG Emission'!$E$2:$E$1121=$C36)*('GHG Emission'!$F$2:$F$1121=$B36)*('GHG Emission'!$I$2:$I$1121=$E36)*('GHG Emission'!$J$2:$J$1121=$F36)*('GHG Emission'!$K$2:$K$1121=AH$1),0))+AI36/$BI36*INDEX('GHG Emission'!$C$2:$C$1121,MATCH(1,('GHG Emission'!$D$2:$D$1121=$D36)*('GHG Emission'!$E$2:$E$1121=$C36)*('GHG Emission'!$F$2:$F$1121=$B36)*('GHG Emission'!$I$2:$I$1121=$E36)*('GHG Emission'!$J$2:$J$1121=$F36)*('GHG Emission'!$K$2:$K$1121=AI$1),0))+AJ36/$BI36*INDEX('GHG Emission'!$C$2:$C$1121,MATCH(1,('GHG Emission'!$D$2:$D$1121=$D36)*('GHG Emission'!$E$2:$E$1121=$C36)*('GHG Emission'!$F$2:$F$1121=$B36)*('GHG Emission'!$I$2:$I$1121=$E36)*('GHG Emission'!$J$2:$J$1121=$F36)*('GHG Emission'!$K$2:$K$1121=AJ$1),0))+AK36/$BI36*INDEX('GHG Emission'!$C$2:$C$1121,MATCH(1,('GHG Emission'!$D$2:$D$1121=$D36)*('GHG Emission'!$E$2:$E$1121=$C36)*('GHG Emission'!$F$2:$F$1121=$B36)*('GHG Emission'!$I$2:$I$1121=$E36)*('GHG Emission'!$J$2:$J$1121=$F36)*('GHG Emission'!$K$2:$K$1121=AK$1),0))+AL36/$BI36*INDEX('GHG Emission'!$C$2:$C$1121,MATCH(1,('GHG Emission'!$D$2:$D$1121=$D36)*('GHG Emission'!$E$2:$E$1121=$C36)*('GHG Emission'!$F$2:$F$1121=$B36)*('GHG Emission'!$I$2:$I$1121=$E36)*('GHG Emission'!$J$2:$J$1121=$F36)*('GHG Emission'!$K$2:$K$1121=AL$1),0))+AM36/$BI36*INDEX('GHG Emission'!$C$2:$C$1121,MATCH(1,('GHG Emission'!$D$2:$D$1121=$D36)*('GHG Emission'!$E$2:$E$1121=$C36)*('GHG Emission'!$F$2:$F$1121=$B36)*('GHG Emission'!$I$2:$I$1121=$E36)*('GHG Emission'!$J$2:$J$1121=$F36)*('GHG Emission'!$K$2:$K$1121=AM$1),0))</f>
        <v>35.596892401445103</v>
      </c>
      <c r="BM36" t="str">
        <f t="shared" si="7"/>
        <v>LIGHT/SWEET</v>
      </c>
    </row>
    <row r="37" spans="1:65" hidden="1" x14ac:dyDescent="0.25">
      <c r="A37">
        <v>36</v>
      </c>
      <c r="B37" t="s">
        <v>465</v>
      </c>
      <c r="C37">
        <v>2035</v>
      </c>
      <c r="D37">
        <v>5</v>
      </c>
      <c r="E37" t="s">
        <v>469</v>
      </c>
      <c r="F37" t="s">
        <v>468</v>
      </c>
      <c r="G37">
        <v>1507.34833458495</v>
      </c>
      <c r="H37">
        <v>254.15197548338458</v>
      </c>
      <c r="I37">
        <v>811.16918397342829</v>
      </c>
      <c r="J37">
        <v>426.09643625044845</v>
      </c>
      <c r="K37">
        <v>353.7995949044448</v>
      </c>
      <c r="L37">
        <v>26.363897406863835</v>
      </c>
      <c r="M37">
        <v>0</v>
      </c>
      <c r="N37">
        <v>0</v>
      </c>
      <c r="O37">
        <v>0</v>
      </c>
      <c r="P37">
        <v>58.232075223202372</v>
      </c>
      <c r="Q37">
        <v>0</v>
      </c>
      <c r="R37">
        <v>0</v>
      </c>
      <c r="S37">
        <v>0</v>
      </c>
      <c r="T37">
        <v>25.261154693326308</v>
      </c>
      <c r="U37">
        <v>0</v>
      </c>
      <c r="V37">
        <v>0</v>
      </c>
      <c r="W37">
        <v>0</v>
      </c>
      <c r="X37">
        <f t="shared" si="0"/>
        <v>3462.4226525200484</v>
      </c>
      <c r="Y37">
        <f>X37*VLOOKUP($D37,'LinearReg Model'!$S$2:$T$6,2,FALSE)</f>
        <v>2761.5962662460593</v>
      </c>
      <c r="Z37">
        <f t="shared" si="1"/>
        <v>0.4353449840931059</v>
      </c>
      <c r="AA37">
        <f t="shared" si="2"/>
        <v>0.2342779219582094</v>
      </c>
      <c r="AB37">
        <f t="shared" si="3"/>
        <v>7.3402932278763142E-2</v>
      </c>
      <c r="AC37">
        <v>31.950804958677317</v>
      </c>
      <c r="AD37">
        <v>1.664030724437416</v>
      </c>
      <c r="AE37" s="2">
        <f>VLOOKUP($D37,'MultiReg Model'!$A$5:$F$9,2,FALSE)+AC37*VLOOKUP($D37,'MultiReg Model'!$A$5:$F$9,3,FALSE)+Z37*VLOOKUP($D37,'MultiReg Model'!$A$5:$F$9,4,FALSE)+AA37*VLOOKUP($D37,'MultiReg Model'!$A$5:$F$9,5,FALSE)+AB37*VLOOKUP($D37,'MultiReg Model'!$A$5:$F$9,6,FALSE)</f>
        <v>8.1174747533634335</v>
      </c>
      <c r="AF37" cm="1">
        <f t="array" ref="AF37">MMULT($AG37:$AM37,'Avg CI Index'!$C$2:$C$8)/BI37</f>
        <v>8.1274747533454885</v>
      </c>
      <c r="AG37">
        <v>539.89180844892269</v>
      </c>
      <c r="AH37">
        <v>301.95118830941209</v>
      </c>
      <c r="AI37">
        <v>252.0174178020404</v>
      </c>
      <c r="AJ37">
        <v>492.06308102903228</v>
      </c>
      <c r="AK37">
        <v>56.393176359510598</v>
      </c>
      <c r="AL37">
        <v>505.88849403224742</v>
      </c>
      <c r="AM37">
        <v>585.77514146880856</v>
      </c>
      <c r="AN37" cm="1">
        <f t="array" ref="AN37">$Y37*INDEX(RefCapacity!$D$2:$D$526,MATCH(1,(RefCapacity!$A$2:$A$526=RefCapacityProj!$D37)*(RefCapacity!$B$2:$B$526=2019)*(RefCapacity!$C$2:$C$526=AG$1),0))/SUMIFS(RefCapacity!$D$2:$D$526,RefCapacity!$A$2:$A$526,RefCapacityProj!$D37,RefCapacity!$B$2:$B$526,2019)</f>
        <v>187.46668628192256</v>
      </c>
      <c r="AO37" cm="1">
        <f t="array" ref="AO37">$Y37*INDEX(RefCapacity!$D$2:$D$526,MATCH(1,(RefCapacity!$A$2:$A$526=RefCapacityProj!$D37)*(RefCapacity!$B$2:$B$526=2019)*(RefCapacity!$C$2:$C$526=AH$1),0))/SUMIFS(RefCapacity!$D$2:$D$526,RefCapacity!$A$2:$A$526,RefCapacityProj!$D37,RefCapacity!$B$2:$B$526,2019)</f>
        <v>215.09815713740892</v>
      </c>
      <c r="AP37" cm="1">
        <f t="array" ref="AP37">$Y37*INDEX(RefCapacity!$D$2:$D$526,MATCH(1,(RefCapacity!$A$2:$A$526=RefCapacityProj!$D37)*(RefCapacity!$B$2:$B$526=2019)*(RefCapacity!$C$2:$C$526=AI$1),0))/SUMIFS(RefCapacity!$D$2:$D$526,RefCapacity!$A$2:$A$526,RefCapacityProj!$D37,RefCapacity!$B$2:$B$526,2019)</f>
        <v>234.06328483144384</v>
      </c>
      <c r="AQ37" cm="1">
        <f t="array" ref="AQ37">$Y37*INDEX(RefCapacity!$D$2:$D$526,MATCH(1,(RefCapacity!$A$2:$A$526=RefCapacityProj!$D37)*(RefCapacity!$B$2:$B$526=2019)*(RefCapacity!$C$2:$C$526=AJ$1),0))/SUMIFS(RefCapacity!$D$2:$D$526,RefCapacity!$A$2:$A$526,RefCapacityProj!$D37,RefCapacity!$B$2:$B$526,2019)</f>
        <v>246.78672492997362</v>
      </c>
      <c r="AR37" cm="1">
        <f t="array" ref="AR37">$Y37*INDEX(RefCapacity!$D$2:$D$526,MATCH(1,(RefCapacity!$A$2:$A$526=RefCapacityProj!$D37)*(RefCapacity!$B$2:$B$526=2019)*(RefCapacity!$C$2:$C$526=AK$1),0))/SUMIFS(RefCapacity!$D$2:$D$526,RefCapacity!$A$2:$A$526,RefCapacityProj!$D37,RefCapacity!$B$2:$B$526,2019)</f>
        <v>215.29020906342447</v>
      </c>
      <c r="AS37" cm="1">
        <f t="array" ref="AS37">$Y37*INDEX(RefCapacity!$D$2:$D$526,MATCH(1,(RefCapacity!$A$2:$A$526=RefCapacityProj!$D37)*(RefCapacity!$B$2:$B$526=2019)*(RefCapacity!$C$2:$C$526=AL$1),0))/SUMIFS(RefCapacity!$D$2:$D$526,RefCapacity!$A$2:$A$526,RefCapacityProj!$D37,RefCapacity!$B$2:$B$526,2019)</f>
        <v>344.20506440135813</v>
      </c>
      <c r="AT37" cm="1">
        <f t="array" ref="AT37">$Y37*INDEX(RefCapacity!$D$2:$D$526,MATCH(1,(RefCapacity!$A$2:$A$526=RefCapacityProj!$D37)*(RefCapacity!$B$2:$B$526=2019)*(RefCapacity!$C$2:$C$526=AM$1),0))/SUMIFS(RefCapacity!$D$2:$D$526,RefCapacity!$A$2:$A$526,RefCapacityProj!$D37,RefCapacity!$B$2:$B$526,2019)</f>
        <v>1318.6861396005274</v>
      </c>
      <c r="AU37" cm="1">
        <f t="array" ref="AU37">INDEX(RefCapacity!$D$2:$D$526,MATCH(1,(RefCapacity!$A$2:$A$526=RefCapacityProj!$D37)*(RefCapacity!$B$2:$B$526=2019)*(RefCapacity!$C$2:$C$526=RefCapacityProj!AG$1),0))*IF($C37=2035,1+VLOOKUP(AG$1,RefCapacity!$H$2:$L$8,2,FALSE),1+VLOOKUP(AG$1,RefCapacity!$H$2:$L$8,4,FALSE))</f>
        <v>539.89181304421595</v>
      </c>
      <c r="AV37" cm="1">
        <f t="array" ref="AV37">INDEX(RefCapacity!$D$2:$D$526,MATCH(1,(RefCapacity!$A$2:$A$526=RefCapacityProj!$D37)*(RefCapacity!$B$2:$B$526=2019)*(RefCapacity!$C$2:$C$526=RefCapacityProj!AH$1),0))*IF($C37=2035,1+VLOOKUP(AH$1,RefCapacity!$H$2:$L$8,2,FALSE),1+VLOOKUP(AH$1,RefCapacity!$H$2:$L$8,4,FALSE))</f>
        <v>301.95121010669465</v>
      </c>
      <c r="AW37" cm="1">
        <f t="array" ref="AW37">INDEX(RefCapacity!$D$2:$D$526,MATCH(1,(RefCapacity!$A$2:$A$526=RefCapacityProj!$D37)*(RefCapacity!$B$2:$B$526=2019)*(RefCapacity!$C$2:$C$526=RefCapacityProj!AI$1),0))*IF($C37=2035,1+VLOOKUP(AI$1,RefCapacity!$H$2:$L$8,2,FALSE),1+VLOOKUP(AI$1,RefCapacity!$H$2:$L$8,4,FALSE))</f>
        <v>252.01742847049914</v>
      </c>
      <c r="AX37" cm="1">
        <f t="array" ref="AX37">INDEX(RefCapacity!$D$2:$D$526,MATCH(1,(RefCapacity!$A$2:$A$526=RefCapacityProj!$D37)*(RefCapacity!$B$2:$B$526=2019)*(RefCapacity!$C$2:$C$526=RefCapacityProj!AJ$1),0))*IF($C37=2035,1+VLOOKUP(AJ$1,RefCapacity!$H$2:$L$8,2,FALSE),1+VLOOKUP(AJ$1,RefCapacity!$H$2:$L$8,4,FALSE))</f>
        <v>492.06309041835357</v>
      </c>
      <c r="AY37" cm="1">
        <f t="array" ref="AY37">INDEX(RefCapacity!$D$2:$D$526,MATCH(1,(RefCapacity!$A$2:$A$526=RefCapacityProj!$D37)*(RefCapacity!$B$2:$B$526=2019)*(RefCapacity!$C$2:$C$526=RefCapacityProj!AK$1),0))*IF($C37=2035,1+VLOOKUP(AK$1,RefCapacity!$H$2:$L$8,2,FALSE),1+VLOOKUP(AK$1,RefCapacity!$H$2:$L$8,4,FALSE))</f>
        <v>278.3741935541737</v>
      </c>
      <c r="AZ37" cm="1">
        <f t="array" ref="AZ37">INDEX(RefCapacity!$D$2:$D$526,MATCH(1,(RefCapacity!$A$2:$A$526=RefCapacityProj!$D37)*(RefCapacity!$B$2:$B$526=2019)*(RefCapacity!$C$2:$C$526=RefCapacityProj!AL$1),0))*IF($C37=2035,1+VLOOKUP(AL$1,RefCapacity!$H$2:$L$8,2,FALSE),1+VLOOKUP(AL$1,RefCapacity!$H$2:$L$8,4,FALSE))</f>
        <v>505.88851674641143</v>
      </c>
      <c r="BA37" cm="1">
        <f t="array" ref="BA37">INDEX(RefCapacity!$D$2:$D$526,MATCH(1,(RefCapacity!$A$2:$A$526=RefCapacityProj!$D37)*(RefCapacity!$B$2:$B$526=2019)*(RefCapacity!$C$2:$C$526=RefCapacityProj!AM$1),0))*IF($C37=2035,1+VLOOKUP(AM$1,RefCapacity!$H$2:$L$8,2,FALSE),1+VLOOKUP(AM$1,RefCapacity!$H$2:$L$8,4,FALSE))</f>
        <v>1427.387315315184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f t="shared" si="4"/>
        <v>2733.9803074499741</v>
      </c>
      <c r="BJ37">
        <f t="shared" si="5"/>
        <v>27.615958796085124</v>
      </c>
      <c r="BK37">
        <f t="shared" si="6"/>
        <v>9.99999998205503E-3</v>
      </c>
      <c r="BL37" cm="1">
        <f t="array" ref="BL37">AG37/$BI37*INDEX('GHG Emission'!$C$2:$C$1121,MATCH(1,('GHG Emission'!$D$2:$D$1121=$D37)*('GHG Emission'!$E$2:$E$1121=$C37)*('GHG Emission'!$F$2:$F$1121=$B37)*('GHG Emission'!$I$2:$I$1121=$E37)*('GHG Emission'!$J$2:$J$1121=$F37)*('GHG Emission'!$K$2:$K$1121=AG$1),0))+AH37/$BI37*INDEX('GHG Emission'!$C$2:$C$1121,MATCH(1,('GHG Emission'!$D$2:$D$1121=$D37)*('GHG Emission'!$E$2:$E$1121=$C37)*('GHG Emission'!$F$2:$F$1121=$B37)*('GHG Emission'!$I$2:$I$1121=$E37)*('GHG Emission'!$J$2:$J$1121=$F37)*('GHG Emission'!$K$2:$K$1121=AH$1),0))+AI37/$BI37*INDEX('GHG Emission'!$C$2:$C$1121,MATCH(1,('GHG Emission'!$D$2:$D$1121=$D37)*('GHG Emission'!$E$2:$E$1121=$C37)*('GHG Emission'!$F$2:$F$1121=$B37)*('GHG Emission'!$I$2:$I$1121=$E37)*('GHG Emission'!$J$2:$J$1121=$F37)*('GHG Emission'!$K$2:$K$1121=AI$1),0))+AJ37/$BI37*INDEX('GHG Emission'!$C$2:$C$1121,MATCH(1,('GHG Emission'!$D$2:$D$1121=$D37)*('GHG Emission'!$E$2:$E$1121=$C37)*('GHG Emission'!$F$2:$F$1121=$B37)*('GHG Emission'!$I$2:$I$1121=$E37)*('GHG Emission'!$J$2:$J$1121=$F37)*('GHG Emission'!$K$2:$K$1121=AJ$1),0))+AK37/$BI37*INDEX('GHG Emission'!$C$2:$C$1121,MATCH(1,('GHG Emission'!$D$2:$D$1121=$D37)*('GHG Emission'!$E$2:$E$1121=$C37)*('GHG Emission'!$F$2:$F$1121=$B37)*('GHG Emission'!$I$2:$I$1121=$E37)*('GHG Emission'!$J$2:$J$1121=$F37)*('GHG Emission'!$K$2:$K$1121=AK$1),0))+AL37/$BI37*INDEX('GHG Emission'!$C$2:$C$1121,MATCH(1,('GHG Emission'!$D$2:$D$1121=$D37)*('GHG Emission'!$E$2:$E$1121=$C37)*('GHG Emission'!$F$2:$F$1121=$B37)*('GHG Emission'!$I$2:$I$1121=$E37)*('GHG Emission'!$J$2:$J$1121=$F37)*('GHG Emission'!$K$2:$K$1121=AL$1),0))+AM37/$BI37*INDEX('GHG Emission'!$C$2:$C$1121,MATCH(1,('GHG Emission'!$D$2:$D$1121=$D37)*('GHG Emission'!$E$2:$E$1121=$C37)*('GHG Emission'!$F$2:$F$1121=$B37)*('GHG Emission'!$I$2:$I$1121=$E37)*('GHG Emission'!$J$2:$J$1121=$F37)*('GHG Emission'!$K$2:$K$1121=AM$1),0))</f>
        <v>35.76086215819155</v>
      </c>
      <c r="BM37" t="str">
        <f t="shared" si="7"/>
        <v>LIGHT/SOUR</v>
      </c>
    </row>
    <row r="38" spans="1:65" hidden="1" x14ac:dyDescent="0.25">
      <c r="A38">
        <v>37</v>
      </c>
      <c r="B38" t="s">
        <v>465</v>
      </c>
      <c r="C38">
        <v>2050</v>
      </c>
      <c r="D38">
        <v>5</v>
      </c>
      <c r="E38" t="s">
        <v>466</v>
      </c>
      <c r="F38" t="s">
        <v>467</v>
      </c>
      <c r="G38">
        <v>1412.5116946425601</v>
      </c>
      <c r="H38">
        <v>234.13944510678027</v>
      </c>
      <c r="I38">
        <v>867.20050564551502</v>
      </c>
      <c r="J38">
        <v>455.52894793183503</v>
      </c>
      <c r="K38">
        <v>419.77387298964987</v>
      </c>
      <c r="L38">
        <v>31.280067815142612</v>
      </c>
      <c r="M38">
        <v>0</v>
      </c>
      <c r="N38">
        <v>0</v>
      </c>
      <c r="O38">
        <v>0</v>
      </c>
      <c r="P38">
        <v>71.310153574703051</v>
      </c>
      <c r="Q38">
        <v>0</v>
      </c>
      <c r="R38">
        <v>0</v>
      </c>
      <c r="S38">
        <v>0</v>
      </c>
      <c r="T38">
        <v>25.739540023388059</v>
      </c>
      <c r="U38">
        <v>0</v>
      </c>
      <c r="V38">
        <v>0</v>
      </c>
      <c r="W38">
        <v>0</v>
      </c>
      <c r="X38">
        <f t="shared" si="0"/>
        <v>3517.4842277295743</v>
      </c>
      <c r="Y38">
        <f>X38*VLOOKUP($D38,'LinearReg Model'!$S$2:$T$6,2,FALSE)</f>
        <v>2805.5128690910587</v>
      </c>
      <c r="Z38">
        <f t="shared" si="1"/>
        <v>0.40156873583319291</v>
      </c>
      <c r="AA38">
        <f t="shared" si="2"/>
        <v>0.24653998411963476</v>
      </c>
      <c r="AB38">
        <f t="shared" si="3"/>
        <v>6.6564461970000058E-2</v>
      </c>
      <c r="AC38">
        <v>29.834929643303958</v>
      </c>
      <c r="AD38">
        <v>1.5923770961611641</v>
      </c>
      <c r="AE38" s="2">
        <f>VLOOKUP($D38,'MultiReg Model'!$A$5:$F$9,2,FALSE)+AC38*VLOOKUP($D38,'MultiReg Model'!$A$5:$F$9,3,FALSE)+Z38*VLOOKUP($D38,'MultiReg Model'!$A$5:$F$9,4,FALSE)+AA38*VLOOKUP($D38,'MultiReg Model'!$A$5:$F$9,5,FALSE)+AB38*VLOOKUP($D38,'MultiReg Model'!$A$5:$F$9,6,FALSE)</f>
        <v>7.5427334063797655</v>
      </c>
      <c r="AF38" cm="1">
        <f t="array" ref="AF38">MMULT($AG38:$AM38,'Avg CI Index'!$C$2:$C$8)/BI38</f>
        <v>7.5527334254031109</v>
      </c>
      <c r="AG38">
        <v>843.41276176594806</v>
      </c>
      <c r="AH38">
        <v>354.93971997336962</v>
      </c>
      <c r="AI38">
        <v>260.28115428676932</v>
      </c>
      <c r="AJ38">
        <v>123.87792576805181</v>
      </c>
      <c r="AK38">
        <v>54.739741647133542</v>
      </c>
      <c r="AL38">
        <v>154.48625690453457</v>
      </c>
      <c r="AM38">
        <v>1039.7080345746347</v>
      </c>
      <c r="AN38" cm="1">
        <f t="array" ref="AN38">$Y38*INDEX(RefCapacity!$D$2:$D$526,MATCH(1,(RefCapacity!$A$2:$A$526=RefCapacityProj!$D38)*(RefCapacity!$B$2:$B$526=2019)*(RefCapacity!$C$2:$C$526=AG$1),0))/SUMIFS(RefCapacity!$D$2:$D$526,RefCapacity!$A$2:$A$526,RefCapacityProj!$D38,RefCapacity!$B$2:$B$526,2019)</f>
        <v>190.44789686246213</v>
      </c>
      <c r="AO38" cm="1">
        <f t="array" ref="AO38">$Y38*INDEX(RefCapacity!$D$2:$D$526,MATCH(1,(RefCapacity!$A$2:$A$526=RefCapacityProj!$D38)*(RefCapacity!$B$2:$B$526=2019)*(RefCapacity!$C$2:$C$526=AH$1),0))/SUMIFS(RefCapacity!$D$2:$D$526,RefCapacity!$A$2:$A$526,RefCapacityProj!$D38,RefCapacity!$B$2:$B$526,2019)</f>
        <v>218.51878036722511</v>
      </c>
      <c r="AP38" cm="1">
        <f t="array" ref="AP38">$Y38*INDEX(RefCapacity!$D$2:$D$526,MATCH(1,(RefCapacity!$A$2:$A$526=RefCapacityProj!$D38)*(RefCapacity!$B$2:$B$526=2019)*(RefCapacity!$C$2:$C$526=AI$1),0))/SUMIFS(RefCapacity!$D$2:$D$526,RefCapacity!$A$2:$A$526,RefCapacityProj!$D38,RefCapacity!$B$2:$B$526,2019)</f>
        <v>237.78550318978176</v>
      </c>
      <c r="AQ38" cm="1">
        <f t="array" ref="AQ38">$Y38*INDEX(RefCapacity!$D$2:$D$526,MATCH(1,(RefCapacity!$A$2:$A$526=RefCapacityProj!$D38)*(RefCapacity!$B$2:$B$526=2019)*(RefCapacity!$C$2:$C$526=AJ$1),0))/SUMIFS(RefCapacity!$D$2:$D$526,RefCapacity!$A$2:$A$526,RefCapacityProj!$D38,RefCapacity!$B$2:$B$526,2019)</f>
        <v>250.71127926061089</v>
      </c>
      <c r="AR38" cm="1">
        <f t="array" ref="AR38">$Y38*INDEX(RefCapacity!$D$2:$D$526,MATCH(1,(RefCapacity!$A$2:$A$526=RefCapacityProj!$D38)*(RefCapacity!$B$2:$B$526=2019)*(RefCapacity!$C$2:$C$526=AK$1),0))/SUMIFS(RefCapacity!$D$2:$D$526,RefCapacity!$A$2:$A$526,RefCapacityProj!$D38,RefCapacity!$B$2:$B$526,2019)</f>
        <v>218.71388642112441</v>
      </c>
      <c r="AS38" cm="1">
        <f t="array" ref="AS38">$Y38*INDEX(RefCapacity!$D$2:$D$526,MATCH(1,(RefCapacity!$A$2:$A$526=RefCapacityProj!$D38)*(RefCapacity!$B$2:$B$526=2019)*(RefCapacity!$C$2:$C$526=AL$1),0))/SUMIFS(RefCapacity!$D$2:$D$526,RefCapacity!$A$2:$A$526,RefCapacityProj!$D38,RefCapacity!$B$2:$B$526,2019)</f>
        <v>349.67882510103493</v>
      </c>
      <c r="AT38" cm="1">
        <f t="array" ref="AT38">$Y38*INDEX(RefCapacity!$D$2:$D$526,MATCH(1,(RefCapacity!$A$2:$A$526=RefCapacityProj!$D38)*(RefCapacity!$B$2:$B$526=2019)*(RefCapacity!$C$2:$C$526=AM$1),0))/SUMIFS(RefCapacity!$D$2:$D$526,RefCapacity!$A$2:$A$526,RefCapacityProj!$D38,RefCapacity!$B$2:$B$526,2019)</f>
        <v>1339.6566978888193</v>
      </c>
      <c r="AU38" cm="1">
        <f t="array" ref="AU38">INDEX(RefCapacity!$D$2:$D$526,MATCH(1,(RefCapacity!$A$2:$A$526=RefCapacityProj!$D38)*(RefCapacity!$B$2:$B$526=2019)*(RefCapacity!$C$2:$C$526=RefCapacityProj!AG$1),0))*IF($C38=2035,1+VLOOKUP(AG$1,RefCapacity!$H$2:$L$8,2,FALSE),1+VLOOKUP(AG$1,RefCapacity!$H$2:$L$8,4,FALSE))</f>
        <v>884.55862608843188</v>
      </c>
      <c r="AV38" cm="1">
        <f t="array" ref="AV38">INDEX(RefCapacity!$D$2:$D$526,MATCH(1,(RefCapacity!$A$2:$A$526=RefCapacityProj!$D38)*(RefCapacity!$B$2:$B$526=2019)*(RefCapacity!$C$2:$C$526=RefCapacityProj!AH$1),0))*IF($C38=2035,1+VLOOKUP(AH$1,RefCapacity!$H$2:$L$8,2,FALSE),1+VLOOKUP(AH$1,RefCapacity!$H$2:$L$8,4,FALSE))</f>
        <v>379.90242021338935</v>
      </c>
      <c r="AW38" cm="1">
        <f t="array" ref="AW38">INDEX(RefCapacity!$D$2:$D$526,MATCH(1,(RefCapacity!$A$2:$A$526=RefCapacityProj!$D38)*(RefCapacity!$B$2:$B$526=2019)*(RefCapacity!$C$2:$C$526=RefCapacityProj!AI$1),0))*IF($C38=2035,1+VLOOKUP(AI$1,RefCapacity!$H$2:$L$8,2,FALSE),1+VLOOKUP(AI$1,RefCapacity!$H$2:$L$8,4,FALSE))</f>
        <v>260.28485694099828</v>
      </c>
      <c r="AX38" cm="1">
        <f t="array" ref="AX38">INDEX(RefCapacity!$D$2:$D$526,MATCH(1,(RefCapacity!$A$2:$A$526=RefCapacityProj!$D38)*(RefCapacity!$B$2:$B$526=2019)*(RefCapacity!$C$2:$C$526=RefCapacityProj!AJ$1),0))*IF($C38=2035,1+VLOOKUP(AJ$1,RefCapacity!$H$2:$L$8,2,FALSE),1+VLOOKUP(AJ$1,RefCapacity!$H$2:$L$8,4,FALSE))</f>
        <v>727.12618083670714</v>
      </c>
      <c r="AY38" cm="1">
        <f t="array" ref="AY38">INDEX(RefCapacity!$D$2:$D$526,MATCH(1,(RefCapacity!$A$2:$A$526=RefCapacityProj!$D38)*(RefCapacity!$B$2:$B$526=2019)*(RefCapacity!$C$2:$C$526=RefCapacityProj!AK$1),0))*IF($C38=2035,1+VLOOKUP(AK$1,RefCapacity!$H$2:$L$8,2,FALSE),1+VLOOKUP(AK$1,RefCapacity!$H$2:$L$8,4,FALSE))</f>
        <v>332.5483871083473</v>
      </c>
      <c r="AZ38" cm="1">
        <f t="array" ref="AZ38">INDEX(RefCapacity!$D$2:$D$526,MATCH(1,(RefCapacity!$A$2:$A$526=RefCapacityProj!$D38)*(RefCapacity!$B$2:$B$526=2019)*(RefCapacity!$C$2:$C$526=RefCapacityProj!AL$1),0))*IF($C38=2035,1+VLOOKUP(AL$1,RefCapacity!$H$2:$L$8,2,FALSE),1+VLOOKUP(AL$1,RefCapacity!$H$2:$L$8,4,FALSE))</f>
        <v>653.32703349282281</v>
      </c>
      <c r="BA38" cm="1">
        <f t="array" ref="BA38">INDEX(RefCapacity!$D$2:$D$526,MATCH(1,(RefCapacity!$A$2:$A$526=RefCapacityProj!$D38)*(RefCapacity!$B$2:$B$526=2019)*(RefCapacity!$C$2:$C$526=RefCapacityProj!AM$1),0))*IF($C38=2035,1+VLOOKUP(AM$1,RefCapacity!$H$2:$L$8,2,FALSE),1+VLOOKUP(AM$1,RefCapacity!$H$2:$L$8,4,FALSE))</f>
        <v>1481.5146306303682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f t="shared" si="4"/>
        <v>2831.4455949204421</v>
      </c>
      <c r="BJ38">
        <f t="shared" si="5"/>
        <v>25.932725829383344</v>
      </c>
      <c r="BK38">
        <f t="shared" si="6"/>
        <v>1.0000019023345352E-2</v>
      </c>
      <c r="BL38" cm="1">
        <f t="array" ref="BL38">AG38/$BI38*INDEX('GHG Emission'!$C$2:$C$1121,MATCH(1,('GHG Emission'!$D$2:$D$1121=$D38)*('GHG Emission'!$E$2:$E$1121=$C38)*('GHG Emission'!$F$2:$F$1121=$B38)*('GHG Emission'!$I$2:$I$1121=$E38)*('GHG Emission'!$J$2:$J$1121=$F38)*('GHG Emission'!$K$2:$K$1121=AG$1),0))+AH38/$BI38*INDEX('GHG Emission'!$C$2:$C$1121,MATCH(1,('GHG Emission'!$D$2:$D$1121=$D38)*('GHG Emission'!$E$2:$E$1121=$C38)*('GHG Emission'!$F$2:$F$1121=$B38)*('GHG Emission'!$I$2:$I$1121=$E38)*('GHG Emission'!$J$2:$J$1121=$F38)*('GHG Emission'!$K$2:$K$1121=AH$1),0))+AI38/$BI38*INDEX('GHG Emission'!$C$2:$C$1121,MATCH(1,('GHG Emission'!$D$2:$D$1121=$D38)*('GHG Emission'!$E$2:$E$1121=$C38)*('GHG Emission'!$F$2:$F$1121=$B38)*('GHG Emission'!$I$2:$I$1121=$E38)*('GHG Emission'!$J$2:$J$1121=$F38)*('GHG Emission'!$K$2:$K$1121=AI$1),0))+AJ38/$BI38*INDEX('GHG Emission'!$C$2:$C$1121,MATCH(1,('GHG Emission'!$D$2:$D$1121=$D38)*('GHG Emission'!$E$2:$E$1121=$C38)*('GHG Emission'!$F$2:$F$1121=$B38)*('GHG Emission'!$I$2:$I$1121=$E38)*('GHG Emission'!$J$2:$J$1121=$F38)*('GHG Emission'!$K$2:$K$1121=AJ$1),0))+AK38/$BI38*INDEX('GHG Emission'!$C$2:$C$1121,MATCH(1,('GHG Emission'!$D$2:$D$1121=$D38)*('GHG Emission'!$E$2:$E$1121=$C38)*('GHG Emission'!$F$2:$F$1121=$B38)*('GHG Emission'!$I$2:$I$1121=$E38)*('GHG Emission'!$J$2:$J$1121=$F38)*('GHG Emission'!$K$2:$K$1121=AK$1),0))+AL38/$BI38*INDEX('GHG Emission'!$C$2:$C$1121,MATCH(1,('GHG Emission'!$D$2:$D$1121=$D38)*('GHG Emission'!$E$2:$E$1121=$C38)*('GHG Emission'!$F$2:$F$1121=$B38)*('GHG Emission'!$I$2:$I$1121=$E38)*('GHG Emission'!$J$2:$J$1121=$F38)*('GHG Emission'!$K$2:$K$1121=AL$1),0))+AM38/$BI38*INDEX('GHG Emission'!$C$2:$C$1121,MATCH(1,('GHG Emission'!$D$2:$D$1121=$D38)*('GHG Emission'!$E$2:$E$1121=$C38)*('GHG Emission'!$F$2:$F$1121=$B38)*('GHG Emission'!$I$2:$I$1121=$E38)*('GHG Emission'!$J$2:$J$1121=$F38)*('GHG Emission'!$K$2:$K$1121=AM$1),0))</f>
        <v>34.036193959803242</v>
      </c>
      <c r="BM38" t="str">
        <f t="shared" si="7"/>
        <v>HEAVY/SWEET</v>
      </c>
    </row>
    <row r="39" spans="1:65" x14ac:dyDescent="0.25">
      <c r="A39">
        <v>38</v>
      </c>
      <c r="B39" t="s">
        <v>465</v>
      </c>
      <c r="C39">
        <v>2050</v>
      </c>
      <c r="D39">
        <v>5</v>
      </c>
      <c r="E39" t="s">
        <v>466</v>
      </c>
      <c r="F39" t="s">
        <v>468</v>
      </c>
      <c r="G39">
        <v>1412.5116946425601</v>
      </c>
      <c r="H39">
        <v>234.13944510678027</v>
      </c>
      <c r="I39">
        <v>867.20050564551502</v>
      </c>
      <c r="J39">
        <v>455.52894793183503</v>
      </c>
      <c r="K39">
        <v>419.77387298964987</v>
      </c>
      <c r="L39">
        <v>31.280067815142612</v>
      </c>
      <c r="M39">
        <v>0</v>
      </c>
      <c r="N39">
        <v>0</v>
      </c>
      <c r="O39">
        <v>0</v>
      </c>
      <c r="P39">
        <v>71.310153574703051</v>
      </c>
      <c r="Q39">
        <v>0</v>
      </c>
      <c r="R39">
        <v>0</v>
      </c>
      <c r="S39">
        <v>0</v>
      </c>
      <c r="T39">
        <v>25.739540023388059</v>
      </c>
      <c r="U39">
        <v>0</v>
      </c>
      <c r="V39">
        <v>0</v>
      </c>
      <c r="W39">
        <v>0</v>
      </c>
      <c r="X39">
        <f t="shared" si="0"/>
        <v>3517.4842277295743</v>
      </c>
      <c r="Y39">
        <f>X39*VLOOKUP($D39,'LinearReg Model'!$S$2:$T$6,2,FALSE)</f>
        <v>2805.5128690910587</v>
      </c>
      <c r="Z39">
        <f t="shared" si="1"/>
        <v>0.40156873583319291</v>
      </c>
      <c r="AA39">
        <f t="shared" si="2"/>
        <v>0.24653998411963476</v>
      </c>
      <c r="AB39">
        <f t="shared" si="3"/>
        <v>6.6564461970000058E-2</v>
      </c>
      <c r="AC39">
        <v>29.834929643303958</v>
      </c>
      <c r="AD39">
        <v>1.8659991154487672</v>
      </c>
      <c r="AE39" s="2">
        <f>VLOOKUP($D39,'MultiReg Model'!$A$5:$F$9,2,FALSE)+AC39*VLOOKUP($D39,'MultiReg Model'!$A$5:$F$9,3,FALSE)+Z39*VLOOKUP($D39,'MultiReg Model'!$A$5:$F$9,4,FALSE)+AA39*VLOOKUP($D39,'MultiReg Model'!$A$5:$F$9,5,FALSE)+AB39*VLOOKUP($D39,'MultiReg Model'!$A$5:$F$9,6,FALSE)</f>
        <v>7.5427334063797655</v>
      </c>
      <c r="AF39" cm="1">
        <f t="array" ref="AF39">MMULT($AG39:$AM39,'Avg CI Index'!$C$2:$C$8)/BI39</f>
        <v>7.5527334254031109</v>
      </c>
      <c r="AG39">
        <v>843.41276176594806</v>
      </c>
      <c r="AH39">
        <v>354.93971997336962</v>
      </c>
      <c r="AI39">
        <v>260.28115428676932</v>
      </c>
      <c r="AJ39">
        <v>123.87792576805181</v>
      </c>
      <c r="AK39">
        <v>54.739741647133542</v>
      </c>
      <c r="AL39">
        <v>154.48625690453457</v>
      </c>
      <c r="AM39">
        <v>1039.7080345746347</v>
      </c>
      <c r="AN39" cm="1">
        <f t="array" ref="AN39">$Y39*INDEX(RefCapacity!$D$2:$D$526,MATCH(1,(RefCapacity!$A$2:$A$526=RefCapacityProj!$D39)*(RefCapacity!$B$2:$B$526=2019)*(RefCapacity!$C$2:$C$526=AG$1),0))/SUMIFS(RefCapacity!$D$2:$D$526,RefCapacity!$A$2:$A$526,RefCapacityProj!$D39,RefCapacity!$B$2:$B$526,2019)</f>
        <v>190.44789686246213</v>
      </c>
      <c r="AO39" cm="1">
        <f t="array" ref="AO39">$Y39*INDEX(RefCapacity!$D$2:$D$526,MATCH(1,(RefCapacity!$A$2:$A$526=RefCapacityProj!$D39)*(RefCapacity!$B$2:$B$526=2019)*(RefCapacity!$C$2:$C$526=AH$1),0))/SUMIFS(RefCapacity!$D$2:$D$526,RefCapacity!$A$2:$A$526,RefCapacityProj!$D39,RefCapacity!$B$2:$B$526,2019)</f>
        <v>218.51878036722511</v>
      </c>
      <c r="AP39" cm="1">
        <f t="array" ref="AP39">$Y39*INDEX(RefCapacity!$D$2:$D$526,MATCH(1,(RefCapacity!$A$2:$A$526=RefCapacityProj!$D39)*(RefCapacity!$B$2:$B$526=2019)*(RefCapacity!$C$2:$C$526=AI$1),0))/SUMIFS(RefCapacity!$D$2:$D$526,RefCapacity!$A$2:$A$526,RefCapacityProj!$D39,RefCapacity!$B$2:$B$526,2019)</f>
        <v>237.78550318978176</v>
      </c>
      <c r="AQ39" cm="1">
        <f t="array" ref="AQ39">$Y39*INDEX(RefCapacity!$D$2:$D$526,MATCH(1,(RefCapacity!$A$2:$A$526=RefCapacityProj!$D39)*(RefCapacity!$B$2:$B$526=2019)*(RefCapacity!$C$2:$C$526=AJ$1),0))/SUMIFS(RefCapacity!$D$2:$D$526,RefCapacity!$A$2:$A$526,RefCapacityProj!$D39,RefCapacity!$B$2:$B$526,2019)</f>
        <v>250.71127926061089</v>
      </c>
      <c r="AR39" cm="1">
        <f t="array" ref="AR39">$Y39*INDEX(RefCapacity!$D$2:$D$526,MATCH(1,(RefCapacity!$A$2:$A$526=RefCapacityProj!$D39)*(RefCapacity!$B$2:$B$526=2019)*(RefCapacity!$C$2:$C$526=AK$1),0))/SUMIFS(RefCapacity!$D$2:$D$526,RefCapacity!$A$2:$A$526,RefCapacityProj!$D39,RefCapacity!$B$2:$B$526,2019)</f>
        <v>218.71388642112441</v>
      </c>
      <c r="AS39" cm="1">
        <f t="array" ref="AS39">$Y39*INDEX(RefCapacity!$D$2:$D$526,MATCH(1,(RefCapacity!$A$2:$A$526=RefCapacityProj!$D39)*(RefCapacity!$B$2:$B$526=2019)*(RefCapacity!$C$2:$C$526=AL$1),0))/SUMIFS(RefCapacity!$D$2:$D$526,RefCapacity!$A$2:$A$526,RefCapacityProj!$D39,RefCapacity!$B$2:$B$526,2019)</f>
        <v>349.67882510103493</v>
      </c>
      <c r="AT39" cm="1">
        <f t="array" ref="AT39">$Y39*INDEX(RefCapacity!$D$2:$D$526,MATCH(1,(RefCapacity!$A$2:$A$526=RefCapacityProj!$D39)*(RefCapacity!$B$2:$B$526=2019)*(RefCapacity!$C$2:$C$526=AM$1),0))/SUMIFS(RefCapacity!$D$2:$D$526,RefCapacity!$A$2:$A$526,RefCapacityProj!$D39,RefCapacity!$B$2:$B$526,2019)</f>
        <v>1339.6566978888193</v>
      </c>
      <c r="AU39" cm="1">
        <f t="array" ref="AU39">INDEX(RefCapacity!$D$2:$D$526,MATCH(1,(RefCapacity!$A$2:$A$526=RefCapacityProj!$D39)*(RefCapacity!$B$2:$B$526=2019)*(RefCapacity!$C$2:$C$526=RefCapacityProj!AG$1),0))*IF($C39=2035,1+VLOOKUP(AG$1,RefCapacity!$H$2:$L$8,2,FALSE),1+VLOOKUP(AG$1,RefCapacity!$H$2:$L$8,4,FALSE))</f>
        <v>884.55862608843188</v>
      </c>
      <c r="AV39" cm="1">
        <f t="array" ref="AV39">INDEX(RefCapacity!$D$2:$D$526,MATCH(1,(RefCapacity!$A$2:$A$526=RefCapacityProj!$D39)*(RefCapacity!$B$2:$B$526=2019)*(RefCapacity!$C$2:$C$526=RefCapacityProj!AH$1),0))*IF($C39=2035,1+VLOOKUP(AH$1,RefCapacity!$H$2:$L$8,2,FALSE),1+VLOOKUP(AH$1,RefCapacity!$H$2:$L$8,4,FALSE))</f>
        <v>379.90242021338935</v>
      </c>
      <c r="AW39" cm="1">
        <f t="array" ref="AW39">INDEX(RefCapacity!$D$2:$D$526,MATCH(1,(RefCapacity!$A$2:$A$526=RefCapacityProj!$D39)*(RefCapacity!$B$2:$B$526=2019)*(RefCapacity!$C$2:$C$526=RefCapacityProj!AI$1),0))*IF($C39=2035,1+VLOOKUP(AI$1,RefCapacity!$H$2:$L$8,2,FALSE),1+VLOOKUP(AI$1,RefCapacity!$H$2:$L$8,4,FALSE))</f>
        <v>260.28485694099828</v>
      </c>
      <c r="AX39" cm="1">
        <f t="array" ref="AX39">INDEX(RefCapacity!$D$2:$D$526,MATCH(1,(RefCapacity!$A$2:$A$526=RefCapacityProj!$D39)*(RefCapacity!$B$2:$B$526=2019)*(RefCapacity!$C$2:$C$526=RefCapacityProj!AJ$1),0))*IF($C39=2035,1+VLOOKUP(AJ$1,RefCapacity!$H$2:$L$8,2,FALSE),1+VLOOKUP(AJ$1,RefCapacity!$H$2:$L$8,4,FALSE))</f>
        <v>727.12618083670714</v>
      </c>
      <c r="AY39" cm="1">
        <f t="array" ref="AY39">INDEX(RefCapacity!$D$2:$D$526,MATCH(1,(RefCapacity!$A$2:$A$526=RefCapacityProj!$D39)*(RefCapacity!$B$2:$B$526=2019)*(RefCapacity!$C$2:$C$526=RefCapacityProj!AK$1),0))*IF($C39=2035,1+VLOOKUP(AK$1,RefCapacity!$H$2:$L$8,2,FALSE),1+VLOOKUP(AK$1,RefCapacity!$H$2:$L$8,4,FALSE))</f>
        <v>332.5483871083473</v>
      </c>
      <c r="AZ39" cm="1">
        <f t="array" ref="AZ39">INDEX(RefCapacity!$D$2:$D$526,MATCH(1,(RefCapacity!$A$2:$A$526=RefCapacityProj!$D39)*(RefCapacity!$B$2:$B$526=2019)*(RefCapacity!$C$2:$C$526=RefCapacityProj!AL$1),0))*IF($C39=2035,1+VLOOKUP(AL$1,RefCapacity!$H$2:$L$8,2,FALSE),1+VLOOKUP(AL$1,RefCapacity!$H$2:$L$8,4,FALSE))</f>
        <v>653.32703349282281</v>
      </c>
      <c r="BA39" cm="1">
        <f t="array" ref="BA39">INDEX(RefCapacity!$D$2:$D$526,MATCH(1,(RefCapacity!$A$2:$A$526=RefCapacityProj!$D39)*(RefCapacity!$B$2:$B$526=2019)*(RefCapacity!$C$2:$C$526=RefCapacityProj!AM$1),0))*IF($C39=2035,1+VLOOKUP(AM$1,RefCapacity!$H$2:$L$8,2,FALSE),1+VLOOKUP(AM$1,RefCapacity!$H$2:$L$8,4,FALSE))</f>
        <v>1481.5146306303682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f t="shared" si="4"/>
        <v>2831.4455949204421</v>
      </c>
      <c r="BJ39">
        <f t="shared" si="5"/>
        <v>25.932725829383344</v>
      </c>
      <c r="BK39">
        <f t="shared" si="6"/>
        <v>1.0000019023345352E-2</v>
      </c>
      <c r="BL39" cm="1">
        <f t="array" ref="BL39">AG39/$BI39*INDEX('GHG Emission'!$C$2:$C$1121,MATCH(1,('GHG Emission'!$D$2:$D$1121=$D39)*('GHG Emission'!$E$2:$E$1121=$C39)*('GHG Emission'!$F$2:$F$1121=$B39)*('GHG Emission'!$I$2:$I$1121=$E39)*('GHG Emission'!$J$2:$J$1121=$F39)*('GHG Emission'!$K$2:$K$1121=AG$1),0))+AH39/$BI39*INDEX('GHG Emission'!$C$2:$C$1121,MATCH(1,('GHG Emission'!$D$2:$D$1121=$D39)*('GHG Emission'!$E$2:$E$1121=$C39)*('GHG Emission'!$F$2:$F$1121=$B39)*('GHG Emission'!$I$2:$I$1121=$E39)*('GHG Emission'!$J$2:$J$1121=$F39)*('GHG Emission'!$K$2:$K$1121=AH$1),0))+AI39/$BI39*INDEX('GHG Emission'!$C$2:$C$1121,MATCH(1,('GHG Emission'!$D$2:$D$1121=$D39)*('GHG Emission'!$E$2:$E$1121=$C39)*('GHG Emission'!$F$2:$F$1121=$B39)*('GHG Emission'!$I$2:$I$1121=$E39)*('GHG Emission'!$J$2:$J$1121=$F39)*('GHG Emission'!$K$2:$K$1121=AI$1),0))+AJ39/$BI39*INDEX('GHG Emission'!$C$2:$C$1121,MATCH(1,('GHG Emission'!$D$2:$D$1121=$D39)*('GHG Emission'!$E$2:$E$1121=$C39)*('GHG Emission'!$F$2:$F$1121=$B39)*('GHG Emission'!$I$2:$I$1121=$E39)*('GHG Emission'!$J$2:$J$1121=$F39)*('GHG Emission'!$K$2:$K$1121=AJ$1),0))+AK39/$BI39*INDEX('GHG Emission'!$C$2:$C$1121,MATCH(1,('GHG Emission'!$D$2:$D$1121=$D39)*('GHG Emission'!$E$2:$E$1121=$C39)*('GHG Emission'!$F$2:$F$1121=$B39)*('GHG Emission'!$I$2:$I$1121=$E39)*('GHG Emission'!$J$2:$J$1121=$F39)*('GHG Emission'!$K$2:$K$1121=AK$1),0))+AL39/$BI39*INDEX('GHG Emission'!$C$2:$C$1121,MATCH(1,('GHG Emission'!$D$2:$D$1121=$D39)*('GHG Emission'!$E$2:$E$1121=$C39)*('GHG Emission'!$F$2:$F$1121=$B39)*('GHG Emission'!$I$2:$I$1121=$E39)*('GHG Emission'!$J$2:$J$1121=$F39)*('GHG Emission'!$K$2:$K$1121=AL$1),0))+AM39/$BI39*INDEX('GHG Emission'!$C$2:$C$1121,MATCH(1,('GHG Emission'!$D$2:$D$1121=$D39)*('GHG Emission'!$E$2:$E$1121=$C39)*('GHG Emission'!$F$2:$F$1121=$B39)*('GHG Emission'!$I$2:$I$1121=$E39)*('GHG Emission'!$J$2:$J$1121=$F39)*('GHG Emission'!$K$2:$K$1121=AM$1),0))</f>
        <v>33.786688575404156</v>
      </c>
      <c r="BM39" t="str">
        <f t="shared" si="7"/>
        <v>HEAVY/SOUR</v>
      </c>
    </row>
    <row r="40" spans="1:65" hidden="1" x14ac:dyDescent="0.25">
      <c r="A40">
        <v>39</v>
      </c>
      <c r="B40" t="s">
        <v>465</v>
      </c>
      <c r="C40">
        <v>2050</v>
      </c>
      <c r="D40">
        <v>5</v>
      </c>
      <c r="E40" t="s">
        <v>469</v>
      </c>
      <c r="F40" t="s">
        <v>467</v>
      </c>
      <c r="G40">
        <v>1412.5116946425601</v>
      </c>
      <c r="H40">
        <v>234.13944510678027</v>
      </c>
      <c r="I40">
        <v>867.20050564551502</v>
      </c>
      <c r="J40">
        <v>455.52894793183503</v>
      </c>
      <c r="K40">
        <v>419.77387298964987</v>
      </c>
      <c r="L40">
        <v>31.280067815142612</v>
      </c>
      <c r="M40">
        <v>0</v>
      </c>
      <c r="N40">
        <v>0</v>
      </c>
      <c r="O40">
        <v>0</v>
      </c>
      <c r="P40">
        <v>71.310153574703051</v>
      </c>
      <c r="Q40">
        <v>0</v>
      </c>
      <c r="R40">
        <v>0</v>
      </c>
      <c r="S40">
        <v>0</v>
      </c>
      <c r="T40">
        <v>25.739540023388059</v>
      </c>
      <c r="U40">
        <v>0</v>
      </c>
      <c r="V40">
        <v>0</v>
      </c>
      <c r="W40">
        <v>0</v>
      </c>
      <c r="X40">
        <f t="shared" si="0"/>
        <v>3517.4842277295743</v>
      </c>
      <c r="Y40">
        <f>X40*VLOOKUP($D40,'LinearReg Model'!$S$2:$T$6,2,FALSE)</f>
        <v>2805.5128690910587</v>
      </c>
      <c r="Z40">
        <f t="shared" si="1"/>
        <v>0.40156873583319291</v>
      </c>
      <c r="AA40">
        <f t="shared" si="2"/>
        <v>0.24653998411963476</v>
      </c>
      <c r="AB40">
        <f t="shared" si="3"/>
        <v>6.6564461970000058E-2</v>
      </c>
      <c r="AC40">
        <v>34.263678151264266</v>
      </c>
      <c r="AD40">
        <v>1.5923770961611641</v>
      </c>
      <c r="AE40" s="2">
        <f>VLOOKUP($D40,'MultiReg Model'!$A$5:$F$9,2,FALSE)+AC40*VLOOKUP($D40,'MultiReg Model'!$A$5:$F$9,3,FALSE)+Z40*VLOOKUP($D40,'MultiReg Model'!$A$5:$F$9,4,FALSE)+AA40*VLOOKUP($D40,'MultiReg Model'!$A$5:$F$9,5,FALSE)+AB40*VLOOKUP($D40,'MultiReg Model'!$A$5:$F$9,6,FALSE)</f>
        <v>8.4637877468905032</v>
      </c>
      <c r="AF40" cm="1">
        <f t="array" ref="AF40">MMULT($AG40:$AM40,'Avg CI Index'!$C$2:$C$8)/BI40</f>
        <v>8.4737877857177129</v>
      </c>
      <c r="AG40">
        <v>532.76454242210013</v>
      </c>
      <c r="AH40">
        <v>290.25307096801936</v>
      </c>
      <c r="AI40">
        <v>260.27984205068401</v>
      </c>
      <c r="AJ40">
        <v>184.45435883747342</v>
      </c>
      <c r="AK40">
        <v>132.97482294251103</v>
      </c>
      <c r="AL40">
        <v>247.6077300856991</v>
      </c>
      <c r="AM40">
        <v>1182.7347450469808</v>
      </c>
      <c r="AN40" cm="1">
        <f t="array" ref="AN40">$Y40*INDEX(RefCapacity!$D$2:$D$526,MATCH(1,(RefCapacity!$A$2:$A$526=RefCapacityProj!$D40)*(RefCapacity!$B$2:$B$526=2019)*(RefCapacity!$C$2:$C$526=AG$1),0))/SUMIFS(RefCapacity!$D$2:$D$526,RefCapacity!$A$2:$A$526,RefCapacityProj!$D40,RefCapacity!$B$2:$B$526,2019)</f>
        <v>190.44789686246213</v>
      </c>
      <c r="AO40" cm="1">
        <f t="array" ref="AO40">$Y40*INDEX(RefCapacity!$D$2:$D$526,MATCH(1,(RefCapacity!$A$2:$A$526=RefCapacityProj!$D40)*(RefCapacity!$B$2:$B$526=2019)*(RefCapacity!$C$2:$C$526=AH$1),0))/SUMIFS(RefCapacity!$D$2:$D$526,RefCapacity!$A$2:$A$526,RefCapacityProj!$D40,RefCapacity!$B$2:$B$526,2019)</f>
        <v>218.51878036722511</v>
      </c>
      <c r="AP40" cm="1">
        <f t="array" ref="AP40">$Y40*INDEX(RefCapacity!$D$2:$D$526,MATCH(1,(RefCapacity!$A$2:$A$526=RefCapacityProj!$D40)*(RefCapacity!$B$2:$B$526=2019)*(RefCapacity!$C$2:$C$526=AI$1),0))/SUMIFS(RefCapacity!$D$2:$D$526,RefCapacity!$A$2:$A$526,RefCapacityProj!$D40,RefCapacity!$B$2:$B$526,2019)</f>
        <v>237.78550318978176</v>
      </c>
      <c r="AQ40" cm="1">
        <f t="array" ref="AQ40">$Y40*INDEX(RefCapacity!$D$2:$D$526,MATCH(1,(RefCapacity!$A$2:$A$526=RefCapacityProj!$D40)*(RefCapacity!$B$2:$B$526=2019)*(RefCapacity!$C$2:$C$526=AJ$1),0))/SUMIFS(RefCapacity!$D$2:$D$526,RefCapacity!$A$2:$A$526,RefCapacityProj!$D40,RefCapacity!$B$2:$B$526,2019)</f>
        <v>250.71127926061089</v>
      </c>
      <c r="AR40" cm="1">
        <f t="array" ref="AR40">$Y40*INDEX(RefCapacity!$D$2:$D$526,MATCH(1,(RefCapacity!$A$2:$A$526=RefCapacityProj!$D40)*(RefCapacity!$B$2:$B$526=2019)*(RefCapacity!$C$2:$C$526=AK$1),0))/SUMIFS(RefCapacity!$D$2:$D$526,RefCapacity!$A$2:$A$526,RefCapacityProj!$D40,RefCapacity!$B$2:$B$526,2019)</f>
        <v>218.71388642112441</v>
      </c>
      <c r="AS40" cm="1">
        <f t="array" ref="AS40">$Y40*INDEX(RefCapacity!$D$2:$D$526,MATCH(1,(RefCapacity!$A$2:$A$526=RefCapacityProj!$D40)*(RefCapacity!$B$2:$B$526=2019)*(RefCapacity!$C$2:$C$526=AL$1),0))/SUMIFS(RefCapacity!$D$2:$D$526,RefCapacity!$A$2:$A$526,RefCapacityProj!$D40,RefCapacity!$B$2:$B$526,2019)</f>
        <v>349.67882510103493</v>
      </c>
      <c r="AT40" cm="1">
        <f t="array" ref="AT40">$Y40*INDEX(RefCapacity!$D$2:$D$526,MATCH(1,(RefCapacity!$A$2:$A$526=RefCapacityProj!$D40)*(RefCapacity!$B$2:$B$526=2019)*(RefCapacity!$C$2:$C$526=AM$1),0))/SUMIFS(RefCapacity!$D$2:$D$526,RefCapacity!$A$2:$A$526,RefCapacityProj!$D40,RefCapacity!$B$2:$B$526,2019)</f>
        <v>1339.6566978888193</v>
      </c>
      <c r="AU40" cm="1">
        <f t="array" ref="AU40">INDEX(RefCapacity!$D$2:$D$526,MATCH(1,(RefCapacity!$A$2:$A$526=RefCapacityProj!$D40)*(RefCapacity!$B$2:$B$526=2019)*(RefCapacity!$C$2:$C$526=RefCapacityProj!AG$1),0))*IF($C40=2035,1+VLOOKUP(AG$1,RefCapacity!$H$2:$L$8,2,FALSE),1+VLOOKUP(AG$1,RefCapacity!$H$2:$L$8,4,FALSE))</f>
        <v>884.55862608843188</v>
      </c>
      <c r="AV40" cm="1">
        <f t="array" ref="AV40">INDEX(RefCapacity!$D$2:$D$526,MATCH(1,(RefCapacity!$A$2:$A$526=RefCapacityProj!$D40)*(RefCapacity!$B$2:$B$526=2019)*(RefCapacity!$C$2:$C$526=RefCapacityProj!AH$1),0))*IF($C40=2035,1+VLOOKUP(AH$1,RefCapacity!$H$2:$L$8,2,FALSE),1+VLOOKUP(AH$1,RefCapacity!$H$2:$L$8,4,FALSE))</f>
        <v>379.90242021338935</v>
      </c>
      <c r="AW40" cm="1">
        <f t="array" ref="AW40">INDEX(RefCapacity!$D$2:$D$526,MATCH(1,(RefCapacity!$A$2:$A$526=RefCapacityProj!$D40)*(RefCapacity!$B$2:$B$526=2019)*(RefCapacity!$C$2:$C$526=RefCapacityProj!AI$1),0))*IF($C40=2035,1+VLOOKUP(AI$1,RefCapacity!$H$2:$L$8,2,FALSE),1+VLOOKUP(AI$1,RefCapacity!$H$2:$L$8,4,FALSE))</f>
        <v>260.28485694099828</v>
      </c>
      <c r="AX40" cm="1">
        <f t="array" ref="AX40">INDEX(RefCapacity!$D$2:$D$526,MATCH(1,(RefCapacity!$A$2:$A$526=RefCapacityProj!$D40)*(RefCapacity!$B$2:$B$526=2019)*(RefCapacity!$C$2:$C$526=RefCapacityProj!AJ$1),0))*IF($C40=2035,1+VLOOKUP(AJ$1,RefCapacity!$H$2:$L$8,2,FALSE),1+VLOOKUP(AJ$1,RefCapacity!$H$2:$L$8,4,FALSE))</f>
        <v>727.12618083670714</v>
      </c>
      <c r="AY40" cm="1">
        <f t="array" ref="AY40">INDEX(RefCapacity!$D$2:$D$526,MATCH(1,(RefCapacity!$A$2:$A$526=RefCapacityProj!$D40)*(RefCapacity!$B$2:$B$526=2019)*(RefCapacity!$C$2:$C$526=RefCapacityProj!AK$1),0))*IF($C40=2035,1+VLOOKUP(AK$1,RefCapacity!$H$2:$L$8,2,FALSE),1+VLOOKUP(AK$1,RefCapacity!$H$2:$L$8,4,FALSE))</f>
        <v>332.5483871083473</v>
      </c>
      <c r="AZ40" cm="1">
        <f t="array" ref="AZ40">INDEX(RefCapacity!$D$2:$D$526,MATCH(1,(RefCapacity!$A$2:$A$526=RefCapacityProj!$D40)*(RefCapacity!$B$2:$B$526=2019)*(RefCapacity!$C$2:$C$526=RefCapacityProj!AL$1),0))*IF($C40=2035,1+VLOOKUP(AL$1,RefCapacity!$H$2:$L$8,2,FALSE),1+VLOOKUP(AL$1,RefCapacity!$H$2:$L$8,4,FALSE))</f>
        <v>653.32703349282281</v>
      </c>
      <c r="BA40" cm="1">
        <f t="array" ref="BA40">INDEX(RefCapacity!$D$2:$D$526,MATCH(1,(RefCapacity!$A$2:$A$526=RefCapacityProj!$D40)*(RefCapacity!$B$2:$B$526=2019)*(RefCapacity!$C$2:$C$526=RefCapacityProj!AM$1),0))*IF($C40=2035,1+VLOOKUP(AM$1,RefCapacity!$H$2:$L$8,2,FALSE),1+VLOOKUP(AM$1,RefCapacity!$H$2:$L$8,4,FALSE))</f>
        <v>1481.5146306303682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f t="shared" si="4"/>
        <v>2831.069112353468</v>
      </c>
      <c r="BJ40">
        <f t="shared" si="5"/>
        <v>25.556243262409225</v>
      </c>
      <c r="BK40">
        <f t="shared" si="6"/>
        <v>1.0000038827209679E-2</v>
      </c>
      <c r="BL40" cm="1">
        <f t="array" ref="BL40">AG40/$BI40*INDEX('GHG Emission'!$C$2:$C$1121,MATCH(1,('GHG Emission'!$D$2:$D$1121=$D40)*('GHG Emission'!$E$2:$E$1121=$C40)*('GHG Emission'!$F$2:$F$1121=$B40)*('GHG Emission'!$I$2:$I$1121=$E40)*('GHG Emission'!$J$2:$J$1121=$F40)*('GHG Emission'!$K$2:$K$1121=AG$1),0))+AH40/$BI40*INDEX('GHG Emission'!$C$2:$C$1121,MATCH(1,('GHG Emission'!$D$2:$D$1121=$D40)*('GHG Emission'!$E$2:$E$1121=$C40)*('GHG Emission'!$F$2:$F$1121=$B40)*('GHG Emission'!$I$2:$I$1121=$E40)*('GHG Emission'!$J$2:$J$1121=$F40)*('GHG Emission'!$K$2:$K$1121=AH$1),0))+AI40/$BI40*INDEX('GHG Emission'!$C$2:$C$1121,MATCH(1,('GHG Emission'!$D$2:$D$1121=$D40)*('GHG Emission'!$E$2:$E$1121=$C40)*('GHG Emission'!$F$2:$F$1121=$B40)*('GHG Emission'!$I$2:$I$1121=$E40)*('GHG Emission'!$J$2:$J$1121=$F40)*('GHG Emission'!$K$2:$K$1121=AI$1),0))+AJ40/$BI40*INDEX('GHG Emission'!$C$2:$C$1121,MATCH(1,('GHG Emission'!$D$2:$D$1121=$D40)*('GHG Emission'!$E$2:$E$1121=$C40)*('GHG Emission'!$F$2:$F$1121=$B40)*('GHG Emission'!$I$2:$I$1121=$E40)*('GHG Emission'!$J$2:$J$1121=$F40)*('GHG Emission'!$K$2:$K$1121=AJ$1),0))+AK40/$BI40*INDEX('GHG Emission'!$C$2:$C$1121,MATCH(1,('GHG Emission'!$D$2:$D$1121=$D40)*('GHG Emission'!$E$2:$E$1121=$C40)*('GHG Emission'!$F$2:$F$1121=$B40)*('GHG Emission'!$I$2:$I$1121=$E40)*('GHG Emission'!$J$2:$J$1121=$F40)*('GHG Emission'!$K$2:$K$1121=AK$1),0))+AL40/$BI40*INDEX('GHG Emission'!$C$2:$C$1121,MATCH(1,('GHG Emission'!$D$2:$D$1121=$D40)*('GHG Emission'!$E$2:$E$1121=$C40)*('GHG Emission'!$F$2:$F$1121=$B40)*('GHG Emission'!$I$2:$I$1121=$E40)*('GHG Emission'!$J$2:$J$1121=$F40)*('GHG Emission'!$K$2:$K$1121=AL$1),0))+AM40/$BI40*INDEX('GHG Emission'!$C$2:$C$1121,MATCH(1,('GHG Emission'!$D$2:$D$1121=$D40)*('GHG Emission'!$E$2:$E$1121=$C40)*('GHG Emission'!$F$2:$F$1121=$B40)*('GHG Emission'!$I$2:$I$1121=$E40)*('GHG Emission'!$J$2:$J$1121=$F40)*('GHG Emission'!$K$2:$K$1121=AM$1),0))</f>
        <v>35.351347604487991</v>
      </c>
      <c r="BM40" t="str">
        <f t="shared" si="7"/>
        <v>LIGHT/SWEET</v>
      </c>
    </row>
    <row r="41" spans="1:65" hidden="1" x14ac:dyDescent="0.25">
      <c r="A41">
        <v>40</v>
      </c>
      <c r="B41" t="s">
        <v>465</v>
      </c>
      <c r="C41">
        <v>2050</v>
      </c>
      <c r="D41">
        <v>5</v>
      </c>
      <c r="E41" t="s">
        <v>469</v>
      </c>
      <c r="F41" t="s">
        <v>468</v>
      </c>
      <c r="G41">
        <v>1412.5116946425601</v>
      </c>
      <c r="H41">
        <v>234.13944510678027</v>
      </c>
      <c r="I41">
        <v>867.20050564551502</v>
      </c>
      <c r="J41">
        <v>455.52894793183503</v>
      </c>
      <c r="K41">
        <v>419.77387298964987</v>
      </c>
      <c r="L41">
        <v>31.280067815142612</v>
      </c>
      <c r="M41">
        <v>0</v>
      </c>
      <c r="N41">
        <v>0</v>
      </c>
      <c r="O41">
        <v>0</v>
      </c>
      <c r="P41">
        <v>71.310153574703051</v>
      </c>
      <c r="Q41">
        <v>0</v>
      </c>
      <c r="R41">
        <v>0</v>
      </c>
      <c r="S41">
        <v>0</v>
      </c>
      <c r="T41">
        <v>25.739540023388059</v>
      </c>
      <c r="U41">
        <v>0</v>
      </c>
      <c r="V41">
        <v>0</v>
      </c>
      <c r="W41">
        <v>0</v>
      </c>
      <c r="X41">
        <f t="shared" si="0"/>
        <v>3517.4842277295743</v>
      </c>
      <c r="Y41">
        <f>X41*VLOOKUP($D41,'LinearReg Model'!$S$2:$T$6,2,FALSE)</f>
        <v>2805.5128690910587</v>
      </c>
      <c r="Z41">
        <f t="shared" si="1"/>
        <v>0.40156873583319291</v>
      </c>
      <c r="AA41">
        <f t="shared" si="2"/>
        <v>0.24653998411963476</v>
      </c>
      <c r="AB41">
        <f t="shared" si="3"/>
        <v>6.6564461970000058E-2</v>
      </c>
      <c r="AC41">
        <v>34.263678151264266</v>
      </c>
      <c r="AD41">
        <v>1.8659991154487672</v>
      </c>
      <c r="AE41" s="2">
        <f>VLOOKUP($D41,'MultiReg Model'!$A$5:$F$9,2,FALSE)+AC41*VLOOKUP($D41,'MultiReg Model'!$A$5:$F$9,3,FALSE)+Z41*VLOOKUP($D41,'MultiReg Model'!$A$5:$F$9,4,FALSE)+AA41*VLOOKUP($D41,'MultiReg Model'!$A$5:$F$9,5,FALSE)+AB41*VLOOKUP($D41,'MultiReg Model'!$A$5:$F$9,6,FALSE)</f>
        <v>8.4637877468905032</v>
      </c>
      <c r="AF41" cm="1">
        <f t="array" ref="AF41">MMULT($AG41:$AM41,'Avg CI Index'!$C$2:$C$8)/BI41</f>
        <v>8.4737877857177129</v>
      </c>
      <c r="AG41">
        <v>532.76454242210013</v>
      </c>
      <c r="AH41">
        <v>290.25307096801936</v>
      </c>
      <c r="AI41">
        <v>260.27984205068401</v>
      </c>
      <c r="AJ41">
        <v>184.45435883747342</v>
      </c>
      <c r="AK41">
        <v>132.97482294251103</v>
      </c>
      <c r="AL41">
        <v>247.6077300856991</v>
      </c>
      <c r="AM41">
        <v>1182.7347450469808</v>
      </c>
      <c r="AN41" cm="1">
        <f t="array" ref="AN41">$Y41*INDEX(RefCapacity!$D$2:$D$526,MATCH(1,(RefCapacity!$A$2:$A$526=RefCapacityProj!$D41)*(RefCapacity!$B$2:$B$526=2019)*(RefCapacity!$C$2:$C$526=AG$1),0))/SUMIFS(RefCapacity!$D$2:$D$526,RefCapacity!$A$2:$A$526,RefCapacityProj!$D41,RefCapacity!$B$2:$B$526,2019)</f>
        <v>190.44789686246213</v>
      </c>
      <c r="AO41" cm="1">
        <f t="array" ref="AO41">$Y41*INDEX(RefCapacity!$D$2:$D$526,MATCH(1,(RefCapacity!$A$2:$A$526=RefCapacityProj!$D41)*(RefCapacity!$B$2:$B$526=2019)*(RefCapacity!$C$2:$C$526=AH$1),0))/SUMIFS(RefCapacity!$D$2:$D$526,RefCapacity!$A$2:$A$526,RefCapacityProj!$D41,RefCapacity!$B$2:$B$526,2019)</f>
        <v>218.51878036722511</v>
      </c>
      <c r="AP41" cm="1">
        <f t="array" ref="AP41">$Y41*INDEX(RefCapacity!$D$2:$D$526,MATCH(1,(RefCapacity!$A$2:$A$526=RefCapacityProj!$D41)*(RefCapacity!$B$2:$B$526=2019)*(RefCapacity!$C$2:$C$526=AI$1),0))/SUMIFS(RefCapacity!$D$2:$D$526,RefCapacity!$A$2:$A$526,RefCapacityProj!$D41,RefCapacity!$B$2:$B$526,2019)</f>
        <v>237.78550318978176</v>
      </c>
      <c r="AQ41" cm="1">
        <f t="array" ref="AQ41">$Y41*INDEX(RefCapacity!$D$2:$D$526,MATCH(1,(RefCapacity!$A$2:$A$526=RefCapacityProj!$D41)*(RefCapacity!$B$2:$B$526=2019)*(RefCapacity!$C$2:$C$526=AJ$1),0))/SUMIFS(RefCapacity!$D$2:$D$526,RefCapacity!$A$2:$A$526,RefCapacityProj!$D41,RefCapacity!$B$2:$B$526,2019)</f>
        <v>250.71127926061089</v>
      </c>
      <c r="AR41" cm="1">
        <f t="array" ref="AR41">$Y41*INDEX(RefCapacity!$D$2:$D$526,MATCH(1,(RefCapacity!$A$2:$A$526=RefCapacityProj!$D41)*(RefCapacity!$B$2:$B$526=2019)*(RefCapacity!$C$2:$C$526=AK$1),0))/SUMIFS(RefCapacity!$D$2:$D$526,RefCapacity!$A$2:$A$526,RefCapacityProj!$D41,RefCapacity!$B$2:$B$526,2019)</f>
        <v>218.71388642112441</v>
      </c>
      <c r="AS41" cm="1">
        <f t="array" ref="AS41">$Y41*INDEX(RefCapacity!$D$2:$D$526,MATCH(1,(RefCapacity!$A$2:$A$526=RefCapacityProj!$D41)*(RefCapacity!$B$2:$B$526=2019)*(RefCapacity!$C$2:$C$526=AL$1),0))/SUMIFS(RefCapacity!$D$2:$D$526,RefCapacity!$A$2:$A$526,RefCapacityProj!$D41,RefCapacity!$B$2:$B$526,2019)</f>
        <v>349.67882510103493</v>
      </c>
      <c r="AT41" cm="1">
        <f t="array" ref="AT41">$Y41*INDEX(RefCapacity!$D$2:$D$526,MATCH(1,(RefCapacity!$A$2:$A$526=RefCapacityProj!$D41)*(RefCapacity!$B$2:$B$526=2019)*(RefCapacity!$C$2:$C$526=AM$1),0))/SUMIFS(RefCapacity!$D$2:$D$526,RefCapacity!$A$2:$A$526,RefCapacityProj!$D41,RefCapacity!$B$2:$B$526,2019)</f>
        <v>1339.6566978888193</v>
      </c>
      <c r="AU41" cm="1">
        <f t="array" ref="AU41">INDEX(RefCapacity!$D$2:$D$526,MATCH(1,(RefCapacity!$A$2:$A$526=RefCapacityProj!$D41)*(RefCapacity!$B$2:$B$526=2019)*(RefCapacity!$C$2:$C$526=RefCapacityProj!AG$1),0))*IF($C41=2035,1+VLOOKUP(AG$1,RefCapacity!$H$2:$L$8,2,FALSE),1+VLOOKUP(AG$1,RefCapacity!$H$2:$L$8,4,FALSE))</f>
        <v>884.55862608843188</v>
      </c>
      <c r="AV41" cm="1">
        <f t="array" ref="AV41">INDEX(RefCapacity!$D$2:$D$526,MATCH(1,(RefCapacity!$A$2:$A$526=RefCapacityProj!$D41)*(RefCapacity!$B$2:$B$526=2019)*(RefCapacity!$C$2:$C$526=RefCapacityProj!AH$1),0))*IF($C41=2035,1+VLOOKUP(AH$1,RefCapacity!$H$2:$L$8,2,FALSE),1+VLOOKUP(AH$1,RefCapacity!$H$2:$L$8,4,FALSE))</f>
        <v>379.90242021338935</v>
      </c>
      <c r="AW41" cm="1">
        <f t="array" ref="AW41">INDEX(RefCapacity!$D$2:$D$526,MATCH(1,(RefCapacity!$A$2:$A$526=RefCapacityProj!$D41)*(RefCapacity!$B$2:$B$526=2019)*(RefCapacity!$C$2:$C$526=RefCapacityProj!AI$1),0))*IF($C41=2035,1+VLOOKUP(AI$1,RefCapacity!$H$2:$L$8,2,FALSE),1+VLOOKUP(AI$1,RefCapacity!$H$2:$L$8,4,FALSE))</f>
        <v>260.28485694099828</v>
      </c>
      <c r="AX41" cm="1">
        <f t="array" ref="AX41">INDEX(RefCapacity!$D$2:$D$526,MATCH(1,(RefCapacity!$A$2:$A$526=RefCapacityProj!$D41)*(RefCapacity!$B$2:$B$526=2019)*(RefCapacity!$C$2:$C$526=RefCapacityProj!AJ$1),0))*IF($C41=2035,1+VLOOKUP(AJ$1,RefCapacity!$H$2:$L$8,2,FALSE),1+VLOOKUP(AJ$1,RefCapacity!$H$2:$L$8,4,FALSE))</f>
        <v>727.12618083670714</v>
      </c>
      <c r="AY41" cm="1">
        <f t="array" ref="AY41">INDEX(RefCapacity!$D$2:$D$526,MATCH(1,(RefCapacity!$A$2:$A$526=RefCapacityProj!$D41)*(RefCapacity!$B$2:$B$526=2019)*(RefCapacity!$C$2:$C$526=RefCapacityProj!AK$1),0))*IF($C41=2035,1+VLOOKUP(AK$1,RefCapacity!$H$2:$L$8,2,FALSE),1+VLOOKUP(AK$1,RefCapacity!$H$2:$L$8,4,FALSE))</f>
        <v>332.5483871083473</v>
      </c>
      <c r="AZ41" cm="1">
        <f t="array" ref="AZ41">INDEX(RefCapacity!$D$2:$D$526,MATCH(1,(RefCapacity!$A$2:$A$526=RefCapacityProj!$D41)*(RefCapacity!$B$2:$B$526=2019)*(RefCapacity!$C$2:$C$526=RefCapacityProj!AL$1),0))*IF($C41=2035,1+VLOOKUP(AL$1,RefCapacity!$H$2:$L$8,2,FALSE),1+VLOOKUP(AL$1,RefCapacity!$H$2:$L$8,4,FALSE))</f>
        <v>653.32703349282281</v>
      </c>
      <c r="BA41" cm="1">
        <f t="array" ref="BA41">INDEX(RefCapacity!$D$2:$D$526,MATCH(1,(RefCapacity!$A$2:$A$526=RefCapacityProj!$D41)*(RefCapacity!$B$2:$B$526=2019)*(RefCapacity!$C$2:$C$526=RefCapacityProj!AM$1),0))*IF($C41=2035,1+VLOOKUP(AM$1,RefCapacity!$H$2:$L$8,2,FALSE),1+VLOOKUP(AM$1,RefCapacity!$H$2:$L$8,4,FALSE))</f>
        <v>1481.5146306303682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f t="shared" si="4"/>
        <v>2831.069112353468</v>
      </c>
      <c r="BJ41">
        <f t="shared" si="5"/>
        <v>25.556243262409225</v>
      </c>
      <c r="BK41">
        <f t="shared" si="6"/>
        <v>1.0000038827209679E-2</v>
      </c>
      <c r="BL41" cm="1">
        <f t="array" ref="BL41">AG41/$BI41*INDEX('GHG Emission'!$C$2:$C$1121,MATCH(1,('GHG Emission'!$D$2:$D$1121=$D41)*('GHG Emission'!$E$2:$E$1121=$C41)*('GHG Emission'!$F$2:$F$1121=$B41)*('GHG Emission'!$I$2:$I$1121=$E41)*('GHG Emission'!$J$2:$J$1121=$F41)*('GHG Emission'!$K$2:$K$1121=AG$1),0))+AH41/$BI41*INDEX('GHG Emission'!$C$2:$C$1121,MATCH(1,('GHG Emission'!$D$2:$D$1121=$D41)*('GHG Emission'!$E$2:$E$1121=$C41)*('GHG Emission'!$F$2:$F$1121=$B41)*('GHG Emission'!$I$2:$I$1121=$E41)*('GHG Emission'!$J$2:$J$1121=$F41)*('GHG Emission'!$K$2:$K$1121=AH$1),0))+AI41/$BI41*INDEX('GHG Emission'!$C$2:$C$1121,MATCH(1,('GHG Emission'!$D$2:$D$1121=$D41)*('GHG Emission'!$E$2:$E$1121=$C41)*('GHG Emission'!$F$2:$F$1121=$B41)*('GHG Emission'!$I$2:$I$1121=$E41)*('GHG Emission'!$J$2:$J$1121=$F41)*('GHG Emission'!$K$2:$K$1121=AI$1),0))+AJ41/$BI41*INDEX('GHG Emission'!$C$2:$C$1121,MATCH(1,('GHG Emission'!$D$2:$D$1121=$D41)*('GHG Emission'!$E$2:$E$1121=$C41)*('GHG Emission'!$F$2:$F$1121=$B41)*('GHG Emission'!$I$2:$I$1121=$E41)*('GHG Emission'!$J$2:$J$1121=$F41)*('GHG Emission'!$K$2:$K$1121=AJ$1),0))+AK41/$BI41*INDEX('GHG Emission'!$C$2:$C$1121,MATCH(1,('GHG Emission'!$D$2:$D$1121=$D41)*('GHG Emission'!$E$2:$E$1121=$C41)*('GHG Emission'!$F$2:$F$1121=$B41)*('GHG Emission'!$I$2:$I$1121=$E41)*('GHG Emission'!$J$2:$J$1121=$F41)*('GHG Emission'!$K$2:$K$1121=AK$1),0))+AL41/$BI41*INDEX('GHG Emission'!$C$2:$C$1121,MATCH(1,('GHG Emission'!$D$2:$D$1121=$D41)*('GHG Emission'!$E$2:$E$1121=$C41)*('GHG Emission'!$F$2:$F$1121=$B41)*('GHG Emission'!$I$2:$I$1121=$E41)*('GHG Emission'!$J$2:$J$1121=$F41)*('GHG Emission'!$K$2:$K$1121=AL$1),0))+AM41/$BI41*INDEX('GHG Emission'!$C$2:$C$1121,MATCH(1,('GHG Emission'!$D$2:$D$1121=$D41)*('GHG Emission'!$E$2:$E$1121=$C41)*('GHG Emission'!$F$2:$F$1121=$B41)*('GHG Emission'!$I$2:$I$1121=$E41)*('GHG Emission'!$J$2:$J$1121=$F41)*('GHG Emission'!$K$2:$K$1121=AM$1),0))</f>
        <v>35.501699125954019</v>
      </c>
      <c r="BM41" t="str">
        <f t="shared" si="7"/>
        <v>LIGHT/SOUR</v>
      </c>
    </row>
    <row r="42" spans="1:65" hidden="1" x14ac:dyDescent="0.25">
      <c r="A42">
        <v>41</v>
      </c>
      <c r="B42" t="s">
        <v>470</v>
      </c>
      <c r="C42">
        <v>2035</v>
      </c>
      <c r="D42">
        <v>1</v>
      </c>
      <c r="E42" t="s">
        <v>466</v>
      </c>
      <c r="F42" t="s">
        <v>467</v>
      </c>
      <c r="G42">
        <v>757.83607394130411</v>
      </c>
      <c r="H42">
        <v>103.30655223670755</v>
      </c>
      <c r="I42">
        <v>285.20049437211475</v>
      </c>
      <c r="J42">
        <v>100.50016030793273</v>
      </c>
      <c r="K42">
        <v>126.58285122181967</v>
      </c>
      <c r="L42">
        <v>0</v>
      </c>
      <c r="M42">
        <v>0</v>
      </c>
      <c r="N42">
        <v>0</v>
      </c>
      <c r="O42">
        <v>0</v>
      </c>
      <c r="P42">
        <v>134.68606816978306</v>
      </c>
      <c r="Q42">
        <v>0</v>
      </c>
      <c r="R42">
        <v>0</v>
      </c>
      <c r="S42">
        <v>0</v>
      </c>
      <c r="T42">
        <v>10.257393535321418</v>
      </c>
      <c r="U42">
        <v>0</v>
      </c>
      <c r="V42">
        <v>0</v>
      </c>
      <c r="W42">
        <v>0</v>
      </c>
      <c r="X42">
        <f t="shared" si="0"/>
        <v>1518.3695937849832</v>
      </c>
      <c r="Y42">
        <f>X42*VLOOKUP($D42,'LinearReg Model'!$S$2:$T$6,2,FALSE)</f>
        <v>508.85987817278374</v>
      </c>
      <c r="Z42">
        <f t="shared" si="1"/>
        <v>0.49911172947831139</v>
      </c>
      <c r="AA42">
        <f t="shared" si="2"/>
        <v>0.18783338097621446</v>
      </c>
      <c r="AB42">
        <f t="shared" si="3"/>
        <v>6.8037816786877009E-2</v>
      </c>
      <c r="AC42">
        <v>30.30214176476078</v>
      </c>
      <c r="AD42">
        <v>0.41766843364396622</v>
      </c>
      <c r="AE42" s="2">
        <f>VLOOKUP($D42,'MultiReg Model'!$A$5:$F$9,2,FALSE)+AC42*VLOOKUP($D42,'MultiReg Model'!$A$5:$F$9,3,FALSE)+Z42*VLOOKUP($D42,'MultiReg Model'!$A$5:$F$9,4,FALSE)+AA42*VLOOKUP($D42,'MultiReg Model'!$A$5:$F$9,5,FALSE)+AB42*VLOOKUP($D42,'MultiReg Model'!$A$5:$F$9,6,FALSE)</f>
        <v>8.1481119829947097</v>
      </c>
      <c r="AF42" cm="1">
        <f t="array" ref="AF42">MMULT($AG42:$AM42,'Avg CI Index'!$C$2:$C$8)/BI42</f>
        <v>8.1581119839300822</v>
      </c>
      <c r="AG42">
        <v>31.797506701249795</v>
      </c>
      <c r="AH42">
        <v>277.14411541541801</v>
      </c>
      <c r="AI42">
        <v>0</v>
      </c>
      <c r="AJ42">
        <v>77.559055484078357</v>
      </c>
      <c r="AK42">
        <v>60.003679356076788</v>
      </c>
      <c r="AL42">
        <v>0</v>
      </c>
      <c r="AM42">
        <v>65.614813113844079</v>
      </c>
      <c r="AN42" cm="1">
        <f t="array" ref="AN42">$Y42*INDEX(RefCapacity!$D$2:$D$526,MATCH(1,(RefCapacity!$A$2:$A$526=RefCapacityProj!$D42)*(RefCapacity!$B$2:$B$526=2019)*(RefCapacity!$C$2:$C$526=AG$1),0))/SUMIFS(RefCapacity!$D$2:$D$526,RefCapacity!$A$2:$A$526,RefCapacityProj!$D42,RefCapacity!$B$2:$B$526,2019)</f>
        <v>13.662720354415848</v>
      </c>
      <c r="AO42" cm="1">
        <f t="array" ref="AO42">$Y42*INDEX(RefCapacity!$D$2:$D$526,MATCH(1,(RefCapacity!$A$2:$A$526=RefCapacityProj!$D42)*(RefCapacity!$B$2:$B$526=2019)*(RefCapacity!$C$2:$C$526=AH$1),0))/SUMIFS(RefCapacity!$D$2:$D$526,RefCapacity!$A$2:$A$526,RefCapacityProj!$D42,RefCapacity!$B$2:$B$526,2019)</f>
        <v>273.68834103786736</v>
      </c>
      <c r="AP42" cm="1">
        <f t="array" ref="AP42">$Y42*INDEX(RefCapacity!$D$2:$D$526,MATCH(1,(RefCapacity!$A$2:$A$526=RefCapacityProj!$D42)*(RefCapacity!$B$2:$B$526=2019)*(RefCapacity!$C$2:$C$526=AI$1),0))/SUMIFS(RefCapacity!$D$2:$D$526,RefCapacity!$A$2:$A$526,RefCapacityProj!$D42,RefCapacity!$B$2:$B$526,2019)</f>
        <v>0</v>
      </c>
      <c r="AQ42" cm="1">
        <f t="array" ref="AQ42">$Y42*INDEX(RefCapacity!$D$2:$D$526,MATCH(1,(RefCapacity!$A$2:$A$526=RefCapacityProj!$D42)*(RefCapacity!$B$2:$B$526=2019)*(RefCapacity!$C$2:$C$526=AJ$1),0))/SUMIFS(RefCapacity!$D$2:$D$526,RefCapacity!$A$2:$A$526,RefCapacityProj!$D42,RefCapacity!$B$2:$B$526,2019)</f>
        <v>81.662236601106201</v>
      </c>
      <c r="AR42" cm="1">
        <f t="array" ref="AR42">$Y42*INDEX(RefCapacity!$D$2:$D$526,MATCH(1,(RefCapacity!$A$2:$A$526=RefCapacityProj!$D42)*(RefCapacity!$B$2:$B$526=2019)*(RefCapacity!$C$2:$C$526=AK$1),0))/SUMIFS(RefCapacity!$D$2:$D$526,RefCapacity!$A$2:$A$526,RefCapacityProj!$D42,RefCapacity!$B$2:$B$526,2019)</f>
        <v>65.172746518190522</v>
      </c>
      <c r="AS42" cm="1">
        <f t="array" ref="AS42">$Y42*INDEX(RefCapacity!$D$2:$D$526,MATCH(1,(RefCapacity!$A$2:$A$526=RefCapacityProj!$D42)*(RefCapacity!$B$2:$B$526=2019)*(RefCapacity!$C$2:$C$526=AL$1),0))/SUMIFS(RefCapacity!$D$2:$D$526,RefCapacity!$A$2:$A$526,RefCapacityProj!$D42,RefCapacity!$B$2:$B$526,2019)</f>
        <v>0</v>
      </c>
      <c r="AT42" cm="1">
        <f t="array" ref="AT42">$Y42*INDEX(RefCapacity!$D$2:$D$526,MATCH(1,(RefCapacity!$A$2:$A$526=RefCapacityProj!$D42)*(RefCapacity!$B$2:$B$526=2019)*(RefCapacity!$C$2:$C$526=AM$1),0))/SUMIFS(RefCapacity!$D$2:$D$526,RefCapacity!$A$2:$A$526,RefCapacityProj!$D42,RefCapacity!$B$2:$B$526,2019)</f>
        <v>74.673833661203844</v>
      </c>
      <c r="AU42" cm="1">
        <f t="array" ref="AU42">INDEX(RefCapacity!$D$2:$D$526,MATCH(1,(RefCapacity!$A$2:$A$526=RefCapacityProj!$D42)*(RefCapacity!$B$2:$B$526=2019)*(RefCapacity!$C$2:$C$526=RefCapacityProj!AG$1),0))*IF($C42=2035,1+VLOOKUP(AG$1,RefCapacity!$H$2:$L$8,2,FALSE),1+VLOOKUP(AG$1,RefCapacity!$H$2:$L$8,4,FALSE))</f>
        <v>91.42693476369206</v>
      </c>
      <c r="AV42" cm="1">
        <f t="array" ref="AV42">INDEX(RefCapacity!$D$2:$D$526,MATCH(1,(RefCapacity!$A$2:$A$526=RefCapacityProj!$D42)*(RefCapacity!$B$2:$B$526=2019)*(RefCapacity!$C$2:$C$526=RefCapacityProj!AH$1),0))*IF($C42=2035,1+VLOOKUP(AH$1,RefCapacity!$H$2:$L$8,2,FALSE),1+VLOOKUP(AH$1,RefCapacity!$H$2:$L$8,4,FALSE))</f>
        <v>892.71066470160065</v>
      </c>
      <c r="AW42" cm="1">
        <f t="array" ref="AW42">INDEX(RefCapacity!$D$2:$D$526,MATCH(1,(RefCapacity!$A$2:$A$526=RefCapacityProj!$D42)*(RefCapacity!$B$2:$B$526=2019)*(RefCapacity!$C$2:$C$526=RefCapacityProj!AI$1),0))*IF($C42=2035,1+VLOOKUP(AI$1,RefCapacity!$H$2:$L$8,2,FALSE),1+VLOOKUP(AI$1,RefCapacity!$H$2:$L$8,4,FALSE))</f>
        <v>0</v>
      </c>
      <c r="AX42" cm="1">
        <f t="array" ref="AX42">INDEX(RefCapacity!$D$2:$D$526,MATCH(1,(RefCapacity!$A$2:$A$526=RefCapacityProj!$D42)*(RefCapacity!$B$2:$B$526=2019)*(RefCapacity!$C$2:$C$526=RefCapacityProj!AJ$1),0))*IF($C42=2035,1+VLOOKUP(AJ$1,RefCapacity!$H$2:$L$8,2,FALSE),1+VLOOKUP(AJ$1,RefCapacity!$H$2:$L$8,4,FALSE))</f>
        <v>378.33333333333331</v>
      </c>
      <c r="AY42" cm="1">
        <f t="array" ref="AY42">INDEX(RefCapacity!$D$2:$D$526,MATCH(1,(RefCapacity!$A$2:$A$526=RefCapacityProj!$D42)*(RefCapacity!$B$2:$B$526=2019)*(RefCapacity!$C$2:$C$526=RefCapacityProj!AK$1),0))*IF($C42=2035,1+VLOOKUP(AK$1,RefCapacity!$H$2:$L$8,2,FALSE),1+VLOOKUP(AK$1,RefCapacity!$H$2:$L$8,4,FALSE))</f>
        <v>195.80557682200353</v>
      </c>
      <c r="AZ42" cm="1">
        <f t="array" ref="AZ42">INDEX(RefCapacity!$D$2:$D$526,MATCH(1,(RefCapacity!$A$2:$A$526=RefCapacityProj!$D42)*(RefCapacity!$B$2:$B$526=2019)*(RefCapacity!$C$2:$C$526=RefCapacityProj!AL$1),0))*IF($C42=2035,1+VLOOKUP(AL$1,RefCapacity!$H$2:$L$8,2,FALSE),1+VLOOKUP(AL$1,RefCapacity!$H$2:$L$8,4,FALSE))</f>
        <v>0</v>
      </c>
      <c r="BA42" cm="1">
        <f t="array" ref="BA42">INDEX(RefCapacity!$D$2:$D$526,MATCH(1,(RefCapacity!$A$2:$A$526=RefCapacityProj!$D42)*(RefCapacity!$B$2:$B$526=2019)*(RefCapacity!$C$2:$C$526=RefCapacityProj!AM$1),0))*IF($C42=2035,1+VLOOKUP(AM$1,RefCapacity!$H$2:$L$8,2,FALSE),1+VLOOKUP(AM$1,RefCapacity!$H$2:$L$8,4,FALSE))</f>
        <v>187.81193219368552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f t="shared" si="4"/>
        <v>512.119170070667</v>
      </c>
      <c r="BJ42">
        <f t="shared" si="5"/>
        <v>3.2592918978832586</v>
      </c>
      <c r="BK42">
        <f t="shared" si="6"/>
        <v>1.0000000935372455E-2</v>
      </c>
      <c r="BL42" cm="1">
        <f t="array" ref="BL42">AG42/$BI42*INDEX('GHG Emission'!$C$2:$C$1121,MATCH(1,('GHG Emission'!$D$2:$D$1121=$D42)*('GHG Emission'!$E$2:$E$1121=$C42)*('GHG Emission'!$F$2:$F$1121=$B42)*('GHG Emission'!$I$2:$I$1121=$E42)*('GHG Emission'!$J$2:$J$1121=$F42)*('GHG Emission'!$K$2:$K$1121=AG$1),0))+AH42/$BI42*INDEX('GHG Emission'!$C$2:$C$1121,MATCH(1,('GHG Emission'!$D$2:$D$1121=$D42)*('GHG Emission'!$E$2:$E$1121=$C42)*('GHG Emission'!$F$2:$F$1121=$B42)*('GHG Emission'!$I$2:$I$1121=$E42)*('GHG Emission'!$J$2:$J$1121=$F42)*('GHG Emission'!$K$2:$K$1121=AH$1),0))+AI42/$BI42*INDEX('GHG Emission'!$C$2:$C$1121,MATCH(1,('GHG Emission'!$D$2:$D$1121=$D42)*('GHG Emission'!$E$2:$E$1121=$C42)*('GHG Emission'!$F$2:$F$1121=$B42)*('GHG Emission'!$I$2:$I$1121=$E42)*('GHG Emission'!$J$2:$J$1121=$F42)*('GHG Emission'!$K$2:$K$1121=AI$1),0))+AJ42/$BI42*INDEX('GHG Emission'!$C$2:$C$1121,MATCH(1,('GHG Emission'!$D$2:$D$1121=$D42)*('GHG Emission'!$E$2:$E$1121=$C42)*('GHG Emission'!$F$2:$F$1121=$B42)*('GHG Emission'!$I$2:$I$1121=$E42)*('GHG Emission'!$J$2:$J$1121=$F42)*('GHG Emission'!$K$2:$K$1121=AJ$1),0))+AK42/$BI42*INDEX('GHG Emission'!$C$2:$C$1121,MATCH(1,('GHG Emission'!$D$2:$D$1121=$D42)*('GHG Emission'!$E$2:$E$1121=$C42)*('GHG Emission'!$F$2:$F$1121=$B42)*('GHG Emission'!$I$2:$I$1121=$E42)*('GHG Emission'!$J$2:$J$1121=$F42)*('GHG Emission'!$K$2:$K$1121=AK$1),0))+AL42/$BI42*INDEX('GHG Emission'!$C$2:$C$1121,MATCH(1,('GHG Emission'!$D$2:$D$1121=$D42)*('GHG Emission'!$E$2:$E$1121=$C42)*('GHG Emission'!$F$2:$F$1121=$B42)*('GHG Emission'!$I$2:$I$1121=$E42)*('GHG Emission'!$J$2:$J$1121=$F42)*('GHG Emission'!$K$2:$K$1121=AL$1),0))+AM42/$BI42*INDEX('GHG Emission'!$C$2:$C$1121,MATCH(1,('GHG Emission'!$D$2:$D$1121=$D42)*('GHG Emission'!$E$2:$E$1121=$C42)*('GHG Emission'!$F$2:$F$1121=$B42)*('GHG Emission'!$I$2:$I$1121=$E42)*('GHG Emission'!$J$2:$J$1121=$F42)*('GHG Emission'!$K$2:$K$1121=AM$1),0))</f>
        <v>33.128999684402402</v>
      </c>
      <c r="BM42" t="str">
        <f t="shared" si="7"/>
        <v>HEAVY/SWEET</v>
      </c>
    </row>
    <row r="43" spans="1:65" hidden="1" x14ac:dyDescent="0.25">
      <c r="A43">
        <v>42</v>
      </c>
      <c r="B43" t="s">
        <v>470</v>
      </c>
      <c r="C43">
        <v>2035</v>
      </c>
      <c r="D43">
        <v>1</v>
      </c>
      <c r="E43" t="s">
        <v>466</v>
      </c>
      <c r="F43" t="s">
        <v>468</v>
      </c>
      <c r="G43">
        <v>757.83607394130411</v>
      </c>
      <c r="H43">
        <v>103.30655223670755</v>
      </c>
      <c r="I43">
        <v>285.20049437211475</v>
      </c>
      <c r="J43">
        <v>100.50016030793273</v>
      </c>
      <c r="K43">
        <v>126.58285122181967</v>
      </c>
      <c r="L43">
        <v>0</v>
      </c>
      <c r="M43">
        <v>0</v>
      </c>
      <c r="N43">
        <v>0</v>
      </c>
      <c r="O43">
        <v>0</v>
      </c>
      <c r="P43">
        <v>134.68606816978306</v>
      </c>
      <c r="Q43">
        <v>0</v>
      </c>
      <c r="R43">
        <v>0</v>
      </c>
      <c r="S43">
        <v>0</v>
      </c>
      <c r="T43">
        <v>10.257393535321418</v>
      </c>
      <c r="U43">
        <v>0</v>
      </c>
      <c r="V43">
        <v>0</v>
      </c>
      <c r="W43">
        <v>0</v>
      </c>
      <c r="X43">
        <f t="shared" si="0"/>
        <v>1518.3695937849832</v>
      </c>
      <c r="Y43">
        <f>X43*VLOOKUP($D43,'LinearReg Model'!$S$2:$T$6,2,FALSE)</f>
        <v>508.85987817278374</v>
      </c>
      <c r="Z43">
        <f t="shared" si="1"/>
        <v>0.49911172947831139</v>
      </c>
      <c r="AA43">
        <f t="shared" si="2"/>
        <v>0.18783338097621446</v>
      </c>
      <c r="AB43">
        <f t="shared" si="3"/>
        <v>6.8037816786877009E-2</v>
      </c>
      <c r="AC43">
        <v>30.30214176476078</v>
      </c>
      <c r="AD43">
        <v>1.5301400799730309</v>
      </c>
      <c r="AE43" s="2">
        <f>VLOOKUP($D43,'MultiReg Model'!$A$5:$F$9,2,FALSE)+AC43*VLOOKUP($D43,'MultiReg Model'!$A$5:$F$9,3,FALSE)+Z43*VLOOKUP($D43,'MultiReg Model'!$A$5:$F$9,4,FALSE)+AA43*VLOOKUP($D43,'MultiReg Model'!$A$5:$F$9,5,FALSE)+AB43*VLOOKUP($D43,'MultiReg Model'!$A$5:$F$9,6,FALSE)</f>
        <v>8.1481119829947097</v>
      </c>
      <c r="AF43" cm="1">
        <f t="array" ref="AF43">MMULT($AG43:$AM43,'Avg CI Index'!$C$2:$C$8)/BI43</f>
        <v>8.1581119839300822</v>
      </c>
      <c r="AG43">
        <v>31.797506701249795</v>
      </c>
      <c r="AH43">
        <v>277.14411541541801</v>
      </c>
      <c r="AI43">
        <v>0</v>
      </c>
      <c r="AJ43">
        <v>77.559055484078357</v>
      </c>
      <c r="AK43">
        <v>60.003679356076788</v>
      </c>
      <c r="AL43">
        <v>0</v>
      </c>
      <c r="AM43">
        <v>65.614813113844079</v>
      </c>
      <c r="AN43" cm="1">
        <f t="array" ref="AN43">$Y43*INDEX(RefCapacity!$D$2:$D$526,MATCH(1,(RefCapacity!$A$2:$A$526=RefCapacityProj!$D43)*(RefCapacity!$B$2:$B$526=2019)*(RefCapacity!$C$2:$C$526=AG$1),0))/SUMIFS(RefCapacity!$D$2:$D$526,RefCapacity!$A$2:$A$526,RefCapacityProj!$D43,RefCapacity!$B$2:$B$526,2019)</f>
        <v>13.662720354415848</v>
      </c>
      <c r="AO43" cm="1">
        <f t="array" ref="AO43">$Y43*INDEX(RefCapacity!$D$2:$D$526,MATCH(1,(RefCapacity!$A$2:$A$526=RefCapacityProj!$D43)*(RefCapacity!$B$2:$B$526=2019)*(RefCapacity!$C$2:$C$526=AH$1),0))/SUMIFS(RefCapacity!$D$2:$D$526,RefCapacity!$A$2:$A$526,RefCapacityProj!$D43,RefCapacity!$B$2:$B$526,2019)</f>
        <v>273.68834103786736</v>
      </c>
      <c r="AP43" cm="1">
        <f t="array" ref="AP43">$Y43*INDEX(RefCapacity!$D$2:$D$526,MATCH(1,(RefCapacity!$A$2:$A$526=RefCapacityProj!$D43)*(RefCapacity!$B$2:$B$526=2019)*(RefCapacity!$C$2:$C$526=AI$1),0))/SUMIFS(RefCapacity!$D$2:$D$526,RefCapacity!$A$2:$A$526,RefCapacityProj!$D43,RefCapacity!$B$2:$B$526,2019)</f>
        <v>0</v>
      </c>
      <c r="AQ43" cm="1">
        <f t="array" ref="AQ43">$Y43*INDEX(RefCapacity!$D$2:$D$526,MATCH(1,(RefCapacity!$A$2:$A$526=RefCapacityProj!$D43)*(RefCapacity!$B$2:$B$526=2019)*(RefCapacity!$C$2:$C$526=AJ$1),0))/SUMIFS(RefCapacity!$D$2:$D$526,RefCapacity!$A$2:$A$526,RefCapacityProj!$D43,RefCapacity!$B$2:$B$526,2019)</f>
        <v>81.662236601106201</v>
      </c>
      <c r="AR43" cm="1">
        <f t="array" ref="AR43">$Y43*INDEX(RefCapacity!$D$2:$D$526,MATCH(1,(RefCapacity!$A$2:$A$526=RefCapacityProj!$D43)*(RefCapacity!$B$2:$B$526=2019)*(RefCapacity!$C$2:$C$526=AK$1),0))/SUMIFS(RefCapacity!$D$2:$D$526,RefCapacity!$A$2:$A$526,RefCapacityProj!$D43,RefCapacity!$B$2:$B$526,2019)</f>
        <v>65.172746518190522</v>
      </c>
      <c r="AS43" cm="1">
        <f t="array" ref="AS43">$Y43*INDEX(RefCapacity!$D$2:$D$526,MATCH(1,(RefCapacity!$A$2:$A$526=RefCapacityProj!$D43)*(RefCapacity!$B$2:$B$526=2019)*(RefCapacity!$C$2:$C$526=AL$1),0))/SUMIFS(RefCapacity!$D$2:$D$526,RefCapacity!$A$2:$A$526,RefCapacityProj!$D43,RefCapacity!$B$2:$B$526,2019)</f>
        <v>0</v>
      </c>
      <c r="AT43" cm="1">
        <f t="array" ref="AT43">$Y43*INDEX(RefCapacity!$D$2:$D$526,MATCH(1,(RefCapacity!$A$2:$A$526=RefCapacityProj!$D43)*(RefCapacity!$B$2:$B$526=2019)*(RefCapacity!$C$2:$C$526=AM$1),0))/SUMIFS(RefCapacity!$D$2:$D$526,RefCapacity!$A$2:$A$526,RefCapacityProj!$D43,RefCapacity!$B$2:$B$526,2019)</f>
        <v>74.673833661203844</v>
      </c>
      <c r="AU43" cm="1">
        <f t="array" ref="AU43">INDEX(RefCapacity!$D$2:$D$526,MATCH(1,(RefCapacity!$A$2:$A$526=RefCapacityProj!$D43)*(RefCapacity!$B$2:$B$526=2019)*(RefCapacity!$C$2:$C$526=RefCapacityProj!AG$1),0))*IF($C43=2035,1+VLOOKUP(AG$1,RefCapacity!$H$2:$L$8,2,FALSE),1+VLOOKUP(AG$1,RefCapacity!$H$2:$L$8,4,FALSE))</f>
        <v>91.42693476369206</v>
      </c>
      <c r="AV43" cm="1">
        <f t="array" ref="AV43">INDEX(RefCapacity!$D$2:$D$526,MATCH(1,(RefCapacity!$A$2:$A$526=RefCapacityProj!$D43)*(RefCapacity!$B$2:$B$526=2019)*(RefCapacity!$C$2:$C$526=RefCapacityProj!AH$1),0))*IF($C43=2035,1+VLOOKUP(AH$1,RefCapacity!$H$2:$L$8,2,FALSE),1+VLOOKUP(AH$1,RefCapacity!$H$2:$L$8,4,FALSE))</f>
        <v>892.71066470160065</v>
      </c>
      <c r="AW43" cm="1">
        <f t="array" ref="AW43">INDEX(RefCapacity!$D$2:$D$526,MATCH(1,(RefCapacity!$A$2:$A$526=RefCapacityProj!$D43)*(RefCapacity!$B$2:$B$526=2019)*(RefCapacity!$C$2:$C$526=RefCapacityProj!AI$1),0))*IF($C43=2035,1+VLOOKUP(AI$1,RefCapacity!$H$2:$L$8,2,FALSE),1+VLOOKUP(AI$1,RefCapacity!$H$2:$L$8,4,FALSE))</f>
        <v>0</v>
      </c>
      <c r="AX43" cm="1">
        <f t="array" ref="AX43">INDEX(RefCapacity!$D$2:$D$526,MATCH(1,(RefCapacity!$A$2:$A$526=RefCapacityProj!$D43)*(RefCapacity!$B$2:$B$526=2019)*(RefCapacity!$C$2:$C$526=RefCapacityProj!AJ$1),0))*IF($C43=2035,1+VLOOKUP(AJ$1,RefCapacity!$H$2:$L$8,2,FALSE),1+VLOOKUP(AJ$1,RefCapacity!$H$2:$L$8,4,FALSE))</f>
        <v>378.33333333333331</v>
      </c>
      <c r="AY43" cm="1">
        <f t="array" ref="AY43">INDEX(RefCapacity!$D$2:$D$526,MATCH(1,(RefCapacity!$A$2:$A$526=RefCapacityProj!$D43)*(RefCapacity!$B$2:$B$526=2019)*(RefCapacity!$C$2:$C$526=RefCapacityProj!AK$1),0))*IF($C43=2035,1+VLOOKUP(AK$1,RefCapacity!$H$2:$L$8,2,FALSE),1+VLOOKUP(AK$1,RefCapacity!$H$2:$L$8,4,FALSE))</f>
        <v>195.80557682200353</v>
      </c>
      <c r="AZ43" cm="1">
        <f t="array" ref="AZ43">INDEX(RefCapacity!$D$2:$D$526,MATCH(1,(RefCapacity!$A$2:$A$526=RefCapacityProj!$D43)*(RefCapacity!$B$2:$B$526=2019)*(RefCapacity!$C$2:$C$526=RefCapacityProj!AL$1),0))*IF($C43=2035,1+VLOOKUP(AL$1,RefCapacity!$H$2:$L$8,2,FALSE),1+VLOOKUP(AL$1,RefCapacity!$H$2:$L$8,4,FALSE))</f>
        <v>0</v>
      </c>
      <c r="BA43" cm="1">
        <f t="array" ref="BA43">INDEX(RefCapacity!$D$2:$D$526,MATCH(1,(RefCapacity!$A$2:$A$526=RefCapacityProj!$D43)*(RefCapacity!$B$2:$B$526=2019)*(RefCapacity!$C$2:$C$526=RefCapacityProj!AM$1),0))*IF($C43=2035,1+VLOOKUP(AM$1,RefCapacity!$H$2:$L$8,2,FALSE),1+VLOOKUP(AM$1,RefCapacity!$H$2:$L$8,4,FALSE))</f>
        <v>187.81193219368552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f t="shared" si="4"/>
        <v>512.119170070667</v>
      </c>
      <c r="BJ43">
        <f t="shared" si="5"/>
        <v>3.2592918978832586</v>
      </c>
      <c r="BK43">
        <f t="shared" si="6"/>
        <v>1.0000000935372455E-2</v>
      </c>
      <c r="BL43" cm="1">
        <f t="array" ref="BL43">AG43/$BI43*INDEX('GHG Emission'!$C$2:$C$1121,MATCH(1,('GHG Emission'!$D$2:$D$1121=$D43)*('GHG Emission'!$E$2:$E$1121=$C43)*('GHG Emission'!$F$2:$F$1121=$B43)*('GHG Emission'!$I$2:$I$1121=$E43)*('GHG Emission'!$J$2:$J$1121=$F43)*('GHG Emission'!$K$2:$K$1121=AG$1),0))+AH43/$BI43*INDEX('GHG Emission'!$C$2:$C$1121,MATCH(1,('GHG Emission'!$D$2:$D$1121=$D43)*('GHG Emission'!$E$2:$E$1121=$C43)*('GHG Emission'!$F$2:$F$1121=$B43)*('GHG Emission'!$I$2:$I$1121=$E43)*('GHG Emission'!$J$2:$J$1121=$F43)*('GHG Emission'!$K$2:$K$1121=AH$1),0))+AI43/$BI43*INDEX('GHG Emission'!$C$2:$C$1121,MATCH(1,('GHG Emission'!$D$2:$D$1121=$D43)*('GHG Emission'!$E$2:$E$1121=$C43)*('GHG Emission'!$F$2:$F$1121=$B43)*('GHG Emission'!$I$2:$I$1121=$E43)*('GHG Emission'!$J$2:$J$1121=$F43)*('GHG Emission'!$K$2:$K$1121=AI$1),0))+AJ43/$BI43*INDEX('GHG Emission'!$C$2:$C$1121,MATCH(1,('GHG Emission'!$D$2:$D$1121=$D43)*('GHG Emission'!$E$2:$E$1121=$C43)*('GHG Emission'!$F$2:$F$1121=$B43)*('GHG Emission'!$I$2:$I$1121=$E43)*('GHG Emission'!$J$2:$J$1121=$F43)*('GHG Emission'!$K$2:$K$1121=AJ$1),0))+AK43/$BI43*INDEX('GHG Emission'!$C$2:$C$1121,MATCH(1,('GHG Emission'!$D$2:$D$1121=$D43)*('GHG Emission'!$E$2:$E$1121=$C43)*('GHG Emission'!$F$2:$F$1121=$B43)*('GHG Emission'!$I$2:$I$1121=$E43)*('GHG Emission'!$J$2:$J$1121=$F43)*('GHG Emission'!$K$2:$K$1121=AK$1),0))+AL43/$BI43*INDEX('GHG Emission'!$C$2:$C$1121,MATCH(1,('GHG Emission'!$D$2:$D$1121=$D43)*('GHG Emission'!$E$2:$E$1121=$C43)*('GHG Emission'!$F$2:$F$1121=$B43)*('GHG Emission'!$I$2:$I$1121=$E43)*('GHG Emission'!$J$2:$J$1121=$F43)*('GHG Emission'!$K$2:$K$1121=AL$1),0))+AM43/$BI43*INDEX('GHG Emission'!$C$2:$C$1121,MATCH(1,('GHG Emission'!$D$2:$D$1121=$D43)*('GHG Emission'!$E$2:$E$1121=$C43)*('GHG Emission'!$F$2:$F$1121=$B43)*('GHG Emission'!$I$2:$I$1121=$E43)*('GHG Emission'!$J$2:$J$1121=$F43)*('GHG Emission'!$K$2:$K$1121=AM$1),0))</f>
        <v>31.181638822411447</v>
      </c>
      <c r="BM43" t="str">
        <f t="shared" si="7"/>
        <v>HEAVY/SOUR</v>
      </c>
    </row>
    <row r="44" spans="1:65" hidden="1" x14ac:dyDescent="0.25">
      <c r="A44">
        <v>43</v>
      </c>
      <c r="B44" t="s">
        <v>470</v>
      </c>
      <c r="C44">
        <v>2035</v>
      </c>
      <c r="D44">
        <v>1</v>
      </c>
      <c r="E44" t="s">
        <v>469</v>
      </c>
      <c r="F44" t="s">
        <v>467</v>
      </c>
      <c r="G44">
        <v>757.83607394130411</v>
      </c>
      <c r="H44">
        <v>103.30655223670755</v>
      </c>
      <c r="I44">
        <v>285.20049437211475</v>
      </c>
      <c r="J44">
        <v>100.50016030793273</v>
      </c>
      <c r="K44">
        <v>126.58285122181967</v>
      </c>
      <c r="L44">
        <v>0</v>
      </c>
      <c r="M44">
        <v>0</v>
      </c>
      <c r="N44">
        <v>0</v>
      </c>
      <c r="O44">
        <v>0</v>
      </c>
      <c r="P44">
        <v>134.68606816978306</v>
      </c>
      <c r="Q44">
        <v>0</v>
      </c>
      <c r="R44">
        <v>0</v>
      </c>
      <c r="S44">
        <v>0</v>
      </c>
      <c r="T44">
        <v>10.257393535321418</v>
      </c>
      <c r="U44">
        <v>0</v>
      </c>
      <c r="V44">
        <v>0</v>
      </c>
      <c r="W44">
        <v>0</v>
      </c>
      <c r="X44">
        <f t="shared" si="0"/>
        <v>1518.3695937849832</v>
      </c>
      <c r="Y44">
        <f>X44*VLOOKUP($D44,'LinearReg Model'!$S$2:$T$6,2,FALSE)</f>
        <v>508.85987817278374</v>
      </c>
      <c r="Z44">
        <f t="shared" si="1"/>
        <v>0.49911172947831139</v>
      </c>
      <c r="AA44">
        <f t="shared" si="2"/>
        <v>0.18783338097621446</v>
      </c>
      <c r="AB44">
        <f t="shared" si="3"/>
        <v>6.8037816786877009E-2</v>
      </c>
      <c r="AC44">
        <v>36.614652924665549</v>
      </c>
      <c r="AD44">
        <v>0.41766843364396622</v>
      </c>
      <c r="AE44" s="2">
        <f>VLOOKUP($D44,'MultiReg Model'!$A$5:$F$9,2,FALSE)+AC44*VLOOKUP($D44,'MultiReg Model'!$A$5:$F$9,3,FALSE)+Z44*VLOOKUP($D44,'MultiReg Model'!$A$5:$F$9,4,FALSE)+AA44*VLOOKUP($D44,'MultiReg Model'!$A$5:$F$9,5,FALSE)+AB44*VLOOKUP($D44,'MultiReg Model'!$A$5:$F$9,6,FALSE)</f>
        <v>7.3958852014346856</v>
      </c>
      <c r="AF44" cm="1">
        <f t="array" ref="AF44">MMULT($AG44:$AM44,'Avg CI Index'!$C$2:$C$8)/BI44</f>
        <v>7.405885415006872</v>
      </c>
      <c r="AG44">
        <v>78.662322399776414</v>
      </c>
      <c r="AH44">
        <v>284.84224581276931</v>
      </c>
      <c r="AI44">
        <v>0</v>
      </c>
      <c r="AJ44">
        <v>65.076985304232991</v>
      </c>
      <c r="AK44">
        <v>44.686741748434663</v>
      </c>
      <c r="AL44">
        <v>0</v>
      </c>
      <c r="AM44">
        <v>39.928065339282625</v>
      </c>
      <c r="AN44" cm="1">
        <f t="array" ref="AN44">$Y44*INDEX(RefCapacity!$D$2:$D$526,MATCH(1,(RefCapacity!$A$2:$A$526=RefCapacityProj!$D44)*(RefCapacity!$B$2:$B$526=2019)*(RefCapacity!$C$2:$C$526=AG$1),0))/SUMIFS(RefCapacity!$D$2:$D$526,RefCapacity!$A$2:$A$526,RefCapacityProj!$D44,RefCapacity!$B$2:$B$526,2019)</f>
        <v>13.662720354415848</v>
      </c>
      <c r="AO44" cm="1">
        <f t="array" ref="AO44">$Y44*INDEX(RefCapacity!$D$2:$D$526,MATCH(1,(RefCapacity!$A$2:$A$526=RefCapacityProj!$D44)*(RefCapacity!$B$2:$B$526=2019)*(RefCapacity!$C$2:$C$526=AH$1),0))/SUMIFS(RefCapacity!$D$2:$D$526,RefCapacity!$A$2:$A$526,RefCapacityProj!$D44,RefCapacity!$B$2:$B$526,2019)</f>
        <v>273.68834103786736</v>
      </c>
      <c r="AP44" cm="1">
        <f t="array" ref="AP44">$Y44*INDEX(RefCapacity!$D$2:$D$526,MATCH(1,(RefCapacity!$A$2:$A$526=RefCapacityProj!$D44)*(RefCapacity!$B$2:$B$526=2019)*(RefCapacity!$C$2:$C$526=AI$1),0))/SUMIFS(RefCapacity!$D$2:$D$526,RefCapacity!$A$2:$A$526,RefCapacityProj!$D44,RefCapacity!$B$2:$B$526,2019)</f>
        <v>0</v>
      </c>
      <c r="AQ44" cm="1">
        <f t="array" ref="AQ44">$Y44*INDEX(RefCapacity!$D$2:$D$526,MATCH(1,(RefCapacity!$A$2:$A$526=RefCapacityProj!$D44)*(RefCapacity!$B$2:$B$526=2019)*(RefCapacity!$C$2:$C$526=AJ$1),0))/SUMIFS(RefCapacity!$D$2:$D$526,RefCapacity!$A$2:$A$526,RefCapacityProj!$D44,RefCapacity!$B$2:$B$526,2019)</f>
        <v>81.662236601106201</v>
      </c>
      <c r="AR44" cm="1">
        <f t="array" ref="AR44">$Y44*INDEX(RefCapacity!$D$2:$D$526,MATCH(1,(RefCapacity!$A$2:$A$526=RefCapacityProj!$D44)*(RefCapacity!$B$2:$B$526=2019)*(RefCapacity!$C$2:$C$526=AK$1),0))/SUMIFS(RefCapacity!$D$2:$D$526,RefCapacity!$A$2:$A$526,RefCapacityProj!$D44,RefCapacity!$B$2:$B$526,2019)</f>
        <v>65.172746518190522</v>
      </c>
      <c r="AS44" cm="1">
        <f t="array" ref="AS44">$Y44*INDEX(RefCapacity!$D$2:$D$526,MATCH(1,(RefCapacity!$A$2:$A$526=RefCapacityProj!$D44)*(RefCapacity!$B$2:$B$526=2019)*(RefCapacity!$C$2:$C$526=AL$1),0))/SUMIFS(RefCapacity!$D$2:$D$526,RefCapacity!$A$2:$A$526,RefCapacityProj!$D44,RefCapacity!$B$2:$B$526,2019)</f>
        <v>0</v>
      </c>
      <c r="AT44" cm="1">
        <f t="array" ref="AT44">$Y44*INDEX(RefCapacity!$D$2:$D$526,MATCH(1,(RefCapacity!$A$2:$A$526=RefCapacityProj!$D44)*(RefCapacity!$B$2:$B$526=2019)*(RefCapacity!$C$2:$C$526=AM$1),0))/SUMIFS(RefCapacity!$D$2:$D$526,RefCapacity!$A$2:$A$526,RefCapacityProj!$D44,RefCapacity!$B$2:$B$526,2019)</f>
        <v>74.673833661203844</v>
      </c>
      <c r="AU44" cm="1">
        <f t="array" ref="AU44">INDEX(RefCapacity!$D$2:$D$526,MATCH(1,(RefCapacity!$A$2:$A$526=RefCapacityProj!$D44)*(RefCapacity!$B$2:$B$526=2019)*(RefCapacity!$C$2:$C$526=RefCapacityProj!AG$1),0))*IF($C44=2035,1+VLOOKUP(AG$1,RefCapacity!$H$2:$L$8,2,FALSE),1+VLOOKUP(AG$1,RefCapacity!$H$2:$L$8,4,FALSE))</f>
        <v>91.42693476369206</v>
      </c>
      <c r="AV44" cm="1">
        <f t="array" ref="AV44">INDEX(RefCapacity!$D$2:$D$526,MATCH(1,(RefCapacity!$A$2:$A$526=RefCapacityProj!$D44)*(RefCapacity!$B$2:$B$526=2019)*(RefCapacity!$C$2:$C$526=RefCapacityProj!AH$1),0))*IF($C44=2035,1+VLOOKUP(AH$1,RefCapacity!$H$2:$L$8,2,FALSE),1+VLOOKUP(AH$1,RefCapacity!$H$2:$L$8,4,FALSE))</f>
        <v>892.71066470160065</v>
      </c>
      <c r="AW44" cm="1">
        <f t="array" ref="AW44">INDEX(RefCapacity!$D$2:$D$526,MATCH(1,(RefCapacity!$A$2:$A$526=RefCapacityProj!$D44)*(RefCapacity!$B$2:$B$526=2019)*(RefCapacity!$C$2:$C$526=RefCapacityProj!AI$1),0))*IF($C44=2035,1+VLOOKUP(AI$1,RefCapacity!$H$2:$L$8,2,FALSE),1+VLOOKUP(AI$1,RefCapacity!$H$2:$L$8,4,FALSE))</f>
        <v>0</v>
      </c>
      <c r="AX44" cm="1">
        <f t="array" ref="AX44">INDEX(RefCapacity!$D$2:$D$526,MATCH(1,(RefCapacity!$A$2:$A$526=RefCapacityProj!$D44)*(RefCapacity!$B$2:$B$526=2019)*(RefCapacity!$C$2:$C$526=RefCapacityProj!AJ$1),0))*IF($C44=2035,1+VLOOKUP(AJ$1,RefCapacity!$H$2:$L$8,2,FALSE),1+VLOOKUP(AJ$1,RefCapacity!$H$2:$L$8,4,FALSE))</f>
        <v>378.33333333333331</v>
      </c>
      <c r="AY44" cm="1">
        <f t="array" ref="AY44">INDEX(RefCapacity!$D$2:$D$526,MATCH(1,(RefCapacity!$A$2:$A$526=RefCapacityProj!$D44)*(RefCapacity!$B$2:$B$526=2019)*(RefCapacity!$C$2:$C$526=RefCapacityProj!AK$1),0))*IF($C44=2035,1+VLOOKUP(AK$1,RefCapacity!$H$2:$L$8,2,FALSE),1+VLOOKUP(AK$1,RefCapacity!$H$2:$L$8,4,FALSE))</f>
        <v>195.80557682200353</v>
      </c>
      <c r="AZ44" cm="1">
        <f t="array" ref="AZ44">INDEX(RefCapacity!$D$2:$D$526,MATCH(1,(RefCapacity!$A$2:$A$526=RefCapacityProj!$D44)*(RefCapacity!$B$2:$B$526=2019)*(RefCapacity!$C$2:$C$526=RefCapacityProj!AL$1),0))*IF($C44=2035,1+VLOOKUP(AL$1,RefCapacity!$H$2:$L$8,2,FALSE),1+VLOOKUP(AL$1,RefCapacity!$H$2:$L$8,4,FALSE))</f>
        <v>0</v>
      </c>
      <c r="BA44" cm="1">
        <f t="array" ref="BA44">INDEX(RefCapacity!$D$2:$D$526,MATCH(1,(RefCapacity!$A$2:$A$526=RefCapacityProj!$D44)*(RefCapacity!$B$2:$B$526=2019)*(RefCapacity!$C$2:$C$526=RefCapacityProj!AM$1),0))*IF($C44=2035,1+VLOOKUP(AM$1,RefCapacity!$H$2:$L$8,2,FALSE),1+VLOOKUP(AM$1,RefCapacity!$H$2:$L$8,4,FALSE))</f>
        <v>187.81193219368552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f t="shared" si="4"/>
        <v>513.19636060449602</v>
      </c>
      <c r="BJ44">
        <f t="shared" si="5"/>
        <v>4.3364824317122839</v>
      </c>
      <c r="BK44">
        <f t="shared" si="6"/>
        <v>1.0000213572186389E-2</v>
      </c>
      <c r="BL44" cm="1">
        <f t="array" ref="BL44">AG44/$BI44*INDEX('GHG Emission'!$C$2:$C$1121,MATCH(1,('GHG Emission'!$D$2:$D$1121=$D44)*('GHG Emission'!$E$2:$E$1121=$C44)*('GHG Emission'!$F$2:$F$1121=$B44)*('GHG Emission'!$I$2:$I$1121=$E44)*('GHG Emission'!$J$2:$J$1121=$F44)*('GHG Emission'!$K$2:$K$1121=AG$1),0))+AH44/$BI44*INDEX('GHG Emission'!$C$2:$C$1121,MATCH(1,('GHG Emission'!$D$2:$D$1121=$D44)*('GHG Emission'!$E$2:$E$1121=$C44)*('GHG Emission'!$F$2:$F$1121=$B44)*('GHG Emission'!$I$2:$I$1121=$E44)*('GHG Emission'!$J$2:$J$1121=$F44)*('GHG Emission'!$K$2:$K$1121=AH$1),0))+AI44/$BI44*INDEX('GHG Emission'!$C$2:$C$1121,MATCH(1,('GHG Emission'!$D$2:$D$1121=$D44)*('GHG Emission'!$E$2:$E$1121=$C44)*('GHG Emission'!$F$2:$F$1121=$B44)*('GHG Emission'!$I$2:$I$1121=$E44)*('GHG Emission'!$J$2:$J$1121=$F44)*('GHG Emission'!$K$2:$K$1121=AI$1),0))+AJ44/$BI44*INDEX('GHG Emission'!$C$2:$C$1121,MATCH(1,('GHG Emission'!$D$2:$D$1121=$D44)*('GHG Emission'!$E$2:$E$1121=$C44)*('GHG Emission'!$F$2:$F$1121=$B44)*('GHG Emission'!$I$2:$I$1121=$E44)*('GHG Emission'!$J$2:$J$1121=$F44)*('GHG Emission'!$K$2:$K$1121=AJ$1),0))+AK44/$BI44*INDEX('GHG Emission'!$C$2:$C$1121,MATCH(1,('GHG Emission'!$D$2:$D$1121=$D44)*('GHG Emission'!$E$2:$E$1121=$C44)*('GHG Emission'!$F$2:$F$1121=$B44)*('GHG Emission'!$I$2:$I$1121=$E44)*('GHG Emission'!$J$2:$J$1121=$F44)*('GHG Emission'!$K$2:$K$1121=AK$1),0))+AL44/$BI44*INDEX('GHG Emission'!$C$2:$C$1121,MATCH(1,('GHG Emission'!$D$2:$D$1121=$D44)*('GHG Emission'!$E$2:$E$1121=$C44)*('GHG Emission'!$F$2:$F$1121=$B44)*('GHG Emission'!$I$2:$I$1121=$E44)*('GHG Emission'!$J$2:$J$1121=$F44)*('GHG Emission'!$K$2:$K$1121=AL$1),0))+AM44/$BI44*INDEX('GHG Emission'!$C$2:$C$1121,MATCH(1,('GHG Emission'!$D$2:$D$1121=$D44)*('GHG Emission'!$E$2:$E$1121=$C44)*('GHG Emission'!$F$2:$F$1121=$B44)*('GHG Emission'!$I$2:$I$1121=$E44)*('GHG Emission'!$J$2:$J$1121=$F44)*('GHG Emission'!$K$2:$K$1121=AM$1),0))</f>
        <v>31.809034867166631</v>
      </c>
      <c r="BM44" t="str">
        <f t="shared" si="7"/>
        <v>LIGHT/SWEET</v>
      </c>
    </row>
    <row r="45" spans="1:65" hidden="1" x14ac:dyDescent="0.25">
      <c r="A45">
        <v>44</v>
      </c>
      <c r="B45" t="s">
        <v>470</v>
      </c>
      <c r="C45">
        <v>2035</v>
      </c>
      <c r="D45">
        <v>1</v>
      </c>
      <c r="E45" t="s">
        <v>469</v>
      </c>
      <c r="F45" t="s">
        <v>468</v>
      </c>
      <c r="G45">
        <v>757.83607394130411</v>
      </c>
      <c r="H45">
        <v>103.30655223670755</v>
      </c>
      <c r="I45">
        <v>285.20049437211475</v>
      </c>
      <c r="J45">
        <v>100.50016030793273</v>
      </c>
      <c r="K45">
        <v>126.58285122181967</v>
      </c>
      <c r="L45">
        <v>0</v>
      </c>
      <c r="M45">
        <v>0</v>
      </c>
      <c r="N45">
        <v>0</v>
      </c>
      <c r="O45">
        <v>0</v>
      </c>
      <c r="P45">
        <v>134.68606816978306</v>
      </c>
      <c r="Q45">
        <v>0</v>
      </c>
      <c r="R45">
        <v>0</v>
      </c>
      <c r="S45">
        <v>0</v>
      </c>
      <c r="T45">
        <v>10.257393535321418</v>
      </c>
      <c r="U45">
        <v>0</v>
      </c>
      <c r="V45">
        <v>0</v>
      </c>
      <c r="W45">
        <v>0</v>
      </c>
      <c r="X45">
        <f t="shared" si="0"/>
        <v>1518.3695937849832</v>
      </c>
      <c r="Y45">
        <f>X45*VLOOKUP($D45,'LinearReg Model'!$S$2:$T$6,2,FALSE)</f>
        <v>508.85987817278374</v>
      </c>
      <c r="Z45">
        <f t="shared" si="1"/>
        <v>0.49911172947831139</v>
      </c>
      <c r="AA45">
        <f t="shared" si="2"/>
        <v>0.18783338097621446</v>
      </c>
      <c r="AB45">
        <f t="shared" si="3"/>
        <v>6.8037816786877009E-2</v>
      </c>
      <c r="AC45">
        <v>36.614652924665549</v>
      </c>
      <c r="AD45">
        <v>1.5301400799730309</v>
      </c>
      <c r="AE45" s="2">
        <f>VLOOKUP($D45,'MultiReg Model'!$A$5:$F$9,2,FALSE)+AC45*VLOOKUP($D45,'MultiReg Model'!$A$5:$F$9,3,FALSE)+Z45*VLOOKUP($D45,'MultiReg Model'!$A$5:$F$9,4,FALSE)+AA45*VLOOKUP($D45,'MultiReg Model'!$A$5:$F$9,5,FALSE)+AB45*VLOOKUP($D45,'MultiReg Model'!$A$5:$F$9,6,FALSE)</f>
        <v>7.3958852014346856</v>
      </c>
      <c r="AF45" cm="1">
        <f t="array" ref="AF45">MMULT($AG45:$AM45,'Avg CI Index'!$C$2:$C$8)/BI45</f>
        <v>7.405885415006872</v>
      </c>
      <c r="AG45">
        <v>78.662322399776414</v>
      </c>
      <c r="AH45">
        <v>284.84224581276931</v>
      </c>
      <c r="AI45">
        <v>0</v>
      </c>
      <c r="AJ45">
        <v>65.076985304232991</v>
      </c>
      <c r="AK45">
        <v>44.686741748434663</v>
      </c>
      <c r="AL45">
        <v>0</v>
      </c>
      <c r="AM45">
        <v>39.928065339282625</v>
      </c>
      <c r="AN45" cm="1">
        <f t="array" ref="AN45">$Y45*INDEX(RefCapacity!$D$2:$D$526,MATCH(1,(RefCapacity!$A$2:$A$526=RefCapacityProj!$D45)*(RefCapacity!$B$2:$B$526=2019)*(RefCapacity!$C$2:$C$526=AG$1),0))/SUMIFS(RefCapacity!$D$2:$D$526,RefCapacity!$A$2:$A$526,RefCapacityProj!$D45,RefCapacity!$B$2:$B$526,2019)</f>
        <v>13.662720354415848</v>
      </c>
      <c r="AO45" cm="1">
        <f t="array" ref="AO45">$Y45*INDEX(RefCapacity!$D$2:$D$526,MATCH(1,(RefCapacity!$A$2:$A$526=RefCapacityProj!$D45)*(RefCapacity!$B$2:$B$526=2019)*(RefCapacity!$C$2:$C$526=AH$1),0))/SUMIFS(RefCapacity!$D$2:$D$526,RefCapacity!$A$2:$A$526,RefCapacityProj!$D45,RefCapacity!$B$2:$B$526,2019)</f>
        <v>273.68834103786736</v>
      </c>
      <c r="AP45" cm="1">
        <f t="array" ref="AP45">$Y45*INDEX(RefCapacity!$D$2:$D$526,MATCH(1,(RefCapacity!$A$2:$A$526=RefCapacityProj!$D45)*(RefCapacity!$B$2:$B$526=2019)*(RefCapacity!$C$2:$C$526=AI$1),0))/SUMIFS(RefCapacity!$D$2:$D$526,RefCapacity!$A$2:$A$526,RefCapacityProj!$D45,RefCapacity!$B$2:$B$526,2019)</f>
        <v>0</v>
      </c>
      <c r="AQ45" cm="1">
        <f t="array" ref="AQ45">$Y45*INDEX(RefCapacity!$D$2:$D$526,MATCH(1,(RefCapacity!$A$2:$A$526=RefCapacityProj!$D45)*(RefCapacity!$B$2:$B$526=2019)*(RefCapacity!$C$2:$C$526=AJ$1),0))/SUMIFS(RefCapacity!$D$2:$D$526,RefCapacity!$A$2:$A$526,RefCapacityProj!$D45,RefCapacity!$B$2:$B$526,2019)</f>
        <v>81.662236601106201</v>
      </c>
      <c r="AR45" cm="1">
        <f t="array" ref="AR45">$Y45*INDEX(RefCapacity!$D$2:$D$526,MATCH(1,(RefCapacity!$A$2:$A$526=RefCapacityProj!$D45)*(RefCapacity!$B$2:$B$526=2019)*(RefCapacity!$C$2:$C$526=AK$1),0))/SUMIFS(RefCapacity!$D$2:$D$526,RefCapacity!$A$2:$A$526,RefCapacityProj!$D45,RefCapacity!$B$2:$B$526,2019)</f>
        <v>65.172746518190522</v>
      </c>
      <c r="AS45" cm="1">
        <f t="array" ref="AS45">$Y45*INDEX(RefCapacity!$D$2:$D$526,MATCH(1,(RefCapacity!$A$2:$A$526=RefCapacityProj!$D45)*(RefCapacity!$B$2:$B$526=2019)*(RefCapacity!$C$2:$C$526=AL$1),0))/SUMIFS(RefCapacity!$D$2:$D$526,RefCapacity!$A$2:$A$526,RefCapacityProj!$D45,RefCapacity!$B$2:$B$526,2019)</f>
        <v>0</v>
      </c>
      <c r="AT45" cm="1">
        <f t="array" ref="AT45">$Y45*INDEX(RefCapacity!$D$2:$D$526,MATCH(1,(RefCapacity!$A$2:$A$526=RefCapacityProj!$D45)*(RefCapacity!$B$2:$B$526=2019)*(RefCapacity!$C$2:$C$526=AM$1),0))/SUMIFS(RefCapacity!$D$2:$D$526,RefCapacity!$A$2:$A$526,RefCapacityProj!$D45,RefCapacity!$B$2:$B$526,2019)</f>
        <v>74.673833661203844</v>
      </c>
      <c r="AU45" cm="1">
        <f t="array" ref="AU45">INDEX(RefCapacity!$D$2:$D$526,MATCH(1,(RefCapacity!$A$2:$A$526=RefCapacityProj!$D45)*(RefCapacity!$B$2:$B$526=2019)*(RefCapacity!$C$2:$C$526=RefCapacityProj!AG$1),0))*IF($C45=2035,1+VLOOKUP(AG$1,RefCapacity!$H$2:$L$8,2,FALSE),1+VLOOKUP(AG$1,RefCapacity!$H$2:$L$8,4,FALSE))</f>
        <v>91.42693476369206</v>
      </c>
      <c r="AV45" cm="1">
        <f t="array" ref="AV45">INDEX(RefCapacity!$D$2:$D$526,MATCH(1,(RefCapacity!$A$2:$A$526=RefCapacityProj!$D45)*(RefCapacity!$B$2:$B$526=2019)*(RefCapacity!$C$2:$C$526=RefCapacityProj!AH$1),0))*IF($C45=2035,1+VLOOKUP(AH$1,RefCapacity!$H$2:$L$8,2,FALSE),1+VLOOKUP(AH$1,RefCapacity!$H$2:$L$8,4,FALSE))</f>
        <v>892.71066470160065</v>
      </c>
      <c r="AW45" cm="1">
        <f t="array" ref="AW45">INDEX(RefCapacity!$D$2:$D$526,MATCH(1,(RefCapacity!$A$2:$A$526=RefCapacityProj!$D45)*(RefCapacity!$B$2:$B$526=2019)*(RefCapacity!$C$2:$C$526=RefCapacityProj!AI$1),0))*IF($C45=2035,1+VLOOKUP(AI$1,RefCapacity!$H$2:$L$8,2,FALSE),1+VLOOKUP(AI$1,RefCapacity!$H$2:$L$8,4,FALSE))</f>
        <v>0</v>
      </c>
      <c r="AX45" cm="1">
        <f t="array" ref="AX45">INDEX(RefCapacity!$D$2:$D$526,MATCH(1,(RefCapacity!$A$2:$A$526=RefCapacityProj!$D45)*(RefCapacity!$B$2:$B$526=2019)*(RefCapacity!$C$2:$C$526=RefCapacityProj!AJ$1),0))*IF($C45=2035,1+VLOOKUP(AJ$1,RefCapacity!$H$2:$L$8,2,FALSE),1+VLOOKUP(AJ$1,RefCapacity!$H$2:$L$8,4,FALSE))</f>
        <v>378.33333333333331</v>
      </c>
      <c r="AY45" cm="1">
        <f t="array" ref="AY45">INDEX(RefCapacity!$D$2:$D$526,MATCH(1,(RefCapacity!$A$2:$A$526=RefCapacityProj!$D45)*(RefCapacity!$B$2:$B$526=2019)*(RefCapacity!$C$2:$C$526=RefCapacityProj!AK$1),0))*IF($C45=2035,1+VLOOKUP(AK$1,RefCapacity!$H$2:$L$8,2,FALSE),1+VLOOKUP(AK$1,RefCapacity!$H$2:$L$8,4,FALSE))</f>
        <v>195.80557682200353</v>
      </c>
      <c r="AZ45" cm="1">
        <f t="array" ref="AZ45">INDEX(RefCapacity!$D$2:$D$526,MATCH(1,(RefCapacity!$A$2:$A$526=RefCapacityProj!$D45)*(RefCapacity!$B$2:$B$526=2019)*(RefCapacity!$C$2:$C$526=RefCapacityProj!AL$1),0))*IF($C45=2035,1+VLOOKUP(AL$1,RefCapacity!$H$2:$L$8,2,FALSE),1+VLOOKUP(AL$1,RefCapacity!$H$2:$L$8,4,FALSE))</f>
        <v>0</v>
      </c>
      <c r="BA45" cm="1">
        <f t="array" ref="BA45">INDEX(RefCapacity!$D$2:$D$526,MATCH(1,(RefCapacity!$A$2:$A$526=RefCapacityProj!$D45)*(RefCapacity!$B$2:$B$526=2019)*(RefCapacity!$C$2:$C$526=RefCapacityProj!AM$1),0))*IF($C45=2035,1+VLOOKUP(AM$1,RefCapacity!$H$2:$L$8,2,FALSE),1+VLOOKUP(AM$1,RefCapacity!$H$2:$L$8,4,FALSE))</f>
        <v>187.81193219368552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f t="shared" si="4"/>
        <v>513.19636060449602</v>
      </c>
      <c r="BJ45">
        <f t="shared" si="5"/>
        <v>4.3364824317122839</v>
      </c>
      <c r="BK45">
        <f t="shared" si="6"/>
        <v>1.0000213572186389E-2</v>
      </c>
      <c r="BL45" cm="1">
        <f t="array" ref="BL45">AG45/$BI45*INDEX('GHG Emission'!$C$2:$C$1121,MATCH(1,('GHG Emission'!$D$2:$D$1121=$D45)*('GHG Emission'!$E$2:$E$1121=$C45)*('GHG Emission'!$F$2:$F$1121=$B45)*('GHG Emission'!$I$2:$I$1121=$E45)*('GHG Emission'!$J$2:$J$1121=$F45)*('GHG Emission'!$K$2:$K$1121=AG$1),0))+AH45/$BI45*INDEX('GHG Emission'!$C$2:$C$1121,MATCH(1,('GHG Emission'!$D$2:$D$1121=$D45)*('GHG Emission'!$E$2:$E$1121=$C45)*('GHG Emission'!$F$2:$F$1121=$B45)*('GHG Emission'!$I$2:$I$1121=$E45)*('GHG Emission'!$J$2:$J$1121=$F45)*('GHG Emission'!$K$2:$K$1121=AH$1),0))+AI45/$BI45*INDEX('GHG Emission'!$C$2:$C$1121,MATCH(1,('GHG Emission'!$D$2:$D$1121=$D45)*('GHG Emission'!$E$2:$E$1121=$C45)*('GHG Emission'!$F$2:$F$1121=$B45)*('GHG Emission'!$I$2:$I$1121=$E45)*('GHG Emission'!$J$2:$J$1121=$F45)*('GHG Emission'!$K$2:$K$1121=AI$1),0))+AJ45/$BI45*INDEX('GHG Emission'!$C$2:$C$1121,MATCH(1,('GHG Emission'!$D$2:$D$1121=$D45)*('GHG Emission'!$E$2:$E$1121=$C45)*('GHG Emission'!$F$2:$F$1121=$B45)*('GHG Emission'!$I$2:$I$1121=$E45)*('GHG Emission'!$J$2:$J$1121=$F45)*('GHG Emission'!$K$2:$K$1121=AJ$1),0))+AK45/$BI45*INDEX('GHG Emission'!$C$2:$C$1121,MATCH(1,('GHG Emission'!$D$2:$D$1121=$D45)*('GHG Emission'!$E$2:$E$1121=$C45)*('GHG Emission'!$F$2:$F$1121=$B45)*('GHG Emission'!$I$2:$I$1121=$E45)*('GHG Emission'!$J$2:$J$1121=$F45)*('GHG Emission'!$K$2:$K$1121=AK$1),0))+AL45/$BI45*INDEX('GHG Emission'!$C$2:$C$1121,MATCH(1,('GHG Emission'!$D$2:$D$1121=$D45)*('GHG Emission'!$E$2:$E$1121=$C45)*('GHG Emission'!$F$2:$F$1121=$B45)*('GHG Emission'!$I$2:$I$1121=$E45)*('GHG Emission'!$J$2:$J$1121=$F45)*('GHG Emission'!$K$2:$K$1121=AL$1),0))+AM45/$BI45*INDEX('GHG Emission'!$C$2:$C$1121,MATCH(1,('GHG Emission'!$D$2:$D$1121=$D45)*('GHG Emission'!$E$2:$E$1121=$C45)*('GHG Emission'!$F$2:$F$1121=$B45)*('GHG Emission'!$I$2:$I$1121=$E45)*('GHG Emission'!$J$2:$J$1121=$F45)*('GHG Emission'!$K$2:$K$1121=AM$1),0))</f>
        <v>30.037320632384681</v>
      </c>
      <c r="BM45" t="str">
        <f t="shared" si="7"/>
        <v>LIGHT/SOUR</v>
      </c>
    </row>
    <row r="46" spans="1:65" hidden="1" x14ac:dyDescent="0.25">
      <c r="A46">
        <v>45</v>
      </c>
      <c r="B46" t="s">
        <v>470</v>
      </c>
      <c r="C46">
        <v>2050</v>
      </c>
      <c r="D46">
        <v>1</v>
      </c>
      <c r="E46" t="s">
        <v>466</v>
      </c>
      <c r="F46" t="s">
        <v>467</v>
      </c>
      <c r="G46">
        <v>482.05779265283218</v>
      </c>
      <c r="H46">
        <v>127.36328456880523</v>
      </c>
      <c r="I46">
        <v>273.06975535188661</v>
      </c>
      <c r="J46">
        <v>96.225479021455186</v>
      </c>
      <c r="K46">
        <v>150.322538005761</v>
      </c>
      <c r="L46">
        <v>0</v>
      </c>
      <c r="M46">
        <v>0</v>
      </c>
      <c r="N46">
        <v>0</v>
      </c>
      <c r="O46">
        <v>0</v>
      </c>
      <c r="P46">
        <v>146.56830592434775</v>
      </c>
      <c r="Q46">
        <v>0</v>
      </c>
      <c r="R46">
        <v>0</v>
      </c>
      <c r="S46">
        <v>0</v>
      </c>
      <c r="T46">
        <v>10.451643824017232</v>
      </c>
      <c r="U46">
        <v>0</v>
      </c>
      <c r="V46">
        <v>0</v>
      </c>
      <c r="W46">
        <v>0</v>
      </c>
      <c r="X46">
        <f t="shared" si="0"/>
        <v>1286.0587993491054</v>
      </c>
      <c r="Y46">
        <f>X46*VLOOKUP($D46,'LinearReg Model'!$S$2:$T$6,2,FALSE)</f>
        <v>431.00423417231275</v>
      </c>
      <c r="Z46">
        <f t="shared" si="1"/>
        <v>0.3748334002277417</v>
      </c>
      <c r="AA46">
        <f t="shared" si="2"/>
        <v>0.21233069241475702</v>
      </c>
      <c r="AB46">
        <f t="shared" si="3"/>
        <v>9.9033795836757851E-2</v>
      </c>
      <c r="AC46">
        <v>28.267512206646213</v>
      </c>
      <c r="AD46">
        <v>0.27799592561789516</v>
      </c>
      <c r="AE46" s="2">
        <f>VLOOKUP($D46,'MultiReg Model'!$A$5:$F$9,2,FALSE)+AC46*VLOOKUP($D46,'MultiReg Model'!$A$5:$F$9,3,FALSE)+Z46*VLOOKUP($D46,'MultiReg Model'!$A$5:$F$9,4,FALSE)+AA46*VLOOKUP($D46,'MultiReg Model'!$A$5:$F$9,5,FALSE)+AB46*VLOOKUP($D46,'MultiReg Model'!$A$5:$F$9,6,FALSE)</f>
        <v>8.1456937523236519</v>
      </c>
      <c r="AF46" cm="1">
        <f t="array" ref="AF46">MMULT($AG46:$AM46,'Avg CI Index'!$C$2:$C$8)/BI46</f>
        <v>8.1556937548971753</v>
      </c>
      <c r="AG46">
        <v>27.006337577694442</v>
      </c>
      <c r="AH46">
        <v>234.70830464958354</v>
      </c>
      <c r="AI46">
        <v>0</v>
      </c>
      <c r="AJ46">
        <v>65.604787544750337</v>
      </c>
      <c r="AK46">
        <v>50.727911303009996</v>
      </c>
      <c r="AL46">
        <v>0</v>
      </c>
      <c r="AM46">
        <v>55.451180806042572</v>
      </c>
      <c r="AN46" cm="1">
        <f t="array" ref="AN46">$Y46*INDEX(RefCapacity!$D$2:$D$526,MATCH(1,(RefCapacity!$A$2:$A$526=RefCapacityProj!$D46)*(RefCapacity!$B$2:$B$526=2019)*(RefCapacity!$C$2:$C$526=AG$1),0))/SUMIFS(RefCapacity!$D$2:$D$526,RefCapacity!$A$2:$A$526,RefCapacityProj!$D46,RefCapacity!$B$2:$B$526,2019)</f>
        <v>11.572321921332463</v>
      </c>
      <c r="AO46" cm="1">
        <f t="array" ref="AO46">$Y46*INDEX(RefCapacity!$D$2:$D$526,MATCH(1,(RefCapacity!$A$2:$A$526=RefCapacityProj!$D46)*(RefCapacity!$B$2:$B$526=2019)*(RefCapacity!$C$2:$C$526=AH$1),0))/SUMIFS(RefCapacity!$D$2:$D$526,RefCapacity!$A$2:$A$526,RefCapacityProj!$D46,RefCapacity!$B$2:$B$526,2019)</f>
        <v>231.81398041144655</v>
      </c>
      <c r="AP46" cm="1">
        <f t="array" ref="AP46">$Y46*INDEX(RefCapacity!$D$2:$D$526,MATCH(1,(RefCapacity!$A$2:$A$526=RefCapacityProj!$D46)*(RefCapacity!$B$2:$B$526=2019)*(RefCapacity!$C$2:$C$526=AI$1),0))/SUMIFS(RefCapacity!$D$2:$D$526,RefCapacity!$A$2:$A$526,RefCapacityProj!$D46,RefCapacity!$B$2:$B$526,2019)</f>
        <v>0</v>
      </c>
      <c r="AQ46" cm="1">
        <f t="array" ref="AQ46">$Y46*INDEX(RefCapacity!$D$2:$D$526,MATCH(1,(RefCapacity!$A$2:$A$526=RefCapacityProj!$D46)*(RefCapacity!$B$2:$B$526=2019)*(RefCapacity!$C$2:$C$526=AJ$1),0))/SUMIFS(RefCapacity!$D$2:$D$526,RefCapacity!$A$2:$A$526,RefCapacityProj!$D46,RefCapacity!$B$2:$B$526,2019)</f>
        <v>69.167901138998616</v>
      </c>
      <c r="AR46" cm="1">
        <f t="array" ref="AR46">$Y46*INDEX(RefCapacity!$D$2:$D$526,MATCH(1,(RefCapacity!$A$2:$A$526=RefCapacityProj!$D46)*(RefCapacity!$B$2:$B$526=2019)*(RefCapacity!$C$2:$C$526=AK$1),0))/SUMIFS(RefCapacity!$D$2:$D$526,RefCapacity!$A$2:$A$526,RefCapacityProj!$D46,RefCapacity!$B$2:$B$526,2019)</f>
        <v>55.201305716700816</v>
      </c>
      <c r="AS46" cm="1">
        <f t="array" ref="AS46">$Y46*INDEX(RefCapacity!$D$2:$D$526,MATCH(1,(RefCapacity!$A$2:$A$526=RefCapacityProj!$D46)*(RefCapacity!$B$2:$B$526=2019)*(RefCapacity!$C$2:$C$526=AL$1),0))/SUMIFS(RefCapacity!$D$2:$D$526,RefCapacity!$A$2:$A$526,RefCapacityProj!$D46,RefCapacity!$B$2:$B$526,2019)</f>
        <v>0</v>
      </c>
      <c r="AT46" cm="1">
        <f t="array" ref="AT46">$Y46*INDEX(RefCapacity!$D$2:$D$526,MATCH(1,(RefCapacity!$A$2:$A$526=RefCapacityProj!$D46)*(RefCapacity!$B$2:$B$526=2019)*(RefCapacity!$C$2:$C$526=AM$1),0))/SUMIFS(RefCapacity!$D$2:$D$526,RefCapacity!$A$2:$A$526,RefCapacityProj!$D46,RefCapacity!$B$2:$B$526,2019)</f>
        <v>63.248724983834322</v>
      </c>
      <c r="AU46" cm="1">
        <f t="array" ref="AU46">INDEX(RefCapacity!$D$2:$D$526,MATCH(1,(RefCapacity!$A$2:$A$526=RefCapacityProj!$D46)*(RefCapacity!$B$2:$B$526=2019)*(RefCapacity!$C$2:$C$526=RefCapacityProj!AG$1),0))*IF($C46=2035,1+VLOOKUP(AG$1,RefCapacity!$H$2:$L$8,2,FALSE),1+VLOOKUP(AG$1,RefCapacity!$H$2:$L$8,4,FALSE))</f>
        <v>149.79386952738412</v>
      </c>
      <c r="AV46" cm="1">
        <f t="array" ref="AV46">INDEX(RefCapacity!$D$2:$D$526,MATCH(1,(RefCapacity!$A$2:$A$526=RefCapacityProj!$D46)*(RefCapacity!$B$2:$B$526=2019)*(RefCapacity!$C$2:$C$526=RefCapacityProj!AH$1),0))*IF($C46=2035,1+VLOOKUP(AH$1,RefCapacity!$H$2:$L$8,2,FALSE),1+VLOOKUP(AH$1,RefCapacity!$H$2:$L$8,4,FALSE))</f>
        <v>1123.1713294032013</v>
      </c>
      <c r="AW46" cm="1">
        <f t="array" ref="AW46">INDEX(RefCapacity!$D$2:$D$526,MATCH(1,(RefCapacity!$A$2:$A$526=RefCapacityProj!$D46)*(RefCapacity!$B$2:$B$526=2019)*(RefCapacity!$C$2:$C$526=RefCapacityProj!AI$1),0))*IF($C46=2035,1+VLOOKUP(AI$1,RefCapacity!$H$2:$L$8,2,FALSE),1+VLOOKUP(AI$1,RefCapacity!$H$2:$L$8,4,FALSE))</f>
        <v>0</v>
      </c>
      <c r="AX46" cm="1">
        <f t="array" ref="AX46">INDEX(RefCapacity!$D$2:$D$526,MATCH(1,(RefCapacity!$A$2:$A$526=RefCapacityProj!$D46)*(RefCapacity!$B$2:$B$526=2019)*(RefCapacity!$C$2:$C$526=RefCapacityProj!AJ$1),0))*IF($C46=2035,1+VLOOKUP(AJ$1,RefCapacity!$H$2:$L$8,2,FALSE),1+VLOOKUP(AJ$1,RefCapacity!$H$2:$L$8,4,FALSE))</f>
        <v>559.06666666666661</v>
      </c>
      <c r="AY46" cm="1">
        <f t="array" ref="AY46">INDEX(RefCapacity!$D$2:$D$526,MATCH(1,(RefCapacity!$A$2:$A$526=RefCapacityProj!$D46)*(RefCapacity!$B$2:$B$526=2019)*(RefCapacity!$C$2:$C$526=RefCapacityProj!AK$1),0))*IF($C46=2035,1+VLOOKUP(AK$1,RefCapacity!$H$2:$L$8,2,FALSE),1+VLOOKUP(AK$1,RefCapacity!$H$2:$L$8,4,FALSE))</f>
        <v>233.91115364400702</v>
      </c>
      <c r="AZ46" cm="1">
        <f t="array" ref="AZ46">INDEX(RefCapacity!$D$2:$D$526,MATCH(1,(RefCapacity!$A$2:$A$526=RefCapacityProj!$D46)*(RefCapacity!$B$2:$B$526=2019)*(RefCapacity!$C$2:$C$526=RefCapacityProj!AL$1),0))*IF($C46=2035,1+VLOOKUP(AL$1,RefCapacity!$H$2:$L$8,2,FALSE),1+VLOOKUP(AL$1,RefCapacity!$H$2:$L$8,4,FALSE))</f>
        <v>0</v>
      </c>
      <c r="BA46" cm="1">
        <f t="array" ref="BA46">INDEX(RefCapacity!$D$2:$D$526,MATCH(1,(RefCapacity!$A$2:$A$526=RefCapacityProj!$D46)*(RefCapacity!$B$2:$B$526=2019)*(RefCapacity!$C$2:$C$526=RefCapacityProj!AM$1),0))*IF($C46=2035,1+VLOOKUP(AM$1,RefCapacity!$H$2:$L$8,2,FALSE),1+VLOOKUP(AM$1,RefCapacity!$H$2:$L$8,4,FALSE))</f>
        <v>194.9338643873711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f t="shared" si="4"/>
        <v>433.49852188108093</v>
      </c>
      <c r="BJ46">
        <f t="shared" si="5"/>
        <v>2.4942877087681836</v>
      </c>
      <c r="BK46">
        <f t="shared" si="6"/>
        <v>1.0000002573523403E-2</v>
      </c>
      <c r="BL46" cm="1">
        <f t="array" ref="BL46">AG46/$BI46*INDEX('GHG Emission'!$C$2:$C$1121,MATCH(1,('GHG Emission'!$D$2:$D$1121=$D46)*('GHG Emission'!$E$2:$E$1121=$C46)*('GHG Emission'!$F$2:$F$1121=$B46)*('GHG Emission'!$I$2:$I$1121=$E46)*('GHG Emission'!$J$2:$J$1121=$F46)*('GHG Emission'!$K$2:$K$1121=AG$1),0))+AH46/$BI46*INDEX('GHG Emission'!$C$2:$C$1121,MATCH(1,('GHG Emission'!$D$2:$D$1121=$D46)*('GHG Emission'!$E$2:$E$1121=$C46)*('GHG Emission'!$F$2:$F$1121=$B46)*('GHG Emission'!$I$2:$I$1121=$E46)*('GHG Emission'!$J$2:$J$1121=$F46)*('GHG Emission'!$K$2:$K$1121=AH$1),0))+AI46/$BI46*INDEX('GHG Emission'!$C$2:$C$1121,MATCH(1,('GHG Emission'!$D$2:$D$1121=$D46)*('GHG Emission'!$E$2:$E$1121=$C46)*('GHG Emission'!$F$2:$F$1121=$B46)*('GHG Emission'!$I$2:$I$1121=$E46)*('GHG Emission'!$J$2:$J$1121=$F46)*('GHG Emission'!$K$2:$K$1121=AI$1),0))+AJ46/$BI46*INDEX('GHG Emission'!$C$2:$C$1121,MATCH(1,('GHG Emission'!$D$2:$D$1121=$D46)*('GHG Emission'!$E$2:$E$1121=$C46)*('GHG Emission'!$F$2:$F$1121=$B46)*('GHG Emission'!$I$2:$I$1121=$E46)*('GHG Emission'!$J$2:$J$1121=$F46)*('GHG Emission'!$K$2:$K$1121=AJ$1),0))+AK46/$BI46*INDEX('GHG Emission'!$C$2:$C$1121,MATCH(1,('GHG Emission'!$D$2:$D$1121=$D46)*('GHG Emission'!$E$2:$E$1121=$C46)*('GHG Emission'!$F$2:$F$1121=$B46)*('GHG Emission'!$I$2:$I$1121=$E46)*('GHG Emission'!$J$2:$J$1121=$F46)*('GHG Emission'!$K$2:$K$1121=AK$1),0))+AL46/$BI46*INDEX('GHG Emission'!$C$2:$C$1121,MATCH(1,('GHG Emission'!$D$2:$D$1121=$D46)*('GHG Emission'!$E$2:$E$1121=$C46)*('GHG Emission'!$F$2:$F$1121=$B46)*('GHG Emission'!$I$2:$I$1121=$E46)*('GHG Emission'!$J$2:$J$1121=$F46)*('GHG Emission'!$K$2:$K$1121=AL$1),0))+AM46/$BI46*INDEX('GHG Emission'!$C$2:$C$1121,MATCH(1,('GHG Emission'!$D$2:$D$1121=$D46)*('GHG Emission'!$E$2:$E$1121=$C46)*('GHG Emission'!$F$2:$F$1121=$B46)*('GHG Emission'!$I$2:$I$1121=$E46)*('GHG Emission'!$J$2:$J$1121=$F46)*('GHG Emission'!$K$2:$K$1121=AM$1),0))</f>
        <v>29.982507135364465</v>
      </c>
      <c r="BM46" t="str">
        <f t="shared" si="7"/>
        <v>HEAVY/SWEET</v>
      </c>
    </row>
    <row r="47" spans="1:65" hidden="1" x14ac:dyDescent="0.25">
      <c r="A47">
        <v>46</v>
      </c>
      <c r="B47" t="s">
        <v>470</v>
      </c>
      <c r="C47">
        <v>2050</v>
      </c>
      <c r="D47">
        <v>1</v>
      </c>
      <c r="E47" t="s">
        <v>466</v>
      </c>
      <c r="F47" t="s">
        <v>468</v>
      </c>
      <c r="G47">
        <v>482.05779265283218</v>
      </c>
      <c r="H47">
        <v>127.36328456880523</v>
      </c>
      <c r="I47">
        <v>273.06975535188661</v>
      </c>
      <c r="J47">
        <v>96.225479021455186</v>
      </c>
      <c r="K47">
        <v>150.322538005761</v>
      </c>
      <c r="L47">
        <v>0</v>
      </c>
      <c r="M47">
        <v>0</v>
      </c>
      <c r="N47">
        <v>0</v>
      </c>
      <c r="O47">
        <v>0</v>
      </c>
      <c r="P47">
        <v>146.56830592434775</v>
      </c>
      <c r="Q47">
        <v>0</v>
      </c>
      <c r="R47">
        <v>0</v>
      </c>
      <c r="S47">
        <v>0</v>
      </c>
      <c r="T47">
        <v>10.451643824017232</v>
      </c>
      <c r="U47">
        <v>0</v>
      </c>
      <c r="V47">
        <v>0</v>
      </c>
      <c r="W47">
        <v>0</v>
      </c>
      <c r="X47">
        <f t="shared" si="0"/>
        <v>1286.0587993491054</v>
      </c>
      <c r="Y47">
        <f>X47*VLOOKUP($D47,'LinearReg Model'!$S$2:$T$6,2,FALSE)</f>
        <v>431.00423417231275</v>
      </c>
      <c r="Z47">
        <f t="shared" si="1"/>
        <v>0.3748334002277417</v>
      </c>
      <c r="AA47">
        <f t="shared" si="2"/>
        <v>0.21233069241475702</v>
      </c>
      <c r="AB47">
        <f t="shared" si="3"/>
        <v>9.9033795836757851E-2</v>
      </c>
      <c r="AC47">
        <v>28.267512206646213</v>
      </c>
      <c r="AD47">
        <v>1.8266228074543227</v>
      </c>
      <c r="AE47" s="2">
        <f>VLOOKUP($D47,'MultiReg Model'!$A$5:$F$9,2,FALSE)+AC47*VLOOKUP($D47,'MultiReg Model'!$A$5:$F$9,3,FALSE)+Z47*VLOOKUP($D47,'MultiReg Model'!$A$5:$F$9,4,FALSE)+AA47*VLOOKUP($D47,'MultiReg Model'!$A$5:$F$9,5,FALSE)+AB47*VLOOKUP($D47,'MultiReg Model'!$A$5:$F$9,6,FALSE)</f>
        <v>8.1456937523236519</v>
      </c>
      <c r="AF47" cm="1">
        <f t="array" ref="AF47">MMULT($AG47:$AM47,'Avg CI Index'!$C$2:$C$8)/BI47</f>
        <v>8.1556937548971753</v>
      </c>
      <c r="AG47">
        <v>27.006337577694442</v>
      </c>
      <c r="AH47">
        <v>234.70830464958354</v>
      </c>
      <c r="AI47">
        <v>0</v>
      </c>
      <c r="AJ47">
        <v>65.604787544750337</v>
      </c>
      <c r="AK47">
        <v>50.727911303009996</v>
      </c>
      <c r="AL47">
        <v>0</v>
      </c>
      <c r="AM47">
        <v>55.451180806042572</v>
      </c>
      <c r="AN47" cm="1">
        <f t="array" ref="AN47">$Y47*INDEX(RefCapacity!$D$2:$D$526,MATCH(1,(RefCapacity!$A$2:$A$526=RefCapacityProj!$D47)*(RefCapacity!$B$2:$B$526=2019)*(RefCapacity!$C$2:$C$526=AG$1),0))/SUMIFS(RefCapacity!$D$2:$D$526,RefCapacity!$A$2:$A$526,RefCapacityProj!$D47,RefCapacity!$B$2:$B$526,2019)</f>
        <v>11.572321921332463</v>
      </c>
      <c r="AO47" cm="1">
        <f t="array" ref="AO47">$Y47*INDEX(RefCapacity!$D$2:$D$526,MATCH(1,(RefCapacity!$A$2:$A$526=RefCapacityProj!$D47)*(RefCapacity!$B$2:$B$526=2019)*(RefCapacity!$C$2:$C$526=AH$1),0))/SUMIFS(RefCapacity!$D$2:$D$526,RefCapacity!$A$2:$A$526,RefCapacityProj!$D47,RefCapacity!$B$2:$B$526,2019)</f>
        <v>231.81398041144655</v>
      </c>
      <c r="AP47" cm="1">
        <f t="array" ref="AP47">$Y47*INDEX(RefCapacity!$D$2:$D$526,MATCH(1,(RefCapacity!$A$2:$A$526=RefCapacityProj!$D47)*(RefCapacity!$B$2:$B$526=2019)*(RefCapacity!$C$2:$C$526=AI$1),0))/SUMIFS(RefCapacity!$D$2:$D$526,RefCapacity!$A$2:$A$526,RefCapacityProj!$D47,RefCapacity!$B$2:$B$526,2019)</f>
        <v>0</v>
      </c>
      <c r="AQ47" cm="1">
        <f t="array" ref="AQ47">$Y47*INDEX(RefCapacity!$D$2:$D$526,MATCH(1,(RefCapacity!$A$2:$A$526=RefCapacityProj!$D47)*(RefCapacity!$B$2:$B$526=2019)*(RefCapacity!$C$2:$C$526=AJ$1),0))/SUMIFS(RefCapacity!$D$2:$D$526,RefCapacity!$A$2:$A$526,RefCapacityProj!$D47,RefCapacity!$B$2:$B$526,2019)</f>
        <v>69.167901138998616</v>
      </c>
      <c r="AR47" cm="1">
        <f t="array" ref="AR47">$Y47*INDEX(RefCapacity!$D$2:$D$526,MATCH(1,(RefCapacity!$A$2:$A$526=RefCapacityProj!$D47)*(RefCapacity!$B$2:$B$526=2019)*(RefCapacity!$C$2:$C$526=AK$1),0))/SUMIFS(RefCapacity!$D$2:$D$526,RefCapacity!$A$2:$A$526,RefCapacityProj!$D47,RefCapacity!$B$2:$B$526,2019)</f>
        <v>55.201305716700816</v>
      </c>
      <c r="AS47" cm="1">
        <f t="array" ref="AS47">$Y47*INDEX(RefCapacity!$D$2:$D$526,MATCH(1,(RefCapacity!$A$2:$A$526=RefCapacityProj!$D47)*(RefCapacity!$B$2:$B$526=2019)*(RefCapacity!$C$2:$C$526=AL$1),0))/SUMIFS(RefCapacity!$D$2:$D$526,RefCapacity!$A$2:$A$526,RefCapacityProj!$D47,RefCapacity!$B$2:$B$526,2019)</f>
        <v>0</v>
      </c>
      <c r="AT47" cm="1">
        <f t="array" ref="AT47">$Y47*INDEX(RefCapacity!$D$2:$D$526,MATCH(1,(RefCapacity!$A$2:$A$526=RefCapacityProj!$D47)*(RefCapacity!$B$2:$B$526=2019)*(RefCapacity!$C$2:$C$526=AM$1),0))/SUMIFS(RefCapacity!$D$2:$D$526,RefCapacity!$A$2:$A$526,RefCapacityProj!$D47,RefCapacity!$B$2:$B$526,2019)</f>
        <v>63.248724983834322</v>
      </c>
      <c r="AU47" cm="1">
        <f t="array" ref="AU47">INDEX(RefCapacity!$D$2:$D$526,MATCH(1,(RefCapacity!$A$2:$A$526=RefCapacityProj!$D47)*(RefCapacity!$B$2:$B$526=2019)*(RefCapacity!$C$2:$C$526=RefCapacityProj!AG$1),0))*IF($C47=2035,1+VLOOKUP(AG$1,RefCapacity!$H$2:$L$8,2,FALSE),1+VLOOKUP(AG$1,RefCapacity!$H$2:$L$8,4,FALSE))</f>
        <v>149.79386952738412</v>
      </c>
      <c r="AV47" cm="1">
        <f t="array" ref="AV47">INDEX(RefCapacity!$D$2:$D$526,MATCH(1,(RefCapacity!$A$2:$A$526=RefCapacityProj!$D47)*(RefCapacity!$B$2:$B$526=2019)*(RefCapacity!$C$2:$C$526=RefCapacityProj!AH$1),0))*IF($C47=2035,1+VLOOKUP(AH$1,RefCapacity!$H$2:$L$8,2,FALSE),1+VLOOKUP(AH$1,RefCapacity!$H$2:$L$8,4,FALSE))</f>
        <v>1123.1713294032013</v>
      </c>
      <c r="AW47" cm="1">
        <f t="array" ref="AW47">INDEX(RefCapacity!$D$2:$D$526,MATCH(1,(RefCapacity!$A$2:$A$526=RefCapacityProj!$D47)*(RefCapacity!$B$2:$B$526=2019)*(RefCapacity!$C$2:$C$526=RefCapacityProj!AI$1),0))*IF($C47=2035,1+VLOOKUP(AI$1,RefCapacity!$H$2:$L$8,2,FALSE),1+VLOOKUP(AI$1,RefCapacity!$H$2:$L$8,4,FALSE))</f>
        <v>0</v>
      </c>
      <c r="AX47" cm="1">
        <f t="array" ref="AX47">INDEX(RefCapacity!$D$2:$D$526,MATCH(1,(RefCapacity!$A$2:$A$526=RefCapacityProj!$D47)*(RefCapacity!$B$2:$B$526=2019)*(RefCapacity!$C$2:$C$526=RefCapacityProj!AJ$1),0))*IF($C47=2035,1+VLOOKUP(AJ$1,RefCapacity!$H$2:$L$8,2,FALSE),1+VLOOKUP(AJ$1,RefCapacity!$H$2:$L$8,4,FALSE))</f>
        <v>559.06666666666661</v>
      </c>
      <c r="AY47" cm="1">
        <f t="array" ref="AY47">INDEX(RefCapacity!$D$2:$D$526,MATCH(1,(RefCapacity!$A$2:$A$526=RefCapacityProj!$D47)*(RefCapacity!$B$2:$B$526=2019)*(RefCapacity!$C$2:$C$526=RefCapacityProj!AK$1),0))*IF($C47=2035,1+VLOOKUP(AK$1,RefCapacity!$H$2:$L$8,2,FALSE),1+VLOOKUP(AK$1,RefCapacity!$H$2:$L$8,4,FALSE))</f>
        <v>233.91115364400702</v>
      </c>
      <c r="AZ47" cm="1">
        <f t="array" ref="AZ47">INDEX(RefCapacity!$D$2:$D$526,MATCH(1,(RefCapacity!$A$2:$A$526=RefCapacityProj!$D47)*(RefCapacity!$B$2:$B$526=2019)*(RefCapacity!$C$2:$C$526=RefCapacityProj!AL$1),0))*IF($C47=2035,1+VLOOKUP(AL$1,RefCapacity!$H$2:$L$8,2,FALSE),1+VLOOKUP(AL$1,RefCapacity!$H$2:$L$8,4,FALSE))</f>
        <v>0</v>
      </c>
      <c r="BA47" cm="1">
        <f t="array" ref="BA47">INDEX(RefCapacity!$D$2:$D$526,MATCH(1,(RefCapacity!$A$2:$A$526=RefCapacityProj!$D47)*(RefCapacity!$B$2:$B$526=2019)*(RefCapacity!$C$2:$C$526=RefCapacityProj!AM$1),0))*IF($C47=2035,1+VLOOKUP(AM$1,RefCapacity!$H$2:$L$8,2,FALSE),1+VLOOKUP(AM$1,RefCapacity!$H$2:$L$8,4,FALSE))</f>
        <v>194.9338643873711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f t="shared" si="4"/>
        <v>433.49852188108093</v>
      </c>
      <c r="BJ47">
        <f t="shared" si="5"/>
        <v>2.4942877087681836</v>
      </c>
      <c r="BK47">
        <f t="shared" si="6"/>
        <v>1.0000002573523403E-2</v>
      </c>
      <c r="BL47" cm="1">
        <f t="array" ref="BL47">AG47/$BI47*INDEX('GHG Emission'!$C$2:$C$1121,MATCH(1,('GHG Emission'!$D$2:$D$1121=$D47)*('GHG Emission'!$E$2:$E$1121=$C47)*('GHG Emission'!$F$2:$F$1121=$B47)*('GHG Emission'!$I$2:$I$1121=$E47)*('GHG Emission'!$J$2:$J$1121=$F47)*('GHG Emission'!$K$2:$K$1121=AG$1),0))+AH47/$BI47*INDEX('GHG Emission'!$C$2:$C$1121,MATCH(1,('GHG Emission'!$D$2:$D$1121=$D47)*('GHG Emission'!$E$2:$E$1121=$C47)*('GHG Emission'!$F$2:$F$1121=$B47)*('GHG Emission'!$I$2:$I$1121=$E47)*('GHG Emission'!$J$2:$J$1121=$F47)*('GHG Emission'!$K$2:$K$1121=AH$1),0))+AI47/$BI47*INDEX('GHG Emission'!$C$2:$C$1121,MATCH(1,('GHG Emission'!$D$2:$D$1121=$D47)*('GHG Emission'!$E$2:$E$1121=$C47)*('GHG Emission'!$F$2:$F$1121=$B47)*('GHG Emission'!$I$2:$I$1121=$E47)*('GHG Emission'!$J$2:$J$1121=$F47)*('GHG Emission'!$K$2:$K$1121=AI$1),0))+AJ47/$BI47*INDEX('GHG Emission'!$C$2:$C$1121,MATCH(1,('GHG Emission'!$D$2:$D$1121=$D47)*('GHG Emission'!$E$2:$E$1121=$C47)*('GHG Emission'!$F$2:$F$1121=$B47)*('GHG Emission'!$I$2:$I$1121=$E47)*('GHG Emission'!$J$2:$J$1121=$F47)*('GHG Emission'!$K$2:$K$1121=AJ$1),0))+AK47/$BI47*INDEX('GHG Emission'!$C$2:$C$1121,MATCH(1,('GHG Emission'!$D$2:$D$1121=$D47)*('GHG Emission'!$E$2:$E$1121=$C47)*('GHG Emission'!$F$2:$F$1121=$B47)*('GHG Emission'!$I$2:$I$1121=$E47)*('GHG Emission'!$J$2:$J$1121=$F47)*('GHG Emission'!$K$2:$K$1121=AK$1),0))+AL47/$BI47*INDEX('GHG Emission'!$C$2:$C$1121,MATCH(1,('GHG Emission'!$D$2:$D$1121=$D47)*('GHG Emission'!$E$2:$E$1121=$C47)*('GHG Emission'!$F$2:$F$1121=$B47)*('GHG Emission'!$I$2:$I$1121=$E47)*('GHG Emission'!$J$2:$J$1121=$F47)*('GHG Emission'!$K$2:$K$1121=AL$1),0))+AM47/$BI47*INDEX('GHG Emission'!$C$2:$C$1121,MATCH(1,('GHG Emission'!$D$2:$D$1121=$D47)*('GHG Emission'!$E$2:$E$1121=$C47)*('GHG Emission'!$F$2:$F$1121=$B47)*('GHG Emission'!$I$2:$I$1121=$E47)*('GHG Emission'!$J$2:$J$1121=$F47)*('GHG Emission'!$K$2:$K$1121=AM$1),0))</f>
        <v>29.575045940743102</v>
      </c>
      <c r="BM47" t="str">
        <f t="shared" si="7"/>
        <v>HEAVY/SOUR</v>
      </c>
    </row>
    <row r="48" spans="1:65" hidden="1" x14ac:dyDescent="0.25">
      <c r="A48">
        <v>47</v>
      </c>
      <c r="B48" t="s">
        <v>470</v>
      </c>
      <c r="C48">
        <v>2050</v>
      </c>
      <c r="D48">
        <v>1</v>
      </c>
      <c r="E48" t="s">
        <v>469</v>
      </c>
      <c r="F48" t="s">
        <v>467</v>
      </c>
      <c r="G48">
        <v>482.05779265283218</v>
      </c>
      <c r="H48">
        <v>127.36328456880523</v>
      </c>
      <c r="I48">
        <v>273.06975535188661</v>
      </c>
      <c r="J48">
        <v>96.225479021455186</v>
      </c>
      <c r="K48">
        <v>150.322538005761</v>
      </c>
      <c r="L48">
        <v>0</v>
      </c>
      <c r="M48">
        <v>0</v>
      </c>
      <c r="N48">
        <v>0</v>
      </c>
      <c r="O48">
        <v>0</v>
      </c>
      <c r="P48">
        <v>146.56830592434775</v>
      </c>
      <c r="Q48">
        <v>0</v>
      </c>
      <c r="R48">
        <v>0</v>
      </c>
      <c r="S48">
        <v>0</v>
      </c>
      <c r="T48">
        <v>10.451643824017232</v>
      </c>
      <c r="U48">
        <v>0</v>
      </c>
      <c r="V48">
        <v>0</v>
      </c>
      <c r="W48">
        <v>0</v>
      </c>
      <c r="X48">
        <f t="shared" si="0"/>
        <v>1286.0587993491054</v>
      </c>
      <c r="Y48">
        <f>X48*VLOOKUP($D48,'LinearReg Model'!$S$2:$T$6,2,FALSE)</f>
        <v>431.00423417231275</v>
      </c>
      <c r="Z48">
        <f t="shared" si="1"/>
        <v>0.3748334002277417</v>
      </c>
      <c r="AA48">
        <f t="shared" si="2"/>
        <v>0.21233069241475702</v>
      </c>
      <c r="AB48">
        <f t="shared" si="3"/>
        <v>9.9033795836757851E-2</v>
      </c>
      <c r="AC48">
        <v>37.317276792879753</v>
      </c>
      <c r="AD48">
        <v>0.27799592561789516</v>
      </c>
      <c r="AE48" s="2">
        <f>VLOOKUP($D48,'MultiReg Model'!$A$5:$F$9,2,FALSE)+AC48*VLOOKUP($D48,'MultiReg Model'!$A$5:$F$9,3,FALSE)+Z48*VLOOKUP($D48,'MultiReg Model'!$A$5:$F$9,4,FALSE)+AA48*VLOOKUP($D48,'MultiReg Model'!$A$5:$F$9,5,FALSE)+AB48*VLOOKUP($D48,'MultiReg Model'!$A$5:$F$9,6,FALSE)</f>
        <v>7.0672837319473807</v>
      </c>
      <c r="AF48" cm="1">
        <f t="array" ref="AF48">MMULT($AG48:$AM48,'Avg CI Index'!$C$2:$C$8)/BI48</f>
        <v>7.0772841357249501</v>
      </c>
      <c r="AG48">
        <v>83.861243805622564</v>
      </c>
      <c r="AH48">
        <v>243.9993645510765</v>
      </c>
      <c r="AI48">
        <v>0</v>
      </c>
      <c r="AJ48">
        <v>50.403085343875077</v>
      </c>
      <c r="AK48">
        <v>32.086865193458195</v>
      </c>
      <c r="AL48">
        <v>0</v>
      </c>
      <c r="AM48">
        <v>24.229805363559297</v>
      </c>
      <c r="AN48" cm="1">
        <f t="array" ref="AN48">$Y48*INDEX(RefCapacity!$D$2:$D$526,MATCH(1,(RefCapacity!$A$2:$A$526=RefCapacityProj!$D48)*(RefCapacity!$B$2:$B$526=2019)*(RefCapacity!$C$2:$C$526=AG$1),0))/SUMIFS(RefCapacity!$D$2:$D$526,RefCapacity!$A$2:$A$526,RefCapacityProj!$D48,RefCapacity!$B$2:$B$526,2019)</f>
        <v>11.572321921332463</v>
      </c>
      <c r="AO48" cm="1">
        <f t="array" ref="AO48">$Y48*INDEX(RefCapacity!$D$2:$D$526,MATCH(1,(RefCapacity!$A$2:$A$526=RefCapacityProj!$D48)*(RefCapacity!$B$2:$B$526=2019)*(RefCapacity!$C$2:$C$526=AH$1),0))/SUMIFS(RefCapacity!$D$2:$D$526,RefCapacity!$A$2:$A$526,RefCapacityProj!$D48,RefCapacity!$B$2:$B$526,2019)</f>
        <v>231.81398041144655</v>
      </c>
      <c r="AP48" cm="1">
        <f t="array" ref="AP48">$Y48*INDEX(RefCapacity!$D$2:$D$526,MATCH(1,(RefCapacity!$A$2:$A$526=RefCapacityProj!$D48)*(RefCapacity!$B$2:$B$526=2019)*(RefCapacity!$C$2:$C$526=AI$1),0))/SUMIFS(RefCapacity!$D$2:$D$526,RefCapacity!$A$2:$A$526,RefCapacityProj!$D48,RefCapacity!$B$2:$B$526,2019)</f>
        <v>0</v>
      </c>
      <c r="AQ48" cm="1">
        <f t="array" ref="AQ48">$Y48*INDEX(RefCapacity!$D$2:$D$526,MATCH(1,(RefCapacity!$A$2:$A$526=RefCapacityProj!$D48)*(RefCapacity!$B$2:$B$526=2019)*(RefCapacity!$C$2:$C$526=AJ$1),0))/SUMIFS(RefCapacity!$D$2:$D$526,RefCapacity!$A$2:$A$526,RefCapacityProj!$D48,RefCapacity!$B$2:$B$526,2019)</f>
        <v>69.167901138998616</v>
      </c>
      <c r="AR48" cm="1">
        <f t="array" ref="AR48">$Y48*INDEX(RefCapacity!$D$2:$D$526,MATCH(1,(RefCapacity!$A$2:$A$526=RefCapacityProj!$D48)*(RefCapacity!$B$2:$B$526=2019)*(RefCapacity!$C$2:$C$526=AK$1),0))/SUMIFS(RefCapacity!$D$2:$D$526,RefCapacity!$A$2:$A$526,RefCapacityProj!$D48,RefCapacity!$B$2:$B$526,2019)</f>
        <v>55.201305716700816</v>
      </c>
      <c r="AS48" cm="1">
        <f t="array" ref="AS48">$Y48*INDEX(RefCapacity!$D$2:$D$526,MATCH(1,(RefCapacity!$A$2:$A$526=RefCapacityProj!$D48)*(RefCapacity!$B$2:$B$526=2019)*(RefCapacity!$C$2:$C$526=AL$1),0))/SUMIFS(RefCapacity!$D$2:$D$526,RefCapacity!$A$2:$A$526,RefCapacityProj!$D48,RefCapacity!$B$2:$B$526,2019)</f>
        <v>0</v>
      </c>
      <c r="AT48" cm="1">
        <f t="array" ref="AT48">$Y48*INDEX(RefCapacity!$D$2:$D$526,MATCH(1,(RefCapacity!$A$2:$A$526=RefCapacityProj!$D48)*(RefCapacity!$B$2:$B$526=2019)*(RefCapacity!$C$2:$C$526=AM$1),0))/SUMIFS(RefCapacity!$D$2:$D$526,RefCapacity!$A$2:$A$526,RefCapacityProj!$D48,RefCapacity!$B$2:$B$526,2019)</f>
        <v>63.248724983834322</v>
      </c>
      <c r="AU48" cm="1">
        <f t="array" ref="AU48">INDEX(RefCapacity!$D$2:$D$526,MATCH(1,(RefCapacity!$A$2:$A$526=RefCapacityProj!$D48)*(RefCapacity!$B$2:$B$526=2019)*(RefCapacity!$C$2:$C$526=RefCapacityProj!AG$1),0))*IF($C48=2035,1+VLOOKUP(AG$1,RefCapacity!$H$2:$L$8,2,FALSE),1+VLOOKUP(AG$1,RefCapacity!$H$2:$L$8,4,FALSE))</f>
        <v>149.79386952738412</v>
      </c>
      <c r="AV48" cm="1">
        <f t="array" ref="AV48">INDEX(RefCapacity!$D$2:$D$526,MATCH(1,(RefCapacity!$A$2:$A$526=RefCapacityProj!$D48)*(RefCapacity!$B$2:$B$526=2019)*(RefCapacity!$C$2:$C$526=RefCapacityProj!AH$1),0))*IF($C48=2035,1+VLOOKUP(AH$1,RefCapacity!$H$2:$L$8,2,FALSE),1+VLOOKUP(AH$1,RefCapacity!$H$2:$L$8,4,FALSE))</f>
        <v>1123.1713294032013</v>
      </c>
      <c r="AW48" cm="1">
        <f t="array" ref="AW48">INDEX(RefCapacity!$D$2:$D$526,MATCH(1,(RefCapacity!$A$2:$A$526=RefCapacityProj!$D48)*(RefCapacity!$B$2:$B$526=2019)*(RefCapacity!$C$2:$C$526=RefCapacityProj!AI$1),0))*IF($C48=2035,1+VLOOKUP(AI$1,RefCapacity!$H$2:$L$8,2,FALSE),1+VLOOKUP(AI$1,RefCapacity!$H$2:$L$8,4,FALSE))</f>
        <v>0</v>
      </c>
      <c r="AX48" cm="1">
        <f t="array" ref="AX48">INDEX(RefCapacity!$D$2:$D$526,MATCH(1,(RefCapacity!$A$2:$A$526=RefCapacityProj!$D48)*(RefCapacity!$B$2:$B$526=2019)*(RefCapacity!$C$2:$C$526=RefCapacityProj!AJ$1),0))*IF($C48=2035,1+VLOOKUP(AJ$1,RefCapacity!$H$2:$L$8,2,FALSE),1+VLOOKUP(AJ$1,RefCapacity!$H$2:$L$8,4,FALSE))</f>
        <v>559.06666666666661</v>
      </c>
      <c r="AY48" cm="1">
        <f t="array" ref="AY48">INDEX(RefCapacity!$D$2:$D$526,MATCH(1,(RefCapacity!$A$2:$A$526=RefCapacityProj!$D48)*(RefCapacity!$B$2:$B$526=2019)*(RefCapacity!$C$2:$C$526=RefCapacityProj!AK$1),0))*IF($C48=2035,1+VLOOKUP(AK$1,RefCapacity!$H$2:$L$8,2,FALSE),1+VLOOKUP(AK$1,RefCapacity!$H$2:$L$8,4,FALSE))</f>
        <v>233.91115364400702</v>
      </c>
      <c r="AZ48" cm="1">
        <f t="array" ref="AZ48">INDEX(RefCapacity!$D$2:$D$526,MATCH(1,(RefCapacity!$A$2:$A$526=RefCapacityProj!$D48)*(RefCapacity!$B$2:$B$526=2019)*(RefCapacity!$C$2:$C$526=RefCapacityProj!AL$1),0))*IF($C48=2035,1+VLOOKUP(AL$1,RefCapacity!$H$2:$L$8,2,FALSE),1+VLOOKUP(AL$1,RefCapacity!$H$2:$L$8,4,FALSE))</f>
        <v>0</v>
      </c>
      <c r="BA48" cm="1">
        <f t="array" ref="BA48">INDEX(RefCapacity!$D$2:$D$526,MATCH(1,(RefCapacity!$A$2:$A$526=RefCapacityProj!$D48)*(RefCapacity!$B$2:$B$526=2019)*(RefCapacity!$C$2:$C$526=RefCapacityProj!AM$1),0))*IF($C48=2035,1+VLOOKUP(AM$1,RefCapacity!$H$2:$L$8,2,FALSE),1+VLOOKUP(AM$1,RefCapacity!$H$2:$L$8,4,FALSE))</f>
        <v>194.9338643873711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f t="shared" si="4"/>
        <v>434.58036425759167</v>
      </c>
      <c r="BJ48">
        <f t="shared" si="5"/>
        <v>3.5761300852789191</v>
      </c>
      <c r="BK48">
        <f t="shared" si="6"/>
        <v>1.0000403777569389E-2</v>
      </c>
      <c r="BL48" cm="1">
        <f t="array" ref="BL48">AG48/$BI48*INDEX('GHG Emission'!$C$2:$C$1121,MATCH(1,('GHG Emission'!$D$2:$D$1121=$D48)*('GHG Emission'!$E$2:$E$1121=$C48)*('GHG Emission'!$F$2:$F$1121=$B48)*('GHG Emission'!$I$2:$I$1121=$E48)*('GHG Emission'!$J$2:$J$1121=$F48)*('GHG Emission'!$K$2:$K$1121=AG$1),0))+AH48/$BI48*INDEX('GHG Emission'!$C$2:$C$1121,MATCH(1,('GHG Emission'!$D$2:$D$1121=$D48)*('GHG Emission'!$E$2:$E$1121=$C48)*('GHG Emission'!$F$2:$F$1121=$B48)*('GHG Emission'!$I$2:$I$1121=$E48)*('GHG Emission'!$J$2:$J$1121=$F48)*('GHG Emission'!$K$2:$K$1121=AH$1),0))+AI48/$BI48*INDEX('GHG Emission'!$C$2:$C$1121,MATCH(1,('GHG Emission'!$D$2:$D$1121=$D48)*('GHG Emission'!$E$2:$E$1121=$C48)*('GHG Emission'!$F$2:$F$1121=$B48)*('GHG Emission'!$I$2:$I$1121=$E48)*('GHG Emission'!$J$2:$J$1121=$F48)*('GHG Emission'!$K$2:$K$1121=AI$1),0))+AJ48/$BI48*INDEX('GHG Emission'!$C$2:$C$1121,MATCH(1,('GHG Emission'!$D$2:$D$1121=$D48)*('GHG Emission'!$E$2:$E$1121=$C48)*('GHG Emission'!$F$2:$F$1121=$B48)*('GHG Emission'!$I$2:$I$1121=$E48)*('GHG Emission'!$J$2:$J$1121=$F48)*('GHG Emission'!$K$2:$K$1121=AJ$1),0))+AK48/$BI48*INDEX('GHG Emission'!$C$2:$C$1121,MATCH(1,('GHG Emission'!$D$2:$D$1121=$D48)*('GHG Emission'!$E$2:$E$1121=$C48)*('GHG Emission'!$F$2:$F$1121=$B48)*('GHG Emission'!$I$2:$I$1121=$E48)*('GHG Emission'!$J$2:$J$1121=$F48)*('GHG Emission'!$K$2:$K$1121=AK$1),0))+AL48/$BI48*INDEX('GHG Emission'!$C$2:$C$1121,MATCH(1,('GHG Emission'!$D$2:$D$1121=$D48)*('GHG Emission'!$E$2:$E$1121=$C48)*('GHG Emission'!$F$2:$F$1121=$B48)*('GHG Emission'!$I$2:$I$1121=$E48)*('GHG Emission'!$J$2:$J$1121=$F48)*('GHG Emission'!$K$2:$K$1121=AL$1),0))+AM48/$BI48*INDEX('GHG Emission'!$C$2:$C$1121,MATCH(1,('GHG Emission'!$D$2:$D$1121=$D48)*('GHG Emission'!$E$2:$E$1121=$C48)*('GHG Emission'!$F$2:$F$1121=$B48)*('GHG Emission'!$I$2:$I$1121=$E48)*('GHG Emission'!$J$2:$J$1121=$F48)*('GHG Emission'!$K$2:$K$1121=AM$1),0))</f>
        <v>30.237953644835006</v>
      </c>
      <c r="BM48" t="str">
        <f t="shared" si="7"/>
        <v>LIGHT/SWEET</v>
      </c>
    </row>
    <row r="49" spans="1:65" hidden="1" x14ac:dyDescent="0.25">
      <c r="A49">
        <v>48</v>
      </c>
      <c r="B49" t="s">
        <v>470</v>
      </c>
      <c r="C49">
        <v>2050</v>
      </c>
      <c r="D49">
        <v>1</v>
      </c>
      <c r="E49" t="s">
        <v>469</v>
      </c>
      <c r="F49" t="s">
        <v>468</v>
      </c>
      <c r="G49">
        <v>482.05779265283218</v>
      </c>
      <c r="H49">
        <v>127.36328456880523</v>
      </c>
      <c r="I49">
        <v>273.06975535188661</v>
      </c>
      <c r="J49">
        <v>96.225479021455186</v>
      </c>
      <c r="K49">
        <v>150.322538005761</v>
      </c>
      <c r="L49">
        <v>0</v>
      </c>
      <c r="M49">
        <v>0</v>
      </c>
      <c r="N49">
        <v>0</v>
      </c>
      <c r="O49">
        <v>0</v>
      </c>
      <c r="P49">
        <v>146.56830592434775</v>
      </c>
      <c r="Q49">
        <v>0</v>
      </c>
      <c r="R49">
        <v>0</v>
      </c>
      <c r="S49">
        <v>0</v>
      </c>
      <c r="T49">
        <v>10.451643824017232</v>
      </c>
      <c r="U49">
        <v>0</v>
      </c>
      <c r="V49">
        <v>0</v>
      </c>
      <c r="W49">
        <v>0</v>
      </c>
      <c r="X49">
        <f t="shared" si="0"/>
        <v>1286.0587993491054</v>
      </c>
      <c r="Y49">
        <f>X49*VLOOKUP($D49,'LinearReg Model'!$S$2:$T$6,2,FALSE)</f>
        <v>431.00423417231275</v>
      </c>
      <c r="Z49">
        <f t="shared" si="1"/>
        <v>0.3748334002277417</v>
      </c>
      <c r="AA49">
        <f t="shared" si="2"/>
        <v>0.21233069241475702</v>
      </c>
      <c r="AB49">
        <f t="shared" si="3"/>
        <v>9.9033795836757851E-2</v>
      </c>
      <c r="AC49">
        <v>37.317276792879753</v>
      </c>
      <c r="AD49">
        <v>1.8266228074543227</v>
      </c>
      <c r="AE49" s="2">
        <f>VLOOKUP($D49,'MultiReg Model'!$A$5:$F$9,2,FALSE)+AC49*VLOOKUP($D49,'MultiReg Model'!$A$5:$F$9,3,FALSE)+Z49*VLOOKUP($D49,'MultiReg Model'!$A$5:$F$9,4,FALSE)+AA49*VLOOKUP($D49,'MultiReg Model'!$A$5:$F$9,5,FALSE)+AB49*VLOOKUP($D49,'MultiReg Model'!$A$5:$F$9,6,FALSE)</f>
        <v>7.0672837319473807</v>
      </c>
      <c r="AF49" cm="1">
        <f t="array" ref="AF49">MMULT($AG49:$AM49,'Avg CI Index'!$C$2:$C$8)/BI49</f>
        <v>7.0772841357249501</v>
      </c>
      <c r="AG49">
        <v>83.861243805622564</v>
      </c>
      <c r="AH49">
        <v>243.9993645510765</v>
      </c>
      <c r="AI49">
        <v>0</v>
      </c>
      <c r="AJ49">
        <v>50.403085343875077</v>
      </c>
      <c r="AK49">
        <v>32.086865193458195</v>
      </c>
      <c r="AL49">
        <v>0</v>
      </c>
      <c r="AM49">
        <v>24.229805363559297</v>
      </c>
      <c r="AN49" cm="1">
        <f t="array" ref="AN49">$Y49*INDEX(RefCapacity!$D$2:$D$526,MATCH(1,(RefCapacity!$A$2:$A$526=RefCapacityProj!$D49)*(RefCapacity!$B$2:$B$526=2019)*(RefCapacity!$C$2:$C$526=AG$1),0))/SUMIFS(RefCapacity!$D$2:$D$526,RefCapacity!$A$2:$A$526,RefCapacityProj!$D49,RefCapacity!$B$2:$B$526,2019)</f>
        <v>11.572321921332463</v>
      </c>
      <c r="AO49" cm="1">
        <f t="array" ref="AO49">$Y49*INDEX(RefCapacity!$D$2:$D$526,MATCH(1,(RefCapacity!$A$2:$A$526=RefCapacityProj!$D49)*(RefCapacity!$B$2:$B$526=2019)*(RefCapacity!$C$2:$C$526=AH$1),0))/SUMIFS(RefCapacity!$D$2:$D$526,RefCapacity!$A$2:$A$526,RefCapacityProj!$D49,RefCapacity!$B$2:$B$526,2019)</f>
        <v>231.81398041144655</v>
      </c>
      <c r="AP49" cm="1">
        <f t="array" ref="AP49">$Y49*INDEX(RefCapacity!$D$2:$D$526,MATCH(1,(RefCapacity!$A$2:$A$526=RefCapacityProj!$D49)*(RefCapacity!$B$2:$B$526=2019)*(RefCapacity!$C$2:$C$526=AI$1),0))/SUMIFS(RefCapacity!$D$2:$D$526,RefCapacity!$A$2:$A$526,RefCapacityProj!$D49,RefCapacity!$B$2:$B$526,2019)</f>
        <v>0</v>
      </c>
      <c r="AQ49" cm="1">
        <f t="array" ref="AQ49">$Y49*INDEX(RefCapacity!$D$2:$D$526,MATCH(1,(RefCapacity!$A$2:$A$526=RefCapacityProj!$D49)*(RefCapacity!$B$2:$B$526=2019)*(RefCapacity!$C$2:$C$526=AJ$1),0))/SUMIFS(RefCapacity!$D$2:$D$526,RefCapacity!$A$2:$A$526,RefCapacityProj!$D49,RefCapacity!$B$2:$B$526,2019)</f>
        <v>69.167901138998616</v>
      </c>
      <c r="AR49" cm="1">
        <f t="array" ref="AR49">$Y49*INDEX(RefCapacity!$D$2:$D$526,MATCH(1,(RefCapacity!$A$2:$A$526=RefCapacityProj!$D49)*(RefCapacity!$B$2:$B$526=2019)*(RefCapacity!$C$2:$C$526=AK$1),0))/SUMIFS(RefCapacity!$D$2:$D$526,RefCapacity!$A$2:$A$526,RefCapacityProj!$D49,RefCapacity!$B$2:$B$526,2019)</f>
        <v>55.201305716700816</v>
      </c>
      <c r="AS49" cm="1">
        <f t="array" ref="AS49">$Y49*INDEX(RefCapacity!$D$2:$D$526,MATCH(1,(RefCapacity!$A$2:$A$526=RefCapacityProj!$D49)*(RefCapacity!$B$2:$B$526=2019)*(RefCapacity!$C$2:$C$526=AL$1),0))/SUMIFS(RefCapacity!$D$2:$D$526,RefCapacity!$A$2:$A$526,RefCapacityProj!$D49,RefCapacity!$B$2:$B$526,2019)</f>
        <v>0</v>
      </c>
      <c r="AT49" cm="1">
        <f t="array" ref="AT49">$Y49*INDEX(RefCapacity!$D$2:$D$526,MATCH(1,(RefCapacity!$A$2:$A$526=RefCapacityProj!$D49)*(RefCapacity!$B$2:$B$526=2019)*(RefCapacity!$C$2:$C$526=AM$1),0))/SUMIFS(RefCapacity!$D$2:$D$526,RefCapacity!$A$2:$A$526,RefCapacityProj!$D49,RefCapacity!$B$2:$B$526,2019)</f>
        <v>63.248724983834322</v>
      </c>
      <c r="AU49" cm="1">
        <f t="array" ref="AU49">INDEX(RefCapacity!$D$2:$D$526,MATCH(1,(RefCapacity!$A$2:$A$526=RefCapacityProj!$D49)*(RefCapacity!$B$2:$B$526=2019)*(RefCapacity!$C$2:$C$526=RefCapacityProj!AG$1),0))*IF($C49=2035,1+VLOOKUP(AG$1,RefCapacity!$H$2:$L$8,2,FALSE),1+VLOOKUP(AG$1,RefCapacity!$H$2:$L$8,4,FALSE))</f>
        <v>149.79386952738412</v>
      </c>
      <c r="AV49" cm="1">
        <f t="array" ref="AV49">INDEX(RefCapacity!$D$2:$D$526,MATCH(1,(RefCapacity!$A$2:$A$526=RefCapacityProj!$D49)*(RefCapacity!$B$2:$B$526=2019)*(RefCapacity!$C$2:$C$526=RefCapacityProj!AH$1),0))*IF($C49=2035,1+VLOOKUP(AH$1,RefCapacity!$H$2:$L$8,2,FALSE),1+VLOOKUP(AH$1,RefCapacity!$H$2:$L$8,4,FALSE))</f>
        <v>1123.1713294032013</v>
      </c>
      <c r="AW49" cm="1">
        <f t="array" ref="AW49">INDEX(RefCapacity!$D$2:$D$526,MATCH(1,(RefCapacity!$A$2:$A$526=RefCapacityProj!$D49)*(RefCapacity!$B$2:$B$526=2019)*(RefCapacity!$C$2:$C$526=RefCapacityProj!AI$1),0))*IF($C49=2035,1+VLOOKUP(AI$1,RefCapacity!$H$2:$L$8,2,FALSE),1+VLOOKUP(AI$1,RefCapacity!$H$2:$L$8,4,FALSE))</f>
        <v>0</v>
      </c>
      <c r="AX49" cm="1">
        <f t="array" ref="AX49">INDEX(RefCapacity!$D$2:$D$526,MATCH(1,(RefCapacity!$A$2:$A$526=RefCapacityProj!$D49)*(RefCapacity!$B$2:$B$526=2019)*(RefCapacity!$C$2:$C$526=RefCapacityProj!AJ$1),0))*IF($C49=2035,1+VLOOKUP(AJ$1,RefCapacity!$H$2:$L$8,2,FALSE),1+VLOOKUP(AJ$1,RefCapacity!$H$2:$L$8,4,FALSE))</f>
        <v>559.06666666666661</v>
      </c>
      <c r="AY49" cm="1">
        <f t="array" ref="AY49">INDEX(RefCapacity!$D$2:$D$526,MATCH(1,(RefCapacity!$A$2:$A$526=RefCapacityProj!$D49)*(RefCapacity!$B$2:$B$526=2019)*(RefCapacity!$C$2:$C$526=RefCapacityProj!AK$1),0))*IF($C49=2035,1+VLOOKUP(AK$1,RefCapacity!$H$2:$L$8,2,FALSE),1+VLOOKUP(AK$1,RefCapacity!$H$2:$L$8,4,FALSE))</f>
        <v>233.91115364400702</v>
      </c>
      <c r="AZ49" cm="1">
        <f t="array" ref="AZ49">INDEX(RefCapacity!$D$2:$D$526,MATCH(1,(RefCapacity!$A$2:$A$526=RefCapacityProj!$D49)*(RefCapacity!$B$2:$B$526=2019)*(RefCapacity!$C$2:$C$526=RefCapacityProj!AL$1),0))*IF($C49=2035,1+VLOOKUP(AL$1,RefCapacity!$H$2:$L$8,2,FALSE),1+VLOOKUP(AL$1,RefCapacity!$H$2:$L$8,4,FALSE))</f>
        <v>0</v>
      </c>
      <c r="BA49" cm="1">
        <f t="array" ref="BA49">INDEX(RefCapacity!$D$2:$D$526,MATCH(1,(RefCapacity!$A$2:$A$526=RefCapacityProj!$D49)*(RefCapacity!$B$2:$B$526=2019)*(RefCapacity!$C$2:$C$526=RefCapacityProj!AM$1),0))*IF($C49=2035,1+VLOOKUP(AM$1,RefCapacity!$H$2:$L$8,2,FALSE),1+VLOOKUP(AM$1,RefCapacity!$H$2:$L$8,4,FALSE))</f>
        <v>194.9338643873711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f t="shared" si="4"/>
        <v>434.58036425759167</v>
      </c>
      <c r="BJ49">
        <f t="shared" si="5"/>
        <v>3.5761300852789191</v>
      </c>
      <c r="BK49">
        <f t="shared" si="6"/>
        <v>1.0000403777569389E-2</v>
      </c>
      <c r="BL49" cm="1">
        <f t="array" ref="BL49">AG49/$BI49*INDEX('GHG Emission'!$C$2:$C$1121,MATCH(1,('GHG Emission'!$D$2:$D$1121=$D49)*('GHG Emission'!$E$2:$E$1121=$C49)*('GHG Emission'!$F$2:$F$1121=$B49)*('GHG Emission'!$I$2:$I$1121=$E49)*('GHG Emission'!$J$2:$J$1121=$F49)*('GHG Emission'!$K$2:$K$1121=AG$1),0))+AH49/$BI49*INDEX('GHG Emission'!$C$2:$C$1121,MATCH(1,('GHG Emission'!$D$2:$D$1121=$D49)*('GHG Emission'!$E$2:$E$1121=$C49)*('GHG Emission'!$F$2:$F$1121=$B49)*('GHG Emission'!$I$2:$I$1121=$E49)*('GHG Emission'!$J$2:$J$1121=$F49)*('GHG Emission'!$K$2:$K$1121=AH$1),0))+AI49/$BI49*INDEX('GHG Emission'!$C$2:$C$1121,MATCH(1,('GHG Emission'!$D$2:$D$1121=$D49)*('GHG Emission'!$E$2:$E$1121=$C49)*('GHG Emission'!$F$2:$F$1121=$B49)*('GHG Emission'!$I$2:$I$1121=$E49)*('GHG Emission'!$J$2:$J$1121=$F49)*('GHG Emission'!$K$2:$K$1121=AI$1),0))+AJ49/$BI49*INDEX('GHG Emission'!$C$2:$C$1121,MATCH(1,('GHG Emission'!$D$2:$D$1121=$D49)*('GHG Emission'!$E$2:$E$1121=$C49)*('GHG Emission'!$F$2:$F$1121=$B49)*('GHG Emission'!$I$2:$I$1121=$E49)*('GHG Emission'!$J$2:$J$1121=$F49)*('GHG Emission'!$K$2:$K$1121=AJ$1),0))+AK49/$BI49*INDEX('GHG Emission'!$C$2:$C$1121,MATCH(1,('GHG Emission'!$D$2:$D$1121=$D49)*('GHG Emission'!$E$2:$E$1121=$C49)*('GHG Emission'!$F$2:$F$1121=$B49)*('GHG Emission'!$I$2:$I$1121=$E49)*('GHG Emission'!$J$2:$J$1121=$F49)*('GHG Emission'!$K$2:$K$1121=AK$1),0))+AL49/$BI49*INDEX('GHG Emission'!$C$2:$C$1121,MATCH(1,('GHG Emission'!$D$2:$D$1121=$D49)*('GHG Emission'!$E$2:$E$1121=$C49)*('GHG Emission'!$F$2:$F$1121=$B49)*('GHG Emission'!$I$2:$I$1121=$E49)*('GHG Emission'!$J$2:$J$1121=$F49)*('GHG Emission'!$K$2:$K$1121=AL$1),0))+AM49/$BI49*INDEX('GHG Emission'!$C$2:$C$1121,MATCH(1,('GHG Emission'!$D$2:$D$1121=$D49)*('GHG Emission'!$E$2:$E$1121=$C49)*('GHG Emission'!$F$2:$F$1121=$B49)*('GHG Emission'!$I$2:$I$1121=$E49)*('GHG Emission'!$J$2:$J$1121=$F49)*('GHG Emission'!$K$2:$K$1121=AM$1),0))</f>
        <v>23.04172130373626</v>
      </c>
      <c r="BM49" t="str">
        <f t="shared" si="7"/>
        <v>LIGHT/SOUR</v>
      </c>
    </row>
    <row r="50" spans="1:65" hidden="1" x14ac:dyDescent="0.25">
      <c r="A50">
        <v>49</v>
      </c>
      <c r="B50" t="s">
        <v>470</v>
      </c>
      <c r="C50">
        <v>2035</v>
      </c>
      <c r="D50">
        <v>2</v>
      </c>
      <c r="E50" t="s">
        <v>466</v>
      </c>
      <c r="F50" t="s">
        <v>467</v>
      </c>
      <c r="G50">
        <v>1600.604576313722</v>
      </c>
      <c r="H50">
        <v>243.18273200131145</v>
      </c>
      <c r="I50">
        <v>1128.3857632408719</v>
      </c>
      <c r="J50">
        <v>69.392239543801637</v>
      </c>
      <c r="K50">
        <v>41.316115877463915</v>
      </c>
      <c r="L50">
        <v>29.323153592751066</v>
      </c>
      <c r="M50">
        <v>0</v>
      </c>
      <c r="N50">
        <v>0</v>
      </c>
      <c r="O50">
        <v>0</v>
      </c>
      <c r="P50">
        <v>281.84341296408508</v>
      </c>
      <c r="Q50">
        <v>0</v>
      </c>
      <c r="R50">
        <v>0</v>
      </c>
      <c r="S50">
        <v>0</v>
      </c>
      <c r="T50">
        <v>8.9774380545843417</v>
      </c>
      <c r="U50">
        <v>0</v>
      </c>
      <c r="V50">
        <v>0</v>
      </c>
      <c r="W50">
        <v>0</v>
      </c>
      <c r="X50">
        <f t="shared" si="0"/>
        <v>3403.0254315885909</v>
      </c>
      <c r="Y50">
        <f>X50*VLOOKUP($D50,'LinearReg Model'!$S$2:$T$6,2,FALSE)</f>
        <v>2810.2539937120855</v>
      </c>
      <c r="Z50">
        <f t="shared" si="1"/>
        <v>0.4703475211957297</v>
      </c>
      <c r="AA50">
        <f t="shared" si="2"/>
        <v>0.33158311212329733</v>
      </c>
      <c r="AB50">
        <f t="shared" si="3"/>
        <v>7.1460744825462427E-2</v>
      </c>
      <c r="AC50">
        <v>30.283494646922765</v>
      </c>
      <c r="AD50">
        <v>0.85848259090407375</v>
      </c>
      <c r="AE50" s="2">
        <f>VLOOKUP($D50,'MultiReg Model'!$A$5:$F$9,2,FALSE)+AC50*VLOOKUP($D50,'MultiReg Model'!$A$5:$F$9,3,FALSE)+Z50*VLOOKUP($D50,'MultiReg Model'!$A$5:$F$9,4,FALSE)+AA50*VLOOKUP($D50,'MultiReg Model'!$A$5:$F$9,5,FALSE)+AB50*VLOOKUP($D50,'MultiReg Model'!$A$5:$F$9,6,FALSE)</f>
        <v>9.7348591886718356</v>
      </c>
      <c r="AF50" cm="1">
        <f t="array" ref="AF50">MMULT($AG50:$AM50,'Avg CI Index'!$C$2:$C$8)/BI50</f>
        <v>9.744858778156626</v>
      </c>
      <c r="AG50">
        <v>52.891534854121709</v>
      </c>
      <c r="AH50">
        <v>435.28545140251737</v>
      </c>
      <c r="AI50">
        <v>0</v>
      </c>
      <c r="AJ50">
        <v>355.45912010671123</v>
      </c>
      <c r="AK50">
        <v>1102.6063161531092</v>
      </c>
      <c r="AL50">
        <v>0</v>
      </c>
      <c r="AM50">
        <v>892.0788276855169</v>
      </c>
      <c r="AN50" cm="1">
        <f t="array" ref="AN50">$Y50*INDEX(RefCapacity!$D$2:$D$526,MATCH(1,(RefCapacity!$A$2:$A$526=RefCapacityProj!$D50)*(RefCapacity!$B$2:$B$526=2019)*(RefCapacity!$C$2:$C$526=AG$1),0))/SUMIFS(RefCapacity!$D$2:$D$526,RefCapacity!$A$2:$A$526,RefCapacityProj!$D50,RefCapacity!$B$2:$B$526,2019)</f>
        <v>17.244837331177028</v>
      </c>
      <c r="AO50" cm="1">
        <f t="array" ref="AO50">$Y50*INDEX(RefCapacity!$D$2:$D$526,MATCH(1,(RefCapacity!$A$2:$A$526=RefCapacityProj!$D50)*(RefCapacity!$B$2:$B$526=2019)*(RefCapacity!$C$2:$C$526=AH$1),0))/SUMIFS(RefCapacity!$D$2:$D$526,RefCapacity!$A$2:$A$526,RefCapacityProj!$D50,RefCapacity!$B$2:$B$526,2019)</f>
        <v>424.82744577208405</v>
      </c>
      <c r="AP50" cm="1">
        <f t="array" ref="AP50">$Y50*INDEX(RefCapacity!$D$2:$D$526,MATCH(1,(RefCapacity!$A$2:$A$526=RefCapacityProj!$D50)*(RefCapacity!$B$2:$B$526=2019)*(RefCapacity!$C$2:$C$526=AI$1),0))/SUMIFS(RefCapacity!$D$2:$D$526,RefCapacity!$A$2:$A$526,RefCapacityProj!$D50,RefCapacity!$B$2:$B$526,2019)</f>
        <v>0</v>
      </c>
      <c r="AQ50" cm="1">
        <f t="array" ref="AQ50">$Y50*INDEX(RefCapacity!$D$2:$D$526,MATCH(1,(RefCapacity!$A$2:$A$526=RefCapacityProj!$D50)*(RefCapacity!$B$2:$B$526=2019)*(RefCapacity!$C$2:$C$526=AJ$1),0))/SUMIFS(RefCapacity!$D$2:$D$526,RefCapacity!$A$2:$A$526,RefCapacityProj!$D50,RefCapacity!$B$2:$B$526,2019)</f>
        <v>358.01069136207826</v>
      </c>
      <c r="AR50" cm="1">
        <f t="array" ref="AR50">$Y50*INDEX(RefCapacity!$D$2:$D$526,MATCH(1,(RefCapacity!$A$2:$A$526=RefCapacityProj!$D50)*(RefCapacity!$B$2:$B$526=2019)*(RefCapacity!$C$2:$C$526=AK$1),0))/SUMIFS(RefCapacity!$D$2:$D$526,RefCapacity!$A$2:$A$526,RefCapacityProj!$D50,RefCapacity!$B$2:$B$526,2019)</f>
        <v>1106.9998409513005</v>
      </c>
      <c r="AS50" cm="1">
        <f t="array" ref="AS50">$Y50*INDEX(RefCapacity!$D$2:$D$526,MATCH(1,(RefCapacity!$A$2:$A$526=RefCapacityProj!$D50)*(RefCapacity!$B$2:$B$526=2019)*(RefCapacity!$C$2:$C$526=AL$1),0))/SUMIFS(RefCapacity!$D$2:$D$526,RefCapacity!$A$2:$A$526,RefCapacityProj!$D50,RefCapacity!$B$2:$B$526,2019)</f>
        <v>0</v>
      </c>
      <c r="AT50" cm="1">
        <f t="array" ref="AT50">$Y50*INDEX(RefCapacity!$D$2:$D$526,MATCH(1,(RefCapacity!$A$2:$A$526=RefCapacityProj!$D50)*(RefCapacity!$B$2:$B$526=2019)*(RefCapacity!$C$2:$C$526=AM$1),0))/SUMIFS(RefCapacity!$D$2:$D$526,RefCapacity!$A$2:$A$526,RefCapacityProj!$D50,RefCapacity!$B$2:$B$526,2019)</f>
        <v>903.17117829544532</v>
      </c>
      <c r="AU50" cm="1">
        <f t="array" ref="AU50">INDEX(RefCapacity!$D$2:$D$526,MATCH(1,(RefCapacity!$A$2:$A$526=RefCapacityProj!$D50)*(RefCapacity!$B$2:$B$526=2019)*(RefCapacity!$C$2:$C$526=RefCapacityProj!AG$1),0))*IF($C50=2035,1+VLOOKUP(AG$1,RefCapacity!$H$2:$L$8,2,FALSE),1+VLOOKUP(AG$1,RefCapacity!$H$2:$L$8,4,FALSE))</f>
        <v>69.095643226583363</v>
      </c>
      <c r="AV50" cm="1">
        <f t="array" ref="AV50">INDEX(RefCapacity!$D$2:$D$526,MATCH(1,(RefCapacity!$A$2:$A$526=RefCapacityProj!$D50)*(RefCapacity!$B$2:$B$526=2019)*(RefCapacity!$C$2:$C$526=RefCapacityProj!AH$1),0))*IF($C50=2035,1+VLOOKUP(AH$1,RefCapacity!$H$2:$L$8,2,FALSE),1+VLOOKUP(AH$1,RefCapacity!$H$2:$L$8,4,FALSE))</f>
        <v>829.70092482947541</v>
      </c>
      <c r="AW50" cm="1">
        <f t="array" ref="AW50">INDEX(RefCapacity!$D$2:$D$526,MATCH(1,(RefCapacity!$A$2:$A$526=RefCapacityProj!$D50)*(RefCapacity!$B$2:$B$526=2019)*(RefCapacity!$C$2:$C$526=RefCapacityProj!AI$1),0))*IF($C50=2035,1+VLOOKUP(AI$1,RefCapacity!$H$2:$L$8,2,FALSE),1+VLOOKUP(AI$1,RefCapacity!$H$2:$L$8,4,FALSE))</f>
        <v>0</v>
      </c>
      <c r="AX50" cm="1">
        <f t="array" ref="AX50">INDEX(RefCapacity!$D$2:$D$526,MATCH(1,(RefCapacity!$A$2:$A$526=RefCapacityProj!$D50)*(RefCapacity!$B$2:$B$526=2019)*(RefCapacity!$C$2:$C$526=RefCapacityProj!AJ$1),0))*IF($C50=2035,1+VLOOKUP(AJ$1,RefCapacity!$H$2:$L$8,2,FALSE),1+VLOOKUP(AJ$1,RefCapacity!$H$2:$L$8,4,FALSE))</f>
        <v>993.12500000000011</v>
      </c>
      <c r="AY50" cm="1">
        <f t="array" ref="AY50">INDEX(RefCapacity!$D$2:$D$526,MATCH(1,(RefCapacity!$A$2:$A$526=RefCapacityProj!$D50)*(RefCapacity!$B$2:$B$526=2019)*(RefCapacity!$C$2:$C$526=RefCapacityProj!AK$1),0))*IF($C50=2035,1+VLOOKUP(AK$1,RefCapacity!$H$2:$L$8,2,FALSE),1+VLOOKUP(AK$1,RefCapacity!$H$2:$L$8,4,FALSE))</f>
        <v>1991.4122477464978</v>
      </c>
      <c r="AZ50" cm="1">
        <f t="array" ref="AZ50">INDEX(RefCapacity!$D$2:$D$526,MATCH(1,(RefCapacity!$A$2:$A$526=RefCapacityProj!$D50)*(RefCapacity!$B$2:$B$526=2019)*(RefCapacity!$C$2:$C$526=RefCapacityProj!AL$1),0))*IF($C50=2035,1+VLOOKUP(AL$1,RefCapacity!$H$2:$L$8,2,FALSE),1+VLOOKUP(AL$1,RefCapacity!$H$2:$L$8,4,FALSE))</f>
        <v>0</v>
      </c>
      <c r="BA50" cm="1">
        <f t="array" ref="BA50">INDEX(RefCapacity!$D$2:$D$526,MATCH(1,(RefCapacity!$A$2:$A$526=RefCapacityProj!$D50)*(RefCapacity!$B$2:$B$526=2019)*(RefCapacity!$C$2:$C$526=RefCapacityProj!AM$1),0))*IF($C50=2035,1+VLOOKUP(AM$1,RefCapacity!$H$2:$L$8,2,FALSE),1+VLOOKUP(AM$1,RefCapacity!$H$2:$L$8,4,FALSE))</f>
        <v>1360.1267578285858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f t="shared" si="4"/>
        <v>2838.3212502019765</v>
      </c>
      <c r="BJ50">
        <f t="shared" si="5"/>
        <v>28.067256489890951</v>
      </c>
      <c r="BK50">
        <f t="shared" si="6"/>
        <v>9.9995894847904054E-3</v>
      </c>
      <c r="BL50" cm="1">
        <f t="array" ref="BL50">AG50/$BI50*INDEX('GHG Emission'!$C$2:$C$1121,MATCH(1,('GHG Emission'!$D$2:$D$1121=$D50)*('GHG Emission'!$E$2:$E$1121=$C50)*('GHG Emission'!$F$2:$F$1121=$B50)*('GHG Emission'!$I$2:$I$1121=$E50)*('GHG Emission'!$J$2:$J$1121=$F50)*('GHG Emission'!$K$2:$K$1121=AG$1),0))+AH50/$BI50*INDEX('GHG Emission'!$C$2:$C$1121,MATCH(1,('GHG Emission'!$D$2:$D$1121=$D50)*('GHG Emission'!$E$2:$E$1121=$C50)*('GHG Emission'!$F$2:$F$1121=$B50)*('GHG Emission'!$I$2:$I$1121=$E50)*('GHG Emission'!$J$2:$J$1121=$F50)*('GHG Emission'!$K$2:$K$1121=AH$1),0))+AI50/$BI50*INDEX('GHG Emission'!$C$2:$C$1121,MATCH(1,('GHG Emission'!$D$2:$D$1121=$D50)*('GHG Emission'!$E$2:$E$1121=$C50)*('GHG Emission'!$F$2:$F$1121=$B50)*('GHG Emission'!$I$2:$I$1121=$E50)*('GHG Emission'!$J$2:$J$1121=$F50)*('GHG Emission'!$K$2:$K$1121=AI$1),0))+AJ50/$BI50*INDEX('GHG Emission'!$C$2:$C$1121,MATCH(1,('GHG Emission'!$D$2:$D$1121=$D50)*('GHG Emission'!$E$2:$E$1121=$C50)*('GHG Emission'!$F$2:$F$1121=$B50)*('GHG Emission'!$I$2:$I$1121=$E50)*('GHG Emission'!$J$2:$J$1121=$F50)*('GHG Emission'!$K$2:$K$1121=AJ$1),0))+AK50/$BI50*INDEX('GHG Emission'!$C$2:$C$1121,MATCH(1,('GHG Emission'!$D$2:$D$1121=$D50)*('GHG Emission'!$E$2:$E$1121=$C50)*('GHG Emission'!$F$2:$F$1121=$B50)*('GHG Emission'!$I$2:$I$1121=$E50)*('GHG Emission'!$J$2:$J$1121=$F50)*('GHG Emission'!$K$2:$K$1121=AK$1),0))+AL50/$BI50*INDEX('GHG Emission'!$C$2:$C$1121,MATCH(1,('GHG Emission'!$D$2:$D$1121=$D50)*('GHG Emission'!$E$2:$E$1121=$C50)*('GHG Emission'!$F$2:$F$1121=$B50)*('GHG Emission'!$I$2:$I$1121=$E50)*('GHG Emission'!$J$2:$J$1121=$F50)*('GHG Emission'!$K$2:$K$1121=AL$1),0))+AM50/$BI50*INDEX('GHG Emission'!$C$2:$C$1121,MATCH(1,('GHG Emission'!$D$2:$D$1121=$D50)*('GHG Emission'!$E$2:$E$1121=$C50)*('GHG Emission'!$F$2:$F$1121=$B50)*('GHG Emission'!$I$2:$I$1121=$E50)*('GHG Emission'!$J$2:$J$1121=$F50)*('GHG Emission'!$K$2:$K$1121=AM$1),0))</f>
        <v>33.697504753699434</v>
      </c>
      <c r="BM50" t="str">
        <f t="shared" si="7"/>
        <v>HEAVY/SWEET</v>
      </c>
    </row>
    <row r="51" spans="1:65" hidden="1" x14ac:dyDescent="0.25">
      <c r="A51">
        <v>50</v>
      </c>
      <c r="B51" t="s">
        <v>470</v>
      </c>
      <c r="C51">
        <v>2035</v>
      </c>
      <c r="D51">
        <v>2</v>
      </c>
      <c r="E51" t="s">
        <v>466</v>
      </c>
      <c r="F51" t="s">
        <v>468</v>
      </c>
      <c r="G51">
        <v>1600.604576313722</v>
      </c>
      <c r="H51">
        <v>243.18273200131145</v>
      </c>
      <c r="I51">
        <v>1128.3857632408719</v>
      </c>
      <c r="J51">
        <v>69.392239543801637</v>
      </c>
      <c r="K51">
        <v>41.316115877463915</v>
      </c>
      <c r="L51">
        <v>29.323153592751066</v>
      </c>
      <c r="M51">
        <v>0</v>
      </c>
      <c r="N51">
        <v>0</v>
      </c>
      <c r="O51">
        <v>0</v>
      </c>
      <c r="P51">
        <v>281.84341296408508</v>
      </c>
      <c r="Q51">
        <v>0</v>
      </c>
      <c r="R51">
        <v>0</v>
      </c>
      <c r="S51">
        <v>0</v>
      </c>
      <c r="T51">
        <v>8.9774380545843417</v>
      </c>
      <c r="U51">
        <v>0</v>
      </c>
      <c r="V51">
        <v>0</v>
      </c>
      <c r="W51">
        <v>0</v>
      </c>
      <c r="X51">
        <f t="shared" si="0"/>
        <v>3403.0254315885909</v>
      </c>
      <c r="Y51">
        <f>X51*VLOOKUP($D51,'LinearReg Model'!$S$2:$T$6,2,FALSE)</f>
        <v>2810.2539937120855</v>
      </c>
      <c r="Z51">
        <f t="shared" si="1"/>
        <v>0.4703475211957297</v>
      </c>
      <c r="AA51">
        <f t="shared" si="2"/>
        <v>0.33158311212329733</v>
      </c>
      <c r="AB51">
        <f t="shared" si="3"/>
        <v>7.1460744825462427E-2</v>
      </c>
      <c r="AC51">
        <v>30.283494646922765</v>
      </c>
      <c r="AD51">
        <v>2.3964868933205583</v>
      </c>
      <c r="AE51" s="2">
        <f>VLOOKUP($D51,'MultiReg Model'!$A$5:$F$9,2,FALSE)+AC51*VLOOKUP($D51,'MultiReg Model'!$A$5:$F$9,3,FALSE)+Z51*VLOOKUP($D51,'MultiReg Model'!$A$5:$F$9,4,FALSE)+AA51*VLOOKUP($D51,'MultiReg Model'!$A$5:$F$9,5,FALSE)+AB51*VLOOKUP($D51,'MultiReg Model'!$A$5:$F$9,6,FALSE)</f>
        <v>9.7348591886718356</v>
      </c>
      <c r="AF51" cm="1">
        <f t="array" ref="AF51">MMULT($AG51:$AM51,'Avg CI Index'!$C$2:$C$8)/BI51</f>
        <v>9.744858778156626</v>
      </c>
      <c r="AG51">
        <v>52.891534854121709</v>
      </c>
      <c r="AH51">
        <v>435.28545140251737</v>
      </c>
      <c r="AI51">
        <v>0</v>
      </c>
      <c r="AJ51">
        <v>355.45912010671123</v>
      </c>
      <c r="AK51">
        <v>1102.6063161531092</v>
      </c>
      <c r="AL51">
        <v>0</v>
      </c>
      <c r="AM51">
        <v>892.0788276855169</v>
      </c>
      <c r="AN51" cm="1">
        <f t="array" ref="AN51">$Y51*INDEX(RefCapacity!$D$2:$D$526,MATCH(1,(RefCapacity!$A$2:$A$526=RefCapacityProj!$D51)*(RefCapacity!$B$2:$B$526=2019)*(RefCapacity!$C$2:$C$526=AG$1),0))/SUMIFS(RefCapacity!$D$2:$D$526,RefCapacity!$A$2:$A$526,RefCapacityProj!$D51,RefCapacity!$B$2:$B$526,2019)</f>
        <v>17.244837331177028</v>
      </c>
      <c r="AO51" cm="1">
        <f t="array" ref="AO51">$Y51*INDEX(RefCapacity!$D$2:$D$526,MATCH(1,(RefCapacity!$A$2:$A$526=RefCapacityProj!$D51)*(RefCapacity!$B$2:$B$526=2019)*(RefCapacity!$C$2:$C$526=AH$1),0))/SUMIFS(RefCapacity!$D$2:$D$526,RefCapacity!$A$2:$A$526,RefCapacityProj!$D51,RefCapacity!$B$2:$B$526,2019)</f>
        <v>424.82744577208405</v>
      </c>
      <c r="AP51" cm="1">
        <f t="array" ref="AP51">$Y51*INDEX(RefCapacity!$D$2:$D$526,MATCH(1,(RefCapacity!$A$2:$A$526=RefCapacityProj!$D51)*(RefCapacity!$B$2:$B$526=2019)*(RefCapacity!$C$2:$C$526=AI$1),0))/SUMIFS(RefCapacity!$D$2:$D$526,RefCapacity!$A$2:$A$526,RefCapacityProj!$D51,RefCapacity!$B$2:$B$526,2019)</f>
        <v>0</v>
      </c>
      <c r="AQ51" cm="1">
        <f t="array" ref="AQ51">$Y51*INDEX(RefCapacity!$D$2:$D$526,MATCH(1,(RefCapacity!$A$2:$A$526=RefCapacityProj!$D51)*(RefCapacity!$B$2:$B$526=2019)*(RefCapacity!$C$2:$C$526=AJ$1),0))/SUMIFS(RefCapacity!$D$2:$D$526,RefCapacity!$A$2:$A$526,RefCapacityProj!$D51,RefCapacity!$B$2:$B$526,2019)</f>
        <v>358.01069136207826</v>
      </c>
      <c r="AR51" cm="1">
        <f t="array" ref="AR51">$Y51*INDEX(RefCapacity!$D$2:$D$526,MATCH(1,(RefCapacity!$A$2:$A$526=RefCapacityProj!$D51)*(RefCapacity!$B$2:$B$526=2019)*(RefCapacity!$C$2:$C$526=AK$1),0))/SUMIFS(RefCapacity!$D$2:$D$526,RefCapacity!$A$2:$A$526,RefCapacityProj!$D51,RefCapacity!$B$2:$B$526,2019)</f>
        <v>1106.9998409513005</v>
      </c>
      <c r="AS51" cm="1">
        <f t="array" ref="AS51">$Y51*INDEX(RefCapacity!$D$2:$D$526,MATCH(1,(RefCapacity!$A$2:$A$526=RefCapacityProj!$D51)*(RefCapacity!$B$2:$B$526=2019)*(RefCapacity!$C$2:$C$526=AL$1),0))/SUMIFS(RefCapacity!$D$2:$D$526,RefCapacity!$A$2:$A$526,RefCapacityProj!$D51,RefCapacity!$B$2:$B$526,2019)</f>
        <v>0</v>
      </c>
      <c r="AT51" cm="1">
        <f t="array" ref="AT51">$Y51*INDEX(RefCapacity!$D$2:$D$526,MATCH(1,(RefCapacity!$A$2:$A$526=RefCapacityProj!$D51)*(RefCapacity!$B$2:$B$526=2019)*(RefCapacity!$C$2:$C$526=AM$1),0))/SUMIFS(RefCapacity!$D$2:$D$526,RefCapacity!$A$2:$A$526,RefCapacityProj!$D51,RefCapacity!$B$2:$B$526,2019)</f>
        <v>903.17117829544532</v>
      </c>
      <c r="AU51" cm="1">
        <f t="array" ref="AU51">INDEX(RefCapacity!$D$2:$D$526,MATCH(1,(RefCapacity!$A$2:$A$526=RefCapacityProj!$D51)*(RefCapacity!$B$2:$B$526=2019)*(RefCapacity!$C$2:$C$526=RefCapacityProj!AG$1),0))*IF($C51=2035,1+VLOOKUP(AG$1,RefCapacity!$H$2:$L$8,2,FALSE),1+VLOOKUP(AG$1,RefCapacity!$H$2:$L$8,4,FALSE))</f>
        <v>69.095643226583363</v>
      </c>
      <c r="AV51" cm="1">
        <f t="array" ref="AV51">INDEX(RefCapacity!$D$2:$D$526,MATCH(1,(RefCapacity!$A$2:$A$526=RefCapacityProj!$D51)*(RefCapacity!$B$2:$B$526=2019)*(RefCapacity!$C$2:$C$526=RefCapacityProj!AH$1),0))*IF($C51=2035,1+VLOOKUP(AH$1,RefCapacity!$H$2:$L$8,2,FALSE),1+VLOOKUP(AH$1,RefCapacity!$H$2:$L$8,4,FALSE))</f>
        <v>829.70092482947541</v>
      </c>
      <c r="AW51" cm="1">
        <f t="array" ref="AW51">INDEX(RefCapacity!$D$2:$D$526,MATCH(1,(RefCapacity!$A$2:$A$526=RefCapacityProj!$D51)*(RefCapacity!$B$2:$B$526=2019)*(RefCapacity!$C$2:$C$526=RefCapacityProj!AI$1),0))*IF($C51=2035,1+VLOOKUP(AI$1,RefCapacity!$H$2:$L$8,2,FALSE),1+VLOOKUP(AI$1,RefCapacity!$H$2:$L$8,4,FALSE))</f>
        <v>0</v>
      </c>
      <c r="AX51" cm="1">
        <f t="array" ref="AX51">INDEX(RefCapacity!$D$2:$D$526,MATCH(1,(RefCapacity!$A$2:$A$526=RefCapacityProj!$D51)*(RefCapacity!$B$2:$B$526=2019)*(RefCapacity!$C$2:$C$526=RefCapacityProj!AJ$1),0))*IF($C51=2035,1+VLOOKUP(AJ$1,RefCapacity!$H$2:$L$8,2,FALSE),1+VLOOKUP(AJ$1,RefCapacity!$H$2:$L$8,4,FALSE))</f>
        <v>993.12500000000011</v>
      </c>
      <c r="AY51" cm="1">
        <f t="array" ref="AY51">INDEX(RefCapacity!$D$2:$D$526,MATCH(1,(RefCapacity!$A$2:$A$526=RefCapacityProj!$D51)*(RefCapacity!$B$2:$B$526=2019)*(RefCapacity!$C$2:$C$526=RefCapacityProj!AK$1),0))*IF($C51=2035,1+VLOOKUP(AK$1,RefCapacity!$H$2:$L$8,2,FALSE),1+VLOOKUP(AK$1,RefCapacity!$H$2:$L$8,4,FALSE))</f>
        <v>1991.4122477464978</v>
      </c>
      <c r="AZ51" cm="1">
        <f t="array" ref="AZ51">INDEX(RefCapacity!$D$2:$D$526,MATCH(1,(RefCapacity!$A$2:$A$526=RefCapacityProj!$D51)*(RefCapacity!$B$2:$B$526=2019)*(RefCapacity!$C$2:$C$526=RefCapacityProj!AL$1),0))*IF($C51=2035,1+VLOOKUP(AL$1,RefCapacity!$H$2:$L$8,2,FALSE),1+VLOOKUP(AL$1,RefCapacity!$H$2:$L$8,4,FALSE))</f>
        <v>0</v>
      </c>
      <c r="BA51" cm="1">
        <f t="array" ref="BA51">INDEX(RefCapacity!$D$2:$D$526,MATCH(1,(RefCapacity!$A$2:$A$526=RefCapacityProj!$D51)*(RefCapacity!$B$2:$B$526=2019)*(RefCapacity!$C$2:$C$526=RefCapacityProj!AM$1),0))*IF($C51=2035,1+VLOOKUP(AM$1,RefCapacity!$H$2:$L$8,2,FALSE),1+VLOOKUP(AM$1,RefCapacity!$H$2:$L$8,4,FALSE))</f>
        <v>1360.1267578285858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f t="shared" si="4"/>
        <v>2838.3212502019765</v>
      </c>
      <c r="BJ51">
        <f t="shared" si="5"/>
        <v>28.067256489890951</v>
      </c>
      <c r="BK51">
        <f t="shared" si="6"/>
        <v>9.9995894847904054E-3</v>
      </c>
      <c r="BL51" cm="1">
        <f t="array" ref="BL51">AG51/$BI51*INDEX('GHG Emission'!$C$2:$C$1121,MATCH(1,('GHG Emission'!$D$2:$D$1121=$D51)*('GHG Emission'!$E$2:$E$1121=$C51)*('GHG Emission'!$F$2:$F$1121=$B51)*('GHG Emission'!$I$2:$I$1121=$E51)*('GHG Emission'!$J$2:$J$1121=$F51)*('GHG Emission'!$K$2:$K$1121=AG$1),0))+AH51/$BI51*INDEX('GHG Emission'!$C$2:$C$1121,MATCH(1,('GHG Emission'!$D$2:$D$1121=$D51)*('GHG Emission'!$E$2:$E$1121=$C51)*('GHG Emission'!$F$2:$F$1121=$B51)*('GHG Emission'!$I$2:$I$1121=$E51)*('GHG Emission'!$J$2:$J$1121=$F51)*('GHG Emission'!$K$2:$K$1121=AH$1),0))+AI51/$BI51*INDEX('GHG Emission'!$C$2:$C$1121,MATCH(1,('GHG Emission'!$D$2:$D$1121=$D51)*('GHG Emission'!$E$2:$E$1121=$C51)*('GHG Emission'!$F$2:$F$1121=$B51)*('GHG Emission'!$I$2:$I$1121=$E51)*('GHG Emission'!$J$2:$J$1121=$F51)*('GHG Emission'!$K$2:$K$1121=AI$1),0))+AJ51/$BI51*INDEX('GHG Emission'!$C$2:$C$1121,MATCH(1,('GHG Emission'!$D$2:$D$1121=$D51)*('GHG Emission'!$E$2:$E$1121=$C51)*('GHG Emission'!$F$2:$F$1121=$B51)*('GHG Emission'!$I$2:$I$1121=$E51)*('GHG Emission'!$J$2:$J$1121=$F51)*('GHG Emission'!$K$2:$K$1121=AJ$1),0))+AK51/$BI51*INDEX('GHG Emission'!$C$2:$C$1121,MATCH(1,('GHG Emission'!$D$2:$D$1121=$D51)*('GHG Emission'!$E$2:$E$1121=$C51)*('GHG Emission'!$F$2:$F$1121=$B51)*('GHG Emission'!$I$2:$I$1121=$E51)*('GHG Emission'!$J$2:$J$1121=$F51)*('GHG Emission'!$K$2:$K$1121=AK$1),0))+AL51/$BI51*INDEX('GHG Emission'!$C$2:$C$1121,MATCH(1,('GHG Emission'!$D$2:$D$1121=$D51)*('GHG Emission'!$E$2:$E$1121=$C51)*('GHG Emission'!$F$2:$F$1121=$B51)*('GHG Emission'!$I$2:$I$1121=$E51)*('GHG Emission'!$J$2:$J$1121=$F51)*('GHG Emission'!$K$2:$K$1121=AL$1),0))+AM51/$BI51*INDEX('GHG Emission'!$C$2:$C$1121,MATCH(1,('GHG Emission'!$D$2:$D$1121=$D51)*('GHG Emission'!$E$2:$E$1121=$C51)*('GHG Emission'!$F$2:$F$1121=$B51)*('GHG Emission'!$I$2:$I$1121=$E51)*('GHG Emission'!$J$2:$J$1121=$F51)*('GHG Emission'!$K$2:$K$1121=AM$1),0))</f>
        <v>40.657233978832473</v>
      </c>
      <c r="BM51" t="str">
        <f t="shared" si="7"/>
        <v>HEAVY/SOUR</v>
      </c>
    </row>
    <row r="52" spans="1:65" hidden="1" x14ac:dyDescent="0.25">
      <c r="A52">
        <v>51</v>
      </c>
      <c r="B52" t="s">
        <v>470</v>
      </c>
      <c r="C52">
        <v>2035</v>
      </c>
      <c r="D52">
        <v>2</v>
      </c>
      <c r="E52" t="s">
        <v>469</v>
      </c>
      <c r="F52" t="s">
        <v>467</v>
      </c>
      <c r="G52">
        <v>1600.604576313722</v>
      </c>
      <c r="H52">
        <v>243.18273200131145</v>
      </c>
      <c r="I52">
        <v>1128.3857632408719</v>
      </c>
      <c r="J52">
        <v>69.392239543801637</v>
      </c>
      <c r="K52">
        <v>41.316115877463915</v>
      </c>
      <c r="L52">
        <v>29.323153592751066</v>
      </c>
      <c r="M52">
        <v>0</v>
      </c>
      <c r="N52">
        <v>0</v>
      </c>
      <c r="O52">
        <v>0</v>
      </c>
      <c r="P52">
        <v>281.84341296408508</v>
      </c>
      <c r="Q52">
        <v>0</v>
      </c>
      <c r="R52">
        <v>0</v>
      </c>
      <c r="S52">
        <v>0</v>
      </c>
      <c r="T52">
        <v>8.9774380545843417</v>
      </c>
      <c r="U52">
        <v>0</v>
      </c>
      <c r="V52">
        <v>0</v>
      </c>
      <c r="W52">
        <v>0</v>
      </c>
      <c r="X52">
        <f t="shared" si="0"/>
        <v>3403.0254315885909</v>
      </c>
      <c r="Y52">
        <f>X52*VLOOKUP($D52,'LinearReg Model'!$S$2:$T$6,2,FALSE)</f>
        <v>2810.2539937120855</v>
      </c>
      <c r="Z52">
        <f t="shared" si="1"/>
        <v>0.4703475211957297</v>
      </c>
      <c r="AA52">
        <f t="shared" si="2"/>
        <v>0.33158311212329733</v>
      </c>
      <c r="AB52">
        <f t="shared" si="3"/>
        <v>7.1460744825462427E-2</v>
      </c>
      <c r="AC52">
        <v>34.957728681668918</v>
      </c>
      <c r="AD52">
        <v>0.85848259090407375</v>
      </c>
      <c r="AE52" s="2">
        <f>VLOOKUP($D52,'MultiReg Model'!$A$5:$F$9,2,FALSE)+AC52*VLOOKUP($D52,'MultiReg Model'!$A$5:$F$9,3,FALSE)+Z52*VLOOKUP($D52,'MultiReg Model'!$A$5:$F$9,4,FALSE)+AA52*VLOOKUP($D52,'MultiReg Model'!$A$5:$F$9,5,FALSE)+AB52*VLOOKUP($D52,'MultiReg Model'!$A$5:$F$9,6,FALSE)</f>
        <v>9.4457260842628656</v>
      </c>
      <c r="AF52" cm="1">
        <f t="array" ref="AF52">MMULT($AG52:$AM52,'Avg CI Index'!$C$2:$C$8)/BI52</f>
        <v>9.4557261006776123</v>
      </c>
      <c r="AG52">
        <v>69.094488610184683</v>
      </c>
      <c r="AH52" s="6">
        <v>630.29174057553485</v>
      </c>
      <c r="AI52">
        <v>0</v>
      </c>
      <c r="AJ52">
        <v>340.17437073860054</v>
      </c>
      <c r="AK52">
        <v>1057.555840586029</v>
      </c>
      <c r="AL52">
        <v>0</v>
      </c>
      <c r="AM52">
        <v>738.76501899637913</v>
      </c>
      <c r="AN52" cm="1">
        <f t="array" ref="AN52">$Y52*INDEX(RefCapacity!$D$2:$D$526,MATCH(1,(RefCapacity!$A$2:$A$526=RefCapacityProj!$D52)*(RefCapacity!$B$2:$B$526=2019)*(RefCapacity!$C$2:$C$526=AG$1),0))/SUMIFS(RefCapacity!$D$2:$D$526,RefCapacity!$A$2:$A$526,RefCapacityProj!$D52,RefCapacity!$B$2:$B$526,2019)</f>
        <v>17.244837331177028</v>
      </c>
      <c r="AO52" cm="1">
        <f t="array" ref="AO52">$Y52*INDEX(RefCapacity!$D$2:$D$526,MATCH(1,(RefCapacity!$A$2:$A$526=RefCapacityProj!$D52)*(RefCapacity!$B$2:$B$526=2019)*(RefCapacity!$C$2:$C$526=AH$1),0))/SUMIFS(RefCapacity!$D$2:$D$526,RefCapacity!$A$2:$A$526,RefCapacityProj!$D52,RefCapacity!$B$2:$B$526,2019)</f>
        <v>424.82744577208405</v>
      </c>
      <c r="AP52" cm="1">
        <f t="array" ref="AP52">$Y52*INDEX(RefCapacity!$D$2:$D$526,MATCH(1,(RefCapacity!$A$2:$A$526=RefCapacityProj!$D52)*(RefCapacity!$B$2:$B$526=2019)*(RefCapacity!$C$2:$C$526=AI$1),0))/SUMIFS(RefCapacity!$D$2:$D$526,RefCapacity!$A$2:$A$526,RefCapacityProj!$D52,RefCapacity!$B$2:$B$526,2019)</f>
        <v>0</v>
      </c>
      <c r="AQ52" cm="1">
        <f t="array" ref="AQ52">$Y52*INDEX(RefCapacity!$D$2:$D$526,MATCH(1,(RefCapacity!$A$2:$A$526=RefCapacityProj!$D52)*(RefCapacity!$B$2:$B$526=2019)*(RefCapacity!$C$2:$C$526=AJ$1),0))/SUMIFS(RefCapacity!$D$2:$D$526,RefCapacity!$A$2:$A$526,RefCapacityProj!$D52,RefCapacity!$B$2:$B$526,2019)</f>
        <v>358.01069136207826</v>
      </c>
      <c r="AR52" cm="1">
        <f t="array" ref="AR52">$Y52*INDEX(RefCapacity!$D$2:$D$526,MATCH(1,(RefCapacity!$A$2:$A$526=RefCapacityProj!$D52)*(RefCapacity!$B$2:$B$526=2019)*(RefCapacity!$C$2:$C$526=AK$1),0))/SUMIFS(RefCapacity!$D$2:$D$526,RefCapacity!$A$2:$A$526,RefCapacityProj!$D52,RefCapacity!$B$2:$B$526,2019)</f>
        <v>1106.9998409513005</v>
      </c>
      <c r="AS52" cm="1">
        <f t="array" ref="AS52">$Y52*INDEX(RefCapacity!$D$2:$D$526,MATCH(1,(RefCapacity!$A$2:$A$526=RefCapacityProj!$D52)*(RefCapacity!$B$2:$B$526=2019)*(RefCapacity!$C$2:$C$526=AL$1),0))/SUMIFS(RefCapacity!$D$2:$D$526,RefCapacity!$A$2:$A$526,RefCapacityProj!$D52,RefCapacity!$B$2:$B$526,2019)</f>
        <v>0</v>
      </c>
      <c r="AT52" cm="1">
        <f t="array" ref="AT52">$Y52*INDEX(RefCapacity!$D$2:$D$526,MATCH(1,(RefCapacity!$A$2:$A$526=RefCapacityProj!$D52)*(RefCapacity!$B$2:$B$526=2019)*(RefCapacity!$C$2:$C$526=AM$1),0))/SUMIFS(RefCapacity!$D$2:$D$526,RefCapacity!$A$2:$A$526,RefCapacityProj!$D52,RefCapacity!$B$2:$B$526,2019)</f>
        <v>903.17117829544532</v>
      </c>
      <c r="AU52" cm="1">
        <f t="array" ref="AU52">INDEX(RefCapacity!$D$2:$D$526,MATCH(1,(RefCapacity!$A$2:$A$526=RefCapacityProj!$D52)*(RefCapacity!$B$2:$B$526=2019)*(RefCapacity!$C$2:$C$526=RefCapacityProj!AG$1),0))*IF($C52=2035,1+VLOOKUP(AG$1,RefCapacity!$H$2:$L$8,2,FALSE),1+VLOOKUP(AG$1,RefCapacity!$H$2:$L$8,4,FALSE))</f>
        <v>69.095643226583363</v>
      </c>
      <c r="AV52" cm="1">
        <f t="array" ref="AV52">INDEX(RefCapacity!$D$2:$D$526,MATCH(1,(RefCapacity!$A$2:$A$526=RefCapacityProj!$D52)*(RefCapacity!$B$2:$B$526=2019)*(RefCapacity!$C$2:$C$526=RefCapacityProj!AH$1),0))*IF($C52=2035,1+VLOOKUP(AH$1,RefCapacity!$H$2:$L$8,2,FALSE),1+VLOOKUP(AH$1,RefCapacity!$H$2:$L$8,4,FALSE))</f>
        <v>829.70092482947541</v>
      </c>
      <c r="AW52" cm="1">
        <f t="array" ref="AW52">INDEX(RefCapacity!$D$2:$D$526,MATCH(1,(RefCapacity!$A$2:$A$526=RefCapacityProj!$D52)*(RefCapacity!$B$2:$B$526=2019)*(RefCapacity!$C$2:$C$526=RefCapacityProj!AI$1),0))*IF($C52=2035,1+VLOOKUP(AI$1,RefCapacity!$H$2:$L$8,2,FALSE),1+VLOOKUP(AI$1,RefCapacity!$H$2:$L$8,4,FALSE))</f>
        <v>0</v>
      </c>
      <c r="AX52" cm="1">
        <f t="array" ref="AX52">INDEX(RefCapacity!$D$2:$D$526,MATCH(1,(RefCapacity!$A$2:$A$526=RefCapacityProj!$D52)*(RefCapacity!$B$2:$B$526=2019)*(RefCapacity!$C$2:$C$526=RefCapacityProj!AJ$1),0))*IF($C52=2035,1+VLOOKUP(AJ$1,RefCapacity!$H$2:$L$8,2,FALSE),1+VLOOKUP(AJ$1,RefCapacity!$H$2:$L$8,4,FALSE))</f>
        <v>993.12500000000011</v>
      </c>
      <c r="AY52" cm="1">
        <f t="array" ref="AY52">INDEX(RefCapacity!$D$2:$D$526,MATCH(1,(RefCapacity!$A$2:$A$526=RefCapacityProj!$D52)*(RefCapacity!$B$2:$B$526=2019)*(RefCapacity!$C$2:$C$526=RefCapacityProj!AK$1),0))*IF($C52=2035,1+VLOOKUP(AK$1,RefCapacity!$H$2:$L$8,2,FALSE),1+VLOOKUP(AK$1,RefCapacity!$H$2:$L$8,4,FALSE))</f>
        <v>1991.4122477464978</v>
      </c>
      <c r="AZ52" cm="1">
        <f t="array" ref="AZ52">INDEX(RefCapacity!$D$2:$D$526,MATCH(1,(RefCapacity!$A$2:$A$526=RefCapacityProj!$D52)*(RefCapacity!$B$2:$B$526=2019)*(RefCapacity!$C$2:$C$526=RefCapacityProj!AL$1),0))*IF($C52=2035,1+VLOOKUP(AL$1,RefCapacity!$H$2:$L$8,2,FALSE),1+VLOOKUP(AL$1,RefCapacity!$H$2:$L$8,4,FALSE))</f>
        <v>0</v>
      </c>
      <c r="BA52" cm="1">
        <f t="array" ref="BA52">INDEX(RefCapacity!$D$2:$D$526,MATCH(1,(RefCapacity!$A$2:$A$526=RefCapacityProj!$D52)*(RefCapacity!$B$2:$B$526=2019)*(RefCapacity!$C$2:$C$526=RefCapacityProj!AM$1),0))*IF($C52=2035,1+VLOOKUP(AM$1,RefCapacity!$H$2:$L$8,2,FALSE),1+VLOOKUP(AM$1,RefCapacity!$H$2:$L$8,4,FALSE))</f>
        <v>1360.1267578285858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f t="shared" si="4"/>
        <v>2835.8814595067283</v>
      </c>
      <c r="BJ52">
        <f t="shared" si="5"/>
        <v>25.627465794642831</v>
      </c>
      <c r="BK52">
        <f t="shared" si="6"/>
        <v>1.0000016414746682E-2</v>
      </c>
      <c r="BL52" cm="1">
        <f t="array" ref="BL52">AG52/$BI52*INDEX('GHG Emission'!$C$2:$C$1121,MATCH(1,('GHG Emission'!$D$2:$D$1121=$D52)*('GHG Emission'!$E$2:$E$1121=$C52)*('GHG Emission'!$F$2:$F$1121=$B52)*('GHG Emission'!$I$2:$I$1121=$E52)*('GHG Emission'!$J$2:$J$1121=$F52)*('GHG Emission'!$K$2:$K$1121=AG$1),0))+AH52/$BI52*INDEX('GHG Emission'!$C$2:$C$1121,MATCH(1,('GHG Emission'!$D$2:$D$1121=$D52)*('GHG Emission'!$E$2:$E$1121=$C52)*('GHG Emission'!$F$2:$F$1121=$B52)*('GHG Emission'!$I$2:$I$1121=$E52)*('GHG Emission'!$J$2:$J$1121=$F52)*('GHG Emission'!$K$2:$K$1121=AH$1),0))+AI52/$BI52*INDEX('GHG Emission'!$C$2:$C$1121,MATCH(1,('GHG Emission'!$D$2:$D$1121=$D52)*('GHG Emission'!$E$2:$E$1121=$C52)*('GHG Emission'!$F$2:$F$1121=$B52)*('GHG Emission'!$I$2:$I$1121=$E52)*('GHG Emission'!$J$2:$J$1121=$F52)*('GHG Emission'!$K$2:$K$1121=AI$1),0))+AJ52/$BI52*INDEX('GHG Emission'!$C$2:$C$1121,MATCH(1,('GHG Emission'!$D$2:$D$1121=$D52)*('GHG Emission'!$E$2:$E$1121=$C52)*('GHG Emission'!$F$2:$F$1121=$B52)*('GHG Emission'!$I$2:$I$1121=$E52)*('GHG Emission'!$J$2:$J$1121=$F52)*('GHG Emission'!$K$2:$K$1121=AJ$1),0))+AK52/$BI52*INDEX('GHG Emission'!$C$2:$C$1121,MATCH(1,('GHG Emission'!$D$2:$D$1121=$D52)*('GHG Emission'!$E$2:$E$1121=$C52)*('GHG Emission'!$F$2:$F$1121=$B52)*('GHG Emission'!$I$2:$I$1121=$E52)*('GHG Emission'!$J$2:$J$1121=$F52)*('GHG Emission'!$K$2:$K$1121=AK$1),0))+AL52/$BI52*INDEX('GHG Emission'!$C$2:$C$1121,MATCH(1,('GHG Emission'!$D$2:$D$1121=$D52)*('GHG Emission'!$E$2:$E$1121=$C52)*('GHG Emission'!$F$2:$F$1121=$B52)*('GHG Emission'!$I$2:$I$1121=$E52)*('GHG Emission'!$J$2:$J$1121=$F52)*('GHG Emission'!$K$2:$K$1121=AL$1),0))+AM52/$BI52*INDEX('GHG Emission'!$C$2:$C$1121,MATCH(1,('GHG Emission'!$D$2:$D$1121=$D52)*('GHG Emission'!$E$2:$E$1121=$C52)*('GHG Emission'!$F$2:$F$1121=$B52)*('GHG Emission'!$I$2:$I$1121=$E52)*('GHG Emission'!$J$2:$J$1121=$F52)*('GHG Emission'!$K$2:$K$1121=AM$1),0))</f>
        <v>33.155868242344575</v>
      </c>
      <c r="BM52" t="str">
        <f t="shared" si="7"/>
        <v>LIGHT/SWEET</v>
      </c>
    </row>
    <row r="53" spans="1:65" hidden="1" x14ac:dyDescent="0.25">
      <c r="A53">
        <v>52</v>
      </c>
      <c r="B53" t="s">
        <v>470</v>
      </c>
      <c r="C53">
        <v>2035</v>
      </c>
      <c r="D53">
        <v>2</v>
      </c>
      <c r="E53" t="s">
        <v>469</v>
      </c>
      <c r="F53" t="s">
        <v>468</v>
      </c>
      <c r="G53">
        <v>1600.604576313722</v>
      </c>
      <c r="H53">
        <v>243.18273200131145</v>
      </c>
      <c r="I53">
        <v>1128.3857632408719</v>
      </c>
      <c r="J53">
        <v>69.392239543801637</v>
      </c>
      <c r="K53">
        <v>41.316115877463915</v>
      </c>
      <c r="L53">
        <v>29.323153592751066</v>
      </c>
      <c r="M53">
        <v>0</v>
      </c>
      <c r="N53">
        <v>0</v>
      </c>
      <c r="O53">
        <v>0</v>
      </c>
      <c r="P53">
        <v>281.84341296408508</v>
      </c>
      <c r="Q53">
        <v>0</v>
      </c>
      <c r="R53">
        <v>0</v>
      </c>
      <c r="S53">
        <v>0</v>
      </c>
      <c r="T53">
        <v>8.9774380545843417</v>
      </c>
      <c r="U53">
        <v>0</v>
      </c>
      <c r="V53">
        <v>0</v>
      </c>
      <c r="W53">
        <v>0</v>
      </c>
      <c r="X53">
        <f t="shared" si="0"/>
        <v>3403.0254315885909</v>
      </c>
      <c r="Y53">
        <f>X53*VLOOKUP($D53,'LinearReg Model'!$S$2:$T$6,2,FALSE)</f>
        <v>2810.2539937120855</v>
      </c>
      <c r="Z53">
        <f t="shared" si="1"/>
        <v>0.4703475211957297</v>
      </c>
      <c r="AA53">
        <f t="shared" si="2"/>
        <v>0.33158311212329733</v>
      </c>
      <c r="AB53">
        <f t="shared" si="3"/>
        <v>7.1460744825462427E-2</v>
      </c>
      <c r="AC53">
        <v>34.957728681668918</v>
      </c>
      <c r="AD53">
        <v>2.3964868933205583</v>
      </c>
      <c r="AE53" s="2">
        <f>VLOOKUP($D53,'MultiReg Model'!$A$5:$F$9,2,FALSE)+AC53*VLOOKUP($D53,'MultiReg Model'!$A$5:$F$9,3,FALSE)+Z53*VLOOKUP($D53,'MultiReg Model'!$A$5:$F$9,4,FALSE)+AA53*VLOOKUP($D53,'MultiReg Model'!$A$5:$F$9,5,FALSE)+AB53*VLOOKUP($D53,'MultiReg Model'!$A$5:$F$9,6,FALSE)</f>
        <v>9.4457260842628656</v>
      </c>
      <c r="AF53" cm="1">
        <f t="array" ref="AF53">MMULT($AG53:$AM53,'Avg CI Index'!$C$2:$C$8)/BI53</f>
        <v>9.4557261006776123</v>
      </c>
      <c r="AG53">
        <v>69.094488610184683</v>
      </c>
      <c r="AH53">
        <v>630.29174057553485</v>
      </c>
      <c r="AI53">
        <v>0</v>
      </c>
      <c r="AJ53">
        <v>340.17437073860054</v>
      </c>
      <c r="AK53">
        <v>1057.555840586029</v>
      </c>
      <c r="AL53">
        <v>0</v>
      </c>
      <c r="AM53">
        <v>738.76501899637913</v>
      </c>
      <c r="AN53" cm="1">
        <f t="array" ref="AN53">$Y53*INDEX(RefCapacity!$D$2:$D$526,MATCH(1,(RefCapacity!$A$2:$A$526=RefCapacityProj!$D53)*(RefCapacity!$B$2:$B$526=2019)*(RefCapacity!$C$2:$C$526=AG$1),0))/SUMIFS(RefCapacity!$D$2:$D$526,RefCapacity!$A$2:$A$526,RefCapacityProj!$D53,RefCapacity!$B$2:$B$526,2019)</f>
        <v>17.244837331177028</v>
      </c>
      <c r="AO53" cm="1">
        <f t="array" ref="AO53">$Y53*INDEX(RefCapacity!$D$2:$D$526,MATCH(1,(RefCapacity!$A$2:$A$526=RefCapacityProj!$D53)*(RefCapacity!$B$2:$B$526=2019)*(RefCapacity!$C$2:$C$526=AH$1),0))/SUMIFS(RefCapacity!$D$2:$D$526,RefCapacity!$A$2:$A$526,RefCapacityProj!$D53,RefCapacity!$B$2:$B$526,2019)</f>
        <v>424.82744577208405</v>
      </c>
      <c r="AP53" cm="1">
        <f t="array" ref="AP53">$Y53*INDEX(RefCapacity!$D$2:$D$526,MATCH(1,(RefCapacity!$A$2:$A$526=RefCapacityProj!$D53)*(RefCapacity!$B$2:$B$526=2019)*(RefCapacity!$C$2:$C$526=AI$1),0))/SUMIFS(RefCapacity!$D$2:$D$526,RefCapacity!$A$2:$A$526,RefCapacityProj!$D53,RefCapacity!$B$2:$B$526,2019)</f>
        <v>0</v>
      </c>
      <c r="AQ53" cm="1">
        <f t="array" ref="AQ53">$Y53*INDEX(RefCapacity!$D$2:$D$526,MATCH(1,(RefCapacity!$A$2:$A$526=RefCapacityProj!$D53)*(RefCapacity!$B$2:$B$526=2019)*(RefCapacity!$C$2:$C$526=AJ$1),0))/SUMIFS(RefCapacity!$D$2:$D$526,RefCapacity!$A$2:$A$526,RefCapacityProj!$D53,RefCapacity!$B$2:$B$526,2019)</f>
        <v>358.01069136207826</v>
      </c>
      <c r="AR53" cm="1">
        <f t="array" ref="AR53">$Y53*INDEX(RefCapacity!$D$2:$D$526,MATCH(1,(RefCapacity!$A$2:$A$526=RefCapacityProj!$D53)*(RefCapacity!$B$2:$B$526=2019)*(RefCapacity!$C$2:$C$526=AK$1),0))/SUMIFS(RefCapacity!$D$2:$D$526,RefCapacity!$A$2:$A$526,RefCapacityProj!$D53,RefCapacity!$B$2:$B$526,2019)</f>
        <v>1106.9998409513005</v>
      </c>
      <c r="AS53" cm="1">
        <f t="array" ref="AS53">$Y53*INDEX(RefCapacity!$D$2:$D$526,MATCH(1,(RefCapacity!$A$2:$A$526=RefCapacityProj!$D53)*(RefCapacity!$B$2:$B$526=2019)*(RefCapacity!$C$2:$C$526=AL$1),0))/SUMIFS(RefCapacity!$D$2:$D$526,RefCapacity!$A$2:$A$526,RefCapacityProj!$D53,RefCapacity!$B$2:$B$526,2019)</f>
        <v>0</v>
      </c>
      <c r="AT53" cm="1">
        <f t="array" ref="AT53">$Y53*INDEX(RefCapacity!$D$2:$D$526,MATCH(1,(RefCapacity!$A$2:$A$526=RefCapacityProj!$D53)*(RefCapacity!$B$2:$B$526=2019)*(RefCapacity!$C$2:$C$526=AM$1),0))/SUMIFS(RefCapacity!$D$2:$D$526,RefCapacity!$A$2:$A$526,RefCapacityProj!$D53,RefCapacity!$B$2:$B$526,2019)</f>
        <v>903.17117829544532</v>
      </c>
      <c r="AU53" cm="1">
        <f t="array" ref="AU53">INDEX(RefCapacity!$D$2:$D$526,MATCH(1,(RefCapacity!$A$2:$A$526=RefCapacityProj!$D53)*(RefCapacity!$B$2:$B$526=2019)*(RefCapacity!$C$2:$C$526=RefCapacityProj!AG$1),0))*IF($C53=2035,1+VLOOKUP(AG$1,RefCapacity!$H$2:$L$8,2,FALSE),1+VLOOKUP(AG$1,RefCapacity!$H$2:$L$8,4,FALSE))</f>
        <v>69.095643226583363</v>
      </c>
      <c r="AV53" cm="1">
        <f t="array" ref="AV53">INDEX(RefCapacity!$D$2:$D$526,MATCH(1,(RefCapacity!$A$2:$A$526=RefCapacityProj!$D53)*(RefCapacity!$B$2:$B$526=2019)*(RefCapacity!$C$2:$C$526=RefCapacityProj!AH$1),0))*IF($C53=2035,1+VLOOKUP(AH$1,RefCapacity!$H$2:$L$8,2,FALSE),1+VLOOKUP(AH$1,RefCapacity!$H$2:$L$8,4,FALSE))</f>
        <v>829.70092482947541</v>
      </c>
      <c r="AW53" cm="1">
        <f t="array" ref="AW53">INDEX(RefCapacity!$D$2:$D$526,MATCH(1,(RefCapacity!$A$2:$A$526=RefCapacityProj!$D53)*(RefCapacity!$B$2:$B$526=2019)*(RefCapacity!$C$2:$C$526=RefCapacityProj!AI$1),0))*IF($C53=2035,1+VLOOKUP(AI$1,RefCapacity!$H$2:$L$8,2,FALSE),1+VLOOKUP(AI$1,RefCapacity!$H$2:$L$8,4,FALSE))</f>
        <v>0</v>
      </c>
      <c r="AX53" cm="1">
        <f t="array" ref="AX53">INDEX(RefCapacity!$D$2:$D$526,MATCH(1,(RefCapacity!$A$2:$A$526=RefCapacityProj!$D53)*(RefCapacity!$B$2:$B$526=2019)*(RefCapacity!$C$2:$C$526=RefCapacityProj!AJ$1),0))*IF($C53=2035,1+VLOOKUP(AJ$1,RefCapacity!$H$2:$L$8,2,FALSE),1+VLOOKUP(AJ$1,RefCapacity!$H$2:$L$8,4,FALSE))</f>
        <v>993.12500000000011</v>
      </c>
      <c r="AY53" cm="1">
        <f t="array" ref="AY53">INDEX(RefCapacity!$D$2:$D$526,MATCH(1,(RefCapacity!$A$2:$A$526=RefCapacityProj!$D53)*(RefCapacity!$B$2:$B$526=2019)*(RefCapacity!$C$2:$C$526=RefCapacityProj!AK$1),0))*IF($C53=2035,1+VLOOKUP(AK$1,RefCapacity!$H$2:$L$8,2,FALSE),1+VLOOKUP(AK$1,RefCapacity!$H$2:$L$8,4,FALSE))</f>
        <v>1991.4122477464978</v>
      </c>
      <c r="AZ53" cm="1">
        <f t="array" ref="AZ53">INDEX(RefCapacity!$D$2:$D$526,MATCH(1,(RefCapacity!$A$2:$A$526=RefCapacityProj!$D53)*(RefCapacity!$B$2:$B$526=2019)*(RefCapacity!$C$2:$C$526=RefCapacityProj!AL$1),0))*IF($C53=2035,1+VLOOKUP(AL$1,RefCapacity!$H$2:$L$8,2,FALSE),1+VLOOKUP(AL$1,RefCapacity!$H$2:$L$8,4,FALSE))</f>
        <v>0</v>
      </c>
      <c r="BA53" cm="1">
        <f t="array" ref="BA53">INDEX(RefCapacity!$D$2:$D$526,MATCH(1,(RefCapacity!$A$2:$A$526=RefCapacityProj!$D53)*(RefCapacity!$B$2:$B$526=2019)*(RefCapacity!$C$2:$C$526=RefCapacityProj!AM$1),0))*IF($C53=2035,1+VLOOKUP(AM$1,RefCapacity!$H$2:$L$8,2,FALSE),1+VLOOKUP(AM$1,RefCapacity!$H$2:$L$8,4,FALSE))</f>
        <v>1360.1267578285858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f t="shared" si="4"/>
        <v>2835.8814595067283</v>
      </c>
      <c r="BJ53">
        <f t="shared" si="5"/>
        <v>25.627465794642831</v>
      </c>
      <c r="BK53">
        <f t="shared" si="6"/>
        <v>1.0000016414746682E-2</v>
      </c>
      <c r="BL53" cm="1">
        <f t="array" ref="BL53">AG53/$BI53*INDEX('GHG Emission'!$C$2:$C$1121,MATCH(1,('GHG Emission'!$D$2:$D$1121=$D53)*('GHG Emission'!$E$2:$E$1121=$C53)*('GHG Emission'!$F$2:$F$1121=$B53)*('GHG Emission'!$I$2:$I$1121=$E53)*('GHG Emission'!$J$2:$J$1121=$F53)*('GHG Emission'!$K$2:$K$1121=AG$1),0))+AH53/$BI53*INDEX('GHG Emission'!$C$2:$C$1121,MATCH(1,('GHG Emission'!$D$2:$D$1121=$D53)*('GHG Emission'!$E$2:$E$1121=$C53)*('GHG Emission'!$F$2:$F$1121=$B53)*('GHG Emission'!$I$2:$I$1121=$E53)*('GHG Emission'!$J$2:$J$1121=$F53)*('GHG Emission'!$K$2:$K$1121=AH$1),0))+AI53/$BI53*INDEX('GHG Emission'!$C$2:$C$1121,MATCH(1,('GHG Emission'!$D$2:$D$1121=$D53)*('GHG Emission'!$E$2:$E$1121=$C53)*('GHG Emission'!$F$2:$F$1121=$B53)*('GHG Emission'!$I$2:$I$1121=$E53)*('GHG Emission'!$J$2:$J$1121=$F53)*('GHG Emission'!$K$2:$K$1121=AI$1),0))+AJ53/$BI53*INDEX('GHG Emission'!$C$2:$C$1121,MATCH(1,('GHG Emission'!$D$2:$D$1121=$D53)*('GHG Emission'!$E$2:$E$1121=$C53)*('GHG Emission'!$F$2:$F$1121=$B53)*('GHG Emission'!$I$2:$I$1121=$E53)*('GHG Emission'!$J$2:$J$1121=$F53)*('GHG Emission'!$K$2:$K$1121=AJ$1),0))+AK53/$BI53*INDEX('GHG Emission'!$C$2:$C$1121,MATCH(1,('GHG Emission'!$D$2:$D$1121=$D53)*('GHG Emission'!$E$2:$E$1121=$C53)*('GHG Emission'!$F$2:$F$1121=$B53)*('GHG Emission'!$I$2:$I$1121=$E53)*('GHG Emission'!$J$2:$J$1121=$F53)*('GHG Emission'!$K$2:$K$1121=AK$1),0))+AL53/$BI53*INDEX('GHG Emission'!$C$2:$C$1121,MATCH(1,('GHG Emission'!$D$2:$D$1121=$D53)*('GHG Emission'!$E$2:$E$1121=$C53)*('GHG Emission'!$F$2:$F$1121=$B53)*('GHG Emission'!$I$2:$I$1121=$E53)*('GHG Emission'!$J$2:$J$1121=$F53)*('GHG Emission'!$K$2:$K$1121=AL$1),0))+AM53/$BI53*INDEX('GHG Emission'!$C$2:$C$1121,MATCH(1,('GHG Emission'!$D$2:$D$1121=$D53)*('GHG Emission'!$E$2:$E$1121=$C53)*('GHG Emission'!$F$2:$F$1121=$B53)*('GHG Emission'!$I$2:$I$1121=$E53)*('GHG Emission'!$J$2:$J$1121=$F53)*('GHG Emission'!$K$2:$K$1121=AM$1),0))</f>
        <v>33.503768447452572</v>
      </c>
      <c r="BM53" t="str">
        <f t="shared" si="7"/>
        <v>LIGHT/SOUR</v>
      </c>
    </row>
    <row r="54" spans="1:65" hidden="1" x14ac:dyDescent="0.25">
      <c r="A54">
        <v>53</v>
      </c>
      <c r="B54" t="s">
        <v>470</v>
      </c>
      <c r="C54">
        <v>2050</v>
      </c>
      <c r="D54">
        <v>2</v>
      </c>
      <c r="E54" t="s">
        <v>466</v>
      </c>
      <c r="F54" t="s">
        <v>467</v>
      </c>
      <c r="G54">
        <v>1030.9280608638626</v>
      </c>
      <c r="H54">
        <v>299.79012097977647</v>
      </c>
      <c r="I54">
        <v>1076.0030112912934</v>
      </c>
      <c r="J54">
        <v>66.170862077279367</v>
      </c>
      <c r="K54">
        <v>49.225586995672721</v>
      </c>
      <c r="L54">
        <v>34.936717005258899</v>
      </c>
      <c r="M54">
        <v>0</v>
      </c>
      <c r="N54">
        <v>0</v>
      </c>
      <c r="O54">
        <v>0</v>
      </c>
      <c r="P54">
        <v>312.26627116074047</v>
      </c>
      <c r="Q54">
        <v>0</v>
      </c>
      <c r="R54">
        <v>0</v>
      </c>
      <c r="S54">
        <v>0</v>
      </c>
      <c r="T54">
        <v>9.1474490742304866</v>
      </c>
      <c r="U54">
        <v>0</v>
      </c>
      <c r="V54">
        <v>0</v>
      </c>
      <c r="W54">
        <v>0</v>
      </c>
      <c r="X54">
        <f t="shared" si="0"/>
        <v>2878.4680794481137</v>
      </c>
      <c r="Y54">
        <f>X54*VLOOKUP($D54,'LinearReg Model'!$S$2:$T$6,2,FALSE)</f>
        <v>2377.0690459593857</v>
      </c>
      <c r="Z54">
        <f t="shared" si="1"/>
        <v>0.35815163913908038</v>
      </c>
      <c r="AA54">
        <f t="shared" si="2"/>
        <v>0.3738109930673939</v>
      </c>
      <c r="AB54">
        <f t="shared" si="3"/>
        <v>0.10414919071718697</v>
      </c>
      <c r="AC54">
        <v>28.354057795771688</v>
      </c>
      <c r="AD54">
        <v>0.49194998451747501</v>
      </c>
      <c r="AE54" s="2">
        <f>VLOOKUP($D54,'MultiReg Model'!$A$5:$F$9,2,FALSE)+AC54*VLOOKUP($D54,'MultiReg Model'!$A$5:$F$9,3,FALSE)+Z54*VLOOKUP($D54,'MultiReg Model'!$A$5:$F$9,4,FALSE)+AA54*VLOOKUP($D54,'MultiReg Model'!$A$5:$F$9,5,FALSE)+AB54*VLOOKUP($D54,'MultiReg Model'!$A$5:$F$9,6,FALSE)</f>
        <v>9.9030860618888763</v>
      </c>
      <c r="AF54" cm="1">
        <f t="array" ref="AF54">MMULT($AG54:$AM54,'Avg CI Index'!$C$2:$C$8)/BI54</f>
        <v>9.8930860634723814</v>
      </c>
      <c r="AG54">
        <v>2.4582631682981138</v>
      </c>
      <c r="AH54">
        <v>356.01004588546914</v>
      </c>
      <c r="AI54">
        <v>0</v>
      </c>
      <c r="AJ54">
        <v>305.59491603283112</v>
      </c>
      <c r="AK54">
        <v>939.87744069247333</v>
      </c>
      <c r="AL54">
        <v>0</v>
      </c>
      <c r="AM54">
        <v>770.54675969550351</v>
      </c>
      <c r="AN54" cm="1">
        <f t="array" ref="AN54">$Y54*INDEX(RefCapacity!$D$2:$D$526,MATCH(1,(RefCapacity!$A$2:$A$526=RefCapacityProj!$D54)*(RefCapacity!$B$2:$B$526=2019)*(RefCapacity!$C$2:$C$526=AG$1),0))/SUMIFS(RefCapacity!$D$2:$D$526,RefCapacity!$A$2:$A$526,RefCapacityProj!$D54,RefCapacity!$B$2:$B$526,2019)</f>
        <v>14.586642031028276</v>
      </c>
      <c r="AO54" cm="1">
        <f t="array" ref="AO54">$Y54*INDEX(RefCapacity!$D$2:$D$526,MATCH(1,(RefCapacity!$A$2:$A$526=RefCapacityProj!$D54)*(RefCapacity!$B$2:$B$526=2019)*(RefCapacity!$C$2:$C$526=AH$1),0))/SUMIFS(RefCapacity!$D$2:$D$526,RefCapacity!$A$2:$A$526,RefCapacityProj!$D54,RefCapacity!$B$2:$B$526,2019)</f>
        <v>359.34266919585434</v>
      </c>
      <c r="AP54" cm="1">
        <f t="array" ref="AP54">$Y54*INDEX(RefCapacity!$D$2:$D$526,MATCH(1,(RefCapacity!$A$2:$A$526=RefCapacityProj!$D54)*(RefCapacity!$B$2:$B$526=2019)*(RefCapacity!$C$2:$C$526=AI$1),0))/SUMIFS(RefCapacity!$D$2:$D$526,RefCapacity!$A$2:$A$526,RefCapacityProj!$D54,RefCapacity!$B$2:$B$526,2019)</f>
        <v>0</v>
      </c>
      <c r="AQ54" cm="1">
        <f t="array" ref="AQ54">$Y54*INDEX(RefCapacity!$D$2:$D$526,MATCH(1,(RefCapacity!$A$2:$A$526=RefCapacityProj!$D54)*(RefCapacity!$B$2:$B$526=2019)*(RefCapacity!$C$2:$C$526=AJ$1),0))/SUMIFS(RefCapacity!$D$2:$D$526,RefCapacity!$A$2:$A$526,RefCapacityProj!$D54,RefCapacity!$B$2:$B$526,2019)</f>
        <v>302.82534406621443</v>
      </c>
      <c r="AR54" cm="1">
        <f t="array" ref="AR54">$Y54*INDEX(RefCapacity!$D$2:$D$526,MATCH(1,(RefCapacity!$A$2:$A$526=RefCapacityProj!$D54)*(RefCapacity!$B$2:$B$526=2019)*(RefCapacity!$C$2:$C$526=AK$1),0))/SUMIFS(RefCapacity!$D$2:$D$526,RefCapacity!$A$2:$A$526,RefCapacityProj!$D54,RefCapacity!$B$2:$B$526,2019)</f>
        <v>936.36200204503371</v>
      </c>
      <c r="AS54" cm="1">
        <f t="array" ref="AS54">$Y54*INDEX(RefCapacity!$D$2:$D$526,MATCH(1,(RefCapacity!$A$2:$A$526=RefCapacityProj!$D54)*(RefCapacity!$B$2:$B$526=2019)*(RefCapacity!$C$2:$C$526=AL$1),0))/SUMIFS(RefCapacity!$D$2:$D$526,RefCapacity!$A$2:$A$526,RefCapacityProj!$D54,RefCapacity!$B$2:$B$526,2019)</f>
        <v>0</v>
      </c>
      <c r="AT54" cm="1">
        <f t="array" ref="AT54">$Y54*INDEX(RefCapacity!$D$2:$D$526,MATCH(1,(RefCapacity!$A$2:$A$526=RefCapacityProj!$D54)*(RefCapacity!$B$2:$B$526=2019)*(RefCapacity!$C$2:$C$526=AM$1),0))/SUMIFS(RefCapacity!$D$2:$D$526,RefCapacity!$A$2:$A$526,RefCapacityProj!$D54,RefCapacity!$B$2:$B$526,2019)</f>
        <v>763.95238862125484</v>
      </c>
      <c r="AU54" cm="1">
        <f t="array" ref="AU54">INDEX(RefCapacity!$D$2:$D$526,MATCH(1,(RefCapacity!$A$2:$A$526=RefCapacityProj!$D54)*(RefCapacity!$B$2:$B$526=2019)*(RefCapacity!$C$2:$C$526=RefCapacityProj!AG$1),0))*IF($C54=2035,1+VLOOKUP(AG$1,RefCapacity!$H$2:$L$8,2,FALSE),1+VLOOKUP(AG$1,RefCapacity!$H$2:$L$8,4,FALSE))</f>
        <v>113.20628645316671</v>
      </c>
      <c r="AV54" cm="1">
        <f t="array" ref="AV54">INDEX(RefCapacity!$D$2:$D$526,MATCH(1,(RefCapacity!$A$2:$A$526=RefCapacityProj!$D54)*(RefCapacity!$B$2:$B$526=2019)*(RefCapacity!$C$2:$C$526=RefCapacityProj!AH$1),0))*IF($C54=2035,1+VLOOKUP(AH$1,RefCapacity!$H$2:$L$8,2,FALSE),1+VLOOKUP(AH$1,RefCapacity!$H$2:$L$8,4,FALSE))</f>
        <v>1043.8951024062037</v>
      </c>
      <c r="AW54" cm="1">
        <f t="array" ref="AW54">INDEX(RefCapacity!$D$2:$D$526,MATCH(1,(RefCapacity!$A$2:$A$526=RefCapacityProj!$D54)*(RefCapacity!$B$2:$B$526=2019)*(RefCapacity!$C$2:$C$526=RefCapacityProj!AI$1),0))*IF($C54=2035,1+VLOOKUP(AI$1,RefCapacity!$H$2:$L$8,2,FALSE),1+VLOOKUP(AI$1,RefCapacity!$H$2:$L$8,4,FALSE))</f>
        <v>0</v>
      </c>
      <c r="AX54" cm="1">
        <f t="array" ref="AX54">INDEX(RefCapacity!$D$2:$D$526,MATCH(1,(RefCapacity!$A$2:$A$526=RefCapacityProj!$D54)*(RefCapacity!$B$2:$B$526=2019)*(RefCapacity!$C$2:$C$526=RefCapacityProj!AJ$1),0))*IF($C54=2035,1+VLOOKUP(AJ$1,RefCapacity!$H$2:$L$8,2,FALSE),1+VLOOKUP(AJ$1,RefCapacity!$H$2:$L$8,4,FALSE))</f>
        <v>1467.5500000000002</v>
      </c>
      <c r="AY54" cm="1">
        <f t="array" ref="AY54">INDEX(RefCapacity!$D$2:$D$526,MATCH(1,(RefCapacity!$A$2:$A$526=RefCapacityProj!$D54)*(RefCapacity!$B$2:$B$526=2019)*(RefCapacity!$C$2:$C$526=RefCapacityProj!AK$1),0))*IF($C54=2035,1+VLOOKUP(AK$1,RefCapacity!$H$2:$L$8,2,FALSE),1+VLOOKUP(AK$1,RefCapacity!$H$2:$L$8,4,FALSE))</f>
        <v>2378.9594954929953</v>
      </c>
      <c r="AZ54" cm="1">
        <f t="array" ref="AZ54">INDEX(RefCapacity!$D$2:$D$526,MATCH(1,(RefCapacity!$A$2:$A$526=RefCapacityProj!$D54)*(RefCapacity!$B$2:$B$526=2019)*(RefCapacity!$C$2:$C$526=RefCapacityProj!AL$1),0))*IF($C54=2035,1+VLOOKUP(AL$1,RefCapacity!$H$2:$L$8,2,FALSE),1+VLOOKUP(AL$1,RefCapacity!$H$2:$L$8,4,FALSE))</f>
        <v>0</v>
      </c>
      <c r="BA54" cm="1">
        <f t="array" ref="BA54">INDEX(RefCapacity!$D$2:$D$526,MATCH(1,(RefCapacity!$A$2:$A$526=RefCapacityProj!$D54)*(RefCapacity!$B$2:$B$526=2019)*(RefCapacity!$C$2:$C$526=RefCapacityProj!AM$1),0))*IF($C54=2035,1+VLOOKUP(AM$1,RefCapacity!$H$2:$L$8,2,FALSE),1+VLOOKUP(AM$1,RefCapacity!$H$2:$L$8,4,FALSE))</f>
        <v>1411.7035156571721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f t="shared" si="4"/>
        <v>2374.487425474575</v>
      </c>
      <c r="BJ54">
        <f t="shared" si="5"/>
        <v>2.5816204848106281</v>
      </c>
      <c r="BK54">
        <f t="shared" si="6"/>
        <v>9.9999984164949041E-3</v>
      </c>
      <c r="BL54" cm="1">
        <f t="array" ref="BL54">AG54/$BI54*INDEX('GHG Emission'!$C$2:$C$1121,MATCH(1,('GHG Emission'!$D$2:$D$1121=$D54)*('GHG Emission'!$E$2:$E$1121=$C54)*('GHG Emission'!$F$2:$F$1121=$B54)*('GHG Emission'!$I$2:$I$1121=$E54)*('GHG Emission'!$J$2:$J$1121=$F54)*('GHG Emission'!$K$2:$K$1121=AG$1),0))+AH54/$BI54*INDEX('GHG Emission'!$C$2:$C$1121,MATCH(1,('GHG Emission'!$D$2:$D$1121=$D54)*('GHG Emission'!$E$2:$E$1121=$C54)*('GHG Emission'!$F$2:$F$1121=$B54)*('GHG Emission'!$I$2:$I$1121=$E54)*('GHG Emission'!$J$2:$J$1121=$F54)*('GHG Emission'!$K$2:$K$1121=AH$1),0))+AI54/$BI54*INDEX('GHG Emission'!$C$2:$C$1121,MATCH(1,('GHG Emission'!$D$2:$D$1121=$D54)*('GHG Emission'!$E$2:$E$1121=$C54)*('GHG Emission'!$F$2:$F$1121=$B54)*('GHG Emission'!$I$2:$I$1121=$E54)*('GHG Emission'!$J$2:$J$1121=$F54)*('GHG Emission'!$K$2:$K$1121=AI$1),0))+AJ54/$BI54*INDEX('GHG Emission'!$C$2:$C$1121,MATCH(1,('GHG Emission'!$D$2:$D$1121=$D54)*('GHG Emission'!$E$2:$E$1121=$C54)*('GHG Emission'!$F$2:$F$1121=$B54)*('GHG Emission'!$I$2:$I$1121=$E54)*('GHG Emission'!$J$2:$J$1121=$F54)*('GHG Emission'!$K$2:$K$1121=AJ$1),0))+AK54/$BI54*INDEX('GHG Emission'!$C$2:$C$1121,MATCH(1,('GHG Emission'!$D$2:$D$1121=$D54)*('GHG Emission'!$E$2:$E$1121=$C54)*('GHG Emission'!$F$2:$F$1121=$B54)*('GHG Emission'!$I$2:$I$1121=$E54)*('GHG Emission'!$J$2:$J$1121=$F54)*('GHG Emission'!$K$2:$K$1121=AK$1),0))+AL54/$BI54*INDEX('GHG Emission'!$C$2:$C$1121,MATCH(1,('GHG Emission'!$D$2:$D$1121=$D54)*('GHG Emission'!$E$2:$E$1121=$C54)*('GHG Emission'!$F$2:$F$1121=$B54)*('GHG Emission'!$I$2:$I$1121=$E54)*('GHG Emission'!$J$2:$J$1121=$F54)*('GHG Emission'!$K$2:$K$1121=AL$1),0))+AM54/$BI54*INDEX('GHG Emission'!$C$2:$C$1121,MATCH(1,('GHG Emission'!$D$2:$D$1121=$D54)*('GHG Emission'!$E$2:$E$1121=$C54)*('GHG Emission'!$F$2:$F$1121=$B54)*('GHG Emission'!$I$2:$I$1121=$E54)*('GHG Emission'!$J$2:$J$1121=$F54)*('GHG Emission'!$K$2:$K$1121=AM$1),0))</f>
        <v>31.01650786789186</v>
      </c>
      <c r="BM54" t="str">
        <f t="shared" si="7"/>
        <v>HEAVY/SWEET</v>
      </c>
    </row>
    <row r="55" spans="1:65" hidden="1" x14ac:dyDescent="0.25">
      <c r="A55">
        <v>54</v>
      </c>
      <c r="B55" t="s">
        <v>470</v>
      </c>
      <c r="C55">
        <v>2050</v>
      </c>
      <c r="D55">
        <v>2</v>
      </c>
      <c r="E55" t="s">
        <v>466</v>
      </c>
      <c r="F55" t="s">
        <v>468</v>
      </c>
      <c r="G55">
        <v>1030.9280608638626</v>
      </c>
      <c r="H55">
        <v>299.79012097977647</v>
      </c>
      <c r="I55">
        <v>1076.0030112912934</v>
      </c>
      <c r="J55">
        <v>66.170862077279367</v>
      </c>
      <c r="K55">
        <v>49.225586995672721</v>
      </c>
      <c r="L55">
        <v>34.936717005258899</v>
      </c>
      <c r="M55">
        <v>0</v>
      </c>
      <c r="N55">
        <v>0</v>
      </c>
      <c r="O55">
        <v>0</v>
      </c>
      <c r="P55">
        <v>312.26627116074047</v>
      </c>
      <c r="Q55">
        <v>0</v>
      </c>
      <c r="R55">
        <v>0</v>
      </c>
      <c r="S55">
        <v>0</v>
      </c>
      <c r="T55">
        <v>9.1474490742304866</v>
      </c>
      <c r="U55">
        <v>0</v>
      </c>
      <c r="V55">
        <v>0</v>
      </c>
      <c r="W55">
        <v>0</v>
      </c>
      <c r="X55">
        <f t="shared" si="0"/>
        <v>2878.4680794481137</v>
      </c>
      <c r="Y55">
        <f>X55*VLOOKUP($D55,'LinearReg Model'!$S$2:$T$6,2,FALSE)</f>
        <v>2377.0690459593857</v>
      </c>
      <c r="Z55">
        <f t="shared" si="1"/>
        <v>0.35815163913908038</v>
      </c>
      <c r="AA55">
        <f t="shared" si="2"/>
        <v>0.3738109930673939</v>
      </c>
      <c r="AB55">
        <f t="shared" si="3"/>
        <v>0.10414919071718697</v>
      </c>
      <c r="AC55">
        <v>28.354057795771688</v>
      </c>
      <c r="AD55">
        <v>4.4723269444483442</v>
      </c>
      <c r="AE55" s="2">
        <f>VLOOKUP($D55,'MultiReg Model'!$A$5:$F$9,2,FALSE)+AC55*VLOOKUP($D55,'MultiReg Model'!$A$5:$F$9,3,FALSE)+Z55*VLOOKUP($D55,'MultiReg Model'!$A$5:$F$9,4,FALSE)+AA55*VLOOKUP($D55,'MultiReg Model'!$A$5:$F$9,5,FALSE)+AB55*VLOOKUP($D55,'MultiReg Model'!$A$5:$F$9,6,FALSE)</f>
        <v>9.9030860618888763</v>
      </c>
      <c r="AF55" cm="1">
        <f t="array" ref="AF55">MMULT($AG55:$AM55,'Avg CI Index'!$C$2:$C$8)/BI55</f>
        <v>9.8930860634723814</v>
      </c>
      <c r="AG55">
        <v>2.4582631682981138</v>
      </c>
      <c r="AH55">
        <v>356.01004588546914</v>
      </c>
      <c r="AI55">
        <v>0</v>
      </c>
      <c r="AJ55">
        <v>305.59491603283112</v>
      </c>
      <c r="AK55">
        <v>939.87744069247333</v>
      </c>
      <c r="AL55">
        <v>0</v>
      </c>
      <c r="AM55">
        <v>770.54675969550351</v>
      </c>
      <c r="AN55" cm="1">
        <f t="array" ref="AN55">$Y55*INDEX(RefCapacity!$D$2:$D$526,MATCH(1,(RefCapacity!$A$2:$A$526=RefCapacityProj!$D55)*(RefCapacity!$B$2:$B$526=2019)*(RefCapacity!$C$2:$C$526=AG$1),0))/SUMIFS(RefCapacity!$D$2:$D$526,RefCapacity!$A$2:$A$526,RefCapacityProj!$D55,RefCapacity!$B$2:$B$526,2019)</f>
        <v>14.586642031028276</v>
      </c>
      <c r="AO55" cm="1">
        <f t="array" ref="AO55">$Y55*INDEX(RefCapacity!$D$2:$D$526,MATCH(1,(RefCapacity!$A$2:$A$526=RefCapacityProj!$D55)*(RefCapacity!$B$2:$B$526=2019)*(RefCapacity!$C$2:$C$526=AH$1),0))/SUMIFS(RefCapacity!$D$2:$D$526,RefCapacity!$A$2:$A$526,RefCapacityProj!$D55,RefCapacity!$B$2:$B$526,2019)</f>
        <v>359.34266919585434</v>
      </c>
      <c r="AP55" cm="1">
        <f t="array" ref="AP55">$Y55*INDEX(RefCapacity!$D$2:$D$526,MATCH(1,(RefCapacity!$A$2:$A$526=RefCapacityProj!$D55)*(RefCapacity!$B$2:$B$526=2019)*(RefCapacity!$C$2:$C$526=AI$1),0))/SUMIFS(RefCapacity!$D$2:$D$526,RefCapacity!$A$2:$A$526,RefCapacityProj!$D55,RefCapacity!$B$2:$B$526,2019)</f>
        <v>0</v>
      </c>
      <c r="AQ55" cm="1">
        <f t="array" ref="AQ55">$Y55*INDEX(RefCapacity!$D$2:$D$526,MATCH(1,(RefCapacity!$A$2:$A$526=RefCapacityProj!$D55)*(RefCapacity!$B$2:$B$526=2019)*(RefCapacity!$C$2:$C$526=AJ$1),0))/SUMIFS(RefCapacity!$D$2:$D$526,RefCapacity!$A$2:$A$526,RefCapacityProj!$D55,RefCapacity!$B$2:$B$526,2019)</f>
        <v>302.82534406621443</v>
      </c>
      <c r="AR55" cm="1">
        <f t="array" ref="AR55">$Y55*INDEX(RefCapacity!$D$2:$D$526,MATCH(1,(RefCapacity!$A$2:$A$526=RefCapacityProj!$D55)*(RefCapacity!$B$2:$B$526=2019)*(RefCapacity!$C$2:$C$526=AK$1),0))/SUMIFS(RefCapacity!$D$2:$D$526,RefCapacity!$A$2:$A$526,RefCapacityProj!$D55,RefCapacity!$B$2:$B$526,2019)</f>
        <v>936.36200204503371</v>
      </c>
      <c r="AS55" cm="1">
        <f t="array" ref="AS55">$Y55*INDEX(RefCapacity!$D$2:$D$526,MATCH(1,(RefCapacity!$A$2:$A$526=RefCapacityProj!$D55)*(RefCapacity!$B$2:$B$526=2019)*(RefCapacity!$C$2:$C$526=AL$1),0))/SUMIFS(RefCapacity!$D$2:$D$526,RefCapacity!$A$2:$A$526,RefCapacityProj!$D55,RefCapacity!$B$2:$B$526,2019)</f>
        <v>0</v>
      </c>
      <c r="AT55" cm="1">
        <f t="array" ref="AT55">$Y55*INDEX(RefCapacity!$D$2:$D$526,MATCH(1,(RefCapacity!$A$2:$A$526=RefCapacityProj!$D55)*(RefCapacity!$B$2:$B$526=2019)*(RefCapacity!$C$2:$C$526=AM$1),0))/SUMIFS(RefCapacity!$D$2:$D$526,RefCapacity!$A$2:$A$526,RefCapacityProj!$D55,RefCapacity!$B$2:$B$526,2019)</f>
        <v>763.95238862125484</v>
      </c>
      <c r="AU55" cm="1">
        <f t="array" ref="AU55">INDEX(RefCapacity!$D$2:$D$526,MATCH(1,(RefCapacity!$A$2:$A$526=RefCapacityProj!$D55)*(RefCapacity!$B$2:$B$526=2019)*(RefCapacity!$C$2:$C$526=RefCapacityProj!AG$1),0))*IF($C55=2035,1+VLOOKUP(AG$1,RefCapacity!$H$2:$L$8,2,FALSE),1+VLOOKUP(AG$1,RefCapacity!$H$2:$L$8,4,FALSE))</f>
        <v>113.20628645316671</v>
      </c>
      <c r="AV55" cm="1">
        <f t="array" ref="AV55">INDEX(RefCapacity!$D$2:$D$526,MATCH(1,(RefCapacity!$A$2:$A$526=RefCapacityProj!$D55)*(RefCapacity!$B$2:$B$526=2019)*(RefCapacity!$C$2:$C$526=RefCapacityProj!AH$1),0))*IF($C55=2035,1+VLOOKUP(AH$1,RefCapacity!$H$2:$L$8,2,FALSE),1+VLOOKUP(AH$1,RefCapacity!$H$2:$L$8,4,FALSE))</f>
        <v>1043.8951024062037</v>
      </c>
      <c r="AW55" cm="1">
        <f t="array" ref="AW55">INDEX(RefCapacity!$D$2:$D$526,MATCH(1,(RefCapacity!$A$2:$A$526=RefCapacityProj!$D55)*(RefCapacity!$B$2:$B$526=2019)*(RefCapacity!$C$2:$C$526=RefCapacityProj!AI$1),0))*IF($C55=2035,1+VLOOKUP(AI$1,RefCapacity!$H$2:$L$8,2,FALSE),1+VLOOKUP(AI$1,RefCapacity!$H$2:$L$8,4,FALSE))</f>
        <v>0</v>
      </c>
      <c r="AX55" cm="1">
        <f t="array" ref="AX55">INDEX(RefCapacity!$D$2:$D$526,MATCH(1,(RefCapacity!$A$2:$A$526=RefCapacityProj!$D55)*(RefCapacity!$B$2:$B$526=2019)*(RefCapacity!$C$2:$C$526=RefCapacityProj!AJ$1),0))*IF($C55=2035,1+VLOOKUP(AJ$1,RefCapacity!$H$2:$L$8,2,FALSE),1+VLOOKUP(AJ$1,RefCapacity!$H$2:$L$8,4,FALSE))</f>
        <v>1467.5500000000002</v>
      </c>
      <c r="AY55" cm="1">
        <f t="array" ref="AY55">INDEX(RefCapacity!$D$2:$D$526,MATCH(1,(RefCapacity!$A$2:$A$526=RefCapacityProj!$D55)*(RefCapacity!$B$2:$B$526=2019)*(RefCapacity!$C$2:$C$526=RefCapacityProj!AK$1),0))*IF($C55=2035,1+VLOOKUP(AK$1,RefCapacity!$H$2:$L$8,2,FALSE),1+VLOOKUP(AK$1,RefCapacity!$H$2:$L$8,4,FALSE))</f>
        <v>2378.9594954929953</v>
      </c>
      <c r="AZ55" cm="1">
        <f t="array" ref="AZ55">INDEX(RefCapacity!$D$2:$D$526,MATCH(1,(RefCapacity!$A$2:$A$526=RefCapacityProj!$D55)*(RefCapacity!$B$2:$B$526=2019)*(RefCapacity!$C$2:$C$526=RefCapacityProj!AL$1),0))*IF($C55=2035,1+VLOOKUP(AL$1,RefCapacity!$H$2:$L$8,2,FALSE),1+VLOOKUP(AL$1,RefCapacity!$H$2:$L$8,4,FALSE))</f>
        <v>0</v>
      </c>
      <c r="BA55" cm="1">
        <f t="array" ref="BA55">INDEX(RefCapacity!$D$2:$D$526,MATCH(1,(RefCapacity!$A$2:$A$526=RefCapacityProj!$D55)*(RefCapacity!$B$2:$B$526=2019)*(RefCapacity!$C$2:$C$526=RefCapacityProj!AM$1),0))*IF($C55=2035,1+VLOOKUP(AM$1,RefCapacity!$H$2:$L$8,2,FALSE),1+VLOOKUP(AM$1,RefCapacity!$H$2:$L$8,4,FALSE))</f>
        <v>1411.7035156571721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f t="shared" si="4"/>
        <v>2374.487425474575</v>
      </c>
      <c r="BJ55">
        <f t="shared" si="5"/>
        <v>2.5816204848106281</v>
      </c>
      <c r="BK55">
        <f t="shared" si="6"/>
        <v>9.9999984164949041E-3</v>
      </c>
      <c r="BL55" cm="1">
        <f t="array" ref="BL55">AG55/$BI55*INDEX('GHG Emission'!$C$2:$C$1121,MATCH(1,('GHG Emission'!$D$2:$D$1121=$D55)*('GHG Emission'!$E$2:$E$1121=$C55)*('GHG Emission'!$F$2:$F$1121=$B55)*('GHG Emission'!$I$2:$I$1121=$E55)*('GHG Emission'!$J$2:$J$1121=$F55)*('GHG Emission'!$K$2:$K$1121=AG$1),0))+AH55/$BI55*INDEX('GHG Emission'!$C$2:$C$1121,MATCH(1,('GHG Emission'!$D$2:$D$1121=$D55)*('GHG Emission'!$E$2:$E$1121=$C55)*('GHG Emission'!$F$2:$F$1121=$B55)*('GHG Emission'!$I$2:$I$1121=$E55)*('GHG Emission'!$J$2:$J$1121=$F55)*('GHG Emission'!$K$2:$K$1121=AH$1),0))+AI55/$BI55*INDEX('GHG Emission'!$C$2:$C$1121,MATCH(1,('GHG Emission'!$D$2:$D$1121=$D55)*('GHG Emission'!$E$2:$E$1121=$C55)*('GHG Emission'!$F$2:$F$1121=$B55)*('GHG Emission'!$I$2:$I$1121=$E55)*('GHG Emission'!$J$2:$J$1121=$F55)*('GHG Emission'!$K$2:$K$1121=AI$1),0))+AJ55/$BI55*INDEX('GHG Emission'!$C$2:$C$1121,MATCH(1,('GHG Emission'!$D$2:$D$1121=$D55)*('GHG Emission'!$E$2:$E$1121=$C55)*('GHG Emission'!$F$2:$F$1121=$B55)*('GHG Emission'!$I$2:$I$1121=$E55)*('GHG Emission'!$J$2:$J$1121=$F55)*('GHG Emission'!$K$2:$K$1121=AJ$1),0))+AK55/$BI55*INDEX('GHG Emission'!$C$2:$C$1121,MATCH(1,('GHG Emission'!$D$2:$D$1121=$D55)*('GHG Emission'!$E$2:$E$1121=$C55)*('GHG Emission'!$F$2:$F$1121=$B55)*('GHG Emission'!$I$2:$I$1121=$E55)*('GHG Emission'!$J$2:$J$1121=$F55)*('GHG Emission'!$K$2:$K$1121=AK$1),0))+AL55/$BI55*INDEX('GHG Emission'!$C$2:$C$1121,MATCH(1,('GHG Emission'!$D$2:$D$1121=$D55)*('GHG Emission'!$E$2:$E$1121=$C55)*('GHG Emission'!$F$2:$F$1121=$B55)*('GHG Emission'!$I$2:$I$1121=$E55)*('GHG Emission'!$J$2:$J$1121=$F55)*('GHG Emission'!$K$2:$K$1121=AL$1),0))+AM55/$BI55*INDEX('GHG Emission'!$C$2:$C$1121,MATCH(1,('GHG Emission'!$D$2:$D$1121=$D55)*('GHG Emission'!$E$2:$E$1121=$C55)*('GHG Emission'!$F$2:$F$1121=$B55)*('GHG Emission'!$I$2:$I$1121=$E55)*('GHG Emission'!$J$2:$J$1121=$F55)*('GHG Emission'!$K$2:$K$1121=AM$1),0))</f>
        <v>33.051126910874942</v>
      </c>
      <c r="BM55" t="str">
        <f t="shared" si="7"/>
        <v>HEAVY/SOUR</v>
      </c>
    </row>
    <row r="56" spans="1:65" hidden="1" x14ac:dyDescent="0.25">
      <c r="A56">
        <v>55</v>
      </c>
      <c r="B56" t="s">
        <v>470</v>
      </c>
      <c r="C56">
        <v>2050</v>
      </c>
      <c r="D56">
        <v>2</v>
      </c>
      <c r="E56" t="s">
        <v>469</v>
      </c>
      <c r="F56" t="s">
        <v>467</v>
      </c>
      <c r="G56">
        <v>1030.9280608638626</v>
      </c>
      <c r="H56">
        <v>299.79012097977647</v>
      </c>
      <c r="I56">
        <v>1076.0030112912934</v>
      </c>
      <c r="J56">
        <v>66.170862077279367</v>
      </c>
      <c r="K56">
        <v>49.225586995672721</v>
      </c>
      <c r="L56">
        <v>34.936717005258899</v>
      </c>
      <c r="M56">
        <v>0</v>
      </c>
      <c r="N56">
        <v>0</v>
      </c>
      <c r="O56">
        <v>0</v>
      </c>
      <c r="P56">
        <v>312.26627116074047</v>
      </c>
      <c r="Q56">
        <v>0</v>
      </c>
      <c r="R56">
        <v>0</v>
      </c>
      <c r="S56">
        <v>0</v>
      </c>
      <c r="T56">
        <v>9.1474490742304866</v>
      </c>
      <c r="U56">
        <v>0</v>
      </c>
      <c r="V56">
        <v>0</v>
      </c>
      <c r="W56">
        <v>0</v>
      </c>
      <c r="X56">
        <f t="shared" si="0"/>
        <v>2878.4680794481137</v>
      </c>
      <c r="Y56">
        <f>X56*VLOOKUP($D56,'LinearReg Model'!$S$2:$T$6,2,FALSE)</f>
        <v>2377.0690459593857</v>
      </c>
      <c r="Z56">
        <f t="shared" si="1"/>
        <v>0.35815163913908038</v>
      </c>
      <c r="AA56">
        <f t="shared" si="2"/>
        <v>0.3738109930673939</v>
      </c>
      <c r="AB56">
        <f t="shared" si="3"/>
        <v>0.10414919071718697</v>
      </c>
      <c r="AC56">
        <v>34.957728681668918</v>
      </c>
      <c r="AD56">
        <v>0.49194998451747501</v>
      </c>
      <c r="AE56" s="2">
        <f>VLOOKUP($D56,'MultiReg Model'!$A$5:$F$9,2,FALSE)+AC56*VLOOKUP($D56,'MultiReg Model'!$A$5:$F$9,3,FALSE)+Z56*VLOOKUP($D56,'MultiReg Model'!$A$5:$F$9,4,FALSE)+AA56*VLOOKUP($D56,'MultiReg Model'!$A$5:$F$9,5,FALSE)+AB56*VLOOKUP($D56,'MultiReg Model'!$A$5:$F$9,6,FALSE)</f>
        <v>9.494604190946724</v>
      </c>
      <c r="AF56" cm="1">
        <f t="array" ref="AF56">MMULT($AG56:$AM56,'Avg CI Index'!$C$2:$C$8)/BI56</f>
        <v>9.504604191610559</v>
      </c>
      <c r="AG56">
        <v>113.04652047400619</v>
      </c>
      <c r="AH56">
        <v>381.76541345241344</v>
      </c>
      <c r="AI56">
        <v>0</v>
      </c>
      <c r="AJ56">
        <v>281.30720853755304</v>
      </c>
      <c r="AK56">
        <v>908.6176408598094</v>
      </c>
      <c r="AL56">
        <v>0</v>
      </c>
      <c r="AM56">
        <v>713.5830769093244</v>
      </c>
      <c r="AN56" cm="1">
        <f t="array" ref="AN56">$Y56*INDEX(RefCapacity!$D$2:$D$526,MATCH(1,(RefCapacity!$A$2:$A$526=RefCapacityProj!$D56)*(RefCapacity!$B$2:$B$526=2019)*(RefCapacity!$C$2:$C$526=AG$1),0))/SUMIFS(RefCapacity!$D$2:$D$526,RefCapacity!$A$2:$A$526,RefCapacityProj!$D56,RefCapacity!$B$2:$B$526,2019)</f>
        <v>14.586642031028276</v>
      </c>
      <c r="AO56" cm="1">
        <f t="array" ref="AO56">$Y56*INDEX(RefCapacity!$D$2:$D$526,MATCH(1,(RefCapacity!$A$2:$A$526=RefCapacityProj!$D56)*(RefCapacity!$B$2:$B$526=2019)*(RefCapacity!$C$2:$C$526=AH$1),0))/SUMIFS(RefCapacity!$D$2:$D$526,RefCapacity!$A$2:$A$526,RefCapacityProj!$D56,RefCapacity!$B$2:$B$526,2019)</f>
        <v>359.34266919585434</v>
      </c>
      <c r="AP56" cm="1">
        <f t="array" ref="AP56">$Y56*INDEX(RefCapacity!$D$2:$D$526,MATCH(1,(RefCapacity!$A$2:$A$526=RefCapacityProj!$D56)*(RefCapacity!$B$2:$B$526=2019)*(RefCapacity!$C$2:$C$526=AI$1),0))/SUMIFS(RefCapacity!$D$2:$D$526,RefCapacity!$A$2:$A$526,RefCapacityProj!$D56,RefCapacity!$B$2:$B$526,2019)</f>
        <v>0</v>
      </c>
      <c r="AQ56" cm="1">
        <f t="array" ref="AQ56">$Y56*INDEX(RefCapacity!$D$2:$D$526,MATCH(1,(RefCapacity!$A$2:$A$526=RefCapacityProj!$D56)*(RefCapacity!$B$2:$B$526=2019)*(RefCapacity!$C$2:$C$526=AJ$1),0))/SUMIFS(RefCapacity!$D$2:$D$526,RefCapacity!$A$2:$A$526,RefCapacityProj!$D56,RefCapacity!$B$2:$B$526,2019)</f>
        <v>302.82534406621443</v>
      </c>
      <c r="AR56" cm="1">
        <f t="array" ref="AR56">$Y56*INDEX(RefCapacity!$D$2:$D$526,MATCH(1,(RefCapacity!$A$2:$A$526=RefCapacityProj!$D56)*(RefCapacity!$B$2:$B$526=2019)*(RefCapacity!$C$2:$C$526=AK$1),0))/SUMIFS(RefCapacity!$D$2:$D$526,RefCapacity!$A$2:$A$526,RefCapacityProj!$D56,RefCapacity!$B$2:$B$526,2019)</f>
        <v>936.36200204503371</v>
      </c>
      <c r="AS56" cm="1">
        <f t="array" ref="AS56">$Y56*INDEX(RefCapacity!$D$2:$D$526,MATCH(1,(RefCapacity!$A$2:$A$526=RefCapacityProj!$D56)*(RefCapacity!$B$2:$B$526=2019)*(RefCapacity!$C$2:$C$526=AL$1),0))/SUMIFS(RefCapacity!$D$2:$D$526,RefCapacity!$A$2:$A$526,RefCapacityProj!$D56,RefCapacity!$B$2:$B$526,2019)</f>
        <v>0</v>
      </c>
      <c r="AT56" cm="1">
        <f t="array" ref="AT56">$Y56*INDEX(RefCapacity!$D$2:$D$526,MATCH(1,(RefCapacity!$A$2:$A$526=RefCapacityProj!$D56)*(RefCapacity!$B$2:$B$526=2019)*(RefCapacity!$C$2:$C$526=AM$1),0))/SUMIFS(RefCapacity!$D$2:$D$526,RefCapacity!$A$2:$A$526,RefCapacityProj!$D56,RefCapacity!$B$2:$B$526,2019)</f>
        <v>763.95238862125484</v>
      </c>
      <c r="AU56" cm="1">
        <f t="array" ref="AU56">INDEX(RefCapacity!$D$2:$D$526,MATCH(1,(RefCapacity!$A$2:$A$526=RefCapacityProj!$D56)*(RefCapacity!$B$2:$B$526=2019)*(RefCapacity!$C$2:$C$526=RefCapacityProj!AG$1),0))*IF($C56=2035,1+VLOOKUP(AG$1,RefCapacity!$H$2:$L$8,2,FALSE),1+VLOOKUP(AG$1,RefCapacity!$H$2:$L$8,4,FALSE))</f>
        <v>113.20628645316671</v>
      </c>
      <c r="AV56" cm="1">
        <f t="array" ref="AV56">INDEX(RefCapacity!$D$2:$D$526,MATCH(1,(RefCapacity!$A$2:$A$526=RefCapacityProj!$D56)*(RefCapacity!$B$2:$B$526=2019)*(RefCapacity!$C$2:$C$526=RefCapacityProj!AH$1),0))*IF($C56=2035,1+VLOOKUP(AH$1,RefCapacity!$H$2:$L$8,2,FALSE),1+VLOOKUP(AH$1,RefCapacity!$H$2:$L$8,4,FALSE))</f>
        <v>1043.8951024062037</v>
      </c>
      <c r="AW56" cm="1">
        <f t="array" ref="AW56">INDEX(RefCapacity!$D$2:$D$526,MATCH(1,(RefCapacity!$A$2:$A$526=RefCapacityProj!$D56)*(RefCapacity!$B$2:$B$526=2019)*(RefCapacity!$C$2:$C$526=RefCapacityProj!AI$1),0))*IF($C56=2035,1+VLOOKUP(AI$1,RefCapacity!$H$2:$L$8,2,FALSE),1+VLOOKUP(AI$1,RefCapacity!$H$2:$L$8,4,FALSE))</f>
        <v>0</v>
      </c>
      <c r="AX56" cm="1">
        <f t="array" ref="AX56">INDEX(RefCapacity!$D$2:$D$526,MATCH(1,(RefCapacity!$A$2:$A$526=RefCapacityProj!$D56)*(RefCapacity!$B$2:$B$526=2019)*(RefCapacity!$C$2:$C$526=RefCapacityProj!AJ$1),0))*IF($C56=2035,1+VLOOKUP(AJ$1,RefCapacity!$H$2:$L$8,2,FALSE),1+VLOOKUP(AJ$1,RefCapacity!$H$2:$L$8,4,FALSE))</f>
        <v>1467.5500000000002</v>
      </c>
      <c r="AY56" cm="1">
        <f t="array" ref="AY56">INDEX(RefCapacity!$D$2:$D$526,MATCH(1,(RefCapacity!$A$2:$A$526=RefCapacityProj!$D56)*(RefCapacity!$B$2:$B$526=2019)*(RefCapacity!$C$2:$C$526=RefCapacityProj!AK$1),0))*IF($C56=2035,1+VLOOKUP(AK$1,RefCapacity!$H$2:$L$8,2,FALSE),1+VLOOKUP(AK$1,RefCapacity!$H$2:$L$8,4,FALSE))</f>
        <v>2378.9594954929953</v>
      </c>
      <c r="AZ56" cm="1">
        <f t="array" ref="AZ56">INDEX(RefCapacity!$D$2:$D$526,MATCH(1,(RefCapacity!$A$2:$A$526=RefCapacityProj!$D56)*(RefCapacity!$B$2:$B$526=2019)*(RefCapacity!$C$2:$C$526=RefCapacityProj!AL$1),0))*IF($C56=2035,1+VLOOKUP(AL$1,RefCapacity!$H$2:$L$8,2,FALSE),1+VLOOKUP(AL$1,RefCapacity!$H$2:$L$8,4,FALSE))</f>
        <v>0</v>
      </c>
      <c r="BA56" cm="1">
        <f t="array" ref="BA56">INDEX(RefCapacity!$D$2:$D$526,MATCH(1,(RefCapacity!$A$2:$A$526=RefCapacityProj!$D56)*(RefCapacity!$B$2:$B$526=2019)*(RefCapacity!$C$2:$C$526=RefCapacityProj!AM$1),0))*IF($C56=2035,1+VLOOKUP(AM$1,RefCapacity!$H$2:$L$8,2,FALSE),1+VLOOKUP(AM$1,RefCapacity!$H$2:$L$8,4,FALSE))</f>
        <v>1411.7035156571721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f t="shared" si="4"/>
        <v>2398.3198602331063</v>
      </c>
      <c r="BJ56">
        <f t="shared" si="5"/>
        <v>21.250814273720607</v>
      </c>
      <c r="BK56">
        <f t="shared" si="6"/>
        <v>1.0000000663834996E-2</v>
      </c>
      <c r="BL56" cm="1">
        <f t="array" ref="BL56">AG56/$BI56*INDEX('GHG Emission'!$C$2:$C$1121,MATCH(1,('GHG Emission'!$D$2:$D$1121=$D56)*('GHG Emission'!$E$2:$E$1121=$C56)*('GHG Emission'!$F$2:$F$1121=$B56)*('GHG Emission'!$I$2:$I$1121=$E56)*('GHG Emission'!$J$2:$J$1121=$F56)*('GHG Emission'!$K$2:$K$1121=AG$1),0))+AH56/$BI56*INDEX('GHG Emission'!$C$2:$C$1121,MATCH(1,('GHG Emission'!$D$2:$D$1121=$D56)*('GHG Emission'!$E$2:$E$1121=$C56)*('GHG Emission'!$F$2:$F$1121=$B56)*('GHG Emission'!$I$2:$I$1121=$E56)*('GHG Emission'!$J$2:$J$1121=$F56)*('GHG Emission'!$K$2:$K$1121=AH$1),0))+AI56/$BI56*INDEX('GHG Emission'!$C$2:$C$1121,MATCH(1,('GHG Emission'!$D$2:$D$1121=$D56)*('GHG Emission'!$E$2:$E$1121=$C56)*('GHG Emission'!$F$2:$F$1121=$B56)*('GHG Emission'!$I$2:$I$1121=$E56)*('GHG Emission'!$J$2:$J$1121=$F56)*('GHG Emission'!$K$2:$K$1121=AI$1),0))+AJ56/$BI56*INDEX('GHG Emission'!$C$2:$C$1121,MATCH(1,('GHG Emission'!$D$2:$D$1121=$D56)*('GHG Emission'!$E$2:$E$1121=$C56)*('GHG Emission'!$F$2:$F$1121=$B56)*('GHG Emission'!$I$2:$I$1121=$E56)*('GHG Emission'!$J$2:$J$1121=$F56)*('GHG Emission'!$K$2:$K$1121=AJ$1),0))+AK56/$BI56*INDEX('GHG Emission'!$C$2:$C$1121,MATCH(1,('GHG Emission'!$D$2:$D$1121=$D56)*('GHG Emission'!$E$2:$E$1121=$C56)*('GHG Emission'!$F$2:$F$1121=$B56)*('GHG Emission'!$I$2:$I$1121=$E56)*('GHG Emission'!$J$2:$J$1121=$F56)*('GHG Emission'!$K$2:$K$1121=AK$1),0))+AL56/$BI56*INDEX('GHG Emission'!$C$2:$C$1121,MATCH(1,('GHG Emission'!$D$2:$D$1121=$D56)*('GHG Emission'!$E$2:$E$1121=$C56)*('GHG Emission'!$F$2:$F$1121=$B56)*('GHG Emission'!$I$2:$I$1121=$E56)*('GHG Emission'!$J$2:$J$1121=$F56)*('GHG Emission'!$K$2:$K$1121=AL$1),0))+AM56/$BI56*INDEX('GHG Emission'!$C$2:$C$1121,MATCH(1,('GHG Emission'!$D$2:$D$1121=$D56)*('GHG Emission'!$E$2:$E$1121=$C56)*('GHG Emission'!$F$2:$F$1121=$B56)*('GHG Emission'!$I$2:$I$1121=$E56)*('GHG Emission'!$J$2:$J$1121=$F56)*('GHG Emission'!$K$2:$K$1121=AM$1),0))</f>
        <v>32.818129988048568</v>
      </c>
      <c r="BM56" t="str">
        <f t="shared" si="7"/>
        <v>LIGHT/SWEET</v>
      </c>
    </row>
    <row r="57" spans="1:65" hidden="1" x14ac:dyDescent="0.25">
      <c r="A57">
        <v>56</v>
      </c>
      <c r="B57" t="s">
        <v>470</v>
      </c>
      <c r="C57">
        <v>2050</v>
      </c>
      <c r="D57">
        <v>2</v>
      </c>
      <c r="E57" t="s">
        <v>469</v>
      </c>
      <c r="F57" t="s">
        <v>468</v>
      </c>
      <c r="G57">
        <v>1030.9280608638626</v>
      </c>
      <c r="H57">
        <v>299.79012097977647</v>
      </c>
      <c r="I57">
        <v>1076.0030112912934</v>
      </c>
      <c r="J57">
        <v>66.170862077279367</v>
      </c>
      <c r="K57">
        <v>49.225586995672721</v>
      </c>
      <c r="L57">
        <v>34.936717005258899</v>
      </c>
      <c r="M57">
        <v>0</v>
      </c>
      <c r="N57">
        <v>0</v>
      </c>
      <c r="O57">
        <v>0</v>
      </c>
      <c r="P57">
        <v>312.26627116074047</v>
      </c>
      <c r="Q57">
        <v>0</v>
      </c>
      <c r="R57">
        <v>0</v>
      </c>
      <c r="S57">
        <v>0</v>
      </c>
      <c r="T57">
        <v>9.1474490742304866</v>
      </c>
      <c r="U57">
        <v>0</v>
      </c>
      <c r="V57">
        <v>0</v>
      </c>
      <c r="W57">
        <v>0</v>
      </c>
      <c r="X57">
        <f t="shared" si="0"/>
        <v>2878.4680794481137</v>
      </c>
      <c r="Y57">
        <f>X57*VLOOKUP($D57,'LinearReg Model'!$S$2:$T$6,2,FALSE)</f>
        <v>2377.0690459593857</v>
      </c>
      <c r="Z57">
        <f t="shared" si="1"/>
        <v>0.35815163913908038</v>
      </c>
      <c r="AA57">
        <f t="shared" si="2"/>
        <v>0.3738109930673939</v>
      </c>
      <c r="AB57">
        <f t="shared" si="3"/>
        <v>0.10414919071718697</v>
      </c>
      <c r="AC57">
        <v>34.957728681668918</v>
      </c>
      <c r="AD57">
        <v>4.4723269444483442</v>
      </c>
      <c r="AE57" s="2">
        <f>VLOOKUP($D57,'MultiReg Model'!$A$5:$F$9,2,FALSE)+AC57*VLOOKUP($D57,'MultiReg Model'!$A$5:$F$9,3,FALSE)+Z57*VLOOKUP($D57,'MultiReg Model'!$A$5:$F$9,4,FALSE)+AA57*VLOOKUP($D57,'MultiReg Model'!$A$5:$F$9,5,FALSE)+AB57*VLOOKUP($D57,'MultiReg Model'!$A$5:$F$9,6,FALSE)</f>
        <v>9.494604190946724</v>
      </c>
      <c r="AF57" cm="1">
        <f t="array" ref="AF57">MMULT($AG57:$AM57,'Avg CI Index'!$C$2:$C$8)/BI57</f>
        <v>9.504604191610559</v>
      </c>
      <c r="AG57">
        <v>113.04652047400619</v>
      </c>
      <c r="AH57">
        <v>381.76541345241344</v>
      </c>
      <c r="AI57">
        <v>0</v>
      </c>
      <c r="AJ57">
        <v>281.30720853755304</v>
      </c>
      <c r="AK57">
        <v>908.6176408598094</v>
      </c>
      <c r="AL57">
        <v>0</v>
      </c>
      <c r="AM57">
        <v>713.5830769093244</v>
      </c>
      <c r="AN57" cm="1">
        <f t="array" ref="AN57">$Y57*INDEX(RefCapacity!$D$2:$D$526,MATCH(1,(RefCapacity!$A$2:$A$526=RefCapacityProj!$D57)*(RefCapacity!$B$2:$B$526=2019)*(RefCapacity!$C$2:$C$526=AG$1),0))/SUMIFS(RefCapacity!$D$2:$D$526,RefCapacity!$A$2:$A$526,RefCapacityProj!$D57,RefCapacity!$B$2:$B$526,2019)</f>
        <v>14.586642031028276</v>
      </c>
      <c r="AO57" cm="1">
        <f t="array" ref="AO57">$Y57*INDEX(RefCapacity!$D$2:$D$526,MATCH(1,(RefCapacity!$A$2:$A$526=RefCapacityProj!$D57)*(RefCapacity!$B$2:$B$526=2019)*(RefCapacity!$C$2:$C$526=AH$1),0))/SUMIFS(RefCapacity!$D$2:$D$526,RefCapacity!$A$2:$A$526,RefCapacityProj!$D57,RefCapacity!$B$2:$B$526,2019)</f>
        <v>359.34266919585434</v>
      </c>
      <c r="AP57" cm="1">
        <f t="array" ref="AP57">$Y57*INDEX(RefCapacity!$D$2:$D$526,MATCH(1,(RefCapacity!$A$2:$A$526=RefCapacityProj!$D57)*(RefCapacity!$B$2:$B$526=2019)*(RefCapacity!$C$2:$C$526=AI$1),0))/SUMIFS(RefCapacity!$D$2:$D$526,RefCapacity!$A$2:$A$526,RefCapacityProj!$D57,RefCapacity!$B$2:$B$526,2019)</f>
        <v>0</v>
      </c>
      <c r="AQ57" cm="1">
        <f t="array" ref="AQ57">$Y57*INDEX(RefCapacity!$D$2:$D$526,MATCH(1,(RefCapacity!$A$2:$A$526=RefCapacityProj!$D57)*(RefCapacity!$B$2:$B$526=2019)*(RefCapacity!$C$2:$C$526=AJ$1),0))/SUMIFS(RefCapacity!$D$2:$D$526,RefCapacity!$A$2:$A$526,RefCapacityProj!$D57,RefCapacity!$B$2:$B$526,2019)</f>
        <v>302.82534406621443</v>
      </c>
      <c r="AR57" cm="1">
        <f t="array" ref="AR57">$Y57*INDEX(RefCapacity!$D$2:$D$526,MATCH(1,(RefCapacity!$A$2:$A$526=RefCapacityProj!$D57)*(RefCapacity!$B$2:$B$526=2019)*(RefCapacity!$C$2:$C$526=AK$1),0))/SUMIFS(RefCapacity!$D$2:$D$526,RefCapacity!$A$2:$A$526,RefCapacityProj!$D57,RefCapacity!$B$2:$B$526,2019)</f>
        <v>936.36200204503371</v>
      </c>
      <c r="AS57" cm="1">
        <f t="array" ref="AS57">$Y57*INDEX(RefCapacity!$D$2:$D$526,MATCH(1,(RefCapacity!$A$2:$A$526=RefCapacityProj!$D57)*(RefCapacity!$B$2:$B$526=2019)*(RefCapacity!$C$2:$C$526=AL$1),0))/SUMIFS(RefCapacity!$D$2:$D$526,RefCapacity!$A$2:$A$526,RefCapacityProj!$D57,RefCapacity!$B$2:$B$526,2019)</f>
        <v>0</v>
      </c>
      <c r="AT57" cm="1">
        <f t="array" ref="AT57">$Y57*INDEX(RefCapacity!$D$2:$D$526,MATCH(1,(RefCapacity!$A$2:$A$526=RefCapacityProj!$D57)*(RefCapacity!$B$2:$B$526=2019)*(RefCapacity!$C$2:$C$526=AM$1),0))/SUMIFS(RefCapacity!$D$2:$D$526,RefCapacity!$A$2:$A$526,RefCapacityProj!$D57,RefCapacity!$B$2:$B$526,2019)</f>
        <v>763.95238862125484</v>
      </c>
      <c r="AU57" cm="1">
        <f t="array" ref="AU57">INDEX(RefCapacity!$D$2:$D$526,MATCH(1,(RefCapacity!$A$2:$A$526=RefCapacityProj!$D57)*(RefCapacity!$B$2:$B$526=2019)*(RefCapacity!$C$2:$C$526=RefCapacityProj!AG$1),0))*IF($C57=2035,1+VLOOKUP(AG$1,RefCapacity!$H$2:$L$8,2,FALSE),1+VLOOKUP(AG$1,RefCapacity!$H$2:$L$8,4,FALSE))</f>
        <v>113.20628645316671</v>
      </c>
      <c r="AV57" cm="1">
        <f t="array" ref="AV57">INDEX(RefCapacity!$D$2:$D$526,MATCH(1,(RefCapacity!$A$2:$A$526=RefCapacityProj!$D57)*(RefCapacity!$B$2:$B$526=2019)*(RefCapacity!$C$2:$C$526=RefCapacityProj!AH$1),0))*IF($C57=2035,1+VLOOKUP(AH$1,RefCapacity!$H$2:$L$8,2,FALSE),1+VLOOKUP(AH$1,RefCapacity!$H$2:$L$8,4,FALSE))</f>
        <v>1043.8951024062037</v>
      </c>
      <c r="AW57" cm="1">
        <f t="array" ref="AW57">INDEX(RefCapacity!$D$2:$D$526,MATCH(1,(RefCapacity!$A$2:$A$526=RefCapacityProj!$D57)*(RefCapacity!$B$2:$B$526=2019)*(RefCapacity!$C$2:$C$526=RefCapacityProj!AI$1),0))*IF($C57=2035,1+VLOOKUP(AI$1,RefCapacity!$H$2:$L$8,2,FALSE),1+VLOOKUP(AI$1,RefCapacity!$H$2:$L$8,4,FALSE))</f>
        <v>0</v>
      </c>
      <c r="AX57" cm="1">
        <f t="array" ref="AX57">INDEX(RefCapacity!$D$2:$D$526,MATCH(1,(RefCapacity!$A$2:$A$526=RefCapacityProj!$D57)*(RefCapacity!$B$2:$B$526=2019)*(RefCapacity!$C$2:$C$526=RefCapacityProj!AJ$1),0))*IF($C57=2035,1+VLOOKUP(AJ$1,RefCapacity!$H$2:$L$8,2,FALSE),1+VLOOKUP(AJ$1,RefCapacity!$H$2:$L$8,4,FALSE))</f>
        <v>1467.5500000000002</v>
      </c>
      <c r="AY57" cm="1">
        <f t="array" ref="AY57">INDEX(RefCapacity!$D$2:$D$526,MATCH(1,(RefCapacity!$A$2:$A$526=RefCapacityProj!$D57)*(RefCapacity!$B$2:$B$526=2019)*(RefCapacity!$C$2:$C$526=RefCapacityProj!AK$1),0))*IF($C57=2035,1+VLOOKUP(AK$1,RefCapacity!$H$2:$L$8,2,FALSE),1+VLOOKUP(AK$1,RefCapacity!$H$2:$L$8,4,FALSE))</f>
        <v>2378.9594954929953</v>
      </c>
      <c r="AZ57" cm="1">
        <f t="array" ref="AZ57">INDEX(RefCapacity!$D$2:$D$526,MATCH(1,(RefCapacity!$A$2:$A$526=RefCapacityProj!$D57)*(RefCapacity!$B$2:$B$526=2019)*(RefCapacity!$C$2:$C$526=RefCapacityProj!AL$1),0))*IF($C57=2035,1+VLOOKUP(AL$1,RefCapacity!$H$2:$L$8,2,FALSE),1+VLOOKUP(AL$1,RefCapacity!$H$2:$L$8,4,FALSE))</f>
        <v>0</v>
      </c>
      <c r="BA57" cm="1">
        <f t="array" ref="BA57">INDEX(RefCapacity!$D$2:$D$526,MATCH(1,(RefCapacity!$A$2:$A$526=RefCapacityProj!$D57)*(RefCapacity!$B$2:$B$526=2019)*(RefCapacity!$C$2:$C$526=RefCapacityProj!AM$1),0))*IF($C57=2035,1+VLOOKUP(AM$1,RefCapacity!$H$2:$L$8,2,FALSE),1+VLOOKUP(AM$1,RefCapacity!$H$2:$L$8,4,FALSE))</f>
        <v>1411.7035156571721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f t="shared" si="4"/>
        <v>2398.3198602331063</v>
      </c>
      <c r="BJ57">
        <f t="shared" si="5"/>
        <v>21.250814273720607</v>
      </c>
      <c r="BK57">
        <f t="shared" si="6"/>
        <v>1.0000000663834996E-2</v>
      </c>
      <c r="BL57" cm="1">
        <f t="array" ref="BL57">AG57/$BI57*INDEX('GHG Emission'!$C$2:$C$1121,MATCH(1,('GHG Emission'!$D$2:$D$1121=$D57)*('GHG Emission'!$E$2:$E$1121=$C57)*('GHG Emission'!$F$2:$F$1121=$B57)*('GHG Emission'!$I$2:$I$1121=$E57)*('GHG Emission'!$J$2:$J$1121=$F57)*('GHG Emission'!$K$2:$K$1121=AG$1),0))+AH57/$BI57*INDEX('GHG Emission'!$C$2:$C$1121,MATCH(1,('GHG Emission'!$D$2:$D$1121=$D57)*('GHG Emission'!$E$2:$E$1121=$C57)*('GHG Emission'!$F$2:$F$1121=$B57)*('GHG Emission'!$I$2:$I$1121=$E57)*('GHG Emission'!$J$2:$J$1121=$F57)*('GHG Emission'!$K$2:$K$1121=AH$1),0))+AI57/$BI57*INDEX('GHG Emission'!$C$2:$C$1121,MATCH(1,('GHG Emission'!$D$2:$D$1121=$D57)*('GHG Emission'!$E$2:$E$1121=$C57)*('GHG Emission'!$F$2:$F$1121=$B57)*('GHG Emission'!$I$2:$I$1121=$E57)*('GHG Emission'!$J$2:$J$1121=$F57)*('GHG Emission'!$K$2:$K$1121=AI$1),0))+AJ57/$BI57*INDEX('GHG Emission'!$C$2:$C$1121,MATCH(1,('GHG Emission'!$D$2:$D$1121=$D57)*('GHG Emission'!$E$2:$E$1121=$C57)*('GHG Emission'!$F$2:$F$1121=$B57)*('GHG Emission'!$I$2:$I$1121=$E57)*('GHG Emission'!$J$2:$J$1121=$F57)*('GHG Emission'!$K$2:$K$1121=AJ$1),0))+AK57/$BI57*INDEX('GHG Emission'!$C$2:$C$1121,MATCH(1,('GHG Emission'!$D$2:$D$1121=$D57)*('GHG Emission'!$E$2:$E$1121=$C57)*('GHG Emission'!$F$2:$F$1121=$B57)*('GHG Emission'!$I$2:$I$1121=$E57)*('GHG Emission'!$J$2:$J$1121=$F57)*('GHG Emission'!$K$2:$K$1121=AK$1),0))+AL57/$BI57*INDEX('GHG Emission'!$C$2:$C$1121,MATCH(1,('GHG Emission'!$D$2:$D$1121=$D57)*('GHG Emission'!$E$2:$E$1121=$C57)*('GHG Emission'!$F$2:$F$1121=$B57)*('GHG Emission'!$I$2:$I$1121=$E57)*('GHG Emission'!$J$2:$J$1121=$F57)*('GHG Emission'!$K$2:$K$1121=AL$1),0))+AM57/$BI57*INDEX('GHG Emission'!$C$2:$C$1121,MATCH(1,('GHG Emission'!$D$2:$D$1121=$D57)*('GHG Emission'!$E$2:$E$1121=$C57)*('GHG Emission'!$F$2:$F$1121=$B57)*('GHG Emission'!$I$2:$I$1121=$E57)*('GHG Emission'!$J$2:$J$1121=$F57)*('GHG Emission'!$K$2:$K$1121=AM$1),0))</f>
        <v>33.707262421269689</v>
      </c>
      <c r="BM57" t="str">
        <f t="shared" si="7"/>
        <v>LIGHT/SOUR</v>
      </c>
    </row>
    <row r="58" spans="1:65" hidden="1" x14ac:dyDescent="0.25">
      <c r="A58">
        <v>57</v>
      </c>
      <c r="B58" t="s">
        <v>470</v>
      </c>
      <c r="C58">
        <v>2035</v>
      </c>
      <c r="D58">
        <v>3</v>
      </c>
      <c r="E58" t="s">
        <v>466</v>
      </c>
      <c r="F58" t="s">
        <v>467</v>
      </c>
      <c r="G58">
        <v>2201.1081157521826</v>
      </c>
      <c r="H58">
        <v>873.5420138934935</v>
      </c>
      <c r="I58">
        <v>2246.5261036750953</v>
      </c>
      <c r="J58">
        <v>1593.6079888313188</v>
      </c>
      <c r="K58">
        <v>227.03245314490249</v>
      </c>
      <c r="L58">
        <v>42.104798242288538</v>
      </c>
      <c r="M58">
        <v>0</v>
      </c>
      <c r="N58">
        <v>0</v>
      </c>
      <c r="O58">
        <v>0</v>
      </c>
      <c r="P58">
        <v>95.602193859938268</v>
      </c>
      <c r="Q58">
        <v>0</v>
      </c>
      <c r="R58">
        <v>0</v>
      </c>
      <c r="S58">
        <v>0</v>
      </c>
      <c r="T58">
        <v>12.728894991386792</v>
      </c>
      <c r="U58">
        <v>0</v>
      </c>
      <c r="V58">
        <v>0</v>
      </c>
      <c r="W58">
        <v>0</v>
      </c>
      <c r="X58">
        <f t="shared" si="0"/>
        <v>7292.2525623906058</v>
      </c>
      <c r="Y58">
        <f>X58*VLOOKUP($D58,'LinearReg Model'!$S$2:$T$6,2,FALSE)</f>
        <v>7329.1487963058908</v>
      </c>
      <c r="Z58">
        <f t="shared" si="1"/>
        <v>0.30184200244301429</v>
      </c>
      <c r="AA58">
        <f t="shared" si="2"/>
        <v>0.30807025462357557</v>
      </c>
      <c r="AB58">
        <f t="shared" si="3"/>
        <v>0.11979042228991611</v>
      </c>
      <c r="AC58">
        <v>30.30214176476078</v>
      </c>
      <c r="AD58">
        <v>1.0500146884775321</v>
      </c>
      <c r="AE58" s="2">
        <f>VLOOKUP($D58,'MultiReg Model'!$A$5:$F$9,2,FALSE)+AC58*VLOOKUP($D58,'MultiReg Model'!$A$5:$F$9,3,FALSE)+Z58*VLOOKUP($D58,'MultiReg Model'!$A$5:$F$9,4,FALSE)+AA58*VLOOKUP($D58,'MultiReg Model'!$A$5:$F$9,5,FALSE)+AB58*VLOOKUP($D58,'MultiReg Model'!$A$5:$F$9,6,FALSE)</f>
        <v>9.4777460127523945</v>
      </c>
      <c r="AF58" cm="1">
        <f t="array" ref="AF58">MMULT($AG58:$AM58,'Avg CI Index'!$C$2:$C$8)/BI58</f>
        <v>9.4877460170210171</v>
      </c>
      <c r="AG58">
        <v>693.95987825600753</v>
      </c>
      <c r="AH58">
        <v>594.43793904012409</v>
      </c>
      <c r="AI58">
        <v>305.84893220391581</v>
      </c>
      <c r="AJ58">
        <v>635.15926508702057</v>
      </c>
      <c r="AK58">
        <v>1400.5100847948934</v>
      </c>
      <c r="AL58">
        <v>9.7498775429940253E-3</v>
      </c>
      <c r="AM58">
        <v>3768.1880587687106</v>
      </c>
      <c r="AN58" cm="1">
        <f t="array" ref="AN58">$Y58*INDEX(RefCapacity!$D$2:$D$526,MATCH(1,(RefCapacity!$A$2:$A$526=RefCapacityProj!$D58)*(RefCapacity!$B$2:$B$526=2019)*(RefCapacity!$C$2:$C$526=AG$1),0))/SUMIFS(RefCapacity!$D$2:$D$526,RefCapacity!$A$2:$A$526,RefCapacityProj!$D58,RefCapacity!$B$2:$B$526,2019)</f>
        <v>222.69542299185034</v>
      </c>
      <c r="AO58" cm="1">
        <f t="array" ref="AO58">$Y58*INDEX(RefCapacity!$D$2:$D$526,MATCH(1,(RefCapacity!$A$2:$A$526=RefCapacityProj!$D58)*(RefCapacity!$B$2:$B$526=2019)*(RefCapacity!$C$2:$C$526=AH$1),0))/SUMIFS(RefCapacity!$D$2:$D$526,RefCapacity!$A$2:$A$526,RefCapacityProj!$D58,RefCapacity!$B$2:$B$526,2019)</f>
        <v>517.46424943311717</v>
      </c>
      <c r="AP58" cm="1">
        <f t="array" ref="AP58">$Y58*INDEX(RefCapacity!$D$2:$D$526,MATCH(1,(RefCapacity!$A$2:$A$526=RefCapacityProj!$D58)*(RefCapacity!$B$2:$B$526=2019)*(RefCapacity!$C$2:$C$526=AI$1),0))/SUMIFS(RefCapacity!$D$2:$D$526,RefCapacity!$A$2:$A$526,RefCapacityProj!$D58,RefCapacity!$B$2:$B$526,2019)</f>
        <v>222.47507022709135</v>
      </c>
      <c r="AQ58" cm="1">
        <f t="array" ref="AQ58">$Y58*INDEX(RefCapacity!$D$2:$D$526,MATCH(1,(RefCapacity!$A$2:$A$526=RefCapacityProj!$D58)*(RefCapacity!$B$2:$B$526=2019)*(RefCapacity!$C$2:$C$526=AJ$1),0))/SUMIFS(RefCapacity!$D$2:$D$526,RefCapacity!$A$2:$A$526,RefCapacityProj!$D58,RefCapacity!$B$2:$B$526,2019)</f>
        <v>759.59659121403388</v>
      </c>
      <c r="AR58" cm="1">
        <f t="array" ref="AR58">$Y58*INDEX(RefCapacity!$D$2:$D$526,MATCH(1,(RefCapacity!$A$2:$A$526=RefCapacityProj!$D58)*(RefCapacity!$B$2:$B$526=2019)*(RefCapacity!$C$2:$C$526=AK$1),0))/SUMIFS(RefCapacity!$D$2:$D$526,RefCapacity!$A$2:$A$526,RefCapacityProj!$D58,RefCapacity!$B$2:$B$526,2019)</f>
        <v>1553.4569092622664</v>
      </c>
      <c r="AS58" cm="1">
        <f t="array" ref="AS58">$Y58*INDEX(RefCapacity!$D$2:$D$526,MATCH(1,(RefCapacity!$A$2:$A$526=RefCapacityProj!$D58)*(RefCapacity!$B$2:$B$526=2019)*(RefCapacity!$C$2:$C$526=AL$1),0))/SUMIFS(RefCapacity!$D$2:$D$526,RefCapacity!$A$2:$A$526,RefCapacityProj!$D58,RefCapacity!$B$2:$B$526,2019)</f>
        <v>28.5781742690857</v>
      </c>
      <c r="AT58" cm="1">
        <f t="array" ref="AT58">$Y58*INDEX(RefCapacity!$D$2:$D$526,MATCH(1,(RefCapacity!$A$2:$A$526=RefCapacityProj!$D58)*(RefCapacity!$B$2:$B$526=2019)*(RefCapacity!$C$2:$C$526=AM$1),0))/SUMIFS(RefCapacity!$D$2:$D$526,RefCapacity!$A$2:$A$526,RefCapacityProj!$D58,RefCapacity!$B$2:$B$526,2019)</f>
        <v>4024.8823789084454</v>
      </c>
      <c r="AU58" cm="1">
        <f t="array" ref="AU58">INDEX(RefCapacity!$D$2:$D$526,MATCH(1,(RefCapacity!$A$2:$A$526=RefCapacityProj!$D58)*(RefCapacity!$B$2:$B$526=2019)*(RefCapacity!$C$2:$C$526=RefCapacityProj!AG$1),0))*IF($C58=2035,1+VLOOKUP(AG$1,RefCapacity!$H$2:$L$8,2,FALSE),1+VLOOKUP(AG$1,RefCapacity!$H$2:$L$8,4,FALSE))</f>
        <v>818.90159671962101</v>
      </c>
      <c r="AV58" cm="1">
        <f t="array" ref="AV58">INDEX(RefCapacity!$D$2:$D$526,MATCH(1,(RefCapacity!$A$2:$A$526=RefCapacityProj!$D58)*(RefCapacity!$B$2:$B$526=2019)*(RefCapacity!$C$2:$C$526=RefCapacityProj!AH$1),0))*IF($C58=2035,1+VLOOKUP(AH$1,RefCapacity!$H$2:$L$8,2,FALSE),1+VLOOKUP(AH$1,RefCapacity!$H$2:$L$8,4,FALSE))</f>
        <v>927.50919366992355</v>
      </c>
      <c r="AW58" cm="1">
        <f t="array" ref="AW58">INDEX(RefCapacity!$D$2:$D$526,MATCH(1,(RefCapacity!$A$2:$A$526=RefCapacityProj!$D58)*(RefCapacity!$B$2:$B$526=2019)*(RefCapacity!$C$2:$C$526=RefCapacityProj!AI$1),0))*IF($C58=2035,1+VLOOKUP(AI$1,RefCapacity!$H$2:$L$8,2,FALSE),1+VLOOKUP(AI$1,RefCapacity!$H$2:$L$8,4,FALSE))</f>
        <v>305.85558861538459</v>
      </c>
      <c r="AX58" cm="1">
        <f t="array" ref="AX58">INDEX(RefCapacity!$D$2:$D$526,MATCH(1,(RefCapacity!$A$2:$A$526=RefCapacityProj!$D58)*(RefCapacity!$B$2:$B$526=2019)*(RefCapacity!$C$2:$C$526=RefCapacityProj!AJ$1),0))*IF($C58=2035,1+VLOOKUP(AJ$1,RefCapacity!$H$2:$L$8,2,FALSE),1+VLOOKUP(AJ$1,RefCapacity!$H$2:$L$8,4,FALSE))</f>
        <v>1933.836664979757</v>
      </c>
      <c r="AY58" cm="1">
        <f t="array" ref="AY58">INDEX(RefCapacity!$D$2:$D$526,MATCH(1,(RefCapacity!$A$2:$A$526=RefCapacityProj!$D58)*(RefCapacity!$B$2:$B$526=2019)*(RefCapacity!$C$2:$C$526=RefCapacityProj!AK$1),0))*IF($C58=2035,1+VLOOKUP(AK$1,RefCapacity!$H$2:$L$8,2,FALSE),1+VLOOKUP(AK$1,RefCapacity!$H$2:$L$8,4,FALSE))</f>
        <v>2564.7302317013236</v>
      </c>
      <c r="AZ58" cm="1">
        <f t="array" ref="AZ58">INDEX(RefCapacity!$D$2:$D$526,MATCH(1,(RefCapacity!$A$2:$A$526=RefCapacityProj!$D58)*(RefCapacity!$B$2:$B$526=2019)*(RefCapacity!$C$2:$C$526=RefCapacityProj!AL$1),0))*IF($C58=2035,1+VLOOKUP(AL$1,RefCapacity!$H$2:$L$8,2,FALSE),1+VLOOKUP(AL$1,RefCapacity!$H$2:$L$8,4,FALSE))</f>
        <v>53.6302514614692</v>
      </c>
      <c r="BA58" cm="1">
        <f t="array" ref="BA58">INDEX(RefCapacity!$D$2:$D$526,MATCH(1,(RefCapacity!$A$2:$A$526=RefCapacityProj!$D58)*(RefCapacity!$B$2:$B$526=2019)*(RefCapacity!$C$2:$C$526=RefCapacityProj!AM$1),0))*IF($C58=2035,1+VLOOKUP(AM$1,RefCapacity!$H$2:$L$8,2,FALSE),1+VLOOKUP(AM$1,RefCapacity!$H$2:$L$8,4,FALSE))</f>
        <v>5562.7734410987441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f t="shared" si="4"/>
        <v>7398.1139080282155</v>
      </c>
      <c r="BJ58">
        <f t="shared" si="5"/>
        <v>68.965111722324764</v>
      </c>
      <c r="BK58">
        <f t="shared" si="6"/>
        <v>1.0000004268622575E-2</v>
      </c>
      <c r="BL58" cm="1">
        <f t="array" ref="BL58">AG58/$BI58*INDEX('GHG Emission'!$C$2:$C$1121,MATCH(1,('GHG Emission'!$D$2:$D$1121=$D58)*('GHG Emission'!$E$2:$E$1121=$C58)*('GHG Emission'!$F$2:$F$1121=$B58)*('GHG Emission'!$I$2:$I$1121=$E58)*('GHG Emission'!$J$2:$J$1121=$F58)*('GHG Emission'!$K$2:$K$1121=AG$1),0))+AH58/$BI58*INDEX('GHG Emission'!$C$2:$C$1121,MATCH(1,('GHG Emission'!$D$2:$D$1121=$D58)*('GHG Emission'!$E$2:$E$1121=$C58)*('GHG Emission'!$F$2:$F$1121=$B58)*('GHG Emission'!$I$2:$I$1121=$E58)*('GHG Emission'!$J$2:$J$1121=$F58)*('GHG Emission'!$K$2:$K$1121=AH$1),0))+AI58/$BI58*INDEX('GHG Emission'!$C$2:$C$1121,MATCH(1,('GHG Emission'!$D$2:$D$1121=$D58)*('GHG Emission'!$E$2:$E$1121=$C58)*('GHG Emission'!$F$2:$F$1121=$B58)*('GHG Emission'!$I$2:$I$1121=$E58)*('GHG Emission'!$J$2:$J$1121=$F58)*('GHG Emission'!$K$2:$K$1121=AI$1),0))+AJ58/$BI58*INDEX('GHG Emission'!$C$2:$C$1121,MATCH(1,('GHG Emission'!$D$2:$D$1121=$D58)*('GHG Emission'!$E$2:$E$1121=$C58)*('GHG Emission'!$F$2:$F$1121=$B58)*('GHG Emission'!$I$2:$I$1121=$E58)*('GHG Emission'!$J$2:$J$1121=$F58)*('GHG Emission'!$K$2:$K$1121=AJ$1),0))+AK58/$BI58*INDEX('GHG Emission'!$C$2:$C$1121,MATCH(1,('GHG Emission'!$D$2:$D$1121=$D58)*('GHG Emission'!$E$2:$E$1121=$C58)*('GHG Emission'!$F$2:$F$1121=$B58)*('GHG Emission'!$I$2:$I$1121=$E58)*('GHG Emission'!$J$2:$J$1121=$F58)*('GHG Emission'!$K$2:$K$1121=AK$1),0))+AL58/$BI58*INDEX('GHG Emission'!$C$2:$C$1121,MATCH(1,('GHG Emission'!$D$2:$D$1121=$D58)*('GHG Emission'!$E$2:$E$1121=$C58)*('GHG Emission'!$F$2:$F$1121=$B58)*('GHG Emission'!$I$2:$I$1121=$E58)*('GHG Emission'!$J$2:$J$1121=$F58)*('GHG Emission'!$K$2:$K$1121=AL$1),0))+AM58/$BI58*INDEX('GHG Emission'!$C$2:$C$1121,MATCH(1,('GHG Emission'!$D$2:$D$1121=$D58)*('GHG Emission'!$E$2:$E$1121=$C58)*('GHG Emission'!$F$2:$F$1121=$B58)*('GHG Emission'!$I$2:$I$1121=$E58)*('GHG Emission'!$J$2:$J$1121=$F58)*('GHG Emission'!$K$2:$K$1121=AM$1),0))</f>
        <v>36.694919712181999</v>
      </c>
      <c r="BM58" t="str">
        <f t="shared" si="7"/>
        <v>HEAVY/SWEET</v>
      </c>
    </row>
    <row r="59" spans="1:65" hidden="1" x14ac:dyDescent="0.25">
      <c r="A59">
        <v>58</v>
      </c>
      <c r="B59" t="s">
        <v>470</v>
      </c>
      <c r="C59">
        <v>2035</v>
      </c>
      <c r="D59">
        <v>3</v>
      </c>
      <c r="E59" t="s">
        <v>466</v>
      </c>
      <c r="F59" t="s">
        <v>468</v>
      </c>
      <c r="G59">
        <v>2201.1081157521826</v>
      </c>
      <c r="H59">
        <v>873.5420138934935</v>
      </c>
      <c r="I59">
        <v>2246.5261036750953</v>
      </c>
      <c r="J59">
        <v>1593.6079888313188</v>
      </c>
      <c r="K59">
        <v>227.03245314490249</v>
      </c>
      <c r="L59">
        <v>42.104798242288538</v>
      </c>
      <c r="M59">
        <v>0</v>
      </c>
      <c r="N59">
        <v>0</v>
      </c>
      <c r="O59">
        <v>0</v>
      </c>
      <c r="P59">
        <v>95.602193859938268</v>
      </c>
      <c r="Q59">
        <v>0</v>
      </c>
      <c r="R59">
        <v>0</v>
      </c>
      <c r="S59">
        <v>0</v>
      </c>
      <c r="T59">
        <v>12.728894991386792</v>
      </c>
      <c r="U59">
        <v>0</v>
      </c>
      <c r="V59">
        <v>0</v>
      </c>
      <c r="W59">
        <v>0</v>
      </c>
      <c r="X59">
        <f t="shared" si="0"/>
        <v>7292.2525623906058</v>
      </c>
      <c r="Y59">
        <f>X59*VLOOKUP($D59,'LinearReg Model'!$S$2:$T$6,2,FALSE)</f>
        <v>7329.1487963058908</v>
      </c>
      <c r="Z59">
        <f t="shared" si="1"/>
        <v>0.30184200244301429</v>
      </c>
      <c r="AA59">
        <f t="shared" si="2"/>
        <v>0.30807025462357557</v>
      </c>
      <c r="AB59">
        <f t="shared" si="3"/>
        <v>0.11979042228991611</v>
      </c>
      <c r="AC59">
        <v>30.30214176476078</v>
      </c>
      <c r="AD59">
        <v>1.975455919496689</v>
      </c>
      <c r="AE59" s="2">
        <f>VLOOKUP($D59,'MultiReg Model'!$A$5:$F$9,2,FALSE)+AC59*VLOOKUP($D59,'MultiReg Model'!$A$5:$F$9,3,FALSE)+Z59*VLOOKUP($D59,'MultiReg Model'!$A$5:$F$9,4,FALSE)+AA59*VLOOKUP($D59,'MultiReg Model'!$A$5:$F$9,5,FALSE)+AB59*VLOOKUP($D59,'MultiReg Model'!$A$5:$F$9,6,FALSE)</f>
        <v>9.4777460127523945</v>
      </c>
      <c r="AF59" cm="1">
        <f t="array" ref="AF59">MMULT($AG59:$AM59,'Avg CI Index'!$C$2:$C$8)/BI59</f>
        <v>9.4877460170210171</v>
      </c>
      <c r="AG59">
        <v>693.95987825600753</v>
      </c>
      <c r="AH59">
        <v>594.43793904012409</v>
      </c>
      <c r="AI59">
        <v>305.84893220391581</v>
      </c>
      <c r="AJ59">
        <v>635.15926508702057</v>
      </c>
      <c r="AK59">
        <v>1400.5100847948934</v>
      </c>
      <c r="AL59">
        <v>9.7498775429940253E-3</v>
      </c>
      <c r="AM59">
        <v>3768.1880587687106</v>
      </c>
      <c r="AN59" cm="1">
        <f t="array" ref="AN59">$Y59*INDEX(RefCapacity!$D$2:$D$526,MATCH(1,(RefCapacity!$A$2:$A$526=RefCapacityProj!$D59)*(RefCapacity!$B$2:$B$526=2019)*(RefCapacity!$C$2:$C$526=AG$1),0))/SUMIFS(RefCapacity!$D$2:$D$526,RefCapacity!$A$2:$A$526,RefCapacityProj!$D59,RefCapacity!$B$2:$B$526,2019)</f>
        <v>222.69542299185034</v>
      </c>
      <c r="AO59" cm="1">
        <f t="array" ref="AO59">$Y59*INDEX(RefCapacity!$D$2:$D$526,MATCH(1,(RefCapacity!$A$2:$A$526=RefCapacityProj!$D59)*(RefCapacity!$B$2:$B$526=2019)*(RefCapacity!$C$2:$C$526=AH$1),0))/SUMIFS(RefCapacity!$D$2:$D$526,RefCapacity!$A$2:$A$526,RefCapacityProj!$D59,RefCapacity!$B$2:$B$526,2019)</f>
        <v>517.46424943311717</v>
      </c>
      <c r="AP59" cm="1">
        <f t="array" ref="AP59">$Y59*INDEX(RefCapacity!$D$2:$D$526,MATCH(1,(RefCapacity!$A$2:$A$526=RefCapacityProj!$D59)*(RefCapacity!$B$2:$B$526=2019)*(RefCapacity!$C$2:$C$526=AI$1),0))/SUMIFS(RefCapacity!$D$2:$D$526,RefCapacity!$A$2:$A$526,RefCapacityProj!$D59,RefCapacity!$B$2:$B$526,2019)</f>
        <v>222.47507022709135</v>
      </c>
      <c r="AQ59" cm="1">
        <f t="array" ref="AQ59">$Y59*INDEX(RefCapacity!$D$2:$D$526,MATCH(1,(RefCapacity!$A$2:$A$526=RefCapacityProj!$D59)*(RefCapacity!$B$2:$B$526=2019)*(RefCapacity!$C$2:$C$526=AJ$1),0))/SUMIFS(RefCapacity!$D$2:$D$526,RefCapacity!$A$2:$A$526,RefCapacityProj!$D59,RefCapacity!$B$2:$B$526,2019)</f>
        <v>759.59659121403388</v>
      </c>
      <c r="AR59" cm="1">
        <f t="array" ref="AR59">$Y59*INDEX(RefCapacity!$D$2:$D$526,MATCH(1,(RefCapacity!$A$2:$A$526=RefCapacityProj!$D59)*(RefCapacity!$B$2:$B$526=2019)*(RefCapacity!$C$2:$C$526=AK$1),0))/SUMIFS(RefCapacity!$D$2:$D$526,RefCapacity!$A$2:$A$526,RefCapacityProj!$D59,RefCapacity!$B$2:$B$526,2019)</f>
        <v>1553.4569092622664</v>
      </c>
      <c r="AS59" cm="1">
        <f t="array" ref="AS59">$Y59*INDEX(RefCapacity!$D$2:$D$526,MATCH(1,(RefCapacity!$A$2:$A$526=RefCapacityProj!$D59)*(RefCapacity!$B$2:$B$526=2019)*(RefCapacity!$C$2:$C$526=AL$1),0))/SUMIFS(RefCapacity!$D$2:$D$526,RefCapacity!$A$2:$A$526,RefCapacityProj!$D59,RefCapacity!$B$2:$B$526,2019)</f>
        <v>28.5781742690857</v>
      </c>
      <c r="AT59" cm="1">
        <f t="array" ref="AT59">$Y59*INDEX(RefCapacity!$D$2:$D$526,MATCH(1,(RefCapacity!$A$2:$A$526=RefCapacityProj!$D59)*(RefCapacity!$B$2:$B$526=2019)*(RefCapacity!$C$2:$C$526=AM$1),0))/SUMIFS(RefCapacity!$D$2:$D$526,RefCapacity!$A$2:$A$526,RefCapacityProj!$D59,RefCapacity!$B$2:$B$526,2019)</f>
        <v>4024.8823789084454</v>
      </c>
      <c r="AU59" cm="1">
        <f t="array" ref="AU59">INDEX(RefCapacity!$D$2:$D$526,MATCH(1,(RefCapacity!$A$2:$A$526=RefCapacityProj!$D59)*(RefCapacity!$B$2:$B$526=2019)*(RefCapacity!$C$2:$C$526=RefCapacityProj!AG$1),0))*IF($C59=2035,1+VLOOKUP(AG$1,RefCapacity!$H$2:$L$8,2,FALSE),1+VLOOKUP(AG$1,RefCapacity!$H$2:$L$8,4,FALSE))</f>
        <v>818.90159671962101</v>
      </c>
      <c r="AV59" cm="1">
        <f t="array" ref="AV59">INDEX(RefCapacity!$D$2:$D$526,MATCH(1,(RefCapacity!$A$2:$A$526=RefCapacityProj!$D59)*(RefCapacity!$B$2:$B$526=2019)*(RefCapacity!$C$2:$C$526=RefCapacityProj!AH$1),0))*IF($C59=2035,1+VLOOKUP(AH$1,RefCapacity!$H$2:$L$8,2,FALSE),1+VLOOKUP(AH$1,RefCapacity!$H$2:$L$8,4,FALSE))</f>
        <v>927.50919366992355</v>
      </c>
      <c r="AW59" cm="1">
        <f t="array" ref="AW59">INDEX(RefCapacity!$D$2:$D$526,MATCH(1,(RefCapacity!$A$2:$A$526=RefCapacityProj!$D59)*(RefCapacity!$B$2:$B$526=2019)*(RefCapacity!$C$2:$C$526=RefCapacityProj!AI$1),0))*IF($C59=2035,1+VLOOKUP(AI$1,RefCapacity!$H$2:$L$8,2,FALSE),1+VLOOKUP(AI$1,RefCapacity!$H$2:$L$8,4,FALSE))</f>
        <v>305.85558861538459</v>
      </c>
      <c r="AX59" cm="1">
        <f t="array" ref="AX59">INDEX(RefCapacity!$D$2:$D$526,MATCH(1,(RefCapacity!$A$2:$A$526=RefCapacityProj!$D59)*(RefCapacity!$B$2:$B$526=2019)*(RefCapacity!$C$2:$C$526=RefCapacityProj!AJ$1),0))*IF($C59=2035,1+VLOOKUP(AJ$1,RefCapacity!$H$2:$L$8,2,FALSE),1+VLOOKUP(AJ$1,RefCapacity!$H$2:$L$8,4,FALSE))</f>
        <v>1933.836664979757</v>
      </c>
      <c r="AY59" cm="1">
        <f t="array" ref="AY59">INDEX(RefCapacity!$D$2:$D$526,MATCH(1,(RefCapacity!$A$2:$A$526=RefCapacityProj!$D59)*(RefCapacity!$B$2:$B$526=2019)*(RefCapacity!$C$2:$C$526=RefCapacityProj!AK$1),0))*IF($C59=2035,1+VLOOKUP(AK$1,RefCapacity!$H$2:$L$8,2,FALSE),1+VLOOKUP(AK$1,RefCapacity!$H$2:$L$8,4,FALSE))</f>
        <v>2564.7302317013236</v>
      </c>
      <c r="AZ59" cm="1">
        <f t="array" ref="AZ59">INDEX(RefCapacity!$D$2:$D$526,MATCH(1,(RefCapacity!$A$2:$A$526=RefCapacityProj!$D59)*(RefCapacity!$B$2:$B$526=2019)*(RefCapacity!$C$2:$C$526=RefCapacityProj!AL$1),0))*IF($C59=2035,1+VLOOKUP(AL$1,RefCapacity!$H$2:$L$8,2,FALSE),1+VLOOKUP(AL$1,RefCapacity!$H$2:$L$8,4,FALSE))</f>
        <v>53.6302514614692</v>
      </c>
      <c r="BA59" cm="1">
        <f t="array" ref="BA59">INDEX(RefCapacity!$D$2:$D$526,MATCH(1,(RefCapacity!$A$2:$A$526=RefCapacityProj!$D59)*(RefCapacity!$B$2:$B$526=2019)*(RefCapacity!$C$2:$C$526=RefCapacityProj!AM$1),0))*IF($C59=2035,1+VLOOKUP(AM$1,RefCapacity!$H$2:$L$8,2,FALSE),1+VLOOKUP(AM$1,RefCapacity!$H$2:$L$8,4,FALSE))</f>
        <v>5562.7734410987441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f t="shared" si="4"/>
        <v>7398.1139080282155</v>
      </c>
      <c r="BJ59">
        <f t="shared" si="5"/>
        <v>68.965111722324764</v>
      </c>
      <c r="BK59">
        <f t="shared" si="6"/>
        <v>1.0000004268622575E-2</v>
      </c>
      <c r="BL59" cm="1">
        <f t="array" ref="BL59">AG59/$BI59*INDEX('GHG Emission'!$C$2:$C$1121,MATCH(1,('GHG Emission'!$D$2:$D$1121=$D59)*('GHG Emission'!$E$2:$E$1121=$C59)*('GHG Emission'!$F$2:$F$1121=$B59)*('GHG Emission'!$I$2:$I$1121=$E59)*('GHG Emission'!$J$2:$J$1121=$F59)*('GHG Emission'!$K$2:$K$1121=AG$1),0))+AH59/$BI59*INDEX('GHG Emission'!$C$2:$C$1121,MATCH(1,('GHG Emission'!$D$2:$D$1121=$D59)*('GHG Emission'!$E$2:$E$1121=$C59)*('GHG Emission'!$F$2:$F$1121=$B59)*('GHG Emission'!$I$2:$I$1121=$E59)*('GHG Emission'!$J$2:$J$1121=$F59)*('GHG Emission'!$K$2:$K$1121=AH$1),0))+AI59/$BI59*INDEX('GHG Emission'!$C$2:$C$1121,MATCH(1,('GHG Emission'!$D$2:$D$1121=$D59)*('GHG Emission'!$E$2:$E$1121=$C59)*('GHG Emission'!$F$2:$F$1121=$B59)*('GHG Emission'!$I$2:$I$1121=$E59)*('GHG Emission'!$J$2:$J$1121=$F59)*('GHG Emission'!$K$2:$K$1121=AI$1),0))+AJ59/$BI59*INDEX('GHG Emission'!$C$2:$C$1121,MATCH(1,('GHG Emission'!$D$2:$D$1121=$D59)*('GHG Emission'!$E$2:$E$1121=$C59)*('GHG Emission'!$F$2:$F$1121=$B59)*('GHG Emission'!$I$2:$I$1121=$E59)*('GHG Emission'!$J$2:$J$1121=$F59)*('GHG Emission'!$K$2:$K$1121=AJ$1),0))+AK59/$BI59*INDEX('GHG Emission'!$C$2:$C$1121,MATCH(1,('GHG Emission'!$D$2:$D$1121=$D59)*('GHG Emission'!$E$2:$E$1121=$C59)*('GHG Emission'!$F$2:$F$1121=$B59)*('GHG Emission'!$I$2:$I$1121=$E59)*('GHG Emission'!$J$2:$J$1121=$F59)*('GHG Emission'!$K$2:$K$1121=AK$1),0))+AL59/$BI59*INDEX('GHG Emission'!$C$2:$C$1121,MATCH(1,('GHG Emission'!$D$2:$D$1121=$D59)*('GHG Emission'!$E$2:$E$1121=$C59)*('GHG Emission'!$F$2:$F$1121=$B59)*('GHG Emission'!$I$2:$I$1121=$E59)*('GHG Emission'!$J$2:$J$1121=$F59)*('GHG Emission'!$K$2:$K$1121=AL$1),0))+AM59/$BI59*INDEX('GHG Emission'!$C$2:$C$1121,MATCH(1,('GHG Emission'!$D$2:$D$1121=$D59)*('GHG Emission'!$E$2:$E$1121=$C59)*('GHG Emission'!$F$2:$F$1121=$B59)*('GHG Emission'!$I$2:$I$1121=$E59)*('GHG Emission'!$J$2:$J$1121=$F59)*('GHG Emission'!$K$2:$K$1121=AM$1),0))</f>
        <v>38.030367834888594</v>
      </c>
      <c r="BM59" t="str">
        <f t="shared" si="7"/>
        <v>HEAVY/SOUR</v>
      </c>
    </row>
    <row r="60" spans="1:65" hidden="1" x14ac:dyDescent="0.25">
      <c r="A60">
        <v>59</v>
      </c>
      <c r="B60" t="s">
        <v>470</v>
      </c>
      <c r="C60">
        <v>2035</v>
      </c>
      <c r="D60">
        <v>3</v>
      </c>
      <c r="E60" t="s">
        <v>469</v>
      </c>
      <c r="F60" t="s">
        <v>467</v>
      </c>
      <c r="G60">
        <v>2201.1081157521826</v>
      </c>
      <c r="H60">
        <v>873.5420138934935</v>
      </c>
      <c r="I60">
        <v>2246.5261036750953</v>
      </c>
      <c r="J60">
        <v>1593.6079888313188</v>
      </c>
      <c r="K60">
        <v>227.03245314490249</v>
      </c>
      <c r="L60">
        <v>42.104798242288538</v>
      </c>
      <c r="M60">
        <v>0</v>
      </c>
      <c r="N60">
        <v>0</v>
      </c>
      <c r="O60">
        <v>0</v>
      </c>
      <c r="P60">
        <v>95.602193859938268</v>
      </c>
      <c r="Q60">
        <v>0</v>
      </c>
      <c r="R60">
        <v>0</v>
      </c>
      <c r="S60">
        <v>0</v>
      </c>
      <c r="T60">
        <v>12.728894991386792</v>
      </c>
      <c r="U60">
        <v>0</v>
      </c>
      <c r="V60">
        <v>0</v>
      </c>
      <c r="W60">
        <v>0</v>
      </c>
      <c r="X60">
        <f t="shared" si="0"/>
        <v>7292.2525623906058</v>
      </c>
      <c r="Y60">
        <f>X60*VLOOKUP($D60,'LinearReg Model'!$S$2:$T$6,2,FALSE)</f>
        <v>7329.1487963058908</v>
      </c>
      <c r="Z60">
        <f t="shared" si="1"/>
        <v>0.30184200244301429</v>
      </c>
      <c r="AA60">
        <f t="shared" si="2"/>
        <v>0.30807025462357557</v>
      </c>
      <c r="AB60">
        <f t="shared" si="3"/>
        <v>0.11979042228991611</v>
      </c>
      <c r="AC60">
        <v>36.614652924665549</v>
      </c>
      <c r="AD60">
        <v>1.0500146884775321</v>
      </c>
      <c r="AE60" s="2">
        <f>VLOOKUP($D60,'MultiReg Model'!$A$5:$F$9,2,FALSE)+AC60*VLOOKUP($D60,'MultiReg Model'!$A$5:$F$9,3,FALSE)+Z60*VLOOKUP($D60,'MultiReg Model'!$A$5:$F$9,4,FALSE)+AA60*VLOOKUP($D60,'MultiReg Model'!$A$5:$F$9,5,FALSE)+AB60*VLOOKUP($D60,'MultiReg Model'!$A$5:$F$9,6,FALSE)</f>
        <v>9.0152091026837855</v>
      </c>
      <c r="AF60" cm="1">
        <f t="array" ref="AF60">MMULT($AG60:$AM60,'Avg CI Index'!$C$2:$C$8)/BI60</f>
        <v>9.0252091116691524</v>
      </c>
      <c r="AG60">
        <v>818.90118910197498</v>
      </c>
      <c r="AH60" s="6">
        <v>927.50795751294345</v>
      </c>
      <c r="AI60">
        <v>305.85497689399369</v>
      </c>
      <c r="AJ60" s="6">
        <v>1042.4465049574546</v>
      </c>
      <c r="AK60">
        <v>1475.1651664718361</v>
      </c>
      <c r="AL60">
        <v>53.628397637799566</v>
      </c>
      <c r="AM60">
        <v>2632.3560463105177</v>
      </c>
      <c r="AN60" cm="1">
        <f t="array" ref="AN60">$Y60*INDEX(RefCapacity!$D$2:$D$526,MATCH(1,(RefCapacity!$A$2:$A$526=RefCapacityProj!$D60)*(RefCapacity!$B$2:$B$526=2019)*(RefCapacity!$C$2:$C$526=AG$1),0))/SUMIFS(RefCapacity!$D$2:$D$526,RefCapacity!$A$2:$A$526,RefCapacityProj!$D60,RefCapacity!$B$2:$B$526,2019)</f>
        <v>222.69542299185034</v>
      </c>
      <c r="AO60" cm="1">
        <f t="array" ref="AO60">$Y60*INDEX(RefCapacity!$D$2:$D$526,MATCH(1,(RefCapacity!$A$2:$A$526=RefCapacityProj!$D60)*(RefCapacity!$B$2:$B$526=2019)*(RefCapacity!$C$2:$C$526=AH$1),0))/SUMIFS(RefCapacity!$D$2:$D$526,RefCapacity!$A$2:$A$526,RefCapacityProj!$D60,RefCapacity!$B$2:$B$526,2019)</f>
        <v>517.46424943311717</v>
      </c>
      <c r="AP60" cm="1">
        <f t="array" ref="AP60">$Y60*INDEX(RefCapacity!$D$2:$D$526,MATCH(1,(RefCapacity!$A$2:$A$526=RefCapacityProj!$D60)*(RefCapacity!$B$2:$B$526=2019)*(RefCapacity!$C$2:$C$526=AI$1),0))/SUMIFS(RefCapacity!$D$2:$D$526,RefCapacity!$A$2:$A$526,RefCapacityProj!$D60,RefCapacity!$B$2:$B$526,2019)</f>
        <v>222.47507022709135</v>
      </c>
      <c r="AQ60" cm="1">
        <f t="array" ref="AQ60">$Y60*INDEX(RefCapacity!$D$2:$D$526,MATCH(1,(RefCapacity!$A$2:$A$526=RefCapacityProj!$D60)*(RefCapacity!$B$2:$B$526=2019)*(RefCapacity!$C$2:$C$526=AJ$1),0))/SUMIFS(RefCapacity!$D$2:$D$526,RefCapacity!$A$2:$A$526,RefCapacityProj!$D60,RefCapacity!$B$2:$B$526,2019)</f>
        <v>759.59659121403388</v>
      </c>
      <c r="AR60" cm="1">
        <f t="array" ref="AR60">$Y60*INDEX(RefCapacity!$D$2:$D$526,MATCH(1,(RefCapacity!$A$2:$A$526=RefCapacityProj!$D60)*(RefCapacity!$B$2:$B$526=2019)*(RefCapacity!$C$2:$C$526=AK$1),0))/SUMIFS(RefCapacity!$D$2:$D$526,RefCapacity!$A$2:$A$526,RefCapacityProj!$D60,RefCapacity!$B$2:$B$526,2019)</f>
        <v>1553.4569092622664</v>
      </c>
      <c r="AS60" cm="1">
        <f t="array" ref="AS60">$Y60*INDEX(RefCapacity!$D$2:$D$526,MATCH(1,(RefCapacity!$A$2:$A$526=RefCapacityProj!$D60)*(RefCapacity!$B$2:$B$526=2019)*(RefCapacity!$C$2:$C$526=AL$1),0))/SUMIFS(RefCapacity!$D$2:$D$526,RefCapacity!$A$2:$A$526,RefCapacityProj!$D60,RefCapacity!$B$2:$B$526,2019)</f>
        <v>28.5781742690857</v>
      </c>
      <c r="AT60" cm="1">
        <f t="array" ref="AT60">$Y60*INDEX(RefCapacity!$D$2:$D$526,MATCH(1,(RefCapacity!$A$2:$A$526=RefCapacityProj!$D60)*(RefCapacity!$B$2:$B$526=2019)*(RefCapacity!$C$2:$C$526=AM$1),0))/SUMIFS(RefCapacity!$D$2:$D$526,RefCapacity!$A$2:$A$526,RefCapacityProj!$D60,RefCapacity!$B$2:$B$526,2019)</f>
        <v>4024.8823789084454</v>
      </c>
      <c r="AU60" cm="1">
        <f t="array" ref="AU60">INDEX(RefCapacity!$D$2:$D$526,MATCH(1,(RefCapacity!$A$2:$A$526=RefCapacityProj!$D60)*(RefCapacity!$B$2:$B$526=2019)*(RefCapacity!$C$2:$C$526=RefCapacityProj!AG$1),0))*IF($C60=2035,1+VLOOKUP(AG$1,RefCapacity!$H$2:$L$8,2,FALSE),1+VLOOKUP(AG$1,RefCapacity!$H$2:$L$8,4,FALSE))</f>
        <v>818.90159671962101</v>
      </c>
      <c r="AV60" cm="1">
        <f t="array" ref="AV60">INDEX(RefCapacity!$D$2:$D$526,MATCH(1,(RefCapacity!$A$2:$A$526=RefCapacityProj!$D60)*(RefCapacity!$B$2:$B$526=2019)*(RefCapacity!$C$2:$C$526=RefCapacityProj!AH$1),0))*IF($C60=2035,1+VLOOKUP(AH$1,RefCapacity!$H$2:$L$8,2,FALSE),1+VLOOKUP(AH$1,RefCapacity!$H$2:$L$8,4,FALSE))</f>
        <v>927.50919366992355</v>
      </c>
      <c r="AW60" cm="1">
        <f t="array" ref="AW60">INDEX(RefCapacity!$D$2:$D$526,MATCH(1,(RefCapacity!$A$2:$A$526=RefCapacityProj!$D60)*(RefCapacity!$B$2:$B$526=2019)*(RefCapacity!$C$2:$C$526=RefCapacityProj!AI$1),0))*IF($C60=2035,1+VLOOKUP(AI$1,RefCapacity!$H$2:$L$8,2,FALSE),1+VLOOKUP(AI$1,RefCapacity!$H$2:$L$8,4,FALSE))</f>
        <v>305.85558861538459</v>
      </c>
      <c r="AX60" cm="1">
        <f t="array" ref="AX60">INDEX(RefCapacity!$D$2:$D$526,MATCH(1,(RefCapacity!$A$2:$A$526=RefCapacityProj!$D60)*(RefCapacity!$B$2:$B$526=2019)*(RefCapacity!$C$2:$C$526=RefCapacityProj!AJ$1),0))*IF($C60=2035,1+VLOOKUP(AJ$1,RefCapacity!$H$2:$L$8,2,FALSE),1+VLOOKUP(AJ$1,RefCapacity!$H$2:$L$8,4,FALSE))</f>
        <v>1933.836664979757</v>
      </c>
      <c r="AY60" cm="1">
        <f t="array" ref="AY60">INDEX(RefCapacity!$D$2:$D$526,MATCH(1,(RefCapacity!$A$2:$A$526=RefCapacityProj!$D60)*(RefCapacity!$B$2:$B$526=2019)*(RefCapacity!$C$2:$C$526=RefCapacityProj!AK$1),0))*IF($C60=2035,1+VLOOKUP(AK$1,RefCapacity!$H$2:$L$8,2,FALSE),1+VLOOKUP(AK$1,RefCapacity!$H$2:$L$8,4,FALSE))</f>
        <v>2564.7302317013236</v>
      </c>
      <c r="AZ60" cm="1">
        <f t="array" ref="AZ60">INDEX(RefCapacity!$D$2:$D$526,MATCH(1,(RefCapacity!$A$2:$A$526=RefCapacityProj!$D60)*(RefCapacity!$B$2:$B$526=2019)*(RefCapacity!$C$2:$C$526=RefCapacityProj!AL$1),0))*IF($C60=2035,1+VLOOKUP(AL$1,RefCapacity!$H$2:$L$8,2,FALSE),1+VLOOKUP(AL$1,RefCapacity!$H$2:$L$8,4,FALSE))</f>
        <v>53.6302514614692</v>
      </c>
      <c r="BA60" cm="1">
        <f t="array" ref="BA60">INDEX(RefCapacity!$D$2:$D$526,MATCH(1,(RefCapacity!$A$2:$A$526=RefCapacityProj!$D60)*(RefCapacity!$B$2:$B$526=2019)*(RefCapacity!$C$2:$C$526=RefCapacityProj!AM$1),0))*IF($C60=2035,1+VLOOKUP(AM$1,RefCapacity!$H$2:$L$8,2,FALSE),1+VLOOKUP(AM$1,RefCapacity!$H$2:$L$8,4,FALSE))</f>
        <v>5562.7734410987441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f t="shared" si="4"/>
        <v>7255.8602388865211</v>
      </c>
      <c r="BJ60">
        <f t="shared" si="5"/>
        <v>73.288557419369681</v>
      </c>
      <c r="BK60">
        <f t="shared" si="6"/>
        <v>1.0000008985366904E-2</v>
      </c>
      <c r="BL60" cm="1">
        <f t="array" ref="BL60">AG60/$BI60*INDEX('GHG Emission'!$C$2:$C$1121,MATCH(1,('GHG Emission'!$D$2:$D$1121=$D60)*('GHG Emission'!$E$2:$E$1121=$C60)*('GHG Emission'!$F$2:$F$1121=$B60)*('GHG Emission'!$I$2:$I$1121=$E60)*('GHG Emission'!$J$2:$J$1121=$F60)*('GHG Emission'!$K$2:$K$1121=AG$1),0))+AH60/$BI60*INDEX('GHG Emission'!$C$2:$C$1121,MATCH(1,('GHG Emission'!$D$2:$D$1121=$D60)*('GHG Emission'!$E$2:$E$1121=$C60)*('GHG Emission'!$F$2:$F$1121=$B60)*('GHG Emission'!$I$2:$I$1121=$E60)*('GHG Emission'!$J$2:$J$1121=$F60)*('GHG Emission'!$K$2:$K$1121=AH$1),0))+AI60/$BI60*INDEX('GHG Emission'!$C$2:$C$1121,MATCH(1,('GHG Emission'!$D$2:$D$1121=$D60)*('GHG Emission'!$E$2:$E$1121=$C60)*('GHG Emission'!$F$2:$F$1121=$B60)*('GHG Emission'!$I$2:$I$1121=$E60)*('GHG Emission'!$J$2:$J$1121=$F60)*('GHG Emission'!$K$2:$K$1121=AI$1),0))+AJ60/$BI60*INDEX('GHG Emission'!$C$2:$C$1121,MATCH(1,('GHG Emission'!$D$2:$D$1121=$D60)*('GHG Emission'!$E$2:$E$1121=$C60)*('GHG Emission'!$F$2:$F$1121=$B60)*('GHG Emission'!$I$2:$I$1121=$E60)*('GHG Emission'!$J$2:$J$1121=$F60)*('GHG Emission'!$K$2:$K$1121=AJ$1),0))+AK60/$BI60*INDEX('GHG Emission'!$C$2:$C$1121,MATCH(1,('GHG Emission'!$D$2:$D$1121=$D60)*('GHG Emission'!$E$2:$E$1121=$C60)*('GHG Emission'!$F$2:$F$1121=$B60)*('GHG Emission'!$I$2:$I$1121=$E60)*('GHG Emission'!$J$2:$J$1121=$F60)*('GHG Emission'!$K$2:$K$1121=AK$1),0))+AL60/$BI60*INDEX('GHG Emission'!$C$2:$C$1121,MATCH(1,('GHG Emission'!$D$2:$D$1121=$D60)*('GHG Emission'!$E$2:$E$1121=$C60)*('GHG Emission'!$F$2:$F$1121=$B60)*('GHG Emission'!$I$2:$I$1121=$E60)*('GHG Emission'!$J$2:$J$1121=$F60)*('GHG Emission'!$K$2:$K$1121=AL$1),0))+AM60/$BI60*INDEX('GHG Emission'!$C$2:$C$1121,MATCH(1,('GHG Emission'!$D$2:$D$1121=$D60)*('GHG Emission'!$E$2:$E$1121=$C60)*('GHG Emission'!$F$2:$F$1121=$B60)*('GHG Emission'!$I$2:$I$1121=$E60)*('GHG Emission'!$J$2:$J$1121=$F60)*('GHG Emission'!$K$2:$K$1121=AM$1),0))</f>
        <v>35.610008158424442</v>
      </c>
      <c r="BM60" t="str">
        <f t="shared" si="7"/>
        <v>LIGHT/SWEET</v>
      </c>
    </row>
    <row r="61" spans="1:65" hidden="1" x14ac:dyDescent="0.25">
      <c r="A61">
        <v>60</v>
      </c>
      <c r="B61" t="s">
        <v>470</v>
      </c>
      <c r="C61">
        <v>2035</v>
      </c>
      <c r="D61">
        <v>3</v>
      </c>
      <c r="E61" t="s">
        <v>469</v>
      </c>
      <c r="F61" t="s">
        <v>468</v>
      </c>
      <c r="G61">
        <v>2201.1081157521826</v>
      </c>
      <c r="H61">
        <v>873.5420138934935</v>
      </c>
      <c r="I61">
        <v>2246.5261036750953</v>
      </c>
      <c r="J61">
        <v>1593.6079888313188</v>
      </c>
      <c r="K61">
        <v>227.03245314490249</v>
      </c>
      <c r="L61">
        <v>42.104798242288538</v>
      </c>
      <c r="M61">
        <v>0</v>
      </c>
      <c r="N61">
        <v>0</v>
      </c>
      <c r="O61">
        <v>0</v>
      </c>
      <c r="P61">
        <v>95.602193859938268</v>
      </c>
      <c r="Q61">
        <v>0</v>
      </c>
      <c r="R61">
        <v>0</v>
      </c>
      <c r="S61">
        <v>0</v>
      </c>
      <c r="T61">
        <v>12.728894991386792</v>
      </c>
      <c r="U61">
        <v>0</v>
      </c>
      <c r="V61">
        <v>0</v>
      </c>
      <c r="W61">
        <v>0</v>
      </c>
      <c r="X61">
        <f t="shared" si="0"/>
        <v>7292.2525623906058</v>
      </c>
      <c r="Y61">
        <f>X61*VLOOKUP($D61,'LinearReg Model'!$S$2:$T$6,2,FALSE)</f>
        <v>7329.1487963058908</v>
      </c>
      <c r="Z61">
        <f t="shared" si="1"/>
        <v>0.30184200244301429</v>
      </c>
      <c r="AA61">
        <f t="shared" si="2"/>
        <v>0.30807025462357557</v>
      </c>
      <c r="AB61">
        <f t="shared" si="3"/>
        <v>0.11979042228991611</v>
      </c>
      <c r="AC61">
        <v>36.614652924665549</v>
      </c>
      <c r="AD61">
        <v>1.975455919496689</v>
      </c>
      <c r="AE61" s="2">
        <f>VLOOKUP($D61,'MultiReg Model'!$A$5:$F$9,2,FALSE)+AC61*VLOOKUP($D61,'MultiReg Model'!$A$5:$F$9,3,FALSE)+Z61*VLOOKUP($D61,'MultiReg Model'!$A$5:$F$9,4,FALSE)+AA61*VLOOKUP($D61,'MultiReg Model'!$A$5:$F$9,5,FALSE)+AB61*VLOOKUP($D61,'MultiReg Model'!$A$5:$F$9,6,FALSE)</f>
        <v>9.0152091026837855</v>
      </c>
      <c r="AF61" cm="1">
        <f t="array" ref="AF61">MMULT($AG61:$AM61,'Avg CI Index'!$C$2:$C$8)/BI61</f>
        <v>9.0252091116691524</v>
      </c>
      <c r="AG61">
        <v>818.90118910197498</v>
      </c>
      <c r="AH61">
        <v>927.50795751294345</v>
      </c>
      <c r="AI61">
        <v>305.85497689399369</v>
      </c>
      <c r="AJ61">
        <v>1042.4465049574546</v>
      </c>
      <c r="AK61">
        <v>1475.1651664718361</v>
      </c>
      <c r="AL61">
        <v>53.628397637799566</v>
      </c>
      <c r="AM61">
        <v>2632.3560463105177</v>
      </c>
      <c r="AN61" cm="1">
        <f t="array" ref="AN61">$Y61*INDEX(RefCapacity!$D$2:$D$526,MATCH(1,(RefCapacity!$A$2:$A$526=RefCapacityProj!$D61)*(RefCapacity!$B$2:$B$526=2019)*(RefCapacity!$C$2:$C$526=AG$1),0))/SUMIFS(RefCapacity!$D$2:$D$526,RefCapacity!$A$2:$A$526,RefCapacityProj!$D61,RefCapacity!$B$2:$B$526,2019)</f>
        <v>222.69542299185034</v>
      </c>
      <c r="AO61" cm="1">
        <f t="array" ref="AO61">$Y61*INDEX(RefCapacity!$D$2:$D$526,MATCH(1,(RefCapacity!$A$2:$A$526=RefCapacityProj!$D61)*(RefCapacity!$B$2:$B$526=2019)*(RefCapacity!$C$2:$C$526=AH$1),0))/SUMIFS(RefCapacity!$D$2:$D$526,RefCapacity!$A$2:$A$526,RefCapacityProj!$D61,RefCapacity!$B$2:$B$526,2019)</f>
        <v>517.46424943311717</v>
      </c>
      <c r="AP61" cm="1">
        <f t="array" ref="AP61">$Y61*INDEX(RefCapacity!$D$2:$D$526,MATCH(1,(RefCapacity!$A$2:$A$526=RefCapacityProj!$D61)*(RefCapacity!$B$2:$B$526=2019)*(RefCapacity!$C$2:$C$526=AI$1),0))/SUMIFS(RefCapacity!$D$2:$D$526,RefCapacity!$A$2:$A$526,RefCapacityProj!$D61,RefCapacity!$B$2:$B$526,2019)</f>
        <v>222.47507022709135</v>
      </c>
      <c r="AQ61" cm="1">
        <f t="array" ref="AQ61">$Y61*INDEX(RefCapacity!$D$2:$D$526,MATCH(1,(RefCapacity!$A$2:$A$526=RefCapacityProj!$D61)*(RefCapacity!$B$2:$B$526=2019)*(RefCapacity!$C$2:$C$526=AJ$1),0))/SUMIFS(RefCapacity!$D$2:$D$526,RefCapacity!$A$2:$A$526,RefCapacityProj!$D61,RefCapacity!$B$2:$B$526,2019)</f>
        <v>759.59659121403388</v>
      </c>
      <c r="AR61" cm="1">
        <f t="array" ref="AR61">$Y61*INDEX(RefCapacity!$D$2:$D$526,MATCH(1,(RefCapacity!$A$2:$A$526=RefCapacityProj!$D61)*(RefCapacity!$B$2:$B$526=2019)*(RefCapacity!$C$2:$C$526=AK$1),0))/SUMIFS(RefCapacity!$D$2:$D$526,RefCapacity!$A$2:$A$526,RefCapacityProj!$D61,RefCapacity!$B$2:$B$526,2019)</f>
        <v>1553.4569092622664</v>
      </c>
      <c r="AS61" cm="1">
        <f t="array" ref="AS61">$Y61*INDEX(RefCapacity!$D$2:$D$526,MATCH(1,(RefCapacity!$A$2:$A$526=RefCapacityProj!$D61)*(RefCapacity!$B$2:$B$526=2019)*(RefCapacity!$C$2:$C$526=AL$1),0))/SUMIFS(RefCapacity!$D$2:$D$526,RefCapacity!$A$2:$A$526,RefCapacityProj!$D61,RefCapacity!$B$2:$B$526,2019)</f>
        <v>28.5781742690857</v>
      </c>
      <c r="AT61" cm="1">
        <f t="array" ref="AT61">$Y61*INDEX(RefCapacity!$D$2:$D$526,MATCH(1,(RefCapacity!$A$2:$A$526=RefCapacityProj!$D61)*(RefCapacity!$B$2:$B$526=2019)*(RefCapacity!$C$2:$C$526=AM$1),0))/SUMIFS(RefCapacity!$D$2:$D$526,RefCapacity!$A$2:$A$526,RefCapacityProj!$D61,RefCapacity!$B$2:$B$526,2019)</f>
        <v>4024.8823789084454</v>
      </c>
      <c r="AU61" cm="1">
        <f t="array" ref="AU61">INDEX(RefCapacity!$D$2:$D$526,MATCH(1,(RefCapacity!$A$2:$A$526=RefCapacityProj!$D61)*(RefCapacity!$B$2:$B$526=2019)*(RefCapacity!$C$2:$C$526=RefCapacityProj!AG$1),0))*IF($C61=2035,1+VLOOKUP(AG$1,RefCapacity!$H$2:$L$8,2,FALSE),1+VLOOKUP(AG$1,RefCapacity!$H$2:$L$8,4,FALSE))</f>
        <v>818.90159671962101</v>
      </c>
      <c r="AV61" cm="1">
        <f t="array" ref="AV61">INDEX(RefCapacity!$D$2:$D$526,MATCH(1,(RefCapacity!$A$2:$A$526=RefCapacityProj!$D61)*(RefCapacity!$B$2:$B$526=2019)*(RefCapacity!$C$2:$C$526=RefCapacityProj!AH$1),0))*IF($C61=2035,1+VLOOKUP(AH$1,RefCapacity!$H$2:$L$8,2,FALSE),1+VLOOKUP(AH$1,RefCapacity!$H$2:$L$8,4,FALSE))</f>
        <v>927.50919366992355</v>
      </c>
      <c r="AW61" cm="1">
        <f t="array" ref="AW61">INDEX(RefCapacity!$D$2:$D$526,MATCH(1,(RefCapacity!$A$2:$A$526=RefCapacityProj!$D61)*(RefCapacity!$B$2:$B$526=2019)*(RefCapacity!$C$2:$C$526=RefCapacityProj!AI$1),0))*IF($C61=2035,1+VLOOKUP(AI$1,RefCapacity!$H$2:$L$8,2,FALSE),1+VLOOKUP(AI$1,RefCapacity!$H$2:$L$8,4,FALSE))</f>
        <v>305.85558861538459</v>
      </c>
      <c r="AX61" cm="1">
        <f t="array" ref="AX61">INDEX(RefCapacity!$D$2:$D$526,MATCH(1,(RefCapacity!$A$2:$A$526=RefCapacityProj!$D61)*(RefCapacity!$B$2:$B$526=2019)*(RefCapacity!$C$2:$C$526=RefCapacityProj!AJ$1),0))*IF($C61=2035,1+VLOOKUP(AJ$1,RefCapacity!$H$2:$L$8,2,FALSE),1+VLOOKUP(AJ$1,RefCapacity!$H$2:$L$8,4,FALSE))</f>
        <v>1933.836664979757</v>
      </c>
      <c r="AY61" cm="1">
        <f t="array" ref="AY61">INDEX(RefCapacity!$D$2:$D$526,MATCH(1,(RefCapacity!$A$2:$A$526=RefCapacityProj!$D61)*(RefCapacity!$B$2:$B$526=2019)*(RefCapacity!$C$2:$C$526=RefCapacityProj!AK$1),0))*IF($C61=2035,1+VLOOKUP(AK$1,RefCapacity!$H$2:$L$8,2,FALSE),1+VLOOKUP(AK$1,RefCapacity!$H$2:$L$8,4,FALSE))</f>
        <v>2564.7302317013236</v>
      </c>
      <c r="AZ61" cm="1">
        <f t="array" ref="AZ61">INDEX(RefCapacity!$D$2:$D$526,MATCH(1,(RefCapacity!$A$2:$A$526=RefCapacityProj!$D61)*(RefCapacity!$B$2:$B$526=2019)*(RefCapacity!$C$2:$C$526=RefCapacityProj!AL$1),0))*IF($C61=2035,1+VLOOKUP(AL$1,RefCapacity!$H$2:$L$8,2,FALSE),1+VLOOKUP(AL$1,RefCapacity!$H$2:$L$8,4,FALSE))</f>
        <v>53.6302514614692</v>
      </c>
      <c r="BA61" cm="1">
        <f t="array" ref="BA61">INDEX(RefCapacity!$D$2:$D$526,MATCH(1,(RefCapacity!$A$2:$A$526=RefCapacityProj!$D61)*(RefCapacity!$B$2:$B$526=2019)*(RefCapacity!$C$2:$C$526=RefCapacityProj!AM$1),0))*IF($C61=2035,1+VLOOKUP(AM$1,RefCapacity!$H$2:$L$8,2,FALSE),1+VLOOKUP(AM$1,RefCapacity!$H$2:$L$8,4,FALSE))</f>
        <v>5562.7734410987441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f t="shared" si="4"/>
        <v>7255.8602388865211</v>
      </c>
      <c r="BJ61">
        <f t="shared" si="5"/>
        <v>73.288557419369681</v>
      </c>
      <c r="BK61">
        <f t="shared" si="6"/>
        <v>1.0000008985366904E-2</v>
      </c>
      <c r="BL61" cm="1">
        <f t="array" ref="BL61">AG61/$BI61*INDEX('GHG Emission'!$C$2:$C$1121,MATCH(1,('GHG Emission'!$D$2:$D$1121=$D61)*('GHG Emission'!$E$2:$E$1121=$C61)*('GHG Emission'!$F$2:$F$1121=$B61)*('GHG Emission'!$I$2:$I$1121=$E61)*('GHG Emission'!$J$2:$J$1121=$F61)*('GHG Emission'!$K$2:$K$1121=AG$1),0))+AH61/$BI61*INDEX('GHG Emission'!$C$2:$C$1121,MATCH(1,('GHG Emission'!$D$2:$D$1121=$D61)*('GHG Emission'!$E$2:$E$1121=$C61)*('GHG Emission'!$F$2:$F$1121=$B61)*('GHG Emission'!$I$2:$I$1121=$E61)*('GHG Emission'!$J$2:$J$1121=$F61)*('GHG Emission'!$K$2:$K$1121=AH$1),0))+AI61/$BI61*INDEX('GHG Emission'!$C$2:$C$1121,MATCH(1,('GHG Emission'!$D$2:$D$1121=$D61)*('GHG Emission'!$E$2:$E$1121=$C61)*('GHG Emission'!$F$2:$F$1121=$B61)*('GHG Emission'!$I$2:$I$1121=$E61)*('GHG Emission'!$J$2:$J$1121=$F61)*('GHG Emission'!$K$2:$K$1121=AI$1),0))+AJ61/$BI61*INDEX('GHG Emission'!$C$2:$C$1121,MATCH(1,('GHG Emission'!$D$2:$D$1121=$D61)*('GHG Emission'!$E$2:$E$1121=$C61)*('GHG Emission'!$F$2:$F$1121=$B61)*('GHG Emission'!$I$2:$I$1121=$E61)*('GHG Emission'!$J$2:$J$1121=$F61)*('GHG Emission'!$K$2:$K$1121=AJ$1),0))+AK61/$BI61*INDEX('GHG Emission'!$C$2:$C$1121,MATCH(1,('GHG Emission'!$D$2:$D$1121=$D61)*('GHG Emission'!$E$2:$E$1121=$C61)*('GHG Emission'!$F$2:$F$1121=$B61)*('GHG Emission'!$I$2:$I$1121=$E61)*('GHG Emission'!$J$2:$J$1121=$F61)*('GHG Emission'!$K$2:$K$1121=AK$1),0))+AL61/$BI61*INDEX('GHG Emission'!$C$2:$C$1121,MATCH(1,('GHG Emission'!$D$2:$D$1121=$D61)*('GHG Emission'!$E$2:$E$1121=$C61)*('GHG Emission'!$F$2:$F$1121=$B61)*('GHG Emission'!$I$2:$I$1121=$E61)*('GHG Emission'!$J$2:$J$1121=$F61)*('GHG Emission'!$K$2:$K$1121=AL$1),0))+AM61/$BI61*INDEX('GHG Emission'!$C$2:$C$1121,MATCH(1,('GHG Emission'!$D$2:$D$1121=$D61)*('GHG Emission'!$E$2:$E$1121=$C61)*('GHG Emission'!$F$2:$F$1121=$B61)*('GHG Emission'!$I$2:$I$1121=$E61)*('GHG Emission'!$J$2:$J$1121=$F61)*('GHG Emission'!$K$2:$K$1121=AM$1),0))</f>
        <v>35.473579400188797</v>
      </c>
      <c r="BM61" t="str">
        <f t="shared" si="7"/>
        <v>LIGHT/SOUR</v>
      </c>
    </row>
    <row r="62" spans="1:65" hidden="1" x14ac:dyDescent="0.25">
      <c r="A62">
        <v>61</v>
      </c>
      <c r="B62" t="s">
        <v>470</v>
      </c>
      <c r="C62">
        <v>2050</v>
      </c>
      <c r="D62">
        <v>3</v>
      </c>
      <c r="E62" t="s">
        <v>466</v>
      </c>
      <c r="F62" t="s">
        <v>467</v>
      </c>
      <c r="G62">
        <v>1447.8167547805631</v>
      </c>
      <c r="H62">
        <v>1077.1561660460204</v>
      </c>
      <c r="I62">
        <v>2163.4248727932877</v>
      </c>
      <c r="J62">
        <v>1534.6588472218261</v>
      </c>
      <c r="K62">
        <v>269.32588574164436</v>
      </c>
      <c r="L62">
        <v>49.948418930838677</v>
      </c>
      <c r="M62">
        <v>0</v>
      </c>
      <c r="N62">
        <v>0</v>
      </c>
      <c r="O62">
        <v>0</v>
      </c>
      <c r="P62">
        <v>105.83663421026799</v>
      </c>
      <c r="Q62">
        <v>0</v>
      </c>
      <c r="R62">
        <v>0</v>
      </c>
      <c r="S62">
        <v>0</v>
      </c>
      <c r="T62">
        <v>12.969949555427933</v>
      </c>
      <c r="U62">
        <v>0</v>
      </c>
      <c r="V62">
        <v>0</v>
      </c>
      <c r="W62">
        <v>0</v>
      </c>
      <c r="X62">
        <f t="shared" si="0"/>
        <v>6661.1375292798766</v>
      </c>
      <c r="Y62">
        <f>X62*VLOOKUP($D62,'LinearReg Model'!$S$2:$T$6,2,FALSE)</f>
        <v>6694.840543035838</v>
      </c>
      <c r="Z62">
        <f t="shared" si="1"/>
        <v>0.21735277922374377</v>
      </c>
      <c r="AA62">
        <f t="shared" si="2"/>
        <v>0.32478309647318926</v>
      </c>
      <c r="AB62">
        <f t="shared" si="3"/>
        <v>0.16170754038799584</v>
      </c>
      <c r="AC62">
        <v>28.267512206646213</v>
      </c>
      <c r="AD62">
        <v>1.0693086579627853</v>
      </c>
      <c r="AE62" s="2">
        <f>VLOOKUP($D62,'MultiReg Model'!$A$5:$F$9,2,FALSE)+AC62*VLOOKUP($D62,'MultiReg Model'!$A$5:$F$9,3,FALSE)+Z62*VLOOKUP($D62,'MultiReg Model'!$A$5:$F$9,4,FALSE)+AA62*VLOOKUP($D62,'MultiReg Model'!$A$5:$F$9,5,FALSE)+AB62*VLOOKUP($D62,'MultiReg Model'!$A$5:$F$9,6,FALSE)</f>
        <v>9.4379849692162647</v>
      </c>
      <c r="AF62" cm="1">
        <f t="array" ref="AF62">MMULT($AG62:$AM62,'Avg CI Index'!$C$2:$C$8)/BI62</f>
        <v>9.4479849723226561</v>
      </c>
      <c r="AG62">
        <v>650.56393677184928</v>
      </c>
      <c r="AH62">
        <v>539.2841745976167</v>
      </c>
      <c r="AI62">
        <v>315.87463712705085</v>
      </c>
      <c r="AJ62">
        <v>566.14908047313031</v>
      </c>
      <c r="AK62">
        <v>1263.7832760525337</v>
      </c>
      <c r="AL62">
        <v>1.898154746330788E-2</v>
      </c>
      <c r="AM62">
        <v>3421.233624096516</v>
      </c>
      <c r="AN62" cm="1">
        <f t="array" ref="AN62">$Y62*INDEX(RefCapacity!$D$2:$D$526,MATCH(1,(RefCapacity!$A$2:$A$526=RefCapacityProj!$D62)*(RefCapacity!$B$2:$B$526=2019)*(RefCapacity!$C$2:$C$526=AG$1),0))/SUMIFS(RefCapacity!$D$2:$D$526,RefCapacity!$A$2:$A$526,RefCapacityProj!$D62,RefCapacity!$B$2:$B$526,2019)</f>
        <v>203.42203276672706</v>
      </c>
      <c r="AO62" cm="1">
        <f t="array" ref="AO62">$Y62*INDEX(RefCapacity!$D$2:$D$526,MATCH(1,(RefCapacity!$A$2:$A$526=RefCapacityProj!$D62)*(RefCapacity!$B$2:$B$526=2019)*(RefCapacity!$C$2:$C$526=AH$1),0))/SUMIFS(RefCapacity!$D$2:$D$526,RefCapacity!$A$2:$A$526,RefCapacityProj!$D62,RefCapacity!$B$2:$B$526,2019)</f>
        <v>472.67980674953327</v>
      </c>
      <c r="AP62" cm="1">
        <f t="array" ref="AP62">$Y62*INDEX(RefCapacity!$D$2:$D$526,MATCH(1,(RefCapacity!$A$2:$A$526=RefCapacityProj!$D62)*(RefCapacity!$B$2:$B$526=2019)*(RefCapacity!$C$2:$C$526=AI$1),0))/SUMIFS(RefCapacity!$D$2:$D$526,RefCapacity!$A$2:$A$526,RefCapacityProj!$D62,RefCapacity!$B$2:$B$526,2019)</f>
        <v>203.22075064457636</v>
      </c>
      <c r="AQ62" cm="1">
        <f t="array" ref="AQ62">$Y62*INDEX(RefCapacity!$D$2:$D$526,MATCH(1,(RefCapacity!$A$2:$A$526=RefCapacityProj!$D62)*(RefCapacity!$B$2:$B$526=2019)*(RefCapacity!$C$2:$C$526=AJ$1),0))/SUMIFS(RefCapacity!$D$2:$D$526,RefCapacity!$A$2:$A$526,RefCapacityProj!$D62,RefCapacity!$B$2:$B$526,2019)</f>
        <v>693.85657141723141</v>
      </c>
      <c r="AR62" cm="1">
        <f t="array" ref="AR62">$Y62*INDEX(RefCapacity!$D$2:$D$526,MATCH(1,(RefCapacity!$A$2:$A$526=RefCapacityProj!$D62)*(RefCapacity!$B$2:$B$526=2019)*(RefCapacity!$C$2:$C$526=AK$1),0))/SUMIFS(RefCapacity!$D$2:$D$526,RefCapacity!$A$2:$A$526,RefCapacityProj!$D62,RefCapacity!$B$2:$B$526,2019)</f>
        <v>1419.0114823743447</v>
      </c>
      <c r="AS62" cm="1">
        <f t="array" ref="AS62">$Y62*INDEX(RefCapacity!$D$2:$D$526,MATCH(1,(RefCapacity!$A$2:$A$526=RefCapacityProj!$D62)*(RefCapacity!$B$2:$B$526=2019)*(RefCapacity!$C$2:$C$526=AL$1),0))/SUMIFS(RefCapacity!$D$2:$D$526,RefCapacity!$A$2:$A$526,RefCapacityProj!$D62,RefCapacity!$B$2:$B$526,2019)</f>
        <v>26.104848606573892</v>
      </c>
      <c r="AT62" cm="1">
        <f t="array" ref="AT62">$Y62*INDEX(RefCapacity!$D$2:$D$526,MATCH(1,(RefCapacity!$A$2:$A$526=RefCapacityProj!$D62)*(RefCapacity!$B$2:$B$526=2019)*(RefCapacity!$C$2:$C$526=AM$1),0))/SUMIFS(RefCapacity!$D$2:$D$526,RefCapacity!$A$2:$A$526,RefCapacityProj!$D62,RefCapacity!$B$2:$B$526,2019)</f>
        <v>3676.545050476851</v>
      </c>
      <c r="AU62" cm="1">
        <f t="array" ref="AU62">INDEX(RefCapacity!$D$2:$D$526,MATCH(1,(RefCapacity!$A$2:$A$526=RefCapacityProj!$D62)*(RefCapacity!$B$2:$B$526=2019)*(RefCapacity!$C$2:$C$526=RefCapacityProj!AG$1),0))*IF($C62=2035,1+VLOOKUP(AG$1,RefCapacity!$H$2:$L$8,2,FALSE),1+VLOOKUP(AG$1,RefCapacity!$H$2:$L$8,4,FALSE))</f>
        <v>1341.688193439242</v>
      </c>
      <c r="AV62" cm="1">
        <f t="array" ref="AV62">INDEX(RefCapacity!$D$2:$D$526,MATCH(1,(RefCapacity!$A$2:$A$526=RefCapacityProj!$D62)*(RefCapacity!$B$2:$B$526=2019)*(RefCapacity!$C$2:$C$526=RefCapacityProj!AH$1),0))*IF($C62=2035,1+VLOOKUP(AH$1,RefCapacity!$H$2:$L$8,2,FALSE),1+VLOOKUP(AH$1,RefCapacity!$H$2:$L$8,4,FALSE))</f>
        <v>1166.9533873398473</v>
      </c>
      <c r="AW62" cm="1">
        <f t="array" ref="AW62">INDEX(RefCapacity!$D$2:$D$526,MATCH(1,(RefCapacity!$A$2:$A$526=RefCapacityProj!$D62)*(RefCapacity!$B$2:$B$526=2019)*(RefCapacity!$C$2:$C$526=RefCapacityProj!AI$1),0))*IF($C62=2035,1+VLOOKUP(AI$1,RefCapacity!$H$2:$L$8,2,FALSE),1+VLOOKUP(AI$1,RefCapacity!$H$2:$L$8,4,FALSE))</f>
        <v>315.88917723076923</v>
      </c>
      <c r="AX62" cm="1">
        <f t="array" ref="AX62">INDEX(RefCapacity!$D$2:$D$526,MATCH(1,(RefCapacity!$A$2:$A$526=RefCapacityProj!$D62)*(RefCapacity!$B$2:$B$526=2019)*(RefCapacity!$C$2:$C$526=RefCapacityProj!AJ$1),0))*IF($C62=2035,1+VLOOKUP(AJ$1,RefCapacity!$H$2:$L$8,2,FALSE),1+VLOOKUP(AJ$1,RefCapacity!$H$2:$L$8,4,FALSE))</f>
        <v>2857.6483299595143</v>
      </c>
      <c r="AY62" cm="1">
        <f t="array" ref="AY62">INDEX(RefCapacity!$D$2:$D$526,MATCH(1,(RefCapacity!$A$2:$A$526=RefCapacityProj!$D62)*(RefCapacity!$B$2:$B$526=2019)*(RefCapacity!$C$2:$C$526=RefCapacityProj!AK$1),0))*IF($C62=2035,1+VLOOKUP(AK$1,RefCapacity!$H$2:$L$8,2,FALSE),1+VLOOKUP(AK$1,RefCapacity!$H$2:$L$8,4,FALSE))</f>
        <v>3063.8504634026467</v>
      </c>
      <c r="AZ62" cm="1">
        <f t="array" ref="AZ62">INDEX(RefCapacity!$D$2:$D$526,MATCH(1,(RefCapacity!$A$2:$A$526=RefCapacityProj!$D62)*(RefCapacity!$B$2:$B$526=2019)*(RefCapacity!$C$2:$C$526=RefCapacityProj!AL$1),0))*IF($C62=2035,1+VLOOKUP(AL$1,RefCapacity!$H$2:$L$8,2,FALSE),1+VLOOKUP(AL$1,RefCapacity!$H$2:$L$8,4,FALSE))</f>
        <v>69.2605029229384</v>
      </c>
      <c r="BA62" cm="1">
        <f t="array" ref="BA62">INDEX(RefCapacity!$D$2:$D$526,MATCH(1,(RefCapacity!$A$2:$A$526=RefCapacityProj!$D62)*(RefCapacity!$B$2:$B$526=2019)*(RefCapacity!$C$2:$C$526=RefCapacityProj!AM$1),0))*IF($C62=2035,1+VLOOKUP(AM$1,RefCapacity!$H$2:$L$8,2,FALSE),1+VLOOKUP(AM$1,RefCapacity!$H$2:$L$8,4,FALSE))</f>
        <v>5773.7168821974883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f t="shared" si="4"/>
        <v>6756.9077106661598</v>
      </c>
      <c r="BJ62">
        <f t="shared" si="5"/>
        <v>62.067167630321819</v>
      </c>
      <c r="BK62">
        <f t="shared" si="6"/>
        <v>1.0000003106391375E-2</v>
      </c>
      <c r="BL62" cm="1">
        <f t="array" ref="BL62">AG62/$BI62*INDEX('GHG Emission'!$C$2:$C$1121,MATCH(1,('GHG Emission'!$D$2:$D$1121=$D62)*('GHG Emission'!$E$2:$E$1121=$C62)*('GHG Emission'!$F$2:$F$1121=$B62)*('GHG Emission'!$I$2:$I$1121=$E62)*('GHG Emission'!$J$2:$J$1121=$F62)*('GHG Emission'!$K$2:$K$1121=AG$1),0))+AH62/$BI62*INDEX('GHG Emission'!$C$2:$C$1121,MATCH(1,('GHG Emission'!$D$2:$D$1121=$D62)*('GHG Emission'!$E$2:$E$1121=$C62)*('GHG Emission'!$F$2:$F$1121=$B62)*('GHG Emission'!$I$2:$I$1121=$E62)*('GHG Emission'!$J$2:$J$1121=$F62)*('GHG Emission'!$K$2:$K$1121=AH$1),0))+AI62/$BI62*INDEX('GHG Emission'!$C$2:$C$1121,MATCH(1,('GHG Emission'!$D$2:$D$1121=$D62)*('GHG Emission'!$E$2:$E$1121=$C62)*('GHG Emission'!$F$2:$F$1121=$B62)*('GHG Emission'!$I$2:$I$1121=$E62)*('GHG Emission'!$J$2:$J$1121=$F62)*('GHG Emission'!$K$2:$K$1121=AI$1),0))+AJ62/$BI62*INDEX('GHG Emission'!$C$2:$C$1121,MATCH(1,('GHG Emission'!$D$2:$D$1121=$D62)*('GHG Emission'!$E$2:$E$1121=$C62)*('GHG Emission'!$F$2:$F$1121=$B62)*('GHG Emission'!$I$2:$I$1121=$E62)*('GHG Emission'!$J$2:$J$1121=$F62)*('GHG Emission'!$K$2:$K$1121=AJ$1),0))+AK62/$BI62*INDEX('GHG Emission'!$C$2:$C$1121,MATCH(1,('GHG Emission'!$D$2:$D$1121=$D62)*('GHG Emission'!$E$2:$E$1121=$C62)*('GHG Emission'!$F$2:$F$1121=$B62)*('GHG Emission'!$I$2:$I$1121=$E62)*('GHG Emission'!$J$2:$J$1121=$F62)*('GHG Emission'!$K$2:$K$1121=AK$1),0))+AL62/$BI62*INDEX('GHG Emission'!$C$2:$C$1121,MATCH(1,('GHG Emission'!$D$2:$D$1121=$D62)*('GHG Emission'!$E$2:$E$1121=$C62)*('GHG Emission'!$F$2:$F$1121=$B62)*('GHG Emission'!$I$2:$I$1121=$E62)*('GHG Emission'!$J$2:$J$1121=$F62)*('GHG Emission'!$K$2:$K$1121=AL$1),0))+AM62/$BI62*INDEX('GHG Emission'!$C$2:$C$1121,MATCH(1,('GHG Emission'!$D$2:$D$1121=$D62)*('GHG Emission'!$E$2:$E$1121=$C62)*('GHG Emission'!$F$2:$F$1121=$B62)*('GHG Emission'!$I$2:$I$1121=$E62)*('GHG Emission'!$J$2:$J$1121=$F62)*('GHG Emission'!$K$2:$K$1121=AM$1),0))</f>
        <v>35.423851785631044</v>
      </c>
      <c r="BM62" t="str">
        <f t="shared" si="7"/>
        <v>HEAVY/SWEET</v>
      </c>
    </row>
    <row r="63" spans="1:65" hidden="1" x14ac:dyDescent="0.25">
      <c r="A63">
        <v>62</v>
      </c>
      <c r="B63" t="s">
        <v>470</v>
      </c>
      <c r="C63">
        <v>2050</v>
      </c>
      <c r="D63">
        <v>3</v>
      </c>
      <c r="E63" t="s">
        <v>466</v>
      </c>
      <c r="F63" t="s">
        <v>468</v>
      </c>
      <c r="G63">
        <v>1447.8167547805631</v>
      </c>
      <c r="H63">
        <v>1077.1561660460204</v>
      </c>
      <c r="I63">
        <v>2163.4248727932877</v>
      </c>
      <c r="J63">
        <v>1534.6588472218261</v>
      </c>
      <c r="K63">
        <v>269.32588574164436</v>
      </c>
      <c r="L63">
        <v>49.948418930838677</v>
      </c>
      <c r="M63">
        <v>0</v>
      </c>
      <c r="N63">
        <v>0</v>
      </c>
      <c r="O63">
        <v>0</v>
      </c>
      <c r="P63">
        <v>105.83663421026799</v>
      </c>
      <c r="Q63">
        <v>0</v>
      </c>
      <c r="R63">
        <v>0</v>
      </c>
      <c r="S63">
        <v>0</v>
      </c>
      <c r="T63">
        <v>12.969949555427933</v>
      </c>
      <c r="U63">
        <v>0</v>
      </c>
      <c r="V63">
        <v>0</v>
      </c>
      <c r="W63">
        <v>0</v>
      </c>
      <c r="X63">
        <f t="shared" si="0"/>
        <v>6661.1375292798766</v>
      </c>
      <c r="Y63">
        <f>X63*VLOOKUP($D63,'LinearReg Model'!$S$2:$T$6,2,FALSE)</f>
        <v>6694.840543035838</v>
      </c>
      <c r="Z63">
        <f t="shared" si="1"/>
        <v>0.21735277922374377</v>
      </c>
      <c r="AA63">
        <f t="shared" si="2"/>
        <v>0.32478309647318926</v>
      </c>
      <c r="AB63">
        <f t="shared" si="3"/>
        <v>0.16170754038799584</v>
      </c>
      <c r="AC63">
        <v>28.267512206646213</v>
      </c>
      <c r="AD63">
        <v>2.673413137685352</v>
      </c>
      <c r="AE63" s="2">
        <f>VLOOKUP($D63,'MultiReg Model'!$A$5:$F$9,2,FALSE)+AC63*VLOOKUP($D63,'MultiReg Model'!$A$5:$F$9,3,FALSE)+Z63*VLOOKUP($D63,'MultiReg Model'!$A$5:$F$9,4,FALSE)+AA63*VLOOKUP($D63,'MultiReg Model'!$A$5:$F$9,5,FALSE)+AB63*VLOOKUP($D63,'MultiReg Model'!$A$5:$F$9,6,FALSE)</f>
        <v>9.4379849692162647</v>
      </c>
      <c r="AF63" cm="1">
        <f t="array" ref="AF63">MMULT($AG63:$AM63,'Avg CI Index'!$C$2:$C$8)/BI63</f>
        <v>9.4479849723226561</v>
      </c>
      <c r="AG63">
        <v>650.56393677184928</v>
      </c>
      <c r="AH63">
        <v>539.2841745976167</v>
      </c>
      <c r="AI63">
        <v>315.87463712705085</v>
      </c>
      <c r="AJ63">
        <v>566.14908047313031</v>
      </c>
      <c r="AK63">
        <v>1263.7832760525337</v>
      </c>
      <c r="AL63">
        <v>1.898154746330788E-2</v>
      </c>
      <c r="AM63">
        <v>3421.233624096516</v>
      </c>
      <c r="AN63" cm="1">
        <f t="array" ref="AN63">$Y63*INDEX(RefCapacity!$D$2:$D$526,MATCH(1,(RefCapacity!$A$2:$A$526=RefCapacityProj!$D63)*(RefCapacity!$B$2:$B$526=2019)*(RefCapacity!$C$2:$C$526=AG$1),0))/SUMIFS(RefCapacity!$D$2:$D$526,RefCapacity!$A$2:$A$526,RefCapacityProj!$D63,RefCapacity!$B$2:$B$526,2019)</f>
        <v>203.42203276672706</v>
      </c>
      <c r="AO63" cm="1">
        <f t="array" ref="AO63">$Y63*INDEX(RefCapacity!$D$2:$D$526,MATCH(1,(RefCapacity!$A$2:$A$526=RefCapacityProj!$D63)*(RefCapacity!$B$2:$B$526=2019)*(RefCapacity!$C$2:$C$526=AH$1),0))/SUMIFS(RefCapacity!$D$2:$D$526,RefCapacity!$A$2:$A$526,RefCapacityProj!$D63,RefCapacity!$B$2:$B$526,2019)</f>
        <v>472.67980674953327</v>
      </c>
      <c r="AP63" cm="1">
        <f t="array" ref="AP63">$Y63*INDEX(RefCapacity!$D$2:$D$526,MATCH(1,(RefCapacity!$A$2:$A$526=RefCapacityProj!$D63)*(RefCapacity!$B$2:$B$526=2019)*(RefCapacity!$C$2:$C$526=AI$1),0))/SUMIFS(RefCapacity!$D$2:$D$526,RefCapacity!$A$2:$A$526,RefCapacityProj!$D63,RefCapacity!$B$2:$B$526,2019)</f>
        <v>203.22075064457636</v>
      </c>
      <c r="AQ63" cm="1">
        <f t="array" ref="AQ63">$Y63*INDEX(RefCapacity!$D$2:$D$526,MATCH(1,(RefCapacity!$A$2:$A$526=RefCapacityProj!$D63)*(RefCapacity!$B$2:$B$526=2019)*(RefCapacity!$C$2:$C$526=AJ$1),0))/SUMIFS(RefCapacity!$D$2:$D$526,RefCapacity!$A$2:$A$526,RefCapacityProj!$D63,RefCapacity!$B$2:$B$526,2019)</f>
        <v>693.85657141723141</v>
      </c>
      <c r="AR63" cm="1">
        <f t="array" ref="AR63">$Y63*INDEX(RefCapacity!$D$2:$D$526,MATCH(1,(RefCapacity!$A$2:$A$526=RefCapacityProj!$D63)*(RefCapacity!$B$2:$B$526=2019)*(RefCapacity!$C$2:$C$526=AK$1),0))/SUMIFS(RefCapacity!$D$2:$D$526,RefCapacity!$A$2:$A$526,RefCapacityProj!$D63,RefCapacity!$B$2:$B$526,2019)</f>
        <v>1419.0114823743447</v>
      </c>
      <c r="AS63" cm="1">
        <f t="array" ref="AS63">$Y63*INDEX(RefCapacity!$D$2:$D$526,MATCH(1,(RefCapacity!$A$2:$A$526=RefCapacityProj!$D63)*(RefCapacity!$B$2:$B$526=2019)*(RefCapacity!$C$2:$C$526=AL$1),0))/SUMIFS(RefCapacity!$D$2:$D$526,RefCapacity!$A$2:$A$526,RefCapacityProj!$D63,RefCapacity!$B$2:$B$526,2019)</f>
        <v>26.104848606573892</v>
      </c>
      <c r="AT63" cm="1">
        <f t="array" ref="AT63">$Y63*INDEX(RefCapacity!$D$2:$D$526,MATCH(1,(RefCapacity!$A$2:$A$526=RefCapacityProj!$D63)*(RefCapacity!$B$2:$B$526=2019)*(RefCapacity!$C$2:$C$526=AM$1),0))/SUMIFS(RefCapacity!$D$2:$D$526,RefCapacity!$A$2:$A$526,RefCapacityProj!$D63,RefCapacity!$B$2:$B$526,2019)</f>
        <v>3676.545050476851</v>
      </c>
      <c r="AU63" cm="1">
        <f t="array" ref="AU63">INDEX(RefCapacity!$D$2:$D$526,MATCH(1,(RefCapacity!$A$2:$A$526=RefCapacityProj!$D63)*(RefCapacity!$B$2:$B$526=2019)*(RefCapacity!$C$2:$C$526=RefCapacityProj!AG$1),0))*IF($C63=2035,1+VLOOKUP(AG$1,RefCapacity!$H$2:$L$8,2,FALSE),1+VLOOKUP(AG$1,RefCapacity!$H$2:$L$8,4,FALSE))</f>
        <v>1341.688193439242</v>
      </c>
      <c r="AV63" cm="1">
        <f t="array" ref="AV63">INDEX(RefCapacity!$D$2:$D$526,MATCH(1,(RefCapacity!$A$2:$A$526=RefCapacityProj!$D63)*(RefCapacity!$B$2:$B$526=2019)*(RefCapacity!$C$2:$C$526=RefCapacityProj!AH$1),0))*IF($C63=2035,1+VLOOKUP(AH$1,RefCapacity!$H$2:$L$8,2,FALSE),1+VLOOKUP(AH$1,RefCapacity!$H$2:$L$8,4,FALSE))</f>
        <v>1166.9533873398473</v>
      </c>
      <c r="AW63" cm="1">
        <f t="array" ref="AW63">INDEX(RefCapacity!$D$2:$D$526,MATCH(1,(RefCapacity!$A$2:$A$526=RefCapacityProj!$D63)*(RefCapacity!$B$2:$B$526=2019)*(RefCapacity!$C$2:$C$526=RefCapacityProj!AI$1),0))*IF($C63=2035,1+VLOOKUP(AI$1,RefCapacity!$H$2:$L$8,2,FALSE),1+VLOOKUP(AI$1,RefCapacity!$H$2:$L$8,4,FALSE))</f>
        <v>315.88917723076923</v>
      </c>
      <c r="AX63" cm="1">
        <f t="array" ref="AX63">INDEX(RefCapacity!$D$2:$D$526,MATCH(1,(RefCapacity!$A$2:$A$526=RefCapacityProj!$D63)*(RefCapacity!$B$2:$B$526=2019)*(RefCapacity!$C$2:$C$526=RefCapacityProj!AJ$1),0))*IF($C63=2035,1+VLOOKUP(AJ$1,RefCapacity!$H$2:$L$8,2,FALSE),1+VLOOKUP(AJ$1,RefCapacity!$H$2:$L$8,4,FALSE))</f>
        <v>2857.6483299595143</v>
      </c>
      <c r="AY63" cm="1">
        <f t="array" ref="AY63">INDEX(RefCapacity!$D$2:$D$526,MATCH(1,(RefCapacity!$A$2:$A$526=RefCapacityProj!$D63)*(RefCapacity!$B$2:$B$526=2019)*(RefCapacity!$C$2:$C$526=RefCapacityProj!AK$1),0))*IF($C63=2035,1+VLOOKUP(AK$1,RefCapacity!$H$2:$L$8,2,FALSE),1+VLOOKUP(AK$1,RefCapacity!$H$2:$L$8,4,FALSE))</f>
        <v>3063.8504634026467</v>
      </c>
      <c r="AZ63" cm="1">
        <f t="array" ref="AZ63">INDEX(RefCapacity!$D$2:$D$526,MATCH(1,(RefCapacity!$A$2:$A$526=RefCapacityProj!$D63)*(RefCapacity!$B$2:$B$526=2019)*(RefCapacity!$C$2:$C$526=RefCapacityProj!AL$1),0))*IF($C63=2035,1+VLOOKUP(AL$1,RefCapacity!$H$2:$L$8,2,FALSE),1+VLOOKUP(AL$1,RefCapacity!$H$2:$L$8,4,FALSE))</f>
        <v>69.2605029229384</v>
      </c>
      <c r="BA63" cm="1">
        <f t="array" ref="BA63">INDEX(RefCapacity!$D$2:$D$526,MATCH(1,(RefCapacity!$A$2:$A$526=RefCapacityProj!$D63)*(RefCapacity!$B$2:$B$526=2019)*(RefCapacity!$C$2:$C$526=RefCapacityProj!AM$1),0))*IF($C63=2035,1+VLOOKUP(AM$1,RefCapacity!$H$2:$L$8,2,FALSE),1+VLOOKUP(AM$1,RefCapacity!$H$2:$L$8,4,FALSE))</f>
        <v>5773.7168821974883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f t="shared" si="4"/>
        <v>6756.9077106661598</v>
      </c>
      <c r="BJ63">
        <f t="shared" si="5"/>
        <v>62.067167630321819</v>
      </c>
      <c r="BK63">
        <f t="shared" si="6"/>
        <v>1.0000003106391375E-2</v>
      </c>
      <c r="BL63" cm="1">
        <f t="array" ref="BL63">AG63/$BI63*INDEX('GHG Emission'!$C$2:$C$1121,MATCH(1,('GHG Emission'!$D$2:$D$1121=$D63)*('GHG Emission'!$E$2:$E$1121=$C63)*('GHG Emission'!$F$2:$F$1121=$B63)*('GHG Emission'!$I$2:$I$1121=$E63)*('GHG Emission'!$J$2:$J$1121=$F63)*('GHG Emission'!$K$2:$K$1121=AG$1),0))+AH63/$BI63*INDEX('GHG Emission'!$C$2:$C$1121,MATCH(1,('GHG Emission'!$D$2:$D$1121=$D63)*('GHG Emission'!$E$2:$E$1121=$C63)*('GHG Emission'!$F$2:$F$1121=$B63)*('GHG Emission'!$I$2:$I$1121=$E63)*('GHG Emission'!$J$2:$J$1121=$F63)*('GHG Emission'!$K$2:$K$1121=AH$1),0))+AI63/$BI63*INDEX('GHG Emission'!$C$2:$C$1121,MATCH(1,('GHG Emission'!$D$2:$D$1121=$D63)*('GHG Emission'!$E$2:$E$1121=$C63)*('GHG Emission'!$F$2:$F$1121=$B63)*('GHG Emission'!$I$2:$I$1121=$E63)*('GHG Emission'!$J$2:$J$1121=$F63)*('GHG Emission'!$K$2:$K$1121=AI$1),0))+AJ63/$BI63*INDEX('GHG Emission'!$C$2:$C$1121,MATCH(1,('GHG Emission'!$D$2:$D$1121=$D63)*('GHG Emission'!$E$2:$E$1121=$C63)*('GHG Emission'!$F$2:$F$1121=$B63)*('GHG Emission'!$I$2:$I$1121=$E63)*('GHG Emission'!$J$2:$J$1121=$F63)*('GHG Emission'!$K$2:$K$1121=AJ$1),0))+AK63/$BI63*INDEX('GHG Emission'!$C$2:$C$1121,MATCH(1,('GHG Emission'!$D$2:$D$1121=$D63)*('GHG Emission'!$E$2:$E$1121=$C63)*('GHG Emission'!$F$2:$F$1121=$B63)*('GHG Emission'!$I$2:$I$1121=$E63)*('GHG Emission'!$J$2:$J$1121=$F63)*('GHG Emission'!$K$2:$K$1121=AK$1),0))+AL63/$BI63*INDEX('GHG Emission'!$C$2:$C$1121,MATCH(1,('GHG Emission'!$D$2:$D$1121=$D63)*('GHG Emission'!$E$2:$E$1121=$C63)*('GHG Emission'!$F$2:$F$1121=$B63)*('GHG Emission'!$I$2:$I$1121=$E63)*('GHG Emission'!$J$2:$J$1121=$F63)*('GHG Emission'!$K$2:$K$1121=AL$1),0))+AM63/$BI63*INDEX('GHG Emission'!$C$2:$C$1121,MATCH(1,('GHG Emission'!$D$2:$D$1121=$D63)*('GHG Emission'!$E$2:$E$1121=$C63)*('GHG Emission'!$F$2:$F$1121=$B63)*('GHG Emission'!$I$2:$I$1121=$E63)*('GHG Emission'!$J$2:$J$1121=$F63)*('GHG Emission'!$K$2:$K$1121=AM$1),0))</f>
        <v>35.089671624951954</v>
      </c>
      <c r="BM63" t="str">
        <f t="shared" si="7"/>
        <v>HEAVY/SOUR</v>
      </c>
    </row>
    <row r="64" spans="1:65" hidden="1" x14ac:dyDescent="0.25">
      <c r="A64">
        <v>63</v>
      </c>
      <c r="B64" t="s">
        <v>470</v>
      </c>
      <c r="C64">
        <v>2050</v>
      </c>
      <c r="D64">
        <v>3</v>
      </c>
      <c r="E64" t="s">
        <v>469</v>
      </c>
      <c r="F64" t="s">
        <v>467</v>
      </c>
      <c r="G64">
        <v>1447.8167547805631</v>
      </c>
      <c r="H64">
        <v>1077.1561660460204</v>
      </c>
      <c r="I64">
        <v>2163.4248727932877</v>
      </c>
      <c r="J64">
        <v>1534.6588472218261</v>
      </c>
      <c r="K64">
        <v>269.32588574164436</v>
      </c>
      <c r="L64">
        <v>49.948418930838677</v>
      </c>
      <c r="M64">
        <v>0</v>
      </c>
      <c r="N64">
        <v>0</v>
      </c>
      <c r="O64">
        <v>0</v>
      </c>
      <c r="P64">
        <v>105.83663421026799</v>
      </c>
      <c r="Q64">
        <v>0</v>
      </c>
      <c r="R64">
        <v>0</v>
      </c>
      <c r="S64">
        <v>0</v>
      </c>
      <c r="T64">
        <v>12.969949555427933</v>
      </c>
      <c r="U64">
        <v>0</v>
      </c>
      <c r="V64">
        <v>0</v>
      </c>
      <c r="W64">
        <v>0</v>
      </c>
      <c r="X64">
        <f t="shared" si="0"/>
        <v>6661.1375292798766</v>
      </c>
      <c r="Y64">
        <f>X64*VLOOKUP($D64,'LinearReg Model'!$S$2:$T$6,2,FALSE)</f>
        <v>6694.840543035838</v>
      </c>
      <c r="Z64">
        <f t="shared" si="1"/>
        <v>0.21735277922374377</v>
      </c>
      <c r="AA64">
        <f t="shared" si="2"/>
        <v>0.32478309647318926</v>
      </c>
      <c r="AB64">
        <f t="shared" si="3"/>
        <v>0.16170754038799584</v>
      </c>
      <c r="AC64">
        <v>37.317276792879753</v>
      </c>
      <c r="AD64">
        <v>1.0693086579627853</v>
      </c>
      <c r="AE64" s="2">
        <f>VLOOKUP($D64,'MultiReg Model'!$A$5:$F$9,2,FALSE)+AC64*VLOOKUP($D64,'MultiReg Model'!$A$5:$F$9,3,FALSE)+Z64*VLOOKUP($D64,'MultiReg Model'!$A$5:$F$9,4,FALSE)+AA64*VLOOKUP($D64,'MultiReg Model'!$A$5:$F$9,5,FALSE)+AB64*VLOOKUP($D64,'MultiReg Model'!$A$5:$F$9,6,FALSE)</f>
        <v>8.7748811674911948</v>
      </c>
      <c r="AF64" cm="1">
        <f t="array" ref="AF64">MMULT($AG64:$AM64,'Avg CI Index'!$C$2:$C$8)/BI64</f>
        <v>8.7848811778640243</v>
      </c>
      <c r="AG64">
        <v>1192.8167096811103</v>
      </c>
      <c r="AH64">
        <v>625.58803990845809</v>
      </c>
      <c r="AI64">
        <v>315.88577463814062</v>
      </c>
      <c r="AJ64">
        <v>419.55240036057899</v>
      </c>
      <c r="AK64">
        <v>1084.2023146111464</v>
      </c>
      <c r="AL64">
        <v>3.3795835552402394E-3</v>
      </c>
      <c r="AM64">
        <v>3121.6774402132387</v>
      </c>
      <c r="AN64" cm="1">
        <f t="array" ref="AN64">$Y64*INDEX(RefCapacity!$D$2:$D$526,MATCH(1,(RefCapacity!$A$2:$A$526=RefCapacityProj!$D64)*(RefCapacity!$B$2:$B$526=2019)*(RefCapacity!$C$2:$C$526=AG$1),0))/SUMIFS(RefCapacity!$D$2:$D$526,RefCapacity!$A$2:$A$526,RefCapacityProj!$D64,RefCapacity!$B$2:$B$526,2019)</f>
        <v>203.42203276672706</v>
      </c>
      <c r="AO64" cm="1">
        <f t="array" ref="AO64">$Y64*INDEX(RefCapacity!$D$2:$D$526,MATCH(1,(RefCapacity!$A$2:$A$526=RefCapacityProj!$D64)*(RefCapacity!$B$2:$B$526=2019)*(RefCapacity!$C$2:$C$526=AH$1),0))/SUMIFS(RefCapacity!$D$2:$D$526,RefCapacity!$A$2:$A$526,RefCapacityProj!$D64,RefCapacity!$B$2:$B$526,2019)</f>
        <v>472.67980674953327</v>
      </c>
      <c r="AP64" cm="1">
        <f t="array" ref="AP64">$Y64*INDEX(RefCapacity!$D$2:$D$526,MATCH(1,(RefCapacity!$A$2:$A$526=RefCapacityProj!$D64)*(RefCapacity!$B$2:$B$526=2019)*(RefCapacity!$C$2:$C$526=AI$1),0))/SUMIFS(RefCapacity!$D$2:$D$526,RefCapacity!$A$2:$A$526,RefCapacityProj!$D64,RefCapacity!$B$2:$B$526,2019)</f>
        <v>203.22075064457636</v>
      </c>
      <c r="AQ64" cm="1">
        <f t="array" ref="AQ64">$Y64*INDEX(RefCapacity!$D$2:$D$526,MATCH(1,(RefCapacity!$A$2:$A$526=RefCapacityProj!$D64)*(RefCapacity!$B$2:$B$526=2019)*(RefCapacity!$C$2:$C$526=AJ$1),0))/SUMIFS(RefCapacity!$D$2:$D$526,RefCapacity!$A$2:$A$526,RefCapacityProj!$D64,RefCapacity!$B$2:$B$526,2019)</f>
        <v>693.85657141723141</v>
      </c>
      <c r="AR64" cm="1">
        <f t="array" ref="AR64">$Y64*INDEX(RefCapacity!$D$2:$D$526,MATCH(1,(RefCapacity!$A$2:$A$526=RefCapacityProj!$D64)*(RefCapacity!$B$2:$B$526=2019)*(RefCapacity!$C$2:$C$526=AK$1),0))/SUMIFS(RefCapacity!$D$2:$D$526,RefCapacity!$A$2:$A$526,RefCapacityProj!$D64,RefCapacity!$B$2:$B$526,2019)</f>
        <v>1419.0114823743447</v>
      </c>
      <c r="AS64" cm="1">
        <f t="array" ref="AS64">$Y64*INDEX(RefCapacity!$D$2:$D$526,MATCH(1,(RefCapacity!$A$2:$A$526=RefCapacityProj!$D64)*(RefCapacity!$B$2:$B$526=2019)*(RefCapacity!$C$2:$C$526=AL$1),0))/SUMIFS(RefCapacity!$D$2:$D$526,RefCapacity!$A$2:$A$526,RefCapacityProj!$D64,RefCapacity!$B$2:$B$526,2019)</f>
        <v>26.104848606573892</v>
      </c>
      <c r="AT64" cm="1">
        <f t="array" ref="AT64">$Y64*INDEX(RefCapacity!$D$2:$D$526,MATCH(1,(RefCapacity!$A$2:$A$526=RefCapacityProj!$D64)*(RefCapacity!$B$2:$B$526=2019)*(RefCapacity!$C$2:$C$526=AM$1),0))/SUMIFS(RefCapacity!$D$2:$D$526,RefCapacity!$A$2:$A$526,RefCapacityProj!$D64,RefCapacity!$B$2:$B$526,2019)</f>
        <v>3676.545050476851</v>
      </c>
      <c r="AU64" cm="1">
        <f t="array" ref="AU64">INDEX(RefCapacity!$D$2:$D$526,MATCH(1,(RefCapacity!$A$2:$A$526=RefCapacityProj!$D64)*(RefCapacity!$B$2:$B$526=2019)*(RefCapacity!$C$2:$C$526=RefCapacityProj!AG$1),0))*IF($C64=2035,1+VLOOKUP(AG$1,RefCapacity!$H$2:$L$8,2,FALSE),1+VLOOKUP(AG$1,RefCapacity!$H$2:$L$8,4,FALSE))</f>
        <v>1341.688193439242</v>
      </c>
      <c r="AV64" cm="1">
        <f t="array" ref="AV64">INDEX(RefCapacity!$D$2:$D$526,MATCH(1,(RefCapacity!$A$2:$A$526=RefCapacityProj!$D64)*(RefCapacity!$B$2:$B$526=2019)*(RefCapacity!$C$2:$C$526=RefCapacityProj!AH$1),0))*IF($C64=2035,1+VLOOKUP(AH$1,RefCapacity!$H$2:$L$8,2,FALSE),1+VLOOKUP(AH$1,RefCapacity!$H$2:$L$8,4,FALSE))</f>
        <v>1166.9533873398473</v>
      </c>
      <c r="AW64" cm="1">
        <f t="array" ref="AW64">INDEX(RefCapacity!$D$2:$D$526,MATCH(1,(RefCapacity!$A$2:$A$526=RefCapacityProj!$D64)*(RefCapacity!$B$2:$B$526=2019)*(RefCapacity!$C$2:$C$526=RefCapacityProj!AI$1),0))*IF($C64=2035,1+VLOOKUP(AI$1,RefCapacity!$H$2:$L$8,2,FALSE),1+VLOOKUP(AI$1,RefCapacity!$H$2:$L$8,4,FALSE))</f>
        <v>315.88917723076923</v>
      </c>
      <c r="AX64" cm="1">
        <f t="array" ref="AX64">INDEX(RefCapacity!$D$2:$D$526,MATCH(1,(RefCapacity!$A$2:$A$526=RefCapacityProj!$D64)*(RefCapacity!$B$2:$B$526=2019)*(RefCapacity!$C$2:$C$526=RefCapacityProj!AJ$1),0))*IF($C64=2035,1+VLOOKUP(AJ$1,RefCapacity!$H$2:$L$8,2,FALSE),1+VLOOKUP(AJ$1,RefCapacity!$H$2:$L$8,4,FALSE))</f>
        <v>2857.6483299595143</v>
      </c>
      <c r="AY64" cm="1">
        <f t="array" ref="AY64">INDEX(RefCapacity!$D$2:$D$526,MATCH(1,(RefCapacity!$A$2:$A$526=RefCapacityProj!$D64)*(RefCapacity!$B$2:$B$526=2019)*(RefCapacity!$C$2:$C$526=RefCapacityProj!AK$1),0))*IF($C64=2035,1+VLOOKUP(AK$1,RefCapacity!$H$2:$L$8,2,FALSE),1+VLOOKUP(AK$1,RefCapacity!$H$2:$L$8,4,FALSE))</f>
        <v>3063.8504634026467</v>
      </c>
      <c r="AZ64" cm="1">
        <f t="array" ref="AZ64">INDEX(RefCapacity!$D$2:$D$526,MATCH(1,(RefCapacity!$A$2:$A$526=RefCapacityProj!$D64)*(RefCapacity!$B$2:$B$526=2019)*(RefCapacity!$C$2:$C$526=RefCapacityProj!AL$1),0))*IF($C64=2035,1+VLOOKUP(AL$1,RefCapacity!$H$2:$L$8,2,FALSE),1+VLOOKUP(AL$1,RefCapacity!$H$2:$L$8,4,FALSE))</f>
        <v>69.2605029229384</v>
      </c>
      <c r="BA64" cm="1">
        <f t="array" ref="BA64">INDEX(RefCapacity!$D$2:$D$526,MATCH(1,(RefCapacity!$A$2:$A$526=RefCapacityProj!$D64)*(RefCapacity!$B$2:$B$526=2019)*(RefCapacity!$C$2:$C$526=RefCapacityProj!AM$1),0))*IF($C64=2035,1+VLOOKUP(AM$1,RefCapacity!$H$2:$L$8,2,FALSE),1+VLOOKUP(AM$1,RefCapacity!$H$2:$L$8,4,FALSE))</f>
        <v>5773.7168821974883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f t="shared" si="4"/>
        <v>6759.7260589962279</v>
      </c>
      <c r="BJ64">
        <f t="shared" si="5"/>
        <v>64.885515960389966</v>
      </c>
      <c r="BK64">
        <f t="shared" si="6"/>
        <v>1.0000010372829493E-2</v>
      </c>
      <c r="BL64" cm="1">
        <f t="array" ref="BL64">AG64/$BI64*INDEX('GHG Emission'!$C$2:$C$1121,MATCH(1,('GHG Emission'!$D$2:$D$1121=$D64)*('GHG Emission'!$E$2:$E$1121=$C64)*('GHG Emission'!$F$2:$F$1121=$B64)*('GHG Emission'!$I$2:$I$1121=$E64)*('GHG Emission'!$J$2:$J$1121=$F64)*('GHG Emission'!$K$2:$K$1121=AG$1),0))+AH64/$BI64*INDEX('GHG Emission'!$C$2:$C$1121,MATCH(1,('GHG Emission'!$D$2:$D$1121=$D64)*('GHG Emission'!$E$2:$E$1121=$C64)*('GHG Emission'!$F$2:$F$1121=$B64)*('GHG Emission'!$I$2:$I$1121=$E64)*('GHG Emission'!$J$2:$J$1121=$F64)*('GHG Emission'!$K$2:$K$1121=AH$1),0))+AI64/$BI64*INDEX('GHG Emission'!$C$2:$C$1121,MATCH(1,('GHG Emission'!$D$2:$D$1121=$D64)*('GHG Emission'!$E$2:$E$1121=$C64)*('GHG Emission'!$F$2:$F$1121=$B64)*('GHG Emission'!$I$2:$I$1121=$E64)*('GHG Emission'!$J$2:$J$1121=$F64)*('GHG Emission'!$K$2:$K$1121=AI$1),0))+AJ64/$BI64*INDEX('GHG Emission'!$C$2:$C$1121,MATCH(1,('GHG Emission'!$D$2:$D$1121=$D64)*('GHG Emission'!$E$2:$E$1121=$C64)*('GHG Emission'!$F$2:$F$1121=$B64)*('GHG Emission'!$I$2:$I$1121=$E64)*('GHG Emission'!$J$2:$J$1121=$F64)*('GHG Emission'!$K$2:$K$1121=AJ$1),0))+AK64/$BI64*INDEX('GHG Emission'!$C$2:$C$1121,MATCH(1,('GHG Emission'!$D$2:$D$1121=$D64)*('GHG Emission'!$E$2:$E$1121=$C64)*('GHG Emission'!$F$2:$F$1121=$B64)*('GHG Emission'!$I$2:$I$1121=$E64)*('GHG Emission'!$J$2:$J$1121=$F64)*('GHG Emission'!$K$2:$K$1121=AK$1),0))+AL64/$BI64*INDEX('GHG Emission'!$C$2:$C$1121,MATCH(1,('GHG Emission'!$D$2:$D$1121=$D64)*('GHG Emission'!$E$2:$E$1121=$C64)*('GHG Emission'!$F$2:$F$1121=$B64)*('GHG Emission'!$I$2:$I$1121=$E64)*('GHG Emission'!$J$2:$J$1121=$F64)*('GHG Emission'!$K$2:$K$1121=AL$1),0))+AM64/$BI64*INDEX('GHG Emission'!$C$2:$C$1121,MATCH(1,('GHG Emission'!$D$2:$D$1121=$D64)*('GHG Emission'!$E$2:$E$1121=$C64)*('GHG Emission'!$F$2:$F$1121=$B64)*('GHG Emission'!$I$2:$I$1121=$E64)*('GHG Emission'!$J$2:$J$1121=$F64)*('GHG Emission'!$K$2:$K$1121=AM$1),0))</f>
        <v>32.78494264660344</v>
      </c>
      <c r="BM64" t="str">
        <f t="shared" si="7"/>
        <v>LIGHT/SWEET</v>
      </c>
    </row>
    <row r="65" spans="1:65" hidden="1" x14ac:dyDescent="0.25">
      <c r="A65">
        <v>64</v>
      </c>
      <c r="B65" t="s">
        <v>470</v>
      </c>
      <c r="C65">
        <v>2050</v>
      </c>
      <c r="D65">
        <v>3</v>
      </c>
      <c r="E65" t="s">
        <v>469</v>
      </c>
      <c r="F65" t="s">
        <v>468</v>
      </c>
      <c r="G65">
        <v>1447.8167547805631</v>
      </c>
      <c r="H65">
        <v>1077.1561660460204</v>
      </c>
      <c r="I65">
        <v>2163.4248727932877</v>
      </c>
      <c r="J65">
        <v>1534.6588472218261</v>
      </c>
      <c r="K65">
        <v>269.32588574164436</v>
      </c>
      <c r="L65">
        <v>49.948418930838677</v>
      </c>
      <c r="M65">
        <v>0</v>
      </c>
      <c r="N65">
        <v>0</v>
      </c>
      <c r="O65">
        <v>0</v>
      </c>
      <c r="P65">
        <v>105.83663421026799</v>
      </c>
      <c r="Q65">
        <v>0</v>
      </c>
      <c r="R65">
        <v>0</v>
      </c>
      <c r="S65">
        <v>0</v>
      </c>
      <c r="T65">
        <v>12.969949555427933</v>
      </c>
      <c r="U65">
        <v>0</v>
      </c>
      <c r="V65">
        <v>0</v>
      </c>
      <c r="W65">
        <v>0</v>
      </c>
      <c r="X65">
        <f t="shared" si="0"/>
        <v>6661.1375292798766</v>
      </c>
      <c r="Y65">
        <f>X65*VLOOKUP($D65,'LinearReg Model'!$S$2:$T$6,2,FALSE)</f>
        <v>6694.840543035838</v>
      </c>
      <c r="Z65">
        <f t="shared" si="1"/>
        <v>0.21735277922374377</v>
      </c>
      <c r="AA65">
        <f t="shared" si="2"/>
        <v>0.32478309647318926</v>
      </c>
      <c r="AB65">
        <f t="shared" si="3"/>
        <v>0.16170754038799584</v>
      </c>
      <c r="AC65">
        <v>37.317276792879753</v>
      </c>
      <c r="AD65">
        <v>2.673413137685352</v>
      </c>
      <c r="AE65" s="2">
        <f>VLOOKUP($D65,'MultiReg Model'!$A$5:$F$9,2,FALSE)+AC65*VLOOKUP($D65,'MultiReg Model'!$A$5:$F$9,3,FALSE)+Z65*VLOOKUP($D65,'MultiReg Model'!$A$5:$F$9,4,FALSE)+AA65*VLOOKUP($D65,'MultiReg Model'!$A$5:$F$9,5,FALSE)+AB65*VLOOKUP($D65,'MultiReg Model'!$A$5:$F$9,6,FALSE)</f>
        <v>8.7748811674911948</v>
      </c>
      <c r="AF65" cm="1">
        <f t="array" ref="AF65">MMULT($AG65:$AM65,'Avg CI Index'!$C$2:$C$8)/BI65</f>
        <v>8.7848811778640243</v>
      </c>
      <c r="AG65">
        <v>1192.8167096811103</v>
      </c>
      <c r="AH65">
        <v>625.58803990845809</v>
      </c>
      <c r="AI65">
        <v>315.88577463814062</v>
      </c>
      <c r="AJ65">
        <v>419.55240036057899</v>
      </c>
      <c r="AK65">
        <v>1084.2023146111464</v>
      </c>
      <c r="AL65">
        <v>3.3795835552402394E-3</v>
      </c>
      <c r="AM65">
        <v>3121.6774402132387</v>
      </c>
      <c r="AN65" cm="1">
        <f t="array" ref="AN65">$Y65*INDEX(RefCapacity!$D$2:$D$526,MATCH(1,(RefCapacity!$A$2:$A$526=RefCapacityProj!$D65)*(RefCapacity!$B$2:$B$526=2019)*(RefCapacity!$C$2:$C$526=AG$1),0))/SUMIFS(RefCapacity!$D$2:$D$526,RefCapacity!$A$2:$A$526,RefCapacityProj!$D65,RefCapacity!$B$2:$B$526,2019)</f>
        <v>203.42203276672706</v>
      </c>
      <c r="AO65" cm="1">
        <f t="array" ref="AO65">$Y65*INDEX(RefCapacity!$D$2:$D$526,MATCH(1,(RefCapacity!$A$2:$A$526=RefCapacityProj!$D65)*(RefCapacity!$B$2:$B$526=2019)*(RefCapacity!$C$2:$C$526=AH$1),0))/SUMIFS(RefCapacity!$D$2:$D$526,RefCapacity!$A$2:$A$526,RefCapacityProj!$D65,RefCapacity!$B$2:$B$526,2019)</f>
        <v>472.67980674953327</v>
      </c>
      <c r="AP65" cm="1">
        <f t="array" ref="AP65">$Y65*INDEX(RefCapacity!$D$2:$D$526,MATCH(1,(RefCapacity!$A$2:$A$526=RefCapacityProj!$D65)*(RefCapacity!$B$2:$B$526=2019)*(RefCapacity!$C$2:$C$526=AI$1),0))/SUMIFS(RefCapacity!$D$2:$D$526,RefCapacity!$A$2:$A$526,RefCapacityProj!$D65,RefCapacity!$B$2:$B$526,2019)</f>
        <v>203.22075064457636</v>
      </c>
      <c r="AQ65" cm="1">
        <f t="array" ref="AQ65">$Y65*INDEX(RefCapacity!$D$2:$D$526,MATCH(1,(RefCapacity!$A$2:$A$526=RefCapacityProj!$D65)*(RefCapacity!$B$2:$B$526=2019)*(RefCapacity!$C$2:$C$526=AJ$1),0))/SUMIFS(RefCapacity!$D$2:$D$526,RefCapacity!$A$2:$A$526,RefCapacityProj!$D65,RefCapacity!$B$2:$B$526,2019)</f>
        <v>693.85657141723141</v>
      </c>
      <c r="AR65" cm="1">
        <f t="array" ref="AR65">$Y65*INDEX(RefCapacity!$D$2:$D$526,MATCH(1,(RefCapacity!$A$2:$A$526=RefCapacityProj!$D65)*(RefCapacity!$B$2:$B$526=2019)*(RefCapacity!$C$2:$C$526=AK$1),0))/SUMIFS(RefCapacity!$D$2:$D$526,RefCapacity!$A$2:$A$526,RefCapacityProj!$D65,RefCapacity!$B$2:$B$526,2019)</f>
        <v>1419.0114823743447</v>
      </c>
      <c r="AS65" cm="1">
        <f t="array" ref="AS65">$Y65*INDEX(RefCapacity!$D$2:$D$526,MATCH(1,(RefCapacity!$A$2:$A$526=RefCapacityProj!$D65)*(RefCapacity!$B$2:$B$526=2019)*(RefCapacity!$C$2:$C$526=AL$1),0))/SUMIFS(RefCapacity!$D$2:$D$526,RefCapacity!$A$2:$A$526,RefCapacityProj!$D65,RefCapacity!$B$2:$B$526,2019)</f>
        <v>26.104848606573892</v>
      </c>
      <c r="AT65" cm="1">
        <f t="array" ref="AT65">$Y65*INDEX(RefCapacity!$D$2:$D$526,MATCH(1,(RefCapacity!$A$2:$A$526=RefCapacityProj!$D65)*(RefCapacity!$B$2:$B$526=2019)*(RefCapacity!$C$2:$C$526=AM$1),0))/SUMIFS(RefCapacity!$D$2:$D$526,RefCapacity!$A$2:$A$526,RefCapacityProj!$D65,RefCapacity!$B$2:$B$526,2019)</f>
        <v>3676.545050476851</v>
      </c>
      <c r="AU65" cm="1">
        <f t="array" ref="AU65">INDEX(RefCapacity!$D$2:$D$526,MATCH(1,(RefCapacity!$A$2:$A$526=RefCapacityProj!$D65)*(RefCapacity!$B$2:$B$526=2019)*(RefCapacity!$C$2:$C$526=RefCapacityProj!AG$1),0))*IF($C65=2035,1+VLOOKUP(AG$1,RefCapacity!$H$2:$L$8,2,FALSE),1+VLOOKUP(AG$1,RefCapacity!$H$2:$L$8,4,FALSE))</f>
        <v>1341.688193439242</v>
      </c>
      <c r="AV65" cm="1">
        <f t="array" ref="AV65">INDEX(RefCapacity!$D$2:$D$526,MATCH(1,(RefCapacity!$A$2:$A$526=RefCapacityProj!$D65)*(RefCapacity!$B$2:$B$526=2019)*(RefCapacity!$C$2:$C$526=RefCapacityProj!AH$1),0))*IF($C65=2035,1+VLOOKUP(AH$1,RefCapacity!$H$2:$L$8,2,FALSE),1+VLOOKUP(AH$1,RefCapacity!$H$2:$L$8,4,FALSE))</f>
        <v>1166.9533873398473</v>
      </c>
      <c r="AW65" cm="1">
        <f t="array" ref="AW65">INDEX(RefCapacity!$D$2:$D$526,MATCH(1,(RefCapacity!$A$2:$A$526=RefCapacityProj!$D65)*(RefCapacity!$B$2:$B$526=2019)*(RefCapacity!$C$2:$C$526=RefCapacityProj!AI$1),0))*IF($C65=2035,1+VLOOKUP(AI$1,RefCapacity!$H$2:$L$8,2,FALSE),1+VLOOKUP(AI$1,RefCapacity!$H$2:$L$8,4,FALSE))</f>
        <v>315.88917723076923</v>
      </c>
      <c r="AX65" cm="1">
        <f t="array" ref="AX65">INDEX(RefCapacity!$D$2:$D$526,MATCH(1,(RefCapacity!$A$2:$A$526=RefCapacityProj!$D65)*(RefCapacity!$B$2:$B$526=2019)*(RefCapacity!$C$2:$C$526=RefCapacityProj!AJ$1),0))*IF($C65=2035,1+VLOOKUP(AJ$1,RefCapacity!$H$2:$L$8,2,FALSE),1+VLOOKUP(AJ$1,RefCapacity!$H$2:$L$8,4,FALSE))</f>
        <v>2857.6483299595143</v>
      </c>
      <c r="AY65" cm="1">
        <f t="array" ref="AY65">INDEX(RefCapacity!$D$2:$D$526,MATCH(1,(RefCapacity!$A$2:$A$526=RefCapacityProj!$D65)*(RefCapacity!$B$2:$B$526=2019)*(RefCapacity!$C$2:$C$526=RefCapacityProj!AK$1),0))*IF($C65=2035,1+VLOOKUP(AK$1,RefCapacity!$H$2:$L$8,2,FALSE),1+VLOOKUP(AK$1,RefCapacity!$H$2:$L$8,4,FALSE))</f>
        <v>3063.8504634026467</v>
      </c>
      <c r="AZ65" cm="1">
        <f t="array" ref="AZ65">INDEX(RefCapacity!$D$2:$D$526,MATCH(1,(RefCapacity!$A$2:$A$526=RefCapacityProj!$D65)*(RefCapacity!$B$2:$B$526=2019)*(RefCapacity!$C$2:$C$526=RefCapacityProj!AL$1),0))*IF($C65=2035,1+VLOOKUP(AL$1,RefCapacity!$H$2:$L$8,2,FALSE),1+VLOOKUP(AL$1,RefCapacity!$H$2:$L$8,4,FALSE))</f>
        <v>69.2605029229384</v>
      </c>
      <c r="BA65" cm="1">
        <f t="array" ref="BA65">INDEX(RefCapacity!$D$2:$D$526,MATCH(1,(RefCapacity!$A$2:$A$526=RefCapacityProj!$D65)*(RefCapacity!$B$2:$B$526=2019)*(RefCapacity!$C$2:$C$526=RefCapacityProj!AM$1),0))*IF($C65=2035,1+VLOOKUP(AM$1,RefCapacity!$H$2:$L$8,2,FALSE),1+VLOOKUP(AM$1,RefCapacity!$H$2:$L$8,4,FALSE))</f>
        <v>5773.7168821974883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f t="shared" si="4"/>
        <v>6759.7260589962279</v>
      </c>
      <c r="BJ65">
        <f t="shared" si="5"/>
        <v>64.885515960389966</v>
      </c>
      <c r="BK65">
        <f t="shared" si="6"/>
        <v>1.0000010372829493E-2</v>
      </c>
      <c r="BL65" cm="1">
        <f t="array" ref="BL65">AG65/$BI65*INDEX('GHG Emission'!$C$2:$C$1121,MATCH(1,('GHG Emission'!$D$2:$D$1121=$D65)*('GHG Emission'!$E$2:$E$1121=$C65)*('GHG Emission'!$F$2:$F$1121=$B65)*('GHG Emission'!$I$2:$I$1121=$E65)*('GHG Emission'!$J$2:$J$1121=$F65)*('GHG Emission'!$K$2:$K$1121=AG$1),0))+AH65/$BI65*INDEX('GHG Emission'!$C$2:$C$1121,MATCH(1,('GHG Emission'!$D$2:$D$1121=$D65)*('GHG Emission'!$E$2:$E$1121=$C65)*('GHG Emission'!$F$2:$F$1121=$B65)*('GHG Emission'!$I$2:$I$1121=$E65)*('GHG Emission'!$J$2:$J$1121=$F65)*('GHG Emission'!$K$2:$K$1121=AH$1),0))+AI65/$BI65*INDEX('GHG Emission'!$C$2:$C$1121,MATCH(1,('GHG Emission'!$D$2:$D$1121=$D65)*('GHG Emission'!$E$2:$E$1121=$C65)*('GHG Emission'!$F$2:$F$1121=$B65)*('GHG Emission'!$I$2:$I$1121=$E65)*('GHG Emission'!$J$2:$J$1121=$F65)*('GHG Emission'!$K$2:$K$1121=AI$1),0))+AJ65/$BI65*INDEX('GHG Emission'!$C$2:$C$1121,MATCH(1,('GHG Emission'!$D$2:$D$1121=$D65)*('GHG Emission'!$E$2:$E$1121=$C65)*('GHG Emission'!$F$2:$F$1121=$B65)*('GHG Emission'!$I$2:$I$1121=$E65)*('GHG Emission'!$J$2:$J$1121=$F65)*('GHG Emission'!$K$2:$K$1121=AJ$1),0))+AK65/$BI65*INDEX('GHG Emission'!$C$2:$C$1121,MATCH(1,('GHG Emission'!$D$2:$D$1121=$D65)*('GHG Emission'!$E$2:$E$1121=$C65)*('GHG Emission'!$F$2:$F$1121=$B65)*('GHG Emission'!$I$2:$I$1121=$E65)*('GHG Emission'!$J$2:$J$1121=$F65)*('GHG Emission'!$K$2:$K$1121=AK$1),0))+AL65/$BI65*INDEX('GHG Emission'!$C$2:$C$1121,MATCH(1,('GHG Emission'!$D$2:$D$1121=$D65)*('GHG Emission'!$E$2:$E$1121=$C65)*('GHG Emission'!$F$2:$F$1121=$B65)*('GHG Emission'!$I$2:$I$1121=$E65)*('GHG Emission'!$J$2:$J$1121=$F65)*('GHG Emission'!$K$2:$K$1121=AL$1),0))+AM65/$BI65*INDEX('GHG Emission'!$C$2:$C$1121,MATCH(1,('GHG Emission'!$D$2:$D$1121=$D65)*('GHG Emission'!$E$2:$E$1121=$C65)*('GHG Emission'!$F$2:$F$1121=$B65)*('GHG Emission'!$I$2:$I$1121=$E65)*('GHG Emission'!$J$2:$J$1121=$F65)*('GHG Emission'!$K$2:$K$1121=AM$1),0))</f>
        <v>34.04842229617995</v>
      </c>
      <c r="BM65" t="str">
        <f t="shared" si="7"/>
        <v>LIGHT/SOUR</v>
      </c>
    </row>
    <row r="66" spans="1:65" hidden="1" x14ac:dyDescent="0.25">
      <c r="A66">
        <v>65</v>
      </c>
      <c r="B66" t="s">
        <v>470</v>
      </c>
      <c r="C66">
        <v>2035</v>
      </c>
      <c r="D66">
        <v>4</v>
      </c>
      <c r="E66" t="s">
        <v>466</v>
      </c>
      <c r="F66" t="s">
        <v>467</v>
      </c>
      <c r="G66">
        <v>231.96148124169673</v>
      </c>
      <c r="H66">
        <v>25.722246412711044</v>
      </c>
      <c r="I66">
        <v>157.53395879384433</v>
      </c>
      <c r="J66">
        <v>38.056493558086117</v>
      </c>
      <c r="K66">
        <v>4.5959626645722889</v>
      </c>
      <c r="L66">
        <v>2.1462026217592438</v>
      </c>
      <c r="M66">
        <v>0</v>
      </c>
      <c r="N66">
        <v>0</v>
      </c>
      <c r="O66">
        <v>0</v>
      </c>
      <c r="P66">
        <v>143.6758380967627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f t="shared" si="0"/>
        <v>603.69218338943256</v>
      </c>
      <c r="Y66">
        <f>X66*VLOOKUP($D66,'LinearReg Model'!$S$2:$T$6,2,FALSE)</f>
        <v>548.35027295826023</v>
      </c>
      <c r="Z66">
        <f t="shared" si="1"/>
        <v>0.38423800675925257</v>
      </c>
      <c r="AA66">
        <f t="shared" si="2"/>
        <v>0.26095080096841605</v>
      </c>
      <c r="AB66">
        <f t="shared" si="3"/>
        <v>4.2608215114354094E-2</v>
      </c>
      <c r="AC66">
        <v>29.333484298143549</v>
      </c>
      <c r="AD66">
        <v>1.1317892699899461</v>
      </c>
      <c r="AE66" s="2">
        <f>VLOOKUP($D66,'MultiReg Model'!$A$5:$F$9,2,FALSE)+AC66*VLOOKUP($D66,'MultiReg Model'!$A$5:$F$9,3,FALSE)+Z66*VLOOKUP($D66,'MultiReg Model'!$A$5:$F$9,4,FALSE)+AA66*VLOOKUP($D66,'MultiReg Model'!$A$5:$F$9,5,FALSE)+AB66*VLOOKUP($D66,'MultiReg Model'!$A$5:$F$9,6,FALSE)</f>
        <v>6.6472538852919429</v>
      </c>
      <c r="AF66" cm="1">
        <f t="array" ref="AF66">MMULT($AG66:$AM66,'Avg CI Index'!$C$2:$C$8)/BI66</f>
        <v>7.7793814023738808</v>
      </c>
      <c r="AG66">
        <v>41.247209074210645</v>
      </c>
      <c r="AH66">
        <v>311.65678471707122</v>
      </c>
      <c r="AI66">
        <v>0</v>
      </c>
      <c r="AJ66">
        <v>138.96474358863489</v>
      </c>
      <c r="AK66">
        <v>50.890440431536689</v>
      </c>
      <c r="AL66">
        <v>0</v>
      </c>
      <c r="AM66">
        <v>7.3937196011215188E-11</v>
      </c>
      <c r="AN66" cm="1">
        <f t="array" ref="AN66">$Y66*INDEX(RefCapacity!$D$2:$D$526,MATCH(1,(RefCapacity!$A$2:$A$526=RefCapacityProj!$D66)*(RefCapacity!$B$2:$B$526=2019)*(RefCapacity!$C$2:$C$526=AG$1),0))/SUMIFS(RefCapacity!$D$2:$D$526,RefCapacity!$A$2:$A$526,RefCapacityProj!$D66,RefCapacity!$B$2:$B$526,2019)</f>
        <v>11.950181285913034</v>
      </c>
      <c r="AO66" cm="1">
        <f t="array" ref="AO66">$Y66*INDEX(RefCapacity!$D$2:$D$526,MATCH(1,(RefCapacity!$A$2:$A$526=RefCapacityProj!$D66)*(RefCapacity!$B$2:$B$526=2019)*(RefCapacity!$C$2:$C$526=AH$1),0))/SUMIFS(RefCapacity!$D$2:$D$526,RefCapacity!$A$2:$A$526,RefCapacityProj!$D66,RefCapacity!$B$2:$B$526,2019)</f>
        <v>185.24183126403577</v>
      </c>
      <c r="AP66" cm="1">
        <f t="array" ref="AP66">$Y66*INDEX(RefCapacity!$D$2:$D$526,MATCH(1,(RefCapacity!$A$2:$A$526=RefCapacityProj!$D66)*(RefCapacity!$B$2:$B$526=2019)*(RefCapacity!$C$2:$C$526=AI$1),0))/SUMIFS(RefCapacity!$D$2:$D$526,RefCapacity!$A$2:$A$526,RefCapacityProj!$D66,RefCapacity!$B$2:$B$526,2019)</f>
        <v>0</v>
      </c>
      <c r="AQ66" cm="1">
        <f t="array" ref="AQ66">$Y66*INDEX(RefCapacity!$D$2:$D$526,MATCH(1,(RefCapacity!$A$2:$A$526=RefCapacityProj!$D66)*(RefCapacity!$B$2:$B$526=2019)*(RefCapacity!$C$2:$C$526=AJ$1),0))/SUMIFS(RefCapacity!$D$2:$D$526,RefCapacity!$A$2:$A$526,RefCapacityProj!$D66,RefCapacity!$B$2:$B$526,2019)</f>
        <v>58.15247453781884</v>
      </c>
      <c r="AR66" cm="1">
        <f t="array" ref="AR66">$Y66*INDEX(RefCapacity!$D$2:$D$526,MATCH(1,(RefCapacity!$A$2:$A$526=RefCapacityProj!$D66)*(RefCapacity!$B$2:$B$526=2019)*(RefCapacity!$C$2:$C$526=AK$1),0))/SUMIFS(RefCapacity!$D$2:$D$526,RefCapacity!$A$2:$A$526,RefCapacityProj!$D66,RefCapacity!$B$2:$B$526,2019)</f>
        <v>176.62472099048603</v>
      </c>
      <c r="AS66" cm="1">
        <f t="array" ref="AS66">$Y66*INDEX(RefCapacity!$D$2:$D$526,MATCH(1,(RefCapacity!$A$2:$A$526=RefCapacityProj!$D66)*(RefCapacity!$B$2:$B$526=2019)*(RefCapacity!$C$2:$C$526=AL$1),0))/SUMIFS(RefCapacity!$D$2:$D$526,RefCapacity!$A$2:$A$526,RefCapacityProj!$D66,RefCapacity!$B$2:$B$526,2019)</f>
        <v>0</v>
      </c>
      <c r="AT66" cm="1">
        <f t="array" ref="AT66">$Y66*INDEX(RefCapacity!$D$2:$D$526,MATCH(1,(RefCapacity!$A$2:$A$526=RefCapacityProj!$D66)*(RefCapacity!$B$2:$B$526=2019)*(RefCapacity!$C$2:$C$526=AM$1),0))/SUMIFS(RefCapacity!$D$2:$D$526,RefCapacity!$A$2:$A$526,RefCapacityProj!$D66,RefCapacity!$B$2:$B$526,2019)</f>
        <v>116.38106488000656</v>
      </c>
      <c r="AU66" cm="1">
        <f t="array" ref="AU66">INDEX(RefCapacity!$D$2:$D$526,MATCH(1,(RefCapacity!$A$2:$A$526=RefCapacityProj!$D66)*(RefCapacity!$B$2:$B$526=2019)*(RefCapacity!$C$2:$C$526=RefCapacityProj!AG$1),0))*IF($C66=2035,1+VLOOKUP(AG$1,RefCapacity!$H$2:$L$8,2,FALSE),1+VLOOKUP(AG$1,RefCapacity!$H$2:$L$8,4,FALSE))</f>
        <v>41.247209074424283</v>
      </c>
      <c r="AV66" cm="1">
        <f t="array" ref="AV66">INDEX(RefCapacity!$D$2:$D$526,MATCH(1,(RefCapacity!$A$2:$A$526=RefCapacityProj!$D66)*(RefCapacity!$B$2:$B$526=2019)*(RefCapacity!$C$2:$C$526=RefCapacityProj!AH$1),0))*IF($C66=2035,1+VLOOKUP(AH$1,RefCapacity!$H$2:$L$8,2,FALSE),1+VLOOKUP(AH$1,RefCapacity!$H$2:$L$8,4,FALSE))</f>
        <v>311.65678471726699</v>
      </c>
      <c r="AW66" cm="1">
        <f t="array" ref="AW66">INDEX(RefCapacity!$D$2:$D$526,MATCH(1,(RefCapacity!$A$2:$A$526=RefCapacityProj!$D66)*(RefCapacity!$B$2:$B$526=2019)*(RefCapacity!$C$2:$C$526=RefCapacityProj!AI$1),0))*IF($C66=2035,1+VLOOKUP(AI$1,RefCapacity!$H$2:$L$8,2,FALSE),1+VLOOKUP(AI$1,RefCapacity!$H$2:$L$8,4,FALSE))</f>
        <v>0</v>
      </c>
      <c r="AX66" cm="1">
        <f t="array" ref="AX66">INDEX(RefCapacity!$D$2:$D$526,MATCH(1,(RefCapacity!$A$2:$A$526=RefCapacityProj!$D66)*(RefCapacity!$B$2:$B$526=2019)*(RefCapacity!$C$2:$C$526=RefCapacityProj!AJ$1),0))*IF($C66=2035,1+VLOOKUP(AJ$1,RefCapacity!$H$2:$L$8,2,FALSE),1+VLOOKUP(AJ$1,RefCapacity!$H$2:$L$8,4,FALSE))</f>
        <v>138.96474358974359</v>
      </c>
      <c r="AY66" cm="1">
        <f t="array" ref="AY66">INDEX(RefCapacity!$D$2:$D$526,MATCH(1,(RefCapacity!$A$2:$A$526=RefCapacityProj!$D66)*(RefCapacity!$B$2:$B$526=2019)*(RefCapacity!$C$2:$C$526=RefCapacityProj!AK$1),0))*IF($C66=2035,1+VLOOKUP(AK$1,RefCapacity!$H$2:$L$8,2,FALSE),1+VLOOKUP(AK$1,RefCapacity!$H$2:$L$8,4,FALSE))</f>
        <v>273.7118603838083</v>
      </c>
      <c r="AZ66" cm="1">
        <f t="array" ref="AZ66">INDEX(RefCapacity!$D$2:$D$526,MATCH(1,(RefCapacity!$A$2:$A$526=RefCapacityProj!$D66)*(RefCapacity!$B$2:$B$526=2019)*(RefCapacity!$C$2:$C$526=RefCapacityProj!AL$1),0))*IF($C66=2035,1+VLOOKUP(AL$1,RefCapacity!$H$2:$L$8,2,FALSE),1+VLOOKUP(AL$1,RefCapacity!$H$2:$L$8,4,FALSE))</f>
        <v>0</v>
      </c>
      <c r="BA66" cm="1">
        <f t="array" ref="BA66">INDEX(RefCapacity!$D$2:$D$526,MATCH(1,(RefCapacity!$A$2:$A$526=RefCapacityProj!$D66)*(RefCapacity!$B$2:$B$526=2019)*(RefCapacity!$C$2:$C$526=RefCapacityProj!AM$1),0))*IF($C66=2035,1+VLOOKUP(AM$1,RefCapacity!$H$2:$L$8,2,FALSE),1+VLOOKUP(AM$1,RefCapacity!$H$2:$L$8,4,FALSE))</f>
        <v>150.98025463940334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f t="shared" si="4"/>
        <v>542.75917781152737</v>
      </c>
      <c r="BJ66">
        <f t="shared" si="5"/>
        <v>5.5910951467328687</v>
      </c>
      <c r="BK66">
        <f t="shared" si="6"/>
        <v>1.1321275170819378</v>
      </c>
      <c r="BL66" cm="1">
        <f t="array" ref="BL66">AG66/$BI66*INDEX('GHG Emission'!$C$2:$C$1121,MATCH(1,('GHG Emission'!$D$2:$D$1121=$D66)*('GHG Emission'!$E$2:$E$1121=$C66)*('GHG Emission'!$F$2:$F$1121=$B66)*('GHG Emission'!$I$2:$I$1121=$E66)*('GHG Emission'!$J$2:$J$1121=$F66)*('GHG Emission'!$K$2:$K$1121=AG$1),0))+AH66/$BI66*INDEX('GHG Emission'!$C$2:$C$1121,MATCH(1,('GHG Emission'!$D$2:$D$1121=$D66)*('GHG Emission'!$E$2:$E$1121=$C66)*('GHG Emission'!$F$2:$F$1121=$B66)*('GHG Emission'!$I$2:$I$1121=$E66)*('GHG Emission'!$J$2:$J$1121=$F66)*('GHG Emission'!$K$2:$K$1121=AH$1),0))+AI66/$BI66*INDEX('GHG Emission'!$C$2:$C$1121,MATCH(1,('GHG Emission'!$D$2:$D$1121=$D66)*('GHG Emission'!$E$2:$E$1121=$C66)*('GHG Emission'!$F$2:$F$1121=$B66)*('GHG Emission'!$I$2:$I$1121=$E66)*('GHG Emission'!$J$2:$J$1121=$F66)*('GHG Emission'!$K$2:$K$1121=AI$1),0))+AJ66/$BI66*INDEX('GHG Emission'!$C$2:$C$1121,MATCH(1,('GHG Emission'!$D$2:$D$1121=$D66)*('GHG Emission'!$E$2:$E$1121=$C66)*('GHG Emission'!$F$2:$F$1121=$B66)*('GHG Emission'!$I$2:$I$1121=$E66)*('GHG Emission'!$J$2:$J$1121=$F66)*('GHG Emission'!$K$2:$K$1121=AJ$1),0))+AK66/$BI66*INDEX('GHG Emission'!$C$2:$C$1121,MATCH(1,('GHG Emission'!$D$2:$D$1121=$D66)*('GHG Emission'!$E$2:$E$1121=$C66)*('GHG Emission'!$F$2:$F$1121=$B66)*('GHG Emission'!$I$2:$I$1121=$E66)*('GHG Emission'!$J$2:$J$1121=$F66)*('GHG Emission'!$K$2:$K$1121=AK$1),0))+AL66/$BI66*INDEX('GHG Emission'!$C$2:$C$1121,MATCH(1,('GHG Emission'!$D$2:$D$1121=$D66)*('GHG Emission'!$E$2:$E$1121=$C66)*('GHG Emission'!$F$2:$F$1121=$B66)*('GHG Emission'!$I$2:$I$1121=$E66)*('GHG Emission'!$J$2:$J$1121=$F66)*('GHG Emission'!$K$2:$K$1121=AL$1),0))+AM66/$BI66*INDEX('GHG Emission'!$C$2:$C$1121,MATCH(1,('GHG Emission'!$D$2:$D$1121=$D66)*('GHG Emission'!$E$2:$E$1121=$C66)*('GHG Emission'!$F$2:$F$1121=$B66)*('GHG Emission'!$I$2:$I$1121=$E66)*('GHG Emission'!$J$2:$J$1121=$F66)*('GHG Emission'!$K$2:$K$1121=AM$1),0))</f>
        <v>515.67159934303004</v>
      </c>
      <c r="BM66" t="str">
        <f t="shared" si="7"/>
        <v>HEAVY/SWEET</v>
      </c>
    </row>
    <row r="67" spans="1:65" hidden="1" x14ac:dyDescent="0.25">
      <c r="A67">
        <v>66</v>
      </c>
      <c r="B67" t="s">
        <v>470</v>
      </c>
      <c r="C67">
        <v>2035</v>
      </c>
      <c r="D67">
        <v>4</v>
      </c>
      <c r="E67" t="s">
        <v>466</v>
      </c>
      <c r="F67" t="s">
        <v>468</v>
      </c>
      <c r="G67">
        <v>231.96148124169673</v>
      </c>
      <c r="H67">
        <v>25.722246412711044</v>
      </c>
      <c r="I67">
        <v>157.53395879384433</v>
      </c>
      <c r="J67">
        <v>38.056493558086117</v>
      </c>
      <c r="K67">
        <v>4.5959626645722889</v>
      </c>
      <c r="L67">
        <v>2.1462026217592438</v>
      </c>
      <c r="M67">
        <v>0</v>
      </c>
      <c r="N67">
        <v>0</v>
      </c>
      <c r="O67">
        <v>0</v>
      </c>
      <c r="P67">
        <v>143.6758380967627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f t="shared" ref="X67:X130" si="8">SUM($G67:$W67)</f>
        <v>603.69218338943256</v>
      </c>
      <c r="Y67">
        <f>X67*VLOOKUP($D67,'LinearReg Model'!$S$2:$T$6,2,FALSE)</f>
        <v>548.35027295826023</v>
      </c>
      <c r="Z67">
        <f t="shared" ref="Z67:Z130" si="9">G67/$X67</f>
        <v>0.38423800675925257</v>
      </c>
      <c r="AA67">
        <f t="shared" ref="AA67:AA130" si="10">I67/$X67</f>
        <v>0.26095080096841605</v>
      </c>
      <c r="AB67">
        <f t="shared" ref="AB67:AB130" si="11">H67/$X67</f>
        <v>4.2608215114354094E-2</v>
      </c>
      <c r="AC67">
        <v>29.333484298143549</v>
      </c>
      <c r="AD67">
        <v>2.5473042893453721</v>
      </c>
      <c r="AE67" s="2">
        <f>VLOOKUP($D67,'MultiReg Model'!$A$5:$F$9,2,FALSE)+AC67*VLOOKUP($D67,'MultiReg Model'!$A$5:$F$9,3,FALSE)+Z67*VLOOKUP($D67,'MultiReg Model'!$A$5:$F$9,4,FALSE)+AA67*VLOOKUP($D67,'MultiReg Model'!$A$5:$F$9,5,FALSE)+AB67*VLOOKUP($D67,'MultiReg Model'!$A$5:$F$9,6,FALSE)</f>
        <v>6.6472538852919429</v>
      </c>
      <c r="AF67" cm="1">
        <f t="array" ref="AF67">MMULT($AG67:$AM67,'Avg CI Index'!$C$2:$C$8)/BI67</f>
        <v>7.7793814023738808</v>
      </c>
      <c r="AG67">
        <v>41.247209074210645</v>
      </c>
      <c r="AH67">
        <v>311.65678471707122</v>
      </c>
      <c r="AI67">
        <v>0</v>
      </c>
      <c r="AJ67">
        <v>138.96474358863489</v>
      </c>
      <c r="AK67">
        <v>50.890440431536689</v>
      </c>
      <c r="AL67">
        <v>0</v>
      </c>
      <c r="AM67">
        <v>7.3937196011215188E-11</v>
      </c>
      <c r="AN67" cm="1">
        <f t="array" ref="AN67">$Y67*INDEX(RefCapacity!$D$2:$D$526,MATCH(1,(RefCapacity!$A$2:$A$526=RefCapacityProj!$D67)*(RefCapacity!$B$2:$B$526=2019)*(RefCapacity!$C$2:$C$526=AG$1),0))/SUMIFS(RefCapacity!$D$2:$D$526,RefCapacity!$A$2:$A$526,RefCapacityProj!$D67,RefCapacity!$B$2:$B$526,2019)</f>
        <v>11.950181285913034</v>
      </c>
      <c r="AO67" cm="1">
        <f t="array" ref="AO67">$Y67*INDEX(RefCapacity!$D$2:$D$526,MATCH(1,(RefCapacity!$A$2:$A$526=RefCapacityProj!$D67)*(RefCapacity!$B$2:$B$526=2019)*(RefCapacity!$C$2:$C$526=AH$1),0))/SUMIFS(RefCapacity!$D$2:$D$526,RefCapacity!$A$2:$A$526,RefCapacityProj!$D67,RefCapacity!$B$2:$B$526,2019)</f>
        <v>185.24183126403577</v>
      </c>
      <c r="AP67" cm="1">
        <f t="array" ref="AP67">$Y67*INDEX(RefCapacity!$D$2:$D$526,MATCH(1,(RefCapacity!$A$2:$A$526=RefCapacityProj!$D67)*(RefCapacity!$B$2:$B$526=2019)*(RefCapacity!$C$2:$C$526=AI$1),0))/SUMIFS(RefCapacity!$D$2:$D$526,RefCapacity!$A$2:$A$526,RefCapacityProj!$D67,RefCapacity!$B$2:$B$526,2019)</f>
        <v>0</v>
      </c>
      <c r="AQ67" cm="1">
        <f t="array" ref="AQ67">$Y67*INDEX(RefCapacity!$D$2:$D$526,MATCH(1,(RefCapacity!$A$2:$A$526=RefCapacityProj!$D67)*(RefCapacity!$B$2:$B$526=2019)*(RefCapacity!$C$2:$C$526=AJ$1),0))/SUMIFS(RefCapacity!$D$2:$D$526,RefCapacity!$A$2:$A$526,RefCapacityProj!$D67,RefCapacity!$B$2:$B$526,2019)</f>
        <v>58.15247453781884</v>
      </c>
      <c r="AR67" cm="1">
        <f t="array" ref="AR67">$Y67*INDEX(RefCapacity!$D$2:$D$526,MATCH(1,(RefCapacity!$A$2:$A$526=RefCapacityProj!$D67)*(RefCapacity!$B$2:$B$526=2019)*(RefCapacity!$C$2:$C$526=AK$1),0))/SUMIFS(RefCapacity!$D$2:$D$526,RefCapacity!$A$2:$A$526,RefCapacityProj!$D67,RefCapacity!$B$2:$B$526,2019)</f>
        <v>176.62472099048603</v>
      </c>
      <c r="AS67" cm="1">
        <f t="array" ref="AS67">$Y67*INDEX(RefCapacity!$D$2:$D$526,MATCH(1,(RefCapacity!$A$2:$A$526=RefCapacityProj!$D67)*(RefCapacity!$B$2:$B$526=2019)*(RefCapacity!$C$2:$C$526=AL$1),0))/SUMIFS(RefCapacity!$D$2:$D$526,RefCapacity!$A$2:$A$526,RefCapacityProj!$D67,RefCapacity!$B$2:$B$526,2019)</f>
        <v>0</v>
      </c>
      <c r="AT67" cm="1">
        <f t="array" ref="AT67">$Y67*INDEX(RefCapacity!$D$2:$D$526,MATCH(1,(RefCapacity!$A$2:$A$526=RefCapacityProj!$D67)*(RefCapacity!$B$2:$B$526=2019)*(RefCapacity!$C$2:$C$526=AM$1),0))/SUMIFS(RefCapacity!$D$2:$D$526,RefCapacity!$A$2:$A$526,RefCapacityProj!$D67,RefCapacity!$B$2:$B$526,2019)</f>
        <v>116.38106488000656</v>
      </c>
      <c r="AU67" cm="1">
        <f t="array" ref="AU67">INDEX(RefCapacity!$D$2:$D$526,MATCH(1,(RefCapacity!$A$2:$A$526=RefCapacityProj!$D67)*(RefCapacity!$B$2:$B$526=2019)*(RefCapacity!$C$2:$C$526=RefCapacityProj!AG$1),0))*IF($C67=2035,1+VLOOKUP(AG$1,RefCapacity!$H$2:$L$8,2,FALSE),1+VLOOKUP(AG$1,RefCapacity!$H$2:$L$8,4,FALSE))</f>
        <v>41.247209074424283</v>
      </c>
      <c r="AV67" cm="1">
        <f t="array" ref="AV67">INDEX(RefCapacity!$D$2:$D$526,MATCH(1,(RefCapacity!$A$2:$A$526=RefCapacityProj!$D67)*(RefCapacity!$B$2:$B$526=2019)*(RefCapacity!$C$2:$C$526=RefCapacityProj!AH$1),0))*IF($C67=2035,1+VLOOKUP(AH$1,RefCapacity!$H$2:$L$8,2,FALSE),1+VLOOKUP(AH$1,RefCapacity!$H$2:$L$8,4,FALSE))</f>
        <v>311.65678471726699</v>
      </c>
      <c r="AW67" cm="1">
        <f t="array" ref="AW67">INDEX(RefCapacity!$D$2:$D$526,MATCH(1,(RefCapacity!$A$2:$A$526=RefCapacityProj!$D67)*(RefCapacity!$B$2:$B$526=2019)*(RefCapacity!$C$2:$C$526=RefCapacityProj!AI$1),0))*IF($C67=2035,1+VLOOKUP(AI$1,RefCapacity!$H$2:$L$8,2,FALSE),1+VLOOKUP(AI$1,RefCapacity!$H$2:$L$8,4,FALSE))</f>
        <v>0</v>
      </c>
      <c r="AX67" cm="1">
        <f t="array" ref="AX67">INDEX(RefCapacity!$D$2:$D$526,MATCH(1,(RefCapacity!$A$2:$A$526=RefCapacityProj!$D67)*(RefCapacity!$B$2:$B$526=2019)*(RefCapacity!$C$2:$C$526=RefCapacityProj!AJ$1),0))*IF($C67=2035,1+VLOOKUP(AJ$1,RefCapacity!$H$2:$L$8,2,FALSE),1+VLOOKUP(AJ$1,RefCapacity!$H$2:$L$8,4,FALSE))</f>
        <v>138.96474358974359</v>
      </c>
      <c r="AY67" cm="1">
        <f t="array" ref="AY67">INDEX(RefCapacity!$D$2:$D$526,MATCH(1,(RefCapacity!$A$2:$A$526=RefCapacityProj!$D67)*(RefCapacity!$B$2:$B$526=2019)*(RefCapacity!$C$2:$C$526=RefCapacityProj!AK$1),0))*IF($C67=2035,1+VLOOKUP(AK$1,RefCapacity!$H$2:$L$8,2,FALSE),1+VLOOKUP(AK$1,RefCapacity!$H$2:$L$8,4,FALSE))</f>
        <v>273.7118603838083</v>
      </c>
      <c r="AZ67" cm="1">
        <f t="array" ref="AZ67">INDEX(RefCapacity!$D$2:$D$526,MATCH(1,(RefCapacity!$A$2:$A$526=RefCapacityProj!$D67)*(RefCapacity!$B$2:$B$526=2019)*(RefCapacity!$C$2:$C$526=RefCapacityProj!AL$1),0))*IF($C67=2035,1+VLOOKUP(AL$1,RefCapacity!$H$2:$L$8,2,FALSE),1+VLOOKUP(AL$1,RefCapacity!$H$2:$L$8,4,FALSE))</f>
        <v>0</v>
      </c>
      <c r="BA67" cm="1">
        <f t="array" ref="BA67">INDEX(RefCapacity!$D$2:$D$526,MATCH(1,(RefCapacity!$A$2:$A$526=RefCapacityProj!$D67)*(RefCapacity!$B$2:$B$526=2019)*(RefCapacity!$C$2:$C$526=RefCapacityProj!AM$1),0))*IF($C67=2035,1+VLOOKUP(AM$1,RefCapacity!$H$2:$L$8,2,FALSE),1+VLOOKUP(AM$1,RefCapacity!$H$2:$L$8,4,FALSE))</f>
        <v>150.98025463940334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f t="shared" ref="BI67:BI130" si="12">SUM(AG67:AM67)</f>
        <v>542.75917781152737</v>
      </c>
      <c r="BJ67">
        <f t="shared" ref="BJ67:BJ130" si="13">ABS(Y67-BI67)</f>
        <v>5.5910951467328687</v>
      </c>
      <c r="BK67">
        <f t="shared" ref="BK67:BK130" si="14">ABS(AE67-AF67)</f>
        <v>1.1321275170819378</v>
      </c>
      <c r="BL67" cm="1">
        <f t="array" ref="BL67">AG67/$BI67*INDEX('GHG Emission'!$C$2:$C$1121,MATCH(1,('GHG Emission'!$D$2:$D$1121=$D67)*('GHG Emission'!$E$2:$E$1121=$C67)*('GHG Emission'!$F$2:$F$1121=$B67)*('GHG Emission'!$I$2:$I$1121=$E67)*('GHG Emission'!$J$2:$J$1121=$F67)*('GHG Emission'!$K$2:$K$1121=AG$1),0))+AH67/$BI67*INDEX('GHG Emission'!$C$2:$C$1121,MATCH(1,('GHG Emission'!$D$2:$D$1121=$D67)*('GHG Emission'!$E$2:$E$1121=$C67)*('GHG Emission'!$F$2:$F$1121=$B67)*('GHG Emission'!$I$2:$I$1121=$E67)*('GHG Emission'!$J$2:$J$1121=$F67)*('GHG Emission'!$K$2:$K$1121=AH$1),0))+AI67/$BI67*INDEX('GHG Emission'!$C$2:$C$1121,MATCH(1,('GHG Emission'!$D$2:$D$1121=$D67)*('GHG Emission'!$E$2:$E$1121=$C67)*('GHG Emission'!$F$2:$F$1121=$B67)*('GHG Emission'!$I$2:$I$1121=$E67)*('GHG Emission'!$J$2:$J$1121=$F67)*('GHG Emission'!$K$2:$K$1121=AI$1),0))+AJ67/$BI67*INDEX('GHG Emission'!$C$2:$C$1121,MATCH(1,('GHG Emission'!$D$2:$D$1121=$D67)*('GHG Emission'!$E$2:$E$1121=$C67)*('GHG Emission'!$F$2:$F$1121=$B67)*('GHG Emission'!$I$2:$I$1121=$E67)*('GHG Emission'!$J$2:$J$1121=$F67)*('GHG Emission'!$K$2:$K$1121=AJ$1),0))+AK67/$BI67*INDEX('GHG Emission'!$C$2:$C$1121,MATCH(1,('GHG Emission'!$D$2:$D$1121=$D67)*('GHG Emission'!$E$2:$E$1121=$C67)*('GHG Emission'!$F$2:$F$1121=$B67)*('GHG Emission'!$I$2:$I$1121=$E67)*('GHG Emission'!$J$2:$J$1121=$F67)*('GHG Emission'!$K$2:$K$1121=AK$1),0))+AL67/$BI67*INDEX('GHG Emission'!$C$2:$C$1121,MATCH(1,('GHG Emission'!$D$2:$D$1121=$D67)*('GHG Emission'!$E$2:$E$1121=$C67)*('GHG Emission'!$F$2:$F$1121=$B67)*('GHG Emission'!$I$2:$I$1121=$E67)*('GHG Emission'!$J$2:$J$1121=$F67)*('GHG Emission'!$K$2:$K$1121=AL$1),0))+AM67/$BI67*INDEX('GHG Emission'!$C$2:$C$1121,MATCH(1,('GHG Emission'!$D$2:$D$1121=$D67)*('GHG Emission'!$E$2:$E$1121=$C67)*('GHG Emission'!$F$2:$F$1121=$B67)*('GHG Emission'!$I$2:$I$1121=$E67)*('GHG Emission'!$J$2:$J$1121=$F67)*('GHG Emission'!$K$2:$K$1121=AM$1),0))</f>
        <v>34.064945151103437</v>
      </c>
      <c r="BM67" t="str">
        <f t="shared" ref="BM67:BM130" si="15">_xlfn.CONCAT(E67,"/",F67)</f>
        <v>HEAVY/SOUR</v>
      </c>
    </row>
    <row r="68" spans="1:65" hidden="1" x14ac:dyDescent="0.25">
      <c r="A68">
        <v>67</v>
      </c>
      <c r="B68" t="s">
        <v>470</v>
      </c>
      <c r="C68">
        <v>2035</v>
      </c>
      <c r="D68">
        <v>4</v>
      </c>
      <c r="E68" t="s">
        <v>469</v>
      </c>
      <c r="F68" t="s">
        <v>467</v>
      </c>
      <c r="G68">
        <v>231.96148124169673</v>
      </c>
      <c r="H68">
        <v>25.722246412711044</v>
      </c>
      <c r="I68">
        <v>157.53395879384433</v>
      </c>
      <c r="J68">
        <v>38.056493558086117</v>
      </c>
      <c r="K68">
        <v>4.5959626645722889</v>
      </c>
      <c r="L68">
        <v>2.1462026217592438</v>
      </c>
      <c r="M68">
        <v>0</v>
      </c>
      <c r="N68">
        <v>0</v>
      </c>
      <c r="O68">
        <v>0</v>
      </c>
      <c r="P68">
        <v>143.6758380967627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f t="shared" si="8"/>
        <v>603.69218338943256</v>
      </c>
      <c r="Y68">
        <f>X68*VLOOKUP($D68,'LinearReg Model'!$S$2:$T$6,2,FALSE)</f>
        <v>548.35027295826023</v>
      </c>
      <c r="Z68">
        <f t="shared" si="9"/>
        <v>0.38423800675925257</v>
      </c>
      <c r="AA68">
        <f t="shared" si="10"/>
        <v>0.26095080096841605</v>
      </c>
      <c r="AB68">
        <f t="shared" si="11"/>
        <v>4.2608215114354094E-2</v>
      </c>
      <c r="AC68">
        <v>34.027824378954648</v>
      </c>
      <c r="AD68">
        <v>1.1317892699899461</v>
      </c>
      <c r="AE68" s="2">
        <f>VLOOKUP($D68,'MultiReg Model'!$A$5:$F$9,2,FALSE)+AC68*VLOOKUP($D68,'MultiReg Model'!$A$5:$F$9,3,FALSE)+Z68*VLOOKUP($D68,'MultiReg Model'!$A$5:$F$9,4,FALSE)+AA68*VLOOKUP($D68,'MultiReg Model'!$A$5:$F$9,5,FALSE)+AB68*VLOOKUP($D68,'MultiReg Model'!$A$5:$F$9,6,FALSE)</f>
        <v>6.4863883853850135</v>
      </c>
      <c r="AF68" cm="1">
        <f t="array" ref="AF68">MMULT($AG68:$AM68,'Avg CI Index'!$C$2:$C$8)/BI68</f>
        <v>7.7797988696423594</v>
      </c>
      <c r="AG68">
        <v>41.24720907441997</v>
      </c>
      <c r="AH68">
        <v>311.65678471678405</v>
      </c>
      <c r="AI68">
        <v>0</v>
      </c>
      <c r="AJ68">
        <v>138.96474357729718</v>
      </c>
      <c r="AK68">
        <v>50.994710143010515</v>
      </c>
      <c r="AL68">
        <v>0</v>
      </c>
      <c r="AM68">
        <v>1.0205422238471658E-10</v>
      </c>
      <c r="AN68" cm="1">
        <f t="array" ref="AN68">$Y68*INDEX(RefCapacity!$D$2:$D$526,MATCH(1,(RefCapacity!$A$2:$A$526=RefCapacityProj!$D68)*(RefCapacity!$B$2:$B$526=2019)*(RefCapacity!$C$2:$C$526=AG$1),0))/SUMIFS(RefCapacity!$D$2:$D$526,RefCapacity!$A$2:$A$526,RefCapacityProj!$D68,RefCapacity!$B$2:$B$526,2019)</f>
        <v>11.950181285913034</v>
      </c>
      <c r="AO68" cm="1">
        <f t="array" ref="AO68">$Y68*INDEX(RefCapacity!$D$2:$D$526,MATCH(1,(RefCapacity!$A$2:$A$526=RefCapacityProj!$D68)*(RefCapacity!$B$2:$B$526=2019)*(RefCapacity!$C$2:$C$526=AH$1),0))/SUMIFS(RefCapacity!$D$2:$D$526,RefCapacity!$A$2:$A$526,RefCapacityProj!$D68,RefCapacity!$B$2:$B$526,2019)</f>
        <v>185.24183126403577</v>
      </c>
      <c r="AP68" cm="1">
        <f t="array" ref="AP68">$Y68*INDEX(RefCapacity!$D$2:$D$526,MATCH(1,(RefCapacity!$A$2:$A$526=RefCapacityProj!$D68)*(RefCapacity!$B$2:$B$526=2019)*(RefCapacity!$C$2:$C$526=AI$1),0))/SUMIFS(RefCapacity!$D$2:$D$526,RefCapacity!$A$2:$A$526,RefCapacityProj!$D68,RefCapacity!$B$2:$B$526,2019)</f>
        <v>0</v>
      </c>
      <c r="AQ68" cm="1">
        <f t="array" ref="AQ68">$Y68*INDEX(RefCapacity!$D$2:$D$526,MATCH(1,(RefCapacity!$A$2:$A$526=RefCapacityProj!$D68)*(RefCapacity!$B$2:$B$526=2019)*(RefCapacity!$C$2:$C$526=AJ$1),0))/SUMIFS(RefCapacity!$D$2:$D$526,RefCapacity!$A$2:$A$526,RefCapacityProj!$D68,RefCapacity!$B$2:$B$526,2019)</f>
        <v>58.15247453781884</v>
      </c>
      <c r="AR68" cm="1">
        <f t="array" ref="AR68">$Y68*INDEX(RefCapacity!$D$2:$D$526,MATCH(1,(RefCapacity!$A$2:$A$526=RefCapacityProj!$D68)*(RefCapacity!$B$2:$B$526=2019)*(RefCapacity!$C$2:$C$526=AK$1),0))/SUMIFS(RefCapacity!$D$2:$D$526,RefCapacity!$A$2:$A$526,RefCapacityProj!$D68,RefCapacity!$B$2:$B$526,2019)</f>
        <v>176.62472099048603</v>
      </c>
      <c r="AS68" cm="1">
        <f t="array" ref="AS68">$Y68*INDEX(RefCapacity!$D$2:$D$526,MATCH(1,(RefCapacity!$A$2:$A$526=RefCapacityProj!$D68)*(RefCapacity!$B$2:$B$526=2019)*(RefCapacity!$C$2:$C$526=AL$1),0))/SUMIFS(RefCapacity!$D$2:$D$526,RefCapacity!$A$2:$A$526,RefCapacityProj!$D68,RefCapacity!$B$2:$B$526,2019)</f>
        <v>0</v>
      </c>
      <c r="AT68" cm="1">
        <f t="array" ref="AT68">$Y68*INDEX(RefCapacity!$D$2:$D$526,MATCH(1,(RefCapacity!$A$2:$A$526=RefCapacityProj!$D68)*(RefCapacity!$B$2:$B$526=2019)*(RefCapacity!$C$2:$C$526=AM$1),0))/SUMIFS(RefCapacity!$D$2:$D$526,RefCapacity!$A$2:$A$526,RefCapacityProj!$D68,RefCapacity!$B$2:$B$526,2019)</f>
        <v>116.38106488000656</v>
      </c>
      <c r="AU68" cm="1">
        <f t="array" ref="AU68">INDEX(RefCapacity!$D$2:$D$526,MATCH(1,(RefCapacity!$A$2:$A$526=RefCapacityProj!$D68)*(RefCapacity!$B$2:$B$526=2019)*(RefCapacity!$C$2:$C$526=RefCapacityProj!AG$1),0))*IF($C68=2035,1+VLOOKUP(AG$1,RefCapacity!$H$2:$L$8,2,FALSE),1+VLOOKUP(AG$1,RefCapacity!$H$2:$L$8,4,FALSE))</f>
        <v>41.247209074424283</v>
      </c>
      <c r="AV68" cm="1">
        <f t="array" ref="AV68">INDEX(RefCapacity!$D$2:$D$526,MATCH(1,(RefCapacity!$A$2:$A$526=RefCapacityProj!$D68)*(RefCapacity!$B$2:$B$526=2019)*(RefCapacity!$C$2:$C$526=RefCapacityProj!AH$1),0))*IF($C68=2035,1+VLOOKUP(AH$1,RefCapacity!$H$2:$L$8,2,FALSE),1+VLOOKUP(AH$1,RefCapacity!$H$2:$L$8,4,FALSE))</f>
        <v>311.65678471726699</v>
      </c>
      <c r="AW68" cm="1">
        <f t="array" ref="AW68">INDEX(RefCapacity!$D$2:$D$526,MATCH(1,(RefCapacity!$A$2:$A$526=RefCapacityProj!$D68)*(RefCapacity!$B$2:$B$526=2019)*(RefCapacity!$C$2:$C$526=RefCapacityProj!AI$1),0))*IF($C68=2035,1+VLOOKUP(AI$1,RefCapacity!$H$2:$L$8,2,FALSE),1+VLOOKUP(AI$1,RefCapacity!$H$2:$L$8,4,FALSE))</f>
        <v>0</v>
      </c>
      <c r="AX68" cm="1">
        <f t="array" ref="AX68">INDEX(RefCapacity!$D$2:$D$526,MATCH(1,(RefCapacity!$A$2:$A$526=RefCapacityProj!$D68)*(RefCapacity!$B$2:$B$526=2019)*(RefCapacity!$C$2:$C$526=RefCapacityProj!AJ$1),0))*IF($C68=2035,1+VLOOKUP(AJ$1,RefCapacity!$H$2:$L$8,2,FALSE),1+VLOOKUP(AJ$1,RefCapacity!$H$2:$L$8,4,FALSE))</f>
        <v>138.96474358974359</v>
      </c>
      <c r="AY68" cm="1">
        <f t="array" ref="AY68">INDEX(RefCapacity!$D$2:$D$526,MATCH(1,(RefCapacity!$A$2:$A$526=RefCapacityProj!$D68)*(RefCapacity!$B$2:$B$526=2019)*(RefCapacity!$C$2:$C$526=RefCapacityProj!AK$1),0))*IF($C68=2035,1+VLOOKUP(AK$1,RefCapacity!$H$2:$L$8,2,FALSE),1+VLOOKUP(AK$1,RefCapacity!$H$2:$L$8,4,FALSE))</f>
        <v>273.7118603838083</v>
      </c>
      <c r="AZ68" cm="1">
        <f t="array" ref="AZ68">INDEX(RefCapacity!$D$2:$D$526,MATCH(1,(RefCapacity!$A$2:$A$526=RefCapacityProj!$D68)*(RefCapacity!$B$2:$B$526=2019)*(RefCapacity!$C$2:$C$526=RefCapacityProj!AL$1),0))*IF($C68=2035,1+VLOOKUP(AL$1,RefCapacity!$H$2:$L$8,2,FALSE),1+VLOOKUP(AL$1,RefCapacity!$H$2:$L$8,4,FALSE))</f>
        <v>0</v>
      </c>
      <c r="BA68" cm="1">
        <f t="array" ref="BA68">INDEX(RefCapacity!$D$2:$D$526,MATCH(1,(RefCapacity!$A$2:$A$526=RefCapacityProj!$D68)*(RefCapacity!$B$2:$B$526=2019)*(RefCapacity!$C$2:$C$526=RefCapacityProj!AM$1),0))*IF($C68=2035,1+VLOOKUP(AM$1,RefCapacity!$H$2:$L$8,2,FALSE),1+VLOOKUP(AM$1,RefCapacity!$H$2:$L$8,4,FALSE))</f>
        <v>150.98025463940334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f t="shared" si="12"/>
        <v>542.8634475116138</v>
      </c>
      <c r="BJ68">
        <f t="shared" si="13"/>
        <v>5.486825446646435</v>
      </c>
      <c r="BK68">
        <f t="shared" si="14"/>
        <v>1.2934104842573459</v>
      </c>
      <c r="BL68" cm="1">
        <f t="array" ref="BL68">AG68/$BI68*INDEX('GHG Emission'!$C$2:$C$1121,MATCH(1,('GHG Emission'!$D$2:$D$1121=$D68)*('GHG Emission'!$E$2:$E$1121=$C68)*('GHG Emission'!$F$2:$F$1121=$B68)*('GHG Emission'!$I$2:$I$1121=$E68)*('GHG Emission'!$J$2:$J$1121=$F68)*('GHG Emission'!$K$2:$K$1121=AG$1),0))+AH68/$BI68*INDEX('GHG Emission'!$C$2:$C$1121,MATCH(1,('GHG Emission'!$D$2:$D$1121=$D68)*('GHG Emission'!$E$2:$E$1121=$C68)*('GHG Emission'!$F$2:$F$1121=$B68)*('GHG Emission'!$I$2:$I$1121=$E68)*('GHG Emission'!$J$2:$J$1121=$F68)*('GHG Emission'!$K$2:$K$1121=AH$1),0))+AI68/$BI68*INDEX('GHG Emission'!$C$2:$C$1121,MATCH(1,('GHG Emission'!$D$2:$D$1121=$D68)*('GHG Emission'!$E$2:$E$1121=$C68)*('GHG Emission'!$F$2:$F$1121=$B68)*('GHG Emission'!$I$2:$I$1121=$E68)*('GHG Emission'!$J$2:$J$1121=$F68)*('GHG Emission'!$K$2:$K$1121=AI$1),0))+AJ68/$BI68*INDEX('GHG Emission'!$C$2:$C$1121,MATCH(1,('GHG Emission'!$D$2:$D$1121=$D68)*('GHG Emission'!$E$2:$E$1121=$C68)*('GHG Emission'!$F$2:$F$1121=$B68)*('GHG Emission'!$I$2:$I$1121=$E68)*('GHG Emission'!$J$2:$J$1121=$F68)*('GHG Emission'!$K$2:$K$1121=AJ$1),0))+AK68/$BI68*INDEX('GHG Emission'!$C$2:$C$1121,MATCH(1,('GHG Emission'!$D$2:$D$1121=$D68)*('GHG Emission'!$E$2:$E$1121=$C68)*('GHG Emission'!$F$2:$F$1121=$B68)*('GHG Emission'!$I$2:$I$1121=$E68)*('GHG Emission'!$J$2:$J$1121=$F68)*('GHG Emission'!$K$2:$K$1121=AK$1),0))+AL68/$BI68*INDEX('GHG Emission'!$C$2:$C$1121,MATCH(1,('GHG Emission'!$D$2:$D$1121=$D68)*('GHG Emission'!$E$2:$E$1121=$C68)*('GHG Emission'!$F$2:$F$1121=$B68)*('GHG Emission'!$I$2:$I$1121=$E68)*('GHG Emission'!$J$2:$J$1121=$F68)*('GHG Emission'!$K$2:$K$1121=AL$1),0))+AM68/$BI68*INDEX('GHG Emission'!$C$2:$C$1121,MATCH(1,('GHG Emission'!$D$2:$D$1121=$D68)*('GHG Emission'!$E$2:$E$1121=$C68)*('GHG Emission'!$F$2:$F$1121=$B68)*('GHG Emission'!$I$2:$I$1121=$E68)*('GHG Emission'!$J$2:$J$1121=$F68)*('GHG Emission'!$K$2:$K$1121=AM$1),0))</f>
        <v>33.450936320427786</v>
      </c>
      <c r="BM68" t="str">
        <f t="shared" si="15"/>
        <v>LIGHT/SWEET</v>
      </c>
    </row>
    <row r="69" spans="1:65" hidden="1" x14ac:dyDescent="0.25">
      <c r="A69">
        <v>68</v>
      </c>
      <c r="B69" t="s">
        <v>470</v>
      </c>
      <c r="C69">
        <v>2035</v>
      </c>
      <c r="D69">
        <v>4</v>
      </c>
      <c r="E69" t="s">
        <v>469</v>
      </c>
      <c r="F69" t="s">
        <v>468</v>
      </c>
      <c r="G69">
        <v>231.96148124169673</v>
      </c>
      <c r="H69">
        <v>25.722246412711044</v>
      </c>
      <c r="I69">
        <v>157.53395879384433</v>
      </c>
      <c r="J69">
        <v>38.056493558086117</v>
      </c>
      <c r="K69">
        <v>4.5959626645722889</v>
      </c>
      <c r="L69">
        <v>2.1462026217592438</v>
      </c>
      <c r="M69">
        <v>0</v>
      </c>
      <c r="N69">
        <v>0</v>
      </c>
      <c r="O69">
        <v>0</v>
      </c>
      <c r="P69">
        <v>143.6758380967627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f t="shared" si="8"/>
        <v>603.69218338943256</v>
      </c>
      <c r="Y69">
        <f>X69*VLOOKUP($D69,'LinearReg Model'!$S$2:$T$6,2,FALSE)</f>
        <v>548.35027295826023</v>
      </c>
      <c r="Z69">
        <f t="shared" si="9"/>
        <v>0.38423800675925257</v>
      </c>
      <c r="AA69">
        <f t="shared" si="10"/>
        <v>0.26095080096841605</v>
      </c>
      <c r="AB69">
        <f t="shared" si="11"/>
        <v>4.2608215114354094E-2</v>
      </c>
      <c r="AC69">
        <v>34.027824378954648</v>
      </c>
      <c r="AD69">
        <v>2.5473042893453721</v>
      </c>
      <c r="AE69" s="2">
        <f>VLOOKUP($D69,'MultiReg Model'!$A$5:$F$9,2,FALSE)+AC69*VLOOKUP($D69,'MultiReg Model'!$A$5:$F$9,3,FALSE)+Z69*VLOOKUP($D69,'MultiReg Model'!$A$5:$F$9,4,FALSE)+AA69*VLOOKUP($D69,'MultiReg Model'!$A$5:$F$9,5,FALSE)+AB69*VLOOKUP($D69,'MultiReg Model'!$A$5:$F$9,6,FALSE)</f>
        <v>6.4863883853850135</v>
      </c>
      <c r="AF69" cm="1">
        <f t="array" ref="AF69">MMULT($AG69:$AM69,'Avg CI Index'!$C$2:$C$8)/BI69</f>
        <v>7.7797988696423594</v>
      </c>
      <c r="AG69">
        <v>41.24720907441997</v>
      </c>
      <c r="AH69">
        <v>311.65678471678405</v>
      </c>
      <c r="AI69">
        <v>0</v>
      </c>
      <c r="AJ69">
        <v>138.96474357729718</v>
      </c>
      <c r="AK69">
        <v>50.994710143010515</v>
      </c>
      <c r="AL69">
        <v>0</v>
      </c>
      <c r="AM69">
        <v>1.0205422238471658E-10</v>
      </c>
      <c r="AN69" cm="1">
        <f t="array" ref="AN69">$Y69*INDEX(RefCapacity!$D$2:$D$526,MATCH(1,(RefCapacity!$A$2:$A$526=RefCapacityProj!$D69)*(RefCapacity!$B$2:$B$526=2019)*(RefCapacity!$C$2:$C$526=AG$1),0))/SUMIFS(RefCapacity!$D$2:$D$526,RefCapacity!$A$2:$A$526,RefCapacityProj!$D69,RefCapacity!$B$2:$B$526,2019)</f>
        <v>11.950181285913034</v>
      </c>
      <c r="AO69" cm="1">
        <f t="array" ref="AO69">$Y69*INDEX(RefCapacity!$D$2:$D$526,MATCH(1,(RefCapacity!$A$2:$A$526=RefCapacityProj!$D69)*(RefCapacity!$B$2:$B$526=2019)*(RefCapacity!$C$2:$C$526=AH$1),0))/SUMIFS(RefCapacity!$D$2:$D$526,RefCapacity!$A$2:$A$526,RefCapacityProj!$D69,RefCapacity!$B$2:$B$526,2019)</f>
        <v>185.24183126403577</v>
      </c>
      <c r="AP69" cm="1">
        <f t="array" ref="AP69">$Y69*INDEX(RefCapacity!$D$2:$D$526,MATCH(1,(RefCapacity!$A$2:$A$526=RefCapacityProj!$D69)*(RefCapacity!$B$2:$B$526=2019)*(RefCapacity!$C$2:$C$526=AI$1),0))/SUMIFS(RefCapacity!$D$2:$D$526,RefCapacity!$A$2:$A$526,RefCapacityProj!$D69,RefCapacity!$B$2:$B$526,2019)</f>
        <v>0</v>
      </c>
      <c r="AQ69" cm="1">
        <f t="array" ref="AQ69">$Y69*INDEX(RefCapacity!$D$2:$D$526,MATCH(1,(RefCapacity!$A$2:$A$526=RefCapacityProj!$D69)*(RefCapacity!$B$2:$B$526=2019)*(RefCapacity!$C$2:$C$526=AJ$1),0))/SUMIFS(RefCapacity!$D$2:$D$526,RefCapacity!$A$2:$A$526,RefCapacityProj!$D69,RefCapacity!$B$2:$B$526,2019)</f>
        <v>58.15247453781884</v>
      </c>
      <c r="AR69" cm="1">
        <f t="array" ref="AR69">$Y69*INDEX(RefCapacity!$D$2:$D$526,MATCH(1,(RefCapacity!$A$2:$A$526=RefCapacityProj!$D69)*(RefCapacity!$B$2:$B$526=2019)*(RefCapacity!$C$2:$C$526=AK$1),0))/SUMIFS(RefCapacity!$D$2:$D$526,RefCapacity!$A$2:$A$526,RefCapacityProj!$D69,RefCapacity!$B$2:$B$526,2019)</f>
        <v>176.62472099048603</v>
      </c>
      <c r="AS69" cm="1">
        <f t="array" ref="AS69">$Y69*INDEX(RefCapacity!$D$2:$D$526,MATCH(1,(RefCapacity!$A$2:$A$526=RefCapacityProj!$D69)*(RefCapacity!$B$2:$B$526=2019)*(RefCapacity!$C$2:$C$526=AL$1),0))/SUMIFS(RefCapacity!$D$2:$D$526,RefCapacity!$A$2:$A$526,RefCapacityProj!$D69,RefCapacity!$B$2:$B$526,2019)</f>
        <v>0</v>
      </c>
      <c r="AT69" cm="1">
        <f t="array" ref="AT69">$Y69*INDEX(RefCapacity!$D$2:$D$526,MATCH(1,(RefCapacity!$A$2:$A$526=RefCapacityProj!$D69)*(RefCapacity!$B$2:$B$526=2019)*(RefCapacity!$C$2:$C$526=AM$1),0))/SUMIFS(RefCapacity!$D$2:$D$526,RefCapacity!$A$2:$A$526,RefCapacityProj!$D69,RefCapacity!$B$2:$B$526,2019)</f>
        <v>116.38106488000656</v>
      </c>
      <c r="AU69" cm="1">
        <f t="array" ref="AU69">INDEX(RefCapacity!$D$2:$D$526,MATCH(1,(RefCapacity!$A$2:$A$526=RefCapacityProj!$D69)*(RefCapacity!$B$2:$B$526=2019)*(RefCapacity!$C$2:$C$526=RefCapacityProj!AG$1),0))*IF($C69=2035,1+VLOOKUP(AG$1,RefCapacity!$H$2:$L$8,2,FALSE),1+VLOOKUP(AG$1,RefCapacity!$H$2:$L$8,4,FALSE))</f>
        <v>41.247209074424283</v>
      </c>
      <c r="AV69" cm="1">
        <f t="array" ref="AV69">INDEX(RefCapacity!$D$2:$D$526,MATCH(1,(RefCapacity!$A$2:$A$526=RefCapacityProj!$D69)*(RefCapacity!$B$2:$B$526=2019)*(RefCapacity!$C$2:$C$526=RefCapacityProj!AH$1),0))*IF($C69=2035,1+VLOOKUP(AH$1,RefCapacity!$H$2:$L$8,2,FALSE),1+VLOOKUP(AH$1,RefCapacity!$H$2:$L$8,4,FALSE))</f>
        <v>311.65678471726699</v>
      </c>
      <c r="AW69" cm="1">
        <f t="array" ref="AW69">INDEX(RefCapacity!$D$2:$D$526,MATCH(1,(RefCapacity!$A$2:$A$526=RefCapacityProj!$D69)*(RefCapacity!$B$2:$B$526=2019)*(RefCapacity!$C$2:$C$526=RefCapacityProj!AI$1),0))*IF($C69=2035,1+VLOOKUP(AI$1,RefCapacity!$H$2:$L$8,2,FALSE),1+VLOOKUP(AI$1,RefCapacity!$H$2:$L$8,4,FALSE))</f>
        <v>0</v>
      </c>
      <c r="AX69" cm="1">
        <f t="array" ref="AX69">INDEX(RefCapacity!$D$2:$D$526,MATCH(1,(RefCapacity!$A$2:$A$526=RefCapacityProj!$D69)*(RefCapacity!$B$2:$B$526=2019)*(RefCapacity!$C$2:$C$526=RefCapacityProj!AJ$1),0))*IF($C69=2035,1+VLOOKUP(AJ$1,RefCapacity!$H$2:$L$8,2,FALSE),1+VLOOKUP(AJ$1,RefCapacity!$H$2:$L$8,4,FALSE))</f>
        <v>138.96474358974359</v>
      </c>
      <c r="AY69" cm="1">
        <f t="array" ref="AY69">INDEX(RefCapacity!$D$2:$D$526,MATCH(1,(RefCapacity!$A$2:$A$526=RefCapacityProj!$D69)*(RefCapacity!$B$2:$B$526=2019)*(RefCapacity!$C$2:$C$526=RefCapacityProj!AK$1),0))*IF($C69=2035,1+VLOOKUP(AK$1,RefCapacity!$H$2:$L$8,2,FALSE),1+VLOOKUP(AK$1,RefCapacity!$H$2:$L$8,4,FALSE))</f>
        <v>273.7118603838083</v>
      </c>
      <c r="AZ69" cm="1">
        <f t="array" ref="AZ69">INDEX(RefCapacity!$D$2:$D$526,MATCH(1,(RefCapacity!$A$2:$A$526=RefCapacityProj!$D69)*(RefCapacity!$B$2:$B$526=2019)*(RefCapacity!$C$2:$C$526=RefCapacityProj!AL$1),0))*IF($C69=2035,1+VLOOKUP(AL$1,RefCapacity!$H$2:$L$8,2,FALSE),1+VLOOKUP(AL$1,RefCapacity!$H$2:$L$8,4,FALSE))</f>
        <v>0</v>
      </c>
      <c r="BA69" cm="1">
        <f t="array" ref="BA69">INDEX(RefCapacity!$D$2:$D$526,MATCH(1,(RefCapacity!$A$2:$A$526=RefCapacityProj!$D69)*(RefCapacity!$B$2:$B$526=2019)*(RefCapacity!$C$2:$C$526=RefCapacityProj!AM$1),0))*IF($C69=2035,1+VLOOKUP(AM$1,RefCapacity!$H$2:$L$8,2,FALSE),1+VLOOKUP(AM$1,RefCapacity!$H$2:$L$8,4,FALSE))</f>
        <v>150.98025463940334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f t="shared" si="12"/>
        <v>542.8634475116138</v>
      </c>
      <c r="BJ69">
        <f t="shared" si="13"/>
        <v>5.486825446646435</v>
      </c>
      <c r="BK69">
        <f t="shared" si="14"/>
        <v>1.2934104842573459</v>
      </c>
      <c r="BL69" cm="1">
        <f t="array" ref="BL69">AG69/$BI69*INDEX('GHG Emission'!$C$2:$C$1121,MATCH(1,('GHG Emission'!$D$2:$D$1121=$D69)*('GHG Emission'!$E$2:$E$1121=$C69)*('GHG Emission'!$F$2:$F$1121=$B69)*('GHG Emission'!$I$2:$I$1121=$E69)*('GHG Emission'!$J$2:$J$1121=$F69)*('GHG Emission'!$K$2:$K$1121=AG$1),0))+AH69/$BI69*INDEX('GHG Emission'!$C$2:$C$1121,MATCH(1,('GHG Emission'!$D$2:$D$1121=$D69)*('GHG Emission'!$E$2:$E$1121=$C69)*('GHG Emission'!$F$2:$F$1121=$B69)*('GHG Emission'!$I$2:$I$1121=$E69)*('GHG Emission'!$J$2:$J$1121=$F69)*('GHG Emission'!$K$2:$K$1121=AH$1),0))+AI69/$BI69*INDEX('GHG Emission'!$C$2:$C$1121,MATCH(1,('GHG Emission'!$D$2:$D$1121=$D69)*('GHG Emission'!$E$2:$E$1121=$C69)*('GHG Emission'!$F$2:$F$1121=$B69)*('GHG Emission'!$I$2:$I$1121=$E69)*('GHG Emission'!$J$2:$J$1121=$F69)*('GHG Emission'!$K$2:$K$1121=AI$1),0))+AJ69/$BI69*INDEX('GHG Emission'!$C$2:$C$1121,MATCH(1,('GHG Emission'!$D$2:$D$1121=$D69)*('GHG Emission'!$E$2:$E$1121=$C69)*('GHG Emission'!$F$2:$F$1121=$B69)*('GHG Emission'!$I$2:$I$1121=$E69)*('GHG Emission'!$J$2:$J$1121=$F69)*('GHG Emission'!$K$2:$K$1121=AJ$1),0))+AK69/$BI69*INDEX('GHG Emission'!$C$2:$C$1121,MATCH(1,('GHG Emission'!$D$2:$D$1121=$D69)*('GHG Emission'!$E$2:$E$1121=$C69)*('GHG Emission'!$F$2:$F$1121=$B69)*('GHG Emission'!$I$2:$I$1121=$E69)*('GHG Emission'!$J$2:$J$1121=$F69)*('GHG Emission'!$K$2:$K$1121=AK$1),0))+AL69/$BI69*INDEX('GHG Emission'!$C$2:$C$1121,MATCH(1,('GHG Emission'!$D$2:$D$1121=$D69)*('GHG Emission'!$E$2:$E$1121=$C69)*('GHG Emission'!$F$2:$F$1121=$B69)*('GHG Emission'!$I$2:$I$1121=$E69)*('GHG Emission'!$J$2:$J$1121=$F69)*('GHG Emission'!$K$2:$K$1121=AL$1),0))+AM69/$BI69*INDEX('GHG Emission'!$C$2:$C$1121,MATCH(1,('GHG Emission'!$D$2:$D$1121=$D69)*('GHG Emission'!$E$2:$E$1121=$C69)*('GHG Emission'!$F$2:$F$1121=$B69)*('GHG Emission'!$I$2:$I$1121=$E69)*('GHG Emission'!$J$2:$J$1121=$F69)*('GHG Emission'!$K$2:$K$1121=AM$1),0))</f>
        <v>32.722535695078136</v>
      </c>
      <c r="BM69" t="str">
        <f t="shared" si="15"/>
        <v>LIGHT/SOUR</v>
      </c>
    </row>
    <row r="70" spans="1:65" hidden="1" x14ac:dyDescent="0.25">
      <c r="A70">
        <v>69</v>
      </c>
      <c r="B70" t="s">
        <v>470</v>
      </c>
      <c r="C70">
        <v>2050</v>
      </c>
      <c r="D70">
        <v>4</v>
      </c>
      <c r="E70" t="s">
        <v>466</v>
      </c>
      <c r="F70" t="s">
        <v>467</v>
      </c>
      <c r="G70">
        <v>151.87490279349262</v>
      </c>
      <c r="H70">
        <v>31.714904585976345</v>
      </c>
      <c r="I70">
        <v>147.90704096680022</v>
      </c>
      <c r="J70">
        <v>35.730856983761392</v>
      </c>
      <c r="K70">
        <v>5.489384803663925</v>
      </c>
      <c r="L70">
        <v>2.5634089998782152</v>
      </c>
      <c r="M70">
        <v>0</v>
      </c>
      <c r="N70">
        <v>0</v>
      </c>
      <c r="O70">
        <v>0</v>
      </c>
      <c r="P70">
        <v>155.50737146823388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f t="shared" si="8"/>
        <v>530.78787060180662</v>
      </c>
      <c r="Y70">
        <f>X70*VLOOKUP($D70,'LinearReg Model'!$S$2:$T$6,2,FALSE)</f>
        <v>482.12927338778803</v>
      </c>
      <c r="Z70">
        <f t="shared" si="9"/>
        <v>0.28613107270386012</v>
      </c>
      <c r="AA70">
        <f t="shared" si="10"/>
        <v>0.27865565352709248</v>
      </c>
      <c r="AB70">
        <f t="shared" si="11"/>
        <v>5.9750620431506897E-2</v>
      </c>
      <c r="AC70">
        <v>26.924463078862729</v>
      </c>
      <c r="AD70">
        <v>1.1684886308416846</v>
      </c>
      <c r="AE70" s="2">
        <f>VLOOKUP($D70,'MultiReg Model'!$A$5:$F$9,2,FALSE)+AC70*VLOOKUP($D70,'MultiReg Model'!$A$5:$F$9,3,FALSE)+Z70*VLOOKUP($D70,'MultiReg Model'!$A$5:$F$9,4,FALSE)+AA70*VLOOKUP($D70,'MultiReg Model'!$A$5:$F$9,5,FALSE)+AB70*VLOOKUP($D70,'MultiReg Model'!$A$5:$F$9,6,FALSE)</f>
        <v>6.3189964485475514</v>
      </c>
      <c r="AF70" cm="1">
        <f t="array" ref="AF70">MMULT($AG70:$AM70,'Avg CI Index'!$C$2:$C$8)/BI70</f>
        <v>6.7137042646000218</v>
      </c>
      <c r="AG70">
        <v>67.579418148830513</v>
      </c>
      <c r="AH70">
        <v>392.11356943448055</v>
      </c>
      <c r="AI70">
        <v>0</v>
      </c>
      <c r="AJ70">
        <v>17.600178738034419</v>
      </c>
      <c r="AK70">
        <v>3.7764703324146759E-10</v>
      </c>
      <c r="AL70">
        <v>0</v>
      </c>
      <c r="AM70">
        <v>8.1403624709828754E-11</v>
      </c>
      <c r="AN70" cm="1">
        <f t="array" ref="AN70">$Y70*INDEX(RefCapacity!$D$2:$D$526,MATCH(1,(RefCapacity!$A$2:$A$526=RefCapacityProj!$D70)*(RefCapacity!$B$2:$B$526=2019)*(RefCapacity!$C$2:$C$526=AG$1),0))/SUMIFS(RefCapacity!$D$2:$D$526,RefCapacity!$A$2:$A$526,RefCapacityProj!$D70,RefCapacity!$B$2:$B$526,2019)</f>
        <v>10.507029000180975</v>
      </c>
      <c r="AO70" cm="1">
        <f t="array" ref="AO70">$Y70*INDEX(RefCapacity!$D$2:$D$526,MATCH(1,(RefCapacity!$A$2:$A$526=RefCapacityProj!$D70)*(RefCapacity!$B$2:$B$526=2019)*(RefCapacity!$C$2:$C$526=AH$1),0))/SUMIFS(RefCapacity!$D$2:$D$526,RefCapacity!$A$2:$A$526,RefCapacityProj!$D70,RefCapacity!$B$2:$B$526,2019)</f>
        <v>162.87127756230919</v>
      </c>
      <c r="AP70" cm="1">
        <f t="array" ref="AP70">$Y70*INDEX(RefCapacity!$D$2:$D$526,MATCH(1,(RefCapacity!$A$2:$A$526=RefCapacityProj!$D70)*(RefCapacity!$B$2:$B$526=2019)*(RefCapacity!$C$2:$C$526=AI$1),0))/SUMIFS(RefCapacity!$D$2:$D$526,RefCapacity!$A$2:$A$526,RefCapacityProj!$D70,RefCapacity!$B$2:$B$526,2019)</f>
        <v>0</v>
      </c>
      <c r="AQ70" cm="1">
        <f t="array" ref="AQ70">$Y70*INDEX(RefCapacity!$D$2:$D$526,MATCH(1,(RefCapacity!$A$2:$A$526=RefCapacityProj!$D70)*(RefCapacity!$B$2:$B$526=2019)*(RefCapacity!$C$2:$C$526=AJ$1),0))/SUMIFS(RefCapacity!$D$2:$D$526,RefCapacity!$A$2:$A$526,RefCapacityProj!$D70,RefCapacity!$B$2:$B$526,2019)</f>
        <v>51.129746217441181</v>
      </c>
      <c r="AR70" cm="1">
        <f t="array" ref="AR70">$Y70*INDEX(RefCapacity!$D$2:$D$526,MATCH(1,(RefCapacity!$A$2:$A$526=RefCapacityProj!$D70)*(RefCapacity!$B$2:$B$526=2019)*(RefCapacity!$C$2:$C$526=AK$1),0))/SUMIFS(RefCapacity!$D$2:$D$526,RefCapacity!$A$2:$A$526,RefCapacityProj!$D70,RefCapacity!$B$2:$B$526,2019)</f>
        <v>155.29480442138083</v>
      </c>
      <c r="AS70" cm="1">
        <f t="array" ref="AS70">$Y70*INDEX(RefCapacity!$D$2:$D$526,MATCH(1,(RefCapacity!$A$2:$A$526=RefCapacityProj!$D70)*(RefCapacity!$B$2:$B$526=2019)*(RefCapacity!$C$2:$C$526=AL$1),0))/SUMIFS(RefCapacity!$D$2:$D$526,RefCapacity!$A$2:$A$526,RefCapacityProj!$D70,RefCapacity!$B$2:$B$526,2019)</f>
        <v>0</v>
      </c>
      <c r="AT70" cm="1">
        <f t="array" ref="AT70">$Y70*INDEX(RefCapacity!$D$2:$D$526,MATCH(1,(RefCapacity!$A$2:$A$526=RefCapacityProj!$D70)*(RefCapacity!$B$2:$B$526=2019)*(RefCapacity!$C$2:$C$526=AM$1),0))/SUMIFS(RefCapacity!$D$2:$D$526,RefCapacity!$A$2:$A$526,RefCapacityProj!$D70,RefCapacity!$B$2:$B$526,2019)</f>
        <v>102.32641618647587</v>
      </c>
      <c r="AU70" cm="1">
        <f t="array" ref="AU70">INDEX(RefCapacity!$D$2:$D$526,MATCH(1,(RefCapacity!$A$2:$A$526=RefCapacityProj!$D70)*(RefCapacity!$B$2:$B$526=2019)*(RefCapacity!$C$2:$C$526=RefCapacityProj!AG$1),0))*IF($C70=2035,1+VLOOKUP(AG$1,RefCapacity!$H$2:$L$8,2,FALSE),1+VLOOKUP(AG$1,RefCapacity!$H$2:$L$8,4,FALSE))</f>
        <v>67.579418148848575</v>
      </c>
      <c r="AV70" cm="1">
        <f t="array" ref="AV70">INDEX(RefCapacity!$D$2:$D$526,MATCH(1,(RefCapacity!$A$2:$A$526=RefCapacityProj!$D70)*(RefCapacity!$B$2:$B$526=2019)*(RefCapacity!$C$2:$C$526=RefCapacityProj!AH$1),0))*IF($C70=2035,1+VLOOKUP(AH$1,RefCapacity!$H$2:$L$8,2,FALSE),1+VLOOKUP(AH$1,RefCapacity!$H$2:$L$8,4,FALSE))</f>
        <v>392.11356943453399</v>
      </c>
      <c r="AW70" cm="1">
        <f t="array" ref="AW70">INDEX(RefCapacity!$D$2:$D$526,MATCH(1,(RefCapacity!$A$2:$A$526=RefCapacityProj!$D70)*(RefCapacity!$B$2:$B$526=2019)*(RefCapacity!$C$2:$C$526=RefCapacityProj!AI$1),0))*IF($C70=2035,1+VLOOKUP(AI$1,RefCapacity!$H$2:$L$8,2,FALSE),1+VLOOKUP(AI$1,RefCapacity!$H$2:$L$8,4,FALSE))</f>
        <v>0</v>
      </c>
      <c r="AX70" cm="1">
        <f t="array" ref="AX70">INDEX(RefCapacity!$D$2:$D$526,MATCH(1,(RefCapacity!$A$2:$A$526=RefCapacityProj!$D70)*(RefCapacity!$B$2:$B$526=2019)*(RefCapacity!$C$2:$C$526=RefCapacityProj!AJ$1),0))*IF($C70=2035,1+VLOOKUP(AJ$1,RefCapacity!$H$2:$L$8,2,FALSE),1+VLOOKUP(AJ$1,RefCapacity!$H$2:$L$8,4,FALSE))</f>
        <v>205.34948717948717</v>
      </c>
      <c r="AY70" cm="1">
        <f t="array" ref="AY70">INDEX(RefCapacity!$D$2:$D$526,MATCH(1,(RefCapacity!$A$2:$A$526=RefCapacityProj!$D70)*(RefCapacity!$B$2:$B$526=2019)*(RefCapacity!$C$2:$C$526=RefCapacityProj!AK$1),0))*IF($C70=2035,1+VLOOKUP(AK$1,RefCapacity!$H$2:$L$8,2,FALSE),1+VLOOKUP(AK$1,RefCapacity!$H$2:$L$8,4,FALSE))</f>
        <v>326.97872076761655</v>
      </c>
      <c r="AZ70" cm="1">
        <f t="array" ref="AZ70">INDEX(RefCapacity!$D$2:$D$526,MATCH(1,(RefCapacity!$A$2:$A$526=RefCapacityProj!$D70)*(RefCapacity!$B$2:$B$526=2019)*(RefCapacity!$C$2:$C$526=RefCapacityProj!AL$1),0))*IF($C70=2035,1+VLOOKUP(AL$1,RefCapacity!$H$2:$L$8,2,FALSE),1+VLOOKUP(AL$1,RefCapacity!$H$2:$L$8,4,FALSE))</f>
        <v>0</v>
      </c>
      <c r="BA70" cm="1">
        <f t="array" ref="BA70">INDEX(RefCapacity!$D$2:$D$526,MATCH(1,(RefCapacity!$A$2:$A$526=RefCapacityProj!$D70)*(RefCapacity!$B$2:$B$526=2019)*(RefCapacity!$C$2:$C$526=RefCapacityProj!AM$1),0))*IF($C70=2035,1+VLOOKUP(AM$1,RefCapacity!$H$2:$L$8,2,FALSE),1+VLOOKUP(AM$1,RefCapacity!$H$2:$L$8,4,FALSE))</f>
        <v>156.70550927880672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f t="shared" si="12"/>
        <v>477.29316632180451</v>
      </c>
      <c r="BJ70">
        <f t="shared" si="13"/>
        <v>4.8361070659835264</v>
      </c>
      <c r="BK70">
        <f t="shared" si="14"/>
        <v>0.39470781605247041</v>
      </c>
      <c r="BL70" cm="1">
        <f t="array" ref="BL70">AG70/$BI70*INDEX('GHG Emission'!$C$2:$C$1121,MATCH(1,('GHG Emission'!$D$2:$D$1121=$D70)*('GHG Emission'!$E$2:$E$1121=$C70)*('GHG Emission'!$F$2:$F$1121=$B70)*('GHG Emission'!$I$2:$I$1121=$E70)*('GHG Emission'!$J$2:$J$1121=$F70)*('GHG Emission'!$K$2:$K$1121=AG$1),0))+AH70/$BI70*INDEX('GHG Emission'!$C$2:$C$1121,MATCH(1,('GHG Emission'!$D$2:$D$1121=$D70)*('GHG Emission'!$E$2:$E$1121=$C70)*('GHG Emission'!$F$2:$F$1121=$B70)*('GHG Emission'!$I$2:$I$1121=$E70)*('GHG Emission'!$J$2:$J$1121=$F70)*('GHG Emission'!$K$2:$K$1121=AH$1),0))+AI70/$BI70*INDEX('GHG Emission'!$C$2:$C$1121,MATCH(1,('GHG Emission'!$D$2:$D$1121=$D70)*('GHG Emission'!$E$2:$E$1121=$C70)*('GHG Emission'!$F$2:$F$1121=$B70)*('GHG Emission'!$I$2:$I$1121=$E70)*('GHG Emission'!$J$2:$J$1121=$F70)*('GHG Emission'!$K$2:$K$1121=AI$1),0))+AJ70/$BI70*INDEX('GHG Emission'!$C$2:$C$1121,MATCH(1,('GHG Emission'!$D$2:$D$1121=$D70)*('GHG Emission'!$E$2:$E$1121=$C70)*('GHG Emission'!$F$2:$F$1121=$B70)*('GHG Emission'!$I$2:$I$1121=$E70)*('GHG Emission'!$J$2:$J$1121=$F70)*('GHG Emission'!$K$2:$K$1121=AJ$1),0))+AK70/$BI70*INDEX('GHG Emission'!$C$2:$C$1121,MATCH(1,('GHG Emission'!$D$2:$D$1121=$D70)*('GHG Emission'!$E$2:$E$1121=$C70)*('GHG Emission'!$F$2:$F$1121=$B70)*('GHG Emission'!$I$2:$I$1121=$E70)*('GHG Emission'!$J$2:$J$1121=$F70)*('GHG Emission'!$K$2:$K$1121=AK$1),0))+AL70/$BI70*INDEX('GHG Emission'!$C$2:$C$1121,MATCH(1,('GHG Emission'!$D$2:$D$1121=$D70)*('GHG Emission'!$E$2:$E$1121=$C70)*('GHG Emission'!$F$2:$F$1121=$B70)*('GHG Emission'!$I$2:$I$1121=$E70)*('GHG Emission'!$J$2:$J$1121=$F70)*('GHG Emission'!$K$2:$K$1121=AL$1),0))+AM70/$BI70*INDEX('GHG Emission'!$C$2:$C$1121,MATCH(1,('GHG Emission'!$D$2:$D$1121=$D70)*('GHG Emission'!$E$2:$E$1121=$C70)*('GHG Emission'!$F$2:$F$1121=$B70)*('GHG Emission'!$I$2:$I$1121=$E70)*('GHG Emission'!$J$2:$J$1121=$F70)*('GHG Emission'!$K$2:$K$1121=AM$1),0))</f>
        <v>31.408956008476498</v>
      </c>
      <c r="BM70" t="str">
        <f t="shared" si="15"/>
        <v>HEAVY/SWEET</v>
      </c>
    </row>
    <row r="71" spans="1:65" hidden="1" x14ac:dyDescent="0.25">
      <c r="A71">
        <v>70</v>
      </c>
      <c r="B71" t="s">
        <v>470</v>
      </c>
      <c r="C71">
        <v>2050</v>
      </c>
      <c r="D71">
        <v>4</v>
      </c>
      <c r="E71" t="s">
        <v>466</v>
      </c>
      <c r="F71" t="s">
        <v>468</v>
      </c>
      <c r="G71">
        <v>151.87490279349262</v>
      </c>
      <c r="H71">
        <v>31.714904585976345</v>
      </c>
      <c r="I71">
        <v>147.90704096680022</v>
      </c>
      <c r="J71">
        <v>35.730856983761392</v>
      </c>
      <c r="K71">
        <v>5.489384803663925</v>
      </c>
      <c r="L71">
        <v>2.5634089998782152</v>
      </c>
      <c r="M71">
        <v>0</v>
      </c>
      <c r="N71">
        <v>0</v>
      </c>
      <c r="O71">
        <v>0</v>
      </c>
      <c r="P71">
        <v>155.50737146823388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f t="shared" si="8"/>
        <v>530.78787060180662</v>
      </c>
      <c r="Y71">
        <f>X71*VLOOKUP($D71,'LinearReg Model'!$S$2:$T$6,2,FALSE)</f>
        <v>482.12927338778803</v>
      </c>
      <c r="Z71">
        <f t="shared" si="9"/>
        <v>0.28613107270386012</v>
      </c>
      <c r="AA71">
        <f t="shared" si="10"/>
        <v>0.27865565352709248</v>
      </c>
      <c r="AB71">
        <f t="shared" si="11"/>
        <v>5.9750620431506897E-2</v>
      </c>
      <c r="AC71">
        <v>26.924463078862729</v>
      </c>
      <c r="AD71">
        <v>3.7883857319296892</v>
      </c>
      <c r="AE71" s="2">
        <f>VLOOKUP($D71,'MultiReg Model'!$A$5:$F$9,2,FALSE)+AC71*VLOOKUP($D71,'MultiReg Model'!$A$5:$F$9,3,FALSE)+Z71*VLOOKUP($D71,'MultiReg Model'!$A$5:$F$9,4,FALSE)+AA71*VLOOKUP($D71,'MultiReg Model'!$A$5:$F$9,5,FALSE)+AB71*VLOOKUP($D71,'MultiReg Model'!$A$5:$F$9,6,FALSE)</f>
        <v>6.3189964485475514</v>
      </c>
      <c r="AF71" cm="1">
        <f t="array" ref="AF71">MMULT($AG71:$AM71,'Avg CI Index'!$C$2:$C$8)/BI71</f>
        <v>6.7137042646000218</v>
      </c>
      <c r="AG71">
        <v>67.579418148830513</v>
      </c>
      <c r="AH71">
        <v>392.11356943448055</v>
      </c>
      <c r="AI71">
        <v>0</v>
      </c>
      <c r="AJ71">
        <v>17.600178738034419</v>
      </c>
      <c r="AK71">
        <v>3.7764703324146759E-10</v>
      </c>
      <c r="AL71">
        <v>0</v>
      </c>
      <c r="AM71">
        <v>8.1403624709828754E-11</v>
      </c>
      <c r="AN71" cm="1">
        <f t="array" ref="AN71">$Y71*INDEX(RefCapacity!$D$2:$D$526,MATCH(1,(RefCapacity!$A$2:$A$526=RefCapacityProj!$D71)*(RefCapacity!$B$2:$B$526=2019)*(RefCapacity!$C$2:$C$526=AG$1),0))/SUMIFS(RefCapacity!$D$2:$D$526,RefCapacity!$A$2:$A$526,RefCapacityProj!$D71,RefCapacity!$B$2:$B$526,2019)</f>
        <v>10.507029000180975</v>
      </c>
      <c r="AO71" cm="1">
        <f t="array" ref="AO71">$Y71*INDEX(RefCapacity!$D$2:$D$526,MATCH(1,(RefCapacity!$A$2:$A$526=RefCapacityProj!$D71)*(RefCapacity!$B$2:$B$526=2019)*(RefCapacity!$C$2:$C$526=AH$1),0))/SUMIFS(RefCapacity!$D$2:$D$526,RefCapacity!$A$2:$A$526,RefCapacityProj!$D71,RefCapacity!$B$2:$B$526,2019)</f>
        <v>162.87127756230919</v>
      </c>
      <c r="AP71" cm="1">
        <f t="array" ref="AP71">$Y71*INDEX(RefCapacity!$D$2:$D$526,MATCH(1,(RefCapacity!$A$2:$A$526=RefCapacityProj!$D71)*(RefCapacity!$B$2:$B$526=2019)*(RefCapacity!$C$2:$C$526=AI$1),0))/SUMIFS(RefCapacity!$D$2:$D$526,RefCapacity!$A$2:$A$526,RefCapacityProj!$D71,RefCapacity!$B$2:$B$526,2019)</f>
        <v>0</v>
      </c>
      <c r="AQ71" cm="1">
        <f t="array" ref="AQ71">$Y71*INDEX(RefCapacity!$D$2:$D$526,MATCH(1,(RefCapacity!$A$2:$A$526=RefCapacityProj!$D71)*(RefCapacity!$B$2:$B$526=2019)*(RefCapacity!$C$2:$C$526=AJ$1),0))/SUMIFS(RefCapacity!$D$2:$D$526,RefCapacity!$A$2:$A$526,RefCapacityProj!$D71,RefCapacity!$B$2:$B$526,2019)</f>
        <v>51.129746217441181</v>
      </c>
      <c r="AR71" cm="1">
        <f t="array" ref="AR71">$Y71*INDEX(RefCapacity!$D$2:$D$526,MATCH(1,(RefCapacity!$A$2:$A$526=RefCapacityProj!$D71)*(RefCapacity!$B$2:$B$526=2019)*(RefCapacity!$C$2:$C$526=AK$1),0))/SUMIFS(RefCapacity!$D$2:$D$526,RefCapacity!$A$2:$A$526,RefCapacityProj!$D71,RefCapacity!$B$2:$B$526,2019)</f>
        <v>155.29480442138083</v>
      </c>
      <c r="AS71" cm="1">
        <f t="array" ref="AS71">$Y71*INDEX(RefCapacity!$D$2:$D$526,MATCH(1,(RefCapacity!$A$2:$A$526=RefCapacityProj!$D71)*(RefCapacity!$B$2:$B$526=2019)*(RefCapacity!$C$2:$C$526=AL$1),0))/SUMIFS(RefCapacity!$D$2:$D$526,RefCapacity!$A$2:$A$526,RefCapacityProj!$D71,RefCapacity!$B$2:$B$526,2019)</f>
        <v>0</v>
      </c>
      <c r="AT71" cm="1">
        <f t="array" ref="AT71">$Y71*INDEX(RefCapacity!$D$2:$D$526,MATCH(1,(RefCapacity!$A$2:$A$526=RefCapacityProj!$D71)*(RefCapacity!$B$2:$B$526=2019)*(RefCapacity!$C$2:$C$526=AM$1),0))/SUMIFS(RefCapacity!$D$2:$D$526,RefCapacity!$A$2:$A$526,RefCapacityProj!$D71,RefCapacity!$B$2:$B$526,2019)</f>
        <v>102.32641618647587</v>
      </c>
      <c r="AU71" cm="1">
        <f t="array" ref="AU71">INDEX(RefCapacity!$D$2:$D$526,MATCH(1,(RefCapacity!$A$2:$A$526=RefCapacityProj!$D71)*(RefCapacity!$B$2:$B$526=2019)*(RefCapacity!$C$2:$C$526=RefCapacityProj!AG$1),0))*IF($C71=2035,1+VLOOKUP(AG$1,RefCapacity!$H$2:$L$8,2,FALSE),1+VLOOKUP(AG$1,RefCapacity!$H$2:$L$8,4,FALSE))</f>
        <v>67.579418148848575</v>
      </c>
      <c r="AV71" cm="1">
        <f t="array" ref="AV71">INDEX(RefCapacity!$D$2:$D$526,MATCH(1,(RefCapacity!$A$2:$A$526=RefCapacityProj!$D71)*(RefCapacity!$B$2:$B$526=2019)*(RefCapacity!$C$2:$C$526=RefCapacityProj!AH$1),0))*IF($C71=2035,1+VLOOKUP(AH$1,RefCapacity!$H$2:$L$8,2,FALSE),1+VLOOKUP(AH$1,RefCapacity!$H$2:$L$8,4,FALSE))</f>
        <v>392.11356943453399</v>
      </c>
      <c r="AW71" cm="1">
        <f t="array" ref="AW71">INDEX(RefCapacity!$D$2:$D$526,MATCH(1,(RefCapacity!$A$2:$A$526=RefCapacityProj!$D71)*(RefCapacity!$B$2:$B$526=2019)*(RefCapacity!$C$2:$C$526=RefCapacityProj!AI$1),0))*IF($C71=2035,1+VLOOKUP(AI$1,RefCapacity!$H$2:$L$8,2,FALSE),1+VLOOKUP(AI$1,RefCapacity!$H$2:$L$8,4,FALSE))</f>
        <v>0</v>
      </c>
      <c r="AX71" cm="1">
        <f t="array" ref="AX71">INDEX(RefCapacity!$D$2:$D$526,MATCH(1,(RefCapacity!$A$2:$A$526=RefCapacityProj!$D71)*(RefCapacity!$B$2:$B$526=2019)*(RefCapacity!$C$2:$C$526=RefCapacityProj!AJ$1),0))*IF($C71=2035,1+VLOOKUP(AJ$1,RefCapacity!$H$2:$L$8,2,FALSE),1+VLOOKUP(AJ$1,RefCapacity!$H$2:$L$8,4,FALSE))</f>
        <v>205.34948717948717</v>
      </c>
      <c r="AY71" cm="1">
        <f t="array" ref="AY71">INDEX(RefCapacity!$D$2:$D$526,MATCH(1,(RefCapacity!$A$2:$A$526=RefCapacityProj!$D71)*(RefCapacity!$B$2:$B$526=2019)*(RefCapacity!$C$2:$C$526=RefCapacityProj!AK$1),0))*IF($C71=2035,1+VLOOKUP(AK$1,RefCapacity!$H$2:$L$8,2,FALSE),1+VLOOKUP(AK$1,RefCapacity!$H$2:$L$8,4,FALSE))</f>
        <v>326.97872076761655</v>
      </c>
      <c r="AZ71" cm="1">
        <f t="array" ref="AZ71">INDEX(RefCapacity!$D$2:$D$526,MATCH(1,(RefCapacity!$A$2:$A$526=RefCapacityProj!$D71)*(RefCapacity!$B$2:$B$526=2019)*(RefCapacity!$C$2:$C$526=RefCapacityProj!AL$1),0))*IF($C71=2035,1+VLOOKUP(AL$1,RefCapacity!$H$2:$L$8,2,FALSE),1+VLOOKUP(AL$1,RefCapacity!$H$2:$L$8,4,FALSE))</f>
        <v>0</v>
      </c>
      <c r="BA71" cm="1">
        <f t="array" ref="BA71">INDEX(RefCapacity!$D$2:$D$526,MATCH(1,(RefCapacity!$A$2:$A$526=RefCapacityProj!$D71)*(RefCapacity!$B$2:$B$526=2019)*(RefCapacity!$C$2:$C$526=RefCapacityProj!AM$1),0))*IF($C71=2035,1+VLOOKUP(AM$1,RefCapacity!$H$2:$L$8,2,FALSE),1+VLOOKUP(AM$1,RefCapacity!$H$2:$L$8,4,FALSE))</f>
        <v>156.70550927880672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f t="shared" si="12"/>
        <v>477.29316632180451</v>
      </c>
      <c r="BJ71">
        <f t="shared" si="13"/>
        <v>4.8361070659835264</v>
      </c>
      <c r="BK71">
        <f t="shared" si="14"/>
        <v>0.39470781605247041</v>
      </c>
      <c r="BL71" cm="1">
        <f t="array" ref="BL71">AG71/$BI71*INDEX('GHG Emission'!$C$2:$C$1121,MATCH(1,('GHG Emission'!$D$2:$D$1121=$D71)*('GHG Emission'!$E$2:$E$1121=$C71)*('GHG Emission'!$F$2:$F$1121=$B71)*('GHG Emission'!$I$2:$I$1121=$E71)*('GHG Emission'!$J$2:$J$1121=$F71)*('GHG Emission'!$K$2:$K$1121=AG$1),0))+AH71/$BI71*INDEX('GHG Emission'!$C$2:$C$1121,MATCH(1,('GHG Emission'!$D$2:$D$1121=$D71)*('GHG Emission'!$E$2:$E$1121=$C71)*('GHG Emission'!$F$2:$F$1121=$B71)*('GHG Emission'!$I$2:$I$1121=$E71)*('GHG Emission'!$J$2:$J$1121=$F71)*('GHG Emission'!$K$2:$K$1121=AH$1),0))+AI71/$BI71*INDEX('GHG Emission'!$C$2:$C$1121,MATCH(1,('GHG Emission'!$D$2:$D$1121=$D71)*('GHG Emission'!$E$2:$E$1121=$C71)*('GHG Emission'!$F$2:$F$1121=$B71)*('GHG Emission'!$I$2:$I$1121=$E71)*('GHG Emission'!$J$2:$J$1121=$F71)*('GHG Emission'!$K$2:$K$1121=AI$1),0))+AJ71/$BI71*INDEX('GHG Emission'!$C$2:$C$1121,MATCH(1,('GHG Emission'!$D$2:$D$1121=$D71)*('GHG Emission'!$E$2:$E$1121=$C71)*('GHG Emission'!$F$2:$F$1121=$B71)*('GHG Emission'!$I$2:$I$1121=$E71)*('GHG Emission'!$J$2:$J$1121=$F71)*('GHG Emission'!$K$2:$K$1121=AJ$1),0))+AK71/$BI71*INDEX('GHG Emission'!$C$2:$C$1121,MATCH(1,('GHG Emission'!$D$2:$D$1121=$D71)*('GHG Emission'!$E$2:$E$1121=$C71)*('GHG Emission'!$F$2:$F$1121=$B71)*('GHG Emission'!$I$2:$I$1121=$E71)*('GHG Emission'!$J$2:$J$1121=$F71)*('GHG Emission'!$K$2:$K$1121=AK$1),0))+AL71/$BI71*INDEX('GHG Emission'!$C$2:$C$1121,MATCH(1,('GHG Emission'!$D$2:$D$1121=$D71)*('GHG Emission'!$E$2:$E$1121=$C71)*('GHG Emission'!$F$2:$F$1121=$B71)*('GHG Emission'!$I$2:$I$1121=$E71)*('GHG Emission'!$J$2:$J$1121=$F71)*('GHG Emission'!$K$2:$K$1121=AL$1),0))+AM71/$BI71*INDEX('GHG Emission'!$C$2:$C$1121,MATCH(1,('GHG Emission'!$D$2:$D$1121=$D71)*('GHG Emission'!$E$2:$E$1121=$C71)*('GHG Emission'!$F$2:$F$1121=$B71)*('GHG Emission'!$I$2:$I$1121=$E71)*('GHG Emission'!$J$2:$J$1121=$F71)*('GHG Emission'!$K$2:$K$1121=AM$1),0))</f>
        <v>30.20191350327007</v>
      </c>
      <c r="BM71" t="str">
        <f t="shared" si="15"/>
        <v>HEAVY/SOUR</v>
      </c>
    </row>
    <row r="72" spans="1:65" hidden="1" x14ac:dyDescent="0.25">
      <c r="A72">
        <v>71</v>
      </c>
      <c r="B72" t="s">
        <v>470</v>
      </c>
      <c r="C72">
        <v>2050</v>
      </c>
      <c r="D72">
        <v>4</v>
      </c>
      <c r="E72" t="s">
        <v>469</v>
      </c>
      <c r="F72" t="s">
        <v>467</v>
      </c>
      <c r="G72">
        <v>151.87490279349262</v>
      </c>
      <c r="H72">
        <v>31.714904585976345</v>
      </c>
      <c r="I72">
        <v>147.90704096680022</v>
      </c>
      <c r="J72">
        <v>35.730856983761392</v>
      </c>
      <c r="K72">
        <v>5.489384803663925</v>
      </c>
      <c r="L72">
        <v>2.5634089998782152</v>
      </c>
      <c r="M72">
        <v>0</v>
      </c>
      <c r="N72">
        <v>0</v>
      </c>
      <c r="O72">
        <v>0</v>
      </c>
      <c r="P72">
        <v>155.50737146823388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f t="shared" si="8"/>
        <v>530.78787060180662</v>
      </c>
      <c r="Y72">
        <f>X72*VLOOKUP($D72,'LinearReg Model'!$S$2:$T$6,2,FALSE)</f>
        <v>482.12927338778803</v>
      </c>
      <c r="Z72">
        <f t="shared" si="9"/>
        <v>0.28613107270386012</v>
      </c>
      <c r="AA72">
        <f t="shared" si="10"/>
        <v>0.27865565352709248</v>
      </c>
      <c r="AB72">
        <f t="shared" si="11"/>
        <v>5.9750620431506897E-2</v>
      </c>
      <c r="AC72">
        <v>33.609676323697812</v>
      </c>
      <c r="AD72">
        <v>1.1684886308416846</v>
      </c>
      <c r="AE72" s="2">
        <f>VLOOKUP($D72,'MultiReg Model'!$A$5:$F$9,2,FALSE)+AC72*VLOOKUP($D72,'MultiReg Model'!$A$5:$F$9,3,FALSE)+Z72*VLOOKUP($D72,'MultiReg Model'!$A$5:$F$9,4,FALSE)+AA72*VLOOKUP($D72,'MultiReg Model'!$A$5:$F$9,5,FALSE)+AB72*VLOOKUP($D72,'MultiReg Model'!$A$5:$F$9,6,FALSE)</f>
        <v>6.0899077689670538</v>
      </c>
      <c r="AF72" cm="1">
        <f t="array" ref="AF72">MMULT($AG72:$AM72,'Avg CI Index'!$C$2:$C$8)/BI72</f>
        <v>6.7137481165764532</v>
      </c>
      <c r="AG72">
        <v>67.579418148827656</v>
      </c>
      <c r="AH72">
        <v>392.11356943447208</v>
      </c>
      <c r="AI72">
        <v>0</v>
      </c>
      <c r="AJ72">
        <v>17.607377569642246</v>
      </c>
      <c r="AK72">
        <v>4.3751894408463119E-10</v>
      </c>
      <c r="AL72">
        <v>0</v>
      </c>
      <c r="AM72">
        <v>9.4324674702181719E-11</v>
      </c>
      <c r="AN72" cm="1">
        <f t="array" ref="AN72">$Y72*INDEX(RefCapacity!$D$2:$D$526,MATCH(1,(RefCapacity!$A$2:$A$526=RefCapacityProj!$D72)*(RefCapacity!$B$2:$B$526=2019)*(RefCapacity!$C$2:$C$526=AG$1),0))/SUMIFS(RefCapacity!$D$2:$D$526,RefCapacity!$A$2:$A$526,RefCapacityProj!$D72,RefCapacity!$B$2:$B$526,2019)</f>
        <v>10.507029000180975</v>
      </c>
      <c r="AO72" cm="1">
        <f t="array" ref="AO72">$Y72*INDEX(RefCapacity!$D$2:$D$526,MATCH(1,(RefCapacity!$A$2:$A$526=RefCapacityProj!$D72)*(RefCapacity!$B$2:$B$526=2019)*(RefCapacity!$C$2:$C$526=AH$1),0))/SUMIFS(RefCapacity!$D$2:$D$526,RefCapacity!$A$2:$A$526,RefCapacityProj!$D72,RefCapacity!$B$2:$B$526,2019)</f>
        <v>162.87127756230919</v>
      </c>
      <c r="AP72" cm="1">
        <f t="array" ref="AP72">$Y72*INDEX(RefCapacity!$D$2:$D$526,MATCH(1,(RefCapacity!$A$2:$A$526=RefCapacityProj!$D72)*(RefCapacity!$B$2:$B$526=2019)*(RefCapacity!$C$2:$C$526=AI$1),0))/SUMIFS(RefCapacity!$D$2:$D$526,RefCapacity!$A$2:$A$526,RefCapacityProj!$D72,RefCapacity!$B$2:$B$526,2019)</f>
        <v>0</v>
      </c>
      <c r="AQ72" cm="1">
        <f t="array" ref="AQ72">$Y72*INDEX(RefCapacity!$D$2:$D$526,MATCH(1,(RefCapacity!$A$2:$A$526=RefCapacityProj!$D72)*(RefCapacity!$B$2:$B$526=2019)*(RefCapacity!$C$2:$C$526=AJ$1),0))/SUMIFS(RefCapacity!$D$2:$D$526,RefCapacity!$A$2:$A$526,RefCapacityProj!$D72,RefCapacity!$B$2:$B$526,2019)</f>
        <v>51.129746217441181</v>
      </c>
      <c r="AR72" cm="1">
        <f t="array" ref="AR72">$Y72*INDEX(RefCapacity!$D$2:$D$526,MATCH(1,(RefCapacity!$A$2:$A$526=RefCapacityProj!$D72)*(RefCapacity!$B$2:$B$526=2019)*(RefCapacity!$C$2:$C$526=AK$1),0))/SUMIFS(RefCapacity!$D$2:$D$526,RefCapacity!$A$2:$A$526,RefCapacityProj!$D72,RefCapacity!$B$2:$B$526,2019)</f>
        <v>155.29480442138083</v>
      </c>
      <c r="AS72" cm="1">
        <f t="array" ref="AS72">$Y72*INDEX(RefCapacity!$D$2:$D$526,MATCH(1,(RefCapacity!$A$2:$A$526=RefCapacityProj!$D72)*(RefCapacity!$B$2:$B$526=2019)*(RefCapacity!$C$2:$C$526=AL$1),0))/SUMIFS(RefCapacity!$D$2:$D$526,RefCapacity!$A$2:$A$526,RefCapacityProj!$D72,RefCapacity!$B$2:$B$526,2019)</f>
        <v>0</v>
      </c>
      <c r="AT72" cm="1">
        <f t="array" ref="AT72">$Y72*INDEX(RefCapacity!$D$2:$D$526,MATCH(1,(RefCapacity!$A$2:$A$526=RefCapacityProj!$D72)*(RefCapacity!$B$2:$B$526=2019)*(RefCapacity!$C$2:$C$526=AM$1),0))/SUMIFS(RefCapacity!$D$2:$D$526,RefCapacity!$A$2:$A$526,RefCapacityProj!$D72,RefCapacity!$B$2:$B$526,2019)</f>
        <v>102.32641618647587</v>
      </c>
      <c r="AU72" cm="1">
        <f t="array" ref="AU72">INDEX(RefCapacity!$D$2:$D$526,MATCH(1,(RefCapacity!$A$2:$A$526=RefCapacityProj!$D72)*(RefCapacity!$B$2:$B$526=2019)*(RefCapacity!$C$2:$C$526=RefCapacityProj!AG$1),0))*IF($C72=2035,1+VLOOKUP(AG$1,RefCapacity!$H$2:$L$8,2,FALSE),1+VLOOKUP(AG$1,RefCapacity!$H$2:$L$8,4,FALSE))</f>
        <v>67.579418148848575</v>
      </c>
      <c r="AV72" cm="1">
        <f t="array" ref="AV72">INDEX(RefCapacity!$D$2:$D$526,MATCH(1,(RefCapacity!$A$2:$A$526=RefCapacityProj!$D72)*(RefCapacity!$B$2:$B$526=2019)*(RefCapacity!$C$2:$C$526=RefCapacityProj!AH$1),0))*IF($C72=2035,1+VLOOKUP(AH$1,RefCapacity!$H$2:$L$8,2,FALSE),1+VLOOKUP(AH$1,RefCapacity!$H$2:$L$8,4,FALSE))</f>
        <v>392.11356943453399</v>
      </c>
      <c r="AW72" cm="1">
        <f t="array" ref="AW72">INDEX(RefCapacity!$D$2:$D$526,MATCH(1,(RefCapacity!$A$2:$A$526=RefCapacityProj!$D72)*(RefCapacity!$B$2:$B$526=2019)*(RefCapacity!$C$2:$C$526=RefCapacityProj!AI$1),0))*IF($C72=2035,1+VLOOKUP(AI$1,RefCapacity!$H$2:$L$8,2,FALSE),1+VLOOKUP(AI$1,RefCapacity!$H$2:$L$8,4,FALSE))</f>
        <v>0</v>
      </c>
      <c r="AX72" cm="1">
        <f t="array" ref="AX72">INDEX(RefCapacity!$D$2:$D$526,MATCH(1,(RefCapacity!$A$2:$A$526=RefCapacityProj!$D72)*(RefCapacity!$B$2:$B$526=2019)*(RefCapacity!$C$2:$C$526=RefCapacityProj!AJ$1),0))*IF($C72=2035,1+VLOOKUP(AJ$1,RefCapacity!$H$2:$L$8,2,FALSE),1+VLOOKUP(AJ$1,RefCapacity!$H$2:$L$8,4,FALSE))</f>
        <v>205.34948717948717</v>
      </c>
      <c r="AY72" cm="1">
        <f t="array" ref="AY72">INDEX(RefCapacity!$D$2:$D$526,MATCH(1,(RefCapacity!$A$2:$A$526=RefCapacityProj!$D72)*(RefCapacity!$B$2:$B$526=2019)*(RefCapacity!$C$2:$C$526=RefCapacityProj!AK$1),0))*IF($C72=2035,1+VLOOKUP(AK$1,RefCapacity!$H$2:$L$8,2,FALSE),1+VLOOKUP(AK$1,RefCapacity!$H$2:$L$8,4,FALSE))</f>
        <v>326.97872076761655</v>
      </c>
      <c r="AZ72" cm="1">
        <f t="array" ref="AZ72">INDEX(RefCapacity!$D$2:$D$526,MATCH(1,(RefCapacity!$A$2:$A$526=RefCapacityProj!$D72)*(RefCapacity!$B$2:$B$526=2019)*(RefCapacity!$C$2:$C$526=RefCapacityProj!AL$1),0))*IF($C72=2035,1+VLOOKUP(AL$1,RefCapacity!$H$2:$L$8,2,FALSE),1+VLOOKUP(AL$1,RefCapacity!$H$2:$L$8,4,FALSE))</f>
        <v>0</v>
      </c>
      <c r="BA72" cm="1">
        <f t="array" ref="BA72">INDEX(RefCapacity!$D$2:$D$526,MATCH(1,(RefCapacity!$A$2:$A$526=RefCapacityProj!$D72)*(RefCapacity!$B$2:$B$526=2019)*(RefCapacity!$C$2:$C$526=RefCapacityProj!AM$1),0))*IF($C72=2035,1+VLOOKUP(AM$1,RefCapacity!$H$2:$L$8,2,FALSE),1+VLOOKUP(AM$1,RefCapacity!$H$2:$L$8,4,FALSE))</f>
        <v>156.70550927880672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f t="shared" si="12"/>
        <v>477.30036515347382</v>
      </c>
      <c r="BJ72">
        <f t="shared" si="13"/>
        <v>4.8289082343142127</v>
      </c>
      <c r="BK72">
        <f t="shared" si="14"/>
        <v>0.62384034760939944</v>
      </c>
      <c r="BL72" cm="1">
        <f t="array" ref="BL72">AG72/$BI72*INDEX('GHG Emission'!$C$2:$C$1121,MATCH(1,('GHG Emission'!$D$2:$D$1121=$D72)*('GHG Emission'!$E$2:$E$1121=$C72)*('GHG Emission'!$F$2:$F$1121=$B72)*('GHG Emission'!$I$2:$I$1121=$E72)*('GHG Emission'!$J$2:$J$1121=$F72)*('GHG Emission'!$K$2:$K$1121=AG$1),0))+AH72/$BI72*INDEX('GHG Emission'!$C$2:$C$1121,MATCH(1,('GHG Emission'!$D$2:$D$1121=$D72)*('GHG Emission'!$E$2:$E$1121=$C72)*('GHG Emission'!$F$2:$F$1121=$B72)*('GHG Emission'!$I$2:$I$1121=$E72)*('GHG Emission'!$J$2:$J$1121=$F72)*('GHG Emission'!$K$2:$K$1121=AH$1),0))+AI72/$BI72*INDEX('GHG Emission'!$C$2:$C$1121,MATCH(1,('GHG Emission'!$D$2:$D$1121=$D72)*('GHG Emission'!$E$2:$E$1121=$C72)*('GHG Emission'!$F$2:$F$1121=$B72)*('GHG Emission'!$I$2:$I$1121=$E72)*('GHG Emission'!$J$2:$J$1121=$F72)*('GHG Emission'!$K$2:$K$1121=AI$1),0))+AJ72/$BI72*INDEX('GHG Emission'!$C$2:$C$1121,MATCH(1,('GHG Emission'!$D$2:$D$1121=$D72)*('GHG Emission'!$E$2:$E$1121=$C72)*('GHG Emission'!$F$2:$F$1121=$B72)*('GHG Emission'!$I$2:$I$1121=$E72)*('GHG Emission'!$J$2:$J$1121=$F72)*('GHG Emission'!$K$2:$K$1121=AJ$1),0))+AK72/$BI72*INDEX('GHG Emission'!$C$2:$C$1121,MATCH(1,('GHG Emission'!$D$2:$D$1121=$D72)*('GHG Emission'!$E$2:$E$1121=$C72)*('GHG Emission'!$F$2:$F$1121=$B72)*('GHG Emission'!$I$2:$I$1121=$E72)*('GHG Emission'!$J$2:$J$1121=$F72)*('GHG Emission'!$K$2:$K$1121=AK$1),0))+AL72/$BI72*INDEX('GHG Emission'!$C$2:$C$1121,MATCH(1,('GHG Emission'!$D$2:$D$1121=$D72)*('GHG Emission'!$E$2:$E$1121=$C72)*('GHG Emission'!$F$2:$F$1121=$B72)*('GHG Emission'!$I$2:$I$1121=$E72)*('GHG Emission'!$J$2:$J$1121=$F72)*('GHG Emission'!$K$2:$K$1121=AL$1),0))+AM72/$BI72*INDEX('GHG Emission'!$C$2:$C$1121,MATCH(1,('GHG Emission'!$D$2:$D$1121=$D72)*('GHG Emission'!$E$2:$E$1121=$C72)*('GHG Emission'!$F$2:$F$1121=$B72)*('GHG Emission'!$I$2:$I$1121=$E72)*('GHG Emission'!$J$2:$J$1121=$F72)*('GHG Emission'!$K$2:$K$1121=AM$1),0))</f>
        <v>32.097069567918112</v>
      </c>
      <c r="BM72" t="str">
        <f t="shared" si="15"/>
        <v>LIGHT/SWEET</v>
      </c>
    </row>
    <row r="73" spans="1:65" hidden="1" x14ac:dyDescent="0.25">
      <c r="A73">
        <v>72</v>
      </c>
      <c r="B73" t="s">
        <v>470</v>
      </c>
      <c r="C73">
        <v>2050</v>
      </c>
      <c r="D73">
        <v>4</v>
      </c>
      <c r="E73" t="s">
        <v>469</v>
      </c>
      <c r="F73" t="s">
        <v>468</v>
      </c>
      <c r="G73">
        <v>151.87490279349262</v>
      </c>
      <c r="H73">
        <v>31.714904585976345</v>
      </c>
      <c r="I73">
        <v>147.90704096680022</v>
      </c>
      <c r="J73">
        <v>35.730856983761392</v>
      </c>
      <c r="K73">
        <v>5.489384803663925</v>
      </c>
      <c r="L73">
        <v>2.5634089998782152</v>
      </c>
      <c r="M73">
        <v>0</v>
      </c>
      <c r="N73">
        <v>0</v>
      </c>
      <c r="O73">
        <v>0</v>
      </c>
      <c r="P73">
        <v>155.50737146823388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f t="shared" si="8"/>
        <v>530.78787060180662</v>
      </c>
      <c r="Y73">
        <f>X73*VLOOKUP($D73,'LinearReg Model'!$S$2:$T$6,2,FALSE)</f>
        <v>482.12927338778803</v>
      </c>
      <c r="Z73">
        <f t="shared" si="9"/>
        <v>0.28613107270386012</v>
      </c>
      <c r="AA73">
        <f t="shared" si="10"/>
        <v>0.27865565352709248</v>
      </c>
      <c r="AB73">
        <f t="shared" si="11"/>
        <v>5.9750620431506897E-2</v>
      </c>
      <c r="AC73">
        <v>33.609676323697812</v>
      </c>
      <c r="AD73">
        <v>3.7883857319296892</v>
      </c>
      <c r="AE73" s="2">
        <f>VLOOKUP($D73,'MultiReg Model'!$A$5:$F$9,2,FALSE)+AC73*VLOOKUP($D73,'MultiReg Model'!$A$5:$F$9,3,FALSE)+Z73*VLOOKUP($D73,'MultiReg Model'!$A$5:$F$9,4,FALSE)+AA73*VLOOKUP($D73,'MultiReg Model'!$A$5:$F$9,5,FALSE)+AB73*VLOOKUP($D73,'MultiReg Model'!$A$5:$F$9,6,FALSE)</f>
        <v>6.0899077689670538</v>
      </c>
      <c r="AF73" cm="1">
        <f t="array" ref="AF73">MMULT($AG73:$AM73,'Avg CI Index'!$C$2:$C$8)/BI73</f>
        <v>6.7137481165764532</v>
      </c>
      <c r="AG73">
        <v>67.579418148827656</v>
      </c>
      <c r="AH73">
        <v>392.11356943447208</v>
      </c>
      <c r="AI73">
        <v>0</v>
      </c>
      <c r="AJ73">
        <v>17.607377569642246</v>
      </c>
      <c r="AK73">
        <v>4.3751894408463119E-10</v>
      </c>
      <c r="AL73">
        <v>0</v>
      </c>
      <c r="AM73">
        <v>9.4324674702181719E-11</v>
      </c>
      <c r="AN73" cm="1">
        <f t="array" ref="AN73">$Y73*INDEX(RefCapacity!$D$2:$D$526,MATCH(1,(RefCapacity!$A$2:$A$526=RefCapacityProj!$D73)*(RefCapacity!$B$2:$B$526=2019)*(RefCapacity!$C$2:$C$526=AG$1),0))/SUMIFS(RefCapacity!$D$2:$D$526,RefCapacity!$A$2:$A$526,RefCapacityProj!$D73,RefCapacity!$B$2:$B$526,2019)</f>
        <v>10.507029000180975</v>
      </c>
      <c r="AO73" cm="1">
        <f t="array" ref="AO73">$Y73*INDEX(RefCapacity!$D$2:$D$526,MATCH(1,(RefCapacity!$A$2:$A$526=RefCapacityProj!$D73)*(RefCapacity!$B$2:$B$526=2019)*(RefCapacity!$C$2:$C$526=AH$1),0))/SUMIFS(RefCapacity!$D$2:$D$526,RefCapacity!$A$2:$A$526,RefCapacityProj!$D73,RefCapacity!$B$2:$B$526,2019)</f>
        <v>162.87127756230919</v>
      </c>
      <c r="AP73" cm="1">
        <f t="array" ref="AP73">$Y73*INDEX(RefCapacity!$D$2:$D$526,MATCH(1,(RefCapacity!$A$2:$A$526=RefCapacityProj!$D73)*(RefCapacity!$B$2:$B$526=2019)*(RefCapacity!$C$2:$C$526=AI$1),0))/SUMIFS(RefCapacity!$D$2:$D$526,RefCapacity!$A$2:$A$526,RefCapacityProj!$D73,RefCapacity!$B$2:$B$526,2019)</f>
        <v>0</v>
      </c>
      <c r="AQ73" cm="1">
        <f t="array" ref="AQ73">$Y73*INDEX(RefCapacity!$D$2:$D$526,MATCH(1,(RefCapacity!$A$2:$A$526=RefCapacityProj!$D73)*(RefCapacity!$B$2:$B$526=2019)*(RefCapacity!$C$2:$C$526=AJ$1),0))/SUMIFS(RefCapacity!$D$2:$D$526,RefCapacity!$A$2:$A$526,RefCapacityProj!$D73,RefCapacity!$B$2:$B$526,2019)</f>
        <v>51.129746217441181</v>
      </c>
      <c r="AR73" cm="1">
        <f t="array" ref="AR73">$Y73*INDEX(RefCapacity!$D$2:$D$526,MATCH(1,(RefCapacity!$A$2:$A$526=RefCapacityProj!$D73)*(RefCapacity!$B$2:$B$526=2019)*(RefCapacity!$C$2:$C$526=AK$1),0))/SUMIFS(RefCapacity!$D$2:$D$526,RefCapacity!$A$2:$A$526,RefCapacityProj!$D73,RefCapacity!$B$2:$B$526,2019)</f>
        <v>155.29480442138083</v>
      </c>
      <c r="AS73" cm="1">
        <f t="array" ref="AS73">$Y73*INDEX(RefCapacity!$D$2:$D$526,MATCH(1,(RefCapacity!$A$2:$A$526=RefCapacityProj!$D73)*(RefCapacity!$B$2:$B$526=2019)*(RefCapacity!$C$2:$C$526=AL$1),0))/SUMIFS(RefCapacity!$D$2:$D$526,RefCapacity!$A$2:$A$526,RefCapacityProj!$D73,RefCapacity!$B$2:$B$526,2019)</f>
        <v>0</v>
      </c>
      <c r="AT73" cm="1">
        <f t="array" ref="AT73">$Y73*INDEX(RefCapacity!$D$2:$D$526,MATCH(1,(RefCapacity!$A$2:$A$526=RefCapacityProj!$D73)*(RefCapacity!$B$2:$B$526=2019)*(RefCapacity!$C$2:$C$526=AM$1),0))/SUMIFS(RefCapacity!$D$2:$D$526,RefCapacity!$A$2:$A$526,RefCapacityProj!$D73,RefCapacity!$B$2:$B$526,2019)</f>
        <v>102.32641618647587</v>
      </c>
      <c r="AU73" cm="1">
        <f t="array" ref="AU73">INDEX(RefCapacity!$D$2:$D$526,MATCH(1,(RefCapacity!$A$2:$A$526=RefCapacityProj!$D73)*(RefCapacity!$B$2:$B$526=2019)*(RefCapacity!$C$2:$C$526=RefCapacityProj!AG$1),0))*IF($C73=2035,1+VLOOKUP(AG$1,RefCapacity!$H$2:$L$8,2,FALSE),1+VLOOKUP(AG$1,RefCapacity!$H$2:$L$8,4,FALSE))</f>
        <v>67.579418148848575</v>
      </c>
      <c r="AV73" cm="1">
        <f t="array" ref="AV73">INDEX(RefCapacity!$D$2:$D$526,MATCH(1,(RefCapacity!$A$2:$A$526=RefCapacityProj!$D73)*(RefCapacity!$B$2:$B$526=2019)*(RefCapacity!$C$2:$C$526=RefCapacityProj!AH$1),0))*IF($C73=2035,1+VLOOKUP(AH$1,RefCapacity!$H$2:$L$8,2,FALSE),1+VLOOKUP(AH$1,RefCapacity!$H$2:$L$8,4,FALSE))</f>
        <v>392.11356943453399</v>
      </c>
      <c r="AW73" cm="1">
        <f t="array" ref="AW73">INDEX(RefCapacity!$D$2:$D$526,MATCH(1,(RefCapacity!$A$2:$A$526=RefCapacityProj!$D73)*(RefCapacity!$B$2:$B$526=2019)*(RefCapacity!$C$2:$C$526=RefCapacityProj!AI$1),0))*IF($C73=2035,1+VLOOKUP(AI$1,RefCapacity!$H$2:$L$8,2,FALSE),1+VLOOKUP(AI$1,RefCapacity!$H$2:$L$8,4,FALSE))</f>
        <v>0</v>
      </c>
      <c r="AX73" cm="1">
        <f t="array" ref="AX73">INDEX(RefCapacity!$D$2:$D$526,MATCH(1,(RefCapacity!$A$2:$A$526=RefCapacityProj!$D73)*(RefCapacity!$B$2:$B$526=2019)*(RefCapacity!$C$2:$C$526=RefCapacityProj!AJ$1),0))*IF($C73=2035,1+VLOOKUP(AJ$1,RefCapacity!$H$2:$L$8,2,FALSE),1+VLOOKUP(AJ$1,RefCapacity!$H$2:$L$8,4,FALSE))</f>
        <v>205.34948717948717</v>
      </c>
      <c r="AY73" cm="1">
        <f t="array" ref="AY73">INDEX(RefCapacity!$D$2:$D$526,MATCH(1,(RefCapacity!$A$2:$A$526=RefCapacityProj!$D73)*(RefCapacity!$B$2:$B$526=2019)*(RefCapacity!$C$2:$C$526=RefCapacityProj!AK$1),0))*IF($C73=2035,1+VLOOKUP(AK$1,RefCapacity!$H$2:$L$8,2,FALSE),1+VLOOKUP(AK$1,RefCapacity!$H$2:$L$8,4,FALSE))</f>
        <v>326.97872076761655</v>
      </c>
      <c r="AZ73" cm="1">
        <f t="array" ref="AZ73">INDEX(RefCapacity!$D$2:$D$526,MATCH(1,(RefCapacity!$A$2:$A$526=RefCapacityProj!$D73)*(RefCapacity!$B$2:$B$526=2019)*(RefCapacity!$C$2:$C$526=RefCapacityProj!AL$1),0))*IF($C73=2035,1+VLOOKUP(AL$1,RefCapacity!$H$2:$L$8,2,FALSE),1+VLOOKUP(AL$1,RefCapacity!$H$2:$L$8,4,FALSE))</f>
        <v>0</v>
      </c>
      <c r="BA73" cm="1">
        <f t="array" ref="BA73">INDEX(RefCapacity!$D$2:$D$526,MATCH(1,(RefCapacity!$A$2:$A$526=RefCapacityProj!$D73)*(RefCapacity!$B$2:$B$526=2019)*(RefCapacity!$C$2:$C$526=RefCapacityProj!AM$1),0))*IF($C73=2035,1+VLOOKUP(AM$1,RefCapacity!$H$2:$L$8,2,FALSE),1+VLOOKUP(AM$1,RefCapacity!$H$2:$L$8,4,FALSE))</f>
        <v>156.70550927880672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f t="shared" si="12"/>
        <v>477.30036515347382</v>
      </c>
      <c r="BJ73">
        <f t="shared" si="13"/>
        <v>4.8289082343142127</v>
      </c>
      <c r="BK73">
        <f t="shared" si="14"/>
        <v>0.62384034760939944</v>
      </c>
      <c r="BL73" cm="1">
        <f t="array" ref="BL73">AG73/$BI73*INDEX('GHG Emission'!$C$2:$C$1121,MATCH(1,('GHG Emission'!$D$2:$D$1121=$D73)*('GHG Emission'!$E$2:$E$1121=$C73)*('GHG Emission'!$F$2:$F$1121=$B73)*('GHG Emission'!$I$2:$I$1121=$E73)*('GHG Emission'!$J$2:$J$1121=$F73)*('GHG Emission'!$K$2:$K$1121=AG$1),0))+AH73/$BI73*INDEX('GHG Emission'!$C$2:$C$1121,MATCH(1,('GHG Emission'!$D$2:$D$1121=$D73)*('GHG Emission'!$E$2:$E$1121=$C73)*('GHG Emission'!$F$2:$F$1121=$B73)*('GHG Emission'!$I$2:$I$1121=$E73)*('GHG Emission'!$J$2:$J$1121=$F73)*('GHG Emission'!$K$2:$K$1121=AH$1),0))+AI73/$BI73*INDEX('GHG Emission'!$C$2:$C$1121,MATCH(1,('GHG Emission'!$D$2:$D$1121=$D73)*('GHG Emission'!$E$2:$E$1121=$C73)*('GHG Emission'!$F$2:$F$1121=$B73)*('GHG Emission'!$I$2:$I$1121=$E73)*('GHG Emission'!$J$2:$J$1121=$F73)*('GHG Emission'!$K$2:$K$1121=AI$1),0))+AJ73/$BI73*INDEX('GHG Emission'!$C$2:$C$1121,MATCH(1,('GHG Emission'!$D$2:$D$1121=$D73)*('GHG Emission'!$E$2:$E$1121=$C73)*('GHG Emission'!$F$2:$F$1121=$B73)*('GHG Emission'!$I$2:$I$1121=$E73)*('GHG Emission'!$J$2:$J$1121=$F73)*('GHG Emission'!$K$2:$K$1121=AJ$1),0))+AK73/$BI73*INDEX('GHG Emission'!$C$2:$C$1121,MATCH(1,('GHG Emission'!$D$2:$D$1121=$D73)*('GHG Emission'!$E$2:$E$1121=$C73)*('GHG Emission'!$F$2:$F$1121=$B73)*('GHG Emission'!$I$2:$I$1121=$E73)*('GHG Emission'!$J$2:$J$1121=$F73)*('GHG Emission'!$K$2:$K$1121=AK$1),0))+AL73/$BI73*INDEX('GHG Emission'!$C$2:$C$1121,MATCH(1,('GHG Emission'!$D$2:$D$1121=$D73)*('GHG Emission'!$E$2:$E$1121=$C73)*('GHG Emission'!$F$2:$F$1121=$B73)*('GHG Emission'!$I$2:$I$1121=$E73)*('GHG Emission'!$J$2:$J$1121=$F73)*('GHG Emission'!$K$2:$K$1121=AL$1),0))+AM73/$BI73*INDEX('GHG Emission'!$C$2:$C$1121,MATCH(1,('GHG Emission'!$D$2:$D$1121=$D73)*('GHG Emission'!$E$2:$E$1121=$C73)*('GHG Emission'!$F$2:$F$1121=$B73)*('GHG Emission'!$I$2:$I$1121=$E73)*('GHG Emission'!$J$2:$J$1121=$F73)*('GHG Emission'!$K$2:$K$1121=AM$1),0))</f>
        <v>32.424447937804359</v>
      </c>
      <c r="BM73" t="str">
        <f t="shared" si="15"/>
        <v>LIGHT/SOUR</v>
      </c>
    </row>
    <row r="74" spans="1:65" hidden="1" x14ac:dyDescent="0.25">
      <c r="A74">
        <v>73</v>
      </c>
      <c r="B74" t="s">
        <v>470</v>
      </c>
      <c r="C74">
        <v>2035</v>
      </c>
      <c r="D74">
        <v>5</v>
      </c>
      <c r="E74" t="s">
        <v>466</v>
      </c>
      <c r="F74" t="s">
        <v>467</v>
      </c>
      <c r="G74">
        <v>1035.4935588604817</v>
      </c>
      <c r="H74">
        <v>326.96315130646633</v>
      </c>
      <c r="I74">
        <v>748.40085214611031</v>
      </c>
      <c r="J74">
        <v>393.12506230106305</v>
      </c>
      <c r="K74">
        <v>353.7995949044448</v>
      </c>
      <c r="L74">
        <v>26.363897406863835</v>
      </c>
      <c r="M74">
        <v>0</v>
      </c>
      <c r="N74">
        <v>0</v>
      </c>
      <c r="O74">
        <v>0</v>
      </c>
      <c r="P74">
        <v>54.640781109050373</v>
      </c>
      <c r="Q74">
        <v>0</v>
      </c>
      <c r="R74">
        <v>0</v>
      </c>
      <c r="S74">
        <v>0</v>
      </c>
      <c r="T74">
        <v>25.261154693326308</v>
      </c>
      <c r="U74">
        <v>0</v>
      </c>
      <c r="V74">
        <v>0</v>
      </c>
      <c r="W74">
        <v>0</v>
      </c>
      <c r="X74">
        <f t="shared" si="8"/>
        <v>2964.0480527278064</v>
      </c>
      <c r="Y74">
        <f>X74*VLOOKUP($D74,'LinearReg Model'!$S$2:$T$6,2,FALSE)</f>
        <v>2364.0972974311421</v>
      </c>
      <c r="Z74">
        <f t="shared" si="9"/>
        <v>0.34935113751193048</v>
      </c>
      <c r="AA74">
        <f t="shared" si="10"/>
        <v>0.25249282023527209</v>
      </c>
      <c r="AB74">
        <f t="shared" si="11"/>
        <v>0.11030966620313827</v>
      </c>
      <c r="AC74">
        <v>28.769370330956527</v>
      </c>
      <c r="AD74">
        <v>1.439026873673878</v>
      </c>
      <c r="AE74" s="2">
        <f>VLOOKUP($D74,'MultiReg Model'!$A$5:$F$9,2,FALSE)+AC74*VLOOKUP($D74,'MultiReg Model'!$A$5:$F$9,3,FALSE)+Z74*VLOOKUP($D74,'MultiReg Model'!$A$5:$F$9,4,FALSE)+AA74*VLOOKUP($D74,'MultiReg Model'!$A$5:$F$9,5,FALSE)+AB74*VLOOKUP($D74,'MultiReg Model'!$A$5:$F$9,6,FALSE)</f>
        <v>8.0437931460748651</v>
      </c>
      <c r="AF74" cm="1">
        <f t="array" ref="AF74">MMULT($AG74:$AM74,'Avg CI Index'!$C$2:$C$8)/BI74</f>
        <v>8.0537931452279956</v>
      </c>
      <c r="AG74">
        <v>539.8428057368867</v>
      </c>
      <c r="AH74">
        <v>268.8553476441582</v>
      </c>
      <c r="AI74">
        <v>251.89002161493767</v>
      </c>
      <c r="AJ74">
        <v>124.04656762106337</v>
      </c>
      <c r="AK74">
        <v>72.814017405571434</v>
      </c>
      <c r="AL74">
        <v>162.76915423005255</v>
      </c>
      <c r="AM74">
        <v>928.48496606022729</v>
      </c>
      <c r="AN74" cm="1">
        <f t="array" ref="AN74">$Y74*INDEX(RefCapacity!$D$2:$D$526,MATCH(1,(RefCapacity!$A$2:$A$526=RefCapacityProj!$D74)*(RefCapacity!$B$2:$B$526=2019)*(RefCapacity!$C$2:$C$526=AG$1),0))/SUMIFS(RefCapacity!$D$2:$D$526,RefCapacity!$A$2:$A$526,RefCapacityProj!$D74,RefCapacity!$B$2:$B$526,2019)</f>
        <v>160.48308429961375</v>
      </c>
      <c r="AO74" cm="1">
        <f t="array" ref="AO74">$Y74*INDEX(RefCapacity!$D$2:$D$526,MATCH(1,(RefCapacity!$A$2:$A$526=RefCapacityProj!$D74)*(RefCapacity!$B$2:$B$526=2019)*(RefCapacity!$C$2:$C$526=AH$1),0))/SUMIFS(RefCapacity!$D$2:$D$526,RefCapacity!$A$2:$A$526,RefCapacityProj!$D74,RefCapacity!$B$2:$B$526,2019)</f>
        <v>184.13733324683562</v>
      </c>
      <c r="AP74" cm="1">
        <f t="array" ref="AP74">$Y74*INDEX(RefCapacity!$D$2:$D$526,MATCH(1,(RefCapacity!$A$2:$A$526=RefCapacityProj!$D74)*(RefCapacity!$B$2:$B$526=2019)*(RefCapacity!$C$2:$C$526=AI$1),0))/SUMIFS(RefCapacity!$D$2:$D$526,RefCapacity!$A$2:$A$526,RefCapacityProj!$D74,RefCapacity!$B$2:$B$526,2019)</f>
        <v>200.3726561558758</v>
      </c>
      <c r="AQ74" cm="1">
        <f t="array" ref="AQ74">$Y74*INDEX(RefCapacity!$D$2:$D$526,MATCH(1,(RefCapacity!$A$2:$A$526=RefCapacityProj!$D74)*(RefCapacity!$B$2:$B$526=2019)*(RefCapacity!$C$2:$C$526=AJ$1),0))/SUMIFS(RefCapacity!$D$2:$D$526,RefCapacity!$A$2:$A$526,RefCapacityProj!$D74,RefCapacity!$B$2:$B$526,2019)</f>
        <v>211.26470823409261</v>
      </c>
      <c r="AR74" cm="1">
        <f t="array" ref="AR74">$Y74*INDEX(RefCapacity!$D$2:$D$526,MATCH(1,(RefCapacity!$A$2:$A$526=RefCapacityProj!$D74)*(RefCapacity!$B$2:$B$526=2019)*(RefCapacity!$C$2:$C$526=AK$1),0))/SUMIFS(RefCapacity!$D$2:$D$526,RefCapacity!$A$2:$A$526,RefCapacityProj!$D74,RefCapacity!$B$2:$B$526,2019)</f>
        <v>184.30174158009169</v>
      </c>
      <c r="AS74" cm="1">
        <f t="array" ref="AS74">$Y74*INDEX(RefCapacity!$D$2:$D$526,MATCH(1,(RefCapacity!$A$2:$A$526=RefCapacityProj!$D74)*(RefCapacity!$B$2:$B$526=2019)*(RefCapacity!$C$2:$C$526=AL$1),0))/SUMIFS(RefCapacity!$D$2:$D$526,RefCapacity!$A$2:$A$526,RefCapacityProj!$D74,RefCapacity!$B$2:$B$526,2019)</f>
        <v>294.660835278251</v>
      </c>
      <c r="AT74" cm="1">
        <f t="array" ref="AT74">$Y74*INDEX(RefCapacity!$D$2:$D$526,MATCH(1,(RefCapacity!$A$2:$A$526=RefCapacityProj!$D74)*(RefCapacity!$B$2:$B$526=2019)*(RefCapacity!$C$2:$C$526=AM$1),0))/SUMIFS(RefCapacity!$D$2:$D$526,RefCapacity!$A$2:$A$526,RefCapacityProj!$D74,RefCapacity!$B$2:$B$526,2019)</f>
        <v>1128.8769386363815</v>
      </c>
      <c r="AU74" cm="1">
        <f t="array" ref="AU74">INDEX(RefCapacity!$D$2:$D$526,MATCH(1,(RefCapacity!$A$2:$A$526=RefCapacityProj!$D74)*(RefCapacity!$B$2:$B$526=2019)*(RefCapacity!$C$2:$C$526=RefCapacityProj!AG$1),0))*IF($C74=2035,1+VLOOKUP(AG$1,RefCapacity!$H$2:$L$8,2,FALSE),1+VLOOKUP(AG$1,RefCapacity!$H$2:$L$8,4,FALSE))</f>
        <v>539.89181304421595</v>
      </c>
      <c r="AV74" cm="1">
        <f t="array" ref="AV74">INDEX(RefCapacity!$D$2:$D$526,MATCH(1,(RefCapacity!$A$2:$A$526=RefCapacityProj!$D74)*(RefCapacity!$B$2:$B$526=2019)*(RefCapacity!$C$2:$C$526=RefCapacityProj!AH$1),0))*IF($C74=2035,1+VLOOKUP(AH$1,RefCapacity!$H$2:$L$8,2,FALSE),1+VLOOKUP(AH$1,RefCapacity!$H$2:$L$8,4,FALSE))</f>
        <v>301.95121010669465</v>
      </c>
      <c r="AW74" cm="1">
        <f t="array" ref="AW74">INDEX(RefCapacity!$D$2:$D$526,MATCH(1,(RefCapacity!$A$2:$A$526=RefCapacityProj!$D74)*(RefCapacity!$B$2:$B$526=2019)*(RefCapacity!$C$2:$C$526=RefCapacityProj!AI$1),0))*IF($C74=2035,1+VLOOKUP(AI$1,RefCapacity!$H$2:$L$8,2,FALSE),1+VLOOKUP(AI$1,RefCapacity!$H$2:$L$8,4,FALSE))</f>
        <v>252.01742847049914</v>
      </c>
      <c r="AX74" cm="1">
        <f t="array" ref="AX74">INDEX(RefCapacity!$D$2:$D$526,MATCH(1,(RefCapacity!$A$2:$A$526=RefCapacityProj!$D74)*(RefCapacity!$B$2:$B$526=2019)*(RefCapacity!$C$2:$C$526=RefCapacityProj!AJ$1),0))*IF($C74=2035,1+VLOOKUP(AJ$1,RefCapacity!$H$2:$L$8,2,FALSE),1+VLOOKUP(AJ$1,RefCapacity!$H$2:$L$8,4,FALSE))</f>
        <v>492.06309041835357</v>
      </c>
      <c r="AY74" cm="1">
        <f t="array" ref="AY74">INDEX(RefCapacity!$D$2:$D$526,MATCH(1,(RefCapacity!$A$2:$A$526=RefCapacityProj!$D74)*(RefCapacity!$B$2:$B$526=2019)*(RefCapacity!$C$2:$C$526=RefCapacityProj!AK$1),0))*IF($C74=2035,1+VLOOKUP(AK$1,RefCapacity!$H$2:$L$8,2,FALSE),1+VLOOKUP(AK$1,RefCapacity!$H$2:$L$8,4,FALSE))</f>
        <v>278.3741935541737</v>
      </c>
      <c r="AZ74" cm="1">
        <f t="array" ref="AZ74">INDEX(RefCapacity!$D$2:$D$526,MATCH(1,(RefCapacity!$A$2:$A$526=RefCapacityProj!$D74)*(RefCapacity!$B$2:$B$526=2019)*(RefCapacity!$C$2:$C$526=RefCapacityProj!AL$1),0))*IF($C74=2035,1+VLOOKUP(AL$1,RefCapacity!$H$2:$L$8,2,FALSE),1+VLOOKUP(AL$1,RefCapacity!$H$2:$L$8,4,FALSE))</f>
        <v>505.88851674641143</v>
      </c>
      <c r="BA74" cm="1">
        <f t="array" ref="BA74">INDEX(RefCapacity!$D$2:$D$526,MATCH(1,(RefCapacity!$A$2:$A$526=RefCapacityProj!$D74)*(RefCapacity!$B$2:$B$526=2019)*(RefCapacity!$C$2:$C$526=RefCapacityProj!AM$1),0))*IF($C74=2035,1+VLOOKUP(AM$1,RefCapacity!$H$2:$L$8,2,FALSE),1+VLOOKUP(AM$1,RefCapacity!$H$2:$L$8,4,FALSE))</f>
        <v>1427.387315315184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f t="shared" si="12"/>
        <v>2348.7028803128969</v>
      </c>
      <c r="BJ74">
        <f t="shared" si="13"/>
        <v>15.394417118245201</v>
      </c>
      <c r="BK74">
        <f t="shared" si="14"/>
        <v>9.9999991531305454E-3</v>
      </c>
      <c r="BL74" cm="1">
        <f t="array" ref="BL74">AG74/$BI74*INDEX('GHG Emission'!$C$2:$C$1121,MATCH(1,('GHG Emission'!$D$2:$D$1121=$D74)*('GHG Emission'!$E$2:$E$1121=$C74)*('GHG Emission'!$F$2:$F$1121=$B74)*('GHG Emission'!$I$2:$I$1121=$E74)*('GHG Emission'!$J$2:$J$1121=$F74)*('GHG Emission'!$K$2:$K$1121=AG$1),0))+AH74/$BI74*INDEX('GHG Emission'!$C$2:$C$1121,MATCH(1,('GHG Emission'!$D$2:$D$1121=$D74)*('GHG Emission'!$E$2:$E$1121=$C74)*('GHG Emission'!$F$2:$F$1121=$B74)*('GHG Emission'!$I$2:$I$1121=$E74)*('GHG Emission'!$J$2:$J$1121=$F74)*('GHG Emission'!$K$2:$K$1121=AH$1),0))+AI74/$BI74*INDEX('GHG Emission'!$C$2:$C$1121,MATCH(1,('GHG Emission'!$D$2:$D$1121=$D74)*('GHG Emission'!$E$2:$E$1121=$C74)*('GHG Emission'!$F$2:$F$1121=$B74)*('GHG Emission'!$I$2:$I$1121=$E74)*('GHG Emission'!$J$2:$J$1121=$F74)*('GHG Emission'!$K$2:$K$1121=AI$1),0))+AJ74/$BI74*INDEX('GHG Emission'!$C$2:$C$1121,MATCH(1,('GHG Emission'!$D$2:$D$1121=$D74)*('GHG Emission'!$E$2:$E$1121=$C74)*('GHG Emission'!$F$2:$F$1121=$B74)*('GHG Emission'!$I$2:$I$1121=$E74)*('GHG Emission'!$J$2:$J$1121=$F74)*('GHG Emission'!$K$2:$K$1121=AJ$1),0))+AK74/$BI74*INDEX('GHG Emission'!$C$2:$C$1121,MATCH(1,('GHG Emission'!$D$2:$D$1121=$D74)*('GHG Emission'!$E$2:$E$1121=$C74)*('GHG Emission'!$F$2:$F$1121=$B74)*('GHG Emission'!$I$2:$I$1121=$E74)*('GHG Emission'!$J$2:$J$1121=$F74)*('GHG Emission'!$K$2:$K$1121=AK$1),0))+AL74/$BI74*INDEX('GHG Emission'!$C$2:$C$1121,MATCH(1,('GHG Emission'!$D$2:$D$1121=$D74)*('GHG Emission'!$E$2:$E$1121=$C74)*('GHG Emission'!$F$2:$F$1121=$B74)*('GHG Emission'!$I$2:$I$1121=$E74)*('GHG Emission'!$J$2:$J$1121=$F74)*('GHG Emission'!$K$2:$K$1121=AL$1),0))+AM74/$BI74*INDEX('GHG Emission'!$C$2:$C$1121,MATCH(1,('GHG Emission'!$D$2:$D$1121=$D74)*('GHG Emission'!$E$2:$E$1121=$C74)*('GHG Emission'!$F$2:$F$1121=$B74)*('GHG Emission'!$I$2:$I$1121=$E74)*('GHG Emission'!$J$2:$J$1121=$F74)*('GHG Emission'!$K$2:$K$1121=AM$1),0))</f>
        <v>34.354968011642185</v>
      </c>
      <c r="BM74" t="str">
        <f t="shared" si="15"/>
        <v>HEAVY/SWEET</v>
      </c>
    </row>
    <row r="75" spans="1:65" hidden="1" x14ac:dyDescent="0.25">
      <c r="A75">
        <v>74</v>
      </c>
      <c r="B75" t="s">
        <v>470</v>
      </c>
      <c r="C75">
        <v>2035</v>
      </c>
      <c r="D75">
        <v>5</v>
      </c>
      <c r="E75" t="s">
        <v>466</v>
      </c>
      <c r="F75" t="s">
        <v>468</v>
      </c>
      <c r="G75">
        <v>1035.4935588604817</v>
      </c>
      <c r="H75">
        <v>326.96315130646633</v>
      </c>
      <c r="I75">
        <v>748.40085214611031</v>
      </c>
      <c r="J75">
        <v>393.12506230106305</v>
      </c>
      <c r="K75">
        <v>353.7995949044448</v>
      </c>
      <c r="L75">
        <v>26.363897406863835</v>
      </c>
      <c r="M75">
        <v>0</v>
      </c>
      <c r="N75">
        <v>0</v>
      </c>
      <c r="O75">
        <v>0</v>
      </c>
      <c r="P75">
        <v>54.640781109050373</v>
      </c>
      <c r="Q75">
        <v>0</v>
      </c>
      <c r="R75">
        <v>0</v>
      </c>
      <c r="S75">
        <v>0</v>
      </c>
      <c r="T75">
        <v>25.261154693326308</v>
      </c>
      <c r="U75">
        <v>0</v>
      </c>
      <c r="V75">
        <v>0</v>
      </c>
      <c r="W75">
        <v>0</v>
      </c>
      <c r="X75">
        <f t="shared" si="8"/>
        <v>2964.0480527278064</v>
      </c>
      <c r="Y75">
        <f>X75*VLOOKUP($D75,'LinearReg Model'!$S$2:$T$6,2,FALSE)</f>
        <v>2364.0972974311421</v>
      </c>
      <c r="Z75">
        <f t="shared" si="9"/>
        <v>0.34935113751193048</v>
      </c>
      <c r="AA75">
        <f t="shared" si="10"/>
        <v>0.25249282023527209</v>
      </c>
      <c r="AB75">
        <f t="shared" si="11"/>
        <v>0.11030966620313827</v>
      </c>
      <c r="AC75">
        <v>28.769370330956527</v>
      </c>
      <c r="AD75">
        <v>1.664030724437416</v>
      </c>
      <c r="AE75" s="2">
        <f>VLOOKUP($D75,'MultiReg Model'!$A$5:$F$9,2,FALSE)+AC75*VLOOKUP($D75,'MultiReg Model'!$A$5:$F$9,3,FALSE)+Z75*VLOOKUP($D75,'MultiReg Model'!$A$5:$F$9,4,FALSE)+AA75*VLOOKUP($D75,'MultiReg Model'!$A$5:$F$9,5,FALSE)+AB75*VLOOKUP($D75,'MultiReg Model'!$A$5:$F$9,6,FALSE)</f>
        <v>8.0437931460748651</v>
      </c>
      <c r="AF75" cm="1">
        <f t="array" ref="AF75">MMULT($AG75:$AM75,'Avg CI Index'!$C$2:$C$8)/BI75</f>
        <v>8.0537931452279956</v>
      </c>
      <c r="AG75">
        <v>539.8428057368867</v>
      </c>
      <c r="AH75">
        <v>268.8553476441582</v>
      </c>
      <c r="AI75">
        <v>251.89002161493767</v>
      </c>
      <c r="AJ75">
        <v>124.04656762106337</v>
      </c>
      <c r="AK75">
        <v>72.814017405571434</v>
      </c>
      <c r="AL75">
        <v>162.76915423005255</v>
      </c>
      <c r="AM75">
        <v>928.48496606022729</v>
      </c>
      <c r="AN75" cm="1">
        <f t="array" ref="AN75">$Y75*INDEX(RefCapacity!$D$2:$D$526,MATCH(1,(RefCapacity!$A$2:$A$526=RefCapacityProj!$D75)*(RefCapacity!$B$2:$B$526=2019)*(RefCapacity!$C$2:$C$526=AG$1),0))/SUMIFS(RefCapacity!$D$2:$D$526,RefCapacity!$A$2:$A$526,RefCapacityProj!$D75,RefCapacity!$B$2:$B$526,2019)</f>
        <v>160.48308429961375</v>
      </c>
      <c r="AO75" cm="1">
        <f t="array" ref="AO75">$Y75*INDEX(RefCapacity!$D$2:$D$526,MATCH(1,(RefCapacity!$A$2:$A$526=RefCapacityProj!$D75)*(RefCapacity!$B$2:$B$526=2019)*(RefCapacity!$C$2:$C$526=AH$1),0))/SUMIFS(RefCapacity!$D$2:$D$526,RefCapacity!$A$2:$A$526,RefCapacityProj!$D75,RefCapacity!$B$2:$B$526,2019)</f>
        <v>184.13733324683562</v>
      </c>
      <c r="AP75" cm="1">
        <f t="array" ref="AP75">$Y75*INDEX(RefCapacity!$D$2:$D$526,MATCH(1,(RefCapacity!$A$2:$A$526=RefCapacityProj!$D75)*(RefCapacity!$B$2:$B$526=2019)*(RefCapacity!$C$2:$C$526=AI$1),0))/SUMIFS(RefCapacity!$D$2:$D$526,RefCapacity!$A$2:$A$526,RefCapacityProj!$D75,RefCapacity!$B$2:$B$526,2019)</f>
        <v>200.3726561558758</v>
      </c>
      <c r="AQ75" cm="1">
        <f t="array" ref="AQ75">$Y75*INDEX(RefCapacity!$D$2:$D$526,MATCH(1,(RefCapacity!$A$2:$A$526=RefCapacityProj!$D75)*(RefCapacity!$B$2:$B$526=2019)*(RefCapacity!$C$2:$C$526=AJ$1),0))/SUMIFS(RefCapacity!$D$2:$D$526,RefCapacity!$A$2:$A$526,RefCapacityProj!$D75,RefCapacity!$B$2:$B$526,2019)</f>
        <v>211.26470823409261</v>
      </c>
      <c r="AR75" cm="1">
        <f t="array" ref="AR75">$Y75*INDEX(RefCapacity!$D$2:$D$526,MATCH(1,(RefCapacity!$A$2:$A$526=RefCapacityProj!$D75)*(RefCapacity!$B$2:$B$526=2019)*(RefCapacity!$C$2:$C$526=AK$1),0))/SUMIFS(RefCapacity!$D$2:$D$526,RefCapacity!$A$2:$A$526,RefCapacityProj!$D75,RefCapacity!$B$2:$B$526,2019)</f>
        <v>184.30174158009169</v>
      </c>
      <c r="AS75" cm="1">
        <f t="array" ref="AS75">$Y75*INDEX(RefCapacity!$D$2:$D$526,MATCH(1,(RefCapacity!$A$2:$A$526=RefCapacityProj!$D75)*(RefCapacity!$B$2:$B$526=2019)*(RefCapacity!$C$2:$C$526=AL$1),0))/SUMIFS(RefCapacity!$D$2:$D$526,RefCapacity!$A$2:$A$526,RefCapacityProj!$D75,RefCapacity!$B$2:$B$526,2019)</f>
        <v>294.660835278251</v>
      </c>
      <c r="AT75" cm="1">
        <f t="array" ref="AT75">$Y75*INDEX(RefCapacity!$D$2:$D$526,MATCH(1,(RefCapacity!$A$2:$A$526=RefCapacityProj!$D75)*(RefCapacity!$B$2:$B$526=2019)*(RefCapacity!$C$2:$C$526=AM$1),0))/SUMIFS(RefCapacity!$D$2:$D$526,RefCapacity!$A$2:$A$526,RefCapacityProj!$D75,RefCapacity!$B$2:$B$526,2019)</f>
        <v>1128.8769386363815</v>
      </c>
      <c r="AU75" cm="1">
        <f t="array" ref="AU75">INDEX(RefCapacity!$D$2:$D$526,MATCH(1,(RefCapacity!$A$2:$A$526=RefCapacityProj!$D75)*(RefCapacity!$B$2:$B$526=2019)*(RefCapacity!$C$2:$C$526=RefCapacityProj!AG$1),0))*IF($C75=2035,1+VLOOKUP(AG$1,RefCapacity!$H$2:$L$8,2,FALSE),1+VLOOKUP(AG$1,RefCapacity!$H$2:$L$8,4,FALSE))</f>
        <v>539.89181304421595</v>
      </c>
      <c r="AV75" cm="1">
        <f t="array" ref="AV75">INDEX(RefCapacity!$D$2:$D$526,MATCH(1,(RefCapacity!$A$2:$A$526=RefCapacityProj!$D75)*(RefCapacity!$B$2:$B$526=2019)*(RefCapacity!$C$2:$C$526=RefCapacityProj!AH$1),0))*IF($C75=2035,1+VLOOKUP(AH$1,RefCapacity!$H$2:$L$8,2,FALSE),1+VLOOKUP(AH$1,RefCapacity!$H$2:$L$8,4,FALSE))</f>
        <v>301.95121010669465</v>
      </c>
      <c r="AW75" cm="1">
        <f t="array" ref="AW75">INDEX(RefCapacity!$D$2:$D$526,MATCH(1,(RefCapacity!$A$2:$A$526=RefCapacityProj!$D75)*(RefCapacity!$B$2:$B$526=2019)*(RefCapacity!$C$2:$C$526=RefCapacityProj!AI$1),0))*IF($C75=2035,1+VLOOKUP(AI$1,RefCapacity!$H$2:$L$8,2,FALSE),1+VLOOKUP(AI$1,RefCapacity!$H$2:$L$8,4,FALSE))</f>
        <v>252.01742847049914</v>
      </c>
      <c r="AX75" cm="1">
        <f t="array" ref="AX75">INDEX(RefCapacity!$D$2:$D$526,MATCH(1,(RefCapacity!$A$2:$A$526=RefCapacityProj!$D75)*(RefCapacity!$B$2:$B$526=2019)*(RefCapacity!$C$2:$C$526=RefCapacityProj!AJ$1),0))*IF($C75=2035,1+VLOOKUP(AJ$1,RefCapacity!$H$2:$L$8,2,FALSE),1+VLOOKUP(AJ$1,RefCapacity!$H$2:$L$8,4,FALSE))</f>
        <v>492.06309041835357</v>
      </c>
      <c r="AY75" cm="1">
        <f t="array" ref="AY75">INDEX(RefCapacity!$D$2:$D$526,MATCH(1,(RefCapacity!$A$2:$A$526=RefCapacityProj!$D75)*(RefCapacity!$B$2:$B$526=2019)*(RefCapacity!$C$2:$C$526=RefCapacityProj!AK$1),0))*IF($C75=2035,1+VLOOKUP(AK$1,RefCapacity!$H$2:$L$8,2,FALSE),1+VLOOKUP(AK$1,RefCapacity!$H$2:$L$8,4,FALSE))</f>
        <v>278.3741935541737</v>
      </c>
      <c r="AZ75" cm="1">
        <f t="array" ref="AZ75">INDEX(RefCapacity!$D$2:$D$526,MATCH(1,(RefCapacity!$A$2:$A$526=RefCapacityProj!$D75)*(RefCapacity!$B$2:$B$526=2019)*(RefCapacity!$C$2:$C$526=RefCapacityProj!AL$1),0))*IF($C75=2035,1+VLOOKUP(AL$1,RefCapacity!$H$2:$L$8,2,FALSE),1+VLOOKUP(AL$1,RefCapacity!$H$2:$L$8,4,FALSE))</f>
        <v>505.88851674641143</v>
      </c>
      <c r="BA75" cm="1">
        <f t="array" ref="BA75">INDEX(RefCapacity!$D$2:$D$526,MATCH(1,(RefCapacity!$A$2:$A$526=RefCapacityProj!$D75)*(RefCapacity!$B$2:$B$526=2019)*(RefCapacity!$C$2:$C$526=RefCapacityProj!AM$1),0))*IF($C75=2035,1+VLOOKUP(AM$1,RefCapacity!$H$2:$L$8,2,FALSE),1+VLOOKUP(AM$1,RefCapacity!$H$2:$L$8,4,FALSE))</f>
        <v>1427.387315315184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f t="shared" si="12"/>
        <v>2348.7028803128969</v>
      </c>
      <c r="BJ75">
        <f t="shared" si="13"/>
        <v>15.394417118245201</v>
      </c>
      <c r="BK75">
        <f t="shared" si="14"/>
        <v>9.9999991531305454E-3</v>
      </c>
      <c r="BL75" cm="1">
        <f t="array" ref="BL75">AG75/$BI75*INDEX('GHG Emission'!$C$2:$C$1121,MATCH(1,('GHG Emission'!$D$2:$D$1121=$D75)*('GHG Emission'!$E$2:$E$1121=$C75)*('GHG Emission'!$F$2:$F$1121=$B75)*('GHG Emission'!$I$2:$I$1121=$E75)*('GHG Emission'!$J$2:$J$1121=$F75)*('GHG Emission'!$K$2:$K$1121=AG$1),0))+AH75/$BI75*INDEX('GHG Emission'!$C$2:$C$1121,MATCH(1,('GHG Emission'!$D$2:$D$1121=$D75)*('GHG Emission'!$E$2:$E$1121=$C75)*('GHG Emission'!$F$2:$F$1121=$B75)*('GHG Emission'!$I$2:$I$1121=$E75)*('GHG Emission'!$J$2:$J$1121=$F75)*('GHG Emission'!$K$2:$K$1121=AH$1),0))+AI75/$BI75*INDEX('GHG Emission'!$C$2:$C$1121,MATCH(1,('GHG Emission'!$D$2:$D$1121=$D75)*('GHG Emission'!$E$2:$E$1121=$C75)*('GHG Emission'!$F$2:$F$1121=$B75)*('GHG Emission'!$I$2:$I$1121=$E75)*('GHG Emission'!$J$2:$J$1121=$F75)*('GHG Emission'!$K$2:$K$1121=AI$1),0))+AJ75/$BI75*INDEX('GHG Emission'!$C$2:$C$1121,MATCH(1,('GHG Emission'!$D$2:$D$1121=$D75)*('GHG Emission'!$E$2:$E$1121=$C75)*('GHG Emission'!$F$2:$F$1121=$B75)*('GHG Emission'!$I$2:$I$1121=$E75)*('GHG Emission'!$J$2:$J$1121=$F75)*('GHG Emission'!$K$2:$K$1121=AJ$1),0))+AK75/$BI75*INDEX('GHG Emission'!$C$2:$C$1121,MATCH(1,('GHG Emission'!$D$2:$D$1121=$D75)*('GHG Emission'!$E$2:$E$1121=$C75)*('GHG Emission'!$F$2:$F$1121=$B75)*('GHG Emission'!$I$2:$I$1121=$E75)*('GHG Emission'!$J$2:$J$1121=$F75)*('GHG Emission'!$K$2:$K$1121=AK$1),0))+AL75/$BI75*INDEX('GHG Emission'!$C$2:$C$1121,MATCH(1,('GHG Emission'!$D$2:$D$1121=$D75)*('GHG Emission'!$E$2:$E$1121=$C75)*('GHG Emission'!$F$2:$F$1121=$B75)*('GHG Emission'!$I$2:$I$1121=$E75)*('GHG Emission'!$J$2:$J$1121=$F75)*('GHG Emission'!$K$2:$K$1121=AL$1),0))+AM75/$BI75*INDEX('GHG Emission'!$C$2:$C$1121,MATCH(1,('GHG Emission'!$D$2:$D$1121=$D75)*('GHG Emission'!$E$2:$E$1121=$C75)*('GHG Emission'!$F$2:$F$1121=$B75)*('GHG Emission'!$I$2:$I$1121=$E75)*('GHG Emission'!$J$2:$J$1121=$F75)*('GHG Emission'!$K$2:$K$1121=AM$1),0))</f>
        <v>34.237174892482287</v>
      </c>
      <c r="BM75" t="str">
        <f t="shared" si="15"/>
        <v>HEAVY/SOUR</v>
      </c>
    </row>
    <row r="76" spans="1:65" hidden="1" x14ac:dyDescent="0.25">
      <c r="A76">
        <v>75</v>
      </c>
      <c r="B76" t="s">
        <v>470</v>
      </c>
      <c r="C76">
        <v>2035</v>
      </c>
      <c r="D76">
        <v>5</v>
      </c>
      <c r="E76" t="s">
        <v>469</v>
      </c>
      <c r="F76" t="s">
        <v>467</v>
      </c>
      <c r="G76">
        <v>1035.4935588604817</v>
      </c>
      <c r="H76">
        <v>326.96315130646633</v>
      </c>
      <c r="I76">
        <v>748.40085214611031</v>
      </c>
      <c r="J76">
        <v>393.12506230106305</v>
      </c>
      <c r="K76">
        <v>353.7995949044448</v>
      </c>
      <c r="L76">
        <v>26.363897406863835</v>
      </c>
      <c r="M76">
        <v>0</v>
      </c>
      <c r="N76">
        <v>0</v>
      </c>
      <c r="O76">
        <v>0</v>
      </c>
      <c r="P76">
        <v>54.640781109050373</v>
      </c>
      <c r="Q76">
        <v>0</v>
      </c>
      <c r="R76">
        <v>0</v>
      </c>
      <c r="S76">
        <v>0</v>
      </c>
      <c r="T76">
        <v>25.261154693326308</v>
      </c>
      <c r="U76">
        <v>0</v>
      </c>
      <c r="V76">
        <v>0</v>
      </c>
      <c r="W76">
        <v>0</v>
      </c>
      <c r="X76">
        <f t="shared" si="8"/>
        <v>2964.0480527278064</v>
      </c>
      <c r="Y76">
        <f>X76*VLOOKUP($D76,'LinearReg Model'!$S$2:$T$6,2,FALSE)</f>
        <v>2364.0972974311421</v>
      </c>
      <c r="Z76">
        <f t="shared" si="9"/>
        <v>0.34935113751193048</v>
      </c>
      <c r="AA76">
        <f t="shared" si="10"/>
        <v>0.25249282023527209</v>
      </c>
      <c r="AB76">
        <f t="shared" si="11"/>
        <v>0.11030966620313827</v>
      </c>
      <c r="AC76">
        <v>31.950804958677317</v>
      </c>
      <c r="AD76">
        <v>1.439026873673878</v>
      </c>
      <c r="AE76" s="2">
        <f>VLOOKUP($D76,'MultiReg Model'!$A$5:$F$9,2,FALSE)+AC76*VLOOKUP($D76,'MultiReg Model'!$A$5:$F$9,3,FALSE)+Z76*VLOOKUP($D76,'MultiReg Model'!$A$5:$F$9,4,FALSE)+AA76*VLOOKUP($D76,'MultiReg Model'!$A$5:$F$9,5,FALSE)+AB76*VLOOKUP($D76,'MultiReg Model'!$A$5:$F$9,6,FALSE)</f>
        <v>8.7054415028615431</v>
      </c>
      <c r="AF76" cm="1">
        <f t="array" ref="AF76">MMULT($AG76:$AM76,'Avg CI Index'!$C$2:$C$8)/BI76</f>
        <v>8.7154415358756498</v>
      </c>
      <c r="AG76">
        <v>365.74757489314226</v>
      </c>
      <c r="AH76">
        <v>222.73722176761726</v>
      </c>
      <c r="AI76">
        <v>251.99605772234224</v>
      </c>
      <c r="AJ76">
        <v>164.85959582277493</v>
      </c>
      <c r="AK76">
        <v>125.88685739413913</v>
      </c>
      <c r="AL76">
        <v>226.18966694153431</v>
      </c>
      <c r="AM76">
        <v>1026.5860264724954</v>
      </c>
      <c r="AN76" cm="1">
        <f t="array" ref="AN76">$Y76*INDEX(RefCapacity!$D$2:$D$526,MATCH(1,(RefCapacity!$A$2:$A$526=RefCapacityProj!$D76)*(RefCapacity!$B$2:$B$526=2019)*(RefCapacity!$C$2:$C$526=AG$1),0))/SUMIFS(RefCapacity!$D$2:$D$526,RefCapacity!$A$2:$A$526,RefCapacityProj!$D76,RefCapacity!$B$2:$B$526,2019)</f>
        <v>160.48308429961375</v>
      </c>
      <c r="AO76" cm="1">
        <f t="array" ref="AO76">$Y76*INDEX(RefCapacity!$D$2:$D$526,MATCH(1,(RefCapacity!$A$2:$A$526=RefCapacityProj!$D76)*(RefCapacity!$B$2:$B$526=2019)*(RefCapacity!$C$2:$C$526=AH$1),0))/SUMIFS(RefCapacity!$D$2:$D$526,RefCapacity!$A$2:$A$526,RefCapacityProj!$D76,RefCapacity!$B$2:$B$526,2019)</f>
        <v>184.13733324683562</v>
      </c>
      <c r="AP76" cm="1">
        <f t="array" ref="AP76">$Y76*INDEX(RefCapacity!$D$2:$D$526,MATCH(1,(RefCapacity!$A$2:$A$526=RefCapacityProj!$D76)*(RefCapacity!$B$2:$B$526=2019)*(RefCapacity!$C$2:$C$526=AI$1),0))/SUMIFS(RefCapacity!$D$2:$D$526,RefCapacity!$A$2:$A$526,RefCapacityProj!$D76,RefCapacity!$B$2:$B$526,2019)</f>
        <v>200.3726561558758</v>
      </c>
      <c r="AQ76" cm="1">
        <f t="array" ref="AQ76">$Y76*INDEX(RefCapacity!$D$2:$D$526,MATCH(1,(RefCapacity!$A$2:$A$526=RefCapacityProj!$D76)*(RefCapacity!$B$2:$B$526=2019)*(RefCapacity!$C$2:$C$526=AJ$1),0))/SUMIFS(RefCapacity!$D$2:$D$526,RefCapacity!$A$2:$A$526,RefCapacityProj!$D76,RefCapacity!$B$2:$B$526,2019)</f>
        <v>211.26470823409261</v>
      </c>
      <c r="AR76" cm="1">
        <f t="array" ref="AR76">$Y76*INDEX(RefCapacity!$D$2:$D$526,MATCH(1,(RefCapacity!$A$2:$A$526=RefCapacityProj!$D76)*(RefCapacity!$B$2:$B$526=2019)*(RefCapacity!$C$2:$C$526=AK$1),0))/SUMIFS(RefCapacity!$D$2:$D$526,RefCapacity!$A$2:$A$526,RefCapacityProj!$D76,RefCapacity!$B$2:$B$526,2019)</f>
        <v>184.30174158009169</v>
      </c>
      <c r="AS76" cm="1">
        <f t="array" ref="AS76">$Y76*INDEX(RefCapacity!$D$2:$D$526,MATCH(1,(RefCapacity!$A$2:$A$526=RefCapacityProj!$D76)*(RefCapacity!$B$2:$B$526=2019)*(RefCapacity!$C$2:$C$526=AL$1),0))/SUMIFS(RefCapacity!$D$2:$D$526,RefCapacity!$A$2:$A$526,RefCapacityProj!$D76,RefCapacity!$B$2:$B$526,2019)</f>
        <v>294.660835278251</v>
      </c>
      <c r="AT76" cm="1">
        <f t="array" ref="AT76">$Y76*INDEX(RefCapacity!$D$2:$D$526,MATCH(1,(RefCapacity!$A$2:$A$526=RefCapacityProj!$D76)*(RefCapacity!$B$2:$B$526=2019)*(RefCapacity!$C$2:$C$526=AM$1),0))/SUMIFS(RefCapacity!$D$2:$D$526,RefCapacity!$A$2:$A$526,RefCapacityProj!$D76,RefCapacity!$B$2:$B$526,2019)</f>
        <v>1128.8769386363815</v>
      </c>
      <c r="AU76" cm="1">
        <f t="array" ref="AU76">INDEX(RefCapacity!$D$2:$D$526,MATCH(1,(RefCapacity!$A$2:$A$526=RefCapacityProj!$D76)*(RefCapacity!$B$2:$B$526=2019)*(RefCapacity!$C$2:$C$526=RefCapacityProj!AG$1),0))*IF($C76=2035,1+VLOOKUP(AG$1,RefCapacity!$H$2:$L$8,2,FALSE),1+VLOOKUP(AG$1,RefCapacity!$H$2:$L$8,4,FALSE))</f>
        <v>539.89181304421595</v>
      </c>
      <c r="AV76" cm="1">
        <f t="array" ref="AV76">INDEX(RefCapacity!$D$2:$D$526,MATCH(1,(RefCapacity!$A$2:$A$526=RefCapacityProj!$D76)*(RefCapacity!$B$2:$B$526=2019)*(RefCapacity!$C$2:$C$526=RefCapacityProj!AH$1),0))*IF($C76=2035,1+VLOOKUP(AH$1,RefCapacity!$H$2:$L$8,2,FALSE),1+VLOOKUP(AH$1,RefCapacity!$H$2:$L$8,4,FALSE))</f>
        <v>301.95121010669465</v>
      </c>
      <c r="AW76" cm="1">
        <f t="array" ref="AW76">INDEX(RefCapacity!$D$2:$D$526,MATCH(1,(RefCapacity!$A$2:$A$526=RefCapacityProj!$D76)*(RefCapacity!$B$2:$B$526=2019)*(RefCapacity!$C$2:$C$526=RefCapacityProj!AI$1),0))*IF($C76=2035,1+VLOOKUP(AI$1,RefCapacity!$H$2:$L$8,2,FALSE),1+VLOOKUP(AI$1,RefCapacity!$H$2:$L$8,4,FALSE))</f>
        <v>252.01742847049914</v>
      </c>
      <c r="AX76" cm="1">
        <f t="array" ref="AX76">INDEX(RefCapacity!$D$2:$D$526,MATCH(1,(RefCapacity!$A$2:$A$526=RefCapacityProj!$D76)*(RefCapacity!$B$2:$B$526=2019)*(RefCapacity!$C$2:$C$526=RefCapacityProj!AJ$1),0))*IF($C76=2035,1+VLOOKUP(AJ$1,RefCapacity!$H$2:$L$8,2,FALSE),1+VLOOKUP(AJ$1,RefCapacity!$H$2:$L$8,4,FALSE))</f>
        <v>492.06309041835357</v>
      </c>
      <c r="AY76" cm="1">
        <f t="array" ref="AY76">INDEX(RefCapacity!$D$2:$D$526,MATCH(1,(RefCapacity!$A$2:$A$526=RefCapacityProj!$D76)*(RefCapacity!$B$2:$B$526=2019)*(RefCapacity!$C$2:$C$526=RefCapacityProj!AK$1),0))*IF($C76=2035,1+VLOOKUP(AK$1,RefCapacity!$H$2:$L$8,2,FALSE),1+VLOOKUP(AK$1,RefCapacity!$H$2:$L$8,4,FALSE))</f>
        <v>278.3741935541737</v>
      </c>
      <c r="AZ76" cm="1">
        <f t="array" ref="AZ76">INDEX(RefCapacity!$D$2:$D$526,MATCH(1,(RefCapacity!$A$2:$A$526=RefCapacityProj!$D76)*(RefCapacity!$B$2:$B$526=2019)*(RefCapacity!$C$2:$C$526=RefCapacityProj!AL$1),0))*IF($C76=2035,1+VLOOKUP(AL$1,RefCapacity!$H$2:$L$8,2,FALSE),1+VLOOKUP(AL$1,RefCapacity!$H$2:$L$8,4,FALSE))</f>
        <v>505.88851674641143</v>
      </c>
      <c r="BA76" cm="1">
        <f t="array" ref="BA76">INDEX(RefCapacity!$D$2:$D$526,MATCH(1,(RefCapacity!$A$2:$A$526=RefCapacityProj!$D76)*(RefCapacity!$B$2:$B$526=2019)*(RefCapacity!$C$2:$C$526=RefCapacityProj!AM$1),0))*IF($C76=2035,1+VLOOKUP(AM$1,RefCapacity!$H$2:$L$8,2,FALSE),1+VLOOKUP(AM$1,RefCapacity!$H$2:$L$8,4,FALSE))</f>
        <v>1427.387315315184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f t="shared" si="12"/>
        <v>2384.0030010140454</v>
      </c>
      <c r="BJ76">
        <f t="shared" si="13"/>
        <v>19.905703582903243</v>
      </c>
      <c r="BK76">
        <f t="shared" si="14"/>
        <v>1.0000033014106791E-2</v>
      </c>
      <c r="BL76" cm="1">
        <f t="array" ref="BL76">AG76/$BI76*INDEX('GHG Emission'!$C$2:$C$1121,MATCH(1,('GHG Emission'!$D$2:$D$1121=$D76)*('GHG Emission'!$E$2:$E$1121=$C76)*('GHG Emission'!$F$2:$F$1121=$B76)*('GHG Emission'!$I$2:$I$1121=$E76)*('GHG Emission'!$J$2:$J$1121=$F76)*('GHG Emission'!$K$2:$K$1121=AG$1),0))+AH76/$BI76*INDEX('GHG Emission'!$C$2:$C$1121,MATCH(1,('GHG Emission'!$D$2:$D$1121=$D76)*('GHG Emission'!$E$2:$E$1121=$C76)*('GHG Emission'!$F$2:$F$1121=$B76)*('GHG Emission'!$I$2:$I$1121=$E76)*('GHG Emission'!$J$2:$J$1121=$F76)*('GHG Emission'!$K$2:$K$1121=AH$1),0))+AI76/$BI76*INDEX('GHG Emission'!$C$2:$C$1121,MATCH(1,('GHG Emission'!$D$2:$D$1121=$D76)*('GHG Emission'!$E$2:$E$1121=$C76)*('GHG Emission'!$F$2:$F$1121=$B76)*('GHG Emission'!$I$2:$I$1121=$E76)*('GHG Emission'!$J$2:$J$1121=$F76)*('GHG Emission'!$K$2:$K$1121=AI$1),0))+AJ76/$BI76*INDEX('GHG Emission'!$C$2:$C$1121,MATCH(1,('GHG Emission'!$D$2:$D$1121=$D76)*('GHG Emission'!$E$2:$E$1121=$C76)*('GHG Emission'!$F$2:$F$1121=$B76)*('GHG Emission'!$I$2:$I$1121=$E76)*('GHG Emission'!$J$2:$J$1121=$F76)*('GHG Emission'!$K$2:$K$1121=AJ$1),0))+AK76/$BI76*INDEX('GHG Emission'!$C$2:$C$1121,MATCH(1,('GHG Emission'!$D$2:$D$1121=$D76)*('GHG Emission'!$E$2:$E$1121=$C76)*('GHG Emission'!$F$2:$F$1121=$B76)*('GHG Emission'!$I$2:$I$1121=$E76)*('GHG Emission'!$J$2:$J$1121=$F76)*('GHG Emission'!$K$2:$K$1121=AK$1),0))+AL76/$BI76*INDEX('GHG Emission'!$C$2:$C$1121,MATCH(1,('GHG Emission'!$D$2:$D$1121=$D76)*('GHG Emission'!$E$2:$E$1121=$C76)*('GHG Emission'!$F$2:$F$1121=$B76)*('GHG Emission'!$I$2:$I$1121=$E76)*('GHG Emission'!$J$2:$J$1121=$F76)*('GHG Emission'!$K$2:$K$1121=AL$1),0))+AM76/$BI76*INDEX('GHG Emission'!$C$2:$C$1121,MATCH(1,('GHG Emission'!$D$2:$D$1121=$D76)*('GHG Emission'!$E$2:$E$1121=$C76)*('GHG Emission'!$F$2:$F$1121=$B76)*('GHG Emission'!$I$2:$I$1121=$E76)*('GHG Emission'!$J$2:$J$1121=$F76)*('GHG Emission'!$K$2:$K$1121=AM$1),0))</f>
        <v>35.253384142387844</v>
      </c>
      <c r="BM76" t="str">
        <f t="shared" si="15"/>
        <v>LIGHT/SWEET</v>
      </c>
    </row>
    <row r="77" spans="1:65" hidden="1" x14ac:dyDescent="0.25">
      <c r="A77">
        <v>76</v>
      </c>
      <c r="B77" t="s">
        <v>470</v>
      </c>
      <c r="C77">
        <v>2035</v>
      </c>
      <c r="D77">
        <v>5</v>
      </c>
      <c r="E77" t="s">
        <v>469</v>
      </c>
      <c r="F77" t="s">
        <v>468</v>
      </c>
      <c r="G77">
        <v>1035.4935588604817</v>
      </c>
      <c r="H77">
        <v>326.96315130646633</v>
      </c>
      <c r="I77">
        <v>748.40085214611031</v>
      </c>
      <c r="J77">
        <v>393.12506230106305</v>
      </c>
      <c r="K77">
        <v>353.7995949044448</v>
      </c>
      <c r="L77">
        <v>26.363897406863835</v>
      </c>
      <c r="M77">
        <v>0</v>
      </c>
      <c r="N77">
        <v>0</v>
      </c>
      <c r="O77">
        <v>0</v>
      </c>
      <c r="P77">
        <v>54.640781109050373</v>
      </c>
      <c r="Q77">
        <v>0</v>
      </c>
      <c r="R77">
        <v>0</v>
      </c>
      <c r="S77">
        <v>0</v>
      </c>
      <c r="T77">
        <v>25.261154693326308</v>
      </c>
      <c r="U77">
        <v>0</v>
      </c>
      <c r="V77">
        <v>0</v>
      </c>
      <c r="W77">
        <v>0</v>
      </c>
      <c r="X77">
        <f t="shared" si="8"/>
        <v>2964.0480527278064</v>
      </c>
      <c r="Y77">
        <f>X77*VLOOKUP($D77,'LinearReg Model'!$S$2:$T$6,2,FALSE)</f>
        <v>2364.0972974311421</v>
      </c>
      <c r="Z77">
        <f t="shared" si="9"/>
        <v>0.34935113751193048</v>
      </c>
      <c r="AA77">
        <f t="shared" si="10"/>
        <v>0.25249282023527209</v>
      </c>
      <c r="AB77">
        <f t="shared" si="11"/>
        <v>0.11030966620313827</v>
      </c>
      <c r="AC77">
        <v>31.950804958677317</v>
      </c>
      <c r="AD77">
        <v>1.664030724437416</v>
      </c>
      <c r="AE77" s="2">
        <f>VLOOKUP($D77,'MultiReg Model'!$A$5:$F$9,2,FALSE)+AC77*VLOOKUP($D77,'MultiReg Model'!$A$5:$F$9,3,FALSE)+Z77*VLOOKUP($D77,'MultiReg Model'!$A$5:$F$9,4,FALSE)+AA77*VLOOKUP($D77,'MultiReg Model'!$A$5:$F$9,5,FALSE)+AB77*VLOOKUP($D77,'MultiReg Model'!$A$5:$F$9,6,FALSE)</f>
        <v>8.7054415028615431</v>
      </c>
      <c r="AF77" cm="1">
        <f t="array" ref="AF77">MMULT($AG77:$AM77,'Avg CI Index'!$C$2:$C$8)/BI77</f>
        <v>8.7154415358756498</v>
      </c>
      <c r="AG77">
        <v>365.74757489314226</v>
      </c>
      <c r="AH77">
        <v>222.73722176761726</v>
      </c>
      <c r="AI77">
        <v>251.99605772234224</v>
      </c>
      <c r="AJ77">
        <v>164.85959582277493</v>
      </c>
      <c r="AK77">
        <v>125.88685739413913</v>
      </c>
      <c r="AL77">
        <v>226.18966694153431</v>
      </c>
      <c r="AM77">
        <v>1026.5860264724954</v>
      </c>
      <c r="AN77" cm="1">
        <f t="array" ref="AN77">$Y77*INDEX(RefCapacity!$D$2:$D$526,MATCH(1,(RefCapacity!$A$2:$A$526=RefCapacityProj!$D77)*(RefCapacity!$B$2:$B$526=2019)*(RefCapacity!$C$2:$C$526=AG$1),0))/SUMIFS(RefCapacity!$D$2:$D$526,RefCapacity!$A$2:$A$526,RefCapacityProj!$D77,RefCapacity!$B$2:$B$526,2019)</f>
        <v>160.48308429961375</v>
      </c>
      <c r="AO77" cm="1">
        <f t="array" ref="AO77">$Y77*INDEX(RefCapacity!$D$2:$D$526,MATCH(1,(RefCapacity!$A$2:$A$526=RefCapacityProj!$D77)*(RefCapacity!$B$2:$B$526=2019)*(RefCapacity!$C$2:$C$526=AH$1),0))/SUMIFS(RefCapacity!$D$2:$D$526,RefCapacity!$A$2:$A$526,RefCapacityProj!$D77,RefCapacity!$B$2:$B$526,2019)</f>
        <v>184.13733324683562</v>
      </c>
      <c r="AP77" cm="1">
        <f t="array" ref="AP77">$Y77*INDEX(RefCapacity!$D$2:$D$526,MATCH(1,(RefCapacity!$A$2:$A$526=RefCapacityProj!$D77)*(RefCapacity!$B$2:$B$526=2019)*(RefCapacity!$C$2:$C$526=AI$1),0))/SUMIFS(RefCapacity!$D$2:$D$526,RefCapacity!$A$2:$A$526,RefCapacityProj!$D77,RefCapacity!$B$2:$B$526,2019)</f>
        <v>200.3726561558758</v>
      </c>
      <c r="AQ77" cm="1">
        <f t="array" ref="AQ77">$Y77*INDEX(RefCapacity!$D$2:$D$526,MATCH(1,(RefCapacity!$A$2:$A$526=RefCapacityProj!$D77)*(RefCapacity!$B$2:$B$526=2019)*(RefCapacity!$C$2:$C$526=AJ$1),0))/SUMIFS(RefCapacity!$D$2:$D$526,RefCapacity!$A$2:$A$526,RefCapacityProj!$D77,RefCapacity!$B$2:$B$526,2019)</f>
        <v>211.26470823409261</v>
      </c>
      <c r="AR77" cm="1">
        <f t="array" ref="AR77">$Y77*INDEX(RefCapacity!$D$2:$D$526,MATCH(1,(RefCapacity!$A$2:$A$526=RefCapacityProj!$D77)*(RefCapacity!$B$2:$B$526=2019)*(RefCapacity!$C$2:$C$526=AK$1),0))/SUMIFS(RefCapacity!$D$2:$D$526,RefCapacity!$A$2:$A$526,RefCapacityProj!$D77,RefCapacity!$B$2:$B$526,2019)</f>
        <v>184.30174158009169</v>
      </c>
      <c r="AS77" cm="1">
        <f t="array" ref="AS77">$Y77*INDEX(RefCapacity!$D$2:$D$526,MATCH(1,(RefCapacity!$A$2:$A$526=RefCapacityProj!$D77)*(RefCapacity!$B$2:$B$526=2019)*(RefCapacity!$C$2:$C$526=AL$1),0))/SUMIFS(RefCapacity!$D$2:$D$526,RefCapacity!$A$2:$A$526,RefCapacityProj!$D77,RefCapacity!$B$2:$B$526,2019)</f>
        <v>294.660835278251</v>
      </c>
      <c r="AT77" cm="1">
        <f t="array" ref="AT77">$Y77*INDEX(RefCapacity!$D$2:$D$526,MATCH(1,(RefCapacity!$A$2:$A$526=RefCapacityProj!$D77)*(RefCapacity!$B$2:$B$526=2019)*(RefCapacity!$C$2:$C$526=AM$1),0))/SUMIFS(RefCapacity!$D$2:$D$526,RefCapacity!$A$2:$A$526,RefCapacityProj!$D77,RefCapacity!$B$2:$B$526,2019)</f>
        <v>1128.8769386363815</v>
      </c>
      <c r="AU77" cm="1">
        <f t="array" ref="AU77">INDEX(RefCapacity!$D$2:$D$526,MATCH(1,(RefCapacity!$A$2:$A$526=RefCapacityProj!$D77)*(RefCapacity!$B$2:$B$526=2019)*(RefCapacity!$C$2:$C$526=RefCapacityProj!AG$1),0))*IF($C77=2035,1+VLOOKUP(AG$1,RefCapacity!$H$2:$L$8,2,FALSE),1+VLOOKUP(AG$1,RefCapacity!$H$2:$L$8,4,FALSE))</f>
        <v>539.89181304421595</v>
      </c>
      <c r="AV77" cm="1">
        <f t="array" ref="AV77">INDEX(RefCapacity!$D$2:$D$526,MATCH(1,(RefCapacity!$A$2:$A$526=RefCapacityProj!$D77)*(RefCapacity!$B$2:$B$526=2019)*(RefCapacity!$C$2:$C$526=RefCapacityProj!AH$1),0))*IF($C77=2035,1+VLOOKUP(AH$1,RefCapacity!$H$2:$L$8,2,FALSE),1+VLOOKUP(AH$1,RefCapacity!$H$2:$L$8,4,FALSE))</f>
        <v>301.95121010669465</v>
      </c>
      <c r="AW77" cm="1">
        <f t="array" ref="AW77">INDEX(RefCapacity!$D$2:$D$526,MATCH(1,(RefCapacity!$A$2:$A$526=RefCapacityProj!$D77)*(RefCapacity!$B$2:$B$526=2019)*(RefCapacity!$C$2:$C$526=RefCapacityProj!AI$1),0))*IF($C77=2035,1+VLOOKUP(AI$1,RefCapacity!$H$2:$L$8,2,FALSE),1+VLOOKUP(AI$1,RefCapacity!$H$2:$L$8,4,FALSE))</f>
        <v>252.01742847049914</v>
      </c>
      <c r="AX77" cm="1">
        <f t="array" ref="AX77">INDEX(RefCapacity!$D$2:$D$526,MATCH(1,(RefCapacity!$A$2:$A$526=RefCapacityProj!$D77)*(RefCapacity!$B$2:$B$526=2019)*(RefCapacity!$C$2:$C$526=RefCapacityProj!AJ$1),0))*IF($C77=2035,1+VLOOKUP(AJ$1,RefCapacity!$H$2:$L$8,2,FALSE),1+VLOOKUP(AJ$1,RefCapacity!$H$2:$L$8,4,FALSE))</f>
        <v>492.06309041835357</v>
      </c>
      <c r="AY77" cm="1">
        <f t="array" ref="AY77">INDEX(RefCapacity!$D$2:$D$526,MATCH(1,(RefCapacity!$A$2:$A$526=RefCapacityProj!$D77)*(RefCapacity!$B$2:$B$526=2019)*(RefCapacity!$C$2:$C$526=RefCapacityProj!AK$1),0))*IF($C77=2035,1+VLOOKUP(AK$1,RefCapacity!$H$2:$L$8,2,FALSE),1+VLOOKUP(AK$1,RefCapacity!$H$2:$L$8,4,FALSE))</f>
        <v>278.3741935541737</v>
      </c>
      <c r="AZ77" cm="1">
        <f t="array" ref="AZ77">INDEX(RefCapacity!$D$2:$D$526,MATCH(1,(RefCapacity!$A$2:$A$526=RefCapacityProj!$D77)*(RefCapacity!$B$2:$B$526=2019)*(RefCapacity!$C$2:$C$526=RefCapacityProj!AL$1),0))*IF($C77=2035,1+VLOOKUP(AL$1,RefCapacity!$H$2:$L$8,2,FALSE),1+VLOOKUP(AL$1,RefCapacity!$H$2:$L$8,4,FALSE))</f>
        <v>505.88851674641143</v>
      </c>
      <c r="BA77" cm="1">
        <f t="array" ref="BA77">INDEX(RefCapacity!$D$2:$D$526,MATCH(1,(RefCapacity!$A$2:$A$526=RefCapacityProj!$D77)*(RefCapacity!$B$2:$B$526=2019)*(RefCapacity!$C$2:$C$526=RefCapacityProj!AM$1),0))*IF($C77=2035,1+VLOOKUP(AM$1,RefCapacity!$H$2:$L$8,2,FALSE),1+VLOOKUP(AM$1,RefCapacity!$H$2:$L$8,4,FALSE))</f>
        <v>1427.387315315184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f t="shared" si="12"/>
        <v>2384.0030010140454</v>
      </c>
      <c r="BJ77">
        <f t="shared" si="13"/>
        <v>19.905703582903243</v>
      </c>
      <c r="BK77">
        <f t="shared" si="14"/>
        <v>1.0000033014106791E-2</v>
      </c>
      <c r="BL77" cm="1">
        <f t="array" ref="BL77">AG77/$BI77*INDEX('GHG Emission'!$C$2:$C$1121,MATCH(1,('GHG Emission'!$D$2:$D$1121=$D77)*('GHG Emission'!$E$2:$E$1121=$C77)*('GHG Emission'!$F$2:$F$1121=$B77)*('GHG Emission'!$I$2:$I$1121=$E77)*('GHG Emission'!$J$2:$J$1121=$F77)*('GHG Emission'!$K$2:$K$1121=AG$1),0))+AH77/$BI77*INDEX('GHG Emission'!$C$2:$C$1121,MATCH(1,('GHG Emission'!$D$2:$D$1121=$D77)*('GHG Emission'!$E$2:$E$1121=$C77)*('GHG Emission'!$F$2:$F$1121=$B77)*('GHG Emission'!$I$2:$I$1121=$E77)*('GHG Emission'!$J$2:$J$1121=$F77)*('GHG Emission'!$K$2:$K$1121=AH$1),0))+AI77/$BI77*INDEX('GHG Emission'!$C$2:$C$1121,MATCH(1,('GHG Emission'!$D$2:$D$1121=$D77)*('GHG Emission'!$E$2:$E$1121=$C77)*('GHG Emission'!$F$2:$F$1121=$B77)*('GHG Emission'!$I$2:$I$1121=$E77)*('GHG Emission'!$J$2:$J$1121=$F77)*('GHG Emission'!$K$2:$K$1121=AI$1),0))+AJ77/$BI77*INDEX('GHG Emission'!$C$2:$C$1121,MATCH(1,('GHG Emission'!$D$2:$D$1121=$D77)*('GHG Emission'!$E$2:$E$1121=$C77)*('GHG Emission'!$F$2:$F$1121=$B77)*('GHG Emission'!$I$2:$I$1121=$E77)*('GHG Emission'!$J$2:$J$1121=$F77)*('GHG Emission'!$K$2:$K$1121=AJ$1),0))+AK77/$BI77*INDEX('GHG Emission'!$C$2:$C$1121,MATCH(1,('GHG Emission'!$D$2:$D$1121=$D77)*('GHG Emission'!$E$2:$E$1121=$C77)*('GHG Emission'!$F$2:$F$1121=$B77)*('GHG Emission'!$I$2:$I$1121=$E77)*('GHG Emission'!$J$2:$J$1121=$F77)*('GHG Emission'!$K$2:$K$1121=AK$1),0))+AL77/$BI77*INDEX('GHG Emission'!$C$2:$C$1121,MATCH(1,('GHG Emission'!$D$2:$D$1121=$D77)*('GHG Emission'!$E$2:$E$1121=$C77)*('GHG Emission'!$F$2:$F$1121=$B77)*('GHG Emission'!$I$2:$I$1121=$E77)*('GHG Emission'!$J$2:$J$1121=$F77)*('GHG Emission'!$K$2:$K$1121=AL$1),0))+AM77/$BI77*INDEX('GHG Emission'!$C$2:$C$1121,MATCH(1,('GHG Emission'!$D$2:$D$1121=$D77)*('GHG Emission'!$E$2:$E$1121=$C77)*('GHG Emission'!$F$2:$F$1121=$B77)*('GHG Emission'!$I$2:$I$1121=$E77)*('GHG Emission'!$J$2:$J$1121=$F77)*('GHG Emission'!$K$2:$K$1121=AM$1),0))</f>
        <v>35.029152753963352</v>
      </c>
      <c r="BM77" t="str">
        <f t="shared" si="15"/>
        <v>LIGHT/SOUR</v>
      </c>
    </row>
    <row r="78" spans="1:65" hidden="1" x14ac:dyDescent="0.25">
      <c r="A78">
        <v>77</v>
      </c>
      <c r="B78" t="s">
        <v>470</v>
      </c>
      <c r="C78">
        <v>2050</v>
      </c>
      <c r="D78">
        <v>5</v>
      </c>
      <c r="E78" t="s">
        <v>466</v>
      </c>
      <c r="F78" t="s">
        <v>467</v>
      </c>
      <c r="G78">
        <v>668.66508815328916</v>
      </c>
      <c r="H78">
        <v>403.19471874513545</v>
      </c>
      <c r="I78">
        <v>714.25021280059491</v>
      </c>
      <c r="J78">
        <v>375.18618344780128</v>
      </c>
      <c r="K78">
        <v>419.77387298964987</v>
      </c>
      <c r="L78">
        <v>31.280067815142612</v>
      </c>
      <c r="M78">
        <v>0</v>
      </c>
      <c r="N78">
        <v>0</v>
      </c>
      <c r="O78">
        <v>0</v>
      </c>
      <c r="P78">
        <v>59.542867080691309</v>
      </c>
      <c r="Q78">
        <v>0</v>
      </c>
      <c r="R78">
        <v>0</v>
      </c>
      <c r="S78">
        <v>0</v>
      </c>
      <c r="T78">
        <v>25.739540023388059</v>
      </c>
      <c r="U78">
        <v>0</v>
      </c>
      <c r="V78">
        <v>0</v>
      </c>
      <c r="W78">
        <v>0</v>
      </c>
      <c r="X78">
        <f t="shared" si="8"/>
        <v>2697.6325510556931</v>
      </c>
      <c r="Y78">
        <f>X78*VLOOKUP($D78,'LinearReg Model'!$S$2:$T$6,2,FALSE)</f>
        <v>2151.6067587176512</v>
      </c>
      <c r="Z78">
        <f t="shared" si="9"/>
        <v>0.24787107787960722</v>
      </c>
      <c r="AA78">
        <f t="shared" si="10"/>
        <v>0.26476927427387387</v>
      </c>
      <c r="AB78">
        <f t="shared" si="11"/>
        <v>0.1494624308960644</v>
      </c>
      <c r="AC78">
        <v>29.834929643303958</v>
      </c>
      <c r="AD78">
        <v>1.5923770961611641</v>
      </c>
      <c r="AE78" s="2">
        <f>VLOOKUP($D78,'MultiReg Model'!$A$5:$F$9,2,FALSE)+AC78*VLOOKUP($D78,'MultiReg Model'!$A$5:$F$9,3,FALSE)+Z78*VLOOKUP($D78,'MultiReg Model'!$A$5:$F$9,4,FALSE)+AA78*VLOOKUP($D78,'MultiReg Model'!$A$5:$F$9,5,FALSE)+AB78*VLOOKUP($D78,'MultiReg Model'!$A$5:$F$9,6,FALSE)</f>
        <v>8.9404572396062338</v>
      </c>
      <c r="AF78" cm="1">
        <f t="array" ref="AF78">MMULT($AG78:$AM78,'Avg CI Index'!$C$2:$C$8)/BI78</f>
        <v>8.9504572396142823</v>
      </c>
      <c r="AG78">
        <v>272.53960529040938</v>
      </c>
      <c r="AH78">
        <v>190.60571575620398</v>
      </c>
      <c r="AI78">
        <v>229.30794781081246</v>
      </c>
      <c r="AJ78">
        <v>162.4968393887327</v>
      </c>
      <c r="AK78">
        <v>130.49487719873093</v>
      </c>
      <c r="AL78">
        <v>224.69661313757791</v>
      </c>
      <c r="AM78">
        <v>962.94210528132885</v>
      </c>
      <c r="AN78" cm="1">
        <f t="array" ref="AN78">$Y78*INDEX(RefCapacity!$D$2:$D$526,MATCH(1,(RefCapacity!$A$2:$A$526=RefCapacityProj!$D78)*(RefCapacity!$B$2:$B$526=2019)*(RefCapacity!$C$2:$C$526=AG$1),0))/SUMIFS(RefCapacity!$D$2:$D$526,RefCapacity!$A$2:$A$526,RefCapacityProj!$D78,RefCapacity!$B$2:$B$526,2019)</f>
        <v>146.05849311452073</v>
      </c>
      <c r="AO78" cm="1">
        <f t="array" ref="AO78">$Y78*INDEX(RefCapacity!$D$2:$D$526,MATCH(1,(RefCapacity!$A$2:$A$526=RefCapacityProj!$D78)*(RefCapacity!$B$2:$B$526=2019)*(RefCapacity!$C$2:$C$526=AH$1),0))/SUMIFS(RefCapacity!$D$2:$D$526,RefCapacity!$A$2:$A$526,RefCapacityProj!$D78,RefCapacity!$B$2:$B$526,2019)</f>
        <v>167.58664339942447</v>
      </c>
      <c r="AP78" cm="1">
        <f t="array" ref="AP78">$Y78*INDEX(RefCapacity!$D$2:$D$526,MATCH(1,(RefCapacity!$A$2:$A$526=RefCapacityProj!$D78)*(RefCapacity!$B$2:$B$526=2019)*(RefCapacity!$C$2:$C$526=AI$1),0))/SUMIFS(RefCapacity!$D$2:$D$526,RefCapacity!$A$2:$A$526,RefCapacityProj!$D78,RefCapacity!$B$2:$B$526,2019)</f>
        <v>182.36269789557909</v>
      </c>
      <c r="AQ78" cm="1">
        <f t="array" ref="AQ78">$Y78*INDEX(RefCapacity!$D$2:$D$526,MATCH(1,(RefCapacity!$A$2:$A$526=RefCapacityProj!$D78)*(RefCapacity!$B$2:$B$526=2019)*(RefCapacity!$C$2:$C$526=AJ$1),0))/SUMIFS(RefCapacity!$D$2:$D$526,RefCapacity!$A$2:$A$526,RefCapacityProj!$D78,RefCapacity!$B$2:$B$526,2019)</f>
        <v>192.27574711451825</v>
      </c>
      <c r="AR78" cm="1">
        <f t="array" ref="AR78">$Y78*INDEX(RefCapacity!$D$2:$D$526,MATCH(1,(RefCapacity!$A$2:$A$526=RefCapacityProj!$D78)*(RefCapacity!$B$2:$B$526=2019)*(RefCapacity!$C$2:$C$526=AK$1),0))/SUMIFS(RefCapacity!$D$2:$D$526,RefCapacity!$A$2:$A$526,RefCapacityProj!$D78,RefCapacity!$B$2:$B$526,2019)</f>
        <v>167.73627433103107</v>
      </c>
      <c r="AS78" cm="1">
        <f t="array" ref="AS78">$Y78*INDEX(RefCapacity!$D$2:$D$526,MATCH(1,(RefCapacity!$A$2:$A$526=RefCapacityProj!$D78)*(RefCapacity!$B$2:$B$526=2019)*(RefCapacity!$C$2:$C$526=AL$1),0))/SUMIFS(RefCapacity!$D$2:$D$526,RefCapacity!$A$2:$A$526,RefCapacityProj!$D78,RefCapacity!$B$2:$B$526,2019)</f>
        <v>268.17603717198079</v>
      </c>
      <c r="AT78" cm="1">
        <f t="array" ref="AT78">$Y78*INDEX(RefCapacity!$D$2:$D$526,MATCH(1,(RefCapacity!$A$2:$A$526=RefCapacityProj!$D78)*(RefCapacity!$B$2:$B$526=2019)*(RefCapacity!$C$2:$C$526=AM$1),0))/SUMIFS(RefCapacity!$D$2:$D$526,RefCapacity!$A$2:$A$526,RefCapacityProj!$D78,RefCapacity!$B$2:$B$526,2019)</f>
        <v>1027.4108656905967</v>
      </c>
      <c r="AU78" cm="1">
        <f t="array" ref="AU78">INDEX(RefCapacity!$D$2:$D$526,MATCH(1,(RefCapacity!$A$2:$A$526=RefCapacityProj!$D78)*(RefCapacity!$B$2:$B$526=2019)*(RefCapacity!$C$2:$C$526=RefCapacityProj!AG$1),0))*IF($C78=2035,1+VLOOKUP(AG$1,RefCapacity!$H$2:$L$8,2,FALSE),1+VLOOKUP(AG$1,RefCapacity!$H$2:$L$8,4,FALSE))</f>
        <v>884.55862608843188</v>
      </c>
      <c r="AV78" cm="1">
        <f t="array" ref="AV78">INDEX(RefCapacity!$D$2:$D$526,MATCH(1,(RefCapacity!$A$2:$A$526=RefCapacityProj!$D78)*(RefCapacity!$B$2:$B$526=2019)*(RefCapacity!$C$2:$C$526=RefCapacityProj!AH$1),0))*IF($C78=2035,1+VLOOKUP(AH$1,RefCapacity!$H$2:$L$8,2,FALSE),1+VLOOKUP(AH$1,RefCapacity!$H$2:$L$8,4,FALSE))</f>
        <v>379.90242021338935</v>
      </c>
      <c r="AW78" cm="1">
        <f t="array" ref="AW78">INDEX(RefCapacity!$D$2:$D$526,MATCH(1,(RefCapacity!$A$2:$A$526=RefCapacityProj!$D78)*(RefCapacity!$B$2:$B$526=2019)*(RefCapacity!$C$2:$C$526=RefCapacityProj!AI$1),0))*IF($C78=2035,1+VLOOKUP(AI$1,RefCapacity!$H$2:$L$8,2,FALSE),1+VLOOKUP(AI$1,RefCapacity!$H$2:$L$8,4,FALSE))</f>
        <v>260.28485694099828</v>
      </c>
      <c r="AX78" cm="1">
        <f t="array" ref="AX78">INDEX(RefCapacity!$D$2:$D$526,MATCH(1,(RefCapacity!$A$2:$A$526=RefCapacityProj!$D78)*(RefCapacity!$B$2:$B$526=2019)*(RefCapacity!$C$2:$C$526=RefCapacityProj!AJ$1),0))*IF($C78=2035,1+VLOOKUP(AJ$1,RefCapacity!$H$2:$L$8,2,FALSE),1+VLOOKUP(AJ$1,RefCapacity!$H$2:$L$8,4,FALSE))</f>
        <v>727.12618083670714</v>
      </c>
      <c r="AY78" cm="1">
        <f t="array" ref="AY78">INDEX(RefCapacity!$D$2:$D$526,MATCH(1,(RefCapacity!$A$2:$A$526=RefCapacityProj!$D78)*(RefCapacity!$B$2:$B$526=2019)*(RefCapacity!$C$2:$C$526=RefCapacityProj!AK$1),0))*IF($C78=2035,1+VLOOKUP(AK$1,RefCapacity!$H$2:$L$8,2,FALSE),1+VLOOKUP(AK$1,RefCapacity!$H$2:$L$8,4,FALSE))</f>
        <v>332.5483871083473</v>
      </c>
      <c r="AZ78" cm="1">
        <f t="array" ref="AZ78">INDEX(RefCapacity!$D$2:$D$526,MATCH(1,(RefCapacity!$A$2:$A$526=RefCapacityProj!$D78)*(RefCapacity!$B$2:$B$526=2019)*(RefCapacity!$C$2:$C$526=RefCapacityProj!AL$1),0))*IF($C78=2035,1+VLOOKUP(AL$1,RefCapacity!$H$2:$L$8,2,FALSE),1+VLOOKUP(AL$1,RefCapacity!$H$2:$L$8,4,FALSE))</f>
        <v>653.32703349282281</v>
      </c>
      <c r="BA78" cm="1">
        <f t="array" ref="BA78">INDEX(RefCapacity!$D$2:$D$526,MATCH(1,(RefCapacity!$A$2:$A$526=RefCapacityProj!$D78)*(RefCapacity!$B$2:$B$526=2019)*(RefCapacity!$C$2:$C$526=RefCapacityProj!AM$1),0))*IF($C78=2035,1+VLOOKUP(AM$1,RefCapacity!$H$2:$L$8,2,FALSE),1+VLOOKUP(AM$1,RefCapacity!$H$2:$L$8,4,FALSE))</f>
        <v>1481.5146306303682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f t="shared" si="12"/>
        <v>2173.0837038637965</v>
      </c>
      <c r="BJ78">
        <f t="shared" si="13"/>
        <v>21.476945146145226</v>
      </c>
      <c r="BK78">
        <f t="shared" si="14"/>
        <v>1.000000000804846E-2</v>
      </c>
      <c r="BL78" cm="1">
        <f t="array" ref="BL78">AG78/$BI78*INDEX('GHG Emission'!$C$2:$C$1121,MATCH(1,('GHG Emission'!$D$2:$D$1121=$D78)*('GHG Emission'!$E$2:$E$1121=$C78)*('GHG Emission'!$F$2:$F$1121=$B78)*('GHG Emission'!$I$2:$I$1121=$E78)*('GHG Emission'!$J$2:$J$1121=$F78)*('GHG Emission'!$K$2:$K$1121=AG$1),0))+AH78/$BI78*INDEX('GHG Emission'!$C$2:$C$1121,MATCH(1,('GHG Emission'!$D$2:$D$1121=$D78)*('GHG Emission'!$E$2:$E$1121=$C78)*('GHG Emission'!$F$2:$F$1121=$B78)*('GHG Emission'!$I$2:$I$1121=$E78)*('GHG Emission'!$J$2:$J$1121=$F78)*('GHG Emission'!$K$2:$K$1121=AH$1),0))+AI78/$BI78*INDEX('GHG Emission'!$C$2:$C$1121,MATCH(1,('GHG Emission'!$D$2:$D$1121=$D78)*('GHG Emission'!$E$2:$E$1121=$C78)*('GHG Emission'!$F$2:$F$1121=$B78)*('GHG Emission'!$I$2:$I$1121=$E78)*('GHG Emission'!$J$2:$J$1121=$F78)*('GHG Emission'!$K$2:$K$1121=AI$1),0))+AJ78/$BI78*INDEX('GHG Emission'!$C$2:$C$1121,MATCH(1,('GHG Emission'!$D$2:$D$1121=$D78)*('GHG Emission'!$E$2:$E$1121=$C78)*('GHG Emission'!$F$2:$F$1121=$B78)*('GHG Emission'!$I$2:$I$1121=$E78)*('GHG Emission'!$J$2:$J$1121=$F78)*('GHG Emission'!$K$2:$K$1121=AJ$1),0))+AK78/$BI78*INDEX('GHG Emission'!$C$2:$C$1121,MATCH(1,('GHG Emission'!$D$2:$D$1121=$D78)*('GHG Emission'!$E$2:$E$1121=$C78)*('GHG Emission'!$F$2:$F$1121=$B78)*('GHG Emission'!$I$2:$I$1121=$E78)*('GHG Emission'!$J$2:$J$1121=$F78)*('GHG Emission'!$K$2:$K$1121=AK$1),0))+AL78/$BI78*INDEX('GHG Emission'!$C$2:$C$1121,MATCH(1,('GHG Emission'!$D$2:$D$1121=$D78)*('GHG Emission'!$E$2:$E$1121=$C78)*('GHG Emission'!$F$2:$F$1121=$B78)*('GHG Emission'!$I$2:$I$1121=$E78)*('GHG Emission'!$J$2:$J$1121=$F78)*('GHG Emission'!$K$2:$K$1121=AL$1),0))+AM78/$BI78*INDEX('GHG Emission'!$C$2:$C$1121,MATCH(1,('GHG Emission'!$D$2:$D$1121=$D78)*('GHG Emission'!$E$2:$E$1121=$C78)*('GHG Emission'!$F$2:$F$1121=$B78)*('GHG Emission'!$I$2:$I$1121=$E78)*('GHG Emission'!$J$2:$J$1121=$F78)*('GHG Emission'!$K$2:$K$1121=AM$1),0))</f>
        <v>35.597505722263634</v>
      </c>
      <c r="BM78" t="str">
        <f t="shared" si="15"/>
        <v>HEAVY/SWEET</v>
      </c>
    </row>
    <row r="79" spans="1:65" hidden="1" x14ac:dyDescent="0.25">
      <c r="A79">
        <v>78</v>
      </c>
      <c r="B79" t="s">
        <v>470</v>
      </c>
      <c r="C79">
        <v>2050</v>
      </c>
      <c r="D79">
        <v>5</v>
      </c>
      <c r="E79" t="s">
        <v>466</v>
      </c>
      <c r="F79" t="s">
        <v>468</v>
      </c>
      <c r="G79">
        <v>668.66508815328916</v>
      </c>
      <c r="H79">
        <v>403.19471874513545</v>
      </c>
      <c r="I79">
        <v>714.25021280059491</v>
      </c>
      <c r="J79">
        <v>375.18618344780128</v>
      </c>
      <c r="K79">
        <v>419.77387298964987</v>
      </c>
      <c r="L79">
        <v>31.280067815142612</v>
      </c>
      <c r="M79">
        <v>0</v>
      </c>
      <c r="N79">
        <v>0</v>
      </c>
      <c r="O79">
        <v>0</v>
      </c>
      <c r="P79">
        <v>59.542867080691309</v>
      </c>
      <c r="Q79">
        <v>0</v>
      </c>
      <c r="R79">
        <v>0</v>
      </c>
      <c r="S79">
        <v>0</v>
      </c>
      <c r="T79">
        <v>25.739540023388059</v>
      </c>
      <c r="U79">
        <v>0</v>
      </c>
      <c r="V79">
        <v>0</v>
      </c>
      <c r="W79">
        <v>0</v>
      </c>
      <c r="X79">
        <f t="shared" si="8"/>
        <v>2697.6325510556931</v>
      </c>
      <c r="Y79">
        <f>X79*VLOOKUP($D79,'LinearReg Model'!$S$2:$T$6,2,FALSE)</f>
        <v>2151.6067587176512</v>
      </c>
      <c r="Z79">
        <f t="shared" si="9"/>
        <v>0.24787107787960722</v>
      </c>
      <c r="AA79">
        <f t="shared" si="10"/>
        <v>0.26476927427387387</v>
      </c>
      <c r="AB79">
        <f t="shared" si="11"/>
        <v>0.1494624308960644</v>
      </c>
      <c r="AC79">
        <v>29.834929643303958</v>
      </c>
      <c r="AD79">
        <v>1.8659991154487672</v>
      </c>
      <c r="AE79" s="2">
        <f>VLOOKUP($D79,'MultiReg Model'!$A$5:$F$9,2,FALSE)+AC79*VLOOKUP($D79,'MultiReg Model'!$A$5:$F$9,3,FALSE)+Z79*VLOOKUP($D79,'MultiReg Model'!$A$5:$F$9,4,FALSE)+AA79*VLOOKUP($D79,'MultiReg Model'!$A$5:$F$9,5,FALSE)+AB79*VLOOKUP($D79,'MultiReg Model'!$A$5:$F$9,6,FALSE)</f>
        <v>8.9404572396062338</v>
      </c>
      <c r="AF79" cm="1">
        <f t="array" ref="AF79">MMULT($AG79:$AM79,'Avg CI Index'!$C$2:$C$8)/BI79</f>
        <v>8.9504572396142823</v>
      </c>
      <c r="AG79">
        <v>272.53960529040938</v>
      </c>
      <c r="AH79">
        <v>190.60571575620398</v>
      </c>
      <c r="AI79">
        <v>229.30794781081246</v>
      </c>
      <c r="AJ79">
        <v>162.4968393887327</v>
      </c>
      <c r="AK79">
        <v>130.49487719873093</v>
      </c>
      <c r="AL79">
        <v>224.69661313757791</v>
      </c>
      <c r="AM79">
        <v>962.94210528132885</v>
      </c>
      <c r="AN79" cm="1">
        <f t="array" ref="AN79">$Y79*INDEX(RefCapacity!$D$2:$D$526,MATCH(1,(RefCapacity!$A$2:$A$526=RefCapacityProj!$D79)*(RefCapacity!$B$2:$B$526=2019)*(RefCapacity!$C$2:$C$526=AG$1),0))/SUMIFS(RefCapacity!$D$2:$D$526,RefCapacity!$A$2:$A$526,RefCapacityProj!$D79,RefCapacity!$B$2:$B$526,2019)</f>
        <v>146.05849311452073</v>
      </c>
      <c r="AO79" cm="1">
        <f t="array" ref="AO79">$Y79*INDEX(RefCapacity!$D$2:$D$526,MATCH(1,(RefCapacity!$A$2:$A$526=RefCapacityProj!$D79)*(RefCapacity!$B$2:$B$526=2019)*(RefCapacity!$C$2:$C$526=AH$1),0))/SUMIFS(RefCapacity!$D$2:$D$526,RefCapacity!$A$2:$A$526,RefCapacityProj!$D79,RefCapacity!$B$2:$B$526,2019)</f>
        <v>167.58664339942447</v>
      </c>
      <c r="AP79" cm="1">
        <f t="array" ref="AP79">$Y79*INDEX(RefCapacity!$D$2:$D$526,MATCH(1,(RefCapacity!$A$2:$A$526=RefCapacityProj!$D79)*(RefCapacity!$B$2:$B$526=2019)*(RefCapacity!$C$2:$C$526=AI$1),0))/SUMIFS(RefCapacity!$D$2:$D$526,RefCapacity!$A$2:$A$526,RefCapacityProj!$D79,RefCapacity!$B$2:$B$526,2019)</f>
        <v>182.36269789557909</v>
      </c>
      <c r="AQ79" cm="1">
        <f t="array" ref="AQ79">$Y79*INDEX(RefCapacity!$D$2:$D$526,MATCH(1,(RefCapacity!$A$2:$A$526=RefCapacityProj!$D79)*(RefCapacity!$B$2:$B$526=2019)*(RefCapacity!$C$2:$C$526=AJ$1),0))/SUMIFS(RefCapacity!$D$2:$D$526,RefCapacity!$A$2:$A$526,RefCapacityProj!$D79,RefCapacity!$B$2:$B$526,2019)</f>
        <v>192.27574711451825</v>
      </c>
      <c r="AR79" cm="1">
        <f t="array" ref="AR79">$Y79*INDEX(RefCapacity!$D$2:$D$526,MATCH(1,(RefCapacity!$A$2:$A$526=RefCapacityProj!$D79)*(RefCapacity!$B$2:$B$526=2019)*(RefCapacity!$C$2:$C$526=AK$1),0))/SUMIFS(RefCapacity!$D$2:$D$526,RefCapacity!$A$2:$A$526,RefCapacityProj!$D79,RefCapacity!$B$2:$B$526,2019)</f>
        <v>167.73627433103107</v>
      </c>
      <c r="AS79" cm="1">
        <f t="array" ref="AS79">$Y79*INDEX(RefCapacity!$D$2:$D$526,MATCH(1,(RefCapacity!$A$2:$A$526=RefCapacityProj!$D79)*(RefCapacity!$B$2:$B$526=2019)*(RefCapacity!$C$2:$C$526=AL$1),0))/SUMIFS(RefCapacity!$D$2:$D$526,RefCapacity!$A$2:$A$526,RefCapacityProj!$D79,RefCapacity!$B$2:$B$526,2019)</f>
        <v>268.17603717198079</v>
      </c>
      <c r="AT79" cm="1">
        <f t="array" ref="AT79">$Y79*INDEX(RefCapacity!$D$2:$D$526,MATCH(1,(RefCapacity!$A$2:$A$526=RefCapacityProj!$D79)*(RefCapacity!$B$2:$B$526=2019)*(RefCapacity!$C$2:$C$526=AM$1),0))/SUMIFS(RefCapacity!$D$2:$D$526,RefCapacity!$A$2:$A$526,RefCapacityProj!$D79,RefCapacity!$B$2:$B$526,2019)</f>
        <v>1027.4108656905967</v>
      </c>
      <c r="AU79" cm="1">
        <f t="array" ref="AU79">INDEX(RefCapacity!$D$2:$D$526,MATCH(1,(RefCapacity!$A$2:$A$526=RefCapacityProj!$D79)*(RefCapacity!$B$2:$B$526=2019)*(RefCapacity!$C$2:$C$526=RefCapacityProj!AG$1),0))*IF($C79=2035,1+VLOOKUP(AG$1,RefCapacity!$H$2:$L$8,2,FALSE),1+VLOOKUP(AG$1,RefCapacity!$H$2:$L$8,4,FALSE))</f>
        <v>884.55862608843188</v>
      </c>
      <c r="AV79" cm="1">
        <f t="array" ref="AV79">INDEX(RefCapacity!$D$2:$D$526,MATCH(1,(RefCapacity!$A$2:$A$526=RefCapacityProj!$D79)*(RefCapacity!$B$2:$B$526=2019)*(RefCapacity!$C$2:$C$526=RefCapacityProj!AH$1),0))*IF($C79=2035,1+VLOOKUP(AH$1,RefCapacity!$H$2:$L$8,2,FALSE),1+VLOOKUP(AH$1,RefCapacity!$H$2:$L$8,4,FALSE))</f>
        <v>379.90242021338935</v>
      </c>
      <c r="AW79" cm="1">
        <f t="array" ref="AW79">INDEX(RefCapacity!$D$2:$D$526,MATCH(1,(RefCapacity!$A$2:$A$526=RefCapacityProj!$D79)*(RefCapacity!$B$2:$B$526=2019)*(RefCapacity!$C$2:$C$526=RefCapacityProj!AI$1),0))*IF($C79=2035,1+VLOOKUP(AI$1,RefCapacity!$H$2:$L$8,2,FALSE),1+VLOOKUP(AI$1,RefCapacity!$H$2:$L$8,4,FALSE))</f>
        <v>260.28485694099828</v>
      </c>
      <c r="AX79" cm="1">
        <f t="array" ref="AX79">INDEX(RefCapacity!$D$2:$D$526,MATCH(1,(RefCapacity!$A$2:$A$526=RefCapacityProj!$D79)*(RefCapacity!$B$2:$B$526=2019)*(RefCapacity!$C$2:$C$526=RefCapacityProj!AJ$1),0))*IF($C79=2035,1+VLOOKUP(AJ$1,RefCapacity!$H$2:$L$8,2,FALSE),1+VLOOKUP(AJ$1,RefCapacity!$H$2:$L$8,4,FALSE))</f>
        <v>727.12618083670714</v>
      </c>
      <c r="AY79" cm="1">
        <f t="array" ref="AY79">INDEX(RefCapacity!$D$2:$D$526,MATCH(1,(RefCapacity!$A$2:$A$526=RefCapacityProj!$D79)*(RefCapacity!$B$2:$B$526=2019)*(RefCapacity!$C$2:$C$526=RefCapacityProj!AK$1),0))*IF($C79=2035,1+VLOOKUP(AK$1,RefCapacity!$H$2:$L$8,2,FALSE),1+VLOOKUP(AK$1,RefCapacity!$H$2:$L$8,4,FALSE))</f>
        <v>332.5483871083473</v>
      </c>
      <c r="AZ79" cm="1">
        <f t="array" ref="AZ79">INDEX(RefCapacity!$D$2:$D$526,MATCH(1,(RefCapacity!$A$2:$A$526=RefCapacityProj!$D79)*(RefCapacity!$B$2:$B$526=2019)*(RefCapacity!$C$2:$C$526=RefCapacityProj!AL$1),0))*IF($C79=2035,1+VLOOKUP(AL$1,RefCapacity!$H$2:$L$8,2,FALSE),1+VLOOKUP(AL$1,RefCapacity!$H$2:$L$8,4,FALSE))</f>
        <v>653.32703349282281</v>
      </c>
      <c r="BA79" cm="1">
        <f t="array" ref="BA79">INDEX(RefCapacity!$D$2:$D$526,MATCH(1,(RefCapacity!$A$2:$A$526=RefCapacityProj!$D79)*(RefCapacity!$B$2:$B$526=2019)*(RefCapacity!$C$2:$C$526=RefCapacityProj!AM$1),0))*IF($C79=2035,1+VLOOKUP(AM$1,RefCapacity!$H$2:$L$8,2,FALSE),1+VLOOKUP(AM$1,RefCapacity!$H$2:$L$8,4,FALSE))</f>
        <v>1481.5146306303682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f t="shared" si="12"/>
        <v>2173.0837038637965</v>
      </c>
      <c r="BJ79">
        <f t="shared" si="13"/>
        <v>21.476945146145226</v>
      </c>
      <c r="BK79">
        <f t="shared" si="14"/>
        <v>1.000000000804846E-2</v>
      </c>
      <c r="BL79" cm="1">
        <f t="array" ref="BL79">AG79/$BI79*INDEX('GHG Emission'!$C$2:$C$1121,MATCH(1,('GHG Emission'!$D$2:$D$1121=$D79)*('GHG Emission'!$E$2:$E$1121=$C79)*('GHG Emission'!$F$2:$F$1121=$B79)*('GHG Emission'!$I$2:$I$1121=$E79)*('GHG Emission'!$J$2:$J$1121=$F79)*('GHG Emission'!$K$2:$K$1121=AG$1),0))+AH79/$BI79*INDEX('GHG Emission'!$C$2:$C$1121,MATCH(1,('GHG Emission'!$D$2:$D$1121=$D79)*('GHG Emission'!$E$2:$E$1121=$C79)*('GHG Emission'!$F$2:$F$1121=$B79)*('GHG Emission'!$I$2:$I$1121=$E79)*('GHG Emission'!$J$2:$J$1121=$F79)*('GHG Emission'!$K$2:$K$1121=AH$1),0))+AI79/$BI79*INDEX('GHG Emission'!$C$2:$C$1121,MATCH(1,('GHG Emission'!$D$2:$D$1121=$D79)*('GHG Emission'!$E$2:$E$1121=$C79)*('GHG Emission'!$F$2:$F$1121=$B79)*('GHG Emission'!$I$2:$I$1121=$E79)*('GHG Emission'!$J$2:$J$1121=$F79)*('GHG Emission'!$K$2:$K$1121=AI$1),0))+AJ79/$BI79*INDEX('GHG Emission'!$C$2:$C$1121,MATCH(1,('GHG Emission'!$D$2:$D$1121=$D79)*('GHG Emission'!$E$2:$E$1121=$C79)*('GHG Emission'!$F$2:$F$1121=$B79)*('GHG Emission'!$I$2:$I$1121=$E79)*('GHG Emission'!$J$2:$J$1121=$F79)*('GHG Emission'!$K$2:$K$1121=AJ$1),0))+AK79/$BI79*INDEX('GHG Emission'!$C$2:$C$1121,MATCH(1,('GHG Emission'!$D$2:$D$1121=$D79)*('GHG Emission'!$E$2:$E$1121=$C79)*('GHG Emission'!$F$2:$F$1121=$B79)*('GHG Emission'!$I$2:$I$1121=$E79)*('GHG Emission'!$J$2:$J$1121=$F79)*('GHG Emission'!$K$2:$K$1121=AK$1),0))+AL79/$BI79*INDEX('GHG Emission'!$C$2:$C$1121,MATCH(1,('GHG Emission'!$D$2:$D$1121=$D79)*('GHG Emission'!$E$2:$E$1121=$C79)*('GHG Emission'!$F$2:$F$1121=$B79)*('GHG Emission'!$I$2:$I$1121=$E79)*('GHG Emission'!$J$2:$J$1121=$F79)*('GHG Emission'!$K$2:$K$1121=AL$1),0))+AM79/$BI79*INDEX('GHG Emission'!$C$2:$C$1121,MATCH(1,('GHG Emission'!$D$2:$D$1121=$D79)*('GHG Emission'!$E$2:$E$1121=$C79)*('GHG Emission'!$F$2:$F$1121=$B79)*('GHG Emission'!$I$2:$I$1121=$E79)*('GHG Emission'!$J$2:$J$1121=$F79)*('GHG Emission'!$K$2:$K$1121=AM$1),0))</f>
        <v>34.616298291792639</v>
      </c>
      <c r="BM79" t="str">
        <f t="shared" si="15"/>
        <v>HEAVY/SOUR</v>
      </c>
    </row>
    <row r="80" spans="1:65" hidden="1" x14ac:dyDescent="0.25">
      <c r="A80">
        <v>79</v>
      </c>
      <c r="B80" t="s">
        <v>470</v>
      </c>
      <c r="C80">
        <v>2050</v>
      </c>
      <c r="D80">
        <v>5</v>
      </c>
      <c r="E80" t="s">
        <v>469</v>
      </c>
      <c r="F80" t="s">
        <v>467</v>
      </c>
      <c r="G80">
        <v>668.66508815328916</v>
      </c>
      <c r="H80">
        <v>403.19471874513545</v>
      </c>
      <c r="I80">
        <v>714.25021280059491</v>
      </c>
      <c r="J80">
        <v>375.18618344780128</v>
      </c>
      <c r="K80">
        <v>419.77387298964987</v>
      </c>
      <c r="L80">
        <v>31.280067815142612</v>
      </c>
      <c r="M80">
        <v>0</v>
      </c>
      <c r="N80">
        <v>0</v>
      </c>
      <c r="O80">
        <v>0</v>
      </c>
      <c r="P80">
        <v>59.542867080691309</v>
      </c>
      <c r="Q80">
        <v>0</v>
      </c>
      <c r="R80">
        <v>0</v>
      </c>
      <c r="S80">
        <v>0</v>
      </c>
      <c r="T80">
        <v>25.739540023388059</v>
      </c>
      <c r="U80">
        <v>0</v>
      </c>
      <c r="V80">
        <v>0</v>
      </c>
      <c r="W80">
        <v>0</v>
      </c>
      <c r="X80">
        <f t="shared" si="8"/>
        <v>2697.6325510556931</v>
      </c>
      <c r="Y80">
        <f>X80*VLOOKUP($D80,'LinearReg Model'!$S$2:$T$6,2,FALSE)</f>
        <v>2151.6067587176512</v>
      </c>
      <c r="Z80">
        <f t="shared" si="9"/>
        <v>0.24787107787960722</v>
      </c>
      <c r="AA80">
        <f t="shared" si="10"/>
        <v>0.26476927427387387</v>
      </c>
      <c r="AB80">
        <f t="shared" si="11"/>
        <v>0.1494624308960644</v>
      </c>
      <c r="AC80">
        <v>34.263678151264266</v>
      </c>
      <c r="AD80">
        <v>1.5923770961611641</v>
      </c>
      <c r="AE80" s="2">
        <f>VLOOKUP($D80,'MultiReg Model'!$A$5:$F$9,2,FALSE)+AC80*VLOOKUP($D80,'MultiReg Model'!$A$5:$F$9,3,FALSE)+Z80*VLOOKUP($D80,'MultiReg Model'!$A$5:$F$9,4,FALSE)+AA80*VLOOKUP($D80,'MultiReg Model'!$A$5:$F$9,5,FALSE)+AB80*VLOOKUP($D80,'MultiReg Model'!$A$5:$F$9,6,FALSE)</f>
        <v>9.8615115801169715</v>
      </c>
      <c r="AF80" cm="1">
        <f t="array" ref="AF80">MMULT($AG80:$AM80,'Avg CI Index'!$C$2:$C$8)/BI80</f>
        <v>9.8515115811689782</v>
      </c>
      <c r="AG80">
        <v>72.532242932198571</v>
      </c>
      <c r="AH80">
        <v>155.37195571896908</v>
      </c>
      <c r="AI80">
        <v>153.45361958272849</v>
      </c>
      <c r="AJ80">
        <v>212.44933076266659</v>
      </c>
      <c r="AK80">
        <v>191.54142485089093</v>
      </c>
      <c r="AL80">
        <v>296.05129438836173</v>
      </c>
      <c r="AM80">
        <v>1067.3315869217076</v>
      </c>
      <c r="AN80" cm="1">
        <f t="array" ref="AN80">$Y80*INDEX(RefCapacity!$D$2:$D$526,MATCH(1,(RefCapacity!$A$2:$A$526=RefCapacityProj!$D80)*(RefCapacity!$B$2:$B$526=2019)*(RefCapacity!$C$2:$C$526=AG$1),0))/SUMIFS(RefCapacity!$D$2:$D$526,RefCapacity!$A$2:$A$526,RefCapacityProj!$D80,RefCapacity!$B$2:$B$526,2019)</f>
        <v>146.05849311452073</v>
      </c>
      <c r="AO80" cm="1">
        <f t="array" ref="AO80">$Y80*INDEX(RefCapacity!$D$2:$D$526,MATCH(1,(RefCapacity!$A$2:$A$526=RefCapacityProj!$D80)*(RefCapacity!$B$2:$B$526=2019)*(RefCapacity!$C$2:$C$526=AH$1),0))/SUMIFS(RefCapacity!$D$2:$D$526,RefCapacity!$A$2:$A$526,RefCapacityProj!$D80,RefCapacity!$B$2:$B$526,2019)</f>
        <v>167.58664339942447</v>
      </c>
      <c r="AP80" cm="1">
        <f t="array" ref="AP80">$Y80*INDEX(RefCapacity!$D$2:$D$526,MATCH(1,(RefCapacity!$A$2:$A$526=RefCapacityProj!$D80)*(RefCapacity!$B$2:$B$526=2019)*(RefCapacity!$C$2:$C$526=AI$1),0))/SUMIFS(RefCapacity!$D$2:$D$526,RefCapacity!$A$2:$A$526,RefCapacityProj!$D80,RefCapacity!$B$2:$B$526,2019)</f>
        <v>182.36269789557909</v>
      </c>
      <c r="AQ80" cm="1">
        <f t="array" ref="AQ80">$Y80*INDEX(RefCapacity!$D$2:$D$526,MATCH(1,(RefCapacity!$A$2:$A$526=RefCapacityProj!$D80)*(RefCapacity!$B$2:$B$526=2019)*(RefCapacity!$C$2:$C$526=AJ$1),0))/SUMIFS(RefCapacity!$D$2:$D$526,RefCapacity!$A$2:$A$526,RefCapacityProj!$D80,RefCapacity!$B$2:$B$526,2019)</f>
        <v>192.27574711451825</v>
      </c>
      <c r="AR80" cm="1">
        <f t="array" ref="AR80">$Y80*INDEX(RefCapacity!$D$2:$D$526,MATCH(1,(RefCapacity!$A$2:$A$526=RefCapacityProj!$D80)*(RefCapacity!$B$2:$B$526=2019)*(RefCapacity!$C$2:$C$526=AK$1),0))/SUMIFS(RefCapacity!$D$2:$D$526,RefCapacity!$A$2:$A$526,RefCapacityProj!$D80,RefCapacity!$B$2:$B$526,2019)</f>
        <v>167.73627433103107</v>
      </c>
      <c r="AS80" cm="1">
        <f t="array" ref="AS80">$Y80*INDEX(RefCapacity!$D$2:$D$526,MATCH(1,(RefCapacity!$A$2:$A$526=RefCapacityProj!$D80)*(RefCapacity!$B$2:$B$526=2019)*(RefCapacity!$C$2:$C$526=AL$1),0))/SUMIFS(RefCapacity!$D$2:$D$526,RefCapacity!$A$2:$A$526,RefCapacityProj!$D80,RefCapacity!$B$2:$B$526,2019)</f>
        <v>268.17603717198079</v>
      </c>
      <c r="AT80" cm="1">
        <f t="array" ref="AT80">$Y80*INDEX(RefCapacity!$D$2:$D$526,MATCH(1,(RefCapacity!$A$2:$A$526=RefCapacityProj!$D80)*(RefCapacity!$B$2:$B$526=2019)*(RefCapacity!$C$2:$C$526=AM$1),0))/SUMIFS(RefCapacity!$D$2:$D$526,RefCapacity!$A$2:$A$526,RefCapacityProj!$D80,RefCapacity!$B$2:$B$526,2019)</f>
        <v>1027.4108656905967</v>
      </c>
      <c r="AU80" cm="1">
        <f t="array" ref="AU80">INDEX(RefCapacity!$D$2:$D$526,MATCH(1,(RefCapacity!$A$2:$A$526=RefCapacityProj!$D80)*(RefCapacity!$B$2:$B$526=2019)*(RefCapacity!$C$2:$C$526=RefCapacityProj!AG$1),0))*IF($C80=2035,1+VLOOKUP(AG$1,RefCapacity!$H$2:$L$8,2,FALSE),1+VLOOKUP(AG$1,RefCapacity!$H$2:$L$8,4,FALSE))</f>
        <v>884.55862608843188</v>
      </c>
      <c r="AV80" cm="1">
        <f t="array" ref="AV80">INDEX(RefCapacity!$D$2:$D$526,MATCH(1,(RefCapacity!$A$2:$A$526=RefCapacityProj!$D80)*(RefCapacity!$B$2:$B$526=2019)*(RefCapacity!$C$2:$C$526=RefCapacityProj!AH$1),0))*IF($C80=2035,1+VLOOKUP(AH$1,RefCapacity!$H$2:$L$8,2,FALSE),1+VLOOKUP(AH$1,RefCapacity!$H$2:$L$8,4,FALSE))</f>
        <v>379.90242021338935</v>
      </c>
      <c r="AW80" cm="1">
        <f t="array" ref="AW80">INDEX(RefCapacity!$D$2:$D$526,MATCH(1,(RefCapacity!$A$2:$A$526=RefCapacityProj!$D80)*(RefCapacity!$B$2:$B$526=2019)*(RefCapacity!$C$2:$C$526=RefCapacityProj!AI$1),0))*IF($C80=2035,1+VLOOKUP(AI$1,RefCapacity!$H$2:$L$8,2,FALSE),1+VLOOKUP(AI$1,RefCapacity!$H$2:$L$8,4,FALSE))</f>
        <v>260.28485694099828</v>
      </c>
      <c r="AX80" cm="1">
        <f t="array" ref="AX80">INDEX(RefCapacity!$D$2:$D$526,MATCH(1,(RefCapacity!$A$2:$A$526=RefCapacityProj!$D80)*(RefCapacity!$B$2:$B$526=2019)*(RefCapacity!$C$2:$C$526=RefCapacityProj!AJ$1),0))*IF($C80=2035,1+VLOOKUP(AJ$1,RefCapacity!$H$2:$L$8,2,FALSE),1+VLOOKUP(AJ$1,RefCapacity!$H$2:$L$8,4,FALSE))</f>
        <v>727.12618083670714</v>
      </c>
      <c r="AY80" cm="1">
        <f t="array" ref="AY80">INDEX(RefCapacity!$D$2:$D$526,MATCH(1,(RefCapacity!$A$2:$A$526=RefCapacityProj!$D80)*(RefCapacity!$B$2:$B$526=2019)*(RefCapacity!$C$2:$C$526=RefCapacityProj!AK$1),0))*IF($C80=2035,1+VLOOKUP(AK$1,RefCapacity!$H$2:$L$8,2,FALSE),1+VLOOKUP(AK$1,RefCapacity!$H$2:$L$8,4,FALSE))</f>
        <v>332.5483871083473</v>
      </c>
      <c r="AZ80" cm="1">
        <f t="array" ref="AZ80">INDEX(RefCapacity!$D$2:$D$526,MATCH(1,(RefCapacity!$A$2:$A$526=RefCapacityProj!$D80)*(RefCapacity!$B$2:$B$526=2019)*(RefCapacity!$C$2:$C$526=RefCapacityProj!AL$1),0))*IF($C80=2035,1+VLOOKUP(AL$1,RefCapacity!$H$2:$L$8,2,FALSE),1+VLOOKUP(AL$1,RefCapacity!$H$2:$L$8,4,FALSE))</f>
        <v>653.32703349282281</v>
      </c>
      <c r="BA80" cm="1">
        <f t="array" ref="BA80">INDEX(RefCapacity!$D$2:$D$526,MATCH(1,(RefCapacity!$A$2:$A$526=RefCapacityProj!$D80)*(RefCapacity!$B$2:$B$526=2019)*(RefCapacity!$C$2:$C$526=RefCapacityProj!AM$1),0))*IF($C80=2035,1+VLOOKUP(AM$1,RefCapacity!$H$2:$L$8,2,FALSE),1+VLOOKUP(AM$1,RefCapacity!$H$2:$L$8,4,FALSE))</f>
        <v>1481.5146306303682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f t="shared" si="12"/>
        <v>2148.7314551575232</v>
      </c>
      <c r="BJ80">
        <f t="shared" si="13"/>
        <v>2.8753035601280317</v>
      </c>
      <c r="BK80">
        <f t="shared" si="14"/>
        <v>9.9999989479933049E-3</v>
      </c>
      <c r="BL80" cm="1">
        <f t="array" ref="BL80">AG80/$BI80*INDEX('GHG Emission'!$C$2:$C$1121,MATCH(1,('GHG Emission'!$D$2:$D$1121=$D80)*('GHG Emission'!$E$2:$E$1121=$C80)*('GHG Emission'!$F$2:$F$1121=$B80)*('GHG Emission'!$I$2:$I$1121=$E80)*('GHG Emission'!$J$2:$J$1121=$F80)*('GHG Emission'!$K$2:$K$1121=AG$1),0))+AH80/$BI80*INDEX('GHG Emission'!$C$2:$C$1121,MATCH(1,('GHG Emission'!$D$2:$D$1121=$D80)*('GHG Emission'!$E$2:$E$1121=$C80)*('GHG Emission'!$F$2:$F$1121=$B80)*('GHG Emission'!$I$2:$I$1121=$E80)*('GHG Emission'!$J$2:$J$1121=$F80)*('GHG Emission'!$K$2:$K$1121=AH$1),0))+AI80/$BI80*INDEX('GHG Emission'!$C$2:$C$1121,MATCH(1,('GHG Emission'!$D$2:$D$1121=$D80)*('GHG Emission'!$E$2:$E$1121=$C80)*('GHG Emission'!$F$2:$F$1121=$B80)*('GHG Emission'!$I$2:$I$1121=$E80)*('GHG Emission'!$J$2:$J$1121=$F80)*('GHG Emission'!$K$2:$K$1121=AI$1),0))+AJ80/$BI80*INDEX('GHG Emission'!$C$2:$C$1121,MATCH(1,('GHG Emission'!$D$2:$D$1121=$D80)*('GHG Emission'!$E$2:$E$1121=$C80)*('GHG Emission'!$F$2:$F$1121=$B80)*('GHG Emission'!$I$2:$I$1121=$E80)*('GHG Emission'!$J$2:$J$1121=$F80)*('GHG Emission'!$K$2:$K$1121=AJ$1),0))+AK80/$BI80*INDEX('GHG Emission'!$C$2:$C$1121,MATCH(1,('GHG Emission'!$D$2:$D$1121=$D80)*('GHG Emission'!$E$2:$E$1121=$C80)*('GHG Emission'!$F$2:$F$1121=$B80)*('GHG Emission'!$I$2:$I$1121=$E80)*('GHG Emission'!$J$2:$J$1121=$F80)*('GHG Emission'!$K$2:$K$1121=AK$1),0))+AL80/$BI80*INDEX('GHG Emission'!$C$2:$C$1121,MATCH(1,('GHG Emission'!$D$2:$D$1121=$D80)*('GHG Emission'!$E$2:$E$1121=$C80)*('GHG Emission'!$F$2:$F$1121=$B80)*('GHG Emission'!$I$2:$I$1121=$E80)*('GHG Emission'!$J$2:$J$1121=$F80)*('GHG Emission'!$K$2:$K$1121=AL$1),0))+AM80/$BI80*INDEX('GHG Emission'!$C$2:$C$1121,MATCH(1,('GHG Emission'!$D$2:$D$1121=$D80)*('GHG Emission'!$E$2:$E$1121=$C80)*('GHG Emission'!$F$2:$F$1121=$B80)*('GHG Emission'!$I$2:$I$1121=$E80)*('GHG Emission'!$J$2:$J$1121=$F80)*('GHG Emission'!$K$2:$K$1121=AM$1),0))</f>
        <v>35.626073315162408</v>
      </c>
      <c r="BM80" t="str">
        <f t="shared" si="15"/>
        <v>LIGHT/SWEET</v>
      </c>
    </row>
    <row r="81" spans="1:65" hidden="1" x14ac:dyDescent="0.25">
      <c r="A81">
        <v>80</v>
      </c>
      <c r="B81" t="s">
        <v>470</v>
      </c>
      <c r="C81">
        <v>2050</v>
      </c>
      <c r="D81">
        <v>5</v>
      </c>
      <c r="E81" t="s">
        <v>469</v>
      </c>
      <c r="F81" t="s">
        <v>468</v>
      </c>
      <c r="G81">
        <v>668.66508815328916</v>
      </c>
      <c r="H81">
        <v>403.19471874513545</v>
      </c>
      <c r="I81">
        <v>714.25021280059491</v>
      </c>
      <c r="J81">
        <v>375.18618344780128</v>
      </c>
      <c r="K81">
        <v>419.77387298964987</v>
      </c>
      <c r="L81">
        <v>31.280067815142612</v>
      </c>
      <c r="M81">
        <v>0</v>
      </c>
      <c r="N81">
        <v>0</v>
      </c>
      <c r="O81">
        <v>0</v>
      </c>
      <c r="P81">
        <v>59.542867080691309</v>
      </c>
      <c r="Q81">
        <v>0</v>
      </c>
      <c r="R81">
        <v>0</v>
      </c>
      <c r="S81">
        <v>0</v>
      </c>
      <c r="T81">
        <v>25.739540023388059</v>
      </c>
      <c r="U81">
        <v>0</v>
      </c>
      <c r="V81">
        <v>0</v>
      </c>
      <c r="W81">
        <v>0</v>
      </c>
      <c r="X81">
        <f t="shared" si="8"/>
        <v>2697.6325510556931</v>
      </c>
      <c r="Y81">
        <f>X81*VLOOKUP($D81,'LinearReg Model'!$S$2:$T$6,2,FALSE)</f>
        <v>2151.6067587176512</v>
      </c>
      <c r="Z81">
        <f t="shared" si="9"/>
        <v>0.24787107787960722</v>
      </c>
      <c r="AA81">
        <f t="shared" si="10"/>
        <v>0.26476927427387387</v>
      </c>
      <c r="AB81">
        <f t="shared" si="11"/>
        <v>0.1494624308960644</v>
      </c>
      <c r="AC81">
        <v>34.263678151264266</v>
      </c>
      <c r="AD81">
        <v>1.8659991154487672</v>
      </c>
      <c r="AE81" s="2">
        <f>VLOOKUP($D81,'MultiReg Model'!$A$5:$F$9,2,FALSE)+AC81*VLOOKUP($D81,'MultiReg Model'!$A$5:$F$9,3,FALSE)+Z81*VLOOKUP($D81,'MultiReg Model'!$A$5:$F$9,4,FALSE)+AA81*VLOOKUP($D81,'MultiReg Model'!$A$5:$F$9,5,FALSE)+AB81*VLOOKUP($D81,'MultiReg Model'!$A$5:$F$9,6,FALSE)</f>
        <v>9.8615115801169715</v>
      </c>
      <c r="AF81" cm="1">
        <f t="array" ref="AF81">MMULT($AG81:$AM81,'Avg CI Index'!$C$2:$C$8)/BI81</f>
        <v>9.8515115811689782</v>
      </c>
      <c r="AG81">
        <v>72.532242932198571</v>
      </c>
      <c r="AH81">
        <v>155.37195571896908</v>
      </c>
      <c r="AI81">
        <v>153.45361958272849</v>
      </c>
      <c r="AJ81">
        <v>212.44933076266659</v>
      </c>
      <c r="AK81">
        <v>191.54142485089093</v>
      </c>
      <c r="AL81">
        <v>296.05129438836173</v>
      </c>
      <c r="AM81">
        <v>1067.3315869217076</v>
      </c>
      <c r="AN81" cm="1">
        <f t="array" ref="AN81">$Y81*INDEX(RefCapacity!$D$2:$D$526,MATCH(1,(RefCapacity!$A$2:$A$526=RefCapacityProj!$D81)*(RefCapacity!$B$2:$B$526=2019)*(RefCapacity!$C$2:$C$526=AG$1),0))/SUMIFS(RefCapacity!$D$2:$D$526,RefCapacity!$A$2:$A$526,RefCapacityProj!$D81,RefCapacity!$B$2:$B$526,2019)</f>
        <v>146.05849311452073</v>
      </c>
      <c r="AO81" cm="1">
        <f t="array" ref="AO81">$Y81*INDEX(RefCapacity!$D$2:$D$526,MATCH(1,(RefCapacity!$A$2:$A$526=RefCapacityProj!$D81)*(RefCapacity!$B$2:$B$526=2019)*(RefCapacity!$C$2:$C$526=AH$1),0))/SUMIFS(RefCapacity!$D$2:$D$526,RefCapacity!$A$2:$A$526,RefCapacityProj!$D81,RefCapacity!$B$2:$B$526,2019)</f>
        <v>167.58664339942447</v>
      </c>
      <c r="AP81" cm="1">
        <f t="array" ref="AP81">$Y81*INDEX(RefCapacity!$D$2:$D$526,MATCH(1,(RefCapacity!$A$2:$A$526=RefCapacityProj!$D81)*(RefCapacity!$B$2:$B$526=2019)*(RefCapacity!$C$2:$C$526=AI$1),0))/SUMIFS(RefCapacity!$D$2:$D$526,RefCapacity!$A$2:$A$526,RefCapacityProj!$D81,RefCapacity!$B$2:$B$526,2019)</f>
        <v>182.36269789557909</v>
      </c>
      <c r="AQ81" cm="1">
        <f t="array" ref="AQ81">$Y81*INDEX(RefCapacity!$D$2:$D$526,MATCH(1,(RefCapacity!$A$2:$A$526=RefCapacityProj!$D81)*(RefCapacity!$B$2:$B$526=2019)*(RefCapacity!$C$2:$C$526=AJ$1),0))/SUMIFS(RefCapacity!$D$2:$D$526,RefCapacity!$A$2:$A$526,RefCapacityProj!$D81,RefCapacity!$B$2:$B$526,2019)</f>
        <v>192.27574711451825</v>
      </c>
      <c r="AR81" cm="1">
        <f t="array" ref="AR81">$Y81*INDEX(RefCapacity!$D$2:$D$526,MATCH(1,(RefCapacity!$A$2:$A$526=RefCapacityProj!$D81)*(RefCapacity!$B$2:$B$526=2019)*(RefCapacity!$C$2:$C$526=AK$1),0))/SUMIFS(RefCapacity!$D$2:$D$526,RefCapacity!$A$2:$A$526,RefCapacityProj!$D81,RefCapacity!$B$2:$B$526,2019)</f>
        <v>167.73627433103107</v>
      </c>
      <c r="AS81" cm="1">
        <f t="array" ref="AS81">$Y81*INDEX(RefCapacity!$D$2:$D$526,MATCH(1,(RefCapacity!$A$2:$A$526=RefCapacityProj!$D81)*(RefCapacity!$B$2:$B$526=2019)*(RefCapacity!$C$2:$C$526=AL$1),0))/SUMIFS(RefCapacity!$D$2:$D$526,RefCapacity!$A$2:$A$526,RefCapacityProj!$D81,RefCapacity!$B$2:$B$526,2019)</f>
        <v>268.17603717198079</v>
      </c>
      <c r="AT81" cm="1">
        <f t="array" ref="AT81">$Y81*INDEX(RefCapacity!$D$2:$D$526,MATCH(1,(RefCapacity!$A$2:$A$526=RefCapacityProj!$D81)*(RefCapacity!$B$2:$B$526=2019)*(RefCapacity!$C$2:$C$526=AM$1),0))/SUMIFS(RefCapacity!$D$2:$D$526,RefCapacity!$A$2:$A$526,RefCapacityProj!$D81,RefCapacity!$B$2:$B$526,2019)</f>
        <v>1027.4108656905967</v>
      </c>
      <c r="AU81" cm="1">
        <f t="array" ref="AU81">INDEX(RefCapacity!$D$2:$D$526,MATCH(1,(RefCapacity!$A$2:$A$526=RefCapacityProj!$D81)*(RefCapacity!$B$2:$B$526=2019)*(RefCapacity!$C$2:$C$526=RefCapacityProj!AG$1),0))*IF($C81=2035,1+VLOOKUP(AG$1,RefCapacity!$H$2:$L$8,2,FALSE),1+VLOOKUP(AG$1,RefCapacity!$H$2:$L$8,4,FALSE))</f>
        <v>884.55862608843188</v>
      </c>
      <c r="AV81" cm="1">
        <f t="array" ref="AV81">INDEX(RefCapacity!$D$2:$D$526,MATCH(1,(RefCapacity!$A$2:$A$526=RefCapacityProj!$D81)*(RefCapacity!$B$2:$B$526=2019)*(RefCapacity!$C$2:$C$526=RefCapacityProj!AH$1),0))*IF($C81=2035,1+VLOOKUP(AH$1,RefCapacity!$H$2:$L$8,2,FALSE),1+VLOOKUP(AH$1,RefCapacity!$H$2:$L$8,4,FALSE))</f>
        <v>379.90242021338935</v>
      </c>
      <c r="AW81" cm="1">
        <f t="array" ref="AW81">INDEX(RefCapacity!$D$2:$D$526,MATCH(1,(RefCapacity!$A$2:$A$526=RefCapacityProj!$D81)*(RefCapacity!$B$2:$B$526=2019)*(RefCapacity!$C$2:$C$526=RefCapacityProj!AI$1),0))*IF($C81=2035,1+VLOOKUP(AI$1,RefCapacity!$H$2:$L$8,2,FALSE),1+VLOOKUP(AI$1,RefCapacity!$H$2:$L$8,4,FALSE))</f>
        <v>260.28485694099828</v>
      </c>
      <c r="AX81" cm="1">
        <f t="array" ref="AX81">INDEX(RefCapacity!$D$2:$D$526,MATCH(1,(RefCapacity!$A$2:$A$526=RefCapacityProj!$D81)*(RefCapacity!$B$2:$B$526=2019)*(RefCapacity!$C$2:$C$526=RefCapacityProj!AJ$1),0))*IF($C81=2035,1+VLOOKUP(AJ$1,RefCapacity!$H$2:$L$8,2,FALSE),1+VLOOKUP(AJ$1,RefCapacity!$H$2:$L$8,4,FALSE))</f>
        <v>727.12618083670714</v>
      </c>
      <c r="AY81" cm="1">
        <f t="array" ref="AY81">INDEX(RefCapacity!$D$2:$D$526,MATCH(1,(RefCapacity!$A$2:$A$526=RefCapacityProj!$D81)*(RefCapacity!$B$2:$B$526=2019)*(RefCapacity!$C$2:$C$526=RefCapacityProj!AK$1),0))*IF($C81=2035,1+VLOOKUP(AK$1,RefCapacity!$H$2:$L$8,2,FALSE),1+VLOOKUP(AK$1,RefCapacity!$H$2:$L$8,4,FALSE))</f>
        <v>332.5483871083473</v>
      </c>
      <c r="AZ81" cm="1">
        <f t="array" ref="AZ81">INDEX(RefCapacity!$D$2:$D$526,MATCH(1,(RefCapacity!$A$2:$A$526=RefCapacityProj!$D81)*(RefCapacity!$B$2:$B$526=2019)*(RefCapacity!$C$2:$C$526=RefCapacityProj!AL$1),0))*IF($C81=2035,1+VLOOKUP(AL$1,RefCapacity!$H$2:$L$8,2,FALSE),1+VLOOKUP(AL$1,RefCapacity!$H$2:$L$8,4,FALSE))</f>
        <v>653.32703349282281</v>
      </c>
      <c r="BA81" cm="1">
        <f t="array" ref="BA81">INDEX(RefCapacity!$D$2:$D$526,MATCH(1,(RefCapacity!$A$2:$A$526=RefCapacityProj!$D81)*(RefCapacity!$B$2:$B$526=2019)*(RefCapacity!$C$2:$C$526=RefCapacityProj!AM$1),0))*IF($C81=2035,1+VLOOKUP(AM$1,RefCapacity!$H$2:$L$8,2,FALSE),1+VLOOKUP(AM$1,RefCapacity!$H$2:$L$8,4,FALSE))</f>
        <v>1481.5146306303682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f t="shared" si="12"/>
        <v>2148.7314551575232</v>
      </c>
      <c r="BJ81">
        <f t="shared" si="13"/>
        <v>2.8753035601280317</v>
      </c>
      <c r="BK81">
        <f t="shared" si="14"/>
        <v>9.9999989479933049E-3</v>
      </c>
      <c r="BL81" cm="1">
        <f t="array" ref="BL81">AG81/$BI81*INDEX('GHG Emission'!$C$2:$C$1121,MATCH(1,('GHG Emission'!$D$2:$D$1121=$D81)*('GHG Emission'!$E$2:$E$1121=$C81)*('GHG Emission'!$F$2:$F$1121=$B81)*('GHG Emission'!$I$2:$I$1121=$E81)*('GHG Emission'!$J$2:$J$1121=$F81)*('GHG Emission'!$K$2:$K$1121=AG$1),0))+AH81/$BI81*INDEX('GHG Emission'!$C$2:$C$1121,MATCH(1,('GHG Emission'!$D$2:$D$1121=$D81)*('GHG Emission'!$E$2:$E$1121=$C81)*('GHG Emission'!$F$2:$F$1121=$B81)*('GHG Emission'!$I$2:$I$1121=$E81)*('GHG Emission'!$J$2:$J$1121=$F81)*('GHG Emission'!$K$2:$K$1121=AH$1),0))+AI81/$BI81*INDEX('GHG Emission'!$C$2:$C$1121,MATCH(1,('GHG Emission'!$D$2:$D$1121=$D81)*('GHG Emission'!$E$2:$E$1121=$C81)*('GHG Emission'!$F$2:$F$1121=$B81)*('GHG Emission'!$I$2:$I$1121=$E81)*('GHG Emission'!$J$2:$J$1121=$F81)*('GHG Emission'!$K$2:$K$1121=AI$1),0))+AJ81/$BI81*INDEX('GHG Emission'!$C$2:$C$1121,MATCH(1,('GHG Emission'!$D$2:$D$1121=$D81)*('GHG Emission'!$E$2:$E$1121=$C81)*('GHG Emission'!$F$2:$F$1121=$B81)*('GHG Emission'!$I$2:$I$1121=$E81)*('GHG Emission'!$J$2:$J$1121=$F81)*('GHG Emission'!$K$2:$K$1121=AJ$1),0))+AK81/$BI81*INDEX('GHG Emission'!$C$2:$C$1121,MATCH(1,('GHG Emission'!$D$2:$D$1121=$D81)*('GHG Emission'!$E$2:$E$1121=$C81)*('GHG Emission'!$F$2:$F$1121=$B81)*('GHG Emission'!$I$2:$I$1121=$E81)*('GHG Emission'!$J$2:$J$1121=$F81)*('GHG Emission'!$K$2:$K$1121=AK$1),0))+AL81/$BI81*INDEX('GHG Emission'!$C$2:$C$1121,MATCH(1,('GHG Emission'!$D$2:$D$1121=$D81)*('GHG Emission'!$E$2:$E$1121=$C81)*('GHG Emission'!$F$2:$F$1121=$B81)*('GHG Emission'!$I$2:$I$1121=$E81)*('GHG Emission'!$J$2:$J$1121=$F81)*('GHG Emission'!$K$2:$K$1121=AL$1),0))+AM81/$BI81*INDEX('GHG Emission'!$C$2:$C$1121,MATCH(1,('GHG Emission'!$D$2:$D$1121=$D81)*('GHG Emission'!$E$2:$E$1121=$C81)*('GHG Emission'!$F$2:$F$1121=$B81)*('GHG Emission'!$I$2:$I$1121=$E81)*('GHG Emission'!$J$2:$J$1121=$F81)*('GHG Emission'!$K$2:$K$1121=AM$1),0))</f>
        <v>34.423812756340638</v>
      </c>
      <c r="BM81" t="str">
        <f t="shared" si="15"/>
        <v>LIGHT/SOUR</v>
      </c>
    </row>
    <row r="82" spans="1:65" hidden="1" x14ac:dyDescent="0.25">
      <c r="A82">
        <v>81</v>
      </c>
      <c r="B82" t="s">
        <v>471</v>
      </c>
      <c r="C82">
        <v>2035</v>
      </c>
      <c r="D82">
        <v>1</v>
      </c>
      <c r="E82" t="s">
        <v>466</v>
      </c>
      <c r="F82" t="s">
        <v>467</v>
      </c>
      <c r="G82">
        <v>700.92713373333675</v>
      </c>
      <c r="H82">
        <v>103.30655223670755</v>
      </c>
      <c r="I82">
        <v>256.75218715042314</v>
      </c>
      <c r="J82">
        <v>90.475425103445417</v>
      </c>
      <c r="K82">
        <v>126.58285122181967</v>
      </c>
      <c r="L82">
        <v>0</v>
      </c>
      <c r="M82">
        <v>0</v>
      </c>
      <c r="N82">
        <v>0</v>
      </c>
      <c r="O82">
        <v>0</v>
      </c>
      <c r="P82">
        <v>118.64163594996619</v>
      </c>
      <c r="Q82">
        <v>0</v>
      </c>
      <c r="R82">
        <v>0</v>
      </c>
      <c r="S82">
        <v>0</v>
      </c>
      <c r="T82">
        <v>10.257393535321418</v>
      </c>
      <c r="U82">
        <v>0</v>
      </c>
      <c r="V82">
        <v>0</v>
      </c>
      <c r="W82">
        <v>0</v>
      </c>
      <c r="X82">
        <f t="shared" si="8"/>
        <v>1406.9431789310202</v>
      </c>
      <c r="Y82">
        <f>X82*VLOOKUP($D82,'LinearReg Model'!$S$2:$T$6,2,FALSE)</f>
        <v>471.51690705435192</v>
      </c>
      <c r="Z82">
        <f t="shared" si="9"/>
        <v>0.49819150071568163</v>
      </c>
      <c r="AA82">
        <f t="shared" si="10"/>
        <v>0.18248937909880669</v>
      </c>
      <c r="AB82">
        <f t="shared" si="11"/>
        <v>7.3426243350636744E-2</v>
      </c>
      <c r="AC82">
        <v>30.30214176476078</v>
      </c>
      <c r="AD82">
        <v>0.41766843364396622</v>
      </c>
      <c r="AE82" s="2">
        <f>VLOOKUP($D82,'MultiReg Model'!$A$5:$F$9,2,FALSE)+AC82*VLOOKUP($D82,'MultiReg Model'!$A$5:$F$9,3,FALSE)+Z82*VLOOKUP($D82,'MultiReg Model'!$A$5:$F$9,4,FALSE)+AA82*VLOOKUP($D82,'MultiReg Model'!$A$5:$F$9,5,FALSE)+AB82*VLOOKUP($D82,'MultiReg Model'!$A$5:$F$9,6,FALSE)</f>
        <v>8.1411693935557796</v>
      </c>
      <c r="AF82" cm="1">
        <f t="array" ref="AF82">MMULT($AG82:$AM82,'Avg CI Index'!$C$2:$C$8)/BI82</f>
        <v>8.1511693970741117</v>
      </c>
      <c r="AG82">
        <v>29.846612737622394</v>
      </c>
      <c r="AH82">
        <v>256.85668773754702</v>
      </c>
      <c r="AI82">
        <v>0</v>
      </c>
      <c r="AJ82">
        <v>71.74441699529612</v>
      </c>
      <c r="AK82">
        <v>55.453024982798475</v>
      </c>
      <c r="AL82">
        <v>0</v>
      </c>
      <c r="AM82">
        <v>60.562486045342425</v>
      </c>
      <c r="AN82" cm="1">
        <f t="array" ref="AN82">$Y82*INDEX(RefCapacity!$D$2:$D$526,MATCH(1,(RefCapacity!$A$2:$A$526=RefCapacityProj!$D82)*(RefCapacity!$B$2:$B$526=2019)*(RefCapacity!$C$2:$C$526=AG$1),0))/SUMIFS(RefCapacity!$D$2:$D$526,RefCapacity!$A$2:$A$526,RefCapacityProj!$D82,RefCapacity!$B$2:$B$526,2019)</f>
        <v>12.660073862760395</v>
      </c>
      <c r="AO82" cm="1">
        <f t="array" ref="AO82">$Y82*INDEX(RefCapacity!$D$2:$D$526,MATCH(1,(RefCapacity!$A$2:$A$526=RefCapacityProj!$D82)*(RefCapacity!$B$2:$B$526=2019)*(RefCapacity!$C$2:$C$526=AH$1),0))/SUMIFS(RefCapacity!$D$2:$D$526,RefCapacity!$A$2:$A$526,RefCapacityProj!$D82,RefCapacity!$B$2:$B$526,2019)</f>
        <v>253.6035667154589</v>
      </c>
      <c r="AP82" cm="1">
        <f t="array" ref="AP82">$Y82*INDEX(RefCapacity!$D$2:$D$526,MATCH(1,(RefCapacity!$A$2:$A$526=RefCapacityProj!$D82)*(RefCapacity!$B$2:$B$526=2019)*(RefCapacity!$C$2:$C$526=AI$1),0))/SUMIFS(RefCapacity!$D$2:$D$526,RefCapacity!$A$2:$A$526,RefCapacityProj!$D82,RefCapacity!$B$2:$B$526,2019)</f>
        <v>0</v>
      </c>
      <c r="AQ82" cm="1">
        <f t="array" ref="AQ82">$Y82*INDEX(RefCapacity!$D$2:$D$526,MATCH(1,(RefCapacity!$A$2:$A$526=RefCapacityProj!$D82)*(RefCapacity!$B$2:$B$526=2019)*(RefCapacity!$C$2:$C$526=AJ$1),0))/SUMIFS(RefCapacity!$D$2:$D$526,RefCapacity!$A$2:$A$526,RefCapacityProj!$D82,RefCapacity!$B$2:$B$526,2019)</f>
        <v>75.669406995809268</v>
      </c>
      <c r="AR82" cm="1">
        <f t="array" ref="AR82">$Y82*INDEX(RefCapacity!$D$2:$D$526,MATCH(1,(RefCapacity!$A$2:$A$526=RefCapacityProj!$D82)*(RefCapacity!$B$2:$B$526=2019)*(RefCapacity!$C$2:$C$526=AK$1),0))/SUMIFS(RefCapacity!$D$2:$D$526,RefCapacity!$A$2:$A$526,RefCapacityProj!$D82,RefCapacity!$B$2:$B$526,2019)</f>
        <v>60.390007506270841</v>
      </c>
      <c r="AS82" cm="1">
        <f t="array" ref="AS82">$Y82*INDEX(RefCapacity!$D$2:$D$526,MATCH(1,(RefCapacity!$A$2:$A$526=RefCapacityProj!$D82)*(RefCapacity!$B$2:$B$526=2019)*(RefCapacity!$C$2:$C$526=AL$1),0))/SUMIFS(RefCapacity!$D$2:$D$526,RefCapacity!$A$2:$A$526,RefCapacityProj!$D82,RefCapacity!$B$2:$B$526,2019)</f>
        <v>0</v>
      </c>
      <c r="AT82" cm="1">
        <f t="array" ref="AT82">$Y82*INDEX(RefCapacity!$D$2:$D$526,MATCH(1,(RefCapacity!$A$2:$A$526=RefCapacityProj!$D82)*(RefCapacity!$B$2:$B$526=2019)*(RefCapacity!$C$2:$C$526=AM$1),0))/SUMIFS(RefCapacity!$D$2:$D$526,RefCapacity!$A$2:$A$526,RefCapacityProj!$D82,RefCapacity!$B$2:$B$526,2019)</f>
        <v>69.193851974052507</v>
      </c>
      <c r="AU82" cm="1">
        <f t="array" ref="AU82">INDEX(RefCapacity!$D$2:$D$526,MATCH(1,(RefCapacity!$A$2:$A$526=RefCapacityProj!$D82)*(RefCapacity!$B$2:$B$526=2019)*(RefCapacity!$C$2:$C$526=RefCapacityProj!AG$1),0))*IF($C82=2035,1+VLOOKUP(AG$1,RefCapacity!$H$2:$L$8,2,FALSE),1+VLOOKUP(AG$1,RefCapacity!$H$2:$L$8,4,FALSE))</f>
        <v>91.42693476369206</v>
      </c>
      <c r="AV82" cm="1">
        <f t="array" ref="AV82">INDEX(RefCapacity!$D$2:$D$526,MATCH(1,(RefCapacity!$A$2:$A$526=RefCapacityProj!$D82)*(RefCapacity!$B$2:$B$526=2019)*(RefCapacity!$C$2:$C$526=RefCapacityProj!AH$1),0))*IF($C82=2035,1+VLOOKUP(AH$1,RefCapacity!$H$2:$L$8,2,FALSE),1+VLOOKUP(AH$1,RefCapacity!$H$2:$L$8,4,FALSE))</f>
        <v>892.71066470160065</v>
      </c>
      <c r="AW82" cm="1">
        <f t="array" ref="AW82">INDEX(RefCapacity!$D$2:$D$526,MATCH(1,(RefCapacity!$A$2:$A$526=RefCapacityProj!$D82)*(RefCapacity!$B$2:$B$526=2019)*(RefCapacity!$C$2:$C$526=RefCapacityProj!AI$1),0))*IF($C82=2035,1+VLOOKUP(AI$1,RefCapacity!$H$2:$L$8,2,FALSE),1+VLOOKUP(AI$1,RefCapacity!$H$2:$L$8,4,FALSE))</f>
        <v>0</v>
      </c>
      <c r="AX82" cm="1">
        <f t="array" ref="AX82">INDEX(RefCapacity!$D$2:$D$526,MATCH(1,(RefCapacity!$A$2:$A$526=RefCapacityProj!$D82)*(RefCapacity!$B$2:$B$526=2019)*(RefCapacity!$C$2:$C$526=RefCapacityProj!AJ$1),0))*IF($C82=2035,1+VLOOKUP(AJ$1,RefCapacity!$H$2:$L$8,2,FALSE),1+VLOOKUP(AJ$1,RefCapacity!$H$2:$L$8,4,FALSE))</f>
        <v>378.33333333333331</v>
      </c>
      <c r="AY82" cm="1">
        <f t="array" ref="AY82">INDEX(RefCapacity!$D$2:$D$526,MATCH(1,(RefCapacity!$A$2:$A$526=RefCapacityProj!$D82)*(RefCapacity!$B$2:$B$526=2019)*(RefCapacity!$C$2:$C$526=RefCapacityProj!AK$1),0))*IF($C82=2035,1+VLOOKUP(AK$1,RefCapacity!$H$2:$L$8,2,FALSE),1+VLOOKUP(AK$1,RefCapacity!$H$2:$L$8,4,FALSE))</f>
        <v>195.80557682200353</v>
      </c>
      <c r="AZ82" cm="1">
        <f t="array" ref="AZ82">INDEX(RefCapacity!$D$2:$D$526,MATCH(1,(RefCapacity!$A$2:$A$526=RefCapacityProj!$D82)*(RefCapacity!$B$2:$B$526=2019)*(RefCapacity!$C$2:$C$526=RefCapacityProj!AL$1),0))*IF($C82=2035,1+VLOOKUP(AL$1,RefCapacity!$H$2:$L$8,2,FALSE),1+VLOOKUP(AL$1,RefCapacity!$H$2:$L$8,4,FALSE))</f>
        <v>0</v>
      </c>
      <c r="BA82" cm="1">
        <f t="array" ref="BA82">INDEX(RefCapacity!$D$2:$D$526,MATCH(1,(RefCapacity!$A$2:$A$526=RefCapacityProj!$D82)*(RefCapacity!$B$2:$B$526=2019)*(RefCapacity!$C$2:$C$526=RefCapacityProj!AM$1),0))*IF($C82=2035,1+VLOOKUP(AM$1,RefCapacity!$H$2:$L$8,2,FALSE),1+VLOOKUP(AM$1,RefCapacity!$H$2:$L$8,4,FALSE))</f>
        <v>187.81193219368552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f t="shared" si="12"/>
        <v>474.46322849860638</v>
      </c>
      <c r="BJ82">
        <f t="shared" si="13"/>
        <v>2.9463214442544654</v>
      </c>
      <c r="BK82">
        <f t="shared" si="14"/>
        <v>1.0000003518332079E-2</v>
      </c>
      <c r="BL82" cm="1">
        <f t="array" ref="BL82">AG82/$BI82*INDEX('GHG Emission'!$C$2:$C$1121,MATCH(1,('GHG Emission'!$D$2:$D$1121=$D82)*('GHG Emission'!$E$2:$E$1121=$C82)*('GHG Emission'!$F$2:$F$1121=$B82)*('GHG Emission'!$I$2:$I$1121=$E82)*('GHG Emission'!$J$2:$J$1121=$F82)*('GHG Emission'!$K$2:$K$1121=AG$1),0))+AH82/$BI82*INDEX('GHG Emission'!$C$2:$C$1121,MATCH(1,('GHG Emission'!$D$2:$D$1121=$D82)*('GHG Emission'!$E$2:$E$1121=$C82)*('GHG Emission'!$F$2:$F$1121=$B82)*('GHG Emission'!$I$2:$I$1121=$E82)*('GHG Emission'!$J$2:$J$1121=$F82)*('GHG Emission'!$K$2:$K$1121=AH$1),0))+AI82/$BI82*INDEX('GHG Emission'!$C$2:$C$1121,MATCH(1,('GHG Emission'!$D$2:$D$1121=$D82)*('GHG Emission'!$E$2:$E$1121=$C82)*('GHG Emission'!$F$2:$F$1121=$B82)*('GHG Emission'!$I$2:$I$1121=$E82)*('GHG Emission'!$J$2:$J$1121=$F82)*('GHG Emission'!$K$2:$K$1121=AI$1),0))+AJ82/$BI82*INDEX('GHG Emission'!$C$2:$C$1121,MATCH(1,('GHG Emission'!$D$2:$D$1121=$D82)*('GHG Emission'!$E$2:$E$1121=$C82)*('GHG Emission'!$F$2:$F$1121=$B82)*('GHG Emission'!$I$2:$I$1121=$E82)*('GHG Emission'!$J$2:$J$1121=$F82)*('GHG Emission'!$K$2:$K$1121=AJ$1),0))+AK82/$BI82*INDEX('GHG Emission'!$C$2:$C$1121,MATCH(1,('GHG Emission'!$D$2:$D$1121=$D82)*('GHG Emission'!$E$2:$E$1121=$C82)*('GHG Emission'!$F$2:$F$1121=$B82)*('GHG Emission'!$I$2:$I$1121=$E82)*('GHG Emission'!$J$2:$J$1121=$F82)*('GHG Emission'!$K$2:$K$1121=AK$1),0))+AL82/$BI82*INDEX('GHG Emission'!$C$2:$C$1121,MATCH(1,('GHG Emission'!$D$2:$D$1121=$D82)*('GHG Emission'!$E$2:$E$1121=$C82)*('GHG Emission'!$F$2:$F$1121=$B82)*('GHG Emission'!$I$2:$I$1121=$E82)*('GHG Emission'!$J$2:$J$1121=$F82)*('GHG Emission'!$K$2:$K$1121=AL$1),0))+AM82/$BI82*INDEX('GHG Emission'!$C$2:$C$1121,MATCH(1,('GHG Emission'!$D$2:$D$1121=$D82)*('GHG Emission'!$E$2:$E$1121=$C82)*('GHG Emission'!$F$2:$F$1121=$B82)*('GHG Emission'!$I$2:$I$1121=$E82)*('GHG Emission'!$J$2:$J$1121=$F82)*('GHG Emission'!$K$2:$K$1121=AM$1),0))</f>
        <v>32.692924009206429</v>
      </c>
      <c r="BM82" t="str">
        <f t="shared" si="15"/>
        <v>HEAVY/SWEET</v>
      </c>
    </row>
    <row r="83" spans="1:65" hidden="1" x14ac:dyDescent="0.25">
      <c r="A83">
        <v>82</v>
      </c>
      <c r="B83" t="s">
        <v>471</v>
      </c>
      <c r="C83">
        <v>2035</v>
      </c>
      <c r="D83">
        <v>1</v>
      </c>
      <c r="E83" t="s">
        <v>466</v>
      </c>
      <c r="F83" t="s">
        <v>468</v>
      </c>
      <c r="G83">
        <v>700.92713373333675</v>
      </c>
      <c r="H83">
        <v>103.30655223670755</v>
      </c>
      <c r="I83">
        <v>256.75218715042314</v>
      </c>
      <c r="J83">
        <v>90.475425103445417</v>
      </c>
      <c r="K83">
        <v>126.58285122181967</v>
      </c>
      <c r="L83">
        <v>0</v>
      </c>
      <c r="M83">
        <v>0</v>
      </c>
      <c r="N83">
        <v>0</v>
      </c>
      <c r="O83">
        <v>0</v>
      </c>
      <c r="P83">
        <v>118.64163594996619</v>
      </c>
      <c r="Q83">
        <v>0</v>
      </c>
      <c r="R83">
        <v>0</v>
      </c>
      <c r="S83">
        <v>0</v>
      </c>
      <c r="T83">
        <v>10.257393535321418</v>
      </c>
      <c r="U83">
        <v>0</v>
      </c>
      <c r="V83">
        <v>0</v>
      </c>
      <c r="W83">
        <v>0</v>
      </c>
      <c r="X83">
        <f t="shared" si="8"/>
        <v>1406.9431789310202</v>
      </c>
      <c r="Y83">
        <f>X83*VLOOKUP($D83,'LinearReg Model'!$S$2:$T$6,2,FALSE)</f>
        <v>471.51690705435192</v>
      </c>
      <c r="Z83">
        <f t="shared" si="9"/>
        <v>0.49819150071568163</v>
      </c>
      <c r="AA83">
        <f t="shared" si="10"/>
        <v>0.18248937909880669</v>
      </c>
      <c r="AB83">
        <f t="shared" si="11"/>
        <v>7.3426243350636744E-2</v>
      </c>
      <c r="AC83">
        <v>30.30214176476078</v>
      </c>
      <c r="AD83">
        <v>1.5301400799730309</v>
      </c>
      <c r="AE83" s="2">
        <f>VLOOKUP($D83,'MultiReg Model'!$A$5:$F$9,2,FALSE)+AC83*VLOOKUP($D83,'MultiReg Model'!$A$5:$F$9,3,FALSE)+Z83*VLOOKUP($D83,'MultiReg Model'!$A$5:$F$9,4,FALSE)+AA83*VLOOKUP($D83,'MultiReg Model'!$A$5:$F$9,5,FALSE)+AB83*VLOOKUP($D83,'MultiReg Model'!$A$5:$F$9,6,FALSE)</f>
        <v>8.1411693935557796</v>
      </c>
      <c r="AF83" cm="1">
        <f t="array" ref="AF83">MMULT($AG83:$AM83,'Avg CI Index'!$C$2:$C$8)/BI83</f>
        <v>8.1511693970741117</v>
      </c>
      <c r="AG83">
        <v>29.846612737622394</v>
      </c>
      <c r="AH83">
        <v>256.85668773754702</v>
      </c>
      <c r="AI83">
        <v>0</v>
      </c>
      <c r="AJ83">
        <v>71.74441699529612</v>
      </c>
      <c r="AK83">
        <v>55.453024982798475</v>
      </c>
      <c r="AL83">
        <v>0</v>
      </c>
      <c r="AM83">
        <v>60.562486045342425</v>
      </c>
      <c r="AN83" cm="1">
        <f t="array" ref="AN83">$Y83*INDEX(RefCapacity!$D$2:$D$526,MATCH(1,(RefCapacity!$A$2:$A$526=RefCapacityProj!$D83)*(RefCapacity!$B$2:$B$526=2019)*(RefCapacity!$C$2:$C$526=AG$1),0))/SUMIFS(RefCapacity!$D$2:$D$526,RefCapacity!$A$2:$A$526,RefCapacityProj!$D83,RefCapacity!$B$2:$B$526,2019)</f>
        <v>12.660073862760395</v>
      </c>
      <c r="AO83" cm="1">
        <f t="array" ref="AO83">$Y83*INDEX(RefCapacity!$D$2:$D$526,MATCH(1,(RefCapacity!$A$2:$A$526=RefCapacityProj!$D83)*(RefCapacity!$B$2:$B$526=2019)*(RefCapacity!$C$2:$C$526=AH$1),0))/SUMIFS(RefCapacity!$D$2:$D$526,RefCapacity!$A$2:$A$526,RefCapacityProj!$D83,RefCapacity!$B$2:$B$526,2019)</f>
        <v>253.6035667154589</v>
      </c>
      <c r="AP83" cm="1">
        <f t="array" ref="AP83">$Y83*INDEX(RefCapacity!$D$2:$D$526,MATCH(1,(RefCapacity!$A$2:$A$526=RefCapacityProj!$D83)*(RefCapacity!$B$2:$B$526=2019)*(RefCapacity!$C$2:$C$526=AI$1),0))/SUMIFS(RefCapacity!$D$2:$D$526,RefCapacity!$A$2:$A$526,RefCapacityProj!$D83,RefCapacity!$B$2:$B$526,2019)</f>
        <v>0</v>
      </c>
      <c r="AQ83" cm="1">
        <f t="array" ref="AQ83">$Y83*INDEX(RefCapacity!$D$2:$D$526,MATCH(1,(RefCapacity!$A$2:$A$526=RefCapacityProj!$D83)*(RefCapacity!$B$2:$B$526=2019)*(RefCapacity!$C$2:$C$526=AJ$1),0))/SUMIFS(RefCapacity!$D$2:$D$526,RefCapacity!$A$2:$A$526,RefCapacityProj!$D83,RefCapacity!$B$2:$B$526,2019)</f>
        <v>75.669406995809268</v>
      </c>
      <c r="AR83" cm="1">
        <f t="array" ref="AR83">$Y83*INDEX(RefCapacity!$D$2:$D$526,MATCH(1,(RefCapacity!$A$2:$A$526=RefCapacityProj!$D83)*(RefCapacity!$B$2:$B$526=2019)*(RefCapacity!$C$2:$C$526=AK$1),0))/SUMIFS(RefCapacity!$D$2:$D$526,RefCapacity!$A$2:$A$526,RefCapacityProj!$D83,RefCapacity!$B$2:$B$526,2019)</f>
        <v>60.390007506270841</v>
      </c>
      <c r="AS83" cm="1">
        <f t="array" ref="AS83">$Y83*INDEX(RefCapacity!$D$2:$D$526,MATCH(1,(RefCapacity!$A$2:$A$526=RefCapacityProj!$D83)*(RefCapacity!$B$2:$B$526=2019)*(RefCapacity!$C$2:$C$526=AL$1),0))/SUMIFS(RefCapacity!$D$2:$D$526,RefCapacity!$A$2:$A$526,RefCapacityProj!$D83,RefCapacity!$B$2:$B$526,2019)</f>
        <v>0</v>
      </c>
      <c r="AT83" cm="1">
        <f t="array" ref="AT83">$Y83*INDEX(RefCapacity!$D$2:$D$526,MATCH(1,(RefCapacity!$A$2:$A$526=RefCapacityProj!$D83)*(RefCapacity!$B$2:$B$526=2019)*(RefCapacity!$C$2:$C$526=AM$1),0))/SUMIFS(RefCapacity!$D$2:$D$526,RefCapacity!$A$2:$A$526,RefCapacityProj!$D83,RefCapacity!$B$2:$B$526,2019)</f>
        <v>69.193851974052507</v>
      </c>
      <c r="AU83" cm="1">
        <f t="array" ref="AU83">INDEX(RefCapacity!$D$2:$D$526,MATCH(1,(RefCapacity!$A$2:$A$526=RefCapacityProj!$D83)*(RefCapacity!$B$2:$B$526=2019)*(RefCapacity!$C$2:$C$526=RefCapacityProj!AG$1),0))*IF($C83=2035,1+VLOOKUP(AG$1,RefCapacity!$H$2:$L$8,2,FALSE),1+VLOOKUP(AG$1,RefCapacity!$H$2:$L$8,4,FALSE))</f>
        <v>91.42693476369206</v>
      </c>
      <c r="AV83" cm="1">
        <f t="array" ref="AV83">INDEX(RefCapacity!$D$2:$D$526,MATCH(1,(RefCapacity!$A$2:$A$526=RefCapacityProj!$D83)*(RefCapacity!$B$2:$B$526=2019)*(RefCapacity!$C$2:$C$526=RefCapacityProj!AH$1),0))*IF($C83=2035,1+VLOOKUP(AH$1,RefCapacity!$H$2:$L$8,2,FALSE),1+VLOOKUP(AH$1,RefCapacity!$H$2:$L$8,4,FALSE))</f>
        <v>892.71066470160065</v>
      </c>
      <c r="AW83" cm="1">
        <f t="array" ref="AW83">INDEX(RefCapacity!$D$2:$D$526,MATCH(1,(RefCapacity!$A$2:$A$526=RefCapacityProj!$D83)*(RefCapacity!$B$2:$B$526=2019)*(RefCapacity!$C$2:$C$526=RefCapacityProj!AI$1),0))*IF($C83=2035,1+VLOOKUP(AI$1,RefCapacity!$H$2:$L$8,2,FALSE),1+VLOOKUP(AI$1,RefCapacity!$H$2:$L$8,4,FALSE))</f>
        <v>0</v>
      </c>
      <c r="AX83" cm="1">
        <f t="array" ref="AX83">INDEX(RefCapacity!$D$2:$D$526,MATCH(1,(RefCapacity!$A$2:$A$526=RefCapacityProj!$D83)*(RefCapacity!$B$2:$B$526=2019)*(RefCapacity!$C$2:$C$526=RefCapacityProj!AJ$1),0))*IF($C83=2035,1+VLOOKUP(AJ$1,RefCapacity!$H$2:$L$8,2,FALSE),1+VLOOKUP(AJ$1,RefCapacity!$H$2:$L$8,4,FALSE))</f>
        <v>378.33333333333331</v>
      </c>
      <c r="AY83" cm="1">
        <f t="array" ref="AY83">INDEX(RefCapacity!$D$2:$D$526,MATCH(1,(RefCapacity!$A$2:$A$526=RefCapacityProj!$D83)*(RefCapacity!$B$2:$B$526=2019)*(RefCapacity!$C$2:$C$526=RefCapacityProj!AK$1),0))*IF($C83=2035,1+VLOOKUP(AK$1,RefCapacity!$H$2:$L$8,2,FALSE),1+VLOOKUP(AK$1,RefCapacity!$H$2:$L$8,4,FALSE))</f>
        <v>195.80557682200353</v>
      </c>
      <c r="AZ83" cm="1">
        <f t="array" ref="AZ83">INDEX(RefCapacity!$D$2:$D$526,MATCH(1,(RefCapacity!$A$2:$A$526=RefCapacityProj!$D83)*(RefCapacity!$B$2:$B$526=2019)*(RefCapacity!$C$2:$C$526=RefCapacityProj!AL$1),0))*IF($C83=2035,1+VLOOKUP(AL$1,RefCapacity!$H$2:$L$8,2,FALSE),1+VLOOKUP(AL$1,RefCapacity!$H$2:$L$8,4,FALSE))</f>
        <v>0</v>
      </c>
      <c r="BA83" cm="1">
        <f t="array" ref="BA83">INDEX(RefCapacity!$D$2:$D$526,MATCH(1,(RefCapacity!$A$2:$A$526=RefCapacityProj!$D83)*(RefCapacity!$B$2:$B$526=2019)*(RefCapacity!$C$2:$C$526=RefCapacityProj!AM$1),0))*IF($C83=2035,1+VLOOKUP(AM$1,RefCapacity!$H$2:$L$8,2,FALSE),1+VLOOKUP(AM$1,RefCapacity!$H$2:$L$8,4,FALSE))</f>
        <v>187.81193219368552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f t="shared" si="12"/>
        <v>474.46322849860638</v>
      </c>
      <c r="BJ83">
        <f t="shared" si="13"/>
        <v>2.9463214442544654</v>
      </c>
      <c r="BK83">
        <f t="shared" si="14"/>
        <v>1.0000003518332079E-2</v>
      </c>
      <c r="BL83" cm="1">
        <f t="array" ref="BL83">AG83/$BI83*INDEX('GHG Emission'!$C$2:$C$1121,MATCH(1,('GHG Emission'!$D$2:$D$1121=$D83)*('GHG Emission'!$E$2:$E$1121=$C83)*('GHG Emission'!$F$2:$F$1121=$B83)*('GHG Emission'!$I$2:$I$1121=$E83)*('GHG Emission'!$J$2:$J$1121=$F83)*('GHG Emission'!$K$2:$K$1121=AG$1),0))+AH83/$BI83*INDEX('GHG Emission'!$C$2:$C$1121,MATCH(1,('GHG Emission'!$D$2:$D$1121=$D83)*('GHG Emission'!$E$2:$E$1121=$C83)*('GHG Emission'!$F$2:$F$1121=$B83)*('GHG Emission'!$I$2:$I$1121=$E83)*('GHG Emission'!$J$2:$J$1121=$F83)*('GHG Emission'!$K$2:$K$1121=AH$1),0))+AI83/$BI83*INDEX('GHG Emission'!$C$2:$C$1121,MATCH(1,('GHG Emission'!$D$2:$D$1121=$D83)*('GHG Emission'!$E$2:$E$1121=$C83)*('GHG Emission'!$F$2:$F$1121=$B83)*('GHG Emission'!$I$2:$I$1121=$E83)*('GHG Emission'!$J$2:$J$1121=$F83)*('GHG Emission'!$K$2:$K$1121=AI$1),0))+AJ83/$BI83*INDEX('GHG Emission'!$C$2:$C$1121,MATCH(1,('GHG Emission'!$D$2:$D$1121=$D83)*('GHG Emission'!$E$2:$E$1121=$C83)*('GHG Emission'!$F$2:$F$1121=$B83)*('GHG Emission'!$I$2:$I$1121=$E83)*('GHG Emission'!$J$2:$J$1121=$F83)*('GHG Emission'!$K$2:$K$1121=AJ$1),0))+AK83/$BI83*INDEX('GHG Emission'!$C$2:$C$1121,MATCH(1,('GHG Emission'!$D$2:$D$1121=$D83)*('GHG Emission'!$E$2:$E$1121=$C83)*('GHG Emission'!$F$2:$F$1121=$B83)*('GHG Emission'!$I$2:$I$1121=$E83)*('GHG Emission'!$J$2:$J$1121=$F83)*('GHG Emission'!$K$2:$K$1121=AK$1),0))+AL83/$BI83*INDEX('GHG Emission'!$C$2:$C$1121,MATCH(1,('GHG Emission'!$D$2:$D$1121=$D83)*('GHG Emission'!$E$2:$E$1121=$C83)*('GHG Emission'!$F$2:$F$1121=$B83)*('GHG Emission'!$I$2:$I$1121=$E83)*('GHG Emission'!$J$2:$J$1121=$F83)*('GHG Emission'!$K$2:$K$1121=AL$1),0))+AM83/$BI83*INDEX('GHG Emission'!$C$2:$C$1121,MATCH(1,('GHG Emission'!$D$2:$D$1121=$D83)*('GHG Emission'!$E$2:$E$1121=$C83)*('GHG Emission'!$F$2:$F$1121=$B83)*('GHG Emission'!$I$2:$I$1121=$E83)*('GHG Emission'!$J$2:$J$1121=$F83)*('GHG Emission'!$K$2:$K$1121=AM$1),0))</f>
        <v>31.683565611775627</v>
      </c>
      <c r="BM83" t="str">
        <f t="shared" si="15"/>
        <v>HEAVY/SOUR</v>
      </c>
    </row>
    <row r="84" spans="1:65" hidden="1" x14ac:dyDescent="0.25">
      <c r="A84">
        <v>83</v>
      </c>
      <c r="B84" t="s">
        <v>471</v>
      </c>
      <c r="C84">
        <v>2035</v>
      </c>
      <c r="D84">
        <v>1</v>
      </c>
      <c r="E84" t="s">
        <v>469</v>
      </c>
      <c r="F84" t="s">
        <v>467</v>
      </c>
      <c r="G84">
        <v>700.92713373333675</v>
      </c>
      <c r="H84">
        <v>103.30655223670755</v>
      </c>
      <c r="I84">
        <v>256.75218715042314</v>
      </c>
      <c r="J84">
        <v>90.475425103445417</v>
      </c>
      <c r="K84">
        <v>126.58285122181967</v>
      </c>
      <c r="L84">
        <v>0</v>
      </c>
      <c r="M84">
        <v>0</v>
      </c>
      <c r="N84">
        <v>0</v>
      </c>
      <c r="O84">
        <v>0</v>
      </c>
      <c r="P84">
        <v>118.64163594996619</v>
      </c>
      <c r="Q84">
        <v>0</v>
      </c>
      <c r="R84">
        <v>0</v>
      </c>
      <c r="S84">
        <v>0</v>
      </c>
      <c r="T84">
        <v>10.257393535321418</v>
      </c>
      <c r="U84">
        <v>0</v>
      </c>
      <c r="V84">
        <v>0</v>
      </c>
      <c r="W84">
        <v>0</v>
      </c>
      <c r="X84">
        <f t="shared" si="8"/>
        <v>1406.9431789310202</v>
      </c>
      <c r="Y84">
        <f>X84*VLOOKUP($D84,'LinearReg Model'!$S$2:$T$6,2,FALSE)</f>
        <v>471.51690705435192</v>
      </c>
      <c r="Z84">
        <f t="shared" si="9"/>
        <v>0.49819150071568163</v>
      </c>
      <c r="AA84">
        <f t="shared" si="10"/>
        <v>0.18248937909880669</v>
      </c>
      <c r="AB84">
        <f t="shared" si="11"/>
        <v>7.3426243350636744E-2</v>
      </c>
      <c r="AC84">
        <v>36.614652924665549</v>
      </c>
      <c r="AD84">
        <v>0.41766843364396622</v>
      </c>
      <c r="AE84" s="2">
        <f>VLOOKUP($D84,'MultiReg Model'!$A$5:$F$9,2,FALSE)+AC84*VLOOKUP($D84,'MultiReg Model'!$A$5:$F$9,3,FALSE)+Z84*VLOOKUP($D84,'MultiReg Model'!$A$5:$F$9,4,FALSE)+AA84*VLOOKUP($D84,'MultiReg Model'!$A$5:$F$9,5,FALSE)+AB84*VLOOKUP($D84,'MultiReg Model'!$A$5:$F$9,6,FALSE)</f>
        <v>7.3889426119957555</v>
      </c>
      <c r="AF84" cm="1">
        <f t="array" ref="AF84">MMULT($AG84:$AM84,'Avg CI Index'!$C$2:$C$8)/BI84</f>
        <v>7.3989428824007257</v>
      </c>
      <c r="AG84">
        <v>73.263358328750613</v>
      </c>
      <c r="AH84">
        <v>263.99138403853522</v>
      </c>
      <c r="AI84">
        <v>0</v>
      </c>
      <c r="AJ84">
        <v>60.179024156308721</v>
      </c>
      <c r="AK84">
        <v>41.261160868430416</v>
      </c>
      <c r="AL84">
        <v>0</v>
      </c>
      <c r="AM84">
        <v>36.761535327932144</v>
      </c>
      <c r="AN84" cm="1">
        <f t="array" ref="AN84">$Y84*INDEX(RefCapacity!$D$2:$D$526,MATCH(1,(RefCapacity!$A$2:$A$526=RefCapacityProj!$D84)*(RefCapacity!$B$2:$B$526=2019)*(RefCapacity!$C$2:$C$526=AG$1),0))/SUMIFS(RefCapacity!$D$2:$D$526,RefCapacity!$A$2:$A$526,RefCapacityProj!$D84,RefCapacity!$B$2:$B$526,2019)</f>
        <v>12.660073862760395</v>
      </c>
      <c r="AO84" cm="1">
        <f t="array" ref="AO84">$Y84*INDEX(RefCapacity!$D$2:$D$526,MATCH(1,(RefCapacity!$A$2:$A$526=RefCapacityProj!$D84)*(RefCapacity!$B$2:$B$526=2019)*(RefCapacity!$C$2:$C$526=AH$1),0))/SUMIFS(RefCapacity!$D$2:$D$526,RefCapacity!$A$2:$A$526,RefCapacityProj!$D84,RefCapacity!$B$2:$B$526,2019)</f>
        <v>253.6035667154589</v>
      </c>
      <c r="AP84" cm="1">
        <f t="array" ref="AP84">$Y84*INDEX(RefCapacity!$D$2:$D$526,MATCH(1,(RefCapacity!$A$2:$A$526=RefCapacityProj!$D84)*(RefCapacity!$B$2:$B$526=2019)*(RefCapacity!$C$2:$C$526=AI$1),0))/SUMIFS(RefCapacity!$D$2:$D$526,RefCapacity!$A$2:$A$526,RefCapacityProj!$D84,RefCapacity!$B$2:$B$526,2019)</f>
        <v>0</v>
      </c>
      <c r="AQ84" cm="1">
        <f t="array" ref="AQ84">$Y84*INDEX(RefCapacity!$D$2:$D$526,MATCH(1,(RefCapacity!$A$2:$A$526=RefCapacityProj!$D84)*(RefCapacity!$B$2:$B$526=2019)*(RefCapacity!$C$2:$C$526=AJ$1),0))/SUMIFS(RefCapacity!$D$2:$D$526,RefCapacity!$A$2:$A$526,RefCapacityProj!$D84,RefCapacity!$B$2:$B$526,2019)</f>
        <v>75.669406995809268</v>
      </c>
      <c r="AR84" cm="1">
        <f t="array" ref="AR84">$Y84*INDEX(RefCapacity!$D$2:$D$526,MATCH(1,(RefCapacity!$A$2:$A$526=RefCapacityProj!$D84)*(RefCapacity!$B$2:$B$526=2019)*(RefCapacity!$C$2:$C$526=AK$1),0))/SUMIFS(RefCapacity!$D$2:$D$526,RefCapacity!$A$2:$A$526,RefCapacityProj!$D84,RefCapacity!$B$2:$B$526,2019)</f>
        <v>60.390007506270841</v>
      </c>
      <c r="AS84" cm="1">
        <f t="array" ref="AS84">$Y84*INDEX(RefCapacity!$D$2:$D$526,MATCH(1,(RefCapacity!$A$2:$A$526=RefCapacityProj!$D84)*(RefCapacity!$B$2:$B$526=2019)*(RefCapacity!$C$2:$C$526=AL$1),0))/SUMIFS(RefCapacity!$D$2:$D$526,RefCapacity!$A$2:$A$526,RefCapacityProj!$D84,RefCapacity!$B$2:$B$526,2019)</f>
        <v>0</v>
      </c>
      <c r="AT84" cm="1">
        <f t="array" ref="AT84">$Y84*INDEX(RefCapacity!$D$2:$D$526,MATCH(1,(RefCapacity!$A$2:$A$526=RefCapacityProj!$D84)*(RefCapacity!$B$2:$B$526=2019)*(RefCapacity!$C$2:$C$526=AM$1),0))/SUMIFS(RefCapacity!$D$2:$D$526,RefCapacity!$A$2:$A$526,RefCapacityProj!$D84,RefCapacity!$B$2:$B$526,2019)</f>
        <v>69.193851974052507</v>
      </c>
      <c r="AU84" cm="1">
        <f t="array" ref="AU84">INDEX(RefCapacity!$D$2:$D$526,MATCH(1,(RefCapacity!$A$2:$A$526=RefCapacityProj!$D84)*(RefCapacity!$B$2:$B$526=2019)*(RefCapacity!$C$2:$C$526=RefCapacityProj!AG$1),0))*IF($C84=2035,1+VLOOKUP(AG$1,RefCapacity!$H$2:$L$8,2,FALSE),1+VLOOKUP(AG$1,RefCapacity!$H$2:$L$8,4,FALSE))</f>
        <v>91.42693476369206</v>
      </c>
      <c r="AV84" cm="1">
        <f t="array" ref="AV84">INDEX(RefCapacity!$D$2:$D$526,MATCH(1,(RefCapacity!$A$2:$A$526=RefCapacityProj!$D84)*(RefCapacity!$B$2:$B$526=2019)*(RefCapacity!$C$2:$C$526=RefCapacityProj!AH$1),0))*IF($C84=2035,1+VLOOKUP(AH$1,RefCapacity!$H$2:$L$8,2,FALSE),1+VLOOKUP(AH$1,RefCapacity!$H$2:$L$8,4,FALSE))</f>
        <v>892.71066470160065</v>
      </c>
      <c r="AW84" cm="1">
        <f t="array" ref="AW84">INDEX(RefCapacity!$D$2:$D$526,MATCH(1,(RefCapacity!$A$2:$A$526=RefCapacityProj!$D84)*(RefCapacity!$B$2:$B$526=2019)*(RefCapacity!$C$2:$C$526=RefCapacityProj!AI$1),0))*IF($C84=2035,1+VLOOKUP(AI$1,RefCapacity!$H$2:$L$8,2,FALSE),1+VLOOKUP(AI$1,RefCapacity!$H$2:$L$8,4,FALSE))</f>
        <v>0</v>
      </c>
      <c r="AX84" cm="1">
        <f t="array" ref="AX84">INDEX(RefCapacity!$D$2:$D$526,MATCH(1,(RefCapacity!$A$2:$A$526=RefCapacityProj!$D84)*(RefCapacity!$B$2:$B$526=2019)*(RefCapacity!$C$2:$C$526=RefCapacityProj!AJ$1),0))*IF($C84=2035,1+VLOOKUP(AJ$1,RefCapacity!$H$2:$L$8,2,FALSE),1+VLOOKUP(AJ$1,RefCapacity!$H$2:$L$8,4,FALSE))</f>
        <v>378.33333333333331</v>
      </c>
      <c r="AY84" cm="1">
        <f t="array" ref="AY84">INDEX(RefCapacity!$D$2:$D$526,MATCH(1,(RefCapacity!$A$2:$A$526=RefCapacityProj!$D84)*(RefCapacity!$B$2:$B$526=2019)*(RefCapacity!$C$2:$C$526=RefCapacityProj!AK$1),0))*IF($C84=2035,1+VLOOKUP(AK$1,RefCapacity!$H$2:$L$8,2,FALSE),1+VLOOKUP(AK$1,RefCapacity!$H$2:$L$8,4,FALSE))</f>
        <v>195.80557682200353</v>
      </c>
      <c r="AZ84" cm="1">
        <f t="array" ref="AZ84">INDEX(RefCapacity!$D$2:$D$526,MATCH(1,(RefCapacity!$A$2:$A$526=RefCapacityProj!$D84)*(RefCapacity!$B$2:$B$526=2019)*(RefCapacity!$C$2:$C$526=RefCapacityProj!AL$1),0))*IF($C84=2035,1+VLOOKUP(AL$1,RefCapacity!$H$2:$L$8,2,FALSE),1+VLOOKUP(AL$1,RefCapacity!$H$2:$L$8,4,FALSE))</f>
        <v>0</v>
      </c>
      <c r="BA84" cm="1">
        <f t="array" ref="BA84">INDEX(RefCapacity!$D$2:$D$526,MATCH(1,(RefCapacity!$A$2:$A$526=RefCapacityProj!$D84)*(RefCapacity!$B$2:$B$526=2019)*(RefCapacity!$C$2:$C$526=RefCapacityProj!AM$1),0))*IF($C84=2035,1+VLOOKUP(AM$1,RefCapacity!$H$2:$L$8,2,FALSE),1+VLOOKUP(AM$1,RefCapacity!$H$2:$L$8,4,FALSE))</f>
        <v>187.81193219368552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f t="shared" si="12"/>
        <v>475.45646271995713</v>
      </c>
      <c r="BJ84">
        <f t="shared" si="13"/>
        <v>3.9395556656052122</v>
      </c>
      <c r="BK84">
        <f t="shared" si="14"/>
        <v>1.0000270404970202E-2</v>
      </c>
      <c r="BL84" cm="1">
        <f t="array" ref="BL84">AG84/$BI84*INDEX('GHG Emission'!$C$2:$C$1121,MATCH(1,('GHG Emission'!$D$2:$D$1121=$D84)*('GHG Emission'!$E$2:$E$1121=$C84)*('GHG Emission'!$F$2:$F$1121=$B84)*('GHG Emission'!$I$2:$I$1121=$E84)*('GHG Emission'!$J$2:$J$1121=$F84)*('GHG Emission'!$K$2:$K$1121=AG$1),0))+AH84/$BI84*INDEX('GHG Emission'!$C$2:$C$1121,MATCH(1,('GHG Emission'!$D$2:$D$1121=$D84)*('GHG Emission'!$E$2:$E$1121=$C84)*('GHG Emission'!$F$2:$F$1121=$B84)*('GHG Emission'!$I$2:$I$1121=$E84)*('GHG Emission'!$J$2:$J$1121=$F84)*('GHG Emission'!$K$2:$K$1121=AH$1),0))+AI84/$BI84*INDEX('GHG Emission'!$C$2:$C$1121,MATCH(1,('GHG Emission'!$D$2:$D$1121=$D84)*('GHG Emission'!$E$2:$E$1121=$C84)*('GHG Emission'!$F$2:$F$1121=$B84)*('GHG Emission'!$I$2:$I$1121=$E84)*('GHG Emission'!$J$2:$J$1121=$F84)*('GHG Emission'!$K$2:$K$1121=AI$1),0))+AJ84/$BI84*INDEX('GHG Emission'!$C$2:$C$1121,MATCH(1,('GHG Emission'!$D$2:$D$1121=$D84)*('GHG Emission'!$E$2:$E$1121=$C84)*('GHG Emission'!$F$2:$F$1121=$B84)*('GHG Emission'!$I$2:$I$1121=$E84)*('GHG Emission'!$J$2:$J$1121=$F84)*('GHG Emission'!$K$2:$K$1121=AJ$1),0))+AK84/$BI84*INDEX('GHG Emission'!$C$2:$C$1121,MATCH(1,('GHG Emission'!$D$2:$D$1121=$D84)*('GHG Emission'!$E$2:$E$1121=$C84)*('GHG Emission'!$F$2:$F$1121=$B84)*('GHG Emission'!$I$2:$I$1121=$E84)*('GHG Emission'!$J$2:$J$1121=$F84)*('GHG Emission'!$K$2:$K$1121=AK$1),0))+AL84/$BI84*INDEX('GHG Emission'!$C$2:$C$1121,MATCH(1,('GHG Emission'!$D$2:$D$1121=$D84)*('GHG Emission'!$E$2:$E$1121=$C84)*('GHG Emission'!$F$2:$F$1121=$B84)*('GHG Emission'!$I$2:$I$1121=$E84)*('GHG Emission'!$J$2:$J$1121=$F84)*('GHG Emission'!$K$2:$K$1121=AL$1),0))+AM84/$BI84*INDEX('GHG Emission'!$C$2:$C$1121,MATCH(1,('GHG Emission'!$D$2:$D$1121=$D84)*('GHG Emission'!$E$2:$E$1121=$C84)*('GHG Emission'!$F$2:$F$1121=$B84)*('GHG Emission'!$I$2:$I$1121=$E84)*('GHG Emission'!$J$2:$J$1121=$F84)*('GHG Emission'!$K$2:$K$1121=AM$1),0))</f>
        <v>31.589161412203527</v>
      </c>
      <c r="BM84" t="str">
        <f t="shared" si="15"/>
        <v>LIGHT/SWEET</v>
      </c>
    </row>
    <row r="85" spans="1:65" hidden="1" x14ac:dyDescent="0.25">
      <c r="A85">
        <v>84</v>
      </c>
      <c r="B85" t="s">
        <v>471</v>
      </c>
      <c r="C85">
        <v>2035</v>
      </c>
      <c r="D85">
        <v>1</v>
      </c>
      <c r="E85" t="s">
        <v>469</v>
      </c>
      <c r="F85" t="s">
        <v>468</v>
      </c>
      <c r="G85">
        <v>700.92713373333675</v>
      </c>
      <c r="H85">
        <v>103.30655223670755</v>
      </c>
      <c r="I85">
        <v>256.75218715042314</v>
      </c>
      <c r="J85">
        <v>90.475425103445417</v>
      </c>
      <c r="K85">
        <v>126.58285122181967</v>
      </c>
      <c r="L85">
        <v>0</v>
      </c>
      <c r="M85">
        <v>0</v>
      </c>
      <c r="N85">
        <v>0</v>
      </c>
      <c r="O85">
        <v>0</v>
      </c>
      <c r="P85">
        <v>118.64163594996619</v>
      </c>
      <c r="Q85">
        <v>0</v>
      </c>
      <c r="R85">
        <v>0</v>
      </c>
      <c r="S85">
        <v>0</v>
      </c>
      <c r="T85">
        <v>10.257393535321418</v>
      </c>
      <c r="U85">
        <v>0</v>
      </c>
      <c r="V85">
        <v>0</v>
      </c>
      <c r="W85">
        <v>0</v>
      </c>
      <c r="X85">
        <f t="shared" si="8"/>
        <v>1406.9431789310202</v>
      </c>
      <c r="Y85">
        <f>X85*VLOOKUP($D85,'LinearReg Model'!$S$2:$T$6,2,FALSE)</f>
        <v>471.51690705435192</v>
      </c>
      <c r="Z85">
        <f t="shared" si="9"/>
        <v>0.49819150071568163</v>
      </c>
      <c r="AA85">
        <f t="shared" si="10"/>
        <v>0.18248937909880669</v>
      </c>
      <c r="AB85">
        <f t="shared" si="11"/>
        <v>7.3426243350636744E-2</v>
      </c>
      <c r="AC85">
        <v>36.614652924665549</v>
      </c>
      <c r="AD85">
        <v>1.5301400799730309</v>
      </c>
      <c r="AE85" s="2">
        <f>VLOOKUP($D85,'MultiReg Model'!$A$5:$F$9,2,FALSE)+AC85*VLOOKUP($D85,'MultiReg Model'!$A$5:$F$9,3,FALSE)+Z85*VLOOKUP($D85,'MultiReg Model'!$A$5:$F$9,4,FALSE)+AA85*VLOOKUP($D85,'MultiReg Model'!$A$5:$F$9,5,FALSE)+AB85*VLOOKUP($D85,'MultiReg Model'!$A$5:$F$9,6,FALSE)</f>
        <v>7.3889426119957555</v>
      </c>
      <c r="AF85" cm="1">
        <f t="array" ref="AF85">MMULT($AG85:$AM85,'Avg CI Index'!$C$2:$C$8)/BI85</f>
        <v>7.3989428824007257</v>
      </c>
      <c r="AG85">
        <v>73.263358328750613</v>
      </c>
      <c r="AH85">
        <v>263.99138403853522</v>
      </c>
      <c r="AI85">
        <v>0</v>
      </c>
      <c r="AJ85">
        <v>60.179024156308721</v>
      </c>
      <c r="AK85">
        <v>41.261160868430416</v>
      </c>
      <c r="AL85">
        <v>0</v>
      </c>
      <c r="AM85">
        <v>36.761535327932144</v>
      </c>
      <c r="AN85" cm="1">
        <f t="array" ref="AN85">$Y85*INDEX(RefCapacity!$D$2:$D$526,MATCH(1,(RefCapacity!$A$2:$A$526=RefCapacityProj!$D85)*(RefCapacity!$B$2:$B$526=2019)*(RefCapacity!$C$2:$C$526=AG$1),0))/SUMIFS(RefCapacity!$D$2:$D$526,RefCapacity!$A$2:$A$526,RefCapacityProj!$D85,RefCapacity!$B$2:$B$526,2019)</f>
        <v>12.660073862760395</v>
      </c>
      <c r="AO85" cm="1">
        <f t="array" ref="AO85">$Y85*INDEX(RefCapacity!$D$2:$D$526,MATCH(1,(RefCapacity!$A$2:$A$526=RefCapacityProj!$D85)*(RefCapacity!$B$2:$B$526=2019)*(RefCapacity!$C$2:$C$526=AH$1),0))/SUMIFS(RefCapacity!$D$2:$D$526,RefCapacity!$A$2:$A$526,RefCapacityProj!$D85,RefCapacity!$B$2:$B$526,2019)</f>
        <v>253.6035667154589</v>
      </c>
      <c r="AP85" cm="1">
        <f t="array" ref="AP85">$Y85*INDEX(RefCapacity!$D$2:$D$526,MATCH(1,(RefCapacity!$A$2:$A$526=RefCapacityProj!$D85)*(RefCapacity!$B$2:$B$526=2019)*(RefCapacity!$C$2:$C$526=AI$1),0))/SUMIFS(RefCapacity!$D$2:$D$526,RefCapacity!$A$2:$A$526,RefCapacityProj!$D85,RefCapacity!$B$2:$B$526,2019)</f>
        <v>0</v>
      </c>
      <c r="AQ85" cm="1">
        <f t="array" ref="AQ85">$Y85*INDEX(RefCapacity!$D$2:$D$526,MATCH(1,(RefCapacity!$A$2:$A$526=RefCapacityProj!$D85)*(RefCapacity!$B$2:$B$526=2019)*(RefCapacity!$C$2:$C$526=AJ$1),0))/SUMIFS(RefCapacity!$D$2:$D$526,RefCapacity!$A$2:$A$526,RefCapacityProj!$D85,RefCapacity!$B$2:$B$526,2019)</f>
        <v>75.669406995809268</v>
      </c>
      <c r="AR85" cm="1">
        <f t="array" ref="AR85">$Y85*INDEX(RefCapacity!$D$2:$D$526,MATCH(1,(RefCapacity!$A$2:$A$526=RefCapacityProj!$D85)*(RefCapacity!$B$2:$B$526=2019)*(RefCapacity!$C$2:$C$526=AK$1),0))/SUMIFS(RefCapacity!$D$2:$D$526,RefCapacity!$A$2:$A$526,RefCapacityProj!$D85,RefCapacity!$B$2:$B$526,2019)</f>
        <v>60.390007506270841</v>
      </c>
      <c r="AS85" cm="1">
        <f t="array" ref="AS85">$Y85*INDEX(RefCapacity!$D$2:$D$526,MATCH(1,(RefCapacity!$A$2:$A$526=RefCapacityProj!$D85)*(RefCapacity!$B$2:$B$526=2019)*(RefCapacity!$C$2:$C$526=AL$1),0))/SUMIFS(RefCapacity!$D$2:$D$526,RefCapacity!$A$2:$A$526,RefCapacityProj!$D85,RefCapacity!$B$2:$B$526,2019)</f>
        <v>0</v>
      </c>
      <c r="AT85" cm="1">
        <f t="array" ref="AT85">$Y85*INDEX(RefCapacity!$D$2:$D$526,MATCH(1,(RefCapacity!$A$2:$A$526=RefCapacityProj!$D85)*(RefCapacity!$B$2:$B$526=2019)*(RefCapacity!$C$2:$C$526=AM$1),0))/SUMIFS(RefCapacity!$D$2:$D$526,RefCapacity!$A$2:$A$526,RefCapacityProj!$D85,RefCapacity!$B$2:$B$526,2019)</f>
        <v>69.193851974052507</v>
      </c>
      <c r="AU85" cm="1">
        <f t="array" ref="AU85">INDEX(RefCapacity!$D$2:$D$526,MATCH(1,(RefCapacity!$A$2:$A$526=RefCapacityProj!$D85)*(RefCapacity!$B$2:$B$526=2019)*(RefCapacity!$C$2:$C$526=RefCapacityProj!AG$1),0))*IF($C85=2035,1+VLOOKUP(AG$1,RefCapacity!$H$2:$L$8,2,FALSE),1+VLOOKUP(AG$1,RefCapacity!$H$2:$L$8,4,FALSE))</f>
        <v>91.42693476369206</v>
      </c>
      <c r="AV85" cm="1">
        <f t="array" ref="AV85">INDEX(RefCapacity!$D$2:$D$526,MATCH(1,(RefCapacity!$A$2:$A$526=RefCapacityProj!$D85)*(RefCapacity!$B$2:$B$526=2019)*(RefCapacity!$C$2:$C$526=RefCapacityProj!AH$1),0))*IF($C85=2035,1+VLOOKUP(AH$1,RefCapacity!$H$2:$L$8,2,FALSE),1+VLOOKUP(AH$1,RefCapacity!$H$2:$L$8,4,FALSE))</f>
        <v>892.71066470160065</v>
      </c>
      <c r="AW85" cm="1">
        <f t="array" ref="AW85">INDEX(RefCapacity!$D$2:$D$526,MATCH(1,(RefCapacity!$A$2:$A$526=RefCapacityProj!$D85)*(RefCapacity!$B$2:$B$526=2019)*(RefCapacity!$C$2:$C$526=RefCapacityProj!AI$1),0))*IF($C85=2035,1+VLOOKUP(AI$1,RefCapacity!$H$2:$L$8,2,FALSE),1+VLOOKUP(AI$1,RefCapacity!$H$2:$L$8,4,FALSE))</f>
        <v>0</v>
      </c>
      <c r="AX85" cm="1">
        <f t="array" ref="AX85">INDEX(RefCapacity!$D$2:$D$526,MATCH(1,(RefCapacity!$A$2:$A$526=RefCapacityProj!$D85)*(RefCapacity!$B$2:$B$526=2019)*(RefCapacity!$C$2:$C$526=RefCapacityProj!AJ$1),0))*IF($C85=2035,1+VLOOKUP(AJ$1,RefCapacity!$H$2:$L$8,2,FALSE),1+VLOOKUP(AJ$1,RefCapacity!$H$2:$L$8,4,FALSE))</f>
        <v>378.33333333333331</v>
      </c>
      <c r="AY85" cm="1">
        <f t="array" ref="AY85">INDEX(RefCapacity!$D$2:$D$526,MATCH(1,(RefCapacity!$A$2:$A$526=RefCapacityProj!$D85)*(RefCapacity!$B$2:$B$526=2019)*(RefCapacity!$C$2:$C$526=RefCapacityProj!AK$1),0))*IF($C85=2035,1+VLOOKUP(AK$1,RefCapacity!$H$2:$L$8,2,FALSE),1+VLOOKUP(AK$1,RefCapacity!$H$2:$L$8,4,FALSE))</f>
        <v>195.80557682200353</v>
      </c>
      <c r="AZ85" cm="1">
        <f t="array" ref="AZ85">INDEX(RefCapacity!$D$2:$D$526,MATCH(1,(RefCapacity!$A$2:$A$526=RefCapacityProj!$D85)*(RefCapacity!$B$2:$B$526=2019)*(RefCapacity!$C$2:$C$526=RefCapacityProj!AL$1),0))*IF($C85=2035,1+VLOOKUP(AL$1,RefCapacity!$H$2:$L$8,2,FALSE),1+VLOOKUP(AL$1,RefCapacity!$H$2:$L$8,4,FALSE))</f>
        <v>0</v>
      </c>
      <c r="BA85" cm="1">
        <f t="array" ref="BA85">INDEX(RefCapacity!$D$2:$D$526,MATCH(1,(RefCapacity!$A$2:$A$526=RefCapacityProj!$D85)*(RefCapacity!$B$2:$B$526=2019)*(RefCapacity!$C$2:$C$526=RefCapacityProj!AM$1),0))*IF($C85=2035,1+VLOOKUP(AM$1,RefCapacity!$H$2:$L$8,2,FALSE),1+VLOOKUP(AM$1,RefCapacity!$H$2:$L$8,4,FALSE))</f>
        <v>187.81193219368552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f t="shared" si="12"/>
        <v>475.45646271995713</v>
      </c>
      <c r="BJ85">
        <f t="shared" si="13"/>
        <v>3.9395556656052122</v>
      </c>
      <c r="BK85">
        <f t="shared" si="14"/>
        <v>1.0000270404970202E-2</v>
      </c>
      <c r="BL85" cm="1">
        <f t="array" ref="BL85">AG85/$BI85*INDEX('GHG Emission'!$C$2:$C$1121,MATCH(1,('GHG Emission'!$D$2:$D$1121=$D85)*('GHG Emission'!$E$2:$E$1121=$C85)*('GHG Emission'!$F$2:$F$1121=$B85)*('GHG Emission'!$I$2:$I$1121=$E85)*('GHG Emission'!$J$2:$J$1121=$F85)*('GHG Emission'!$K$2:$K$1121=AG$1),0))+AH85/$BI85*INDEX('GHG Emission'!$C$2:$C$1121,MATCH(1,('GHG Emission'!$D$2:$D$1121=$D85)*('GHG Emission'!$E$2:$E$1121=$C85)*('GHG Emission'!$F$2:$F$1121=$B85)*('GHG Emission'!$I$2:$I$1121=$E85)*('GHG Emission'!$J$2:$J$1121=$F85)*('GHG Emission'!$K$2:$K$1121=AH$1),0))+AI85/$BI85*INDEX('GHG Emission'!$C$2:$C$1121,MATCH(1,('GHG Emission'!$D$2:$D$1121=$D85)*('GHG Emission'!$E$2:$E$1121=$C85)*('GHG Emission'!$F$2:$F$1121=$B85)*('GHG Emission'!$I$2:$I$1121=$E85)*('GHG Emission'!$J$2:$J$1121=$F85)*('GHG Emission'!$K$2:$K$1121=AI$1),0))+AJ85/$BI85*INDEX('GHG Emission'!$C$2:$C$1121,MATCH(1,('GHG Emission'!$D$2:$D$1121=$D85)*('GHG Emission'!$E$2:$E$1121=$C85)*('GHG Emission'!$F$2:$F$1121=$B85)*('GHG Emission'!$I$2:$I$1121=$E85)*('GHG Emission'!$J$2:$J$1121=$F85)*('GHG Emission'!$K$2:$K$1121=AJ$1),0))+AK85/$BI85*INDEX('GHG Emission'!$C$2:$C$1121,MATCH(1,('GHG Emission'!$D$2:$D$1121=$D85)*('GHG Emission'!$E$2:$E$1121=$C85)*('GHG Emission'!$F$2:$F$1121=$B85)*('GHG Emission'!$I$2:$I$1121=$E85)*('GHG Emission'!$J$2:$J$1121=$F85)*('GHG Emission'!$K$2:$K$1121=AK$1),0))+AL85/$BI85*INDEX('GHG Emission'!$C$2:$C$1121,MATCH(1,('GHG Emission'!$D$2:$D$1121=$D85)*('GHG Emission'!$E$2:$E$1121=$C85)*('GHG Emission'!$F$2:$F$1121=$B85)*('GHG Emission'!$I$2:$I$1121=$E85)*('GHG Emission'!$J$2:$J$1121=$F85)*('GHG Emission'!$K$2:$K$1121=AL$1),0))+AM85/$BI85*INDEX('GHG Emission'!$C$2:$C$1121,MATCH(1,('GHG Emission'!$D$2:$D$1121=$D85)*('GHG Emission'!$E$2:$E$1121=$C85)*('GHG Emission'!$F$2:$F$1121=$B85)*('GHG Emission'!$I$2:$I$1121=$E85)*('GHG Emission'!$J$2:$J$1121=$F85)*('GHG Emission'!$K$2:$K$1121=AM$1),0))</f>
        <v>30.8541794498678</v>
      </c>
      <c r="BM85" t="str">
        <f t="shared" si="15"/>
        <v>LIGHT/SOUR</v>
      </c>
    </row>
    <row r="86" spans="1:65" hidden="1" x14ac:dyDescent="0.25">
      <c r="A86">
        <v>85</v>
      </c>
      <c r="B86" t="s">
        <v>471</v>
      </c>
      <c r="C86">
        <v>2050</v>
      </c>
      <c r="D86">
        <v>1</v>
      </c>
      <c r="E86" t="s">
        <v>466</v>
      </c>
      <c r="F86" t="s">
        <v>467</v>
      </c>
      <c r="G86">
        <v>258.56592002123028</v>
      </c>
      <c r="H86">
        <v>127.36328456880523</v>
      </c>
      <c r="I86">
        <v>191.73364259885309</v>
      </c>
      <c r="J86">
        <v>67.563914501729741</v>
      </c>
      <c r="K86">
        <v>150.322538005761</v>
      </c>
      <c r="L86">
        <v>0</v>
      </c>
      <c r="M86">
        <v>0</v>
      </c>
      <c r="N86">
        <v>0</v>
      </c>
      <c r="O86">
        <v>0</v>
      </c>
      <c r="P86">
        <v>95.075159029184661</v>
      </c>
      <c r="Q86">
        <v>0</v>
      </c>
      <c r="R86">
        <v>0</v>
      </c>
      <c r="S86">
        <v>0</v>
      </c>
      <c r="T86">
        <v>10.451643824017232</v>
      </c>
      <c r="U86">
        <v>0</v>
      </c>
      <c r="V86">
        <v>0</v>
      </c>
      <c r="W86">
        <v>0</v>
      </c>
      <c r="X86">
        <f t="shared" si="8"/>
        <v>901.07610254958115</v>
      </c>
      <c r="Y86">
        <f>X86*VLOOKUP($D86,'LinearReg Model'!$S$2:$T$6,2,FALSE)</f>
        <v>301.98278314095245</v>
      </c>
      <c r="Z86">
        <f t="shared" si="9"/>
        <v>0.28695236649781514</v>
      </c>
      <c r="AA86">
        <f t="shared" si="10"/>
        <v>0.2127829625670303</v>
      </c>
      <c r="AB86">
        <f t="shared" si="11"/>
        <v>0.14134575782049125</v>
      </c>
      <c r="AC86">
        <v>28.267512206646213</v>
      </c>
      <c r="AD86">
        <v>0.27799592561789516</v>
      </c>
      <c r="AE86" s="2">
        <f>VLOOKUP($D86,'MultiReg Model'!$A$5:$F$9,2,FALSE)+AC86*VLOOKUP($D86,'MultiReg Model'!$A$5:$F$9,3,FALSE)+Z86*VLOOKUP($D86,'MultiReg Model'!$A$5:$F$9,4,FALSE)+AA86*VLOOKUP($D86,'MultiReg Model'!$A$5:$F$9,5,FALSE)+AB86*VLOOKUP($D86,'MultiReg Model'!$A$5:$F$9,6,FALSE)</f>
        <v>7.996055376687254</v>
      </c>
      <c r="AF86" cm="1">
        <f t="array" ref="AF86">MMULT($AG86:$AM86,'Avg CI Index'!$C$2:$C$8)/BI86</f>
        <v>8.0060555449450579</v>
      </c>
      <c r="AG86">
        <v>24.441641175859235</v>
      </c>
      <c r="AH86">
        <v>165.37425637709649</v>
      </c>
      <c r="AI86">
        <v>0</v>
      </c>
      <c r="AJ86">
        <v>44.502242022212954</v>
      </c>
      <c r="AK86">
        <v>33.743799507007274</v>
      </c>
      <c r="AL86">
        <v>0</v>
      </c>
      <c r="AM86">
        <v>35.823830427607803</v>
      </c>
      <c r="AN86" cm="1">
        <f t="array" ref="AN86">$Y86*INDEX(RefCapacity!$D$2:$D$526,MATCH(1,(RefCapacity!$A$2:$A$526=RefCapacityProj!$D86)*(RefCapacity!$B$2:$B$526=2019)*(RefCapacity!$C$2:$C$526=AG$1),0))/SUMIFS(RefCapacity!$D$2:$D$526,RefCapacity!$A$2:$A$526,RefCapacityProj!$D86,RefCapacity!$B$2:$B$526,2019)</f>
        <v>8.1081383989603584</v>
      </c>
      <c r="AO86" cm="1">
        <f t="array" ref="AO86">$Y86*INDEX(RefCapacity!$D$2:$D$526,MATCH(1,(RefCapacity!$A$2:$A$526=RefCapacityProj!$D86)*(RefCapacity!$B$2:$B$526=2019)*(RefCapacity!$C$2:$C$526=AH$1),0))/SUMIFS(RefCapacity!$D$2:$D$526,RefCapacity!$A$2:$A$526,RefCapacityProj!$D86,RefCapacity!$B$2:$B$526,2019)</f>
        <v>162.42028598643367</v>
      </c>
      <c r="AP86" cm="1">
        <f t="array" ref="AP86">$Y86*INDEX(RefCapacity!$D$2:$D$526,MATCH(1,(RefCapacity!$A$2:$A$526=RefCapacityProj!$D86)*(RefCapacity!$B$2:$B$526=2019)*(RefCapacity!$C$2:$C$526=AI$1),0))/SUMIFS(RefCapacity!$D$2:$D$526,RefCapacity!$A$2:$A$526,RefCapacityProj!$D86,RefCapacity!$B$2:$B$526,2019)</f>
        <v>0</v>
      </c>
      <c r="AQ86" cm="1">
        <f t="array" ref="AQ86">$Y86*INDEX(RefCapacity!$D$2:$D$526,MATCH(1,(RefCapacity!$A$2:$A$526=RefCapacityProj!$D86)*(RefCapacity!$B$2:$B$526=2019)*(RefCapacity!$C$2:$C$526=AJ$1),0))/SUMIFS(RefCapacity!$D$2:$D$526,RefCapacity!$A$2:$A$526,RefCapacityProj!$D86,RefCapacity!$B$2:$B$526,2019)</f>
        <v>48.462436407579148</v>
      </c>
      <c r="AR86" cm="1">
        <f t="array" ref="AR86">$Y86*INDEX(RefCapacity!$D$2:$D$526,MATCH(1,(RefCapacity!$A$2:$A$526=RefCapacityProj!$D86)*(RefCapacity!$B$2:$B$526=2019)*(RefCapacity!$C$2:$C$526=AK$1),0))/SUMIFS(RefCapacity!$D$2:$D$526,RefCapacity!$A$2:$A$526,RefCapacityProj!$D86,RefCapacity!$B$2:$B$526,2019)</f>
        <v>38.676752132971821</v>
      </c>
      <c r="AS86" cm="1">
        <f t="array" ref="AS86">$Y86*INDEX(RefCapacity!$D$2:$D$526,MATCH(1,(RefCapacity!$A$2:$A$526=RefCapacityProj!$D86)*(RefCapacity!$B$2:$B$526=2019)*(RefCapacity!$C$2:$C$526=AL$1),0))/SUMIFS(RefCapacity!$D$2:$D$526,RefCapacity!$A$2:$A$526,RefCapacityProj!$D86,RefCapacity!$B$2:$B$526,2019)</f>
        <v>0</v>
      </c>
      <c r="AT86" cm="1">
        <f t="array" ref="AT86">$Y86*INDEX(RefCapacity!$D$2:$D$526,MATCH(1,(RefCapacity!$A$2:$A$526=RefCapacityProj!$D86)*(RefCapacity!$B$2:$B$526=2019)*(RefCapacity!$C$2:$C$526=AM$1),0))/SUMIFS(RefCapacity!$D$2:$D$526,RefCapacity!$A$2:$A$526,RefCapacityProj!$D86,RefCapacity!$B$2:$B$526,2019)</f>
        <v>44.31517021500747</v>
      </c>
      <c r="AU86" cm="1">
        <f t="array" ref="AU86">INDEX(RefCapacity!$D$2:$D$526,MATCH(1,(RefCapacity!$A$2:$A$526=RefCapacityProj!$D86)*(RefCapacity!$B$2:$B$526=2019)*(RefCapacity!$C$2:$C$526=RefCapacityProj!AG$1),0))*IF($C86=2035,1+VLOOKUP(AG$1,RefCapacity!$H$2:$L$8,2,FALSE),1+VLOOKUP(AG$1,RefCapacity!$H$2:$L$8,4,FALSE))</f>
        <v>149.79386952738412</v>
      </c>
      <c r="AV86" cm="1">
        <f t="array" ref="AV86">INDEX(RefCapacity!$D$2:$D$526,MATCH(1,(RefCapacity!$A$2:$A$526=RefCapacityProj!$D86)*(RefCapacity!$B$2:$B$526=2019)*(RefCapacity!$C$2:$C$526=RefCapacityProj!AH$1),0))*IF($C86=2035,1+VLOOKUP(AH$1,RefCapacity!$H$2:$L$8,2,FALSE),1+VLOOKUP(AH$1,RefCapacity!$H$2:$L$8,4,FALSE))</f>
        <v>1123.1713294032013</v>
      </c>
      <c r="AW86" cm="1">
        <f t="array" ref="AW86">INDEX(RefCapacity!$D$2:$D$526,MATCH(1,(RefCapacity!$A$2:$A$526=RefCapacityProj!$D86)*(RefCapacity!$B$2:$B$526=2019)*(RefCapacity!$C$2:$C$526=RefCapacityProj!AI$1),0))*IF($C86=2035,1+VLOOKUP(AI$1,RefCapacity!$H$2:$L$8,2,FALSE),1+VLOOKUP(AI$1,RefCapacity!$H$2:$L$8,4,FALSE))</f>
        <v>0</v>
      </c>
      <c r="AX86" cm="1">
        <f t="array" ref="AX86">INDEX(RefCapacity!$D$2:$D$526,MATCH(1,(RefCapacity!$A$2:$A$526=RefCapacityProj!$D86)*(RefCapacity!$B$2:$B$526=2019)*(RefCapacity!$C$2:$C$526=RefCapacityProj!AJ$1),0))*IF($C86=2035,1+VLOOKUP(AJ$1,RefCapacity!$H$2:$L$8,2,FALSE),1+VLOOKUP(AJ$1,RefCapacity!$H$2:$L$8,4,FALSE))</f>
        <v>559.06666666666661</v>
      </c>
      <c r="AY86" cm="1">
        <f t="array" ref="AY86">INDEX(RefCapacity!$D$2:$D$526,MATCH(1,(RefCapacity!$A$2:$A$526=RefCapacityProj!$D86)*(RefCapacity!$B$2:$B$526=2019)*(RefCapacity!$C$2:$C$526=RefCapacityProj!AK$1),0))*IF($C86=2035,1+VLOOKUP(AK$1,RefCapacity!$H$2:$L$8,2,FALSE),1+VLOOKUP(AK$1,RefCapacity!$H$2:$L$8,4,FALSE))</f>
        <v>233.91115364400702</v>
      </c>
      <c r="AZ86" cm="1">
        <f t="array" ref="AZ86">INDEX(RefCapacity!$D$2:$D$526,MATCH(1,(RefCapacity!$A$2:$A$526=RefCapacityProj!$D86)*(RefCapacity!$B$2:$B$526=2019)*(RefCapacity!$C$2:$C$526=RefCapacityProj!AL$1),0))*IF($C86=2035,1+VLOOKUP(AL$1,RefCapacity!$H$2:$L$8,2,FALSE),1+VLOOKUP(AL$1,RefCapacity!$H$2:$L$8,4,FALSE))</f>
        <v>0</v>
      </c>
      <c r="BA86" cm="1">
        <f t="array" ref="BA86">INDEX(RefCapacity!$D$2:$D$526,MATCH(1,(RefCapacity!$A$2:$A$526=RefCapacityProj!$D86)*(RefCapacity!$B$2:$B$526=2019)*(RefCapacity!$C$2:$C$526=RefCapacityProj!AM$1),0))*IF($C86=2035,1+VLOOKUP(AM$1,RefCapacity!$H$2:$L$8,2,FALSE),1+VLOOKUP(AM$1,RefCapacity!$H$2:$L$8,4,FALSE))</f>
        <v>194.9338643873711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f t="shared" si="12"/>
        <v>303.88576950978376</v>
      </c>
      <c r="BJ86">
        <f t="shared" si="13"/>
        <v>1.9029863688313071</v>
      </c>
      <c r="BK86">
        <f t="shared" si="14"/>
        <v>1.0000168257803921E-2</v>
      </c>
      <c r="BL86" cm="1">
        <f t="array" ref="BL86">AG86/$BI86*INDEX('GHG Emission'!$C$2:$C$1121,MATCH(1,('GHG Emission'!$D$2:$D$1121=$D86)*('GHG Emission'!$E$2:$E$1121=$C86)*('GHG Emission'!$F$2:$F$1121=$B86)*('GHG Emission'!$I$2:$I$1121=$E86)*('GHG Emission'!$J$2:$J$1121=$F86)*('GHG Emission'!$K$2:$K$1121=AG$1),0))+AH86/$BI86*INDEX('GHG Emission'!$C$2:$C$1121,MATCH(1,('GHG Emission'!$D$2:$D$1121=$D86)*('GHG Emission'!$E$2:$E$1121=$C86)*('GHG Emission'!$F$2:$F$1121=$B86)*('GHG Emission'!$I$2:$I$1121=$E86)*('GHG Emission'!$J$2:$J$1121=$F86)*('GHG Emission'!$K$2:$K$1121=AH$1),0))+AI86/$BI86*INDEX('GHG Emission'!$C$2:$C$1121,MATCH(1,('GHG Emission'!$D$2:$D$1121=$D86)*('GHG Emission'!$E$2:$E$1121=$C86)*('GHG Emission'!$F$2:$F$1121=$B86)*('GHG Emission'!$I$2:$I$1121=$E86)*('GHG Emission'!$J$2:$J$1121=$F86)*('GHG Emission'!$K$2:$K$1121=AI$1),0))+AJ86/$BI86*INDEX('GHG Emission'!$C$2:$C$1121,MATCH(1,('GHG Emission'!$D$2:$D$1121=$D86)*('GHG Emission'!$E$2:$E$1121=$C86)*('GHG Emission'!$F$2:$F$1121=$B86)*('GHG Emission'!$I$2:$I$1121=$E86)*('GHG Emission'!$J$2:$J$1121=$F86)*('GHG Emission'!$K$2:$K$1121=AJ$1),0))+AK86/$BI86*INDEX('GHG Emission'!$C$2:$C$1121,MATCH(1,('GHG Emission'!$D$2:$D$1121=$D86)*('GHG Emission'!$E$2:$E$1121=$C86)*('GHG Emission'!$F$2:$F$1121=$B86)*('GHG Emission'!$I$2:$I$1121=$E86)*('GHG Emission'!$J$2:$J$1121=$F86)*('GHG Emission'!$K$2:$K$1121=AK$1),0))+AL86/$BI86*INDEX('GHG Emission'!$C$2:$C$1121,MATCH(1,('GHG Emission'!$D$2:$D$1121=$D86)*('GHG Emission'!$E$2:$E$1121=$C86)*('GHG Emission'!$F$2:$F$1121=$B86)*('GHG Emission'!$I$2:$I$1121=$E86)*('GHG Emission'!$J$2:$J$1121=$F86)*('GHG Emission'!$K$2:$K$1121=AL$1),0))+AM86/$BI86*INDEX('GHG Emission'!$C$2:$C$1121,MATCH(1,('GHG Emission'!$D$2:$D$1121=$D86)*('GHG Emission'!$E$2:$E$1121=$C86)*('GHG Emission'!$F$2:$F$1121=$B86)*('GHG Emission'!$I$2:$I$1121=$E86)*('GHG Emission'!$J$2:$J$1121=$F86)*('GHG Emission'!$K$2:$K$1121=AM$1),0))</f>
        <v>28.036808446616845</v>
      </c>
      <c r="BM86" t="str">
        <f t="shared" si="15"/>
        <v>HEAVY/SWEET</v>
      </c>
    </row>
    <row r="87" spans="1:65" hidden="1" x14ac:dyDescent="0.25">
      <c r="A87">
        <v>86</v>
      </c>
      <c r="B87" t="s">
        <v>471</v>
      </c>
      <c r="C87">
        <v>2050</v>
      </c>
      <c r="D87">
        <v>1</v>
      </c>
      <c r="E87" t="s">
        <v>466</v>
      </c>
      <c r="F87" t="s">
        <v>468</v>
      </c>
      <c r="G87">
        <v>258.56592002123028</v>
      </c>
      <c r="H87">
        <v>127.36328456880523</v>
      </c>
      <c r="I87">
        <v>191.73364259885309</v>
      </c>
      <c r="J87">
        <v>67.563914501729741</v>
      </c>
      <c r="K87">
        <v>150.322538005761</v>
      </c>
      <c r="L87">
        <v>0</v>
      </c>
      <c r="M87">
        <v>0</v>
      </c>
      <c r="N87">
        <v>0</v>
      </c>
      <c r="O87">
        <v>0</v>
      </c>
      <c r="P87">
        <v>95.075159029184661</v>
      </c>
      <c r="Q87">
        <v>0</v>
      </c>
      <c r="R87">
        <v>0</v>
      </c>
      <c r="S87">
        <v>0</v>
      </c>
      <c r="T87">
        <v>10.451643824017232</v>
      </c>
      <c r="U87">
        <v>0</v>
      </c>
      <c r="V87">
        <v>0</v>
      </c>
      <c r="W87">
        <v>0</v>
      </c>
      <c r="X87">
        <f t="shared" si="8"/>
        <v>901.07610254958115</v>
      </c>
      <c r="Y87">
        <f>X87*VLOOKUP($D87,'LinearReg Model'!$S$2:$T$6,2,FALSE)</f>
        <v>301.98278314095245</v>
      </c>
      <c r="Z87">
        <f t="shared" si="9"/>
        <v>0.28695236649781514</v>
      </c>
      <c r="AA87">
        <f t="shared" si="10"/>
        <v>0.2127829625670303</v>
      </c>
      <c r="AB87">
        <f t="shared" si="11"/>
        <v>0.14134575782049125</v>
      </c>
      <c r="AC87">
        <v>28.267512206646213</v>
      </c>
      <c r="AD87">
        <v>1.8266228074543227</v>
      </c>
      <c r="AE87" s="2">
        <f>VLOOKUP($D87,'MultiReg Model'!$A$5:$F$9,2,FALSE)+AC87*VLOOKUP($D87,'MultiReg Model'!$A$5:$F$9,3,FALSE)+Z87*VLOOKUP($D87,'MultiReg Model'!$A$5:$F$9,4,FALSE)+AA87*VLOOKUP($D87,'MultiReg Model'!$A$5:$F$9,5,FALSE)+AB87*VLOOKUP($D87,'MultiReg Model'!$A$5:$F$9,6,FALSE)</f>
        <v>7.996055376687254</v>
      </c>
      <c r="AF87" cm="1">
        <f t="array" ref="AF87">MMULT($AG87:$AM87,'Avg CI Index'!$C$2:$C$8)/BI87</f>
        <v>8.0060555449450579</v>
      </c>
      <c r="AG87">
        <v>24.441641175859235</v>
      </c>
      <c r="AH87">
        <v>165.37425637709649</v>
      </c>
      <c r="AI87">
        <v>0</v>
      </c>
      <c r="AJ87">
        <v>44.502242022212954</v>
      </c>
      <c r="AK87">
        <v>33.743799507007274</v>
      </c>
      <c r="AL87">
        <v>0</v>
      </c>
      <c r="AM87">
        <v>35.823830427607803</v>
      </c>
      <c r="AN87" cm="1">
        <f t="array" ref="AN87">$Y87*INDEX(RefCapacity!$D$2:$D$526,MATCH(1,(RefCapacity!$A$2:$A$526=RefCapacityProj!$D87)*(RefCapacity!$B$2:$B$526=2019)*(RefCapacity!$C$2:$C$526=AG$1),0))/SUMIFS(RefCapacity!$D$2:$D$526,RefCapacity!$A$2:$A$526,RefCapacityProj!$D87,RefCapacity!$B$2:$B$526,2019)</f>
        <v>8.1081383989603584</v>
      </c>
      <c r="AO87" cm="1">
        <f t="array" ref="AO87">$Y87*INDEX(RefCapacity!$D$2:$D$526,MATCH(1,(RefCapacity!$A$2:$A$526=RefCapacityProj!$D87)*(RefCapacity!$B$2:$B$526=2019)*(RefCapacity!$C$2:$C$526=AH$1),0))/SUMIFS(RefCapacity!$D$2:$D$526,RefCapacity!$A$2:$A$526,RefCapacityProj!$D87,RefCapacity!$B$2:$B$526,2019)</f>
        <v>162.42028598643367</v>
      </c>
      <c r="AP87" cm="1">
        <f t="array" ref="AP87">$Y87*INDEX(RefCapacity!$D$2:$D$526,MATCH(1,(RefCapacity!$A$2:$A$526=RefCapacityProj!$D87)*(RefCapacity!$B$2:$B$526=2019)*(RefCapacity!$C$2:$C$526=AI$1),0))/SUMIFS(RefCapacity!$D$2:$D$526,RefCapacity!$A$2:$A$526,RefCapacityProj!$D87,RefCapacity!$B$2:$B$526,2019)</f>
        <v>0</v>
      </c>
      <c r="AQ87" cm="1">
        <f t="array" ref="AQ87">$Y87*INDEX(RefCapacity!$D$2:$D$526,MATCH(1,(RefCapacity!$A$2:$A$526=RefCapacityProj!$D87)*(RefCapacity!$B$2:$B$526=2019)*(RefCapacity!$C$2:$C$526=AJ$1),0))/SUMIFS(RefCapacity!$D$2:$D$526,RefCapacity!$A$2:$A$526,RefCapacityProj!$D87,RefCapacity!$B$2:$B$526,2019)</f>
        <v>48.462436407579148</v>
      </c>
      <c r="AR87" cm="1">
        <f t="array" ref="AR87">$Y87*INDEX(RefCapacity!$D$2:$D$526,MATCH(1,(RefCapacity!$A$2:$A$526=RefCapacityProj!$D87)*(RefCapacity!$B$2:$B$526=2019)*(RefCapacity!$C$2:$C$526=AK$1),0))/SUMIFS(RefCapacity!$D$2:$D$526,RefCapacity!$A$2:$A$526,RefCapacityProj!$D87,RefCapacity!$B$2:$B$526,2019)</f>
        <v>38.676752132971821</v>
      </c>
      <c r="AS87" cm="1">
        <f t="array" ref="AS87">$Y87*INDEX(RefCapacity!$D$2:$D$526,MATCH(1,(RefCapacity!$A$2:$A$526=RefCapacityProj!$D87)*(RefCapacity!$B$2:$B$526=2019)*(RefCapacity!$C$2:$C$526=AL$1),0))/SUMIFS(RefCapacity!$D$2:$D$526,RefCapacity!$A$2:$A$526,RefCapacityProj!$D87,RefCapacity!$B$2:$B$526,2019)</f>
        <v>0</v>
      </c>
      <c r="AT87" cm="1">
        <f t="array" ref="AT87">$Y87*INDEX(RefCapacity!$D$2:$D$526,MATCH(1,(RefCapacity!$A$2:$A$526=RefCapacityProj!$D87)*(RefCapacity!$B$2:$B$526=2019)*(RefCapacity!$C$2:$C$526=AM$1),0))/SUMIFS(RefCapacity!$D$2:$D$526,RefCapacity!$A$2:$A$526,RefCapacityProj!$D87,RefCapacity!$B$2:$B$526,2019)</f>
        <v>44.31517021500747</v>
      </c>
      <c r="AU87" cm="1">
        <f t="array" ref="AU87">INDEX(RefCapacity!$D$2:$D$526,MATCH(1,(RefCapacity!$A$2:$A$526=RefCapacityProj!$D87)*(RefCapacity!$B$2:$B$526=2019)*(RefCapacity!$C$2:$C$526=RefCapacityProj!AG$1),0))*IF($C87=2035,1+VLOOKUP(AG$1,RefCapacity!$H$2:$L$8,2,FALSE),1+VLOOKUP(AG$1,RefCapacity!$H$2:$L$8,4,FALSE))</f>
        <v>149.79386952738412</v>
      </c>
      <c r="AV87" cm="1">
        <f t="array" ref="AV87">INDEX(RefCapacity!$D$2:$D$526,MATCH(1,(RefCapacity!$A$2:$A$526=RefCapacityProj!$D87)*(RefCapacity!$B$2:$B$526=2019)*(RefCapacity!$C$2:$C$526=RefCapacityProj!AH$1),0))*IF($C87=2035,1+VLOOKUP(AH$1,RefCapacity!$H$2:$L$8,2,FALSE),1+VLOOKUP(AH$1,RefCapacity!$H$2:$L$8,4,FALSE))</f>
        <v>1123.1713294032013</v>
      </c>
      <c r="AW87" cm="1">
        <f t="array" ref="AW87">INDEX(RefCapacity!$D$2:$D$526,MATCH(1,(RefCapacity!$A$2:$A$526=RefCapacityProj!$D87)*(RefCapacity!$B$2:$B$526=2019)*(RefCapacity!$C$2:$C$526=RefCapacityProj!AI$1),0))*IF($C87=2035,1+VLOOKUP(AI$1,RefCapacity!$H$2:$L$8,2,FALSE),1+VLOOKUP(AI$1,RefCapacity!$H$2:$L$8,4,FALSE))</f>
        <v>0</v>
      </c>
      <c r="AX87" cm="1">
        <f t="array" ref="AX87">INDEX(RefCapacity!$D$2:$D$526,MATCH(1,(RefCapacity!$A$2:$A$526=RefCapacityProj!$D87)*(RefCapacity!$B$2:$B$526=2019)*(RefCapacity!$C$2:$C$526=RefCapacityProj!AJ$1),0))*IF($C87=2035,1+VLOOKUP(AJ$1,RefCapacity!$H$2:$L$8,2,FALSE),1+VLOOKUP(AJ$1,RefCapacity!$H$2:$L$8,4,FALSE))</f>
        <v>559.06666666666661</v>
      </c>
      <c r="AY87" cm="1">
        <f t="array" ref="AY87">INDEX(RefCapacity!$D$2:$D$526,MATCH(1,(RefCapacity!$A$2:$A$526=RefCapacityProj!$D87)*(RefCapacity!$B$2:$B$526=2019)*(RefCapacity!$C$2:$C$526=RefCapacityProj!AK$1),0))*IF($C87=2035,1+VLOOKUP(AK$1,RefCapacity!$H$2:$L$8,2,FALSE),1+VLOOKUP(AK$1,RefCapacity!$H$2:$L$8,4,FALSE))</f>
        <v>233.91115364400702</v>
      </c>
      <c r="AZ87" cm="1">
        <f t="array" ref="AZ87">INDEX(RefCapacity!$D$2:$D$526,MATCH(1,(RefCapacity!$A$2:$A$526=RefCapacityProj!$D87)*(RefCapacity!$B$2:$B$526=2019)*(RefCapacity!$C$2:$C$526=RefCapacityProj!AL$1),0))*IF($C87=2035,1+VLOOKUP(AL$1,RefCapacity!$H$2:$L$8,2,FALSE),1+VLOOKUP(AL$1,RefCapacity!$H$2:$L$8,4,FALSE))</f>
        <v>0</v>
      </c>
      <c r="BA87" cm="1">
        <f t="array" ref="BA87">INDEX(RefCapacity!$D$2:$D$526,MATCH(1,(RefCapacity!$A$2:$A$526=RefCapacityProj!$D87)*(RefCapacity!$B$2:$B$526=2019)*(RefCapacity!$C$2:$C$526=RefCapacityProj!AM$1),0))*IF($C87=2035,1+VLOOKUP(AM$1,RefCapacity!$H$2:$L$8,2,FALSE),1+VLOOKUP(AM$1,RefCapacity!$H$2:$L$8,4,FALSE))</f>
        <v>194.9338643873711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f t="shared" si="12"/>
        <v>303.88576950978376</v>
      </c>
      <c r="BJ87">
        <f t="shared" si="13"/>
        <v>1.9029863688313071</v>
      </c>
      <c r="BK87">
        <f t="shared" si="14"/>
        <v>1.0000168257803921E-2</v>
      </c>
      <c r="BL87" cm="1">
        <f t="array" ref="BL87">AG87/$BI87*INDEX('GHG Emission'!$C$2:$C$1121,MATCH(1,('GHG Emission'!$D$2:$D$1121=$D87)*('GHG Emission'!$E$2:$E$1121=$C87)*('GHG Emission'!$F$2:$F$1121=$B87)*('GHG Emission'!$I$2:$I$1121=$E87)*('GHG Emission'!$J$2:$J$1121=$F87)*('GHG Emission'!$K$2:$K$1121=AG$1),0))+AH87/$BI87*INDEX('GHG Emission'!$C$2:$C$1121,MATCH(1,('GHG Emission'!$D$2:$D$1121=$D87)*('GHG Emission'!$E$2:$E$1121=$C87)*('GHG Emission'!$F$2:$F$1121=$B87)*('GHG Emission'!$I$2:$I$1121=$E87)*('GHG Emission'!$J$2:$J$1121=$F87)*('GHG Emission'!$K$2:$K$1121=AH$1),0))+AI87/$BI87*INDEX('GHG Emission'!$C$2:$C$1121,MATCH(1,('GHG Emission'!$D$2:$D$1121=$D87)*('GHG Emission'!$E$2:$E$1121=$C87)*('GHG Emission'!$F$2:$F$1121=$B87)*('GHG Emission'!$I$2:$I$1121=$E87)*('GHG Emission'!$J$2:$J$1121=$F87)*('GHG Emission'!$K$2:$K$1121=AI$1),0))+AJ87/$BI87*INDEX('GHG Emission'!$C$2:$C$1121,MATCH(1,('GHG Emission'!$D$2:$D$1121=$D87)*('GHG Emission'!$E$2:$E$1121=$C87)*('GHG Emission'!$F$2:$F$1121=$B87)*('GHG Emission'!$I$2:$I$1121=$E87)*('GHG Emission'!$J$2:$J$1121=$F87)*('GHG Emission'!$K$2:$K$1121=AJ$1),0))+AK87/$BI87*INDEX('GHG Emission'!$C$2:$C$1121,MATCH(1,('GHG Emission'!$D$2:$D$1121=$D87)*('GHG Emission'!$E$2:$E$1121=$C87)*('GHG Emission'!$F$2:$F$1121=$B87)*('GHG Emission'!$I$2:$I$1121=$E87)*('GHG Emission'!$J$2:$J$1121=$F87)*('GHG Emission'!$K$2:$K$1121=AK$1),0))+AL87/$BI87*INDEX('GHG Emission'!$C$2:$C$1121,MATCH(1,('GHG Emission'!$D$2:$D$1121=$D87)*('GHG Emission'!$E$2:$E$1121=$C87)*('GHG Emission'!$F$2:$F$1121=$B87)*('GHG Emission'!$I$2:$I$1121=$E87)*('GHG Emission'!$J$2:$J$1121=$F87)*('GHG Emission'!$K$2:$K$1121=AL$1),0))+AM87/$BI87*INDEX('GHG Emission'!$C$2:$C$1121,MATCH(1,('GHG Emission'!$D$2:$D$1121=$D87)*('GHG Emission'!$E$2:$E$1121=$C87)*('GHG Emission'!$F$2:$F$1121=$B87)*('GHG Emission'!$I$2:$I$1121=$E87)*('GHG Emission'!$J$2:$J$1121=$F87)*('GHG Emission'!$K$2:$K$1121=AM$1),0))</f>
        <v>29.897979494562456</v>
      </c>
      <c r="BM87" t="str">
        <f t="shared" si="15"/>
        <v>HEAVY/SOUR</v>
      </c>
    </row>
    <row r="88" spans="1:65" hidden="1" x14ac:dyDescent="0.25">
      <c r="A88">
        <v>87</v>
      </c>
      <c r="B88" t="s">
        <v>471</v>
      </c>
      <c r="C88">
        <v>2050</v>
      </c>
      <c r="D88">
        <v>1</v>
      </c>
      <c r="E88" t="s">
        <v>469</v>
      </c>
      <c r="F88" t="s">
        <v>467</v>
      </c>
      <c r="G88">
        <v>258.56592002123028</v>
      </c>
      <c r="H88">
        <v>127.36328456880523</v>
      </c>
      <c r="I88">
        <v>191.73364259885309</v>
      </c>
      <c r="J88">
        <v>67.563914501729741</v>
      </c>
      <c r="K88">
        <v>150.322538005761</v>
      </c>
      <c r="L88">
        <v>0</v>
      </c>
      <c r="M88">
        <v>0</v>
      </c>
      <c r="N88">
        <v>0</v>
      </c>
      <c r="O88">
        <v>0</v>
      </c>
      <c r="P88">
        <v>95.075159029184661</v>
      </c>
      <c r="Q88">
        <v>0</v>
      </c>
      <c r="R88">
        <v>0</v>
      </c>
      <c r="S88">
        <v>0</v>
      </c>
      <c r="T88">
        <v>10.451643824017232</v>
      </c>
      <c r="U88">
        <v>0</v>
      </c>
      <c r="V88">
        <v>0</v>
      </c>
      <c r="W88">
        <v>0</v>
      </c>
      <c r="X88">
        <f t="shared" si="8"/>
        <v>901.07610254958115</v>
      </c>
      <c r="Y88">
        <f>X88*VLOOKUP($D88,'LinearReg Model'!$S$2:$T$6,2,FALSE)</f>
        <v>301.98278314095245</v>
      </c>
      <c r="Z88">
        <f t="shared" si="9"/>
        <v>0.28695236649781514</v>
      </c>
      <c r="AA88">
        <f t="shared" si="10"/>
        <v>0.2127829625670303</v>
      </c>
      <c r="AB88">
        <f t="shared" si="11"/>
        <v>0.14134575782049125</v>
      </c>
      <c r="AC88">
        <v>37.317276792879753</v>
      </c>
      <c r="AD88">
        <v>0.27799592561789516</v>
      </c>
      <c r="AE88" s="2">
        <f>VLOOKUP($D88,'MultiReg Model'!$A$5:$F$9,2,FALSE)+AC88*VLOOKUP($D88,'MultiReg Model'!$A$5:$F$9,3,FALSE)+Z88*VLOOKUP($D88,'MultiReg Model'!$A$5:$F$9,4,FALSE)+AA88*VLOOKUP($D88,'MultiReg Model'!$A$5:$F$9,5,FALSE)+AB88*VLOOKUP($D88,'MultiReg Model'!$A$5:$F$9,6,FALSE)</f>
        <v>6.9176453563109828</v>
      </c>
      <c r="AF88" cm="1">
        <f t="array" ref="AF88">MMULT($AG88:$AM88,'Avg CI Index'!$C$2:$C$8)/BI88</f>
        <v>6.9276466734005542</v>
      </c>
      <c r="AG88">
        <v>64.139843666176475</v>
      </c>
      <c r="AH88">
        <v>171.80857891618004</v>
      </c>
      <c r="AI88">
        <v>0</v>
      </c>
      <c r="AJ88">
        <v>33.764979964566116</v>
      </c>
      <c r="AK88">
        <v>20.600964467987716</v>
      </c>
      <c r="AL88">
        <v>0</v>
      </c>
      <c r="AM88">
        <v>13.864545204072517</v>
      </c>
      <c r="AN88" cm="1">
        <f t="array" ref="AN88">$Y88*INDEX(RefCapacity!$D$2:$D$526,MATCH(1,(RefCapacity!$A$2:$A$526=RefCapacityProj!$D88)*(RefCapacity!$B$2:$B$526=2019)*(RefCapacity!$C$2:$C$526=AG$1),0))/SUMIFS(RefCapacity!$D$2:$D$526,RefCapacity!$A$2:$A$526,RefCapacityProj!$D88,RefCapacity!$B$2:$B$526,2019)</f>
        <v>8.1081383989603584</v>
      </c>
      <c r="AO88" cm="1">
        <f t="array" ref="AO88">$Y88*INDEX(RefCapacity!$D$2:$D$526,MATCH(1,(RefCapacity!$A$2:$A$526=RefCapacityProj!$D88)*(RefCapacity!$B$2:$B$526=2019)*(RefCapacity!$C$2:$C$526=AH$1),0))/SUMIFS(RefCapacity!$D$2:$D$526,RefCapacity!$A$2:$A$526,RefCapacityProj!$D88,RefCapacity!$B$2:$B$526,2019)</f>
        <v>162.42028598643367</v>
      </c>
      <c r="AP88" cm="1">
        <f t="array" ref="AP88">$Y88*INDEX(RefCapacity!$D$2:$D$526,MATCH(1,(RefCapacity!$A$2:$A$526=RefCapacityProj!$D88)*(RefCapacity!$B$2:$B$526=2019)*(RefCapacity!$C$2:$C$526=AI$1),0))/SUMIFS(RefCapacity!$D$2:$D$526,RefCapacity!$A$2:$A$526,RefCapacityProj!$D88,RefCapacity!$B$2:$B$526,2019)</f>
        <v>0</v>
      </c>
      <c r="AQ88" cm="1">
        <f t="array" ref="AQ88">$Y88*INDEX(RefCapacity!$D$2:$D$526,MATCH(1,(RefCapacity!$A$2:$A$526=RefCapacityProj!$D88)*(RefCapacity!$B$2:$B$526=2019)*(RefCapacity!$C$2:$C$526=AJ$1),0))/SUMIFS(RefCapacity!$D$2:$D$526,RefCapacity!$A$2:$A$526,RefCapacityProj!$D88,RefCapacity!$B$2:$B$526,2019)</f>
        <v>48.462436407579148</v>
      </c>
      <c r="AR88" cm="1">
        <f t="array" ref="AR88">$Y88*INDEX(RefCapacity!$D$2:$D$526,MATCH(1,(RefCapacity!$A$2:$A$526=RefCapacityProj!$D88)*(RefCapacity!$B$2:$B$526=2019)*(RefCapacity!$C$2:$C$526=AK$1),0))/SUMIFS(RefCapacity!$D$2:$D$526,RefCapacity!$A$2:$A$526,RefCapacityProj!$D88,RefCapacity!$B$2:$B$526,2019)</f>
        <v>38.676752132971821</v>
      </c>
      <c r="AS88" cm="1">
        <f t="array" ref="AS88">$Y88*INDEX(RefCapacity!$D$2:$D$526,MATCH(1,(RefCapacity!$A$2:$A$526=RefCapacityProj!$D88)*(RefCapacity!$B$2:$B$526=2019)*(RefCapacity!$C$2:$C$526=AL$1),0))/SUMIFS(RefCapacity!$D$2:$D$526,RefCapacity!$A$2:$A$526,RefCapacityProj!$D88,RefCapacity!$B$2:$B$526,2019)</f>
        <v>0</v>
      </c>
      <c r="AT88" cm="1">
        <f t="array" ref="AT88">$Y88*INDEX(RefCapacity!$D$2:$D$526,MATCH(1,(RefCapacity!$A$2:$A$526=RefCapacityProj!$D88)*(RefCapacity!$B$2:$B$526=2019)*(RefCapacity!$C$2:$C$526=AM$1),0))/SUMIFS(RefCapacity!$D$2:$D$526,RefCapacity!$A$2:$A$526,RefCapacityProj!$D88,RefCapacity!$B$2:$B$526,2019)</f>
        <v>44.31517021500747</v>
      </c>
      <c r="AU88" cm="1">
        <f t="array" ref="AU88">INDEX(RefCapacity!$D$2:$D$526,MATCH(1,(RefCapacity!$A$2:$A$526=RefCapacityProj!$D88)*(RefCapacity!$B$2:$B$526=2019)*(RefCapacity!$C$2:$C$526=RefCapacityProj!AG$1),0))*IF($C88=2035,1+VLOOKUP(AG$1,RefCapacity!$H$2:$L$8,2,FALSE),1+VLOOKUP(AG$1,RefCapacity!$H$2:$L$8,4,FALSE))</f>
        <v>149.79386952738412</v>
      </c>
      <c r="AV88" cm="1">
        <f t="array" ref="AV88">INDEX(RefCapacity!$D$2:$D$526,MATCH(1,(RefCapacity!$A$2:$A$526=RefCapacityProj!$D88)*(RefCapacity!$B$2:$B$526=2019)*(RefCapacity!$C$2:$C$526=RefCapacityProj!AH$1),0))*IF($C88=2035,1+VLOOKUP(AH$1,RefCapacity!$H$2:$L$8,2,FALSE),1+VLOOKUP(AH$1,RefCapacity!$H$2:$L$8,4,FALSE))</f>
        <v>1123.1713294032013</v>
      </c>
      <c r="AW88" cm="1">
        <f t="array" ref="AW88">INDEX(RefCapacity!$D$2:$D$526,MATCH(1,(RefCapacity!$A$2:$A$526=RefCapacityProj!$D88)*(RefCapacity!$B$2:$B$526=2019)*(RefCapacity!$C$2:$C$526=RefCapacityProj!AI$1),0))*IF($C88=2035,1+VLOOKUP(AI$1,RefCapacity!$H$2:$L$8,2,FALSE),1+VLOOKUP(AI$1,RefCapacity!$H$2:$L$8,4,FALSE))</f>
        <v>0</v>
      </c>
      <c r="AX88" cm="1">
        <f t="array" ref="AX88">INDEX(RefCapacity!$D$2:$D$526,MATCH(1,(RefCapacity!$A$2:$A$526=RefCapacityProj!$D88)*(RefCapacity!$B$2:$B$526=2019)*(RefCapacity!$C$2:$C$526=RefCapacityProj!AJ$1),0))*IF($C88=2035,1+VLOOKUP(AJ$1,RefCapacity!$H$2:$L$8,2,FALSE),1+VLOOKUP(AJ$1,RefCapacity!$H$2:$L$8,4,FALSE))</f>
        <v>559.06666666666661</v>
      </c>
      <c r="AY88" cm="1">
        <f t="array" ref="AY88">INDEX(RefCapacity!$D$2:$D$526,MATCH(1,(RefCapacity!$A$2:$A$526=RefCapacityProj!$D88)*(RefCapacity!$B$2:$B$526=2019)*(RefCapacity!$C$2:$C$526=RefCapacityProj!AK$1),0))*IF($C88=2035,1+VLOOKUP(AK$1,RefCapacity!$H$2:$L$8,2,FALSE),1+VLOOKUP(AK$1,RefCapacity!$H$2:$L$8,4,FALSE))</f>
        <v>233.91115364400702</v>
      </c>
      <c r="AZ88" cm="1">
        <f t="array" ref="AZ88">INDEX(RefCapacity!$D$2:$D$526,MATCH(1,(RefCapacity!$A$2:$A$526=RefCapacityProj!$D88)*(RefCapacity!$B$2:$B$526=2019)*(RefCapacity!$C$2:$C$526=RefCapacityProj!AL$1),0))*IF($C88=2035,1+VLOOKUP(AL$1,RefCapacity!$H$2:$L$8,2,FALSE),1+VLOOKUP(AL$1,RefCapacity!$H$2:$L$8,4,FALSE))</f>
        <v>0</v>
      </c>
      <c r="BA88" cm="1">
        <f t="array" ref="BA88">INDEX(RefCapacity!$D$2:$D$526,MATCH(1,(RefCapacity!$A$2:$A$526=RefCapacityProj!$D88)*(RefCapacity!$B$2:$B$526=2019)*(RefCapacity!$C$2:$C$526=RefCapacityProj!AM$1),0))*IF($C88=2035,1+VLOOKUP(AM$1,RefCapacity!$H$2:$L$8,2,FALSE),1+VLOOKUP(AM$1,RefCapacity!$H$2:$L$8,4,FALSE))</f>
        <v>194.9338643873711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f t="shared" si="12"/>
        <v>304.17891221898282</v>
      </c>
      <c r="BJ88">
        <f t="shared" si="13"/>
        <v>2.1961290780303671</v>
      </c>
      <c r="BK88">
        <f t="shared" si="14"/>
        <v>1.0001317089571415E-2</v>
      </c>
      <c r="BL88" cm="1">
        <f t="array" ref="BL88">AG88/$BI88*INDEX('GHG Emission'!$C$2:$C$1121,MATCH(1,('GHG Emission'!$D$2:$D$1121=$D88)*('GHG Emission'!$E$2:$E$1121=$C88)*('GHG Emission'!$F$2:$F$1121=$B88)*('GHG Emission'!$I$2:$I$1121=$E88)*('GHG Emission'!$J$2:$J$1121=$F88)*('GHG Emission'!$K$2:$K$1121=AG$1),0))+AH88/$BI88*INDEX('GHG Emission'!$C$2:$C$1121,MATCH(1,('GHG Emission'!$D$2:$D$1121=$D88)*('GHG Emission'!$E$2:$E$1121=$C88)*('GHG Emission'!$F$2:$F$1121=$B88)*('GHG Emission'!$I$2:$I$1121=$E88)*('GHG Emission'!$J$2:$J$1121=$F88)*('GHG Emission'!$K$2:$K$1121=AH$1),0))+AI88/$BI88*INDEX('GHG Emission'!$C$2:$C$1121,MATCH(1,('GHG Emission'!$D$2:$D$1121=$D88)*('GHG Emission'!$E$2:$E$1121=$C88)*('GHG Emission'!$F$2:$F$1121=$B88)*('GHG Emission'!$I$2:$I$1121=$E88)*('GHG Emission'!$J$2:$J$1121=$F88)*('GHG Emission'!$K$2:$K$1121=AI$1),0))+AJ88/$BI88*INDEX('GHG Emission'!$C$2:$C$1121,MATCH(1,('GHG Emission'!$D$2:$D$1121=$D88)*('GHG Emission'!$E$2:$E$1121=$C88)*('GHG Emission'!$F$2:$F$1121=$B88)*('GHG Emission'!$I$2:$I$1121=$E88)*('GHG Emission'!$J$2:$J$1121=$F88)*('GHG Emission'!$K$2:$K$1121=AJ$1),0))+AK88/$BI88*INDEX('GHG Emission'!$C$2:$C$1121,MATCH(1,('GHG Emission'!$D$2:$D$1121=$D88)*('GHG Emission'!$E$2:$E$1121=$C88)*('GHG Emission'!$F$2:$F$1121=$B88)*('GHG Emission'!$I$2:$I$1121=$E88)*('GHG Emission'!$J$2:$J$1121=$F88)*('GHG Emission'!$K$2:$K$1121=AK$1),0))+AL88/$BI88*INDEX('GHG Emission'!$C$2:$C$1121,MATCH(1,('GHG Emission'!$D$2:$D$1121=$D88)*('GHG Emission'!$E$2:$E$1121=$C88)*('GHG Emission'!$F$2:$F$1121=$B88)*('GHG Emission'!$I$2:$I$1121=$E88)*('GHG Emission'!$J$2:$J$1121=$F88)*('GHG Emission'!$K$2:$K$1121=AL$1),0))+AM88/$BI88*INDEX('GHG Emission'!$C$2:$C$1121,MATCH(1,('GHG Emission'!$D$2:$D$1121=$D88)*('GHG Emission'!$E$2:$E$1121=$C88)*('GHG Emission'!$F$2:$F$1121=$B88)*('GHG Emission'!$I$2:$I$1121=$E88)*('GHG Emission'!$J$2:$J$1121=$F88)*('GHG Emission'!$K$2:$K$1121=AM$1),0))</f>
        <v>28.412615785627008</v>
      </c>
      <c r="BM88" t="str">
        <f t="shared" si="15"/>
        <v>LIGHT/SWEET</v>
      </c>
    </row>
    <row r="89" spans="1:65" hidden="1" x14ac:dyDescent="0.25">
      <c r="A89">
        <v>88</v>
      </c>
      <c r="B89" t="s">
        <v>471</v>
      </c>
      <c r="C89">
        <v>2050</v>
      </c>
      <c r="D89">
        <v>1</v>
      </c>
      <c r="E89" t="s">
        <v>469</v>
      </c>
      <c r="F89" t="s">
        <v>468</v>
      </c>
      <c r="G89">
        <v>258.56592002123028</v>
      </c>
      <c r="H89">
        <v>127.36328456880523</v>
      </c>
      <c r="I89">
        <v>191.73364259885309</v>
      </c>
      <c r="J89">
        <v>67.563914501729741</v>
      </c>
      <c r="K89">
        <v>150.322538005761</v>
      </c>
      <c r="L89">
        <v>0</v>
      </c>
      <c r="M89">
        <v>0</v>
      </c>
      <c r="N89">
        <v>0</v>
      </c>
      <c r="O89">
        <v>0</v>
      </c>
      <c r="P89">
        <v>95.075159029184661</v>
      </c>
      <c r="Q89">
        <v>0</v>
      </c>
      <c r="R89">
        <v>0</v>
      </c>
      <c r="S89">
        <v>0</v>
      </c>
      <c r="T89">
        <v>10.451643824017232</v>
      </c>
      <c r="U89">
        <v>0</v>
      </c>
      <c r="V89">
        <v>0</v>
      </c>
      <c r="W89">
        <v>0</v>
      </c>
      <c r="X89">
        <f t="shared" si="8"/>
        <v>901.07610254958115</v>
      </c>
      <c r="Y89">
        <f>X89*VLOOKUP($D89,'LinearReg Model'!$S$2:$T$6,2,FALSE)</f>
        <v>301.98278314095245</v>
      </c>
      <c r="Z89">
        <f t="shared" si="9"/>
        <v>0.28695236649781514</v>
      </c>
      <c r="AA89">
        <f t="shared" si="10"/>
        <v>0.2127829625670303</v>
      </c>
      <c r="AB89">
        <f t="shared" si="11"/>
        <v>0.14134575782049125</v>
      </c>
      <c r="AC89">
        <v>37.317276792879753</v>
      </c>
      <c r="AD89">
        <v>1.8266228074543227</v>
      </c>
      <c r="AE89" s="2">
        <f>VLOOKUP($D89,'MultiReg Model'!$A$5:$F$9,2,FALSE)+AC89*VLOOKUP($D89,'MultiReg Model'!$A$5:$F$9,3,FALSE)+Z89*VLOOKUP($D89,'MultiReg Model'!$A$5:$F$9,4,FALSE)+AA89*VLOOKUP($D89,'MultiReg Model'!$A$5:$F$9,5,FALSE)+AB89*VLOOKUP($D89,'MultiReg Model'!$A$5:$F$9,6,FALSE)</f>
        <v>6.9176453563109828</v>
      </c>
      <c r="AF89" cm="1">
        <f t="array" ref="AF89">MMULT($AG89:$AM89,'Avg CI Index'!$C$2:$C$8)/BI89</f>
        <v>6.9276466734005542</v>
      </c>
      <c r="AG89">
        <v>64.139843666176475</v>
      </c>
      <c r="AH89">
        <v>171.80857891618004</v>
      </c>
      <c r="AI89">
        <v>0</v>
      </c>
      <c r="AJ89">
        <v>33.764979964566116</v>
      </c>
      <c r="AK89">
        <v>20.600964467987716</v>
      </c>
      <c r="AL89">
        <v>0</v>
      </c>
      <c r="AM89">
        <v>13.864545204072517</v>
      </c>
      <c r="AN89" cm="1">
        <f t="array" ref="AN89">$Y89*INDEX(RefCapacity!$D$2:$D$526,MATCH(1,(RefCapacity!$A$2:$A$526=RefCapacityProj!$D89)*(RefCapacity!$B$2:$B$526=2019)*(RefCapacity!$C$2:$C$526=AG$1),0))/SUMIFS(RefCapacity!$D$2:$D$526,RefCapacity!$A$2:$A$526,RefCapacityProj!$D89,RefCapacity!$B$2:$B$526,2019)</f>
        <v>8.1081383989603584</v>
      </c>
      <c r="AO89" cm="1">
        <f t="array" ref="AO89">$Y89*INDEX(RefCapacity!$D$2:$D$526,MATCH(1,(RefCapacity!$A$2:$A$526=RefCapacityProj!$D89)*(RefCapacity!$B$2:$B$526=2019)*(RefCapacity!$C$2:$C$526=AH$1),0))/SUMIFS(RefCapacity!$D$2:$D$526,RefCapacity!$A$2:$A$526,RefCapacityProj!$D89,RefCapacity!$B$2:$B$526,2019)</f>
        <v>162.42028598643367</v>
      </c>
      <c r="AP89" cm="1">
        <f t="array" ref="AP89">$Y89*INDEX(RefCapacity!$D$2:$D$526,MATCH(1,(RefCapacity!$A$2:$A$526=RefCapacityProj!$D89)*(RefCapacity!$B$2:$B$526=2019)*(RefCapacity!$C$2:$C$526=AI$1),0))/SUMIFS(RefCapacity!$D$2:$D$526,RefCapacity!$A$2:$A$526,RefCapacityProj!$D89,RefCapacity!$B$2:$B$526,2019)</f>
        <v>0</v>
      </c>
      <c r="AQ89" cm="1">
        <f t="array" ref="AQ89">$Y89*INDEX(RefCapacity!$D$2:$D$526,MATCH(1,(RefCapacity!$A$2:$A$526=RefCapacityProj!$D89)*(RefCapacity!$B$2:$B$526=2019)*(RefCapacity!$C$2:$C$526=AJ$1),0))/SUMIFS(RefCapacity!$D$2:$D$526,RefCapacity!$A$2:$A$526,RefCapacityProj!$D89,RefCapacity!$B$2:$B$526,2019)</f>
        <v>48.462436407579148</v>
      </c>
      <c r="AR89" cm="1">
        <f t="array" ref="AR89">$Y89*INDEX(RefCapacity!$D$2:$D$526,MATCH(1,(RefCapacity!$A$2:$A$526=RefCapacityProj!$D89)*(RefCapacity!$B$2:$B$526=2019)*(RefCapacity!$C$2:$C$526=AK$1),0))/SUMIFS(RefCapacity!$D$2:$D$526,RefCapacity!$A$2:$A$526,RefCapacityProj!$D89,RefCapacity!$B$2:$B$526,2019)</f>
        <v>38.676752132971821</v>
      </c>
      <c r="AS89" cm="1">
        <f t="array" ref="AS89">$Y89*INDEX(RefCapacity!$D$2:$D$526,MATCH(1,(RefCapacity!$A$2:$A$526=RefCapacityProj!$D89)*(RefCapacity!$B$2:$B$526=2019)*(RefCapacity!$C$2:$C$526=AL$1),0))/SUMIFS(RefCapacity!$D$2:$D$526,RefCapacity!$A$2:$A$526,RefCapacityProj!$D89,RefCapacity!$B$2:$B$526,2019)</f>
        <v>0</v>
      </c>
      <c r="AT89" cm="1">
        <f t="array" ref="AT89">$Y89*INDEX(RefCapacity!$D$2:$D$526,MATCH(1,(RefCapacity!$A$2:$A$526=RefCapacityProj!$D89)*(RefCapacity!$B$2:$B$526=2019)*(RefCapacity!$C$2:$C$526=AM$1),0))/SUMIFS(RefCapacity!$D$2:$D$526,RefCapacity!$A$2:$A$526,RefCapacityProj!$D89,RefCapacity!$B$2:$B$526,2019)</f>
        <v>44.31517021500747</v>
      </c>
      <c r="AU89" cm="1">
        <f t="array" ref="AU89">INDEX(RefCapacity!$D$2:$D$526,MATCH(1,(RefCapacity!$A$2:$A$526=RefCapacityProj!$D89)*(RefCapacity!$B$2:$B$526=2019)*(RefCapacity!$C$2:$C$526=RefCapacityProj!AG$1),0))*IF($C89=2035,1+VLOOKUP(AG$1,RefCapacity!$H$2:$L$8,2,FALSE),1+VLOOKUP(AG$1,RefCapacity!$H$2:$L$8,4,FALSE))</f>
        <v>149.79386952738412</v>
      </c>
      <c r="AV89" cm="1">
        <f t="array" ref="AV89">INDEX(RefCapacity!$D$2:$D$526,MATCH(1,(RefCapacity!$A$2:$A$526=RefCapacityProj!$D89)*(RefCapacity!$B$2:$B$526=2019)*(RefCapacity!$C$2:$C$526=RefCapacityProj!AH$1),0))*IF($C89=2035,1+VLOOKUP(AH$1,RefCapacity!$H$2:$L$8,2,FALSE),1+VLOOKUP(AH$1,RefCapacity!$H$2:$L$8,4,FALSE))</f>
        <v>1123.1713294032013</v>
      </c>
      <c r="AW89" cm="1">
        <f t="array" ref="AW89">INDEX(RefCapacity!$D$2:$D$526,MATCH(1,(RefCapacity!$A$2:$A$526=RefCapacityProj!$D89)*(RefCapacity!$B$2:$B$526=2019)*(RefCapacity!$C$2:$C$526=RefCapacityProj!AI$1),0))*IF($C89=2035,1+VLOOKUP(AI$1,RefCapacity!$H$2:$L$8,2,FALSE),1+VLOOKUP(AI$1,RefCapacity!$H$2:$L$8,4,FALSE))</f>
        <v>0</v>
      </c>
      <c r="AX89" cm="1">
        <f t="array" ref="AX89">INDEX(RefCapacity!$D$2:$D$526,MATCH(1,(RefCapacity!$A$2:$A$526=RefCapacityProj!$D89)*(RefCapacity!$B$2:$B$526=2019)*(RefCapacity!$C$2:$C$526=RefCapacityProj!AJ$1),0))*IF($C89=2035,1+VLOOKUP(AJ$1,RefCapacity!$H$2:$L$8,2,FALSE),1+VLOOKUP(AJ$1,RefCapacity!$H$2:$L$8,4,FALSE))</f>
        <v>559.06666666666661</v>
      </c>
      <c r="AY89" cm="1">
        <f t="array" ref="AY89">INDEX(RefCapacity!$D$2:$D$526,MATCH(1,(RefCapacity!$A$2:$A$526=RefCapacityProj!$D89)*(RefCapacity!$B$2:$B$526=2019)*(RefCapacity!$C$2:$C$526=RefCapacityProj!AK$1),0))*IF($C89=2035,1+VLOOKUP(AK$1,RefCapacity!$H$2:$L$8,2,FALSE),1+VLOOKUP(AK$1,RefCapacity!$H$2:$L$8,4,FALSE))</f>
        <v>233.91115364400702</v>
      </c>
      <c r="AZ89" cm="1">
        <f t="array" ref="AZ89">INDEX(RefCapacity!$D$2:$D$526,MATCH(1,(RefCapacity!$A$2:$A$526=RefCapacityProj!$D89)*(RefCapacity!$B$2:$B$526=2019)*(RefCapacity!$C$2:$C$526=RefCapacityProj!AL$1),0))*IF($C89=2035,1+VLOOKUP(AL$1,RefCapacity!$H$2:$L$8,2,FALSE),1+VLOOKUP(AL$1,RefCapacity!$H$2:$L$8,4,FALSE))</f>
        <v>0</v>
      </c>
      <c r="BA89" cm="1">
        <f t="array" ref="BA89">INDEX(RefCapacity!$D$2:$D$526,MATCH(1,(RefCapacity!$A$2:$A$526=RefCapacityProj!$D89)*(RefCapacity!$B$2:$B$526=2019)*(RefCapacity!$C$2:$C$526=RefCapacityProj!AM$1),0))*IF($C89=2035,1+VLOOKUP(AM$1,RefCapacity!$H$2:$L$8,2,FALSE),1+VLOOKUP(AM$1,RefCapacity!$H$2:$L$8,4,FALSE))</f>
        <v>194.9338643873711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f t="shared" si="12"/>
        <v>304.17891221898282</v>
      </c>
      <c r="BJ89">
        <f t="shared" si="13"/>
        <v>2.1961290780303671</v>
      </c>
      <c r="BK89">
        <f t="shared" si="14"/>
        <v>1.0001317089571415E-2</v>
      </c>
      <c r="BL89" cm="1">
        <f t="array" ref="BL89">AG89/$BI89*INDEX('GHG Emission'!$C$2:$C$1121,MATCH(1,('GHG Emission'!$D$2:$D$1121=$D89)*('GHG Emission'!$E$2:$E$1121=$C89)*('GHG Emission'!$F$2:$F$1121=$B89)*('GHG Emission'!$I$2:$I$1121=$E89)*('GHG Emission'!$J$2:$J$1121=$F89)*('GHG Emission'!$K$2:$K$1121=AG$1),0))+AH89/$BI89*INDEX('GHG Emission'!$C$2:$C$1121,MATCH(1,('GHG Emission'!$D$2:$D$1121=$D89)*('GHG Emission'!$E$2:$E$1121=$C89)*('GHG Emission'!$F$2:$F$1121=$B89)*('GHG Emission'!$I$2:$I$1121=$E89)*('GHG Emission'!$J$2:$J$1121=$F89)*('GHG Emission'!$K$2:$K$1121=AH$1),0))+AI89/$BI89*INDEX('GHG Emission'!$C$2:$C$1121,MATCH(1,('GHG Emission'!$D$2:$D$1121=$D89)*('GHG Emission'!$E$2:$E$1121=$C89)*('GHG Emission'!$F$2:$F$1121=$B89)*('GHG Emission'!$I$2:$I$1121=$E89)*('GHG Emission'!$J$2:$J$1121=$F89)*('GHG Emission'!$K$2:$K$1121=AI$1),0))+AJ89/$BI89*INDEX('GHG Emission'!$C$2:$C$1121,MATCH(1,('GHG Emission'!$D$2:$D$1121=$D89)*('GHG Emission'!$E$2:$E$1121=$C89)*('GHG Emission'!$F$2:$F$1121=$B89)*('GHG Emission'!$I$2:$I$1121=$E89)*('GHG Emission'!$J$2:$J$1121=$F89)*('GHG Emission'!$K$2:$K$1121=AJ$1),0))+AK89/$BI89*INDEX('GHG Emission'!$C$2:$C$1121,MATCH(1,('GHG Emission'!$D$2:$D$1121=$D89)*('GHG Emission'!$E$2:$E$1121=$C89)*('GHG Emission'!$F$2:$F$1121=$B89)*('GHG Emission'!$I$2:$I$1121=$E89)*('GHG Emission'!$J$2:$J$1121=$F89)*('GHG Emission'!$K$2:$K$1121=AK$1),0))+AL89/$BI89*INDEX('GHG Emission'!$C$2:$C$1121,MATCH(1,('GHG Emission'!$D$2:$D$1121=$D89)*('GHG Emission'!$E$2:$E$1121=$C89)*('GHG Emission'!$F$2:$F$1121=$B89)*('GHG Emission'!$I$2:$I$1121=$E89)*('GHG Emission'!$J$2:$J$1121=$F89)*('GHG Emission'!$K$2:$K$1121=AL$1),0))+AM89/$BI89*INDEX('GHG Emission'!$C$2:$C$1121,MATCH(1,('GHG Emission'!$D$2:$D$1121=$D89)*('GHG Emission'!$E$2:$E$1121=$C89)*('GHG Emission'!$F$2:$F$1121=$B89)*('GHG Emission'!$I$2:$I$1121=$E89)*('GHG Emission'!$J$2:$J$1121=$F89)*('GHG Emission'!$K$2:$K$1121=AM$1),0))</f>
        <v>27.338857130722211</v>
      </c>
      <c r="BM89" t="str">
        <f t="shared" si="15"/>
        <v>LIGHT/SOUR</v>
      </c>
    </row>
    <row r="90" spans="1:65" hidden="1" x14ac:dyDescent="0.25">
      <c r="A90">
        <v>89</v>
      </c>
      <c r="B90" t="s">
        <v>471</v>
      </c>
      <c r="C90">
        <v>2035</v>
      </c>
      <c r="D90">
        <v>2</v>
      </c>
      <c r="E90" t="s">
        <v>466</v>
      </c>
      <c r="F90" t="s">
        <v>467</v>
      </c>
      <c r="G90">
        <v>1478.9530540164449</v>
      </c>
      <c r="H90">
        <v>243.18273200131145</v>
      </c>
      <c r="I90">
        <v>1019.0557681167865</v>
      </c>
      <c r="J90">
        <v>62.668782497353874</v>
      </c>
      <c r="K90">
        <v>41.316115877463915</v>
      </c>
      <c r="L90">
        <v>29.323153592751066</v>
      </c>
      <c r="M90">
        <v>0</v>
      </c>
      <c r="N90">
        <v>0</v>
      </c>
      <c r="O90">
        <v>0</v>
      </c>
      <c r="P90">
        <v>248.05364587990755</v>
      </c>
      <c r="Q90">
        <v>0</v>
      </c>
      <c r="R90">
        <v>0</v>
      </c>
      <c r="S90">
        <v>0</v>
      </c>
      <c r="T90">
        <v>8.9774380545843417</v>
      </c>
      <c r="U90">
        <v>0</v>
      </c>
      <c r="V90">
        <v>0</v>
      </c>
      <c r="W90">
        <v>0</v>
      </c>
      <c r="X90">
        <f t="shared" si="8"/>
        <v>3131.5306900366031</v>
      </c>
      <c r="Y90">
        <f>X90*VLOOKUP($D90,'LinearReg Model'!$S$2:$T$6,2,FALSE)</f>
        <v>2586.0507965699071</v>
      </c>
      <c r="Z90">
        <f t="shared" si="9"/>
        <v>0.47227800089008803</v>
      </c>
      <c r="AA90">
        <f t="shared" si="10"/>
        <v>0.32541778094624874</v>
      </c>
      <c r="AB90">
        <f t="shared" si="11"/>
        <v>7.7656186725242979E-2</v>
      </c>
      <c r="AC90">
        <v>30.283494646922765</v>
      </c>
      <c r="AD90">
        <v>0.85848259090407375</v>
      </c>
      <c r="AE90" s="2">
        <f>VLOOKUP($D90,'MultiReg Model'!$A$5:$F$9,2,FALSE)+AC90*VLOOKUP($D90,'MultiReg Model'!$A$5:$F$9,3,FALSE)+Z90*VLOOKUP($D90,'MultiReg Model'!$A$5:$F$9,4,FALSE)+AA90*VLOOKUP($D90,'MultiReg Model'!$A$5:$F$9,5,FALSE)+AB90*VLOOKUP($D90,'MultiReg Model'!$A$5:$F$9,6,FALSE)</f>
        <v>9.7905323113461531</v>
      </c>
      <c r="AF90" cm="1">
        <f t="array" ref="AF90">MMULT($AG90:$AM90,'Avg CI Index'!$C$2:$C$8)/BI90</f>
        <v>9.8005323262098223</v>
      </c>
      <c r="AG90">
        <v>31.11138107340858</v>
      </c>
      <c r="AH90">
        <v>396.40481566115278</v>
      </c>
      <c r="AI90">
        <v>0</v>
      </c>
      <c r="AJ90">
        <v>329.86889818033472</v>
      </c>
      <c r="AK90">
        <v>1018.3887749946243</v>
      </c>
      <c r="AL90">
        <v>0</v>
      </c>
      <c r="AM90">
        <v>828.22145545169667</v>
      </c>
      <c r="AN90" cm="1">
        <f t="array" ref="AN90">$Y90*INDEX(RefCapacity!$D$2:$D$526,MATCH(1,(RefCapacity!$A$2:$A$526=RefCapacityProj!$D90)*(RefCapacity!$B$2:$B$526=2019)*(RefCapacity!$C$2:$C$526=AG$1),0))/SUMIFS(RefCapacity!$D$2:$D$526,RefCapacity!$A$2:$A$526,RefCapacityProj!$D90,RefCapacity!$B$2:$B$526,2019)</f>
        <v>15.869037253142235</v>
      </c>
      <c r="AO90" cm="1">
        <f t="array" ref="AO90">$Y90*INDEX(RefCapacity!$D$2:$D$526,MATCH(1,(RefCapacity!$A$2:$A$526=RefCapacityProj!$D90)*(RefCapacity!$B$2:$B$526=2019)*(RefCapacity!$C$2:$C$526=AH$1),0))/SUMIFS(RefCapacity!$D$2:$D$526,RefCapacity!$A$2:$A$526,RefCapacityProj!$D90,RefCapacity!$B$2:$B$526,2019)</f>
        <v>390.93454079304576</v>
      </c>
      <c r="AP90" cm="1">
        <f t="array" ref="AP90">$Y90*INDEX(RefCapacity!$D$2:$D$526,MATCH(1,(RefCapacity!$A$2:$A$526=RefCapacityProj!$D90)*(RefCapacity!$B$2:$B$526=2019)*(RefCapacity!$C$2:$C$526=AI$1),0))/SUMIFS(RefCapacity!$D$2:$D$526,RefCapacity!$A$2:$A$526,RefCapacityProj!$D90,RefCapacity!$B$2:$B$526,2019)</f>
        <v>0</v>
      </c>
      <c r="AQ90" cm="1">
        <f t="array" ref="AQ90">$Y90*INDEX(RefCapacity!$D$2:$D$526,MATCH(1,(RefCapacity!$A$2:$A$526=RefCapacityProj!$D90)*(RefCapacity!$B$2:$B$526=2019)*(RefCapacity!$C$2:$C$526=AJ$1),0))/SUMIFS(RefCapacity!$D$2:$D$526,RefCapacity!$A$2:$A$526,RefCapacityProj!$D90,RefCapacity!$B$2:$B$526,2019)</f>
        <v>329.44845400059546</v>
      </c>
      <c r="AR90" cm="1">
        <f t="array" ref="AR90">$Y90*INDEX(RefCapacity!$D$2:$D$526,MATCH(1,(RefCapacity!$A$2:$A$526=RefCapacityProj!$D90)*(RefCapacity!$B$2:$B$526=2019)*(RefCapacity!$C$2:$C$526=AK$1),0))/SUMIFS(RefCapacity!$D$2:$D$526,RefCapacity!$A$2:$A$526,RefCapacityProj!$D90,RefCapacity!$B$2:$B$526,2019)</f>
        <v>1018.682947128716</v>
      </c>
      <c r="AS90" cm="1">
        <f t="array" ref="AS90">$Y90*INDEX(RefCapacity!$D$2:$D$526,MATCH(1,(RefCapacity!$A$2:$A$526=RefCapacityProj!$D90)*(RefCapacity!$B$2:$B$526=2019)*(RefCapacity!$C$2:$C$526=AL$1),0))/SUMIFS(RefCapacity!$D$2:$D$526,RefCapacity!$A$2:$A$526,RefCapacityProj!$D90,RefCapacity!$B$2:$B$526,2019)</f>
        <v>0</v>
      </c>
      <c r="AT90" cm="1">
        <f t="array" ref="AT90">$Y90*INDEX(RefCapacity!$D$2:$D$526,MATCH(1,(RefCapacity!$A$2:$A$526=RefCapacityProj!$D90)*(RefCapacity!$B$2:$B$526=2019)*(RefCapacity!$C$2:$C$526=AM$1),0))/SUMIFS(RefCapacity!$D$2:$D$526,RefCapacity!$A$2:$A$526,RefCapacityProj!$D90,RefCapacity!$B$2:$B$526,2019)</f>
        <v>831.11581739440749</v>
      </c>
      <c r="AU90" cm="1">
        <f t="array" ref="AU90">INDEX(RefCapacity!$D$2:$D$526,MATCH(1,(RefCapacity!$A$2:$A$526=RefCapacityProj!$D90)*(RefCapacity!$B$2:$B$526=2019)*(RefCapacity!$C$2:$C$526=RefCapacityProj!AG$1),0))*IF($C90=2035,1+VLOOKUP(AG$1,RefCapacity!$H$2:$L$8,2,FALSE),1+VLOOKUP(AG$1,RefCapacity!$H$2:$L$8,4,FALSE))</f>
        <v>69.095643226583363</v>
      </c>
      <c r="AV90" cm="1">
        <f t="array" ref="AV90">INDEX(RefCapacity!$D$2:$D$526,MATCH(1,(RefCapacity!$A$2:$A$526=RefCapacityProj!$D90)*(RefCapacity!$B$2:$B$526=2019)*(RefCapacity!$C$2:$C$526=RefCapacityProj!AH$1),0))*IF($C90=2035,1+VLOOKUP(AH$1,RefCapacity!$H$2:$L$8,2,FALSE),1+VLOOKUP(AH$1,RefCapacity!$H$2:$L$8,4,FALSE))</f>
        <v>829.70092482947541</v>
      </c>
      <c r="AW90" cm="1">
        <f t="array" ref="AW90">INDEX(RefCapacity!$D$2:$D$526,MATCH(1,(RefCapacity!$A$2:$A$526=RefCapacityProj!$D90)*(RefCapacity!$B$2:$B$526=2019)*(RefCapacity!$C$2:$C$526=RefCapacityProj!AI$1),0))*IF($C90=2035,1+VLOOKUP(AI$1,RefCapacity!$H$2:$L$8,2,FALSE),1+VLOOKUP(AI$1,RefCapacity!$H$2:$L$8,4,FALSE))</f>
        <v>0</v>
      </c>
      <c r="AX90" cm="1">
        <f t="array" ref="AX90">INDEX(RefCapacity!$D$2:$D$526,MATCH(1,(RefCapacity!$A$2:$A$526=RefCapacityProj!$D90)*(RefCapacity!$B$2:$B$526=2019)*(RefCapacity!$C$2:$C$526=RefCapacityProj!AJ$1),0))*IF($C90=2035,1+VLOOKUP(AJ$1,RefCapacity!$H$2:$L$8,2,FALSE),1+VLOOKUP(AJ$1,RefCapacity!$H$2:$L$8,4,FALSE))</f>
        <v>993.12500000000011</v>
      </c>
      <c r="AY90" cm="1">
        <f t="array" ref="AY90">INDEX(RefCapacity!$D$2:$D$526,MATCH(1,(RefCapacity!$A$2:$A$526=RefCapacityProj!$D90)*(RefCapacity!$B$2:$B$526=2019)*(RefCapacity!$C$2:$C$526=RefCapacityProj!AK$1),0))*IF($C90=2035,1+VLOOKUP(AK$1,RefCapacity!$H$2:$L$8,2,FALSE),1+VLOOKUP(AK$1,RefCapacity!$H$2:$L$8,4,FALSE))</f>
        <v>1991.4122477464978</v>
      </c>
      <c r="AZ90" cm="1">
        <f t="array" ref="AZ90">INDEX(RefCapacity!$D$2:$D$526,MATCH(1,(RefCapacity!$A$2:$A$526=RefCapacityProj!$D90)*(RefCapacity!$B$2:$B$526=2019)*(RefCapacity!$C$2:$C$526=RefCapacityProj!AL$1),0))*IF($C90=2035,1+VLOOKUP(AL$1,RefCapacity!$H$2:$L$8,2,FALSE),1+VLOOKUP(AL$1,RefCapacity!$H$2:$L$8,4,FALSE))</f>
        <v>0</v>
      </c>
      <c r="BA90" cm="1">
        <f t="array" ref="BA90">INDEX(RefCapacity!$D$2:$D$526,MATCH(1,(RefCapacity!$A$2:$A$526=RefCapacityProj!$D90)*(RefCapacity!$B$2:$B$526=2019)*(RefCapacity!$C$2:$C$526=RefCapacityProj!AM$1),0))*IF($C90=2035,1+VLOOKUP(AM$1,RefCapacity!$H$2:$L$8,2,FALSE),1+VLOOKUP(AM$1,RefCapacity!$H$2:$L$8,4,FALSE))</f>
        <v>1360.1267578285858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f t="shared" si="12"/>
        <v>2603.9953253612171</v>
      </c>
      <c r="BJ90">
        <f t="shared" si="13"/>
        <v>17.944528791309949</v>
      </c>
      <c r="BK90">
        <f t="shared" si="14"/>
        <v>1.0000014863669193E-2</v>
      </c>
      <c r="BL90" cm="1">
        <f t="array" ref="BL90">AG90/$BI90*INDEX('GHG Emission'!$C$2:$C$1121,MATCH(1,('GHG Emission'!$D$2:$D$1121=$D90)*('GHG Emission'!$E$2:$E$1121=$C90)*('GHG Emission'!$F$2:$F$1121=$B90)*('GHG Emission'!$I$2:$I$1121=$E90)*('GHG Emission'!$J$2:$J$1121=$F90)*('GHG Emission'!$K$2:$K$1121=AG$1),0))+AH90/$BI90*INDEX('GHG Emission'!$C$2:$C$1121,MATCH(1,('GHG Emission'!$D$2:$D$1121=$D90)*('GHG Emission'!$E$2:$E$1121=$C90)*('GHG Emission'!$F$2:$F$1121=$B90)*('GHG Emission'!$I$2:$I$1121=$E90)*('GHG Emission'!$J$2:$J$1121=$F90)*('GHG Emission'!$K$2:$K$1121=AH$1),0))+AI90/$BI90*INDEX('GHG Emission'!$C$2:$C$1121,MATCH(1,('GHG Emission'!$D$2:$D$1121=$D90)*('GHG Emission'!$E$2:$E$1121=$C90)*('GHG Emission'!$F$2:$F$1121=$B90)*('GHG Emission'!$I$2:$I$1121=$E90)*('GHG Emission'!$J$2:$J$1121=$F90)*('GHG Emission'!$K$2:$K$1121=AI$1),0))+AJ90/$BI90*INDEX('GHG Emission'!$C$2:$C$1121,MATCH(1,('GHG Emission'!$D$2:$D$1121=$D90)*('GHG Emission'!$E$2:$E$1121=$C90)*('GHG Emission'!$F$2:$F$1121=$B90)*('GHG Emission'!$I$2:$I$1121=$E90)*('GHG Emission'!$J$2:$J$1121=$F90)*('GHG Emission'!$K$2:$K$1121=AJ$1),0))+AK90/$BI90*INDEX('GHG Emission'!$C$2:$C$1121,MATCH(1,('GHG Emission'!$D$2:$D$1121=$D90)*('GHG Emission'!$E$2:$E$1121=$C90)*('GHG Emission'!$F$2:$F$1121=$B90)*('GHG Emission'!$I$2:$I$1121=$E90)*('GHG Emission'!$J$2:$J$1121=$F90)*('GHG Emission'!$K$2:$K$1121=AK$1),0))+AL90/$BI90*INDEX('GHG Emission'!$C$2:$C$1121,MATCH(1,('GHG Emission'!$D$2:$D$1121=$D90)*('GHG Emission'!$E$2:$E$1121=$C90)*('GHG Emission'!$F$2:$F$1121=$B90)*('GHG Emission'!$I$2:$I$1121=$E90)*('GHG Emission'!$J$2:$J$1121=$F90)*('GHG Emission'!$K$2:$K$1121=AL$1),0))+AM90/$BI90*INDEX('GHG Emission'!$C$2:$C$1121,MATCH(1,('GHG Emission'!$D$2:$D$1121=$D90)*('GHG Emission'!$E$2:$E$1121=$C90)*('GHG Emission'!$F$2:$F$1121=$B90)*('GHG Emission'!$I$2:$I$1121=$E90)*('GHG Emission'!$J$2:$J$1121=$F90)*('GHG Emission'!$K$2:$K$1121=AM$1),0))</f>
        <v>35.014671803807829</v>
      </c>
      <c r="BM90" t="str">
        <f t="shared" si="15"/>
        <v>HEAVY/SWEET</v>
      </c>
    </row>
    <row r="91" spans="1:65" hidden="1" x14ac:dyDescent="0.25">
      <c r="A91">
        <v>90</v>
      </c>
      <c r="B91" t="s">
        <v>471</v>
      </c>
      <c r="C91">
        <v>2035</v>
      </c>
      <c r="D91">
        <v>2</v>
      </c>
      <c r="E91" t="s">
        <v>466</v>
      </c>
      <c r="F91" t="s">
        <v>468</v>
      </c>
      <c r="G91">
        <v>1478.9530540164449</v>
      </c>
      <c r="H91">
        <v>243.18273200131145</v>
      </c>
      <c r="I91">
        <v>1019.0557681167865</v>
      </c>
      <c r="J91">
        <v>62.668782497353874</v>
      </c>
      <c r="K91">
        <v>41.316115877463915</v>
      </c>
      <c r="L91">
        <v>29.323153592751066</v>
      </c>
      <c r="M91">
        <v>0</v>
      </c>
      <c r="N91">
        <v>0</v>
      </c>
      <c r="O91">
        <v>0</v>
      </c>
      <c r="P91">
        <v>248.05364587990755</v>
      </c>
      <c r="Q91">
        <v>0</v>
      </c>
      <c r="R91">
        <v>0</v>
      </c>
      <c r="S91">
        <v>0</v>
      </c>
      <c r="T91">
        <v>8.9774380545843417</v>
      </c>
      <c r="U91">
        <v>0</v>
      </c>
      <c r="V91">
        <v>0</v>
      </c>
      <c r="W91">
        <v>0</v>
      </c>
      <c r="X91">
        <f t="shared" si="8"/>
        <v>3131.5306900366031</v>
      </c>
      <c r="Y91">
        <f>X91*VLOOKUP($D91,'LinearReg Model'!$S$2:$T$6,2,FALSE)</f>
        <v>2586.0507965699071</v>
      </c>
      <c r="Z91">
        <f t="shared" si="9"/>
        <v>0.47227800089008803</v>
      </c>
      <c r="AA91">
        <f t="shared" si="10"/>
        <v>0.32541778094624874</v>
      </c>
      <c r="AB91">
        <f t="shared" si="11"/>
        <v>7.7656186725242979E-2</v>
      </c>
      <c r="AC91">
        <v>30.283494646922765</v>
      </c>
      <c r="AD91">
        <v>2.3964868933205583</v>
      </c>
      <c r="AE91" s="2">
        <f>VLOOKUP($D91,'MultiReg Model'!$A$5:$F$9,2,FALSE)+AC91*VLOOKUP($D91,'MultiReg Model'!$A$5:$F$9,3,FALSE)+Z91*VLOOKUP($D91,'MultiReg Model'!$A$5:$F$9,4,FALSE)+AA91*VLOOKUP($D91,'MultiReg Model'!$A$5:$F$9,5,FALSE)+AB91*VLOOKUP($D91,'MultiReg Model'!$A$5:$F$9,6,FALSE)</f>
        <v>9.7905323113461531</v>
      </c>
      <c r="AF91" cm="1">
        <f t="array" ref="AF91">MMULT($AG91:$AM91,'Avg CI Index'!$C$2:$C$8)/BI91</f>
        <v>9.8005323262098223</v>
      </c>
      <c r="AG91">
        <v>31.11138107340858</v>
      </c>
      <c r="AH91">
        <v>396.40481566115278</v>
      </c>
      <c r="AI91">
        <v>0</v>
      </c>
      <c r="AJ91">
        <v>329.86889818033472</v>
      </c>
      <c r="AK91">
        <v>1018.3887749946243</v>
      </c>
      <c r="AL91">
        <v>0</v>
      </c>
      <c r="AM91">
        <v>828.22145545169667</v>
      </c>
      <c r="AN91" cm="1">
        <f t="array" ref="AN91">$Y91*INDEX(RefCapacity!$D$2:$D$526,MATCH(1,(RefCapacity!$A$2:$A$526=RefCapacityProj!$D91)*(RefCapacity!$B$2:$B$526=2019)*(RefCapacity!$C$2:$C$526=AG$1),0))/SUMIFS(RefCapacity!$D$2:$D$526,RefCapacity!$A$2:$A$526,RefCapacityProj!$D91,RefCapacity!$B$2:$B$526,2019)</f>
        <v>15.869037253142235</v>
      </c>
      <c r="AO91" cm="1">
        <f t="array" ref="AO91">$Y91*INDEX(RefCapacity!$D$2:$D$526,MATCH(1,(RefCapacity!$A$2:$A$526=RefCapacityProj!$D91)*(RefCapacity!$B$2:$B$526=2019)*(RefCapacity!$C$2:$C$526=AH$1),0))/SUMIFS(RefCapacity!$D$2:$D$526,RefCapacity!$A$2:$A$526,RefCapacityProj!$D91,RefCapacity!$B$2:$B$526,2019)</f>
        <v>390.93454079304576</v>
      </c>
      <c r="AP91" cm="1">
        <f t="array" ref="AP91">$Y91*INDEX(RefCapacity!$D$2:$D$526,MATCH(1,(RefCapacity!$A$2:$A$526=RefCapacityProj!$D91)*(RefCapacity!$B$2:$B$526=2019)*(RefCapacity!$C$2:$C$526=AI$1),0))/SUMIFS(RefCapacity!$D$2:$D$526,RefCapacity!$A$2:$A$526,RefCapacityProj!$D91,RefCapacity!$B$2:$B$526,2019)</f>
        <v>0</v>
      </c>
      <c r="AQ91" cm="1">
        <f t="array" ref="AQ91">$Y91*INDEX(RefCapacity!$D$2:$D$526,MATCH(1,(RefCapacity!$A$2:$A$526=RefCapacityProj!$D91)*(RefCapacity!$B$2:$B$526=2019)*(RefCapacity!$C$2:$C$526=AJ$1),0))/SUMIFS(RefCapacity!$D$2:$D$526,RefCapacity!$A$2:$A$526,RefCapacityProj!$D91,RefCapacity!$B$2:$B$526,2019)</f>
        <v>329.44845400059546</v>
      </c>
      <c r="AR91" cm="1">
        <f t="array" ref="AR91">$Y91*INDEX(RefCapacity!$D$2:$D$526,MATCH(1,(RefCapacity!$A$2:$A$526=RefCapacityProj!$D91)*(RefCapacity!$B$2:$B$526=2019)*(RefCapacity!$C$2:$C$526=AK$1),0))/SUMIFS(RefCapacity!$D$2:$D$526,RefCapacity!$A$2:$A$526,RefCapacityProj!$D91,RefCapacity!$B$2:$B$526,2019)</f>
        <v>1018.682947128716</v>
      </c>
      <c r="AS91" cm="1">
        <f t="array" ref="AS91">$Y91*INDEX(RefCapacity!$D$2:$D$526,MATCH(1,(RefCapacity!$A$2:$A$526=RefCapacityProj!$D91)*(RefCapacity!$B$2:$B$526=2019)*(RefCapacity!$C$2:$C$526=AL$1),0))/SUMIFS(RefCapacity!$D$2:$D$526,RefCapacity!$A$2:$A$526,RefCapacityProj!$D91,RefCapacity!$B$2:$B$526,2019)</f>
        <v>0</v>
      </c>
      <c r="AT91" cm="1">
        <f t="array" ref="AT91">$Y91*INDEX(RefCapacity!$D$2:$D$526,MATCH(1,(RefCapacity!$A$2:$A$526=RefCapacityProj!$D91)*(RefCapacity!$B$2:$B$526=2019)*(RefCapacity!$C$2:$C$526=AM$1),0))/SUMIFS(RefCapacity!$D$2:$D$526,RefCapacity!$A$2:$A$526,RefCapacityProj!$D91,RefCapacity!$B$2:$B$526,2019)</f>
        <v>831.11581739440749</v>
      </c>
      <c r="AU91" cm="1">
        <f t="array" ref="AU91">INDEX(RefCapacity!$D$2:$D$526,MATCH(1,(RefCapacity!$A$2:$A$526=RefCapacityProj!$D91)*(RefCapacity!$B$2:$B$526=2019)*(RefCapacity!$C$2:$C$526=RefCapacityProj!AG$1),0))*IF($C91=2035,1+VLOOKUP(AG$1,RefCapacity!$H$2:$L$8,2,FALSE),1+VLOOKUP(AG$1,RefCapacity!$H$2:$L$8,4,FALSE))</f>
        <v>69.095643226583363</v>
      </c>
      <c r="AV91" cm="1">
        <f t="array" ref="AV91">INDEX(RefCapacity!$D$2:$D$526,MATCH(1,(RefCapacity!$A$2:$A$526=RefCapacityProj!$D91)*(RefCapacity!$B$2:$B$526=2019)*(RefCapacity!$C$2:$C$526=RefCapacityProj!AH$1),0))*IF($C91=2035,1+VLOOKUP(AH$1,RefCapacity!$H$2:$L$8,2,FALSE),1+VLOOKUP(AH$1,RefCapacity!$H$2:$L$8,4,FALSE))</f>
        <v>829.70092482947541</v>
      </c>
      <c r="AW91" cm="1">
        <f t="array" ref="AW91">INDEX(RefCapacity!$D$2:$D$526,MATCH(1,(RefCapacity!$A$2:$A$526=RefCapacityProj!$D91)*(RefCapacity!$B$2:$B$526=2019)*(RefCapacity!$C$2:$C$526=RefCapacityProj!AI$1),0))*IF($C91=2035,1+VLOOKUP(AI$1,RefCapacity!$H$2:$L$8,2,FALSE),1+VLOOKUP(AI$1,RefCapacity!$H$2:$L$8,4,FALSE))</f>
        <v>0</v>
      </c>
      <c r="AX91" cm="1">
        <f t="array" ref="AX91">INDEX(RefCapacity!$D$2:$D$526,MATCH(1,(RefCapacity!$A$2:$A$526=RefCapacityProj!$D91)*(RefCapacity!$B$2:$B$526=2019)*(RefCapacity!$C$2:$C$526=RefCapacityProj!AJ$1),0))*IF($C91=2035,1+VLOOKUP(AJ$1,RefCapacity!$H$2:$L$8,2,FALSE),1+VLOOKUP(AJ$1,RefCapacity!$H$2:$L$8,4,FALSE))</f>
        <v>993.12500000000011</v>
      </c>
      <c r="AY91" cm="1">
        <f t="array" ref="AY91">INDEX(RefCapacity!$D$2:$D$526,MATCH(1,(RefCapacity!$A$2:$A$526=RefCapacityProj!$D91)*(RefCapacity!$B$2:$B$526=2019)*(RefCapacity!$C$2:$C$526=RefCapacityProj!AK$1),0))*IF($C91=2035,1+VLOOKUP(AK$1,RefCapacity!$H$2:$L$8,2,FALSE),1+VLOOKUP(AK$1,RefCapacity!$H$2:$L$8,4,FALSE))</f>
        <v>1991.4122477464978</v>
      </c>
      <c r="AZ91" cm="1">
        <f t="array" ref="AZ91">INDEX(RefCapacity!$D$2:$D$526,MATCH(1,(RefCapacity!$A$2:$A$526=RefCapacityProj!$D91)*(RefCapacity!$B$2:$B$526=2019)*(RefCapacity!$C$2:$C$526=RefCapacityProj!AL$1),0))*IF($C91=2035,1+VLOOKUP(AL$1,RefCapacity!$H$2:$L$8,2,FALSE),1+VLOOKUP(AL$1,RefCapacity!$H$2:$L$8,4,FALSE))</f>
        <v>0</v>
      </c>
      <c r="BA91" cm="1">
        <f t="array" ref="BA91">INDEX(RefCapacity!$D$2:$D$526,MATCH(1,(RefCapacity!$A$2:$A$526=RefCapacityProj!$D91)*(RefCapacity!$B$2:$B$526=2019)*(RefCapacity!$C$2:$C$526=RefCapacityProj!AM$1),0))*IF($C91=2035,1+VLOOKUP(AM$1,RefCapacity!$H$2:$L$8,2,FALSE),1+VLOOKUP(AM$1,RefCapacity!$H$2:$L$8,4,FALSE))</f>
        <v>1360.1267578285858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f t="shared" si="12"/>
        <v>2603.9953253612171</v>
      </c>
      <c r="BJ91">
        <f t="shared" si="13"/>
        <v>17.944528791309949</v>
      </c>
      <c r="BK91">
        <f t="shared" si="14"/>
        <v>1.0000014863669193E-2</v>
      </c>
      <c r="BL91" cm="1">
        <f t="array" ref="BL91">AG91/$BI91*INDEX('GHG Emission'!$C$2:$C$1121,MATCH(1,('GHG Emission'!$D$2:$D$1121=$D91)*('GHG Emission'!$E$2:$E$1121=$C91)*('GHG Emission'!$F$2:$F$1121=$B91)*('GHG Emission'!$I$2:$I$1121=$E91)*('GHG Emission'!$J$2:$J$1121=$F91)*('GHG Emission'!$K$2:$K$1121=AG$1),0))+AH91/$BI91*INDEX('GHG Emission'!$C$2:$C$1121,MATCH(1,('GHG Emission'!$D$2:$D$1121=$D91)*('GHG Emission'!$E$2:$E$1121=$C91)*('GHG Emission'!$F$2:$F$1121=$B91)*('GHG Emission'!$I$2:$I$1121=$E91)*('GHG Emission'!$J$2:$J$1121=$F91)*('GHG Emission'!$K$2:$K$1121=AH$1),0))+AI91/$BI91*INDEX('GHG Emission'!$C$2:$C$1121,MATCH(1,('GHG Emission'!$D$2:$D$1121=$D91)*('GHG Emission'!$E$2:$E$1121=$C91)*('GHG Emission'!$F$2:$F$1121=$B91)*('GHG Emission'!$I$2:$I$1121=$E91)*('GHG Emission'!$J$2:$J$1121=$F91)*('GHG Emission'!$K$2:$K$1121=AI$1),0))+AJ91/$BI91*INDEX('GHG Emission'!$C$2:$C$1121,MATCH(1,('GHG Emission'!$D$2:$D$1121=$D91)*('GHG Emission'!$E$2:$E$1121=$C91)*('GHG Emission'!$F$2:$F$1121=$B91)*('GHG Emission'!$I$2:$I$1121=$E91)*('GHG Emission'!$J$2:$J$1121=$F91)*('GHG Emission'!$K$2:$K$1121=AJ$1),0))+AK91/$BI91*INDEX('GHG Emission'!$C$2:$C$1121,MATCH(1,('GHG Emission'!$D$2:$D$1121=$D91)*('GHG Emission'!$E$2:$E$1121=$C91)*('GHG Emission'!$F$2:$F$1121=$B91)*('GHG Emission'!$I$2:$I$1121=$E91)*('GHG Emission'!$J$2:$J$1121=$F91)*('GHG Emission'!$K$2:$K$1121=AK$1),0))+AL91/$BI91*INDEX('GHG Emission'!$C$2:$C$1121,MATCH(1,('GHG Emission'!$D$2:$D$1121=$D91)*('GHG Emission'!$E$2:$E$1121=$C91)*('GHG Emission'!$F$2:$F$1121=$B91)*('GHG Emission'!$I$2:$I$1121=$E91)*('GHG Emission'!$J$2:$J$1121=$F91)*('GHG Emission'!$K$2:$K$1121=AL$1),0))+AM91/$BI91*INDEX('GHG Emission'!$C$2:$C$1121,MATCH(1,('GHG Emission'!$D$2:$D$1121=$D91)*('GHG Emission'!$E$2:$E$1121=$C91)*('GHG Emission'!$F$2:$F$1121=$B91)*('GHG Emission'!$I$2:$I$1121=$E91)*('GHG Emission'!$J$2:$J$1121=$F91)*('GHG Emission'!$K$2:$K$1121=AM$1),0))</f>
        <v>34.346457263213033</v>
      </c>
      <c r="BM91" t="str">
        <f t="shared" si="15"/>
        <v>HEAVY/SOUR</v>
      </c>
    </row>
    <row r="92" spans="1:65" hidden="1" x14ac:dyDescent="0.25">
      <c r="A92">
        <v>91</v>
      </c>
      <c r="B92" t="s">
        <v>471</v>
      </c>
      <c r="C92">
        <v>2035</v>
      </c>
      <c r="D92">
        <v>2</v>
      </c>
      <c r="E92" t="s">
        <v>469</v>
      </c>
      <c r="F92" t="s">
        <v>467</v>
      </c>
      <c r="G92">
        <v>1478.9530540164449</v>
      </c>
      <c r="H92">
        <v>243.18273200131145</v>
      </c>
      <c r="I92">
        <v>1019.0557681167865</v>
      </c>
      <c r="J92">
        <v>62.668782497353874</v>
      </c>
      <c r="K92">
        <v>41.316115877463915</v>
      </c>
      <c r="L92">
        <v>29.323153592751066</v>
      </c>
      <c r="M92">
        <v>0</v>
      </c>
      <c r="N92">
        <v>0</v>
      </c>
      <c r="O92">
        <v>0</v>
      </c>
      <c r="P92">
        <v>248.05364587990755</v>
      </c>
      <c r="Q92">
        <v>0</v>
      </c>
      <c r="R92">
        <v>0</v>
      </c>
      <c r="S92">
        <v>0</v>
      </c>
      <c r="T92">
        <v>8.9774380545843417</v>
      </c>
      <c r="U92">
        <v>0</v>
      </c>
      <c r="V92">
        <v>0</v>
      </c>
      <c r="W92">
        <v>0</v>
      </c>
      <c r="X92">
        <f t="shared" si="8"/>
        <v>3131.5306900366031</v>
      </c>
      <c r="Y92">
        <f>X92*VLOOKUP($D92,'LinearReg Model'!$S$2:$T$6,2,FALSE)</f>
        <v>2586.0507965699071</v>
      </c>
      <c r="Z92">
        <f t="shared" si="9"/>
        <v>0.47227800089008803</v>
      </c>
      <c r="AA92">
        <f t="shared" si="10"/>
        <v>0.32541778094624874</v>
      </c>
      <c r="AB92">
        <f t="shared" si="11"/>
        <v>7.7656186725242979E-2</v>
      </c>
      <c r="AC92">
        <v>34.957728681668918</v>
      </c>
      <c r="AD92">
        <v>0.85848259090407375</v>
      </c>
      <c r="AE92" s="2">
        <f>VLOOKUP($D92,'MultiReg Model'!$A$5:$F$9,2,FALSE)+AC92*VLOOKUP($D92,'MultiReg Model'!$A$5:$F$9,3,FALSE)+Z92*VLOOKUP($D92,'MultiReg Model'!$A$5:$F$9,4,FALSE)+AA92*VLOOKUP($D92,'MultiReg Model'!$A$5:$F$9,5,FALSE)+AB92*VLOOKUP($D92,'MultiReg Model'!$A$5:$F$9,6,FALSE)</f>
        <v>9.5013992069371831</v>
      </c>
      <c r="AF92" cm="1">
        <f t="array" ref="AF92">MMULT($AG92:$AM92,'Avg CI Index'!$C$2:$C$8)/BI92</f>
        <v>9.5113992248297272</v>
      </c>
      <c r="AG92">
        <v>69.093712131299313</v>
      </c>
      <c r="AH92">
        <v>527.08292418742781</v>
      </c>
      <c r="AI92">
        <v>0</v>
      </c>
      <c r="AJ92">
        <v>314.26366958839816</v>
      </c>
      <c r="AK92">
        <v>982.07603718161386</v>
      </c>
      <c r="AL92">
        <v>0</v>
      </c>
      <c r="AM92">
        <v>716.59230130470542</v>
      </c>
      <c r="AN92" cm="1">
        <f t="array" ref="AN92">$Y92*INDEX(RefCapacity!$D$2:$D$526,MATCH(1,(RefCapacity!$A$2:$A$526=RefCapacityProj!$D92)*(RefCapacity!$B$2:$B$526=2019)*(RefCapacity!$C$2:$C$526=AG$1),0))/SUMIFS(RefCapacity!$D$2:$D$526,RefCapacity!$A$2:$A$526,RefCapacityProj!$D92,RefCapacity!$B$2:$B$526,2019)</f>
        <v>15.869037253142235</v>
      </c>
      <c r="AO92" cm="1">
        <f t="array" ref="AO92">$Y92*INDEX(RefCapacity!$D$2:$D$526,MATCH(1,(RefCapacity!$A$2:$A$526=RefCapacityProj!$D92)*(RefCapacity!$B$2:$B$526=2019)*(RefCapacity!$C$2:$C$526=AH$1),0))/SUMIFS(RefCapacity!$D$2:$D$526,RefCapacity!$A$2:$A$526,RefCapacityProj!$D92,RefCapacity!$B$2:$B$526,2019)</f>
        <v>390.93454079304576</v>
      </c>
      <c r="AP92" cm="1">
        <f t="array" ref="AP92">$Y92*INDEX(RefCapacity!$D$2:$D$526,MATCH(1,(RefCapacity!$A$2:$A$526=RefCapacityProj!$D92)*(RefCapacity!$B$2:$B$526=2019)*(RefCapacity!$C$2:$C$526=AI$1),0))/SUMIFS(RefCapacity!$D$2:$D$526,RefCapacity!$A$2:$A$526,RefCapacityProj!$D92,RefCapacity!$B$2:$B$526,2019)</f>
        <v>0</v>
      </c>
      <c r="AQ92" cm="1">
        <f t="array" ref="AQ92">$Y92*INDEX(RefCapacity!$D$2:$D$526,MATCH(1,(RefCapacity!$A$2:$A$526=RefCapacityProj!$D92)*(RefCapacity!$B$2:$B$526=2019)*(RefCapacity!$C$2:$C$526=AJ$1),0))/SUMIFS(RefCapacity!$D$2:$D$526,RefCapacity!$A$2:$A$526,RefCapacityProj!$D92,RefCapacity!$B$2:$B$526,2019)</f>
        <v>329.44845400059546</v>
      </c>
      <c r="AR92" cm="1">
        <f t="array" ref="AR92">$Y92*INDEX(RefCapacity!$D$2:$D$526,MATCH(1,(RefCapacity!$A$2:$A$526=RefCapacityProj!$D92)*(RefCapacity!$B$2:$B$526=2019)*(RefCapacity!$C$2:$C$526=AK$1),0))/SUMIFS(RefCapacity!$D$2:$D$526,RefCapacity!$A$2:$A$526,RefCapacityProj!$D92,RefCapacity!$B$2:$B$526,2019)</f>
        <v>1018.682947128716</v>
      </c>
      <c r="AS92" cm="1">
        <f t="array" ref="AS92">$Y92*INDEX(RefCapacity!$D$2:$D$526,MATCH(1,(RefCapacity!$A$2:$A$526=RefCapacityProj!$D92)*(RefCapacity!$B$2:$B$526=2019)*(RefCapacity!$C$2:$C$526=AL$1),0))/SUMIFS(RefCapacity!$D$2:$D$526,RefCapacity!$A$2:$A$526,RefCapacityProj!$D92,RefCapacity!$B$2:$B$526,2019)</f>
        <v>0</v>
      </c>
      <c r="AT92" cm="1">
        <f t="array" ref="AT92">$Y92*INDEX(RefCapacity!$D$2:$D$526,MATCH(1,(RefCapacity!$A$2:$A$526=RefCapacityProj!$D92)*(RefCapacity!$B$2:$B$526=2019)*(RefCapacity!$C$2:$C$526=AM$1),0))/SUMIFS(RefCapacity!$D$2:$D$526,RefCapacity!$A$2:$A$526,RefCapacityProj!$D92,RefCapacity!$B$2:$B$526,2019)</f>
        <v>831.11581739440749</v>
      </c>
      <c r="AU92" cm="1">
        <f t="array" ref="AU92">INDEX(RefCapacity!$D$2:$D$526,MATCH(1,(RefCapacity!$A$2:$A$526=RefCapacityProj!$D92)*(RefCapacity!$B$2:$B$526=2019)*(RefCapacity!$C$2:$C$526=RefCapacityProj!AG$1),0))*IF($C92=2035,1+VLOOKUP(AG$1,RefCapacity!$H$2:$L$8,2,FALSE),1+VLOOKUP(AG$1,RefCapacity!$H$2:$L$8,4,FALSE))</f>
        <v>69.095643226583363</v>
      </c>
      <c r="AV92" cm="1">
        <f t="array" ref="AV92">INDEX(RefCapacity!$D$2:$D$526,MATCH(1,(RefCapacity!$A$2:$A$526=RefCapacityProj!$D92)*(RefCapacity!$B$2:$B$526=2019)*(RefCapacity!$C$2:$C$526=RefCapacityProj!AH$1),0))*IF($C92=2035,1+VLOOKUP(AH$1,RefCapacity!$H$2:$L$8,2,FALSE),1+VLOOKUP(AH$1,RefCapacity!$H$2:$L$8,4,FALSE))</f>
        <v>829.70092482947541</v>
      </c>
      <c r="AW92" cm="1">
        <f t="array" ref="AW92">INDEX(RefCapacity!$D$2:$D$526,MATCH(1,(RefCapacity!$A$2:$A$526=RefCapacityProj!$D92)*(RefCapacity!$B$2:$B$526=2019)*(RefCapacity!$C$2:$C$526=RefCapacityProj!AI$1),0))*IF($C92=2035,1+VLOOKUP(AI$1,RefCapacity!$H$2:$L$8,2,FALSE),1+VLOOKUP(AI$1,RefCapacity!$H$2:$L$8,4,FALSE))</f>
        <v>0</v>
      </c>
      <c r="AX92" cm="1">
        <f t="array" ref="AX92">INDEX(RefCapacity!$D$2:$D$526,MATCH(1,(RefCapacity!$A$2:$A$526=RefCapacityProj!$D92)*(RefCapacity!$B$2:$B$526=2019)*(RefCapacity!$C$2:$C$526=RefCapacityProj!AJ$1),0))*IF($C92=2035,1+VLOOKUP(AJ$1,RefCapacity!$H$2:$L$8,2,FALSE),1+VLOOKUP(AJ$1,RefCapacity!$H$2:$L$8,4,FALSE))</f>
        <v>993.12500000000011</v>
      </c>
      <c r="AY92" cm="1">
        <f t="array" ref="AY92">INDEX(RefCapacity!$D$2:$D$526,MATCH(1,(RefCapacity!$A$2:$A$526=RefCapacityProj!$D92)*(RefCapacity!$B$2:$B$526=2019)*(RefCapacity!$C$2:$C$526=RefCapacityProj!AK$1),0))*IF($C92=2035,1+VLOOKUP(AK$1,RefCapacity!$H$2:$L$8,2,FALSE),1+VLOOKUP(AK$1,RefCapacity!$H$2:$L$8,4,FALSE))</f>
        <v>1991.4122477464978</v>
      </c>
      <c r="AZ92" cm="1">
        <f t="array" ref="AZ92">INDEX(RefCapacity!$D$2:$D$526,MATCH(1,(RefCapacity!$A$2:$A$526=RefCapacityProj!$D92)*(RefCapacity!$B$2:$B$526=2019)*(RefCapacity!$C$2:$C$526=RefCapacityProj!AL$1),0))*IF($C92=2035,1+VLOOKUP(AL$1,RefCapacity!$H$2:$L$8,2,FALSE),1+VLOOKUP(AL$1,RefCapacity!$H$2:$L$8,4,FALSE))</f>
        <v>0</v>
      </c>
      <c r="BA92" cm="1">
        <f t="array" ref="BA92">INDEX(RefCapacity!$D$2:$D$526,MATCH(1,(RefCapacity!$A$2:$A$526=RefCapacityProj!$D92)*(RefCapacity!$B$2:$B$526=2019)*(RefCapacity!$C$2:$C$526=RefCapacityProj!AM$1),0))*IF($C92=2035,1+VLOOKUP(AM$1,RefCapacity!$H$2:$L$8,2,FALSE),1+VLOOKUP(AM$1,RefCapacity!$H$2:$L$8,4,FALSE))</f>
        <v>1360.1267578285858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f t="shared" si="12"/>
        <v>2609.1086443934446</v>
      </c>
      <c r="BJ92">
        <f t="shared" si="13"/>
        <v>23.057847823537486</v>
      </c>
      <c r="BK92">
        <f t="shared" si="14"/>
        <v>1.0000017892544122E-2</v>
      </c>
      <c r="BL92" cm="1">
        <f t="array" ref="BL92">AG92/$BI92*INDEX('GHG Emission'!$C$2:$C$1121,MATCH(1,('GHG Emission'!$D$2:$D$1121=$D92)*('GHG Emission'!$E$2:$E$1121=$C92)*('GHG Emission'!$F$2:$F$1121=$B92)*('GHG Emission'!$I$2:$I$1121=$E92)*('GHG Emission'!$J$2:$J$1121=$F92)*('GHG Emission'!$K$2:$K$1121=AG$1),0))+AH92/$BI92*INDEX('GHG Emission'!$C$2:$C$1121,MATCH(1,('GHG Emission'!$D$2:$D$1121=$D92)*('GHG Emission'!$E$2:$E$1121=$C92)*('GHG Emission'!$F$2:$F$1121=$B92)*('GHG Emission'!$I$2:$I$1121=$E92)*('GHG Emission'!$J$2:$J$1121=$F92)*('GHG Emission'!$K$2:$K$1121=AH$1),0))+AI92/$BI92*INDEX('GHG Emission'!$C$2:$C$1121,MATCH(1,('GHG Emission'!$D$2:$D$1121=$D92)*('GHG Emission'!$E$2:$E$1121=$C92)*('GHG Emission'!$F$2:$F$1121=$B92)*('GHG Emission'!$I$2:$I$1121=$E92)*('GHG Emission'!$J$2:$J$1121=$F92)*('GHG Emission'!$K$2:$K$1121=AI$1),0))+AJ92/$BI92*INDEX('GHG Emission'!$C$2:$C$1121,MATCH(1,('GHG Emission'!$D$2:$D$1121=$D92)*('GHG Emission'!$E$2:$E$1121=$C92)*('GHG Emission'!$F$2:$F$1121=$B92)*('GHG Emission'!$I$2:$I$1121=$E92)*('GHG Emission'!$J$2:$J$1121=$F92)*('GHG Emission'!$K$2:$K$1121=AJ$1),0))+AK92/$BI92*INDEX('GHG Emission'!$C$2:$C$1121,MATCH(1,('GHG Emission'!$D$2:$D$1121=$D92)*('GHG Emission'!$E$2:$E$1121=$C92)*('GHG Emission'!$F$2:$F$1121=$B92)*('GHG Emission'!$I$2:$I$1121=$E92)*('GHG Emission'!$J$2:$J$1121=$F92)*('GHG Emission'!$K$2:$K$1121=AK$1),0))+AL92/$BI92*INDEX('GHG Emission'!$C$2:$C$1121,MATCH(1,('GHG Emission'!$D$2:$D$1121=$D92)*('GHG Emission'!$E$2:$E$1121=$C92)*('GHG Emission'!$F$2:$F$1121=$B92)*('GHG Emission'!$I$2:$I$1121=$E92)*('GHG Emission'!$J$2:$J$1121=$F92)*('GHG Emission'!$K$2:$K$1121=AL$1),0))+AM92/$BI92*INDEX('GHG Emission'!$C$2:$C$1121,MATCH(1,('GHG Emission'!$D$2:$D$1121=$D92)*('GHG Emission'!$E$2:$E$1121=$C92)*('GHG Emission'!$F$2:$F$1121=$B92)*('GHG Emission'!$I$2:$I$1121=$E92)*('GHG Emission'!$J$2:$J$1121=$F92)*('GHG Emission'!$K$2:$K$1121=AM$1),0))</f>
        <v>34.597854044575612</v>
      </c>
      <c r="BM92" t="str">
        <f t="shared" si="15"/>
        <v>LIGHT/SWEET</v>
      </c>
    </row>
    <row r="93" spans="1:65" hidden="1" x14ac:dyDescent="0.25">
      <c r="A93">
        <v>92</v>
      </c>
      <c r="B93" t="s">
        <v>471</v>
      </c>
      <c r="C93">
        <v>2035</v>
      </c>
      <c r="D93">
        <v>2</v>
      </c>
      <c r="E93" t="s">
        <v>469</v>
      </c>
      <c r="F93" t="s">
        <v>468</v>
      </c>
      <c r="G93">
        <v>1478.9530540164449</v>
      </c>
      <c r="H93">
        <v>243.18273200131145</v>
      </c>
      <c r="I93">
        <v>1019.0557681167865</v>
      </c>
      <c r="J93">
        <v>62.668782497353874</v>
      </c>
      <c r="K93">
        <v>41.316115877463915</v>
      </c>
      <c r="L93">
        <v>29.323153592751066</v>
      </c>
      <c r="M93">
        <v>0</v>
      </c>
      <c r="N93">
        <v>0</v>
      </c>
      <c r="O93">
        <v>0</v>
      </c>
      <c r="P93">
        <v>248.05364587990755</v>
      </c>
      <c r="Q93">
        <v>0</v>
      </c>
      <c r="R93">
        <v>0</v>
      </c>
      <c r="S93">
        <v>0</v>
      </c>
      <c r="T93">
        <v>8.9774380545843417</v>
      </c>
      <c r="U93">
        <v>0</v>
      </c>
      <c r="V93">
        <v>0</v>
      </c>
      <c r="W93">
        <v>0</v>
      </c>
      <c r="X93">
        <f t="shared" si="8"/>
        <v>3131.5306900366031</v>
      </c>
      <c r="Y93">
        <f>X93*VLOOKUP($D93,'LinearReg Model'!$S$2:$T$6,2,FALSE)</f>
        <v>2586.0507965699071</v>
      </c>
      <c r="Z93">
        <f t="shared" si="9"/>
        <v>0.47227800089008803</v>
      </c>
      <c r="AA93">
        <f t="shared" si="10"/>
        <v>0.32541778094624874</v>
      </c>
      <c r="AB93">
        <f t="shared" si="11"/>
        <v>7.7656186725242979E-2</v>
      </c>
      <c r="AC93">
        <v>34.957728681668918</v>
      </c>
      <c r="AD93">
        <v>2.3964868933205583</v>
      </c>
      <c r="AE93" s="2">
        <f>VLOOKUP($D93,'MultiReg Model'!$A$5:$F$9,2,FALSE)+AC93*VLOOKUP($D93,'MultiReg Model'!$A$5:$F$9,3,FALSE)+Z93*VLOOKUP($D93,'MultiReg Model'!$A$5:$F$9,4,FALSE)+AA93*VLOOKUP($D93,'MultiReg Model'!$A$5:$F$9,5,FALSE)+AB93*VLOOKUP($D93,'MultiReg Model'!$A$5:$F$9,6,FALSE)</f>
        <v>9.5013992069371831</v>
      </c>
      <c r="AF93" cm="1">
        <f t="array" ref="AF93">MMULT($AG93:$AM93,'Avg CI Index'!$C$2:$C$8)/BI93</f>
        <v>9.5113992248297272</v>
      </c>
      <c r="AG93">
        <v>69.093712131299313</v>
      </c>
      <c r="AH93">
        <v>527.08292418742781</v>
      </c>
      <c r="AI93">
        <v>0</v>
      </c>
      <c r="AJ93">
        <v>314.26366958839816</v>
      </c>
      <c r="AK93">
        <v>982.07603718161386</v>
      </c>
      <c r="AL93">
        <v>0</v>
      </c>
      <c r="AM93">
        <v>716.59230130470542</v>
      </c>
      <c r="AN93" cm="1">
        <f t="array" ref="AN93">$Y93*INDEX(RefCapacity!$D$2:$D$526,MATCH(1,(RefCapacity!$A$2:$A$526=RefCapacityProj!$D93)*(RefCapacity!$B$2:$B$526=2019)*(RefCapacity!$C$2:$C$526=AG$1),0))/SUMIFS(RefCapacity!$D$2:$D$526,RefCapacity!$A$2:$A$526,RefCapacityProj!$D93,RefCapacity!$B$2:$B$526,2019)</f>
        <v>15.869037253142235</v>
      </c>
      <c r="AO93" cm="1">
        <f t="array" ref="AO93">$Y93*INDEX(RefCapacity!$D$2:$D$526,MATCH(1,(RefCapacity!$A$2:$A$526=RefCapacityProj!$D93)*(RefCapacity!$B$2:$B$526=2019)*(RefCapacity!$C$2:$C$526=AH$1),0))/SUMIFS(RefCapacity!$D$2:$D$526,RefCapacity!$A$2:$A$526,RefCapacityProj!$D93,RefCapacity!$B$2:$B$526,2019)</f>
        <v>390.93454079304576</v>
      </c>
      <c r="AP93" cm="1">
        <f t="array" ref="AP93">$Y93*INDEX(RefCapacity!$D$2:$D$526,MATCH(1,(RefCapacity!$A$2:$A$526=RefCapacityProj!$D93)*(RefCapacity!$B$2:$B$526=2019)*(RefCapacity!$C$2:$C$526=AI$1),0))/SUMIFS(RefCapacity!$D$2:$D$526,RefCapacity!$A$2:$A$526,RefCapacityProj!$D93,RefCapacity!$B$2:$B$526,2019)</f>
        <v>0</v>
      </c>
      <c r="AQ93" cm="1">
        <f t="array" ref="AQ93">$Y93*INDEX(RefCapacity!$D$2:$D$526,MATCH(1,(RefCapacity!$A$2:$A$526=RefCapacityProj!$D93)*(RefCapacity!$B$2:$B$526=2019)*(RefCapacity!$C$2:$C$526=AJ$1),0))/SUMIFS(RefCapacity!$D$2:$D$526,RefCapacity!$A$2:$A$526,RefCapacityProj!$D93,RefCapacity!$B$2:$B$526,2019)</f>
        <v>329.44845400059546</v>
      </c>
      <c r="AR93" cm="1">
        <f t="array" ref="AR93">$Y93*INDEX(RefCapacity!$D$2:$D$526,MATCH(1,(RefCapacity!$A$2:$A$526=RefCapacityProj!$D93)*(RefCapacity!$B$2:$B$526=2019)*(RefCapacity!$C$2:$C$526=AK$1),0))/SUMIFS(RefCapacity!$D$2:$D$526,RefCapacity!$A$2:$A$526,RefCapacityProj!$D93,RefCapacity!$B$2:$B$526,2019)</f>
        <v>1018.682947128716</v>
      </c>
      <c r="AS93" cm="1">
        <f t="array" ref="AS93">$Y93*INDEX(RefCapacity!$D$2:$D$526,MATCH(1,(RefCapacity!$A$2:$A$526=RefCapacityProj!$D93)*(RefCapacity!$B$2:$B$526=2019)*(RefCapacity!$C$2:$C$526=AL$1),0))/SUMIFS(RefCapacity!$D$2:$D$526,RefCapacity!$A$2:$A$526,RefCapacityProj!$D93,RefCapacity!$B$2:$B$526,2019)</f>
        <v>0</v>
      </c>
      <c r="AT93" cm="1">
        <f t="array" ref="AT93">$Y93*INDEX(RefCapacity!$D$2:$D$526,MATCH(1,(RefCapacity!$A$2:$A$526=RefCapacityProj!$D93)*(RefCapacity!$B$2:$B$526=2019)*(RefCapacity!$C$2:$C$526=AM$1),0))/SUMIFS(RefCapacity!$D$2:$D$526,RefCapacity!$A$2:$A$526,RefCapacityProj!$D93,RefCapacity!$B$2:$B$526,2019)</f>
        <v>831.11581739440749</v>
      </c>
      <c r="AU93" cm="1">
        <f t="array" ref="AU93">INDEX(RefCapacity!$D$2:$D$526,MATCH(1,(RefCapacity!$A$2:$A$526=RefCapacityProj!$D93)*(RefCapacity!$B$2:$B$526=2019)*(RefCapacity!$C$2:$C$526=RefCapacityProj!AG$1),0))*IF($C93=2035,1+VLOOKUP(AG$1,RefCapacity!$H$2:$L$8,2,FALSE),1+VLOOKUP(AG$1,RefCapacity!$H$2:$L$8,4,FALSE))</f>
        <v>69.095643226583363</v>
      </c>
      <c r="AV93" cm="1">
        <f t="array" ref="AV93">INDEX(RefCapacity!$D$2:$D$526,MATCH(1,(RefCapacity!$A$2:$A$526=RefCapacityProj!$D93)*(RefCapacity!$B$2:$B$526=2019)*(RefCapacity!$C$2:$C$526=RefCapacityProj!AH$1),0))*IF($C93=2035,1+VLOOKUP(AH$1,RefCapacity!$H$2:$L$8,2,FALSE),1+VLOOKUP(AH$1,RefCapacity!$H$2:$L$8,4,FALSE))</f>
        <v>829.70092482947541</v>
      </c>
      <c r="AW93" cm="1">
        <f t="array" ref="AW93">INDEX(RefCapacity!$D$2:$D$526,MATCH(1,(RefCapacity!$A$2:$A$526=RefCapacityProj!$D93)*(RefCapacity!$B$2:$B$526=2019)*(RefCapacity!$C$2:$C$526=RefCapacityProj!AI$1),0))*IF($C93=2035,1+VLOOKUP(AI$1,RefCapacity!$H$2:$L$8,2,FALSE),1+VLOOKUP(AI$1,RefCapacity!$H$2:$L$8,4,FALSE))</f>
        <v>0</v>
      </c>
      <c r="AX93" cm="1">
        <f t="array" ref="AX93">INDEX(RefCapacity!$D$2:$D$526,MATCH(1,(RefCapacity!$A$2:$A$526=RefCapacityProj!$D93)*(RefCapacity!$B$2:$B$526=2019)*(RefCapacity!$C$2:$C$526=RefCapacityProj!AJ$1),0))*IF($C93=2035,1+VLOOKUP(AJ$1,RefCapacity!$H$2:$L$8,2,FALSE),1+VLOOKUP(AJ$1,RefCapacity!$H$2:$L$8,4,FALSE))</f>
        <v>993.12500000000011</v>
      </c>
      <c r="AY93" cm="1">
        <f t="array" ref="AY93">INDEX(RefCapacity!$D$2:$D$526,MATCH(1,(RefCapacity!$A$2:$A$526=RefCapacityProj!$D93)*(RefCapacity!$B$2:$B$526=2019)*(RefCapacity!$C$2:$C$526=RefCapacityProj!AK$1),0))*IF($C93=2035,1+VLOOKUP(AK$1,RefCapacity!$H$2:$L$8,2,FALSE),1+VLOOKUP(AK$1,RefCapacity!$H$2:$L$8,4,FALSE))</f>
        <v>1991.4122477464978</v>
      </c>
      <c r="AZ93" cm="1">
        <f t="array" ref="AZ93">INDEX(RefCapacity!$D$2:$D$526,MATCH(1,(RefCapacity!$A$2:$A$526=RefCapacityProj!$D93)*(RefCapacity!$B$2:$B$526=2019)*(RefCapacity!$C$2:$C$526=RefCapacityProj!AL$1),0))*IF($C93=2035,1+VLOOKUP(AL$1,RefCapacity!$H$2:$L$8,2,FALSE),1+VLOOKUP(AL$1,RefCapacity!$H$2:$L$8,4,FALSE))</f>
        <v>0</v>
      </c>
      <c r="BA93" cm="1">
        <f t="array" ref="BA93">INDEX(RefCapacity!$D$2:$D$526,MATCH(1,(RefCapacity!$A$2:$A$526=RefCapacityProj!$D93)*(RefCapacity!$B$2:$B$526=2019)*(RefCapacity!$C$2:$C$526=RefCapacityProj!AM$1),0))*IF($C93=2035,1+VLOOKUP(AM$1,RefCapacity!$H$2:$L$8,2,FALSE),1+VLOOKUP(AM$1,RefCapacity!$H$2:$L$8,4,FALSE))</f>
        <v>1360.1267578285858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f t="shared" si="12"/>
        <v>2609.1086443934446</v>
      </c>
      <c r="BJ93">
        <f t="shared" si="13"/>
        <v>23.057847823537486</v>
      </c>
      <c r="BK93">
        <f t="shared" si="14"/>
        <v>1.0000017892544122E-2</v>
      </c>
      <c r="BL93" cm="1">
        <f t="array" ref="BL93">AG93/$BI93*INDEX('GHG Emission'!$C$2:$C$1121,MATCH(1,('GHG Emission'!$D$2:$D$1121=$D93)*('GHG Emission'!$E$2:$E$1121=$C93)*('GHG Emission'!$F$2:$F$1121=$B93)*('GHG Emission'!$I$2:$I$1121=$E93)*('GHG Emission'!$J$2:$J$1121=$F93)*('GHG Emission'!$K$2:$K$1121=AG$1),0))+AH93/$BI93*INDEX('GHG Emission'!$C$2:$C$1121,MATCH(1,('GHG Emission'!$D$2:$D$1121=$D93)*('GHG Emission'!$E$2:$E$1121=$C93)*('GHG Emission'!$F$2:$F$1121=$B93)*('GHG Emission'!$I$2:$I$1121=$E93)*('GHG Emission'!$J$2:$J$1121=$F93)*('GHG Emission'!$K$2:$K$1121=AH$1),0))+AI93/$BI93*INDEX('GHG Emission'!$C$2:$C$1121,MATCH(1,('GHG Emission'!$D$2:$D$1121=$D93)*('GHG Emission'!$E$2:$E$1121=$C93)*('GHG Emission'!$F$2:$F$1121=$B93)*('GHG Emission'!$I$2:$I$1121=$E93)*('GHG Emission'!$J$2:$J$1121=$F93)*('GHG Emission'!$K$2:$K$1121=AI$1),0))+AJ93/$BI93*INDEX('GHG Emission'!$C$2:$C$1121,MATCH(1,('GHG Emission'!$D$2:$D$1121=$D93)*('GHG Emission'!$E$2:$E$1121=$C93)*('GHG Emission'!$F$2:$F$1121=$B93)*('GHG Emission'!$I$2:$I$1121=$E93)*('GHG Emission'!$J$2:$J$1121=$F93)*('GHG Emission'!$K$2:$K$1121=AJ$1),0))+AK93/$BI93*INDEX('GHG Emission'!$C$2:$C$1121,MATCH(1,('GHG Emission'!$D$2:$D$1121=$D93)*('GHG Emission'!$E$2:$E$1121=$C93)*('GHG Emission'!$F$2:$F$1121=$B93)*('GHG Emission'!$I$2:$I$1121=$E93)*('GHG Emission'!$J$2:$J$1121=$F93)*('GHG Emission'!$K$2:$K$1121=AK$1),0))+AL93/$BI93*INDEX('GHG Emission'!$C$2:$C$1121,MATCH(1,('GHG Emission'!$D$2:$D$1121=$D93)*('GHG Emission'!$E$2:$E$1121=$C93)*('GHG Emission'!$F$2:$F$1121=$B93)*('GHG Emission'!$I$2:$I$1121=$E93)*('GHG Emission'!$J$2:$J$1121=$F93)*('GHG Emission'!$K$2:$K$1121=AL$1),0))+AM93/$BI93*INDEX('GHG Emission'!$C$2:$C$1121,MATCH(1,('GHG Emission'!$D$2:$D$1121=$D93)*('GHG Emission'!$E$2:$E$1121=$C93)*('GHG Emission'!$F$2:$F$1121=$B93)*('GHG Emission'!$I$2:$I$1121=$E93)*('GHG Emission'!$J$2:$J$1121=$F93)*('GHG Emission'!$K$2:$K$1121=AM$1),0))</f>
        <v>33.161729943238292</v>
      </c>
      <c r="BM93" t="str">
        <f t="shared" si="15"/>
        <v>LIGHT/SOUR</v>
      </c>
    </row>
    <row r="94" spans="1:65" hidden="1" x14ac:dyDescent="0.25">
      <c r="A94">
        <v>93</v>
      </c>
      <c r="B94" t="s">
        <v>471</v>
      </c>
      <c r="C94">
        <v>2050</v>
      </c>
      <c r="D94">
        <v>2</v>
      </c>
      <c r="E94" t="s">
        <v>466</v>
      </c>
      <c r="F94" t="s">
        <v>467</v>
      </c>
      <c r="G94">
        <v>555.70477118807173</v>
      </c>
      <c r="H94">
        <v>299.79012097977647</v>
      </c>
      <c r="I94">
        <v>759.21731253436189</v>
      </c>
      <c r="J94">
        <v>46.689519961569694</v>
      </c>
      <c r="K94">
        <v>49.225586995672721</v>
      </c>
      <c r="L94">
        <v>34.936717005258899</v>
      </c>
      <c r="M94">
        <v>0</v>
      </c>
      <c r="N94">
        <v>0</v>
      </c>
      <c r="O94">
        <v>0</v>
      </c>
      <c r="P94">
        <v>204.93220516496709</v>
      </c>
      <c r="Q94">
        <v>0</v>
      </c>
      <c r="R94">
        <v>0</v>
      </c>
      <c r="S94">
        <v>0</v>
      </c>
      <c r="T94">
        <v>9.1474490742304866</v>
      </c>
      <c r="U94">
        <v>0</v>
      </c>
      <c r="V94">
        <v>0</v>
      </c>
      <c r="W94">
        <v>0</v>
      </c>
      <c r="X94">
        <f t="shared" si="8"/>
        <v>1959.6436829039092</v>
      </c>
      <c r="Y94">
        <f>X94*VLOOKUP($D94,'LinearReg Model'!$S$2:$T$6,2,FALSE)</f>
        <v>1618.2942492917437</v>
      </c>
      <c r="Z94">
        <f t="shared" si="9"/>
        <v>0.28357439469026197</v>
      </c>
      <c r="AA94">
        <f t="shared" si="10"/>
        <v>0.3874262036296881</v>
      </c>
      <c r="AB94">
        <f t="shared" si="11"/>
        <v>0.15298195462530759</v>
      </c>
      <c r="AC94">
        <v>28.354057795771688</v>
      </c>
      <c r="AD94">
        <v>0.49194998451747501</v>
      </c>
      <c r="AE94" s="2">
        <f>VLOOKUP($D94,'MultiReg Model'!$A$5:$F$9,2,FALSE)+AC94*VLOOKUP($D94,'MultiReg Model'!$A$5:$F$9,3,FALSE)+Z94*VLOOKUP($D94,'MultiReg Model'!$A$5:$F$9,4,FALSE)+AA94*VLOOKUP($D94,'MultiReg Model'!$A$5:$F$9,5,FALSE)+AB94*VLOOKUP($D94,'MultiReg Model'!$A$5:$F$9,6,FALSE)</f>
        <v>10.193360625560519</v>
      </c>
      <c r="AF94" cm="1">
        <f t="array" ref="AF94">MMULT($AG94:$AM94,'Avg CI Index'!$C$2:$C$8)/BI94</f>
        <v>10.183360627716088</v>
      </c>
      <c r="AG94">
        <v>1.5544844879371439E-3</v>
      </c>
      <c r="AH94">
        <v>113.83695407572873</v>
      </c>
      <c r="AI94">
        <v>0</v>
      </c>
      <c r="AJ94">
        <v>215.47776861229607</v>
      </c>
      <c r="AK94">
        <v>665.64181724712364</v>
      </c>
      <c r="AL94">
        <v>0</v>
      </c>
      <c r="AM94">
        <v>620.1442771648326</v>
      </c>
      <c r="AN94" cm="1">
        <f t="array" ref="AN94">$Y94*INDEX(RefCapacity!$D$2:$D$526,MATCH(1,(RefCapacity!$A$2:$A$526=RefCapacityProj!$D94)*(RefCapacity!$B$2:$B$526=2019)*(RefCapacity!$C$2:$C$526=AG$1),0))/SUMIFS(RefCapacity!$D$2:$D$526,RefCapacity!$A$2:$A$526,RefCapacityProj!$D94,RefCapacity!$B$2:$B$526,2019)</f>
        <v>9.9304977932448413</v>
      </c>
      <c r="AO94" cm="1">
        <f t="array" ref="AO94">$Y94*INDEX(RefCapacity!$D$2:$D$526,MATCH(1,(RefCapacity!$A$2:$A$526=RefCapacityProj!$D94)*(RefCapacity!$B$2:$B$526=2019)*(RefCapacity!$C$2:$C$526=AH$1),0))/SUMIFS(RefCapacity!$D$2:$D$526,RefCapacity!$A$2:$A$526,RefCapacityProj!$D94,RefCapacity!$B$2:$B$526,2019)</f>
        <v>244.63831880411112</v>
      </c>
      <c r="AP94" cm="1">
        <f t="array" ref="AP94">$Y94*INDEX(RefCapacity!$D$2:$D$526,MATCH(1,(RefCapacity!$A$2:$A$526=RefCapacityProj!$D94)*(RefCapacity!$B$2:$B$526=2019)*(RefCapacity!$C$2:$C$526=AI$1),0))/SUMIFS(RefCapacity!$D$2:$D$526,RefCapacity!$A$2:$A$526,RefCapacityProj!$D94,RefCapacity!$B$2:$B$526,2019)</f>
        <v>0</v>
      </c>
      <c r="AQ94" cm="1">
        <f t="array" ref="AQ94">$Y94*INDEX(RefCapacity!$D$2:$D$526,MATCH(1,(RefCapacity!$A$2:$A$526=RefCapacityProj!$D94)*(RefCapacity!$B$2:$B$526=2019)*(RefCapacity!$C$2:$C$526=AJ$1),0))/SUMIFS(RefCapacity!$D$2:$D$526,RefCapacity!$A$2:$A$526,RefCapacityProj!$D94,RefCapacity!$B$2:$B$526,2019)</f>
        <v>206.16166521337203</v>
      </c>
      <c r="AR94" cm="1">
        <f t="array" ref="AR94">$Y94*INDEX(RefCapacity!$D$2:$D$526,MATCH(1,(RefCapacity!$A$2:$A$526=RefCapacityProj!$D94)*(RefCapacity!$B$2:$B$526=2019)*(RefCapacity!$C$2:$C$526=AK$1),0))/SUMIFS(RefCapacity!$D$2:$D$526,RefCapacity!$A$2:$A$526,RefCapacityProj!$D94,RefCapacity!$B$2:$B$526,2019)</f>
        <v>637.46959548379573</v>
      </c>
      <c r="AS94" cm="1">
        <f t="array" ref="AS94">$Y94*INDEX(RefCapacity!$D$2:$D$526,MATCH(1,(RefCapacity!$A$2:$A$526=RefCapacityProj!$D94)*(RefCapacity!$B$2:$B$526=2019)*(RefCapacity!$C$2:$C$526=AL$1),0))/SUMIFS(RefCapacity!$D$2:$D$526,RefCapacity!$A$2:$A$526,RefCapacityProj!$D94,RefCapacity!$B$2:$B$526,2019)</f>
        <v>0</v>
      </c>
      <c r="AT94" cm="1">
        <f t="array" ref="AT94">$Y94*INDEX(RefCapacity!$D$2:$D$526,MATCH(1,(RefCapacity!$A$2:$A$526=RefCapacityProj!$D94)*(RefCapacity!$B$2:$B$526=2019)*(RefCapacity!$C$2:$C$526=AM$1),0))/SUMIFS(RefCapacity!$D$2:$D$526,RefCapacity!$A$2:$A$526,RefCapacityProj!$D94,RefCapacity!$B$2:$B$526,2019)</f>
        <v>520.09417199721986</v>
      </c>
      <c r="AU94" cm="1">
        <f t="array" ref="AU94">INDEX(RefCapacity!$D$2:$D$526,MATCH(1,(RefCapacity!$A$2:$A$526=RefCapacityProj!$D94)*(RefCapacity!$B$2:$B$526=2019)*(RefCapacity!$C$2:$C$526=RefCapacityProj!AG$1),0))*IF($C94=2035,1+VLOOKUP(AG$1,RefCapacity!$H$2:$L$8,2,FALSE),1+VLOOKUP(AG$1,RefCapacity!$H$2:$L$8,4,FALSE))</f>
        <v>113.20628645316671</v>
      </c>
      <c r="AV94" cm="1">
        <f t="array" ref="AV94">INDEX(RefCapacity!$D$2:$D$526,MATCH(1,(RefCapacity!$A$2:$A$526=RefCapacityProj!$D94)*(RefCapacity!$B$2:$B$526=2019)*(RefCapacity!$C$2:$C$526=RefCapacityProj!AH$1),0))*IF($C94=2035,1+VLOOKUP(AH$1,RefCapacity!$H$2:$L$8,2,FALSE),1+VLOOKUP(AH$1,RefCapacity!$H$2:$L$8,4,FALSE))</f>
        <v>1043.8951024062037</v>
      </c>
      <c r="AW94" cm="1">
        <f t="array" ref="AW94">INDEX(RefCapacity!$D$2:$D$526,MATCH(1,(RefCapacity!$A$2:$A$526=RefCapacityProj!$D94)*(RefCapacity!$B$2:$B$526=2019)*(RefCapacity!$C$2:$C$526=RefCapacityProj!AI$1),0))*IF($C94=2035,1+VLOOKUP(AI$1,RefCapacity!$H$2:$L$8,2,FALSE),1+VLOOKUP(AI$1,RefCapacity!$H$2:$L$8,4,FALSE))</f>
        <v>0</v>
      </c>
      <c r="AX94" cm="1">
        <f t="array" ref="AX94">INDEX(RefCapacity!$D$2:$D$526,MATCH(1,(RefCapacity!$A$2:$A$526=RefCapacityProj!$D94)*(RefCapacity!$B$2:$B$526=2019)*(RefCapacity!$C$2:$C$526=RefCapacityProj!AJ$1),0))*IF($C94=2035,1+VLOOKUP(AJ$1,RefCapacity!$H$2:$L$8,2,FALSE),1+VLOOKUP(AJ$1,RefCapacity!$H$2:$L$8,4,FALSE))</f>
        <v>1467.5500000000002</v>
      </c>
      <c r="AY94" cm="1">
        <f t="array" ref="AY94">INDEX(RefCapacity!$D$2:$D$526,MATCH(1,(RefCapacity!$A$2:$A$526=RefCapacityProj!$D94)*(RefCapacity!$B$2:$B$526=2019)*(RefCapacity!$C$2:$C$526=RefCapacityProj!AK$1),0))*IF($C94=2035,1+VLOOKUP(AK$1,RefCapacity!$H$2:$L$8,2,FALSE),1+VLOOKUP(AK$1,RefCapacity!$H$2:$L$8,4,FALSE))</f>
        <v>2378.9594954929953</v>
      </c>
      <c r="AZ94" cm="1">
        <f t="array" ref="AZ94">INDEX(RefCapacity!$D$2:$D$526,MATCH(1,(RefCapacity!$A$2:$A$526=RefCapacityProj!$D94)*(RefCapacity!$B$2:$B$526=2019)*(RefCapacity!$C$2:$C$526=RefCapacityProj!AL$1),0))*IF($C94=2035,1+VLOOKUP(AL$1,RefCapacity!$H$2:$L$8,2,FALSE),1+VLOOKUP(AL$1,RefCapacity!$H$2:$L$8,4,FALSE))</f>
        <v>0</v>
      </c>
      <c r="BA94" cm="1">
        <f t="array" ref="BA94">INDEX(RefCapacity!$D$2:$D$526,MATCH(1,(RefCapacity!$A$2:$A$526=RefCapacityProj!$D94)*(RefCapacity!$B$2:$B$526=2019)*(RefCapacity!$C$2:$C$526=RefCapacityProj!AM$1),0))*IF($C94=2035,1+VLOOKUP(AM$1,RefCapacity!$H$2:$L$8,2,FALSE),1+VLOOKUP(AM$1,RefCapacity!$H$2:$L$8,4,FALSE))</f>
        <v>1411.7035156571721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f t="shared" si="12"/>
        <v>1615.102371584469</v>
      </c>
      <c r="BJ94">
        <f t="shared" si="13"/>
        <v>3.1918777072746707</v>
      </c>
      <c r="BK94">
        <f t="shared" si="14"/>
        <v>9.9999978444316184E-3</v>
      </c>
      <c r="BL94" cm="1">
        <f t="array" ref="BL94">AG94/$BI94*INDEX('GHG Emission'!$C$2:$C$1121,MATCH(1,('GHG Emission'!$D$2:$D$1121=$D94)*('GHG Emission'!$E$2:$E$1121=$C94)*('GHG Emission'!$F$2:$F$1121=$B94)*('GHG Emission'!$I$2:$I$1121=$E94)*('GHG Emission'!$J$2:$J$1121=$F94)*('GHG Emission'!$K$2:$K$1121=AG$1),0))+AH94/$BI94*INDEX('GHG Emission'!$C$2:$C$1121,MATCH(1,('GHG Emission'!$D$2:$D$1121=$D94)*('GHG Emission'!$E$2:$E$1121=$C94)*('GHG Emission'!$F$2:$F$1121=$B94)*('GHG Emission'!$I$2:$I$1121=$E94)*('GHG Emission'!$J$2:$J$1121=$F94)*('GHG Emission'!$K$2:$K$1121=AH$1),0))+AI94/$BI94*INDEX('GHG Emission'!$C$2:$C$1121,MATCH(1,('GHG Emission'!$D$2:$D$1121=$D94)*('GHG Emission'!$E$2:$E$1121=$C94)*('GHG Emission'!$F$2:$F$1121=$B94)*('GHG Emission'!$I$2:$I$1121=$E94)*('GHG Emission'!$J$2:$J$1121=$F94)*('GHG Emission'!$K$2:$K$1121=AI$1),0))+AJ94/$BI94*INDEX('GHG Emission'!$C$2:$C$1121,MATCH(1,('GHG Emission'!$D$2:$D$1121=$D94)*('GHG Emission'!$E$2:$E$1121=$C94)*('GHG Emission'!$F$2:$F$1121=$B94)*('GHG Emission'!$I$2:$I$1121=$E94)*('GHG Emission'!$J$2:$J$1121=$F94)*('GHG Emission'!$K$2:$K$1121=AJ$1),0))+AK94/$BI94*INDEX('GHG Emission'!$C$2:$C$1121,MATCH(1,('GHG Emission'!$D$2:$D$1121=$D94)*('GHG Emission'!$E$2:$E$1121=$C94)*('GHG Emission'!$F$2:$F$1121=$B94)*('GHG Emission'!$I$2:$I$1121=$E94)*('GHG Emission'!$J$2:$J$1121=$F94)*('GHG Emission'!$K$2:$K$1121=AK$1),0))+AL94/$BI94*INDEX('GHG Emission'!$C$2:$C$1121,MATCH(1,('GHG Emission'!$D$2:$D$1121=$D94)*('GHG Emission'!$E$2:$E$1121=$C94)*('GHG Emission'!$F$2:$F$1121=$B94)*('GHG Emission'!$I$2:$I$1121=$E94)*('GHG Emission'!$J$2:$J$1121=$F94)*('GHG Emission'!$K$2:$K$1121=AL$1),0))+AM94/$BI94*INDEX('GHG Emission'!$C$2:$C$1121,MATCH(1,('GHG Emission'!$D$2:$D$1121=$D94)*('GHG Emission'!$E$2:$E$1121=$C94)*('GHG Emission'!$F$2:$F$1121=$B94)*('GHG Emission'!$I$2:$I$1121=$E94)*('GHG Emission'!$J$2:$J$1121=$F94)*('GHG Emission'!$K$2:$K$1121=AM$1),0))</f>
        <v>30.785018406377695</v>
      </c>
      <c r="BM94" t="str">
        <f t="shared" si="15"/>
        <v>HEAVY/SWEET</v>
      </c>
    </row>
    <row r="95" spans="1:65" hidden="1" x14ac:dyDescent="0.25">
      <c r="A95">
        <v>94</v>
      </c>
      <c r="B95" t="s">
        <v>471</v>
      </c>
      <c r="C95">
        <v>2050</v>
      </c>
      <c r="D95">
        <v>2</v>
      </c>
      <c r="E95" t="s">
        <v>466</v>
      </c>
      <c r="F95" t="s">
        <v>468</v>
      </c>
      <c r="G95">
        <v>555.70477118807173</v>
      </c>
      <c r="H95">
        <v>299.79012097977647</v>
      </c>
      <c r="I95">
        <v>759.21731253436189</v>
      </c>
      <c r="J95">
        <v>46.689519961569694</v>
      </c>
      <c r="K95">
        <v>49.225586995672721</v>
      </c>
      <c r="L95">
        <v>34.936717005258899</v>
      </c>
      <c r="M95">
        <v>0</v>
      </c>
      <c r="N95">
        <v>0</v>
      </c>
      <c r="O95">
        <v>0</v>
      </c>
      <c r="P95">
        <v>204.93220516496709</v>
      </c>
      <c r="Q95">
        <v>0</v>
      </c>
      <c r="R95">
        <v>0</v>
      </c>
      <c r="S95">
        <v>0</v>
      </c>
      <c r="T95">
        <v>9.1474490742304866</v>
      </c>
      <c r="U95">
        <v>0</v>
      </c>
      <c r="V95">
        <v>0</v>
      </c>
      <c r="W95">
        <v>0</v>
      </c>
      <c r="X95">
        <f t="shared" si="8"/>
        <v>1959.6436829039092</v>
      </c>
      <c r="Y95">
        <f>X95*VLOOKUP($D95,'LinearReg Model'!$S$2:$T$6,2,FALSE)</f>
        <v>1618.2942492917437</v>
      </c>
      <c r="Z95">
        <f t="shared" si="9"/>
        <v>0.28357439469026197</v>
      </c>
      <c r="AA95">
        <f t="shared" si="10"/>
        <v>0.3874262036296881</v>
      </c>
      <c r="AB95">
        <f t="shared" si="11"/>
        <v>0.15298195462530759</v>
      </c>
      <c r="AC95">
        <v>28.354057795771688</v>
      </c>
      <c r="AD95">
        <v>4.4723269444483442</v>
      </c>
      <c r="AE95" s="2">
        <f>VLOOKUP($D95,'MultiReg Model'!$A$5:$F$9,2,FALSE)+AC95*VLOOKUP($D95,'MultiReg Model'!$A$5:$F$9,3,FALSE)+Z95*VLOOKUP($D95,'MultiReg Model'!$A$5:$F$9,4,FALSE)+AA95*VLOOKUP($D95,'MultiReg Model'!$A$5:$F$9,5,FALSE)+AB95*VLOOKUP($D95,'MultiReg Model'!$A$5:$F$9,6,FALSE)</f>
        <v>10.193360625560519</v>
      </c>
      <c r="AF95" cm="1">
        <f t="array" ref="AF95">MMULT($AG95:$AM95,'Avg CI Index'!$C$2:$C$8)/BI95</f>
        <v>10.183360627716088</v>
      </c>
      <c r="AG95">
        <v>1.5544844879371439E-3</v>
      </c>
      <c r="AH95">
        <v>113.83695407572873</v>
      </c>
      <c r="AI95">
        <v>0</v>
      </c>
      <c r="AJ95">
        <v>215.47776861229607</v>
      </c>
      <c r="AK95">
        <v>665.64181724712364</v>
      </c>
      <c r="AL95">
        <v>0</v>
      </c>
      <c r="AM95">
        <v>620.1442771648326</v>
      </c>
      <c r="AN95" cm="1">
        <f t="array" ref="AN95">$Y95*INDEX(RefCapacity!$D$2:$D$526,MATCH(1,(RefCapacity!$A$2:$A$526=RefCapacityProj!$D95)*(RefCapacity!$B$2:$B$526=2019)*(RefCapacity!$C$2:$C$526=AG$1),0))/SUMIFS(RefCapacity!$D$2:$D$526,RefCapacity!$A$2:$A$526,RefCapacityProj!$D95,RefCapacity!$B$2:$B$526,2019)</f>
        <v>9.9304977932448413</v>
      </c>
      <c r="AO95" cm="1">
        <f t="array" ref="AO95">$Y95*INDEX(RefCapacity!$D$2:$D$526,MATCH(1,(RefCapacity!$A$2:$A$526=RefCapacityProj!$D95)*(RefCapacity!$B$2:$B$526=2019)*(RefCapacity!$C$2:$C$526=AH$1),0))/SUMIFS(RefCapacity!$D$2:$D$526,RefCapacity!$A$2:$A$526,RefCapacityProj!$D95,RefCapacity!$B$2:$B$526,2019)</f>
        <v>244.63831880411112</v>
      </c>
      <c r="AP95" cm="1">
        <f t="array" ref="AP95">$Y95*INDEX(RefCapacity!$D$2:$D$526,MATCH(1,(RefCapacity!$A$2:$A$526=RefCapacityProj!$D95)*(RefCapacity!$B$2:$B$526=2019)*(RefCapacity!$C$2:$C$526=AI$1),0))/SUMIFS(RefCapacity!$D$2:$D$526,RefCapacity!$A$2:$A$526,RefCapacityProj!$D95,RefCapacity!$B$2:$B$526,2019)</f>
        <v>0</v>
      </c>
      <c r="AQ95" cm="1">
        <f t="array" ref="AQ95">$Y95*INDEX(RefCapacity!$D$2:$D$526,MATCH(1,(RefCapacity!$A$2:$A$526=RefCapacityProj!$D95)*(RefCapacity!$B$2:$B$526=2019)*(RefCapacity!$C$2:$C$526=AJ$1),0))/SUMIFS(RefCapacity!$D$2:$D$526,RefCapacity!$A$2:$A$526,RefCapacityProj!$D95,RefCapacity!$B$2:$B$526,2019)</f>
        <v>206.16166521337203</v>
      </c>
      <c r="AR95" cm="1">
        <f t="array" ref="AR95">$Y95*INDEX(RefCapacity!$D$2:$D$526,MATCH(1,(RefCapacity!$A$2:$A$526=RefCapacityProj!$D95)*(RefCapacity!$B$2:$B$526=2019)*(RefCapacity!$C$2:$C$526=AK$1),0))/SUMIFS(RefCapacity!$D$2:$D$526,RefCapacity!$A$2:$A$526,RefCapacityProj!$D95,RefCapacity!$B$2:$B$526,2019)</f>
        <v>637.46959548379573</v>
      </c>
      <c r="AS95" cm="1">
        <f t="array" ref="AS95">$Y95*INDEX(RefCapacity!$D$2:$D$526,MATCH(1,(RefCapacity!$A$2:$A$526=RefCapacityProj!$D95)*(RefCapacity!$B$2:$B$526=2019)*(RefCapacity!$C$2:$C$526=AL$1),0))/SUMIFS(RefCapacity!$D$2:$D$526,RefCapacity!$A$2:$A$526,RefCapacityProj!$D95,RefCapacity!$B$2:$B$526,2019)</f>
        <v>0</v>
      </c>
      <c r="AT95" cm="1">
        <f t="array" ref="AT95">$Y95*INDEX(RefCapacity!$D$2:$D$526,MATCH(1,(RefCapacity!$A$2:$A$526=RefCapacityProj!$D95)*(RefCapacity!$B$2:$B$526=2019)*(RefCapacity!$C$2:$C$526=AM$1),0))/SUMIFS(RefCapacity!$D$2:$D$526,RefCapacity!$A$2:$A$526,RefCapacityProj!$D95,RefCapacity!$B$2:$B$526,2019)</f>
        <v>520.09417199721986</v>
      </c>
      <c r="AU95" cm="1">
        <f t="array" ref="AU95">INDEX(RefCapacity!$D$2:$D$526,MATCH(1,(RefCapacity!$A$2:$A$526=RefCapacityProj!$D95)*(RefCapacity!$B$2:$B$526=2019)*(RefCapacity!$C$2:$C$526=RefCapacityProj!AG$1),0))*IF($C95=2035,1+VLOOKUP(AG$1,RefCapacity!$H$2:$L$8,2,FALSE),1+VLOOKUP(AG$1,RefCapacity!$H$2:$L$8,4,FALSE))</f>
        <v>113.20628645316671</v>
      </c>
      <c r="AV95" cm="1">
        <f t="array" ref="AV95">INDEX(RefCapacity!$D$2:$D$526,MATCH(1,(RefCapacity!$A$2:$A$526=RefCapacityProj!$D95)*(RefCapacity!$B$2:$B$526=2019)*(RefCapacity!$C$2:$C$526=RefCapacityProj!AH$1),0))*IF($C95=2035,1+VLOOKUP(AH$1,RefCapacity!$H$2:$L$8,2,FALSE),1+VLOOKUP(AH$1,RefCapacity!$H$2:$L$8,4,FALSE))</f>
        <v>1043.8951024062037</v>
      </c>
      <c r="AW95" cm="1">
        <f t="array" ref="AW95">INDEX(RefCapacity!$D$2:$D$526,MATCH(1,(RefCapacity!$A$2:$A$526=RefCapacityProj!$D95)*(RefCapacity!$B$2:$B$526=2019)*(RefCapacity!$C$2:$C$526=RefCapacityProj!AI$1),0))*IF($C95=2035,1+VLOOKUP(AI$1,RefCapacity!$H$2:$L$8,2,FALSE),1+VLOOKUP(AI$1,RefCapacity!$H$2:$L$8,4,FALSE))</f>
        <v>0</v>
      </c>
      <c r="AX95" cm="1">
        <f t="array" ref="AX95">INDEX(RefCapacity!$D$2:$D$526,MATCH(1,(RefCapacity!$A$2:$A$526=RefCapacityProj!$D95)*(RefCapacity!$B$2:$B$526=2019)*(RefCapacity!$C$2:$C$526=RefCapacityProj!AJ$1),0))*IF($C95=2035,1+VLOOKUP(AJ$1,RefCapacity!$H$2:$L$8,2,FALSE),1+VLOOKUP(AJ$1,RefCapacity!$H$2:$L$8,4,FALSE))</f>
        <v>1467.5500000000002</v>
      </c>
      <c r="AY95" cm="1">
        <f t="array" ref="AY95">INDEX(RefCapacity!$D$2:$D$526,MATCH(1,(RefCapacity!$A$2:$A$526=RefCapacityProj!$D95)*(RefCapacity!$B$2:$B$526=2019)*(RefCapacity!$C$2:$C$526=RefCapacityProj!AK$1),0))*IF($C95=2035,1+VLOOKUP(AK$1,RefCapacity!$H$2:$L$8,2,FALSE),1+VLOOKUP(AK$1,RefCapacity!$H$2:$L$8,4,FALSE))</f>
        <v>2378.9594954929953</v>
      </c>
      <c r="AZ95" cm="1">
        <f t="array" ref="AZ95">INDEX(RefCapacity!$D$2:$D$526,MATCH(1,(RefCapacity!$A$2:$A$526=RefCapacityProj!$D95)*(RefCapacity!$B$2:$B$526=2019)*(RefCapacity!$C$2:$C$526=RefCapacityProj!AL$1),0))*IF($C95=2035,1+VLOOKUP(AL$1,RefCapacity!$H$2:$L$8,2,FALSE),1+VLOOKUP(AL$1,RefCapacity!$H$2:$L$8,4,FALSE))</f>
        <v>0</v>
      </c>
      <c r="BA95" cm="1">
        <f t="array" ref="BA95">INDEX(RefCapacity!$D$2:$D$526,MATCH(1,(RefCapacity!$A$2:$A$526=RefCapacityProj!$D95)*(RefCapacity!$B$2:$B$526=2019)*(RefCapacity!$C$2:$C$526=RefCapacityProj!AM$1),0))*IF($C95=2035,1+VLOOKUP(AM$1,RefCapacity!$H$2:$L$8,2,FALSE),1+VLOOKUP(AM$1,RefCapacity!$H$2:$L$8,4,FALSE))</f>
        <v>1411.7035156571721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f t="shared" si="12"/>
        <v>1615.102371584469</v>
      </c>
      <c r="BJ95">
        <f t="shared" si="13"/>
        <v>3.1918777072746707</v>
      </c>
      <c r="BK95">
        <f t="shared" si="14"/>
        <v>9.9999978444316184E-3</v>
      </c>
      <c r="BL95" cm="1">
        <f t="array" ref="BL95">AG95/$BI95*INDEX('GHG Emission'!$C$2:$C$1121,MATCH(1,('GHG Emission'!$D$2:$D$1121=$D95)*('GHG Emission'!$E$2:$E$1121=$C95)*('GHG Emission'!$F$2:$F$1121=$B95)*('GHG Emission'!$I$2:$I$1121=$E95)*('GHG Emission'!$J$2:$J$1121=$F95)*('GHG Emission'!$K$2:$K$1121=AG$1),0))+AH95/$BI95*INDEX('GHG Emission'!$C$2:$C$1121,MATCH(1,('GHG Emission'!$D$2:$D$1121=$D95)*('GHG Emission'!$E$2:$E$1121=$C95)*('GHG Emission'!$F$2:$F$1121=$B95)*('GHG Emission'!$I$2:$I$1121=$E95)*('GHG Emission'!$J$2:$J$1121=$F95)*('GHG Emission'!$K$2:$K$1121=AH$1),0))+AI95/$BI95*INDEX('GHG Emission'!$C$2:$C$1121,MATCH(1,('GHG Emission'!$D$2:$D$1121=$D95)*('GHG Emission'!$E$2:$E$1121=$C95)*('GHG Emission'!$F$2:$F$1121=$B95)*('GHG Emission'!$I$2:$I$1121=$E95)*('GHG Emission'!$J$2:$J$1121=$F95)*('GHG Emission'!$K$2:$K$1121=AI$1),0))+AJ95/$BI95*INDEX('GHG Emission'!$C$2:$C$1121,MATCH(1,('GHG Emission'!$D$2:$D$1121=$D95)*('GHG Emission'!$E$2:$E$1121=$C95)*('GHG Emission'!$F$2:$F$1121=$B95)*('GHG Emission'!$I$2:$I$1121=$E95)*('GHG Emission'!$J$2:$J$1121=$F95)*('GHG Emission'!$K$2:$K$1121=AJ$1),0))+AK95/$BI95*INDEX('GHG Emission'!$C$2:$C$1121,MATCH(1,('GHG Emission'!$D$2:$D$1121=$D95)*('GHG Emission'!$E$2:$E$1121=$C95)*('GHG Emission'!$F$2:$F$1121=$B95)*('GHG Emission'!$I$2:$I$1121=$E95)*('GHG Emission'!$J$2:$J$1121=$F95)*('GHG Emission'!$K$2:$K$1121=AK$1),0))+AL95/$BI95*INDEX('GHG Emission'!$C$2:$C$1121,MATCH(1,('GHG Emission'!$D$2:$D$1121=$D95)*('GHG Emission'!$E$2:$E$1121=$C95)*('GHG Emission'!$F$2:$F$1121=$B95)*('GHG Emission'!$I$2:$I$1121=$E95)*('GHG Emission'!$J$2:$J$1121=$F95)*('GHG Emission'!$K$2:$K$1121=AL$1),0))+AM95/$BI95*INDEX('GHG Emission'!$C$2:$C$1121,MATCH(1,('GHG Emission'!$D$2:$D$1121=$D95)*('GHG Emission'!$E$2:$E$1121=$C95)*('GHG Emission'!$F$2:$F$1121=$B95)*('GHG Emission'!$I$2:$I$1121=$E95)*('GHG Emission'!$J$2:$J$1121=$F95)*('GHG Emission'!$K$2:$K$1121=AM$1),0))</f>
        <v>32.742185371807935</v>
      </c>
      <c r="BM95" t="str">
        <f t="shared" si="15"/>
        <v>HEAVY/SOUR</v>
      </c>
    </row>
    <row r="96" spans="1:65" hidden="1" x14ac:dyDescent="0.25">
      <c r="A96">
        <v>95</v>
      </c>
      <c r="B96" t="s">
        <v>471</v>
      </c>
      <c r="C96">
        <v>2050</v>
      </c>
      <c r="D96">
        <v>2</v>
      </c>
      <c r="E96" t="s">
        <v>469</v>
      </c>
      <c r="F96" t="s">
        <v>467</v>
      </c>
      <c r="G96">
        <v>555.70477118807173</v>
      </c>
      <c r="H96">
        <v>299.79012097977647</v>
      </c>
      <c r="I96">
        <v>759.21731253436189</v>
      </c>
      <c r="J96">
        <v>46.689519961569694</v>
      </c>
      <c r="K96">
        <v>49.225586995672721</v>
      </c>
      <c r="L96">
        <v>34.936717005258899</v>
      </c>
      <c r="M96">
        <v>0</v>
      </c>
      <c r="N96">
        <v>0</v>
      </c>
      <c r="O96">
        <v>0</v>
      </c>
      <c r="P96">
        <v>204.93220516496709</v>
      </c>
      <c r="Q96">
        <v>0</v>
      </c>
      <c r="R96">
        <v>0</v>
      </c>
      <c r="S96">
        <v>0</v>
      </c>
      <c r="T96">
        <v>9.1474490742304866</v>
      </c>
      <c r="U96">
        <v>0</v>
      </c>
      <c r="V96">
        <v>0</v>
      </c>
      <c r="W96">
        <v>0</v>
      </c>
      <c r="X96">
        <f t="shared" si="8"/>
        <v>1959.6436829039092</v>
      </c>
      <c r="Y96">
        <f>X96*VLOOKUP($D96,'LinearReg Model'!$S$2:$T$6,2,FALSE)</f>
        <v>1618.2942492917437</v>
      </c>
      <c r="Z96">
        <f t="shared" si="9"/>
        <v>0.28357439469026197</v>
      </c>
      <c r="AA96">
        <f t="shared" si="10"/>
        <v>0.3874262036296881</v>
      </c>
      <c r="AB96">
        <f t="shared" si="11"/>
        <v>0.15298195462530759</v>
      </c>
      <c r="AC96">
        <v>34.957728681668918</v>
      </c>
      <c r="AD96">
        <v>0.49194998451747501</v>
      </c>
      <c r="AE96" s="2">
        <f>VLOOKUP($D96,'MultiReg Model'!$A$5:$F$9,2,FALSE)+AC96*VLOOKUP($D96,'MultiReg Model'!$A$5:$F$9,3,FALSE)+Z96*VLOOKUP($D96,'MultiReg Model'!$A$5:$F$9,4,FALSE)+AA96*VLOOKUP($D96,'MultiReg Model'!$A$5:$F$9,5,FALSE)+AB96*VLOOKUP($D96,'MultiReg Model'!$A$5:$F$9,6,FALSE)</f>
        <v>9.7848787546183669</v>
      </c>
      <c r="AF96" cm="1">
        <f t="array" ref="AF96">MMULT($AG96:$AM96,'Avg CI Index'!$C$2:$C$8)/BI96</f>
        <v>9.7948787757214646</v>
      </c>
      <c r="AG96">
        <v>20.577497308714069</v>
      </c>
      <c r="AH96">
        <v>248.4510153950194</v>
      </c>
      <c r="AI96">
        <v>0</v>
      </c>
      <c r="AJ96">
        <v>206.42754893132076</v>
      </c>
      <c r="AK96">
        <v>637.2335572339814</v>
      </c>
      <c r="AL96">
        <v>0</v>
      </c>
      <c r="AM96">
        <v>518.031763714112</v>
      </c>
      <c r="AN96" cm="1">
        <f t="array" ref="AN96">$Y96*INDEX(RefCapacity!$D$2:$D$526,MATCH(1,(RefCapacity!$A$2:$A$526=RefCapacityProj!$D96)*(RefCapacity!$B$2:$B$526=2019)*(RefCapacity!$C$2:$C$526=AG$1),0))/SUMIFS(RefCapacity!$D$2:$D$526,RefCapacity!$A$2:$A$526,RefCapacityProj!$D96,RefCapacity!$B$2:$B$526,2019)</f>
        <v>9.9304977932448413</v>
      </c>
      <c r="AO96" cm="1">
        <f t="array" ref="AO96">$Y96*INDEX(RefCapacity!$D$2:$D$526,MATCH(1,(RefCapacity!$A$2:$A$526=RefCapacityProj!$D96)*(RefCapacity!$B$2:$B$526=2019)*(RefCapacity!$C$2:$C$526=AH$1),0))/SUMIFS(RefCapacity!$D$2:$D$526,RefCapacity!$A$2:$A$526,RefCapacityProj!$D96,RefCapacity!$B$2:$B$526,2019)</f>
        <v>244.63831880411112</v>
      </c>
      <c r="AP96" cm="1">
        <f t="array" ref="AP96">$Y96*INDEX(RefCapacity!$D$2:$D$526,MATCH(1,(RefCapacity!$A$2:$A$526=RefCapacityProj!$D96)*(RefCapacity!$B$2:$B$526=2019)*(RefCapacity!$C$2:$C$526=AI$1),0))/SUMIFS(RefCapacity!$D$2:$D$526,RefCapacity!$A$2:$A$526,RefCapacityProj!$D96,RefCapacity!$B$2:$B$526,2019)</f>
        <v>0</v>
      </c>
      <c r="AQ96" cm="1">
        <f t="array" ref="AQ96">$Y96*INDEX(RefCapacity!$D$2:$D$526,MATCH(1,(RefCapacity!$A$2:$A$526=RefCapacityProj!$D96)*(RefCapacity!$B$2:$B$526=2019)*(RefCapacity!$C$2:$C$526=AJ$1),0))/SUMIFS(RefCapacity!$D$2:$D$526,RefCapacity!$A$2:$A$526,RefCapacityProj!$D96,RefCapacity!$B$2:$B$526,2019)</f>
        <v>206.16166521337203</v>
      </c>
      <c r="AR96" cm="1">
        <f t="array" ref="AR96">$Y96*INDEX(RefCapacity!$D$2:$D$526,MATCH(1,(RefCapacity!$A$2:$A$526=RefCapacityProj!$D96)*(RefCapacity!$B$2:$B$526=2019)*(RefCapacity!$C$2:$C$526=AK$1),0))/SUMIFS(RefCapacity!$D$2:$D$526,RefCapacity!$A$2:$A$526,RefCapacityProj!$D96,RefCapacity!$B$2:$B$526,2019)</f>
        <v>637.46959548379573</v>
      </c>
      <c r="AS96" cm="1">
        <f t="array" ref="AS96">$Y96*INDEX(RefCapacity!$D$2:$D$526,MATCH(1,(RefCapacity!$A$2:$A$526=RefCapacityProj!$D96)*(RefCapacity!$B$2:$B$526=2019)*(RefCapacity!$C$2:$C$526=AL$1),0))/SUMIFS(RefCapacity!$D$2:$D$526,RefCapacity!$A$2:$A$526,RefCapacityProj!$D96,RefCapacity!$B$2:$B$526,2019)</f>
        <v>0</v>
      </c>
      <c r="AT96" cm="1">
        <f t="array" ref="AT96">$Y96*INDEX(RefCapacity!$D$2:$D$526,MATCH(1,(RefCapacity!$A$2:$A$526=RefCapacityProj!$D96)*(RefCapacity!$B$2:$B$526=2019)*(RefCapacity!$C$2:$C$526=AM$1),0))/SUMIFS(RefCapacity!$D$2:$D$526,RefCapacity!$A$2:$A$526,RefCapacityProj!$D96,RefCapacity!$B$2:$B$526,2019)</f>
        <v>520.09417199721986</v>
      </c>
      <c r="AU96" cm="1">
        <f t="array" ref="AU96">INDEX(RefCapacity!$D$2:$D$526,MATCH(1,(RefCapacity!$A$2:$A$526=RefCapacityProj!$D96)*(RefCapacity!$B$2:$B$526=2019)*(RefCapacity!$C$2:$C$526=RefCapacityProj!AG$1),0))*IF($C96=2035,1+VLOOKUP(AG$1,RefCapacity!$H$2:$L$8,2,FALSE),1+VLOOKUP(AG$1,RefCapacity!$H$2:$L$8,4,FALSE))</f>
        <v>113.20628645316671</v>
      </c>
      <c r="AV96" cm="1">
        <f t="array" ref="AV96">INDEX(RefCapacity!$D$2:$D$526,MATCH(1,(RefCapacity!$A$2:$A$526=RefCapacityProj!$D96)*(RefCapacity!$B$2:$B$526=2019)*(RefCapacity!$C$2:$C$526=RefCapacityProj!AH$1),0))*IF($C96=2035,1+VLOOKUP(AH$1,RefCapacity!$H$2:$L$8,2,FALSE),1+VLOOKUP(AH$1,RefCapacity!$H$2:$L$8,4,FALSE))</f>
        <v>1043.8951024062037</v>
      </c>
      <c r="AW96" cm="1">
        <f t="array" ref="AW96">INDEX(RefCapacity!$D$2:$D$526,MATCH(1,(RefCapacity!$A$2:$A$526=RefCapacityProj!$D96)*(RefCapacity!$B$2:$B$526=2019)*(RefCapacity!$C$2:$C$526=RefCapacityProj!AI$1),0))*IF($C96=2035,1+VLOOKUP(AI$1,RefCapacity!$H$2:$L$8,2,FALSE),1+VLOOKUP(AI$1,RefCapacity!$H$2:$L$8,4,FALSE))</f>
        <v>0</v>
      </c>
      <c r="AX96" cm="1">
        <f t="array" ref="AX96">INDEX(RefCapacity!$D$2:$D$526,MATCH(1,(RefCapacity!$A$2:$A$526=RefCapacityProj!$D96)*(RefCapacity!$B$2:$B$526=2019)*(RefCapacity!$C$2:$C$526=RefCapacityProj!AJ$1),0))*IF($C96=2035,1+VLOOKUP(AJ$1,RefCapacity!$H$2:$L$8,2,FALSE),1+VLOOKUP(AJ$1,RefCapacity!$H$2:$L$8,4,FALSE))</f>
        <v>1467.5500000000002</v>
      </c>
      <c r="AY96" cm="1">
        <f t="array" ref="AY96">INDEX(RefCapacity!$D$2:$D$526,MATCH(1,(RefCapacity!$A$2:$A$526=RefCapacityProj!$D96)*(RefCapacity!$B$2:$B$526=2019)*(RefCapacity!$C$2:$C$526=RefCapacityProj!AK$1),0))*IF($C96=2035,1+VLOOKUP(AK$1,RefCapacity!$H$2:$L$8,2,FALSE),1+VLOOKUP(AK$1,RefCapacity!$H$2:$L$8,4,FALSE))</f>
        <v>2378.9594954929953</v>
      </c>
      <c r="AZ96" cm="1">
        <f t="array" ref="AZ96">INDEX(RefCapacity!$D$2:$D$526,MATCH(1,(RefCapacity!$A$2:$A$526=RefCapacityProj!$D96)*(RefCapacity!$B$2:$B$526=2019)*(RefCapacity!$C$2:$C$526=RefCapacityProj!AL$1),0))*IF($C96=2035,1+VLOOKUP(AL$1,RefCapacity!$H$2:$L$8,2,FALSE),1+VLOOKUP(AL$1,RefCapacity!$H$2:$L$8,4,FALSE))</f>
        <v>0</v>
      </c>
      <c r="BA96" cm="1">
        <f t="array" ref="BA96">INDEX(RefCapacity!$D$2:$D$526,MATCH(1,(RefCapacity!$A$2:$A$526=RefCapacityProj!$D96)*(RefCapacity!$B$2:$B$526=2019)*(RefCapacity!$C$2:$C$526=RefCapacityProj!AM$1),0))*IF($C96=2035,1+VLOOKUP(AM$1,RefCapacity!$H$2:$L$8,2,FALSE),1+VLOOKUP(AM$1,RefCapacity!$H$2:$L$8,4,FALSE))</f>
        <v>1411.7035156571721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f t="shared" si="12"/>
        <v>1630.7213825831477</v>
      </c>
      <c r="BJ96">
        <f t="shared" si="13"/>
        <v>12.427133291404061</v>
      </c>
      <c r="BK96">
        <f t="shared" si="14"/>
        <v>1.0000021103097723E-2</v>
      </c>
      <c r="BL96" cm="1">
        <f t="array" ref="BL96">AG96/$BI96*INDEX('GHG Emission'!$C$2:$C$1121,MATCH(1,('GHG Emission'!$D$2:$D$1121=$D96)*('GHG Emission'!$E$2:$E$1121=$C96)*('GHG Emission'!$F$2:$F$1121=$B96)*('GHG Emission'!$I$2:$I$1121=$E96)*('GHG Emission'!$J$2:$J$1121=$F96)*('GHG Emission'!$K$2:$K$1121=AG$1),0))+AH96/$BI96*INDEX('GHG Emission'!$C$2:$C$1121,MATCH(1,('GHG Emission'!$D$2:$D$1121=$D96)*('GHG Emission'!$E$2:$E$1121=$C96)*('GHG Emission'!$F$2:$F$1121=$B96)*('GHG Emission'!$I$2:$I$1121=$E96)*('GHG Emission'!$J$2:$J$1121=$F96)*('GHG Emission'!$K$2:$K$1121=AH$1),0))+AI96/$BI96*INDEX('GHG Emission'!$C$2:$C$1121,MATCH(1,('GHG Emission'!$D$2:$D$1121=$D96)*('GHG Emission'!$E$2:$E$1121=$C96)*('GHG Emission'!$F$2:$F$1121=$B96)*('GHG Emission'!$I$2:$I$1121=$E96)*('GHG Emission'!$J$2:$J$1121=$F96)*('GHG Emission'!$K$2:$K$1121=AI$1),0))+AJ96/$BI96*INDEX('GHG Emission'!$C$2:$C$1121,MATCH(1,('GHG Emission'!$D$2:$D$1121=$D96)*('GHG Emission'!$E$2:$E$1121=$C96)*('GHG Emission'!$F$2:$F$1121=$B96)*('GHG Emission'!$I$2:$I$1121=$E96)*('GHG Emission'!$J$2:$J$1121=$F96)*('GHG Emission'!$K$2:$K$1121=AJ$1),0))+AK96/$BI96*INDEX('GHG Emission'!$C$2:$C$1121,MATCH(1,('GHG Emission'!$D$2:$D$1121=$D96)*('GHG Emission'!$E$2:$E$1121=$C96)*('GHG Emission'!$F$2:$F$1121=$B96)*('GHG Emission'!$I$2:$I$1121=$E96)*('GHG Emission'!$J$2:$J$1121=$F96)*('GHG Emission'!$K$2:$K$1121=AK$1),0))+AL96/$BI96*INDEX('GHG Emission'!$C$2:$C$1121,MATCH(1,('GHG Emission'!$D$2:$D$1121=$D96)*('GHG Emission'!$E$2:$E$1121=$C96)*('GHG Emission'!$F$2:$F$1121=$B96)*('GHG Emission'!$I$2:$I$1121=$E96)*('GHG Emission'!$J$2:$J$1121=$F96)*('GHG Emission'!$K$2:$K$1121=AL$1),0))+AM96/$BI96*INDEX('GHG Emission'!$C$2:$C$1121,MATCH(1,('GHG Emission'!$D$2:$D$1121=$D96)*('GHG Emission'!$E$2:$E$1121=$C96)*('GHG Emission'!$F$2:$F$1121=$B96)*('GHG Emission'!$I$2:$I$1121=$E96)*('GHG Emission'!$J$2:$J$1121=$F96)*('GHG Emission'!$K$2:$K$1121=AM$1),0))</f>
        <v>31.302601387338854</v>
      </c>
      <c r="BM96" t="str">
        <f t="shared" si="15"/>
        <v>LIGHT/SWEET</v>
      </c>
    </row>
    <row r="97" spans="1:65" hidden="1" x14ac:dyDescent="0.25">
      <c r="A97">
        <v>96</v>
      </c>
      <c r="B97" t="s">
        <v>471</v>
      </c>
      <c r="C97">
        <v>2050</v>
      </c>
      <c r="D97">
        <v>2</v>
      </c>
      <c r="E97" t="s">
        <v>469</v>
      </c>
      <c r="F97" t="s">
        <v>468</v>
      </c>
      <c r="G97">
        <v>555.70477118807173</v>
      </c>
      <c r="H97">
        <v>299.79012097977647</v>
      </c>
      <c r="I97">
        <v>759.21731253436189</v>
      </c>
      <c r="J97">
        <v>46.689519961569694</v>
      </c>
      <c r="K97">
        <v>49.225586995672721</v>
      </c>
      <c r="L97">
        <v>34.936717005258899</v>
      </c>
      <c r="M97">
        <v>0</v>
      </c>
      <c r="N97">
        <v>0</v>
      </c>
      <c r="O97">
        <v>0</v>
      </c>
      <c r="P97">
        <v>204.93220516496709</v>
      </c>
      <c r="Q97">
        <v>0</v>
      </c>
      <c r="R97">
        <v>0</v>
      </c>
      <c r="S97">
        <v>0</v>
      </c>
      <c r="T97">
        <v>9.1474490742304866</v>
      </c>
      <c r="U97">
        <v>0</v>
      </c>
      <c r="V97">
        <v>0</v>
      </c>
      <c r="W97">
        <v>0</v>
      </c>
      <c r="X97">
        <f t="shared" si="8"/>
        <v>1959.6436829039092</v>
      </c>
      <c r="Y97">
        <f>X97*VLOOKUP($D97,'LinearReg Model'!$S$2:$T$6,2,FALSE)</f>
        <v>1618.2942492917437</v>
      </c>
      <c r="Z97">
        <f t="shared" si="9"/>
        <v>0.28357439469026197</v>
      </c>
      <c r="AA97">
        <f t="shared" si="10"/>
        <v>0.3874262036296881</v>
      </c>
      <c r="AB97">
        <f t="shared" si="11"/>
        <v>0.15298195462530759</v>
      </c>
      <c r="AC97">
        <v>34.957728681668918</v>
      </c>
      <c r="AD97">
        <v>4.4723269444483442</v>
      </c>
      <c r="AE97" s="2">
        <f>VLOOKUP($D97,'MultiReg Model'!$A$5:$F$9,2,FALSE)+AC97*VLOOKUP($D97,'MultiReg Model'!$A$5:$F$9,3,FALSE)+Z97*VLOOKUP($D97,'MultiReg Model'!$A$5:$F$9,4,FALSE)+AA97*VLOOKUP($D97,'MultiReg Model'!$A$5:$F$9,5,FALSE)+AB97*VLOOKUP($D97,'MultiReg Model'!$A$5:$F$9,6,FALSE)</f>
        <v>9.7848787546183669</v>
      </c>
      <c r="AF97" cm="1">
        <f t="array" ref="AF97">MMULT($AG97:$AM97,'Avg CI Index'!$C$2:$C$8)/BI97</f>
        <v>9.7948787757214646</v>
      </c>
      <c r="AG97">
        <v>20.577497308714069</v>
      </c>
      <c r="AH97">
        <v>248.4510153950194</v>
      </c>
      <c r="AI97">
        <v>0</v>
      </c>
      <c r="AJ97">
        <v>206.42754893132076</v>
      </c>
      <c r="AK97">
        <v>637.2335572339814</v>
      </c>
      <c r="AL97">
        <v>0</v>
      </c>
      <c r="AM97">
        <v>518.031763714112</v>
      </c>
      <c r="AN97" cm="1">
        <f t="array" ref="AN97">$Y97*INDEX(RefCapacity!$D$2:$D$526,MATCH(1,(RefCapacity!$A$2:$A$526=RefCapacityProj!$D97)*(RefCapacity!$B$2:$B$526=2019)*(RefCapacity!$C$2:$C$526=AG$1),0))/SUMIFS(RefCapacity!$D$2:$D$526,RefCapacity!$A$2:$A$526,RefCapacityProj!$D97,RefCapacity!$B$2:$B$526,2019)</f>
        <v>9.9304977932448413</v>
      </c>
      <c r="AO97" cm="1">
        <f t="array" ref="AO97">$Y97*INDEX(RefCapacity!$D$2:$D$526,MATCH(1,(RefCapacity!$A$2:$A$526=RefCapacityProj!$D97)*(RefCapacity!$B$2:$B$526=2019)*(RefCapacity!$C$2:$C$526=AH$1),0))/SUMIFS(RefCapacity!$D$2:$D$526,RefCapacity!$A$2:$A$526,RefCapacityProj!$D97,RefCapacity!$B$2:$B$526,2019)</f>
        <v>244.63831880411112</v>
      </c>
      <c r="AP97" cm="1">
        <f t="array" ref="AP97">$Y97*INDEX(RefCapacity!$D$2:$D$526,MATCH(1,(RefCapacity!$A$2:$A$526=RefCapacityProj!$D97)*(RefCapacity!$B$2:$B$526=2019)*(RefCapacity!$C$2:$C$526=AI$1),0))/SUMIFS(RefCapacity!$D$2:$D$526,RefCapacity!$A$2:$A$526,RefCapacityProj!$D97,RefCapacity!$B$2:$B$526,2019)</f>
        <v>0</v>
      </c>
      <c r="AQ97" cm="1">
        <f t="array" ref="AQ97">$Y97*INDEX(RefCapacity!$D$2:$D$526,MATCH(1,(RefCapacity!$A$2:$A$526=RefCapacityProj!$D97)*(RefCapacity!$B$2:$B$526=2019)*(RefCapacity!$C$2:$C$526=AJ$1),0))/SUMIFS(RefCapacity!$D$2:$D$526,RefCapacity!$A$2:$A$526,RefCapacityProj!$D97,RefCapacity!$B$2:$B$526,2019)</f>
        <v>206.16166521337203</v>
      </c>
      <c r="AR97" cm="1">
        <f t="array" ref="AR97">$Y97*INDEX(RefCapacity!$D$2:$D$526,MATCH(1,(RefCapacity!$A$2:$A$526=RefCapacityProj!$D97)*(RefCapacity!$B$2:$B$526=2019)*(RefCapacity!$C$2:$C$526=AK$1),0))/SUMIFS(RefCapacity!$D$2:$D$526,RefCapacity!$A$2:$A$526,RefCapacityProj!$D97,RefCapacity!$B$2:$B$526,2019)</f>
        <v>637.46959548379573</v>
      </c>
      <c r="AS97" cm="1">
        <f t="array" ref="AS97">$Y97*INDEX(RefCapacity!$D$2:$D$526,MATCH(1,(RefCapacity!$A$2:$A$526=RefCapacityProj!$D97)*(RefCapacity!$B$2:$B$526=2019)*(RefCapacity!$C$2:$C$526=AL$1),0))/SUMIFS(RefCapacity!$D$2:$D$526,RefCapacity!$A$2:$A$526,RefCapacityProj!$D97,RefCapacity!$B$2:$B$526,2019)</f>
        <v>0</v>
      </c>
      <c r="AT97" cm="1">
        <f t="array" ref="AT97">$Y97*INDEX(RefCapacity!$D$2:$D$526,MATCH(1,(RefCapacity!$A$2:$A$526=RefCapacityProj!$D97)*(RefCapacity!$B$2:$B$526=2019)*(RefCapacity!$C$2:$C$526=AM$1),0))/SUMIFS(RefCapacity!$D$2:$D$526,RefCapacity!$A$2:$A$526,RefCapacityProj!$D97,RefCapacity!$B$2:$B$526,2019)</f>
        <v>520.09417199721986</v>
      </c>
      <c r="AU97" cm="1">
        <f t="array" ref="AU97">INDEX(RefCapacity!$D$2:$D$526,MATCH(1,(RefCapacity!$A$2:$A$526=RefCapacityProj!$D97)*(RefCapacity!$B$2:$B$526=2019)*(RefCapacity!$C$2:$C$526=RefCapacityProj!AG$1),0))*IF($C97=2035,1+VLOOKUP(AG$1,RefCapacity!$H$2:$L$8,2,FALSE),1+VLOOKUP(AG$1,RefCapacity!$H$2:$L$8,4,FALSE))</f>
        <v>113.20628645316671</v>
      </c>
      <c r="AV97" cm="1">
        <f t="array" ref="AV97">INDEX(RefCapacity!$D$2:$D$526,MATCH(1,(RefCapacity!$A$2:$A$526=RefCapacityProj!$D97)*(RefCapacity!$B$2:$B$526=2019)*(RefCapacity!$C$2:$C$526=RefCapacityProj!AH$1),0))*IF($C97=2035,1+VLOOKUP(AH$1,RefCapacity!$H$2:$L$8,2,FALSE),1+VLOOKUP(AH$1,RefCapacity!$H$2:$L$8,4,FALSE))</f>
        <v>1043.8951024062037</v>
      </c>
      <c r="AW97" cm="1">
        <f t="array" ref="AW97">INDEX(RefCapacity!$D$2:$D$526,MATCH(1,(RefCapacity!$A$2:$A$526=RefCapacityProj!$D97)*(RefCapacity!$B$2:$B$526=2019)*(RefCapacity!$C$2:$C$526=RefCapacityProj!AI$1),0))*IF($C97=2035,1+VLOOKUP(AI$1,RefCapacity!$H$2:$L$8,2,FALSE),1+VLOOKUP(AI$1,RefCapacity!$H$2:$L$8,4,FALSE))</f>
        <v>0</v>
      </c>
      <c r="AX97" cm="1">
        <f t="array" ref="AX97">INDEX(RefCapacity!$D$2:$D$526,MATCH(1,(RefCapacity!$A$2:$A$526=RefCapacityProj!$D97)*(RefCapacity!$B$2:$B$526=2019)*(RefCapacity!$C$2:$C$526=RefCapacityProj!AJ$1),0))*IF($C97=2035,1+VLOOKUP(AJ$1,RefCapacity!$H$2:$L$8,2,FALSE),1+VLOOKUP(AJ$1,RefCapacity!$H$2:$L$8,4,FALSE))</f>
        <v>1467.5500000000002</v>
      </c>
      <c r="AY97" cm="1">
        <f t="array" ref="AY97">INDEX(RefCapacity!$D$2:$D$526,MATCH(1,(RefCapacity!$A$2:$A$526=RefCapacityProj!$D97)*(RefCapacity!$B$2:$B$526=2019)*(RefCapacity!$C$2:$C$526=RefCapacityProj!AK$1),0))*IF($C97=2035,1+VLOOKUP(AK$1,RefCapacity!$H$2:$L$8,2,FALSE),1+VLOOKUP(AK$1,RefCapacity!$H$2:$L$8,4,FALSE))</f>
        <v>2378.9594954929953</v>
      </c>
      <c r="AZ97" cm="1">
        <f t="array" ref="AZ97">INDEX(RefCapacity!$D$2:$D$526,MATCH(1,(RefCapacity!$A$2:$A$526=RefCapacityProj!$D97)*(RefCapacity!$B$2:$B$526=2019)*(RefCapacity!$C$2:$C$526=RefCapacityProj!AL$1),0))*IF($C97=2035,1+VLOOKUP(AL$1,RefCapacity!$H$2:$L$8,2,FALSE),1+VLOOKUP(AL$1,RefCapacity!$H$2:$L$8,4,FALSE))</f>
        <v>0</v>
      </c>
      <c r="BA97" cm="1">
        <f t="array" ref="BA97">INDEX(RefCapacity!$D$2:$D$526,MATCH(1,(RefCapacity!$A$2:$A$526=RefCapacityProj!$D97)*(RefCapacity!$B$2:$B$526=2019)*(RefCapacity!$C$2:$C$526=RefCapacityProj!AM$1),0))*IF($C97=2035,1+VLOOKUP(AM$1,RefCapacity!$H$2:$L$8,2,FALSE),1+VLOOKUP(AM$1,RefCapacity!$H$2:$L$8,4,FALSE))</f>
        <v>1411.7035156571721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f t="shared" si="12"/>
        <v>1630.7213825831477</v>
      </c>
      <c r="BJ97">
        <f t="shared" si="13"/>
        <v>12.427133291404061</v>
      </c>
      <c r="BK97">
        <f t="shared" si="14"/>
        <v>1.0000021103097723E-2</v>
      </c>
      <c r="BL97" cm="1">
        <f t="array" ref="BL97">AG97/$BI97*INDEX('GHG Emission'!$C$2:$C$1121,MATCH(1,('GHG Emission'!$D$2:$D$1121=$D97)*('GHG Emission'!$E$2:$E$1121=$C97)*('GHG Emission'!$F$2:$F$1121=$B97)*('GHG Emission'!$I$2:$I$1121=$E97)*('GHG Emission'!$J$2:$J$1121=$F97)*('GHG Emission'!$K$2:$K$1121=AG$1),0))+AH97/$BI97*INDEX('GHG Emission'!$C$2:$C$1121,MATCH(1,('GHG Emission'!$D$2:$D$1121=$D97)*('GHG Emission'!$E$2:$E$1121=$C97)*('GHG Emission'!$F$2:$F$1121=$B97)*('GHG Emission'!$I$2:$I$1121=$E97)*('GHG Emission'!$J$2:$J$1121=$F97)*('GHG Emission'!$K$2:$K$1121=AH$1),0))+AI97/$BI97*INDEX('GHG Emission'!$C$2:$C$1121,MATCH(1,('GHG Emission'!$D$2:$D$1121=$D97)*('GHG Emission'!$E$2:$E$1121=$C97)*('GHG Emission'!$F$2:$F$1121=$B97)*('GHG Emission'!$I$2:$I$1121=$E97)*('GHG Emission'!$J$2:$J$1121=$F97)*('GHG Emission'!$K$2:$K$1121=AI$1),0))+AJ97/$BI97*INDEX('GHG Emission'!$C$2:$C$1121,MATCH(1,('GHG Emission'!$D$2:$D$1121=$D97)*('GHG Emission'!$E$2:$E$1121=$C97)*('GHG Emission'!$F$2:$F$1121=$B97)*('GHG Emission'!$I$2:$I$1121=$E97)*('GHG Emission'!$J$2:$J$1121=$F97)*('GHG Emission'!$K$2:$K$1121=AJ$1),0))+AK97/$BI97*INDEX('GHG Emission'!$C$2:$C$1121,MATCH(1,('GHG Emission'!$D$2:$D$1121=$D97)*('GHG Emission'!$E$2:$E$1121=$C97)*('GHG Emission'!$F$2:$F$1121=$B97)*('GHG Emission'!$I$2:$I$1121=$E97)*('GHG Emission'!$J$2:$J$1121=$F97)*('GHG Emission'!$K$2:$K$1121=AK$1),0))+AL97/$BI97*INDEX('GHG Emission'!$C$2:$C$1121,MATCH(1,('GHG Emission'!$D$2:$D$1121=$D97)*('GHG Emission'!$E$2:$E$1121=$C97)*('GHG Emission'!$F$2:$F$1121=$B97)*('GHG Emission'!$I$2:$I$1121=$E97)*('GHG Emission'!$J$2:$J$1121=$F97)*('GHG Emission'!$K$2:$K$1121=AL$1),0))+AM97/$BI97*INDEX('GHG Emission'!$C$2:$C$1121,MATCH(1,('GHG Emission'!$D$2:$D$1121=$D97)*('GHG Emission'!$E$2:$E$1121=$C97)*('GHG Emission'!$F$2:$F$1121=$B97)*('GHG Emission'!$I$2:$I$1121=$E97)*('GHG Emission'!$J$2:$J$1121=$F97)*('GHG Emission'!$K$2:$K$1121=AM$1),0))</f>
        <v>34.124352062252029</v>
      </c>
      <c r="BM97" t="str">
        <f t="shared" si="15"/>
        <v>LIGHT/SOUR</v>
      </c>
    </row>
    <row r="98" spans="1:65" hidden="1" x14ac:dyDescent="0.25">
      <c r="A98">
        <v>97</v>
      </c>
      <c r="B98" t="s">
        <v>471</v>
      </c>
      <c r="C98">
        <v>2035</v>
      </c>
      <c r="D98">
        <v>3</v>
      </c>
      <c r="E98" t="s">
        <v>466</v>
      </c>
      <c r="F98" t="s">
        <v>467</v>
      </c>
      <c r="G98">
        <v>2030.7207078801459</v>
      </c>
      <c r="H98">
        <v>873.5420138934935</v>
      </c>
      <c r="I98">
        <v>2022.2299169981034</v>
      </c>
      <c r="J98">
        <v>1434.500024597955</v>
      </c>
      <c r="K98">
        <v>227.03245314490249</v>
      </c>
      <c r="L98">
        <v>42.104798242288538</v>
      </c>
      <c r="M98">
        <v>0</v>
      </c>
      <c r="N98">
        <v>0</v>
      </c>
      <c r="O98">
        <v>0</v>
      </c>
      <c r="P98">
        <v>84.135906604071025</v>
      </c>
      <c r="Q98">
        <v>0</v>
      </c>
      <c r="R98">
        <v>0</v>
      </c>
      <c r="S98">
        <v>0</v>
      </c>
      <c r="T98">
        <v>12.728894991386792</v>
      </c>
      <c r="U98">
        <v>0</v>
      </c>
      <c r="V98">
        <v>0</v>
      </c>
      <c r="W98">
        <v>0</v>
      </c>
      <c r="X98">
        <f t="shared" si="8"/>
        <v>6726.9947163523466</v>
      </c>
      <c r="Y98">
        <f>X98*VLOOKUP($D98,'LinearReg Model'!$S$2:$T$6,2,FALSE)</f>
        <v>6761.0309443186552</v>
      </c>
      <c r="Z98">
        <f t="shared" si="9"/>
        <v>0.30187636433603238</v>
      </c>
      <c r="AA98">
        <f t="shared" si="10"/>
        <v>0.30061416758398163</v>
      </c>
      <c r="AB98">
        <f t="shared" si="11"/>
        <v>0.12985620633386849</v>
      </c>
      <c r="AC98">
        <v>30.30214176476078</v>
      </c>
      <c r="AD98">
        <v>1.0500146884775321</v>
      </c>
      <c r="AE98" s="2">
        <f>VLOOKUP($D98,'MultiReg Model'!$A$5:$F$9,2,FALSE)+AC98*VLOOKUP($D98,'MultiReg Model'!$A$5:$F$9,3,FALSE)+Z98*VLOOKUP($D98,'MultiReg Model'!$A$5:$F$9,4,FALSE)+AA98*VLOOKUP($D98,'MultiReg Model'!$A$5:$F$9,5,FALSE)+AB98*VLOOKUP($D98,'MultiReg Model'!$A$5:$F$9,6,FALSE)</f>
        <v>9.4473137659125968</v>
      </c>
      <c r="AF98" cm="1">
        <f t="array" ref="AF98">MMULT($AG98:$AM98,'Avg CI Index'!$C$2:$C$8)/BI98</f>
        <v>9.4573137701504777</v>
      </c>
      <c r="AG98">
        <v>654.99048633637051</v>
      </c>
      <c r="AH98">
        <v>546.58970379827178</v>
      </c>
      <c r="AI98">
        <v>305.84544722538271</v>
      </c>
      <c r="AJ98">
        <v>575.69984114834119</v>
      </c>
      <c r="AK98">
        <v>1280.5159588136223</v>
      </c>
      <c r="AL98">
        <v>1.3871638809558644E-2</v>
      </c>
      <c r="AM98">
        <v>3460.3052713523684</v>
      </c>
      <c r="AN98" cm="1">
        <f t="array" ref="AN98">$Y98*INDEX(RefCapacity!$D$2:$D$526,MATCH(1,(RefCapacity!$A$2:$A$526=RefCapacityProj!$D98)*(RefCapacity!$B$2:$B$526=2019)*(RefCapacity!$C$2:$C$526=AG$1),0))/SUMIFS(RefCapacity!$D$2:$D$526,RefCapacity!$A$2:$A$526,RefCapacityProj!$D98,RefCapacity!$B$2:$B$526,2019)</f>
        <v>205.43322121730222</v>
      </c>
      <c r="AO98" cm="1">
        <f t="array" ref="AO98">$Y98*INDEX(RefCapacity!$D$2:$D$526,MATCH(1,(RefCapacity!$A$2:$A$526=RefCapacityProj!$D98)*(RefCapacity!$B$2:$B$526=2019)*(RefCapacity!$C$2:$C$526=AH$1),0))/SUMIFS(RefCapacity!$D$2:$D$526,RefCapacity!$A$2:$A$526,RefCapacityProj!$D98,RefCapacity!$B$2:$B$526,2019)</f>
        <v>477.35308699958819</v>
      </c>
      <c r="AP98" cm="1">
        <f t="array" ref="AP98">$Y98*INDEX(RefCapacity!$D$2:$D$526,MATCH(1,(RefCapacity!$A$2:$A$526=RefCapacityProj!$D98)*(RefCapacity!$B$2:$B$526=2019)*(RefCapacity!$C$2:$C$526=AI$1),0))/SUMIFS(RefCapacity!$D$2:$D$526,RefCapacity!$A$2:$A$526,RefCapacityProj!$D98,RefCapacity!$B$2:$B$526,2019)</f>
        <v>205.22994906352184</v>
      </c>
      <c r="AQ98" cm="1">
        <f t="array" ref="AQ98">$Y98*INDEX(RefCapacity!$D$2:$D$526,MATCH(1,(RefCapacity!$A$2:$A$526=RefCapacityProj!$D98)*(RefCapacity!$B$2:$B$526=2019)*(RefCapacity!$C$2:$C$526=AJ$1),0))/SUMIFS(RefCapacity!$D$2:$D$526,RefCapacity!$A$2:$A$526,RefCapacityProj!$D98,RefCapacity!$B$2:$B$526,2019)</f>
        <v>700.71657720819826</v>
      </c>
      <c r="AR98" cm="1">
        <f t="array" ref="AR98">$Y98*INDEX(RefCapacity!$D$2:$D$526,MATCH(1,(RefCapacity!$A$2:$A$526=RefCapacityProj!$D98)*(RefCapacity!$B$2:$B$526=2019)*(RefCapacity!$C$2:$C$526=AK$1),0))/SUMIFS(RefCapacity!$D$2:$D$526,RefCapacity!$A$2:$A$526,RefCapacityProj!$D98,RefCapacity!$B$2:$B$526,2019)</f>
        <v>1433.0409336868165</v>
      </c>
      <c r="AS98" cm="1">
        <f t="array" ref="AS98">$Y98*INDEX(RefCapacity!$D$2:$D$526,MATCH(1,(RefCapacity!$A$2:$A$526=RefCapacityProj!$D98)*(RefCapacity!$B$2:$B$526=2019)*(RefCapacity!$C$2:$C$526=AL$1),0))/SUMIFS(RefCapacity!$D$2:$D$526,RefCapacity!$A$2:$A$526,RefCapacityProj!$D98,RefCapacity!$B$2:$B$526,2019)</f>
        <v>26.362941445916228</v>
      </c>
      <c r="AT98" cm="1">
        <f t="array" ref="AT98">$Y98*INDEX(RefCapacity!$D$2:$D$526,MATCH(1,(RefCapacity!$A$2:$A$526=RefCapacityProj!$D98)*(RefCapacity!$B$2:$B$526=2019)*(RefCapacity!$C$2:$C$526=AM$1),0))/SUMIFS(RefCapacity!$D$2:$D$526,RefCapacity!$A$2:$A$526,RefCapacityProj!$D98,RefCapacity!$B$2:$B$526,2019)</f>
        <v>3712.8942346973122</v>
      </c>
      <c r="AU98" cm="1">
        <f t="array" ref="AU98">INDEX(RefCapacity!$D$2:$D$526,MATCH(1,(RefCapacity!$A$2:$A$526=RefCapacityProj!$D98)*(RefCapacity!$B$2:$B$526=2019)*(RefCapacity!$C$2:$C$526=RefCapacityProj!AG$1),0))*IF($C98=2035,1+VLOOKUP(AG$1,RefCapacity!$H$2:$L$8,2,FALSE),1+VLOOKUP(AG$1,RefCapacity!$H$2:$L$8,4,FALSE))</f>
        <v>818.90159671962101</v>
      </c>
      <c r="AV98" cm="1">
        <f t="array" ref="AV98">INDEX(RefCapacity!$D$2:$D$526,MATCH(1,(RefCapacity!$A$2:$A$526=RefCapacityProj!$D98)*(RefCapacity!$B$2:$B$526=2019)*(RefCapacity!$C$2:$C$526=RefCapacityProj!AH$1),0))*IF($C98=2035,1+VLOOKUP(AH$1,RefCapacity!$H$2:$L$8,2,FALSE),1+VLOOKUP(AH$1,RefCapacity!$H$2:$L$8,4,FALSE))</f>
        <v>927.50919366992355</v>
      </c>
      <c r="AW98" cm="1">
        <f t="array" ref="AW98">INDEX(RefCapacity!$D$2:$D$526,MATCH(1,(RefCapacity!$A$2:$A$526=RefCapacityProj!$D98)*(RefCapacity!$B$2:$B$526=2019)*(RefCapacity!$C$2:$C$526=RefCapacityProj!AI$1),0))*IF($C98=2035,1+VLOOKUP(AI$1,RefCapacity!$H$2:$L$8,2,FALSE),1+VLOOKUP(AI$1,RefCapacity!$H$2:$L$8,4,FALSE))</f>
        <v>305.85558861538459</v>
      </c>
      <c r="AX98" cm="1">
        <f t="array" ref="AX98">INDEX(RefCapacity!$D$2:$D$526,MATCH(1,(RefCapacity!$A$2:$A$526=RefCapacityProj!$D98)*(RefCapacity!$B$2:$B$526=2019)*(RefCapacity!$C$2:$C$526=RefCapacityProj!AJ$1),0))*IF($C98=2035,1+VLOOKUP(AJ$1,RefCapacity!$H$2:$L$8,2,FALSE),1+VLOOKUP(AJ$1,RefCapacity!$H$2:$L$8,4,FALSE))</f>
        <v>1933.836664979757</v>
      </c>
      <c r="AY98" cm="1">
        <f t="array" ref="AY98">INDEX(RefCapacity!$D$2:$D$526,MATCH(1,(RefCapacity!$A$2:$A$526=RefCapacityProj!$D98)*(RefCapacity!$B$2:$B$526=2019)*(RefCapacity!$C$2:$C$526=RefCapacityProj!AK$1),0))*IF($C98=2035,1+VLOOKUP(AK$1,RefCapacity!$H$2:$L$8,2,FALSE),1+VLOOKUP(AK$1,RefCapacity!$H$2:$L$8,4,FALSE))</f>
        <v>2564.7302317013236</v>
      </c>
      <c r="AZ98" cm="1">
        <f t="array" ref="AZ98">INDEX(RefCapacity!$D$2:$D$526,MATCH(1,(RefCapacity!$A$2:$A$526=RefCapacityProj!$D98)*(RefCapacity!$B$2:$B$526=2019)*(RefCapacity!$C$2:$C$526=RefCapacityProj!AL$1),0))*IF($C98=2035,1+VLOOKUP(AL$1,RefCapacity!$H$2:$L$8,2,FALSE),1+VLOOKUP(AL$1,RefCapacity!$H$2:$L$8,4,FALSE))</f>
        <v>53.6302514614692</v>
      </c>
      <c r="BA98" cm="1">
        <f t="array" ref="BA98">INDEX(RefCapacity!$D$2:$D$526,MATCH(1,(RefCapacity!$A$2:$A$526=RefCapacityProj!$D98)*(RefCapacity!$B$2:$B$526=2019)*(RefCapacity!$C$2:$C$526=RefCapacityProj!AM$1),0))*IF($C98=2035,1+VLOOKUP(AM$1,RefCapacity!$H$2:$L$8,2,FALSE),1+VLOOKUP(AM$1,RefCapacity!$H$2:$L$8,4,FALSE))</f>
        <v>5562.7734410987441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f t="shared" si="12"/>
        <v>6823.9605803131672</v>
      </c>
      <c r="BJ98">
        <f t="shared" si="13"/>
        <v>62.929635994511955</v>
      </c>
      <c r="BK98">
        <f t="shared" si="14"/>
        <v>1.0000004237880944E-2</v>
      </c>
      <c r="BL98" cm="1">
        <f t="array" ref="BL98">AG98/$BI98*INDEX('GHG Emission'!$C$2:$C$1121,MATCH(1,('GHG Emission'!$D$2:$D$1121=$D98)*('GHG Emission'!$E$2:$E$1121=$C98)*('GHG Emission'!$F$2:$F$1121=$B98)*('GHG Emission'!$I$2:$I$1121=$E98)*('GHG Emission'!$J$2:$J$1121=$F98)*('GHG Emission'!$K$2:$K$1121=AG$1),0))+AH98/$BI98*INDEX('GHG Emission'!$C$2:$C$1121,MATCH(1,('GHG Emission'!$D$2:$D$1121=$D98)*('GHG Emission'!$E$2:$E$1121=$C98)*('GHG Emission'!$F$2:$F$1121=$B98)*('GHG Emission'!$I$2:$I$1121=$E98)*('GHG Emission'!$J$2:$J$1121=$F98)*('GHG Emission'!$K$2:$K$1121=AH$1),0))+AI98/$BI98*INDEX('GHG Emission'!$C$2:$C$1121,MATCH(1,('GHG Emission'!$D$2:$D$1121=$D98)*('GHG Emission'!$E$2:$E$1121=$C98)*('GHG Emission'!$F$2:$F$1121=$B98)*('GHG Emission'!$I$2:$I$1121=$E98)*('GHG Emission'!$J$2:$J$1121=$F98)*('GHG Emission'!$K$2:$K$1121=AI$1),0))+AJ98/$BI98*INDEX('GHG Emission'!$C$2:$C$1121,MATCH(1,('GHG Emission'!$D$2:$D$1121=$D98)*('GHG Emission'!$E$2:$E$1121=$C98)*('GHG Emission'!$F$2:$F$1121=$B98)*('GHG Emission'!$I$2:$I$1121=$E98)*('GHG Emission'!$J$2:$J$1121=$F98)*('GHG Emission'!$K$2:$K$1121=AJ$1),0))+AK98/$BI98*INDEX('GHG Emission'!$C$2:$C$1121,MATCH(1,('GHG Emission'!$D$2:$D$1121=$D98)*('GHG Emission'!$E$2:$E$1121=$C98)*('GHG Emission'!$F$2:$F$1121=$B98)*('GHG Emission'!$I$2:$I$1121=$E98)*('GHG Emission'!$J$2:$J$1121=$F98)*('GHG Emission'!$K$2:$K$1121=AK$1),0))+AL98/$BI98*INDEX('GHG Emission'!$C$2:$C$1121,MATCH(1,('GHG Emission'!$D$2:$D$1121=$D98)*('GHG Emission'!$E$2:$E$1121=$C98)*('GHG Emission'!$F$2:$F$1121=$B98)*('GHG Emission'!$I$2:$I$1121=$E98)*('GHG Emission'!$J$2:$J$1121=$F98)*('GHG Emission'!$K$2:$K$1121=AL$1),0))+AM98/$BI98*INDEX('GHG Emission'!$C$2:$C$1121,MATCH(1,('GHG Emission'!$D$2:$D$1121=$D98)*('GHG Emission'!$E$2:$E$1121=$C98)*('GHG Emission'!$F$2:$F$1121=$B98)*('GHG Emission'!$I$2:$I$1121=$E98)*('GHG Emission'!$J$2:$J$1121=$F98)*('GHG Emission'!$K$2:$K$1121=AM$1),0))</f>
        <v>36.635634951885237</v>
      </c>
      <c r="BM98" t="str">
        <f t="shared" si="15"/>
        <v>HEAVY/SWEET</v>
      </c>
    </row>
    <row r="99" spans="1:65" hidden="1" x14ac:dyDescent="0.25">
      <c r="A99">
        <v>98</v>
      </c>
      <c r="B99" t="s">
        <v>471</v>
      </c>
      <c r="C99">
        <v>2035</v>
      </c>
      <c r="D99">
        <v>3</v>
      </c>
      <c r="E99" t="s">
        <v>466</v>
      </c>
      <c r="F99" t="s">
        <v>468</v>
      </c>
      <c r="G99">
        <v>2030.7207078801459</v>
      </c>
      <c r="H99">
        <v>873.5420138934935</v>
      </c>
      <c r="I99">
        <v>2022.2299169981034</v>
      </c>
      <c r="J99">
        <v>1434.500024597955</v>
      </c>
      <c r="K99">
        <v>227.03245314490249</v>
      </c>
      <c r="L99">
        <v>42.104798242288538</v>
      </c>
      <c r="M99">
        <v>0</v>
      </c>
      <c r="N99">
        <v>0</v>
      </c>
      <c r="O99">
        <v>0</v>
      </c>
      <c r="P99">
        <v>84.135906604071025</v>
      </c>
      <c r="Q99">
        <v>0</v>
      </c>
      <c r="R99">
        <v>0</v>
      </c>
      <c r="S99">
        <v>0</v>
      </c>
      <c r="T99">
        <v>12.728894991386792</v>
      </c>
      <c r="U99">
        <v>0</v>
      </c>
      <c r="V99">
        <v>0</v>
      </c>
      <c r="W99">
        <v>0</v>
      </c>
      <c r="X99">
        <f t="shared" si="8"/>
        <v>6726.9947163523466</v>
      </c>
      <c r="Y99">
        <f>X99*VLOOKUP($D99,'LinearReg Model'!$S$2:$T$6,2,FALSE)</f>
        <v>6761.0309443186552</v>
      </c>
      <c r="Z99">
        <f t="shared" si="9"/>
        <v>0.30187636433603238</v>
      </c>
      <c r="AA99">
        <f t="shared" si="10"/>
        <v>0.30061416758398163</v>
      </c>
      <c r="AB99">
        <f t="shared" si="11"/>
        <v>0.12985620633386849</v>
      </c>
      <c r="AC99">
        <v>30.30214176476078</v>
      </c>
      <c r="AD99">
        <v>1.975455919496689</v>
      </c>
      <c r="AE99" s="2">
        <f>VLOOKUP($D99,'MultiReg Model'!$A$5:$F$9,2,FALSE)+AC99*VLOOKUP($D99,'MultiReg Model'!$A$5:$F$9,3,FALSE)+Z99*VLOOKUP($D99,'MultiReg Model'!$A$5:$F$9,4,FALSE)+AA99*VLOOKUP($D99,'MultiReg Model'!$A$5:$F$9,5,FALSE)+AB99*VLOOKUP($D99,'MultiReg Model'!$A$5:$F$9,6,FALSE)</f>
        <v>9.4473137659125968</v>
      </c>
      <c r="AF99" cm="1">
        <f t="array" ref="AF99">MMULT($AG99:$AM99,'Avg CI Index'!$C$2:$C$8)/BI99</f>
        <v>9.4573137701504777</v>
      </c>
      <c r="AG99">
        <v>654.99048633637051</v>
      </c>
      <c r="AH99">
        <v>546.58970379827178</v>
      </c>
      <c r="AI99">
        <v>305.84544722538271</v>
      </c>
      <c r="AJ99">
        <v>575.69984114834119</v>
      </c>
      <c r="AK99">
        <v>1280.5159588136223</v>
      </c>
      <c r="AL99">
        <v>1.3871638809558644E-2</v>
      </c>
      <c r="AM99">
        <v>3460.3052713523684</v>
      </c>
      <c r="AN99" cm="1">
        <f t="array" ref="AN99">$Y99*INDEX(RefCapacity!$D$2:$D$526,MATCH(1,(RefCapacity!$A$2:$A$526=RefCapacityProj!$D99)*(RefCapacity!$B$2:$B$526=2019)*(RefCapacity!$C$2:$C$526=AG$1),0))/SUMIFS(RefCapacity!$D$2:$D$526,RefCapacity!$A$2:$A$526,RefCapacityProj!$D99,RefCapacity!$B$2:$B$526,2019)</f>
        <v>205.43322121730222</v>
      </c>
      <c r="AO99" cm="1">
        <f t="array" ref="AO99">$Y99*INDEX(RefCapacity!$D$2:$D$526,MATCH(1,(RefCapacity!$A$2:$A$526=RefCapacityProj!$D99)*(RefCapacity!$B$2:$B$526=2019)*(RefCapacity!$C$2:$C$526=AH$1),0))/SUMIFS(RefCapacity!$D$2:$D$526,RefCapacity!$A$2:$A$526,RefCapacityProj!$D99,RefCapacity!$B$2:$B$526,2019)</f>
        <v>477.35308699958819</v>
      </c>
      <c r="AP99" cm="1">
        <f t="array" ref="AP99">$Y99*INDEX(RefCapacity!$D$2:$D$526,MATCH(1,(RefCapacity!$A$2:$A$526=RefCapacityProj!$D99)*(RefCapacity!$B$2:$B$526=2019)*(RefCapacity!$C$2:$C$526=AI$1),0))/SUMIFS(RefCapacity!$D$2:$D$526,RefCapacity!$A$2:$A$526,RefCapacityProj!$D99,RefCapacity!$B$2:$B$526,2019)</f>
        <v>205.22994906352184</v>
      </c>
      <c r="AQ99" cm="1">
        <f t="array" ref="AQ99">$Y99*INDEX(RefCapacity!$D$2:$D$526,MATCH(1,(RefCapacity!$A$2:$A$526=RefCapacityProj!$D99)*(RefCapacity!$B$2:$B$526=2019)*(RefCapacity!$C$2:$C$526=AJ$1),0))/SUMIFS(RefCapacity!$D$2:$D$526,RefCapacity!$A$2:$A$526,RefCapacityProj!$D99,RefCapacity!$B$2:$B$526,2019)</f>
        <v>700.71657720819826</v>
      </c>
      <c r="AR99" cm="1">
        <f t="array" ref="AR99">$Y99*INDEX(RefCapacity!$D$2:$D$526,MATCH(1,(RefCapacity!$A$2:$A$526=RefCapacityProj!$D99)*(RefCapacity!$B$2:$B$526=2019)*(RefCapacity!$C$2:$C$526=AK$1),0))/SUMIFS(RefCapacity!$D$2:$D$526,RefCapacity!$A$2:$A$526,RefCapacityProj!$D99,RefCapacity!$B$2:$B$526,2019)</f>
        <v>1433.0409336868165</v>
      </c>
      <c r="AS99" cm="1">
        <f t="array" ref="AS99">$Y99*INDEX(RefCapacity!$D$2:$D$526,MATCH(1,(RefCapacity!$A$2:$A$526=RefCapacityProj!$D99)*(RefCapacity!$B$2:$B$526=2019)*(RefCapacity!$C$2:$C$526=AL$1),0))/SUMIFS(RefCapacity!$D$2:$D$526,RefCapacity!$A$2:$A$526,RefCapacityProj!$D99,RefCapacity!$B$2:$B$526,2019)</f>
        <v>26.362941445916228</v>
      </c>
      <c r="AT99" cm="1">
        <f t="array" ref="AT99">$Y99*INDEX(RefCapacity!$D$2:$D$526,MATCH(1,(RefCapacity!$A$2:$A$526=RefCapacityProj!$D99)*(RefCapacity!$B$2:$B$526=2019)*(RefCapacity!$C$2:$C$526=AM$1),0))/SUMIFS(RefCapacity!$D$2:$D$526,RefCapacity!$A$2:$A$526,RefCapacityProj!$D99,RefCapacity!$B$2:$B$526,2019)</f>
        <v>3712.8942346973122</v>
      </c>
      <c r="AU99" cm="1">
        <f t="array" ref="AU99">INDEX(RefCapacity!$D$2:$D$526,MATCH(1,(RefCapacity!$A$2:$A$526=RefCapacityProj!$D99)*(RefCapacity!$B$2:$B$526=2019)*(RefCapacity!$C$2:$C$526=RefCapacityProj!AG$1),0))*IF($C99=2035,1+VLOOKUP(AG$1,RefCapacity!$H$2:$L$8,2,FALSE),1+VLOOKUP(AG$1,RefCapacity!$H$2:$L$8,4,FALSE))</f>
        <v>818.90159671962101</v>
      </c>
      <c r="AV99" cm="1">
        <f t="array" ref="AV99">INDEX(RefCapacity!$D$2:$D$526,MATCH(1,(RefCapacity!$A$2:$A$526=RefCapacityProj!$D99)*(RefCapacity!$B$2:$B$526=2019)*(RefCapacity!$C$2:$C$526=RefCapacityProj!AH$1),0))*IF($C99=2035,1+VLOOKUP(AH$1,RefCapacity!$H$2:$L$8,2,FALSE),1+VLOOKUP(AH$1,RefCapacity!$H$2:$L$8,4,FALSE))</f>
        <v>927.50919366992355</v>
      </c>
      <c r="AW99" cm="1">
        <f t="array" ref="AW99">INDEX(RefCapacity!$D$2:$D$526,MATCH(1,(RefCapacity!$A$2:$A$526=RefCapacityProj!$D99)*(RefCapacity!$B$2:$B$526=2019)*(RefCapacity!$C$2:$C$526=RefCapacityProj!AI$1),0))*IF($C99=2035,1+VLOOKUP(AI$1,RefCapacity!$H$2:$L$8,2,FALSE),1+VLOOKUP(AI$1,RefCapacity!$H$2:$L$8,4,FALSE))</f>
        <v>305.85558861538459</v>
      </c>
      <c r="AX99" cm="1">
        <f t="array" ref="AX99">INDEX(RefCapacity!$D$2:$D$526,MATCH(1,(RefCapacity!$A$2:$A$526=RefCapacityProj!$D99)*(RefCapacity!$B$2:$B$526=2019)*(RefCapacity!$C$2:$C$526=RefCapacityProj!AJ$1),0))*IF($C99=2035,1+VLOOKUP(AJ$1,RefCapacity!$H$2:$L$8,2,FALSE),1+VLOOKUP(AJ$1,RefCapacity!$H$2:$L$8,4,FALSE))</f>
        <v>1933.836664979757</v>
      </c>
      <c r="AY99" cm="1">
        <f t="array" ref="AY99">INDEX(RefCapacity!$D$2:$D$526,MATCH(1,(RefCapacity!$A$2:$A$526=RefCapacityProj!$D99)*(RefCapacity!$B$2:$B$526=2019)*(RefCapacity!$C$2:$C$526=RefCapacityProj!AK$1),0))*IF($C99=2035,1+VLOOKUP(AK$1,RefCapacity!$H$2:$L$8,2,FALSE),1+VLOOKUP(AK$1,RefCapacity!$H$2:$L$8,4,FALSE))</f>
        <v>2564.7302317013236</v>
      </c>
      <c r="AZ99" cm="1">
        <f t="array" ref="AZ99">INDEX(RefCapacity!$D$2:$D$526,MATCH(1,(RefCapacity!$A$2:$A$526=RefCapacityProj!$D99)*(RefCapacity!$B$2:$B$526=2019)*(RefCapacity!$C$2:$C$526=RefCapacityProj!AL$1),0))*IF($C99=2035,1+VLOOKUP(AL$1,RefCapacity!$H$2:$L$8,2,FALSE),1+VLOOKUP(AL$1,RefCapacity!$H$2:$L$8,4,FALSE))</f>
        <v>53.6302514614692</v>
      </c>
      <c r="BA99" cm="1">
        <f t="array" ref="BA99">INDEX(RefCapacity!$D$2:$D$526,MATCH(1,(RefCapacity!$A$2:$A$526=RefCapacityProj!$D99)*(RefCapacity!$B$2:$B$526=2019)*(RefCapacity!$C$2:$C$526=RefCapacityProj!AM$1),0))*IF($C99=2035,1+VLOOKUP(AM$1,RefCapacity!$H$2:$L$8,2,FALSE),1+VLOOKUP(AM$1,RefCapacity!$H$2:$L$8,4,FALSE))</f>
        <v>5562.7734410987441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f t="shared" si="12"/>
        <v>6823.9605803131672</v>
      </c>
      <c r="BJ99">
        <f t="shared" si="13"/>
        <v>62.929635994511955</v>
      </c>
      <c r="BK99">
        <f t="shared" si="14"/>
        <v>1.0000004237880944E-2</v>
      </c>
      <c r="BL99" cm="1">
        <f t="array" ref="BL99">AG99/$BI99*INDEX('GHG Emission'!$C$2:$C$1121,MATCH(1,('GHG Emission'!$D$2:$D$1121=$D99)*('GHG Emission'!$E$2:$E$1121=$C99)*('GHG Emission'!$F$2:$F$1121=$B99)*('GHG Emission'!$I$2:$I$1121=$E99)*('GHG Emission'!$J$2:$J$1121=$F99)*('GHG Emission'!$K$2:$K$1121=AG$1),0))+AH99/$BI99*INDEX('GHG Emission'!$C$2:$C$1121,MATCH(1,('GHG Emission'!$D$2:$D$1121=$D99)*('GHG Emission'!$E$2:$E$1121=$C99)*('GHG Emission'!$F$2:$F$1121=$B99)*('GHG Emission'!$I$2:$I$1121=$E99)*('GHG Emission'!$J$2:$J$1121=$F99)*('GHG Emission'!$K$2:$K$1121=AH$1),0))+AI99/$BI99*INDEX('GHG Emission'!$C$2:$C$1121,MATCH(1,('GHG Emission'!$D$2:$D$1121=$D99)*('GHG Emission'!$E$2:$E$1121=$C99)*('GHG Emission'!$F$2:$F$1121=$B99)*('GHG Emission'!$I$2:$I$1121=$E99)*('GHG Emission'!$J$2:$J$1121=$F99)*('GHG Emission'!$K$2:$K$1121=AI$1),0))+AJ99/$BI99*INDEX('GHG Emission'!$C$2:$C$1121,MATCH(1,('GHG Emission'!$D$2:$D$1121=$D99)*('GHG Emission'!$E$2:$E$1121=$C99)*('GHG Emission'!$F$2:$F$1121=$B99)*('GHG Emission'!$I$2:$I$1121=$E99)*('GHG Emission'!$J$2:$J$1121=$F99)*('GHG Emission'!$K$2:$K$1121=AJ$1),0))+AK99/$BI99*INDEX('GHG Emission'!$C$2:$C$1121,MATCH(1,('GHG Emission'!$D$2:$D$1121=$D99)*('GHG Emission'!$E$2:$E$1121=$C99)*('GHG Emission'!$F$2:$F$1121=$B99)*('GHG Emission'!$I$2:$I$1121=$E99)*('GHG Emission'!$J$2:$J$1121=$F99)*('GHG Emission'!$K$2:$K$1121=AK$1),0))+AL99/$BI99*INDEX('GHG Emission'!$C$2:$C$1121,MATCH(1,('GHG Emission'!$D$2:$D$1121=$D99)*('GHG Emission'!$E$2:$E$1121=$C99)*('GHG Emission'!$F$2:$F$1121=$B99)*('GHG Emission'!$I$2:$I$1121=$E99)*('GHG Emission'!$J$2:$J$1121=$F99)*('GHG Emission'!$K$2:$K$1121=AL$1),0))+AM99/$BI99*INDEX('GHG Emission'!$C$2:$C$1121,MATCH(1,('GHG Emission'!$D$2:$D$1121=$D99)*('GHG Emission'!$E$2:$E$1121=$C99)*('GHG Emission'!$F$2:$F$1121=$B99)*('GHG Emission'!$I$2:$I$1121=$E99)*('GHG Emission'!$J$2:$J$1121=$F99)*('GHG Emission'!$K$2:$K$1121=AM$1),0))</f>
        <v>35.501113117319555</v>
      </c>
      <c r="BM99" t="str">
        <f t="shared" si="15"/>
        <v>HEAVY/SOUR</v>
      </c>
    </row>
    <row r="100" spans="1:65" hidden="1" x14ac:dyDescent="0.25">
      <c r="A100">
        <v>99</v>
      </c>
      <c r="B100" t="s">
        <v>471</v>
      </c>
      <c r="C100">
        <v>2035</v>
      </c>
      <c r="D100">
        <v>3</v>
      </c>
      <c r="E100" t="s">
        <v>469</v>
      </c>
      <c r="F100" t="s">
        <v>467</v>
      </c>
      <c r="G100">
        <v>2030.7207078801459</v>
      </c>
      <c r="H100">
        <v>873.5420138934935</v>
      </c>
      <c r="I100">
        <v>2022.2299169981034</v>
      </c>
      <c r="J100">
        <v>1434.500024597955</v>
      </c>
      <c r="K100">
        <v>227.03245314490249</v>
      </c>
      <c r="L100">
        <v>42.104798242288538</v>
      </c>
      <c r="M100">
        <v>0</v>
      </c>
      <c r="N100">
        <v>0</v>
      </c>
      <c r="O100">
        <v>0</v>
      </c>
      <c r="P100">
        <v>84.135906604071025</v>
      </c>
      <c r="Q100">
        <v>0</v>
      </c>
      <c r="R100">
        <v>0</v>
      </c>
      <c r="S100">
        <v>0</v>
      </c>
      <c r="T100">
        <v>12.728894991386792</v>
      </c>
      <c r="U100">
        <v>0</v>
      </c>
      <c r="V100">
        <v>0</v>
      </c>
      <c r="W100">
        <v>0</v>
      </c>
      <c r="X100">
        <f t="shared" si="8"/>
        <v>6726.9947163523466</v>
      </c>
      <c r="Y100">
        <f>X100*VLOOKUP($D100,'LinearReg Model'!$S$2:$T$6,2,FALSE)</f>
        <v>6761.0309443186552</v>
      </c>
      <c r="Z100">
        <f t="shared" si="9"/>
        <v>0.30187636433603238</v>
      </c>
      <c r="AA100">
        <f t="shared" si="10"/>
        <v>0.30061416758398163</v>
      </c>
      <c r="AB100">
        <f t="shared" si="11"/>
        <v>0.12985620633386849</v>
      </c>
      <c r="AC100">
        <v>36.614652924665549</v>
      </c>
      <c r="AD100">
        <v>1.0500146884775321</v>
      </c>
      <c r="AE100" s="2">
        <f>VLOOKUP($D100,'MultiReg Model'!$A$5:$F$9,2,FALSE)+AC100*VLOOKUP($D100,'MultiReg Model'!$A$5:$F$9,3,FALSE)+Z100*VLOOKUP($D100,'MultiReg Model'!$A$5:$F$9,4,FALSE)+AA100*VLOOKUP($D100,'MultiReg Model'!$A$5:$F$9,5,FALSE)+AB100*VLOOKUP($D100,'MultiReg Model'!$A$5:$F$9,6,FALSE)</f>
        <v>8.9847768558439878</v>
      </c>
      <c r="AF100" cm="1">
        <f t="array" ref="AF100">MMULT($AG100:$AM100,'Avg CI Index'!$C$2:$C$8)/BI100</f>
        <v>8.9947768599742499</v>
      </c>
      <c r="AG100">
        <v>818.89930874557979</v>
      </c>
      <c r="AH100">
        <v>927.50795488196491</v>
      </c>
      <c r="AI100">
        <v>305.85107963292057</v>
      </c>
      <c r="AJ100">
        <v>629.09023697296732</v>
      </c>
      <c r="AK100">
        <v>1176.1991491937183</v>
      </c>
      <c r="AL100">
        <v>53.616836517145714</v>
      </c>
      <c r="AM100">
        <v>2782.2756814007839</v>
      </c>
      <c r="AN100" cm="1">
        <f t="array" ref="AN100">$Y100*INDEX(RefCapacity!$D$2:$D$526,MATCH(1,(RefCapacity!$A$2:$A$526=RefCapacityProj!$D100)*(RefCapacity!$B$2:$B$526=2019)*(RefCapacity!$C$2:$C$526=AG$1),0))/SUMIFS(RefCapacity!$D$2:$D$526,RefCapacity!$A$2:$A$526,RefCapacityProj!$D100,RefCapacity!$B$2:$B$526,2019)</f>
        <v>205.43322121730222</v>
      </c>
      <c r="AO100" cm="1">
        <f t="array" ref="AO100">$Y100*INDEX(RefCapacity!$D$2:$D$526,MATCH(1,(RefCapacity!$A$2:$A$526=RefCapacityProj!$D100)*(RefCapacity!$B$2:$B$526=2019)*(RefCapacity!$C$2:$C$526=AH$1),0))/SUMIFS(RefCapacity!$D$2:$D$526,RefCapacity!$A$2:$A$526,RefCapacityProj!$D100,RefCapacity!$B$2:$B$526,2019)</f>
        <v>477.35308699958819</v>
      </c>
      <c r="AP100" cm="1">
        <f t="array" ref="AP100">$Y100*INDEX(RefCapacity!$D$2:$D$526,MATCH(1,(RefCapacity!$A$2:$A$526=RefCapacityProj!$D100)*(RefCapacity!$B$2:$B$526=2019)*(RefCapacity!$C$2:$C$526=AI$1),0))/SUMIFS(RefCapacity!$D$2:$D$526,RefCapacity!$A$2:$A$526,RefCapacityProj!$D100,RefCapacity!$B$2:$B$526,2019)</f>
        <v>205.22994906352184</v>
      </c>
      <c r="AQ100" cm="1">
        <f t="array" ref="AQ100">$Y100*INDEX(RefCapacity!$D$2:$D$526,MATCH(1,(RefCapacity!$A$2:$A$526=RefCapacityProj!$D100)*(RefCapacity!$B$2:$B$526=2019)*(RefCapacity!$C$2:$C$526=AJ$1),0))/SUMIFS(RefCapacity!$D$2:$D$526,RefCapacity!$A$2:$A$526,RefCapacityProj!$D100,RefCapacity!$B$2:$B$526,2019)</f>
        <v>700.71657720819826</v>
      </c>
      <c r="AR100" cm="1">
        <f t="array" ref="AR100">$Y100*INDEX(RefCapacity!$D$2:$D$526,MATCH(1,(RefCapacity!$A$2:$A$526=RefCapacityProj!$D100)*(RefCapacity!$B$2:$B$526=2019)*(RefCapacity!$C$2:$C$526=AK$1),0))/SUMIFS(RefCapacity!$D$2:$D$526,RefCapacity!$A$2:$A$526,RefCapacityProj!$D100,RefCapacity!$B$2:$B$526,2019)</f>
        <v>1433.0409336868165</v>
      </c>
      <c r="AS100" cm="1">
        <f t="array" ref="AS100">$Y100*INDEX(RefCapacity!$D$2:$D$526,MATCH(1,(RefCapacity!$A$2:$A$526=RefCapacityProj!$D100)*(RefCapacity!$B$2:$B$526=2019)*(RefCapacity!$C$2:$C$526=AL$1),0))/SUMIFS(RefCapacity!$D$2:$D$526,RefCapacity!$A$2:$A$526,RefCapacityProj!$D100,RefCapacity!$B$2:$B$526,2019)</f>
        <v>26.362941445916228</v>
      </c>
      <c r="AT100" cm="1">
        <f t="array" ref="AT100">$Y100*INDEX(RefCapacity!$D$2:$D$526,MATCH(1,(RefCapacity!$A$2:$A$526=RefCapacityProj!$D100)*(RefCapacity!$B$2:$B$526=2019)*(RefCapacity!$C$2:$C$526=AM$1),0))/SUMIFS(RefCapacity!$D$2:$D$526,RefCapacity!$A$2:$A$526,RefCapacityProj!$D100,RefCapacity!$B$2:$B$526,2019)</f>
        <v>3712.8942346973122</v>
      </c>
      <c r="AU100" cm="1">
        <f t="array" ref="AU100">INDEX(RefCapacity!$D$2:$D$526,MATCH(1,(RefCapacity!$A$2:$A$526=RefCapacityProj!$D100)*(RefCapacity!$B$2:$B$526=2019)*(RefCapacity!$C$2:$C$526=RefCapacityProj!AG$1),0))*IF($C100=2035,1+VLOOKUP(AG$1,RefCapacity!$H$2:$L$8,2,FALSE),1+VLOOKUP(AG$1,RefCapacity!$H$2:$L$8,4,FALSE))</f>
        <v>818.90159671962101</v>
      </c>
      <c r="AV100" cm="1">
        <f t="array" ref="AV100">INDEX(RefCapacity!$D$2:$D$526,MATCH(1,(RefCapacity!$A$2:$A$526=RefCapacityProj!$D100)*(RefCapacity!$B$2:$B$526=2019)*(RefCapacity!$C$2:$C$526=RefCapacityProj!AH$1),0))*IF($C100=2035,1+VLOOKUP(AH$1,RefCapacity!$H$2:$L$8,2,FALSE),1+VLOOKUP(AH$1,RefCapacity!$H$2:$L$8,4,FALSE))</f>
        <v>927.50919366992355</v>
      </c>
      <c r="AW100" cm="1">
        <f t="array" ref="AW100">INDEX(RefCapacity!$D$2:$D$526,MATCH(1,(RefCapacity!$A$2:$A$526=RefCapacityProj!$D100)*(RefCapacity!$B$2:$B$526=2019)*(RefCapacity!$C$2:$C$526=RefCapacityProj!AI$1),0))*IF($C100=2035,1+VLOOKUP(AI$1,RefCapacity!$H$2:$L$8,2,FALSE),1+VLOOKUP(AI$1,RefCapacity!$H$2:$L$8,4,FALSE))</f>
        <v>305.85558861538459</v>
      </c>
      <c r="AX100" cm="1">
        <f t="array" ref="AX100">INDEX(RefCapacity!$D$2:$D$526,MATCH(1,(RefCapacity!$A$2:$A$526=RefCapacityProj!$D100)*(RefCapacity!$B$2:$B$526=2019)*(RefCapacity!$C$2:$C$526=RefCapacityProj!AJ$1),0))*IF($C100=2035,1+VLOOKUP(AJ$1,RefCapacity!$H$2:$L$8,2,FALSE),1+VLOOKUP(AJ$1,RefCapacity!$H$2:$L$8,4,FALSE))</f>
        <v>1933.836664979757</v>
      </c>
      <c r="AY100" cm="1">
        <f t="array" ref="AY100">INDEX(RefCapacity!$D$2:$D$526,MATCH(1,(RefCapacity!$A$2:$A$526=RefCapacityProj!$D100)*(RefCapacity!$B$2:$B$526=2019)*(RefCapacity!$C$2:$C$526=RefCapacityProj!AK$1),0))*IF($C100=2035,1+VLOOKUP(AK$1,RefCapacity!$H$2:$L$8,2,FALSE),1+VLOOKUP(AK$1,RefCapacity!$H$2:$L$8,4,FALSE))</f>
        <v>2564.7302317013236</v>
      </c>
      <c r="AZ100" cm="1">
        <f t="array" ref="AZ100">INDEX(RefCapacity!$D$2:$D$526,MATCH(1,(RefCapacity!$A$2:$A$526=RefCapacityProj!$D100)*(RefCapacity!$B$2:$B$526=2019)*(RefCapacity!$C$2:$C$526=RefCapacityProj!AL$1),0))*IF($C100=2035,1+VLOOKUP(AL$1,RefCapacity!$H$2:$L$8,2,FALSE),1+VLOOKUP(AL$1,RefCapacity!$H$2:$L$8,4,FALSE))</f>
        <v>53.6302514614692</v>
      </c>
      <c r="BA100" cm="1">
        <f t="array" ref="BA100">INDEX(RefCapacity!$D$2:$D$526,MATCH(1,(RefCapacity!$A$2:$A$526=RefCapacityProj!$D100)*(RefCapacity!$B$2:$B$526=2019)*(RefCapacity!$C$2:$C$526=RefCapacityProj!AM$1),0))*IF($C100=2035,1+VLOOKUP(AM$1,RefCapacity!$H$2:$L$8,2,FALSE),1+VLOOKUP(AM$1,RefCapacity!$H$2:$L$8,4,FALSE))</f>
        <v>5562.7734410987441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f t="shared" si="12"/>
        <v>6693.4402473450809</v>
      </c>
      <c r="BJ100">
        <f t="shared" si="13"/>
        <v>67.590696973574268</v>
      </c>
      <c r="BK100">
        <f t="shared" si="14"/>
        <v>1.0000004130262141E-2</v>
      </c>
      <c r="BL100" cm="1">
        <f t="array" ref="BL100">AG100/$BI100*INDEX('GHG Emission'!$C$2:$C$1121,MATCH(1,('GHG Emission'!$D$2:$D$1121=$D100)*('GHG Emission'!$E$2:$E$1121=$C100)*('GHG Emission'!$F$2:$F$1121=$B100)*('GHG Emission'!$I$2:$I$1121=$E100)*('GHG Emission'!$J$2:$J$1121=$F100)*('GHG Emission'!$K$2:$K$1121=AG$1),0))+AH100/$BI100*INDEX('GHG Emission'!$C$2:$C$1121,MATCH(1,('GHG Emission'!$D$2:$D$1121=$D100)*('GHG Emission'!$E$2:$E$1121=$C100)*('GHG Emission'!$F$2:$F$1121=$B100)*('GHG Emission'!$I$2:$I$1121=$E100)*('GHG Emission'!$J$2:$J$1121=$F100)*('GHG Emission'!$K$2:$K$1121=AH$1),0))+AI100/$BI100*INDEX('GHG Emission'!$C$2:$C$1121,MATCH(1,('GHG Emission'!$D$2:$D$1121=$D100)*('GHG Emission'!$E$2:$E$1121=$C100)*('GHG Emission'!$F$2:$F$1121=$B100)*('GHG Emission'!$I$2:$I$1121=$E100)*('GHG Emission'!$J$2:$J$1121=$F100)*('GHG Emission'!$K$2:$K$1121=AI$1),0))+AJ100/$BI100*INDEX('GHG Emission'!$C$2:$C$1121,MATCH(1,('GHG Emission'!$D$2:$D$1121=$D100)*('GHG Emission'!$E$2:$E$1121=$C100)*('GHG Emission'!$F$2:$F$1121=$B100)*('GHG Emission'!$I$2:$I$1121=$E100)*('GHG Emission'!$J$2:$J$1121=$F100)*('GHG Emission'!$K$2:$K$1121=AJ$1),0))+AK100/$BI100*INDEX('GHG Emission'!$C$2:$C$1121,MATCH(1,('GHG Emission'!$D$2:$D$1121=$D100)*('GHG Emission'!$E$2:$E$1121=$C100)*('GHG Emission'!$F$2:$F$1121=$B100)*('GHG Emission'!$I$2:$I$1121=$E100)*('GHG Emission'!$J$2:$J$1121=$F100)*('GHG Emission'!$K$2:$K$1121=AK$1),0))+AL100/$BI100*INDEX('GHG Emission'!$C$2:$C$1121,MATCH(1,('GHG Emission'!$D$2:$D$1121=$D100)*('GHG Emission'!$E$2:$E$1121=$C100)*('GHG Emission'!$F$2:$F$1121=$B100)*('GHG Emission'!$I$2:$I$1121=$E100)*('GHG Emission'!$J$2:$J$1121=$F100)*('GHG Emission'!$K$2:$K$1121=AL$1),0))+AM100/$BI100*INDEX('GHG Emission'!$C$2:$C$1121,MATCH(1,('GHG Emission'!$D$2:$D$1121=$D100)*('GHG Emission'!$E$2:$E$1121=$C100)*('GHG Emission'!$F$2:$F$1121=$B100)*('GHG Emission'!$I$2:$I$1121=$E100)*('GHG Emission'!$J$2:$J$1121=$F100)*('GHG Emission'!$K$2:$K$1121=AM$1),0))</f>
        <v>34.527010746805786</v>
      </c>
      <c r="BM100" t="str">
        <f t="shared" si="15"/>
        <v>LIGHT/SWEET</v>
      </c>
    </row>
    <row r="101" spans="1:65" hidden="1" x14ac:dyDescent="0.25">
      <c r="A101">
        <v>100</v>
      </c>
      <c r="B101" t="s">
        <v>471</v>
      </c>
      <c r="C101">
        <v>2035</v>
      </c>
      <c r="D101">
        <v>3</v>
      </c>
      <c r="E101" t="s">
        <v>469</v>
      </c>
      <c r="F101" t="s">
        <v>468</v>
      </c>
      <c r="G101">
        <v>2030.7207078801459</v>
      </c>
      <c r="H101">
        <v>873.5420138934935</v>
      </c>
      <c r="I101">
        <v>2022.2299169981034</v>
      </c>
      <c r="J101">
        <v>1434.500024597955</v>
      </c>
      <c r="K101">
        <v>227.03245314490249</v>
      </c>
      <c r="L101">
        <v>42.104798242288538</v>
      </c>
      <c r="M101">
        <v>0</v>
      </c>
      <c r="N101">
        <v>0</v>
      </c>
      <c r="O101">
        <v>0</v>
      </c>
      <c r="P101">
        <v>84.135906604071025</v>
      </c>
      <c r="Q101">
        <v>0</v>
      </c>
      <c r="R101">
        <v>0</v>
      </c>
      <c r="S101">
        <v>0</v>
      </c>
      <c r="T101">
        <v>12.728894991386792</v>
      </c>
      <c r="U101">
        <v>0</v>
      </c>
      <c r="V101">
        <v>0</v>
      </c>
      <c r="W101">
        <v>0</v>
      </c>
      <c r="X101">
        <f t="shared" si="8"/>
        <v>6726.9947163523466</v>
      </c>
      <c r="Y101">
        <f>X101*VLOOKUP($D101,'LinearReg Model'!$S$2:$T$6,2,FALSE)</f>
        <v>6761.0309443186552</v>
      </c>
      <c r="Z101">
        <f t="shared" si="9"/>
        <v>0.30187636433603238</v>
      </c>
      <c r="AA101">
        <f t="shared" si="10"/>
        <v>0.30061416758398163</v>
      </c>
      <c r="AB101">
        <f t="shared" si="11"/>
        <v>0.12985620633386849</v>
      </c>
      <c r="AC101">
        <v>36.614652924665549</v>
      </c>
      <c r="AD101">
        <v>1.975455919496689</v>
      </c>
      <c r="AE101" s="2">
        <f>VLOOKUP($D101,'MultiReg Model'!$A$5:$F$9,2,FALSE)+AC101*VLOOKUP($D101,'MultiReg Model'!$A$5:$F$9,3,FALSE)+Z101*VLOOKUP($D101,'MultiReg Model'!$A$5:$F$9,4,FALSE)+AA101*VLOOKUP($D101,'MultiReg Model'!$A$5:$F$9,5,FALSE)+AB101*VLOOKUP($D101,'MultiReg Model'!$A$5:$F$9,6,FALSE)</f>
        <v>8.9847768558439878</v>
      </c>
      <c r="AF101" cm="1">
        <f t="array" ref="AF101">MMULT($AG101:$AM101,'Avg CI Index'!$C$2:$C$8)/BI101</f>
        <v>8.9947768599742499</v>
      </c>
      <c r="AG101">
        <v>818.89930874557979</v>
      </c>
      <c r="AH101">
        <v>927.50795488196491</v>
      </c>
      <c r="AI101">
        <v>305.85107963292057</v>
      </c>
      <c r="AJ101">
        <v>629.09023697296732</v>
      </c>
      <c r="AK101">
        <v>1176.1991491937183</v>
      </c>
      <c r="AL101">
        <v>53.616836517145714</v>
      </c>
      <c r="AM101">
        <v>2782.2756814007839</v>
      </c>
      <c r="AN101" cm="1">
        <f t="array" ref="AN101">$Y101*INDEX(RefCapacity!$D$2:$D$526,MATCH(1,(RefCapacity!$A$2:$A$526=RefCapacityProj!$D101)*(RefCapacity!$B$2:$B$526=2019)*(RefCapacity!$C$2:$C$526=AG$1),0))/SUMIFS(RefCapacity!$D$2:$D$526,RefCapacity!$A$2:$A$526,RefCapacityProj!$D101,RefCapacity!$B$2:$B$526,2019)</f>
        <v>205.43322121730222</v>
      </c>
      <c r="AO101" cm="1">
        <f t="array" ref="AO101">$Y101*INDEX(RefCapacity!$D$2:$D$526,MATCH(1,(RefCapacity!$A$2:$A$526=RefCapacityProj!$D101)*(RefCapacity!$B$2:$B$526=2019)*(RefCapacity!$C$2:$C$526=AH$1),0))/SUMIFS(RefCapacity!$D$2:$D$526,RefCapacity!$A$2:$A$526,RefCapacityProj!$D101,RefCapacity!$B$2:$B$526,2019)</f>
        <v>477.35308699958819</v>
      </c>
      <c r="AP101" cm="1">
        <f t="array" ref="AP101">$Y101*INDEX(RefCapacity!$D$2:$D$526,MATCH(1,(RefCapacity!$A$2:$A$526=RefCapacityProj!$D101)*(RefCapacity!$B$2:$B$526=2019)*(RefCapacity!$C$2:$C$526=AI$1),0))/SUMIFS(RefCapacity!$D$2:$D$526,RefCapacity!$A$2:$A$526,RefCapacityProj!$D101,RefCapacity!$B$2:$B$526,2019)</f>
        <v>205.22994906352184</v>
      </c>
      <c r="AQ101" cm="1">
        <f t="array" ref="AQ101">$Y101*INDEX(RefCapacity!$D$2:$D$526,MATCH(1,(RefCapacity!$A$2:$A$526=RefCapacityProj!$D101)*(RefCapacity!$B$2:$B$526=2019)*(RefCapacity!$C$2:$C$526=AJ$1),0))/SUMIFS(RefCapacity!$D$2:$D$526,RefCapacity!$A$2:$A$526,RefCapacityProj!$D101,RefCapacity!$B$2:$B$526,2019)</f>
        <v>700.71657720819826</v>
      </c>
      <c r="AR101" cm="1">
        <f t="array" ref="AR101">$Y101*INDEX(RefCapacity!$D$2:$D$526,MATCH(1,(RefCapacity!$A$2:$A$526=RefCapacityProj!$D101)*(RefCapacity!$B$2:$B$526=2019)*(RefCapacity!$C$2:$C$526=AK$1),0))/SUMIFS(RefCapacity!$D$2:$D$526,RefCapacity!$A$2:$A$526,RefCapacityProj!$D101,RefCapacity!$B$2:$B$526,2019)</f>
        <v>1433.0409336868165</v>
      </c>
      <c r="AS101" cm="1">
        <f t="array" ref="AS101">$Y101*INDEX(RefCapacity!$D$2:$D$526,MATCH(1,(RefCapacity!$A$2:$A$526=RefCapacityProj!$D101)*(RefCapacity!$B$2:$B$526=2019)*(RefCapacity!$C$2:$C$526=AL$1),0))/SUMIFS(RefCapacity!$D$2:$D$526,RefCapacity!$A$2:$A$526,RefCapacityProj!$D101,RefCapacity!$B$2:$B$526,2019)</f>
        <v>26.362941445916228</v>
      </c>
      <c r="AT101" cm="1">
        <f t="array" ref="AT101">$Y101*INDEX(RefCapacity!$D$2:$D$526,MATCH(1,(RefCapacity!$A$2:$A$526=RefCapacityProj!$D101)*(RefCapacity!$B$2:$B$526=2019)*(RefCapacity!$C$2:$C$526=AM$1),0))/SUMIFS(RefCapacity!$D$2:$D$526,RefCapacity!$A$2:$A$526,RefCapacityProj!$D101,RefCapacity!$B$2:$B$526,2019)</f>
        <v>3712.8942346973122</v>
      </c>
      <c r="AU101" cm="1">
        <f t="array" ref="AU101">INDEX(RefCapacity!$D$2:$D$526,MATCH(1,(RefCapacity!$A$2:$A$526=RefCapacityProj!$D101)*(RefCapacity!$B$2:$B$526=2019)*(RefCapacity!$C$2:$C$526=RefCapacityProj!AG$1),0))*IF($C101=2035,1+VLOOKUP(AG$1,RefCapacity!$H$2:$L$8,2,FALSE),1+VLOOKUP(AG$1,RefCapacity!$H$2:$L$8,4,FALSE))</f>
        <v>818.90159671962101</v>
      </c>
      <c r="AV101" cm="1">
        <f t="array" ref="AV101">INDEX(RefCapacity!$D$2:$D$526,MATCH(1,(RefCapacity!$A$2:$A$526=RefCapacityProj!$D101)*(RefCapacity!$B$2:$B$526=2019)*(RefCapacity!$C$2:$C$526=RefCapacityProj!AH$1),0))*IF($C101=2035,1+VLOOKUP(AH$1,RefCapacity!$H$2:$L$8,2,FALSE),1+VLOOKUP(AH$1,RefCapacity!$H$2:$L$8,4,FALSE))</f>
        <v>927.50919366992355</v>
      </c>
      <c r="AW101" cm="1">
        <f t="array" ref="AW101">INDEX(RefCapacity!$D$2:$D$526,MATCH(1,(RefCapacity!$A$2:$A$526=RefCapacityProj!$D101)*(RefCapacity!$B$2:$B$526=2019)*(RefCapacity!$C$2:$C$526=RefCapacityProj!AI$1),0))*IF($C101=2035,1+VLOOKUP(AI$1,RefCapacity!$H$2:$L$8,2,FALSE),1+VLOOKUP(AI$1,RefCapacity!$H$2:$L$8,4,FALSE))</f>
        <v>305.85558861538459</v>
      </c>
      <c r="AX101" cm="1">
        <f t="array" ref="AX101">INDEX(RefCapacity!$D$2:$D$526,MATCH(1,(RefCapacity!$A$2:$A$526=RefCapacityProj!$D101)*(RefCapacity!$B$2:$B$526=2019)*(RefCapacity!$C$2:$C$526=RefCapacityProj!AJ$1),0))*IF($C101=2035,1+VLOOKUP(AJ$1,RefCapacity!$H$2:$L$8,2,FALSE),1+VLOOKUP(AJ$1,RefCapacity!$H$2:$L$8,4,FALSE))</f>
        <v>1933.836664979757</v>
      </c>
      <c r="AY101" cm="1">
        <f t="array" ref="AY101">INDEX(RefCapacity!$D$2:$D$526,MATCH(1,(RefCapacity!$A$2:$A$526=RefCapacityProj!$D101)*(RefCapacity!$B$2:$B$526=2019)*(RefCapacity!$C$2:$C$526=RefCapacityProj!AK$1),0))*IF($C101=2035,1+VLOOKUP(AK$1,RefCapacity!$H$2:$L$8,2,FALSE),1+VLOOKUP(AK$1,RefCapacity!$H$2:$L$8,4,FALSE))</f>
        <v>2564.7302317013236</v>
      </c>
      <c r="AZ101" cm="1">
        <f t="array" ref="AZ101">INDEX(RefCapacity!$D$2:$D$526,MATCH(1,(RefCapacity!$A$2:$A$526=RefCapacityProj!$D101)*(RefCapacity!$B$2:$B$526=2019)*(RefCapacity!$C$2:$C$526=RefCapacityProj!AL$1),0))*IF($C101=2035,1+VLOOKUP(AL$1,RefCapacity!$H$2:$L$8,2,FALSE),1+VLOOKUP(AL$1,RefCapacity!$H$2:$L$8,4,FALSE))</f>
        <v>53.6302514614692</v>
      </c>
      <c r="BA101" cm="1">
        <f t="array" ref="BA101">INDEX(RefCapacity!$D$2:$D$526,MATCH(1,(RefCapacity!$A$2:$A$526=RefCapacityProj!$D101)*(RefCapacity!$B$2:$B$526=2019)*(RefCapacity!$C$2:$C$526=RefCapacityProj!AM$1),0))*IF($C101=2035,1+VLOOKUP(AM$1,RefCapacity!$H$2:$L$8,2,FALSE),1+VLOOKUP(AM$1,RefCapacity!$H$2:$L$8,4,FALSE))</f>
        <v>5562.7734410987441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f t="shared" si="12"/>
        <v>6693.4402473450809</v>
      </c>
      <c r="BJ101">
        <f t="shared" si="13"/>
        <v>67.590696973574268</v>
      </c>
      <c r="BK101">
        <f t="shared" si="14"/>
        <v>1.0000004130262141E-2</v>
      </c>
      <c r="BL101" cm="1">
        <f t="array" ref="BL101">AG101/$BI101*INDEX('GHG Emission'!$C$2:$C$1121,MATCH(1,('GHG Emission'!$D$2:$D$1121=$D101)*('GHG Emission'!$E$2:$E$1121=$C101)*('GHG Emission'!$F$2:$F$1121=$B101)*('GHG Emission'!$I$2:$I$1121=$E101)*('GHG Emission'!$J$2:$J$1121=$F101)*('GHG Emission'!$K$2:$K$1121=AG$1),0))+AH101/$BI101*INDEX('GHG Emission'!$C$2:$C$1121,MATCH(1,('GHG Emission'!$D$2:$D$1121=$D101)*('GHG Emission'!$E$2:$E$1121=$C101)*('GHG Emission'!$F$2:$F$1121=$B101)*('GHG Emission'!$I$2:$I$1121=$E101)*('GHG Emission'!$J$2:$J$1121=$F101)*('GHG Emission'!$K$2:$K$1121=AH$1),0))+AI101/$BI101*INDEX('GHG Emission'!$C$2:$C$1121,MATCH(1,('GHG Emission'!$D$2:$D$1121=$D101)*('GHG Emission'!$E$2:$E$1121=$C101)*('GHG Emission'!$F$2:$F$1121=$B101)*('GHG Emission'!$I$2:$I$1121=$E101)*('GHG Emission'!$J$2:$J$1121=$F101)*('GHG Emission'!$K$2:$K$1121=AI$1),0))+AJ101/$BI101*INDEX('GHG Emission'!$C$2:$C$1121,MATCH(1,('GHG Emission'!$D$2:$D$1121=$D101)*('GHG Emission'!$E$2:$E$1121=$C101)*('GHG Emission'!$F$2:$F$1121=$B101)*('GHG Emission'!$I$2:$I$1121=$E101)*('GHG Emission'!$J$2:$J$1121=$F101)*('GHG Emission'!$K$2:$K$1121=AJ$1),0))+AK101/$BI101*INDEX('GHG Emission'!$C$2:$C$1121,MATCH(1,('GHG Emission'!$D$2:$D$1121=$D101)*('GHG Emission'!$E$2:$E$1121=$C101)*('GHG Emission'!$F$2:$F$1121=$B101)*('GHG Emission'!$I$2:$I$1121=$E101)*('GHG Emission'!$J$2:$J$1121=$F101)*('GHG Emission'!$K$2:$K$1121=AK$1),0))+AL101/$BI101*INDEX('GHG Emission'!$C$2:$C$1121,MATCH(1,('GHG Emission'!$D$2:$D$1121=$D101)*('GHG Emission'!$E$2:$E$1121=$C101)*('GHG Emission'!$F$2:$F$1121=$B101)*('GHG Emission'!$I$2:$I$1121=$E101)*('GHG Emission'!$J$2:$J$1121=$F101)*('GHG Emission'!$K$2:$K$1121=AL$1),0))+AM101/$BI101*INDEX('GHG Emission'!$C$2:$C$1121,MATCH(1,('GHG Emission'!$D$2:$D$1121=$D101)*('GHG Emission'!$E$2:$E$1121=$C101)*('GHG Emission'!$F$2:$F$1121=$B101)*('GHG Emission'!$I$2:$I$1121=$E101)*('GHG Emission'!$J$2:$J$1121=$F101)*('GHG Emission'!$K$2:$K$1121=AM$1),0))</f>
        <v>34.504240787230636</v>
      </c>
      <c r="BM101" t="str">
        <f t="shared" si="15"/>
        <v>LIGHT/SOUR</v>
      </c>
    </row>
    <row r="102" spans="1:65" hidden="1" x14ac:dyDescent="0.25">
      <c r="A102">
        <v>101</v>
      </c>
      <c r="B102" t="s">
        <v>471</v>
      </c>
      <c r="C102">
        <v>2050</v>
      </c>
      <c r="D102">
        <v>3</v>
      </c>
      <c r="E102" t="s">
        <v>466</v>
      </c>
      <c r="F102" t="s">
        <v>467</v>
      </c>
      <c r="G102">
        <v>787.5738780285177</v>
      </c>
      <c r="H102">
        <v>1077.1561660460204</v>
      </c>
      <c r="I102">
        <v>1516.0615477566978</v>
      </c>
      <c r="J102">
        <v>1075.4416741976411</v>
      </c>
      <c r="K102">
        <v>269.32588574164436</v>
      </c>
      <c r="L102">
        <v>49.948418930838677</v>
      </c>
      <c r="M102">
        <v>0</v>
      </c>
      <c r="N102">
        <v>0</v>
      </c>
      <c r="O102">
        <v>0</v>
      </c>
      <c r="P102">
        <v>69.39697171997085</v>
      </c>
      <c r="Q102">
        <v>0</v>
      </c>
      <c r="R102">
        <v>0</v>
      </c>
      <c r="S102">
        <v>0</v>
      </c>
      <c r="T102">
        <v>12.969949555427933</v>
      </c>
      <c r="U102">
        <v>0</v>
      </c>
      <c r="V102">
        <v>0</v>
      </c>
      <c r="W102">
        <v>0</v>
      </c>
      <c r="X102">
        <f t="shared" si="8"/>
        <v>4857.8744919767578</v>
      </c>
      <c r="Y102">
        <f>X102*VLOOKUP($D102,'LinearReg Model'!$S$2:$T$6,2,FALSE)</f>
        <v>4882.4536288145955</v>
      </c>
      <c r="Z102">
        <f t="shared" si="9"/>
        <v>0.16212314240091441</v>
      </c>
      <c r="AA102">
        <f t="shared" si="10"/>
        <v>0.31208330932810591</v>
      </c>
      <c r="AB102">
        <f t="shared" si="11"/>
        <v>0.22173404599584579</v>
      </c>
      <c r="AC102">
        <v>28.267512206646213</v>
      </c>
      <c r="AD102">
        <v>1.0693086579627853</v>
      </c>
      <c r="AE102" s="2">
        <f>VLOOKUP($D102,'MultiReg Model'!$A$5:$F$9,2,FALSE)+AC102*VLOOKUP($D102,'MultiReg Model'!$A$5:$F$9,3,FALSE)+Z102*VLOOKUP($D102,'MultiReg Model'!$A$5:$F$9,4,FALSE)+AA102*VLOOKUP($D102,'MultiReg Model'!$A$5:$F$9,5,FALSE)+AB102*VLOOKUP($D102,'MultiReg Model'!$A$5:$F$9,6,FALSE)</f>
        <v>9.2177680246871319</v>
      </c>
      <c r="AF102" cm="1">
        <f t="array" ref="AF102">MMULT($AG102:$AM102,'Avg CI Index'!$C$2:$C$8)/BI102</f>
        <v>9.2277676144626621</v>
      </c>
      <c r="AG102">
        <v>579.7592199702359</v>
      </c>
      <c r="AH102">
        <v>400.3865446936066</v>
      </c>
      <c r="AI102">
        <v>290.77856079284686</v>
      </c>
      <c r="AJ102">
        <v>369.81685152810604</v>
      </c>
      <c r="AK102">
        <v>871.49089105230644</v>
      </c>
      <c r="AL102">
        <v>1.058203520278897E-3</v>
      </c>
      <c r="AM102">
        <v>2419.0398676237351</v>
      </c>
      <c r="AN102" cm="1">
        <f t="array" ref="AN102">$Y102*INDEX(RefCapacity!$D$2:$D$526,MATCH(1,(RefCapacity!$A$2:$A$526=RefCapacityProj!$D102)*(RefCapacity!$B$2:$B$526=2019)*(RefCapacity!$C$2:$C$526=AG$1),0))/SUMIFS(RefCapacity!$D$2:$D$526,RefCapacity!$A$2:$A$526,RefCapacityProj!$D102,RefCapacity!$B$2:$B$526,2019)</f>
        <v>148.35284510187495</v>
      </c>
      <c r="AO102" cm="1">
        <f t="array" ref="AO102">$Y102*INDEX(RefCapacity!$D$2:$D$526,MATCH(1,(RefCapacity!$A$2:$A$526=RefCapacityProj!$D102)*(RefCapacity!$B$2:$B$526=2019)*(RefCapacity!$C$2:$C$526=AH$1),0))/SUMIFS(RefCapacity!$D$2:$D$526,RefCapacity!$A$2:$A$526,RefCapacityProj!$D102,RefCapacity!$B$2:$B$526,2019)</f>
        <v>344.71877603303307</v>
      </c>
      <c r="AP102" cm="1">
        <f t="array" ref="AP102">$Y102*INDEX(RefCapacity!$D$2:$D$526,MATCH(1,(RefCapacity!$A$2:$A$526=RefCapacityProj!$D102)*(RefCapacity!$B$2:$B$526=2019)*(RefCapacity!$C$2:$C$526=AI$1),0))/SUMIFS(RefCapacity!$D$2:$D$526,RefCapacity!$A$2:$A$526,RefCapacityProj!$D102,RefCapacity!$B$2:$B$526,2019)</f>
        <v>148.20605286367407</v>
      </c>
      <c r="AQ102" cm="1">
        <f t="array" ref="AQ102">$Y102*INDEX(RefCapacity!$D$2:$D$526,MATCH(1,(RefCapacity!$A$2:$A$526=RefCapacityProj!$D102)*(RefCapacity!$B$2:$B$526=2019)*(RefCapacity!$C$2:$C$526=AJ$1),0))/SUMIFS(RefCapacity!$D$2:$D$526,RefCapacity!$A$2:$A$526,RefCapacityProj!$D102,RefCapacity!$B$2:$B$526,2019)</f>
        <v>506.01989893798435</v>
      </c>
      <c r="AR102" cm="1">
        <f t="array" ref="AR102">$Y102*INDEX(RefCapacity!$D$2:$D$526,MATCH(1,(RefCapacity!$A$2:$A$526=RefCapacityProj!$D102)*(RefCapacity!$B$2:$B$526=2019)*(RefCapacity!$C$2:$C$526=AK$1),0))/SUMIFS(RefCapacity!$D$2:$D$526,RefCapacity!$A$2:$A$526,RefCapacityProj!$D102,RefCapacity!$B$2:$B$526,2019)</f>
        <v>1034.8652394201035</v>
      </c>
      <c r="AS102" cm="1">
        <f t="array" ref="AS102">$Y102*INDEX(RefCapacity!$D$2:$D$526,MATCH(1,(RefCapacity!$A$2:$A$526=RefCapacityProj!$D102)*(RefCapacity!$B$2:$B$526=2019)*(RefCapacity!$C$2:$C$526=AL$1),0))/SUMIFS(RefCapacity!$D$2:$D$526,RefCapacity!$A$2:$A$526,RefCapacityProj!$D102,RefCapacity!$B$2:$B$526,2019)</f>
        <v>19.03790120011228</v>
      </c>
      <c r="AT102" cm="1">
        <f t="array" ref="AT102">$Y102*INDEX(RefCapacity!$D$2:$D$526,MATCH(1,(RefCapacity!$A$2:$A$526=RefCapacityProj!$D102)*(RefCapacity!$B$2:$B$526=2019)*(RefCapacity!$C$2:$C$526=AM$1),0))/SUMIFS(RefCapacity!$D$2:$D$526,RefCapacity!$A$2:$A$526,RefCapacityProj!$D102,RefCapacity!$B$2:$B$526,2019)</f>
        <v>2681.2529152578136</v>
      </c>
      <c r="AU102" cm="1">
        <f t="array" ref="AU102">INDEX(RefCapacity!$D$2:$D$526,MATCH(1,(RefCapacity!$A$2:$A$526=RefCapacityProj!$D102)*(RefCapacity!$B$2:$B$526=2019)*(RefCapacity!$C$2:$C$526=RefCapacityProj!AG$1),0))*IF($C102=2035,1+VLOOKUP(AG$1,RefCapacity!$H$2:$L$8,2,FALSE),1+VLOOKUP(AG$1,RefCapacity!$H$2:$L$8,4,FALSE))</f>
        <v>1341.688193439242</v>
      </c>
      <c r="AV102" cm="1">
        <f t="array" ref="AV102">INDEX(RefCapacity!$D$2:$D$526,MATCH(1,(RefCapacity!$A$2:$A$526=RefCapacityProj!$D102)*(RefCapacity!$B$2:$B$526=2019)*(RefCapacity!$C$2:$C$526=RefCapacityProj!AH$1),0))*IF($C102=2035,1+VLOOKUP(AH$1,RefCapacity!$H$2:$L$8,2,FALSE),1+VLOOKUP(AH$1,RefCapacity!$H$2:$L$8,4,FALSE))</f>
        <v>1166.9533873398473</v>
      </c>
      <c r="AW102" cm="1">
        <f t="array" ref="AW102">INDEX(RefCapacity!$D$2:$D$526,MATCH(1,(RefCapacity!$A$2:$A$526=RefCapacityProj!$D102)*(RefCapacity!$B$2:$B$526=2019)*(RefCapacity!$C$2:$C$526=RefCapacityProj!AI$1),0))*IF($C102=2035,1+VLOOKUP(AI$1,RefCapacity!$H$2:$L$8,2,FALSE),1+VLOOKUP(AI$1,RefCapacity!$H$2:$L$8,4,FALSE))</f>
        <v>315.88917723076923</v>
      </c>
      <c r="AX102" cm="1">
        <f t="array" ref="AX102">INDEX(RefCapacity!$D$2:$D$526,MATCH(1,(RefCapacity!$A$2:$A$526=RefCapacityProj!$D102)*(RefCapacity!$B$2:$B$526=2019)*(RefCapacity!$C$2:$C$526=RefCapacityProj!AJ$1),0))*IF($C102=2035,1+VLOOKUP(AJ$1,RefCapacity!$H$2:$L$8,2,FALSE),1+VLOOKUP(AJ$1,RefCapacity!$H$2:$L$8,4,FALSE))</f>
        <v>2857.6483299595143</v>
      </c>
      <c r="AY102" cm="1">
        <f t="array" ref="AY102">INDEX(RefCapacity!$D$2:$D$526,MATCH(1,(RefCapacity!$A$2:$A$526=RefCapacityProj!$D102)*(RefCapacity!$B$2:$B$526=2019)*(RefCapacity!$C$2:$C$526=RefCapacityProj!AK$1),0))*IF($C102=2035,1+VLOOKUP(AK$1,RefCapacity!$H$2:$L$8,2,FALSE),1+VLOOKUP(AK$1,RefCapacity!$H$2:$L$8,4,FALSE))</f>
        <v>3063.8504634026467</v>
      </c>
      <c r="AZ102" cm="1">
        <f t="array" ref="AZ102">INDEX(RefCapacity!$D$2:$D$526,MATCH(1,(RefCapacity!$A$2:$A$526=RefCapacityProj!$D102)*(RefCapacity!$B$2:$B$526=2019)*(RefCapacity!$C$2:$C$526=RefCapacityProj!AL$1),0))*IF($C102=2035,1+VLOOKUP(AL$1,RefCapacity!$H$2:$L$8,2,FALSE),1+VLOOKUP(AL$1,RefCapacity!$H$2:$L$8,4,FALSE))</f>
        <v>69.2605029229384</v>
      </c>
      <c r="BA102" cm="1">
        <f t="array" ref="BA102">INDEX(RefCapacity!$D$2:$D$526,MATCH(1,(RefCapacity!$A$2:$A$526=RefCapacityProj!$D102)*(RefCapacity!$B$2:$B$526=2019)*(RefCapacity!$C$2:$C$526=RefCapacityProj!AM$1),0))*IF($C102=2035,1+VLOOKUP(AM$1,RefCapacity!$H$2:$L$8,2,FALSE),1+VLOOKUP(AM$1,RefCapacity!$H$2:$L$8,4,FALSE))</f>
        <v>5773.7168821974883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f t="shared" si="12"/>
        <v>4931.272993864357</v>
      </c>
      <c r="BJ102">
        <f t="shared" si="13"/>
        <v>48.819365049761473</v>
      </c>
      <c r="BK102">
        <f t="shared" si="14"/>
        <v>9.9995897755302821E-3</v>
      </c>
      <c r="BL102" cm="1">
        <f t="array" ref="BL102">AG102/$BI102*INDEX('GHG Emission'!$C$2:$C$1121,MATCH(1,('GHG Emission'!$D$2:$D$1121=$D102)*('GHG Emission'!$E$2:$E$1121=$C102)*('GHG Emission'!$F$2:$F$1121=$B102)*('GHG Emission'!$I$2:$I$1121=$E102)*('GHG Emission'!$J$2:$J$1121=$F102)*('GHG Emission'!$K$2:$K$1121=AG$1),0))+AH102/$BI102*INDEX('GHG Emission'!$C$2:$C$1121,MATCH(1,('GHG Emission'!$D$2:$D$1121=$D102)*('GHG Emission'!$E$2:$E$1121=$C102)*('GHG Emission'!$F$2:$F$1121=$B102)*('GHG Emission'!$I$2:$I$1121=$E102)*('GHG Emission'!$J$2:$J$1121=$F102)*('GHG Emission'!$K$2:$K$1121=AH$1),0))+AI102/$BI102*INDEX('GHG Emission'!$C$2:$C$1121,MATCH(1,('GHG Emission'!$D$2:$D$1121=$D102)*('GHG Emission'!$E$2:$E$1121=$C102)*('GHG Emission'!$F$2:$F$1121=$B102)*('GHG Emission'!$I$2:$I$1121=$E102)*('GHG Emission'!$J$2:$J$1121=$F102)*('GHG Emission'!$K$2:$K$1121=AI$1),0))+AJ102/$BI102*INDEX('GHG Emission'!$C$2:$C$1121,MATCH(1,('GHG Emission'!$D$2:$D$1121=$D102)*('GHG Emission'!$E$2:$E$1121=$C102)*('GHG Emission'!$F$2:$F$1121=$B102)*('GHG Emission'!$I$2:$I$1121=$E102)*('GHG Emission'!$J$2:$J$1121=$F102)*('GHG Emission'!$K$2:$K$1121=AJ$1),0))+AK102/$BI102*INDEX('GHG Emission'!$C$2:$C$1121,MATCH(1,('GHG Emission'!$D$2:$D$1121=$D102)*('GHG Emission'!$E$2:$E$1121=$C102)*('GHG Emission'!$F$2:$F$1121=$B102)*('GHG Emission'!$I$2:$I$1121=$E102)*('GHG Emission'!$J$2:$J$1121=$F102)*('GHG Emission'!$K$2:$K$1121=AK$1),0))+AL102/$BI102*INDEX('GHG Emission'!$C$2:$C$1121,MATCH(1,('GHG Emission'!$D$2:$D$1121=$D102)*('GHG Emission'!$E$2:$E$1121=$C102)*('GHG Emission'!$F$2:$F$1121=$B102)*('GHG Emission'!$I$2:$I$1121=$E102)*('GHG Emission'!$J$2:$J$1121=$F102)*('GHG Emission'!$K$2:$K$1121=AL$1),0))+AM102/$BI102*INDEX('GHG Emission'!$C$2:$C$1121,MATCH(1,('GHG Emission'!$D$2:$D$1121=$D102)*('GHG Emission'!$E$2:$E$1121=$C102)*('GHG Emission'!$F$2:$F$1121=$B102)*('GHG Emission'!$I$2:$I$1121=$E102)*('GHG Emission'!$J$2:$J$1121=$F102)*('GHG Emission'!$K$2:$K$1121=AM$1),0))</f>
        <v>34.027133660966392</v>
      </c>
      <c r="BM102" t="str">
        <f t="shared" si="15"/>
        <v>HEAVY/SWEET</v>
      </c>
    </row>
    <row r="103" spans="1:65" hidden="1" x14ac:dyDescent="0.25">
      <c r="A103">
        <v>102</v>
      </c>
      <c r="B103" t="s">
        <v>471</v>
      </c>
      <c r="C103">
        <v>2050</v>
      </c>
      <c r="D103">
        <v>3</v>
      </c>
      <c r="E103" t="s">
        <v>466</v>
      </c>
      <c r="F103" t="s">
        <v>468</v>
      </c>
      <c r="G103">
        <v>787.5738780285177</v>
      </c>
      <c r="H103">
        <v>1077.1561660460204</v>
      </c>
      <c r="I103">
        <v>1516.0615477566978</v>
      </c>
      <c r="J103">
        <v>1075.4416741976411</v>
      </c>
      <c r="K103">
        <v>269.32588574164436</v>
      </c>
      <c r="L103">
        <v>49.948418930838677</v>
      </c>
      <c r="M103">
        <v>0</v>
      </c>
      <c r="N103">
        <v>0</v>
      </c>
      <c r="O103">
        <v>0</v>
      </c>
      <c r="P103">
        <v>69.39697171997085</v>
      </c>
      <c r="Q103">
        <v>0</v>
      </c>
      <c r="R103">
        <v>0</v>
      </c>
      <c r="S103">
        <v>0</v>
      </c>
      <c r="T103">
        <v>12.969949555427933</v>
      </c>
      <c r="U103">
        <v>0</v>
      </c>
      <c r="V103">
        <v>0</v>
      </c>
      <c r="W103">
        <v>0</v>
      </c>
      <c r="X103">
        <f t="shared" si="8"/>
        <v>4857.8744919767578</v>
      </c>
      <c r="Y103">
        <f>X103*VLOOKUP($D103,'LinearReg Model'!$S$2:$T$6,2,FALSE)</f>
        <v>4882.4536288145955</v>
      </c>
      <c r="Z103">
        <f t="shared" si="9"/>
        <v>0.16212314240091441</v>
      </c>
      <c r="AA103">
        <f t="shared" si="10"/>
        <v>0.31208330932810591</v>
      </c>
      <c r="AB103">
        <f t="shared" si="11"/>
        <v>0.22173404599584579</v>
      </c>
      <c r="AC103">
        <v>28.267512206646213</v>
      </c>
      <c r="AD103">
        <v>2.673413137685352</v>
      </c>
      <c r="AE103" s="2">
        <f>VLOOKUP($D103,'MultiReg Model'!$A$5:$F$9,2,FALSE)+AC103*VLOOKUP($D103,'MultiReg Model'!$A$5:$F$9,3,FALSE)+Z103*VLOOKUP($D103,'MultiReg Model'!$A$5:$F$9,4,FALSE)+AA103*VLOOKUP($D103,'MultiReg Model'!$A$5:$F$9,5,FALSE)+AB103*VLOOKUP($D103,'MultiReg Model'!$A$5:$F$9,6,FALSE)</f>
        <v>9.2177680246871319</v>
      </c>
      <c r="AF103" cm="1">
        <f t="array" ref="AF103">MMULT($AG103:$AM103,'Avg CI Index'!$C$2:$C$8)/BI103</f>
        <v>9.2277676144626621</v>
      </c>
      <c r="AG103">
        <v>579.7592199702359</v>
      </c>
      <c r="AH103">
        <v>400.3865446936066</v>
      </c>
      <c r="AI103">
        <v>290.77856079284686</v>
      </c>
      <c r="AJ103">
        <v>369.81685152810604</v>
      </c>
      <c r="AK103">
        <v>871.49089105230644</v>
      </c>
      <c r="AL103">
        <v>1.058203520278897E-3</v>
      </c>
      <c r="AM103">
        <v>2419.0398676237351</v>
      </c>
      <c r="AN103" cm="1">
        <f t="array" ref="AN103">$Y103*INDEX(RefCapacity!$D$2:$D$526,MATCH(1,(RefCapacity!$A$2:$A$526=RefCapacityProj!$D103)*(RefCapacity!$B$2:$B$526=2019)*(RefCapacity!$C$2:$C$526=AG$1),0))/SUMIFS(RefCapacity!$D$2:$D$526,RefCapacity!$A$2:$A$526,RefCapacityProj!$D103,RefCapacity!$B$2:$B$526,2019)</f>
        <v>148.35284510187495</v>
      </c>
      <c r="AO103" cm="1">
        <f t="array" ref="AO103">$Y103*INDEX(RefCapacity!$D$2:$D$526,MATCH(1,(RefCapacity!$A$2:$A$526=RefCapacityProj!$D103)*(RefCapacity!$B$2:$B$526=2019)*(RefCapacity!$C$2:$C$526=AH$1),0))/SUMIFS(RefCapacity!$D$2:$D$526,RefCapacity!$A$2:$A$526,RefCapacityProj!$D103,RefCapacity!$B$2:$B$526,2019)</f>
        <v>344.71877603303307</v>
      </c>
      <c r="AP103" cm="1">
        <f t="array" ref="AP103">$Y103*INDEX(RefCapacity!$D$2:$D$526,MATCH(1,(RefCapacity!$A$2:$A$526=RefCapacityProj!$D103)*(RefCapacity!$B$2:$B$526=2019)*(RefCapacity!$C$2:$C$526=AI$1),0))/SUMIFS(RefCapacity!$D$2:$D$526,RefCapacity!$A$2:$A$526,RefCapacityProj!$D103,RefCapacity!$B$2:$B$526,2019)</f>
        <v>148.20605286367407</v>
      </c>
      <c r="AQ103" cm="1">
        <f t="array" ref="AQ103">$Y103*INDEX(RefCapacity!$D$2:$D$526,MATCH(1,(RefCapacity!$A$2:$A$526=RefCapacityProj!$D103)*(RefCapacity!$B$2:$B$526=2019)*(RefCapacity!$C$2:$C$526=AJ$1),0))/SUMIFS(RefCapacity!$D$2:$D$526,RefCapacity!$A$2:$A$526,RefCapacityProj!$D103,RefCapacity!$B$2:$B$526,2019)</f>
        <v>506.01989893798435</v>
      </c>
      <c r="AR103" cm="1">
        <f t="array" ref="AR103">$Y103*INDEX(RefCapacity!$D$2:$D$526,MATCH(1,(RefCapacity!$A$2:$A$526=RefCapacityProj!$D103)*(RefCapacity!$B$2:$B$526=2019)*(RefCapacity!$C$2:$C$526=AK$1),0))/SUMIFS(RefCapacity!$D$2:$D$526,RefCapacity!$A$2:$A$526,RefCapacityProj!$D103,RefCapacity!$B$2:$B$526,2019)</f>
        <v>1034.8652394201035</v>
      </c>
      <c r="AS103" cm="1">
        <f t="array" ref="AS103">$Y103*INDEX(RefCapacity!$D$2:$D$526,MATCH(1,(RefCapacity!$A$2:$A$526=RefCapacityProj!$D103)*(RefCapacity!$B$2:$B$526=2019)*(RefCapacity!$C$2:$C$526=AL$1),0))/SUMIFS(RefCapacity!$D$2:$D$526,RefCapacity!$A$2:$A$526,RefCapacityProj!$D103,RefCapacity!$B$2:$B$526,2019)</f>
        <v>19.03790120011228</v>
      </c>
      <c r="AT103" cm="1">
        <f t="array" ref="AT103">$Y103*INDEX(RefCapacity!$D$2:$D$526,MATCH(1,(RefCapacity!$A$2:$A$526=RefCapacityProj!$D103)*(RefCapacity!$B$2:$B$526=2019)*(RefCapacity!$C$2:$C$526=AM$1),0))/SUMIFS(RefCapacity!$D$2:$D$526,RefCapacity!$A$2:$A$526,RefCapacityProj!$D103,RefCapacity!$B$2:$B$526,2019)</f>
        <v>2681.2529152578136</v>
      </c>
      <c r="AU103" cm="1">
        <f t="array" ref="AU103">INDEX(RefCapacity!$D$2:$D$526,MATCH(1,(RefCapacity!$A$2:$A$526=RefCapacityProj!$D103)*(RefCapacity!$B$2:$B$526=2019)*(RefCapacity!$C$2:$C$526=RefCapacityProj!AG$1),0))*IF($C103=2035,1+VLOOKUP(AG$1,RefCapacity!$H$2:$L$8,2,FALSE),1+VLOOKUP(AG$1,RefCapacity!$H$2:$L$8,4,FALSE))</f>
        <v>1341.688193439242</v>
      </c>
      <c r="AV103" cm="1">
        <f t="array" ref="AV103">INDEX(RefCapacity!$D$2:$D$526,MATCH(1,(RefCapacity!$A$2:$A$526=RefCapacityProj!$D103)*(RefCapacity!$B$2:$B$526=2019)*(RefCapacity!$C$2:$C$526=RefCapacityProj!AH$1),0))*IF($C103=2035,1+VLOOKUP(AH$1,RefCapacity!$H$2:$L$8,2,FALSE),1+VLOOKUP(AH$1,RefCapacity!$H$2:$L$8,4,FALSE))</f>
        <v>1166.9533873398473</v>
      </c>
      <c r="AW103" cm="1">
        <f t="array" ref="AW103">INDEX(RefCapacity!$D$2:$D$526,MATCH(1,(RefCapacity!$A$2:$A$526=RefCapacityProj!$D103)*(RefCapacity!$B$2:$B$526=2019)*(RefCapacity!$C$2:$C$526=RefCapacityProj!AI$1),0))*IF($C103=2035,1+VLOOKUP(AI$1,RefCapacity!$H$2:$L$8,2,FALSE),1+VLOOKUP(AI$1,RefCapacity!$H$2:$L$8,4,FALSE))</f>
        <v>315.88917723076923</v>
      </c>
      <c r="AX103" cm="1">
        <f t="array" ref="AX103">INDEX(RefCapacity!$D$2:$D$526,MATCH(1,(RefCapacity!$A$2:$A$526=RefCapacityProj!$D103)*(RefCapacity!$B$2:$B$526=2019)*(RefCapacity!$C$2:$C$526=RefCapacityProj!AJ$1),0))*IF($C103=2035,1+VLOOKUP(AJ$1,RefCapacity!$H$2:$L$8,2,FALSE),1+VLOOKUP(AJ$1,RefCapacity!$H$2:$L$8,4,FALSE))</f>
        <v>2857.6483299595143</v>
      </c>
      <c r="AY103" cm="1">
        <f t="array" ref="AY103">INDEX(RefCapacity!$D$2:$D$526,MATCH(1,(RefCapacity!$A$2:$A$526=RefCapacityProj!$D103)*(RefCapacity!$B$2:$B$526=2019)*(RefCapacity!$C$2:$C$526=RefCapacityProj!AK$1),0))*IF($C103=2035,1+VLOOKUP(AK$1,RefCapacity!$H$2:$L$8,2,FALSE),1+VLOOKUP(AK$1,RefCapacity!$H$2:$L$8,4,FALSE))</f>
        <v>3063.8504634026467</v>
      </c>
      <c r="AZ103" cm="1">
        <f t="array" ref="AZ103">INDEX(RefCapacity!$D$2:$D$526,MATCH(1,(RefCapacity!$A$2:$A$526=RefCapacityProj!$D103)*(RefCapacity!$B$2:$B$526=2019)*(RefCapacity!$C$2:$C$526=RefCapacityProj!AL$1),0))*IF($C103=2035,1+VLOOKUP(AL$1,RefCapacity!$H$2:$L$8,2,FALSE),1+VLOOKUP(AL$1,RefCapacity!$H$2:$L$8,4,FALSE))</f>
        <v>69.2605029229384</v>
      </c>
      <c r="BA103" cm="1">
        <f t="array" ref="BA103">INDEX(RefCapacity!$D$2:$D$526,MATCH(1,(RefCapacity!$A$2:$A$526=RefCapacityProj!$D103)*(RefCapacity!$B$2:$B$526=2019)*(RefCapacity!$C$2:$C$526=RefCapacityProj!AM$1),0))*IF($C103=2035,1+VLOOKUP(AM$1,RefCapacity!$H$2:$L$8,2,FALSE),1+VLOOKUP(AM$1,RefCapacity!$H$2:$L$8,4,FALSE))</f>
        <v>5773.7168821974883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f t="shared" si="12"/>
        <v>4931.272993864357</v>
      </c>
      <c r="BJ103">
        <f t="shared" si="13"/>
        <v>48.819365049761473</v>
      </c>
      <c r="BK103">
        <f t="shared" si="14"/>
        <v>9.9995897755302821E-3</v>
      </c>
      <c r="BL103" cm="1">
        <f t="array" ref="BL103">AG103/$BI103*INDEX('GHG Emission'!$C$2:$C$1121,MATCH(1,('GHG Emission'!$D$2:$D$1121=$D103)*('GHG Emission'!$E$2:$E$1121=$C103)*('GHG Emission'!$F$2:$F$1121=$B103)*('GHG Emission'!$I$2:$I$1121=$E103)*('GHG Emission'!$J$2:$J$1121=$F103)*('GHG Emission'!$K$2:$K$1121=AG$1),0))+AH103/$BI103*INDEX('GHG Emission'!$C$2:$C$1121,MATCH(1,('GHG Emission'!$D$2:$D$1121=$D103)*('GHG Emission'!$E$2:$E$1121=$C103)*('GHG Emission'!$F$2:$F$1121=$B103)*('GHG Emission'!$I$2:$I$1121=$E103)*('GHG Emission'!$J$2:$J$1121=$F103)*('GHG Emission'!$K$2:$K$1121=AH$1),0))+AI103/$BI103*INDEX('GHG Emission'!$C$2:$C$1121,MATCH(1,('GHG Emission'!$D$2:$D$1121=$D103)*('GHG Emission'!$E$2:$E$1121=$C103)*('GHG Emission'!$F$2:$F$1121=$B103)*('GHG Emission'!$I$2:$I$1121=$E103)*('GHG Emission'!$J$2:$J$1121=$F103)*('GHG Emission'!$K$2:$K$1121=AI$1),0))+AJ103/$BI103*INDEX('GHG Emission'!$C$2:$C$1121,MATCH(1,('GHG Emission'!$D$2:$D$1121=$D103)*('GHG Emission'!$E$2:$E$1121=$C103)*('GHG Emission'!$F$2:$F$1121=$B103)*('GHG Emission'!$I$2:$I$1121=$E103)*('GHG Emission'!$J$2:$J$1121=$F103)*('GHG Emission'!$K$2:$K$1121=AJ$1),0))+AK103/$BI103*INDEX('GHG Emission'!$C$2:$C$1121,MATCH(1,('GHG Emission'!$D$2:$D$1121=$D103)*('GHG Emission'!$E$2:$E$1121=$C103)*('GHG Emission'!$F$2:$F$1121=$B103)*('GHG Emission'!$I$2:$I$1121=$E103)*('GHG Emission'!$J$2:$J$1121=$F103)*('GHG Emission'!$K$2:$K$1121=AK$1),0))+AL103/$BI103*INDEX('GHG Emission'!$C$2:$C$1121,MATCH(1,('GHG Emission'!$D$2:$D$1121=$D103)*('GHG Emission'!$E$2:$E$1121=$C103)*('GHG Emission'!$F$2:$F$1121=$B103)*('GHG Emission'!$I$2:$I$1121=$E103)*('GHG Emission'!$J$2:$J$1121=$F103)*('GHG Emission'!$K$2:$K$1121=AL$1),0))+AM103/$BI103*INDEX('GHG Emission'!$C$2:$C$1121,MATCH(1,('GHG Emission'!$D$2:$D$1121=$D103)*('GHG Emission'!$E$2:$E$1121=$C103)*('GHG Emission'!$F$2:$F$1121=$B103)*('GHG Emission'!$I$2:$I$1121=$E103)*('GHG Emission'!$J$2:$J$1121=$F103)*('GHG Emission'!$K$2:$K$1121=AM$1),0))</f>
        <v>33.598370629745958</v>
      </c>
      <c r="BM103" t="str">
        <f t="shared" si="15"/>
        <v>HEAVY/SOUR</v>
      </c>
    </row>
    <row r="104" spans="1:65" hidden="1" x14ac:dyDescent="0.25">
      <c r="A104">
        <v>103</v>
      </c>
      <c r="B104" t="s">
        <v>471</v>
      </c>
      <c r="C104">
        <v>2050</v>
      </c>
      <c r="D104">
        <v>3</v>
      </c>
      <c r="E104" t="s">
        <v>469</v>
      </c>
      <c r="F104" t="s">
        <v>467</v>
      </c>
      <c r="G104">
        <v>787.5738780285177</v>
      </c>
      <c r="H104">
        <v>1077.1561660460204</v>
      </c>
      <c r="I104">
        <v>1516.0615477566978</v>
      </c>
      <c r="J104">
        <v>1075.4416741976411</v>
      </c>
      <c r="K104">
        <v>269.32588574164436</v>
      </c>
      <c r="L104">
        <v>49.948418930838677</v>
      </c>
      <c r="M104">
        <v>0</v>
      </c>
      <c r="N104">
        <v>0</v>
      </c>
      <c r="O104">
        <v>0</v>
      </c>
      <c r="P104">
        <v>69.39697171997085</v>
      </c>
      <c r="Q104">
        <v>0</v>
      </c>
      <c r="R104">
        <v>0</v>
      </c>
      <c r="S104">
        <v>0</v>
      </c>
      <c r="T104">
        <v>12.969949555427933</v>
      </c>
      <c r="U104">
        <v>0</v>
      </c>
      <c r="V104">
        <v>0</v>
      </c>
      <c r="W104">
        <v>0</v>
      </c>
      <c r="X104">
        <f t="shared" si="8"/>
        <v>4857.8744919767578</v>
      </c>
      <c r="Y104">
        <f>X104*VLOOKUP($D104,'LinearReg Model'!$S$2:$T$6,2,FALSE)</f>
        <v>4882.4536288145955</v>
      </c>
      <c r="Z104">
        <f t="shared" si="9"/>
        <v>0.16212314240091441</v>
      </c>
      <c r="AA104">
        <f t="shared" si="10"/>
        <v>0.31208330932810591</v>
      </c>
      <c r="AB104">
        <f t="shared" si="11"/>
        <v>0.22173404599584579</v>
      </c>
      <c r="AC104">
        <v>37.317276792879753</v>
      </c>
      <c r="AD104">
        <v>1.0693086579627853</v>
      </c>
      <c r="AE104" s="2">
        <f>VLOOKUP($D104,'MultiReg Model'!$A$5:$F$9,2,FALSE)+AC104*VLOOKUP($D104,'MultiReg Model'!$A$5:$F$9,3,FALSE)+Z104*VLOOKUP($D104,'MultiReg Model'!$A$5:$F$9,4,FALSE)+AA104*VLOOKUP($D104,'MultiReg Model'!$A$5:$F$9,5,FALSE)+AB104*VLOOKUP($D104,'MultiReg Model'!$A$5:$F$9,6,FALSE)</f>
        <v>8.5546642229620637</v>
      </c>
      <c r="AF104" cm="1">
        <f t="array" ref="AF104">MMULT($AG104:$AM104,'Avg CI Index'!$C$2:$C$8)/BI104</f>
        <v>8.5646642356512945</v>
      </c>
      <c r="AG104">
        <v>964.14913463690755</v>
      </c>
      <c r="AH104">
        <v>456.68303786972717</v>
      </c>
      <c r="AI104">
        <v>315.88421627417631</v>
      </c>
      <c r="AJ104">
        <v>258.6292642427585</v>
      </c>
      <c r="AK104">
        <v>736.54505440286175</v>
      </c>
      <c r="AL104">
        <v>5.0811922240385334E-3</v>
      </c>
      <c r="AM104">
        <v>2197.7633659736102</v>
      </c>
      <c r="AN104" cm="1">
        <f t="array" ref="AN104">$Y104*INDEX(RefCapacity!$D$2:$D$526,MATCH(1,(RefCapacity!$A$2:$A$526=RefCapacityProj!$D104)*(RefCapacity!$B$2:$B$526=2019)*(RefCapacity!$C$2:$C$526=AG$1),0))/SUMIFS(RefCapacity!$D$2:$D$526,RefCapacity!$A$2:$A$526,RefCapacityProj!$D104,RefCapacity!$B$2:$B$526,2019)</f>
        <v>148.35284510187495</v>
      </c>
      <c r="AO104" cm="1">
        <f t="array" ref="AO104">$Y104*INDEX(RefCapacity!$D$2:$D$526,MATCH(1,(RefCapacity!$A$2:$A$526=RefCapacityProj!$D104)*(RefCapacity!$B$2:$B$526=2019)*(RefCapacity!$C$2:$C$526=AH$1),0))/SUMIFS(RefCapacity!$D$2:$D$526,RefCapacity!$A$2:$A$526,RefCapacityProj!$D104,RefCapacity!$B$2:$B$526,2019)</f>
        <v>344.71877603303307</v>
      </c>
      <c r="AP104" cm="1">
        <f t="array" ref="AP104">$Y104*INDEX(RefCapacity!$D$2:$D$526,MATCH(1,(RefCapacity!$A$2:$A$526=RefCapacityProj!$D104)*(RefCapacity!$B$2:$B$526=2019)*(RefCapacity!$C$2:$C$526=AI$1),0))/SUMIFS(RefCapacity!$D$2:$D$526,RefCapacity!$A$2:$A$526,RefCapacityProj!$D104,RefCapacity!$B$2:$B$526,2019)</f>
        <v>148.20605286367407</v>
      </c>
      <c r="AQ104" cm="1">
        <f t="array" ref="AQ104">$Y104*INDEX(RefCapacity!$D$2:$D$526,MATCH(1,(RefCapacity!$A$2:$A$526=RefCapacityProj!$D104)*(RefCapacity!$B$2:$B$526=2019)*(RefCapacity!$C$2:$C$526=AJ$1),0))/SUMIFS(RefCapacity!$D$2:$D$526,RefCapacity!$A$2:$A$526,RefCapacityProj!$D104,RefCapacity!$B$2:$B$526,2019)</f>
        <v>506.01989893798435</v>
      </c>
      <c r="AR104" cm="1">
        <f t="array" ref="AR104">$Y104*INDEX(RefCapacity!$D$2:$D$526,MATCH(1,(RefCapacity!$A$2:$A$526=RefCapacityProj!$D104)*(RefCapacity!$B$2:$B$526=2019)*(RefCapacity!$C$2:$C$526=AK$1),0))/SUMIFS(RefCapacity!$D$2:$D$526,RefCapacity!$A$2:$A$526,RefCapacityProj!$D104,RefCapacity!$B$2:$B$526,2019)</f>
        <v>1034.8652394201035</v>
      </c>
      <c r="AS104" cm="1">
        <f t="array" ref="AS104">$Y104*INDEX(RefCapacity!$D$2:$D$526,MATCH(1,(RefCapacity!$A$2:$A$526=RefCapacityProj!$D104)*(RefCapacity!$B$2:$B$526=2019)*(RefCapacity!$C$2:$C$526=AL$1),0))/SUMIFS(RefCapacity!$D$2:$D$526,RefCapacity!$A$2:$A$526,RefCapacityProj!$D104,RefCapacity!$B$2:$B$526,2019)</f>
        <v>19.03790120011228</v>
      </c>
      <c r="AT104" cm="1">
        <f t="array" ref="AT104">$Y104*INDEX(RefCapacity!$D$2:$D$526,MATCH(1,(RefCapacity!$A$2:$A$526=RefCapacityProj!$D104)*(RefCapacity!$B$2:$B$526=2019)*(RefCapacity!$C$2:$C$526=AM$1),0))/SUMIFS(RefCapacity!$D$2:$D$526,RefCapacity!$A$2:$A$526,RefCapacityProj!$D104,RefCapacity!$B$2:$B$526,2019)</f>
        <v>2681.2529152578136</v>
      </c>
      <c r="AU104" cm="1">
        <f t="array" ref="AU104">INDEX(RefCapacity!$D$2:$D$526,MATCH(1,(RefCapacity!$A$2:$A$526=RefCapacityProj!$D104)*(RefCapacity!$B$2:$B$526=2019)*(RefCapacity!$C$2:$C$526=RefCapacityProj!AG$1),0))*IF($C104=2035,1+VLOOKUP(AG$1,RefCapacity!$H$2:$L$8,2,FALSE),1+VLOOKUP(AG$1,RefCapacity!$H$2:$L$8,4,FALSE))</f>
        <v>1341.688193439242</v>
      </c>
      <c r="AV104" cm="1">
        <f t="array" ref="AV104">INDEX(RefCapacity!$D$2:$D$526,MATCH(1,(RefCapacity!$A$2:$A$526=RefCapacityProj!$D104)*(RefCapacity!$B$2:$B$526=2019)*(RefCapacity!$C$2:$C$526=RefCapacityProj!AH$1),0))*IF($C104=2035,1+VLOOKUP(AH$1,RefCapacity!$H$2:$L$8,2,FALSE),1+VLOOKUP(AH$1,RefCapacity!$H$2:$L$8,4,FALSE))</f>
        <v>1166.9533873398473</v>
      </c>
      <c r="AW104" cm="1">
        <f t="array" ref="AW104">INDEX(RefCapacity!$D$2:$D$526,MATCH(1,(RefCapacity!$A$2:$A$526=RefCapacityProj!$D104)*(RefCapacity!$B$2:$B$526=2019)*(RefCapacity!$C$2:$C$526=RefCapacityProj!AI$1),0))*IF($C104=2035,1+VLOOKUP(AI$1,RefCapacity!$H$2:$L$8,2,FALSE),1+VLOOKUP(AI$1,RefCapacity!$H$2:$L$8,4,FALSE))</f>
        <v>315.88917723076923</v>
      </c>
      <c r="AX104" cm="1">
        <f t="array" ref="AX104">INDEX(RefCapacity!$D$2:$D$526,MATCH(1,(RefCapacity!$A$2:$A$526=RefCapacityProj!$D104)*(RefCapacity!$B$2:$B$526=2019)*(RefCapacity!$C$2:$C$526=RefCapacityProj!AJ$1),0))*IF($C104=2035,1+VLOOKUP(AJ$1,RefCapacity!$H$2:$L$8,2,FALSE),1+VLOOKUP(AJ$1,RefCapacity!$H$2:$L$8,4,FALSE))</f>
        <v>2857.6483299595143</v>
      </c>
      <c r="AY104" cm="1">
        <f t="array" ref="AY104">INDEX(RefCapacity!$D$2:$D$526,MATCH(1,(RefCapacity!$A$2:$A$526=RefCapacityProj!$D104)*(RefCapacity!$B$2:$B$526=2019)*(RefCapacity!$C$2:$C$526=RefCapacityProj!AK$1),0))*IF($C104=2035,1+VLOOKUP(AK$1,RefCapacity!$H$2:$L$8,2,FALSE),1+VLOOKUP(AK$1,RefCapacity!$H$2:$L$8,4,FALSE))</f>
        <v>3063.8504634026467</v>
      </c>
      <c r="AZ104" cm="1">
        <f t="array" ref="AZ104">INDEX(RefCapacity!$D$2:$D$526,MATCH(1,(RefCapacity!$A$2:$A$526=RefCapacityProj!$D104)*(RefCapacity!$B$2:$B$526=2019)*(RefCapacity!$C$2:$C$526=RefCapacityProj!AL$1),0))*IF($C104=2035,1+VLOOKUP(AL$1,RefCapacity!$H$2:$L$8,2,FALSE),1+VLOOKUP(AL$1,RefCapacity!$H$2:$L$8,4,FALSE))</f>
        <v>69.2605029229384</v>
      </c>
      <c r="BA104" cm="1">
        <f t="array" ref="BA104">INDEX(RefCapacity!$D$2:$D$526,MATCH(1,(RefCapacity!$A$2:$A$526=RefCapacityProj!$D104)*(RefCapacity!$B$2:$B$526=2019)*(RefCapacity!$C$2:$C$526=RefCapacityProj!AM$1),0))*IF($C104=2035,1+VLOOKUP(AM$1,RefCapacity!$H$2:$L$8,2,FALSE),1+VLOOKUP(AM$1,RefCapacity!$H$2:$L$8,4,FALSE))</f>
        <v>5773.7168821974883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f t="shared" si="12"/>
        <v>4929.6591545922656</v>
      </c>
      <c r="BJ104">
        <f t="shared" si="13"/>
        <v>47.205525777670118</v>
      </c>
      <c r="BK104">
        <f t="shared" si="14"/>
        <v>1.0000012689230786E-2</v>
      </c>
      <c r="BL104" cm="1">
        <f t="array" ref="BL104">AG104/$BI104*INDEX('GHG Emission'!$C$2:$C$1121,MATCH(1,('GHG Emission'!$D$2:$D$1121=$D104)*('GHG Emission'!$E$2:$E$1121=$C104)*('GHG Emission'!$F$2:$F$1121=$B104)*('GHG Emission'!$I$2:$I$1121=$E104)*('GHG Emission'!$J$2:$J$1121=$F104)*('GHG Emission'!$K$2:$K$1121=AG$1),0))+AH104/$BI104*INDEX('GHG Emission'!$C$2:$C$1121,MATCH(1,('GHG Emission'!$D$2:$D$1121=$D104)*('GHG Emission'!$E$2:$E$1121=$C104)*('GHG Emission'!$F$2:$F$1121=$B104)*('GHG Emission'!$I$2:$I$1121=$E104)*('GHG Emission'!$J$2:$J$1121=$F104)*('GHG Emission'!$K$2:$K$1121=AH$1),0))+AI104/$BI104*INDEX('GHG Emission'!$C$2:$C$1121,MATCH(1,('GHG Emission'!$D$2:$D$1121=$D104)*('GHG Emission'!$E$2:$E$1121=$C104)*('GHG Emission'!$F$2:$F$1121=$B104)*('GHG Emission'!$I$2:$I$1121=$E104)*('GHG Emission'!$J$2:$J$1121=$F104)*('GHG Emission'!$K$2:$K$1121=AI$1),0))+AJ104/$BI104*INDEX('GHG Emission'!$C$2:$C$1121,MATCH(1,('GHG Emission'!$D$2:$D$1121=$D104)*('GHG Emission'!$E$2:$E$1121=$C104)*('GHG Emission'!$F$2:$F$1121=$B104)*('GHG Emission'!$I$2:$I$1121=$E104)*('GHG Emission'!$J$2:$J$1121=$F104)*('GHG Emission'!$K$2:$K$1121=AJ$1),0))+AK104/$BI104*INDEX('GHG Emission'!$C$2:$C$1121,MATCH(1,('GHG Emission'!$D$2:$D$1121=$D104)*('GHG Emission'!$E$2:$E$1121=$C104)*('GHG Emission'!$F$2:$F$1121=$B104)*('GHG Emission'!$I$2:$I$1121=$E104)*('GHG Emission'!$J$2:$J$1121=$F104)*('GHG Emission'!$K$2:$K$1121=AK$1),0))+AL104/$BI104*INDEX('GHG Emission'!$C$2:$C$1121,MATCH(1,('GHG Emission'!$D$2:$D$1121=$D104)*('GHG Emission'!$E$2:$E$1121=$C104)*('GHG Emission'!$F$2:$F$1121=$B104)*('GHG Emission'!$I$2:$I$1121=$E104)*('GHG Emission'!$J$2:$J$1121=$F104)*('GHG Emission'!$K$2:$K$1121=AL$1),0))+AM104/$BI104*INDEX('GHG Emission'!$C$2:$C$1121,MATCH(1,('GHG Emission'!$D$2:$D$1121=$D104)*('GHG Emission'!$E$2:$E$1121=$C104)*('GHG Emission'!$F$2:$F$1121=$B104)*('GHG Emission'!$I$2:$I$1121=$E104)*('GHG Emission'!$J$2:$J$1121=$F104)*('GHG Emission'!$K$2:$K$1121=AM$1),0))</f>
        <v>33.587385658435863</v>
      </c>
      <c r="BM104" t="str">
        <f t="shared" si="15"/>
        <v>LIGHT/SWEET</v>
      </c>
    </row>
    <row r="105" spans="1:65" hidden="1" x14ac:dyDescent="0.25">
      <c r="A105">
        <v>104</v>
      </c>
      <c r="B105" t="s">
        <v>471</v>
      </c>
      <c r="C105">
        <v>2050</v>
      </c>
      <c r="D105">
        <v>3</v>
      </c>
      <c r="E105" t="s">
        <v>469</v>
      </c>
      <c r="F105" t="s">
        <v>468</v>
      </c>
      <c r="G105">
        <v>787.5738780285177</v>
      </c>
      <c r="H105">
        <v>1077.1561660460204</v>
      </c>
      <c r="I105">
        <v>1516.0615477566978</v>
      </c>
      <c r="J105">
        <v>1075.4416741976411</v>
      </c>
      <c r="K105">
        <v>269.32588574164436</v>
      </c>
      <c r="L105">
        <v>49.948418930838677</v>
      </c>
      <c r="M105">
        <v>0</v>
      </c>
      <c r="N105">
        <v>0</v>
      </c>
      <c r="O105">
        <v>0</v>
      </c>
      <c r="P105">
        <v>69.39697171997085</v>
      </c>
      <c r="Q105">
        <v>0</v>
      </c>
      <c r="R105">
        <v>0</v>
      </c>
      <c r="S105">
        <v>0</v>
      </c>
      <c r="T105">
        <v>12.969949555427933</v>
      </c>
      <c r="U105">
        <v>0</v>
      </c>
      <c r="V105">
        <v>0</v>
      </c>
      <c r="W105">
        <v>0</v>
      </c>
      <c r="X105">
        <f t="shared" si="8"/>
        <v>4857.8744919767578</v>
      </c>
      <c r="Y105">
        <f>X105*VLOOKUP($D105,'LinearReg Model'!$S$2:$T$6,2,FALSE)</f>
        <v>4882.4536288145955</v>
      </c>
      <c r="Z105">
        <f t="shared" si="9"/>
        <v>0.16212314240091441</v>
      </c>
      <c r="AA105">
        <f t="shared" si="10"/>
        <v>0.31208330932810591</v>
      </c>
      <c r="AB105">
        <f t="shared" si="11"/>
        <v>0.22173404599584579</v>
      </c>
      <c r="AC105">
        <v>37.317276792879753</v>
      </c>
      <c r="AD105">
        <v>2.673413137685352</v>
      </c>
      <c r="AE105" s="2">
        <f>VLOOKUP($D105,'MultiReg Model'!$A$5:$F$9,2,FALSE)+AC105*VLOOKUP($D105,'MultiReg Model'!$A$5:$F$9,3,FALSE)+Z105*VLOOKUP($D105,'MultiReg Model'!$A$5:$F$9,4,FALSE)+AA105*VLOOKUP($D105,'MultiReg Model'!$A$5:$F$9,5,FALSE)+AB105*VLOOKUP($D105,'MultiReg Model'!$A$5:$F$9,6,FALSE)</f>
        <v>8.5546642229620637</v>
      </c>
      <c r="AF105" cm="1">
        <f t="array" ref="AF105">MMULT($AG105:$AM105,'Avg CI Index'!$C$2:$C$8)/BI105</f>
        <v>8.5646642356512945</v>
      </c>
      <c r="AG105">
        <v>964.14913463690755</v>
      </c>
      <c r="AH105">
        <v>456.68303786972717</v>
      </c>
      <c r="AI105">
        <v>315.88421627417631</v>
      </c>
      <c r="AJ105">
        <v>258.6292642427585</v>
      </c>
      <c r="AK105">
        <v>736.54505440286175</v>
      </c>
      <c r="AL105">
        <v>5.0811922240385334E-3</v>
      </c>
      <c r="AM105">
        <v>2197.7633659736102</v>
      </c>
      <c r="AN105" cm="1">
        <f t="array" ref="AN105">$Y105*INDEX(RefCapacity!$D$2:$D$526,MATCH(1,(RefCapacity!$A$2:$A$526=RefCapacityProj!$D105)*(RefCapacity!$B$2:$B$526=2019)*(RefCapacity!$C$2:$C$526=AG$1),0))/SUMIFS(RefCapacity!$D$2:$D$526,RefCapacity!$A$2:$A$526,RefCapacityProj!$D105,RefCapacity!$B$2:$B$526,2019)</f>
        <v>148.35284510187495</v>
      </c>
      <c r="AO105" cm="1">
        <f t="array" ref="AO105">$Y105*INDEX(RefCapacity!$D$2:$D$526,MATCH(1,(RefCapacity!$A$2:$A$526=RefCapacityProj!$D105)*(RefCapacity!$B$2:$B$526=2019)*(RefCapacity!$C$2:$C$526=AH$1),0))/SUMIFS(RefCapacity!$D$2:$D$526,RefCapacity!$A$2:$A$526,RefCapacityProj!$D105,RefCapacity!$B$2:$B$526,2019)</f>
        <v>344.71877603303307</v>
      </c>
      <c r="AP105" cm="1">
        <f t="array" ref="AP105">$Y105*INDEX(RefCapacity!$D$2:$D$526,MATCH(1,(RefCapacity!$A$2:$A$526=RefCapacityProj!$D105)*(RefCapacity!$B$2:$B$526=2019)*(RefCapacity!$C$2:$C$526=AI$1),0))/SUMIFS(RefCapacity!$D$2:$D$526,RefCapacity!$A$2:$A$526,RefCapacityProj!$D105,RefCapacity!$B$2:$B$526,2019)</f>
        <v>148.20605286367407</v>
      </c>
      <c r="AQ105" cm="1">
        <f t="array" ref="AQ105">$Y105*INDEX(RefCapacity!$D$2:$D$526,MATCH(1,(RefCapacity!$A$2:$A$526=RefCapacityProj!$D105)*(RefCapacity!$B$2:$B$526=2019)*(RefCapacity!$C$2:$C$526=AJ$1),0))/SUMIFS(RefCapacity!$D$2:$D$526,RefCapacity!$A$2:$A$526,RefCapacityProj!$D105,RefCapacity!$B$2:$B$526,2019)</f>
        <v>506.01989893798435</v>
      </c>
      <c r="AR105" cm="1">
        <f t="array" ref="AR105">$Y105*INDEX(RefCapacity!$D$2:$D$526,MATCH(1,(RefCapacity!$A$2:$A$526=RefCapacityProj!$D105)*(RefCapacity!$B$2:$B$526=2019)*(RefCapacity!$C$2:$C$526=AK$1),0))/SUMIFS(RefCapacity!$D$2:$D$526,RefCapacity!$A$2:$A$526,RefCapacityProj!$D105,RefCapacity!$B$2:$B$526,2019)</f>
        <v>1034.8652394201035</v>
      </c>
      <c r="AS105" cm="1">
        <f t="array" ref="AS105">$Y105*INDEX(RefCapacity!$D$2:$D$526,MATCH(1,(RefCapacity!$A$2:$A$526=RefCapacityProj!$D105)*(RefCapacity!$B$2:$B$526=2019)*(RefCapacity!$C$2:$C$526=AL$1),0))/SUMIFS(RefCapacity!$D$2:$D$526,RefCapacity!$A$2:$A$526,RefCapacityProj!$D105,RefCapacity!$B$2:$B$526,2019)</f>
        <v>19.03790120011228</v>
      </c>
      <c r="AT105" cm="1">
        <f t="array" ref="AT105">$Y105*INDEX(RefCapacity!$D$2:$D$526,MATCH(1,(RefCapacity!$A$2:$A$526=RefCapacityProj!$D105)*(RefCapacity!$B$2:$B$526=2019)*(RefCapacity!$C$2:$C$526=AM$1),0))/SUMIFS(RefCapacity!$D$2:$D$526,RefCapacity!$A$2:$A$526,RefCapacityProj!$D105,RefCapacity!$B$2:$B$526,2019)</f>
        <v>2681.2529152578136</v>
      </c>
      <c r="AU105" cm="1">
        <f t="array" ref="AU105">INDEX(RefCapacity!$D$2:$D$526,MATCH(1,(RefCapacity!$A$2:$A$526=RefCapacityProj!$D105)*(RefCapacity!$B$2:$B$526=2019)*(RefCapacity!$C$2:$C$526=RefCapacityProj!AG$1),0))*IF($C105=2035,1+VLOOKUP(AG$1,RefCapacity!$H$2:$L$8,2,FALSE),1+VLOOKUP(AG$1,RefCapacity!$H$2:$L$8,4,FALSE))</f>
        <v>1341.688193439242</v>
      </c>
      <c r="AV105" cm="1">
        <f t="array" ref="AV105">INDEX(RefCapacity!$D$2:$D$526,MATCH(1,(RefCapacity!$A$2:$A$526=RefCapacityProj!$D105)*(RefCapacity!$B$2:$B$526=2019)*(RefCapacity!$C$2:$C$526=RefCapacityProj!AH$1),0))*IF($C105=2035,1+VLOOKUP(AH$1,RefCapacity!$H$2:$L$8,2,FALSE),1+VLOOKUP(AH$1,RefCapacity!$H$2:$L$8,4,FALSE))</f>
        <v>1166.9533873398473</v>
      </c>
      <c r="AW105" cm="1">
        <f t="array" ref="AW105">INDEX(RefCapacity!$D$2:$D$526,MATCH(1,(RefCapacity!$A$2:$A$526=RefCapacityProj!$D105)*(RefCapacity!$B$2:$B$526=2019)*(RefCapacity!$C$2:$C$526=RefCapacityProj!AI$1),0))*IF($C105=2035,1+VLOOKUP(AI$1,RefCapacity!$H$2:$L$8,2,FALSE),1+VLOOKUP(AI$1,RefCapacity!$H$2:$L$8,4,FALSE))</f>
        <v>315.88917723076923</v>
      </c>
      <c r="AX105" cm="1">
        <f t="array" ref="AX105">INDEX(RefCapacity!$D$2:$D$526,MATCH(1,(RefCapacity!$A$2:$A$526=RefCapacityProj!$D105)*(RefCapacity!$B$2:$B$526=2019)*(RefCapacity!$C$2:$C$526=RefCapacityProj!AJ$1),0))*IF($C105=2035,1+VLOOKUP(AJ$1,RefCapacity!$H$2:$L$8,2,FALSE),1+VLOOKUP(AJ$1,RefCapacity!$H$2:$L$8,4,FALSE))</f>
        <v>2857.6483299595143</v>
      </c>
      <c r="AY105" cm="1">
        <f t="array" ref="AY105">INDEX(RefCapacity!$D$2:$D$526,MATCH(1,(RefCapacity!$A$2:$A$526=RefCapacityProj!$D105)*(RefCapacity!$B$2:$B$526=2019)*(RefCapacity!$C$2:$C$526=RefCapacityProj!AK$1),0))*IF($C105=2035,1+VLOOKUP(AK$1,RefCapacity!$H$2:$L$8,2,FALSE),1+VLOOKUP(AK$1,RefCapacity!$H$2:$L$8,4,FALSE))</f>
        <v>3063.8504634026467</v>
      </c>
      <c r="AZ105" cm="1">
        <f t="array" ref="AZ105">INDEX(RefCapacity!$D$2:$D$526,MATCH(1,(RefCapacity!$A$2:$A$526=RefCapacityProj!$D105)*(RefCapacity!$B$2:$B$526=2019)*(RefCapacity!$C$2:$C$526=RefCapacityProj!AL$1),0))*IF($C105=2035,1+VLOOKUP(AL$1,RefCapacity!$H$2:$L$8,2,FALSE),1+VLOOKUP(AL$1,RefCapacity!$H$2:$L$8,4,FALSE))</f>
        <v>69.2605029229384</v>
      </c>
      <c r="BA105" cm="1">
        <f t="array" ref="BA105">INDEX(RefCapacity!$D$2:$D$526,MATCH(1,(RefCapacity!$A$2:$A$526=RefCapacityProj!$D105)*(RefCapacity!$B$2:$B$526=2019)*(RefCapacity!$C$2:$C$526=RefCapacityProj!AM$1),0))*IF($C105=2035,1+VLOOKUP(AM$1,RefCapacity!$H$2:$L$8,2,FALSE),1+VLOOKUP(AM$1,RefCapacity!$H$2:$L$8,4,FALSE))</f>
        <v>5773.7168821974883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f t="shared" si="12"/>
        <v>4929.6591545922656</v>
      </c>
      <c r="BJ105">
        <f t="shared" si="13"/>
        <v>47.205525777670118</v>
      </c>
      <c r="BK105">
        <f t="shared" si="14"/>
        <v>1.0000012689230786E-2</v>
      </c>
      <c r="BL105" cm="1">
        <f t="array" ref="BL105">AG105/$BI105*INDEX('GHG Emission'!$C$2:$C$1121,MATCH(1,('GHG Emission'!$D$2:$D$1121=$D105)*('GHG Emission'!$E$2:$E$1121=$C105)*('GHG Emission'!$F$2:$F$1121=$B105)*('GHG Emission'!$I$2:$I$1121=$E105)*('GHG Emission'!$J$2:$J$1121=$F105)*('GHG Emission'!$K$2:$K$1121=AG$1),0))+AH105/$BI105*INDEX('GHG Emission'!$C$2:$C$1121,MATCH(1,('GHG Emission'!$D$2:$D$1121=$D105)*('GHG Emission'!$E$2:$E$1121=$C105)*('GHG Emission'!$F$2:$F$1121=$B105)*('GHG Emission'!$I$2:$I$1121=$E105)*('GHG Emission'!$J$2:$J$1121=$F105)*('GHG Emission'!$K$2:$K$1121=AH$1),0))+AI105/$BI105*INDEX('GHG Emission'!$C$2:$C$1121,MATCH(1,('GHG Emission'!$D$2:$D$1121=$D105)*('GHG Emission'!$E$2:$E$1121=$C105)*('GHG Emission'!$F$2:$F$1121=$B105)*('GHG Emission'!$I$2:$I$1121=$E105)*('GHG Emission'!$J$2:$J$1121=$F105)*('GHG Emission'!$K$2:$K$1121=AI$1),0))+AJ105/$BI105*INDEX('GHG Emission'!$C$2:$C$1121,MATCH(1,('GHG Emission'!$D$2:$D$1121=$D105)*('GHG Emission'!$E$2:$E$1121=$C105)*('GHG Emission'!$F$2:$F$1121=$B105)*('GHG Emission'!$I$2:$I$1121=$E105)*('GHG Emission'!$J$2:$J$1121=$F105)*('GHG Emission'!$K$2:$K$1121=AJ$1),0))+AK105/$BI105*INDEX('GHG Emission'!$C$2:$C$1121,MATCH(1,('GHG Emission'!$D$2:$D$1121=$D105)*('GHG Emission'!$E$2:$E$1121=$C105)*('GHG Emission'!$F$2:$F$1121=$B105)*('GHG Emission'!$I$2:$I$1121=$E105)*('GHG Emission'!$J$2:$J$1121=$F105)*('GHG Emission'!$K$2:$K$1121=AK$1),0))+AL105/$BI105*INDEX('GHG Emission'!$C$2:$C$1121,MATCH(1,('GHG Emission'!$D$2:$D$1121=$D105)*('GHG Emission'!$E$2:$E$1121=$C105)*('GHG Emission'!$F$2:$F$1121=$B105)*('GHG Emission'!$I$2:$I$1121=$E105)*('GHG Emission'!$J$2:$J$1121=$F105)*('GHG Emission'!$K$2:$K$1121=AL$1),0))+AM105/$BI105*INDEX('GHG Emission'!$C$2:$C$1121,MATCH(1,('GHG Emission'!$D$2:$D$1121=$D105)*('GHG Emission'!$E$2:$E$1121=$C105)*('GHG Emission'!$F$2:$F$1121=$B105)*('GHG Emission'!$I$2:$I$1121=$E105)*('GHG Emission'!$J$2:$J$1121=$F105)*('GHG Emission'!$K$2:$K$1121=AM$1),0))</f>
        <v>33.048061195495691</v>
      </c>
      <c r="BM105" t="str">
        <f t="shared" si="15"/>
        <v>LIGHT/SOUR</v>
      </c>
    </row>
    <row r="106" spans="1:65" hidden="1" x14ac:dyDescent="0.25">
      <c r="A106">
        <v>105</v>
      </c>
      <c r="B106" t="s">
        <v>471</v>
      </c>
      <c r="C106">
        <v>2035</v>
      </c>
      <c r="D106">
        <v>4</v>
      </c>
      <c r="E106" t="s">
        <v>466</v>
      </c>
      <c r="F106" t="s">
        <v>467</v>
      </c>
      <c r="G106">
        <v>214.04372005514037</v>
      </c>
      <c r="H106">
        <v>25.722246412711044</v>
      </c>
      <c r="I106">
        <v>142.05245209060811</v>
      </c>
      <c r="J106">
        <v>34.316526222584876</v>
      </c>
      <c r="K106">
        <v>4.5959626645722889</v>
      </c>
      <c r="L106">
        <v>2.1462026217592438</v>
      </c>
      <c r="M106">
        <v>0</v>
      </c>
      <c r="N106">
        <v>0</v>
      </c>
      <c r="O106">
        <v>0</v>
      </c>
      <c r="P106">
        <v>126.56370242469572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f t="shared" si="8"/>
        <v>549.44081249207159</v>
      </c>
      <c r="Y106">
        <f>X106*VLOOKUP($D106,'LinearReg Model'!$S$2:$T$6,2,FALSE)</f>
        <v>499.07225535514476</v>
      </c>
      <c r="Z106">
        <f t="shared" si="9"/>
        <v>0.38956647411085615</v>
      </c>
      <c r="AA106">
        <f t="shared" si="10"/>
        <v>0.25854004446140033</v>
      </c>
      <c r="AB106">
        <f t="shared" si="11"/>
        <v>4.6815318097765471E-2</v>
      </c>
      <c r="AC106">
        <v>29.333484298143549</v>
      </c>
      <c r="AD106">
        <v>1.1317892699899461</v>
      </c>
      <c r="AE106" s="2">
        <f>VLOOKUP($D106,'MultiReg Model'!$A$5:$F$9,2,FALSE)+AC106*VLOOKUP($D106,'MultiReg Model'!$A$5:$F$9,3,FALSE)+Z106*VLOOKUP($D106,'MultiReg Model'!$A$5:$F$9,4,FALSE)+AA106*VLOOKUP($D106,'MultiReg Model'!$A$5:$F$9,5,FALSE)+AB106*VLOOKUP($D106,'MultiReg Model'!$A$5:$F$9,6,FALSE)</f>
        <v>6.81078544249816</v>
      </c>
      <c r="AF106" cm="1">
        <f t="array" ref="AF106">MMULT($AG106:$AM106,'Avg CI Index'!$C$2:$C$8)/BI106</f>
        <v>7.5652375361538935</v>
      </c>
      <c r="AG106">
        <v>41.24720907441128</v>
      </c>
      <c r="AH106">
        <v>311.6567847172322</v>
      </c>
      <c r="AI106">
        <v>0</v>
      </c>
      <c r="AJ106">
        <v>138.96474358943971</v>
      </c>
      <c r="AK106">
        <v>2.2107750220059335</v>
      </c>
      <c r="AL106">
        <v>0</v>
      </c>
      <c r="AM106">
        <v>8.1655699017820402E-11</v>
      </c>
      <c r="AN106" cm="1">
        <f t="array" ref="AN106">$Y106*INDEX(RefCapacity!$D$2:$D$526,MATCH(1,(RefCapacity!$A$2:$A$526=RefCapacityProj!$D106)*(RefCapacity!$B$2:$B$526=2019)*(RefCapacity!$C$2:$C$526=AG$1),0))/SUMIFS(RefCapacity!$D$2:$D$526,RefCapacity!$A$2:$A$526,RefCapacityProj!$D106,RefCapacity!$B$2:$B$526,2019)</f>
        <v>10.876266905254983</v>
      </c>
      <c r="AO106" cm="1">
        <f t="array" ref="AO106">$Y106*INDEX(RefCapacity!$D$2:$D$526,MATCH(1,(RefCapacity!$A$2:$A$526=RefCapacityProj!$D106)*(RefCapacity!$B$2:$B$526=2019)*(RefCapacity!$C$2:$C$526=AH$1),0))/SUMIFS(RefCapacity!$D$2:$D$526,RefCapacity!$A$2:$A$526,RefCapacityProj!$D106,RefCapacity!$B$2:$B$526,2019)</f>
        <v>168.59489832349661</v>
      </c>
      <c r="AP106" cm="1">
        <f t="array" ref="AP106">$Y106*INDEX(RefCapacity!$D$2:$D$526,MATCH(1,(RefCapacity!$A$2:$A$526=RefCapacityProj!$D106)*(RefCapacity!$B$2:$B$526=2019)*(RefCapacity!$C$2:$C$526=AI$1),0))/SUMIFS(RefCapacity!$D$2:$D$526,RefCapacity!$A$2:$A$526,RefCapacityProj!$D106,RefCapacity!$B$2:$B$526,2019)</f>
        <v>0</v>
      </c>
      <c r="AQ106" cm="1">
        <f t="array" ref="AQ106">$Y106*INDEX(RefCapacity!$D$2:$D$526,MATCH(1,(RefCapacity!$A$2:$A$526=RefCapacityProj!$D106)*(RefCapacity!$B$2:$B$526=2019)*(RefCapacity!$C$2:$C$526=AJ$1),0))/SUMIFS(RefCapacity!$D$2:$D$526,RefCapacity!$A$2:$A$526,RefCapacityProj!$D106,RefCapacity!$B$2:$B$526,2019)</f>
        <v>52.926547233215331</v>
      </c>
      <c r="AR106" cm="1">
        <f t="array" ref="AR106">$Y106*INDEX(RefCapacity!$D$2:$D$526,MATCH(1,(RefCapacity!$A$2:$A$526=RefCapacityProj!$D106)*(RefCapacity!$B$2:$B$526=2019)*(RefCapacity!$C$2:$C$526=AK$1),0))/SUMIFS(RefCapacity!$D$2:$D$526,RefCapacity!$A$2:$A$526,RefCapacityProj!$D106,RefCapacity!$B$2:$B$526,2019)</f>
        <v>160.75217284136338</v>
      </c>
      <c r="AS106" cm="1">
        <f t="array" ref="AS106">$Y106*INDEX(RefCapacity!$D$2:$D$526,MATCH(1,(RefCapacity!$A$2:$A$526=RefCapacityProj!$D106)*(RefCapacity!$B$2:$B$526=2019)*(RefCapacity!$C$2:$C$526=AL$1),0))/SUMIFS(RefCapacity!$D$2:$D$526,RefCapacity!$A$2:$A$526,RefCapacityProj!$D106,RefCapacity!$B$2:$B$526,2019)</f>
        <v>0</v>
      </c>
      <c r="AT106" cm="1">
        <f t="array" ref="AT106">$Y106*INDEX(RefCapacity!$D$2:$D$526,MATCH(1,(RefCapacity!$A$2:$A$526=RefCapacityProj!$D106)*(RefCapacity!$B$2:$B$526=2019)*(RefCapacity!$C$2:$C$526=AM$1),0))/SUMIFS(RefCapacity!$D$2:$D$526,RefCapacity!$A$2:$A$526,RefCapacityProj!$D106,RefCapacity!$B$2:$B$526,2019)</f>
        <v>105.92237005181445</v>
      </c>
      <c r="AU106" cm="1">
        <f t="array" ref="AU106">INDEX(RefCapacity!$D$2:$D$526,MATCH(1,(RefCapacity!$A$2:$A$526=RefCapacityProj!$D106)*(RefCapacity!$B$2:$B$526=2019)*(RefCapacity!$C$2:$C$526=RefCapacityProj!AG$1),0))*IF($C106=2035,1+VLOOKUP(AG$1,RefCapacity!$H$2:$L$8,2,FALSE),1+VLOOKUP(AG$1,RefCapacity!$H$2:$L$8,4,FALSE))</f>
        <v>41.247209074424283</v>
      </c>
      <c r="AV106" cm="1">
        <f t="array" ref="AV106">INDEX(RefCapacity!$D$2:$D$526,MATCH(1,(RefCapacity!$A$2:$A$526=RefCapacityProj!$D106)*(RefCapacity!$B$2:$B$526=2019)*(RefCapacity!$C$2:$C$526=RefCapacityProj!AH$1),0))*IF($C106=2035,1+VLOOKUP(AH$1,RefCapacity!$H$2:$L$8,2,FALSE),1+VLOOKUP(AH$1,RefCapacity!$H$2:$L$8,4,FALSE))</f>
        <v>311.65678471726699</v>
      </c>
      <c r="AW106" cm="1">
        <f t="array" ref="AW106">INDEX(RefCapacity!$D$2:$D$526,MATCH(1,(RefCapacity!$A$2:$A$526=RefCapacityProj!$D106)*(RefCapacity!$B$2:$B$526=2019)*(RefCapacity!$C$2:$C$526=RefCapacityProj!AI$1),0))*IF($C106=2035,1+VLOOKUP(AI$1,RefCapacity!$H$2:$L$8,2,FALSE),1+VLOOKUP(AI$1,RefCapacity!$H$2:$L$8,4,FALSE))</f>
        <v>0</v>
      </c>
      <c r="AX106" cm="1">
        <f t="array" ref="AX106">INDEX(RefCapacity!$D$2:$D$526,MATCH(1,(RefCapacity!$A$2:$A$526=RefCapacityProj!$D106)*(RefCapacity!$B$2:$B$526=2019)*(RefCapacity!$C$2:$C$526=RefCapacityProj!AJ$1),0))*IF($C106=2035,1+VLOOKUP(AJ$1,RefCapacity!$H$2:$L$8,2,FALSE),1+VLOOKUP(AJ$1,RefCapacity!$H$2:$L$8,4,FALSE))</f>
        <v>138.96474358974359</v>
      </c>
      <c r="AY106" cm="1">
        <f t="array" ref="AY106">INDEX(RefCapacity!$D$2:$D$526,MATCH(1,(RefCapacity!$A$2:$A$526=RefCapacityProj!$D106)*(RefCapacity!$B$2:$B$526=2019)*(RefCapacity!$C$2:$C$526=RefCapacityProj!AK$1),0))*IF($C106=2035,1+VLOOKUP(AK$1,RefCapacity!$H$2:$L$8,2,FALSE),1+VLOOKUP(AK$1,RefCapacity!$H$2:$L$8,4,FALSE))</f>
        <v>273.7118603838083</v>
      </c>
      <c r="AZ106" cm="1">
        <f t="array" ref="AZ106">INDEX(RefCapacity!$D$2:$D$526,MATCH(1,(RefCapacity!$A$2:$A$526=RefCapacityProj!$D106)*(RefCapacity!$B$2:$B$526=2019)*(RefCapacity!$C$2:$C$526=RefCapacityProj!AL$1),0))*IF($C106=2035,1+VLOOKUP(AL$1,RefCapacity!$H$2:$L$8,2,FALSE),1+VLOOKUP(AL$1,RefCapacity!$H$2:$L$8,4,FALSE))</f>
        <v>0</v>
      </c>
      <c r="BA106" cm="1">
        <f t="array" ref="BA106">INDEX(RefCapacity!$D$2:$D$526,MATCH(1,(RefCapacity!$A$2:$A$526=RefCapacityProj!$D106)*(RefCapacity!$B$2:$B$526=2019)*(RefCapacity!$C$2:$C$526=RefCapacityProj!AM$1),0))*IF($C106=2035,1+VLOOKUP(AM$1,RefCapacity!$H$2:$L$8,2,FALSE),1+VLOOKUP(AM$1,RefCapacity!$H$2:$L$8,4,FALSE))</f>
        <v>150.98025463940334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f t="shared" si="12"/>
        <v>494.07951240317078</v>
      </c>
      <c r="BJ106">
        <f t="shared" si="13"/>
        <v>4.9927429519739803</v>
      </c>
      <c r="BK106">
        <f t="shared" si="14"/>
        <v>0.75445209365573351</v>
      </c>
      <c r="BL106" cm="1">
        <f t="array" ref="BL106">AG106/$BI106*INDEX('GHG Emission'!$C$2:$C$1121,MATCH(1,('GHG Emission'!$D$2:$D$1121=$D106)*('GHG Emission'!$E$2:$E$1121=$C106)*('GHG Emission'!$F$2:$F$1121=$B106)*('GHG Emission'!$I$2:$I$1121=$E106)*('GHG Emission'!$J$2:$J$1121=$F106)*('GHG Emission'!$K$2:$K$1121=AG$1),0))+AH106/$BI106*INDEX('GHG Emission'!$C$2:$C$1121,MATCH(1,('GHG Emission'!$D$2:$D$1121=$D106)*('GHG Emission'!$E$2:$E$1121=$C106)*('GHG Emission'!$F$2:$F$1121=$B106)*('GHG Emission'!$I$2:$I$1121=$E106)*('GHG Emission'!$J$2:$J$1121=$F106)*('GHG Emission'!$K$2:$K$1121=AH$1),0))+AI106/$BI106*INDEX('GHG Emission'!$C$2:$C$1121,MATCH(1,('GHG Emission'!$D$2:$D$1121=$D106)*('GHG Emission'!$E$2:$E$1121=$C106)*('GHG Emission'!$F$2:$F$1121=$B106)*('GHG Emission'!$I$2:$I$1121=$E106)*('GHG Emission'!$J$2:$J$1121=$F106)*('GHG Emission'!$K$2:$K$1121=AI$1),0))+AJ106/$BI106*INDEX('GHG Emission'!$C$2:$C$1121,MATCH(1,('GHG Emission'!$D$2:$D$1121=$D106)*('GHG Emission'!$E$2:$E$1121=$C106)*('GHG Emission'!$F$2:$F$1121=$B106)*('GHG Emission'!$I$2:$I$1121=$E106)*('GHG Emission'!$J$2:$J$1121=$F106)*('GHG Emission'!$K$2:$K$1121=AJ$1),0))+AK106/$BI106*INDEX('GHG Emission'!$C$2:$C$1121,MATCH(1,('GHG Emission'!$D$2:$D$1121=$D106)*('GHG Emission'!$E$2:$E$1121=$C106)*('GHG Emission'!$F$2:$F$1121=$B106)*('GHG Emission'!$I$2:$I$1121=$E106)*('GHG Emission'!$J$2:$J$1121=$F106)*('GHG Emission'!$K$2:$K$1121=AK$1),0))+AL106/$BI106*INDEX('GHG Emission'!$C$2:$C$1121,MATCH(1,('GHG Emission'!$D$2:$D$1121=$D106)*('GHG Emission'!$E$2:$E$1121=$C106)*('GHG Emission'!$F$2:$F$1121=$B106)*('GHG Emission'!$I$2:$I$1121=$E106)*('GHG Emission'!$J$2:$J$1121=$F106)*('GHG Emission'!$K$2:$K$1121=AL$1),0))+AM106/$BI106*INDEX('GHG Emission'!$C$2:$C$1121,MATCH(1,('GHG Emission'!$D$2:$D$1121=$D106)*('GHG Emission'!$E$2:$E$1121=$C106)*('GHG Emission'!$F$2:$F$1121=$B106)*('GHG Emission'!$I$2:$I$1121=$E106)*('GHG Emission'!$J$2:$J$1121=$F106)*('GHG Emission'!$K$2:$K$1121=AM$1),0))</f>
        <v>33.861816098316581</v>
      </c>
      <c r="BM106" t="str">
        <f t="shared" si="15"/>
        <v>HEAVY/SWEET</v>
      </c>
    </row>
    <row r="107" spans="1:65" hidden="1" x14ac:dyDescent="0.25">
      <c r="A107">
        <v>106</v>
      </c>
      <c r="B107" t="s">
        <v>471</v>
      </c>
      <c r="C107">
        <v>2035</v>
      </c>
      <c r="D107">
        <v>4</v>
      </c>
      <c r="E107" t="s">
        <v>466</v>
      </c>
      <c r="F107" t="s">
        <v>468</v>
      </c>
      <c r="G107">
        <v>214.04372005514037</v>
      </c>
      <c r="H107">
        <v>25.722246412711044</v>
      </c>
      <c r="I107">
        <v>142.05245209060811</v>
      </c>
      <c r="J107">
        <v>34.316526222584876</v>
      </c>
      <c r="K107">
        <v>4.5959626645722889</v>
      </c>
      <c r="L107">
        <v>2.1462026217592438</v>
      </c>
      <c r="M107">
        <v>0</v>
      </c>
      <c r="N107">
        <v>0</v>
      </c>
      <c r="O107">
        <v>0</v>
      </c>
      <c r="P107">
        <v>126.56370242469572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f t="shared" si="8"/>
        <v>549.44081249207159</v>
      </c>
      <c r="Y107">
        <f>X107*VLOOKUP($D107,'LinearReg Model'!$S$2:$T$6,2,FALSE)</f>
        <v>499.07225535514476</v>
      </c>
      <c r="Z107">
        <f t="shared" si="9"/>
        <v>0.38956647411085615</v>
      </c>
      <c r="AA107">
        <f t="shared" si="10"/>
        <v>0.25854004446140033</v>
      </c>
      <c r="AB107">
        <f t="shared" si="11"/>
        <v>4.6815318097765471E-2</v>
      </c>
      <c r="AC107">
        <v>29.333484298143549</v>
      </c>
      <c r="AD107">
        <v>2.5473042893453721</v>
      </c>
      <c r="AE107" s="2">
        <f>VLOOKUP($D107,'MultiReg Model'!$A$5:$F$9,2,FALSE)+AC107*VLOOKUP($D107,'MultiReg Model'!$A$5:$F$9,3,FALSE)+Z107*VLOOKUP($D107,'MultiReg Model'!$A$5:$F$9,4,FALSE)+AA107*VLOOKUP($D107,'MultiReg Model'!$A$5:$F$9,5,FALSE)+AB107*VLOOKUP($D107,'MultiReg Model'!$A$5:$F$9,6,FALSE)</f>
        <v>6.81078544249816</v>
      </c>
      <c r="AF107" cm="1">
        <f t="array" ref="AF107">MMULT($AG107:$AM107,'Avg CI Index'!$C$2:$C$8)/BI107</f>
        <v>7.5652375361538935</v>
      </c>
      <c r="AG107">
        <v>41.24720907441128</v>
      </c>
      <c r="AH107">
        <v>311.6567847172322</v>
      </c>
      <c r="AI107">
        <v>0</v>
      </c>
      <c r="AJ107">
        <v>138.96474358943971</v>
      </c>
      <c r="AK107">
        <v>2.2107750220059335</v>
      </c>
      <c r="AL107">
        <v>0</v>
      </c>
      <c r="AM107">
        <v>8.1655699017820402E-11</v>
      </c>
      <c r="AN107" cm="1">
        <f t="array" ref="AN107">$Y107*INDEX(RefCapacity!$D$2:$D$526,MATCH(1,(RefCapacity!$A$2:$A$526=RefCapacityProj!$D107)*(RefCapacity!$B$2:$B$526=2019)*(RefCapacity!$C$2:$C$526=AG$1),0))/SUMIFS(RefCapacity!$D$2:$D$526,RefCapacity!$A$2:$A$526,RefCapacityProj!$D107,RefCapacity!$B$2:$B$526,2019)</f>
        <v>10.876266905254983</v>
      </c>
      <c r="AO107" cm="1">
        <f t="array" ref="AO107">$Y107*INDEX(RefCapacity!$D$2:$D$526,MATCH(1,(RefCapacity!$A$2:$A$526=RefCapacityProj!$D107)*(RefCapacity!$B$2:$B$526=2019)*(RefCapacity!$C$2:$C$526=AH$1),0))/SUMIFS(RefCapacity!$D$2:$D$526,RefCapacity!$A$2:$A$526,RefCapacityProj!$D107,RefCapacity!$B$2:$B$526,2019)</f>
        <v>168.59489832349661</v>
      </c>
      <c r="AP107" cm="1">
        <f t="array" ref="AP107">$Y107*INDEX(RefCapacity!$D$2:$D$526,MATCH(1,(RefCapacity!$A$2:$A$526=RefCapacityProj!$D107)*(RefCapacity!$B$2:$B$526=2019)*(RefCapacity!$C$2:$C$526=AI$1),0))/SUMIFS(RefCapacity!$D$2:$D$526,RefCapacity!$A$2:$A$526,RefCapacityProj!$D107,RefCapacity!$B$2:$B$526,2019)</f>
        <v>0</v>
      </c>
      <c r="AQ107" cm="1">
        <f t="array" ref="AQ107">$Y107*INDEX(RefCapacity!$D$2:$D$526,MATCH(1,(RefCapacity!$A$2:$A$526=RefCapacityProj!$D107)*(RefCapacity!$B$2:$B$526=2019)*(RefCapacity!$C$2:$C$526=AJ$1),0))/SUMIFS(RefCapacity!$D$2:$D$526,RefCapacity!$A$2:$A$526,RefCapacityProj!$D107,RefCapacity!$B$2:$B$526,2019)</f>
        <v>52.926547233215331</v>
      </c>
      <c r="AR107" cm="1">
        <f t="array" ref="AR107">$Y107*INDEX(RefCapacity!$D$2:$D$526,MATCH(1,(RefCapacity!$A$2:$A$526=RefCapacityProj!$D107)*(RefCapacity!$B$2:$B$526=2019)*(RefCapacity!$C$2:$C$526=AK$1),0))/SUMIFS(RefCapacity!$D$2:$D$526,RefCapacity!$A$2:$A$526,RefCapacityProj!$D107,RefCapacity!$B$2:$B$526,2019)</f>
        <v>160.75217284136338</v>
      </c>
      <c r="AS107" cm="1">
        <f t="array" ref="AS107">$Y107*INDEX(RefCapacity!$D$2:$D$526,MATCH(1,(RefCapacity!$A$2:$A$526=RefCapacityProj!$D107)*(RefCapacity!$B$2:$B$526=2019)*(RefCapacity!$C$2:$C$526=AL$1),0))/SUMIFS(RefCapacity!$D$2:$D$526,RefCapacity!$A$2:$A$526,RefCapacityProj!$D107,RefCapacity!$B$2:$B$526,2019)</f>
        <v>0</v>
      </c>
      <c r="AT107" cm="1">
        <f t="array" ref="AT107">$Y107*INDEX(RefCapacity!$D$2:$D$526,MATCH(1,(RefCapacity!$A$2:$A$526=RefCapacityProj!$D107)*(RefCapacity!$B$2:$B$526=2019)*(RefCapacity!$C$2:$C$526=AM$1),0))/SUMIFS(RefCapacity!$D$2:$D$526,RefCapacity!$A$2:$A$526,RefCapacityProj!$D107,RefCapacity!$B$2:$B$526,2019)</f>
        <v>105.92237005181445</v>
      </c>
      <c r="AU107" cm="1">
        <f t="array" ref="AU107">INDEX(RefCapacity!$D$2:$D$526,MATCH(1,(RefCapacity!$A$2:$A$526=RefCapacityProj!$D107)*(RefCapacity!$B$2:$B$526=2019)*(RefCapacity!$C$2:$C$526=RefCapacityProj!AG$1),0))*IF($C107=2035,1+VLOOKUP(AG$1,RefCapacity!$H$2:$L$8,2,FALSE),1+VLOOKUP(AG$1,RefCapacity!$H$2:$L$8,4,FALSE))</f>
        <v>41.247209074424283</v>
      </c>
      <c r="AV107" cm="1">
        <f t="array" ref="AV107">INDEX(RefCapacity!$D$2:$D$526,MATCH(1,(RefCapacity!$A$2:$A$526=RefCapacityProj!$D107)*(RefCapacity!$B$2:$B$526=2019)*(RefCapacity!$C$2:$C$526=RefCapacityProj!AH$1),0))*IF($C107=2035,1+VLOOKUP(AH$1,RefCapacity!$H$2:$L$8,2,FALSE),1+VLOOKUP(AH$1,RefCapacity!$H$2:$L$8,4,FALSE))</f>
        <v>311.65678471726699</v>
      </c>
      <c r="AW107" cm="1">
        <f t="array" ref="AW107">INDEX(RefCapacity!$D$2:$D$526,MATCH(1,(RefCapacity!$A$2:$A$526=RefCapacityProj!$D107)*(RefCapacity!$B$2:$B$526=2019)*(RefCapacity!$C$2:$C$526=RefCapacityProj!AI$1),0))*IF($C107=2035,1+VLOOKUP(AI$1,RefCapacity!$H$2:$L$8,2,FALSE),1+VLOOKUP(AI$1,RefCapacity!$H$2:$L$8,4,FALSE))</f>
        <v>0</v>
      </c>
      <c r="AX107" cm="1">
        <f t="array" ref="AX107">INDEX(RefCapacity!$D$2:$D$526,MATCH(1,(RefCapacity!$A$2:$A$526=RefCapacityProj!$D107)*(RefCapacity!$B$2:$B$526=2019)*(RefCapacity!$C$2:$C$526=RefCapacityProj!AJ$1),0))*IF($C107=2035,1+VLOOKUP(AJ$1,RefCapacity!$H$2:$L$8,2,FALSE),1+VLOOKUP(AJ$1,RefCapacity!$H$2:$L$8,4,FALSE))</f>
        <v>138.96474358974359</v>
      </c>
      <c r="AY107" cm="1">
        <f t="array" ref="AY107">INDEX(RefCapacity!$D$2:$D$526,MATCH(1,(RefCapacity!$A$2:$A$526=RefCapacityProj!$D107)*(RefCapacity!$B$2:$B$526=2019)*(RefCapacity!$C$2:$C$526=RefCapacityProj!AK$1),0))*IF($C107=2035,1+VLOOKUP(AK$1,RefCapacity!$H$2:$L$8,2,FALSE),1+VLOOKUP(AK$1,RefCapacity!$H$2:$L$8,4,FALSE))</f>
        <v>273.7118603838083</v>
      </c>
      <c r="AZ107" cm="1">
        <f t="array" ref="AZ107">INDEX(RefCapacity!$D$2:$D$526,MATCH(1,(RefCapacity!$A$2:$A$526=RefCapacityProj!$D107)*(RefCapacity!$B$2:$B$526=2019)*(RefCapacity!$C$2:$C$526=RefCapacityProj!AL$1),0))*IF($C107=2035,1+VLOOKUP(AL$1,RefCapacity!$H$2:$L$8,2,FALSE),1+VLOOKUP(AL$1,RefCapacity!$H$2:$L$8,4,FALSE))</f>
        <v>0</v>
      </c>
      <c r="BA107" cm="1">
        <f t="array" ref="BA107">INDEX(RefCapacity!$D$2:$D$526,MATCH(1,(RefCapacity!$A$2:$A$526=RefCapacityProj!$D107)*(RefCapacity!$B$2:$B$526=2019)*(RefCapacity!$C$2:$C$526=RefCapacityProj!AM$1),0))*IF($C107=2035,1+VLOOKUP(AM$1,RefCapacity!$H$2:$L$8,2,FALSE),1+VLOOKUP(AM$1,RefCapacity!$H$2:$L$8,4,FALSE))</f>
        <v>150.98025463940334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f t="shared" si="12"/>
        <v>494.07951240317078</v>
      </c>
      <c r="BJ107">
        <f t="shared" si="13"/>
        <v>4.9927429519739803</v>
      </c>
      <c r="BK107">
        <f t="shared" si="14"/>
        <v>0.75445209365573351</v>
      </c>
      <c r="BL107" cm="1">
        <f t="array" ref="BL107">AG107/$BI107*INDEX('GHG Emission'!$C$2:$C$1121,MATCH(1,('GHG Emission'!$D$2:$D$1121=$D107)*('GHG Emission'!$E$2:$E$1121=$C107)*('GHG Emission'!$F$2:$F$1121=$B107)*('GHG Emission'!$I$2:$I$1121=$E107)*('GHG Emission'!$J$2:$J$1121=$F107)*('GHG Emission'!$K$2:$K$1121=AG$1),0))+AH107/$BI107*INDEX('GHG Emission'!$C$2:$C$1121,MATCH(1,('GHG Emission'!$D$2:$D$1121=$D107)*('GHG Emission'!$E$2:$E$1121=$C107)*('GHG Emission'!$F$2:$F$1121=$B107)*('GHG Emission'!$I$2:$I$1121=$E107)*('GHG Emission'!$J$2:$J$1121=$F107)*('GHG Emission'!$K$2:$K$1121=AH$1),0))+AI107/$BI107*INDEX('GHG Emission'!$C$2:$C$1121,MATCH(1,('GHG Emission'!$D$2:$D$1121=$D107)*('GHG Emission'!$E$2:$E$1121=$C107)*('GHG Emission'!$F$2:$F$1121=$B107)*('GHG Emission'!$I$2:$I$1121=$E107)*('GHG Emission'!$J$2:$J$1121=$F107)*('GHG Emission'!$K$2:$K$1121=AI$1),0))+AJ107/$BI107*INDEX('GHG Emission'!$C$2:$C$1121,MATCH(1,('GHG Emission'!$D$2:$D$1121=$D107)*('GHG Emission'!$E$2:$E$1121=$C107)*('GHG Emission'!$F$2:$F$1121=$B107)*('GHG Emission'!$I$2:$I$1121=$E107)*('GHG Emission'!$J$2:$J$1121=$F107)*('GHG Emission'!$K$2:$K$1121=AJ$1),0))+AK107/$BI107*INDEX('GHG Emission'!$C$2:$C$1121,MATCH(1,('GHG Emission'!$D$2:$D$1121=$D107)*('GHG Emission'!$E$2:$E$1121=$C107)*('GHG Emission'!$F$2:$F$1121=$B107)*('GHG Emission'!$I$2:$I$1121=$E107)*('GHG Emission'!$J$2:$J$1121=$F107)*('GHG Emission'!$K$2:$K$1121=AK$1),0))+AL107/$BI107*INDEX('GHG Emission'!$C$2:$C$1121,MATCH(1,('GHG Emission'!$D$2:$D$1121=$D107)*('GHG Emission'!$E$2:$E$1121=$C107)*('GHG Emission'!$F$2:$F$1121=$B107)*('GHG Emission'!$I$2:$I$1121=$E107)*('GHG Emission'!$J$2:$J$1121=$F107)*('GHG Emission'!$K$2:$K$1121=AL$1),0))+AM107/$BI107*INDEX('GHG Emission'!$C$2:$C$1121,MATCH(1,('GHG Emission'!$D$2:$D$1121=$D107)*('GHG Emission'!$E$2:$E$1121=$C107)*('GHG Emission'!$F$2:$F$1121=$B107)*('GHG Emission'!$I$2:$I$1121=$E107)*('GHG Emission'!$J$2:$J$1121=$F107)*('GHG Emission'!$K$2:$K$1121=AM$1),0))</f>
        <v>33.955319026999419</v>
      </c>
      <c r="BM107" t="str">
        <f t="shared" si="15"/>
        <v>HEAVY/SOUR</v>
      </c>
    </row>
    <row r="108" spans="1:65" hidden="1" x14ac:dyDescent="0.25">
      <c r="A108">
        <v>107</v>
      </c>
      <c r="B108" t="s">
        <v>471</v>
      </c>
      <c r="C108">
        <v>2035</v>
      </c>
      <c r="D108">
        <v>4</v>
      </c>
      <c r="E108" t="s">
        <v>469</v>
      </c>
      <c r="F108" t="s">
        <v>467</v>
      </c>
      <c r="G108">
        <v>214.04372005514037</v>
      </c>
      <c r="H108">
        <v>25.722246412711044</v>
      </c>
      <c r="I108">
        <v>142.05245209060811</v>
      </c>
      <c r="J108">
        <v>34.316526222584876</v>
      </c>
      <c r="K108">
        <v>4.5959626645722889</v>
      </c>
      <c r="L108">
        <v>2.1462026217592438</v>
      </c>
      <c r="M108">
        <v>0</v>
      </c>
      <c r="N108">
        <v>0</v>
      </c>
      <c r="O108">
        <v>0</v>
      </c>
      <c r="P108">
        <v>126.56370242469572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f t="shared" si="8"/>
        <v>549.44081249207159</v>
      </c>
      <c r="Y108">
        <f>X108*VLOOKUP($D108,'LinearReg Model'!$S$2:$T$6,2,FALSE)</f>
        <v>499.07225535514476</v>
      </c>
      <c r="Z108">
        <f t="shared" si="9"/>
        <v>0.38956647411085615</v>
      </c>
      <c r="AA108">
        <f t="shared" si="10"/>
        <v>0.25854004446140033</v>
      </c>
      <c r="AB108">
        <f t="shared" si="11"/>
        <v>4.6815318097765471E-2</v>
      </c>
      <c r="AC108">
        <v>34.027824378954648</v>
      </c>
      <c r="AD108">
        <v>1.1317892699899461</v>
      </c>
      <c r="AE108" s="2">
        <f>VLOOKUP($D108,'MultiReg Model'!$A$5:$F$9,2,FALSE)+AC108*VLOOKUP($D108,'MultiReg Model'!$A$5:$F$9,3,FALSE)+Z108*VLOOKUP($D108,'MultiReg Model'!$A$5:$F$9,4,FALSE)+AA108*VLOOKUP($D108,'MultiReg Model'!$A$5:$F$9,5,FALSE)+AB108*VLOOKUP($D108,'MultiReg Model'!$A$5:$F$9,6,FALSE)</f>
        <v>6.6499199425912305</v>
      </c>
      <c r="AF108" cm="1">
        <f t="array" ref="AF108">MMULT($AG108:$AM108,'Avg CI Index'!$C$2:$C$8)/BI108</f>
        <v>7.5652457997891656</v>
      </c>
      <c r="AG108">
        <v>41.247209074418777</v>
      </c>
      <c r="AH108">
        <v>311.65678471725317</v>
      </c>
      <c r="AI108">
        <v>0</v>
      </c>
      <c r="AJ108">
        <v>138.96474358962212</v>
      </c>
      <c r="AK108">
        <v>2.2124850540237637</v>
      </c>
      <c r="AL108">
        <v>0</v>
      </c>
      <c r="AM108">
        <v>3.3299505794480879E-11</v>
      </c>
      <c r="AN108" cm="1">
        <f t="array" ref="AN108">$Y108*INDEX(RefCapacity!$D$2:$D$526,MATCH(1,(RefCapacity!$A$2:$A$526=RefCapacityProj!$D108)*(RefCapacity!$B$2:$B$526=2019)*(RefCapacity!$C$2:$C$526=AG$1),0))/SUMIFS(RefCapacity!$D$2:$D$526,RefCapacity!$A$2:$A$526,RefCapacityProj!$D108,RefCapacity!$B$2:$B$526,2019)</f>
        <v>10.876266905254983</v>
      </c>
      <c r="AO108" cm="1">
        <f t="array" ref="AO108">$Y108*INDEX(RefCapacity!$D$2:$D$526,MATCH(1,(RefCapacity!$A$2:$A$526=RefCapacityProj!$D108)*(RefCapacity!$B$2:$B$526=2019)*(RefCapacity!$C$2:$C$526=AH$1),0))/SUMIFS(RefCapacity!$D$2:$D$526,RefCapacity!$A$2:$A$526,RefCapacityProj!$D108,RefCapacity!$B$2:$B$526,2019)</f>
        <v>168.59489832349661</v>
      </c>
      <c r="AP108" cm="1">
        <f t="array" ref="AP108">$Y108*INDEX(RefCapacity!$D$2:$D$526,MATCH(1,(RefCapacity!$A$2:$A$526=RefCapacityProj!$D108)*(RefCapacity!$B$2:$B$526=2019)*(RefCapacity!$C$2:$C$526=AI$1),0))/SUMIFS(RefCapacity!$D$2:$D$526,RefCapacity!$A$2:$A$526,RefCapacityProj!$D108,RefCapacity!$B$2:$B$526,2019)</f>
        <v>0</v>
      </c>
      <c r="AQ108" cm="1">
        <f t="array" ref="AQ108">$Y108*INDEX(RefCapacity!$D$2:$D$526,MATCH(1,(RefCapacity!$A$2:$A$526=RefCapacityProj!$D108)*(RefCapacity!$B$2:$B$526=2019)*(RefCapacity!$C$2:$C$526=AJ$1),0))/SUMIFS(RefCapacity!$D$2:$D$526,RefCapacity!$A$2:$A$526,RefCapacityProj!$D108,RefCapacity!$B$2:$B$526,2019)</f>
        <v>52.926547233215331</v>
      </c>
      <c r="AR108" cm="1">
        <f t="array" ref="AR108">$Y108*INDEX(RefCapacity!$D$2:$D$526,MATCH(1,(RefCapacity!$A$2:$A$526=RefCapacityProj!$D108)*(RefCapacity!$B$2:$B$526=2019)*(RefCapacity!$C$2:$C$526=AK$1),0))/SUMIFS(RefCapacity!$D$2:$D$526,RefCapacity!$A$2:$A$526,RefCapacityProj!$D108,RefCapacity!$B$2:$B$526,2019)</f>
        <v>160.75217284136338</v>
      </c>
      <c r="AS108" cm="1">
        <f t="array" ref="AS108">$Y108*INDEX(RefCapacity!$D$2:$D$526,MATCH(1,(RefCapacity!$A$2:$A$526=RefCapacityProj!$D108)*(RefCapacity!$B$2:$B$526=2019)*(RefCapacity!$C$2:$C$526=AL$1),0))/SUMIFS(RefCapacity!$D$2:$D$526,RefCapacity!$A$2:$A$526,RefCapacityProj!$D108,RefCapacity!$B$2:$B$526,2019)</f>
        <v>0</v>
      </c>
      <c r="AT108" cm="1">
        <f t="array" ref="AT108">$Y108*INDEX(RefCapacity!$D$2:$D$526,MATCH(1,(RefCapacity!$A$2:$A$526=RefCapacityProj!$D108)*(RefCapacity!$B$2:$B$526=2019)*(RefCapacity!$C$2:$C$526=AM$1),0))/SUMIFS(RefCapacity!$D$2:$D$526,RefCapacity!$A$2:$A$526,RefCapacityProj!$D108,RefCapacity!$B$2:$B$526,2019)</f>
        <v>105.92237005181445</v>
      </c>
      <c r="AU108" cm="1">
        <f t="array" ref="AU108">INDEX(RefCapacity!$D$2:$D$526,MATCH(1,(RefCapacity!$A$2:$A$526=RefCapacityProj!$D108)*(RefCapacity!$B$2:$B$526=2019)*(RefCapacity!$C$2:$C$526=RefCapacityProj!AG$1),0))*IF($C108=2035,1+VLOOKUP(AG$1,RefCapacity!$H$2:$L$8,2,FALSE),1+VLOOKUP(AG$1,RefCapacity!$H$2:$L$8,4,FALSE))</f>
        <v>41.247209074424283</v>
      </c>
      <c r="AV108" cm="1">
        <f t="array" ref="AV108">INDEX(RefCapacity!$D$2:$D$526,MATCH(1,(RefCapacity!$A$2:$A$526=RefCapacityProj!$D108)*(RefCapacity!$B$2:$B$526=2019)*(RefCapacity!$C$2:$C$526=RefCapacityProj!AH$1),0))*IF($C108=2035,1+VLOOKUP(AH$1,RefCapacity!$H$2:$L$8,2,FALSE),1+VLOOKUP(AH$1,RefCapacity!$H$2:$L$8,4,FALSE))</f>
        <v>311.65678471726699</v>
      </c>
      <c r="AW108" cm="1">
        <f t="array" ref="AW108">INDEX(RefCapacity!$D$2:$D$526,MATCH(1,(RefCapacity!$A$2:$A$526=RefCapacityProj!$D108)*(RefCapacity!$B$2:$B$526=2019)*(RefCapacity!$C$2:$C$526=RefCapacityProj!AI$1),0))*IF($C108=2035,1+VLOOKUP(AI$1,RefCapacity!$H$2:$L$8,2,FALSE),1+VLOOKUP(AI$1,RefCapacity!$H$2:$L$8,4,FALSE))</f>
        <v>0</v>
      </c>
      <c r="AX108" cm="1">
        <f t="array" ref="AX108">INDEX(RefCapacity!$D$2:$D$526,MATCH(1,(RefCapacity!$A$2:$A$526=RefCapacityProj!$D108)*(RefCapacity!$B$2:$B$526=2019)*(RefCapacity!$C$2:$C$526=RefCapacityProj!AJ$1),0))*IF($C108=2035,1+VLOOKUP(AJ$1,RefCapacity!$H$2:$L$8,2,FALSE),1+VLOOKUP(AJ$1,RefCapacity!$H$2:$L$8,4,FALSE))</f>
        <v>138.96474358974359</v>
      </c>
      <c r="AY108" cm="1">
        <f t="array" ref="AY108">INDEX(RefCapacity!$D$2:$D$526,MATCH(1,(RefCapacity!$A$2:$A$526=RefCapacityProj!$D108)*(RefCapacity!$B$2:$B$526=2019)*(RefCapacity!$C$2:$C$526=RefCapacityProj!AK$1),0))*IF($C108=2035,1+VLOOKUP(AK$1,RefCapacity!$H$2:$L$8,2,FALSE),1+VLOOKUP(AK$1,RefCapacity!$H$2:$L$8,4,FALSE))</f>
        <v>273.7118603838083</v>
      </c>
      <c r="AZ108" cm="1">
        <f t="array" ref="AZ108">INDEX(RefCapacity!$D$2:$D$526,MATCH(1,(RefCapacity!$A$2:$A$526=RefCapacityProj!$D108)*(RefCapacity!$B$2:$B$526=2019)*(RefCapacity!$C$2:$C$526=RefCapacityProj!AL$1),0))*IF($C108=2035,1+VLOOKUP(AL$1,RefCapacity!$H$2:$L$8,2,FALSE),1+VLOOKUP(AL$1,RefCapacity!$H$2:$L$8,4,FALSE))</f>
        <v>0</v>
      </c>
      <c r="BA108" cm="1">
        <f t="array" ref="BA108">INDEX(RefCapacity!$D$2:$D$526,MATCH(1,(RefCapacity!$A$2:$A$526=RefCapacityProj!$D108)*(RefCapacity!$B$2:$B$526=2019)*(RefCapacity!$C$2:$C$526=RefCapacityProj!AM$1),0))*IF($C108=2035,1+VLOOKUP(AM$1,RefCapacity!$H$2:$L$8,2,FALSE),1+VLOOKUP(AM$1,RefCapacity!$H$2:$L$8,4,FALSE))</f>
        <v>150.98025463940334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f t="shared" si="12"/>
        <v>494.08122243535115</v>
      </c>
      <c r="BJ108">
        <f t="shared" si="13"/>
        <v>4.9910329197936107</v>
      </c>
      <c r="BK108">
        <f t="shared" si="14"/>
        <v>0.91532585719793502</v>
      </c>
      <c r="BL108" cm="1">
        <f t="array" ref="BL108">AG108/$BI108*INDEX('GHG Emission'!$C$2:$C$1121,MATCH(1,('GHG Emission'!$D$2:$D$1121=$D108)*('GHG Emission'!$E$2:$E$1121=$C108)*('GHG Emission'!$F$2:$F$1121=$B108)*('GHG Emission'!$I$2:$I$1121=$E108)*('GHG Emission'!$J$2:$J$1121=$F108)*('GHG Emission'!$K$2:$K$1121=AG$1),0))+AH108/$BI108*INDEX('GHG Emission'!$C$2:$C$1121,MATCH(1,('GHG Emission'!$D$2:$D$1121=$D108)*('GHG Emission'!$E$2:$E$1121=$C108)*('GHG Emission'!$F$2:$F$1121=$B108)*('GHG Emission'!$I$2:$I$1121=$E108)*('GHG Emission'!$J$2:$J$1121=$F108)*('GHG Emission'!$K$2:$K$1121=AH$1),0))+AI108/$BI108*INDEX('GHG Emission'!$C$2:$C$1121,MATCH(1,('GHG Emission'!$D$2:$D$1121=$D108)*('GHG Emission'!$E$2:$E$1121=$C108)*('GHG Emission'!$F$2:$F$1121=$B108)*('GHG Emission'!$I$2:$I$1121=$E108)*('GHG Emission'!$J$2:$J$1121=$F108)*('GHG Emission'!$K$2:$K$1121=AI$1),0))+AJ108/$BI108*INDEX('GHG Emission'!$C$2:$C$1121,MATCH(1,('GHG Emission'!$D$2:$D$1121=$D108)*('GHG Emission'!$E$2:$E$1121=$C108)*('GHG Emission'!$F$2:$F$1121=$B108)*('GHG Emission'!$I$2:$I$1121=$E108)*('GHG Emission'!$J$2:$J$1121=$F108)*('GHG Emission'!$K$2:$K$1121=AJ$1),0))+AK108/$BI108*INDEX('GHG Emission'!$C$2:$C$1121,MATCH(1,('GHG Emission'!$D$2:$D$1121=$D108)*('GHG Emission'!$E$2:$E$1121=$C108)*('GHG Emission'!$F$2:$F$1121=$B108)*('GHG Emission'!$I$2:$I$1121=$E108)*('GHG Emission'!$J$2:$J$1121=$F108)*('GHG Emission'!$K$2:$K$1121=AK$1),0))+AL108/$BI108*INDEX('GHG Emission'!$C$2:$C$1121,MATCH(1,('GHG Emission'!$D$2:$D$1121=$D108)*('GHG Emission'!$E$2:$E$1121=$C108)*('GHG Emission'!$F$2:$F$1121=$B108)*('GHG Emission'!$I$2:$I$1121=$E108)*('GHG Emission'!$J$2:$J$1121=$F108)*('GHG Emission'!$K$2:$K$1121=AL$1),0))+AM108/$BI108*INDEX('GHG Emission'!$C$2:$C$1121,MATCH(1,('GHG Emission'!$D$2:$D$1121=$D108)*('GHG Emission'!$E$2:$E$1121=$C108)*('GHG Emission'!$F$2:$F$1121=$B108)*('GHG Emission'!$I$2:$I$1121=$E108)*('GHG Emission'!$J$2:$J$1121=$F108)*('GHG Emission'!$K$2:$K$1121=AM$1),0))</f>
        <v>33.511698129071313</v>
      </c>
      <c r="BM108" t="str">
        <f t="shared" si="15"/>
        <v>LIGHT/SWEET</v>
      </c>
    </row>
    <row r="109" spans="1:65" hidden="1" x14ac:dyDescent="0.25">
      <c r="A109">
        <v>108</v>
      </c>
      <c r="B109" t="s">
        <v>471</v>
      </c>
      <c r="C109">
        <v>2035</v>
      </c>
      <c r="D109">
        <v>4</v>
      </c>
      <c r="E109" t="s">
        <v>469</v>
      </c>
      <c r="F109" t="s">
        <v>468</v>
      </c>
      <c r="G109">
        <v>214.04372005514037</v>
      </c>
      <c r="H109">
        <v>25.722246412711044</v>
      </c>
      <c r="I109">
        <v>142.05245209060811</v>
      </c>
      <c r="J109">
        <v>34.316526222584876</v>
      </c>
      <c r="K109">
        <v>4.5959626645722889</v>
      </c>
      <c r="L109">
        <v>2.1462026217592438</v>
      </c>
      <c r="M109">
        <v>0</v>
      </c>
      <c r="N109">
        <v>0</v>
      </c>
      <c r="O109">
        <v>0</v>
      </c>
      <c r="P109">
        <v>126.56370242469572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f t="shared" si="8"/>
        <v>549.44081249207159</v>
      </c>
      <c r="Y109">
        <f>X109*VLOOKUP($D109,'LinearReg Model'!$S$2:$T$6,2,FALSE)</f>
        <v>499.07225535514476</v>
      </c>
      <c r="Z109">
        <f t="shared" si="9"/>
        <v>0.38956647411085615</v>
      </c>
      <c r="AA109">
        <f t="shared" si="10"/>
        <v>0.25854004446140033</v>
      </c>
      <c r="AB109">
        <f t="shared" si="11"/>
        <v>4.6815318097765471E-2</v>
      </c>
      <c r="AC109">
        <v>34.027824378954648</v>
      </c>
      <c r="AD109">
        <v>2.5473042893453721</v>
      </c>
      <c r="AE109" s="2">
        <f>VLOOKUP($D109,'MultiReg Model'!$A$5:$F$9,2,FALSE)+AC109*VLOOKUP($D109,'MultiReg Model'!$A$5:$F$9,3,FALSE)+Z109*VLOOKUP($D109,'MultiReg Model'!$A$5:$F$9,4,FALSE)+AA109*VLOOKUP($D109,'MultiReg Model'!$A$5:$F$9,5,FALSE)+AB109*VLOOKUP($D109,'MultiReg Model'!$A$5:$F$9,6,FALSE)</f>
        <v>6.6499199425912305</v>
      </c>
      <c r="AF109" cm="1">
        <f t="array" ref="AF109">MMULT($AG109:$AM109,'Avg CI Index'!$C$2:$C$8)/BI109</f>
        <v>7.5652457997891656</v>
      </c>
      <c r="AG109">
        <v>41.247209074418777</v>
      </c>
      <c r="AH109">
        <v>311.65678471725317</v>
      </c>
      <c r="AI109">
        <v>0</v>
      </c>
      <c r="AJ109">
        <v>138.96474358962212</v>
      </c>
      <c r="AK109">
        <v>2.2124850540237637</v>
      </c>
      <c r="AL109">
        <v>0</v>
      </c>
      <c r="AM109">
        <v>3.3299505794480879E-11</v>
      </c>
      <c r="AN109" cm="1">
        <f t="array" ref="AN109">$Y109*INDEX(RefCapacity!$D$2:$D$526,MATCH(1,(RefCapacity!$A$2:$A$526=RefCapacityProj!$D109)*(RefCapacity!$B$2:$B$526=2019)*(RefCapacity!$C$2:$C$526=AG$1),0))/SUMIFS(RefCapacity!$D$2:$D$526,RefCapacity!$A$2:$A$526,RefCapacityProj!$D109,RefCapacity!$B$2:$B$526,2019)</f>
        <v>10.876266905254983</v>
      </c>
      <c r="AO109" cm="1">
        <f t="array" ref="AO109">$Y109*INDEX(RefCapacity!$D$2:$D$526,MATCH(1,(RefCapacity!$A$2:$A$526=RefCapacityProj!$D109)*(RefCapacity!$B$2:$B$526=2019)*(RefCapacity!$C$2:$C$526=AH$1),0))/SUMIFS(RefCapacity!$D$2:$D$526,RefCapacity!$A$2:$A$526,RefCapacityProj!$D109,RefCapacity!$B$2:$B$526,2019)</f>
        <v>168.59489832349661</v>
      </c>
      <c r="AP109" cm="1">
        <f t="array" ref="AP109">$Y109*INDEX(RefCapacity!$D$2:$D$526,MATCH(1,(RefCapacity!$A$2:$A$526=RefCapacityProj!$D109)*(RefCapacity!$B$2:$B$526=2019)*(RefCapacity!$C$2:$C$526=AI$1),0))/SUMIFS(RefCapacity!$D$2:$D$526,RefCapacity!$A$2:$A$526,RefCapacityProj!$D109,RefCapacity!$B$2:$B$526,2019)</f>
        <v>0</v>
      </c>
      <c r="AQ109" cm="1">
        <f t="array" ref="AQ109">$Y109*INDEX(RefCapacity!$D$2:$D$526,MATCH(1,(RefCapacity!$A$2:$A$526=RefCapacityProj!$D109)*(RefCapacity!$B$2:$B$526=2019)*(RefCapacity!$C$2:$C$526=AJ$1),0))/SUMIFS(RefCapacity!$D$2:$D$526,RefCapacity!$A$2:$A$526,RefCapacityProj!$D109,RefCapacity!$B$2:$B$526,2019)</f>
        <v>52.926547233215331</v>
      </c>
      <c r="AR109" cm="1">
        <f t="array" ref="AR109">$Y109*INDEX(RefCapacity!$D$2:$D$526,MATCH(1,(RefCapacity!$A$2:$A$526=RefCapacityProj!$D109)*(RefCapacity!$B$2:$B$526=2019)*(RefCapacity!$C$2:$C$526=AK$1),0))/SUMIFS(RefCapacity!$D$2:$D$526,RefCapacity!$A$2:$A$526,RefCapacityProj!$D109,RefCapacity!$B$2:$B$526,2019)</f>
        <v>160.75217284136338</v>
      </c>
      <c r="AS109" cm="1">
        <f t="array" ref="AS109">$Y109*INDEX(RefCapacity!$D$2:$D$526,MATCH(1,(RefCapacity!$A$2:$A$526=RefCapacityProj!$D109)*(RefCapacity!$B$2:$B$526=2019)*(RefCapacity!$C$2:$C$526=AL$1),0))/SUMIFS(RefCapacity!$D$2:$D$526,RefCapacity!$A$2:$A$526,RefCapacityProj!$D109,RefCapacity!$B$2:$B$526,2019)</f>
        <v>0</v>
      </c>
      <c r="AT109" cm="1">
        <f t="array" ref="AT109">$Y109*INDEX(RefCapacity!$D$2:$D$526,MATCH(1,(RefCapacity!$A$2:$A$526=RefCapacityProj!$D109)*(RefCapacity!$B$2:$B$526=2019)*(RefCapacity!$C$2:$C$526=AM$1),0))/SUMIFS(RefCapacity!$D$2:$D$526,RefCapacity!$A$2:$A$526,RefCapacityProj!$D109,RefCapacity!$B$2:$B$526,2019)</f>
        <v>105.92237005181445</v>
      </c>
      <c r="AU109" cm="1">
        <f t="array" ref="AU109">INDEX(RefCapacity!$D$2:$D$526,MATCH(1,(RefCapacity!$A$2:$A$526=RefCapacityProj!$D109)*(RefCapacity!$B$2:$B$526=2019)*(RefCapacity!$C$2:$C$526=RefCapacityProj!AG$1),0))*IF($C109=2035,1+VLOOKUP(AG$1,RefCapacity!$H$2:$L$8,2,FALSE),1+VLOOKUP(AG$1,RefCapacity!$H$2:$L$8,4,FALSE))</f>
        <v>41.247209074424283</v>
      </c>
      <c r="AV109" cm="1">
        <f t="array" ref="AV109">INDEX(RefCapacity!$D$2:$D$526,MATCH(1,(RefCapacity!$A$2:$A$526=RefCapacityProj!$D109)*(RefCapacity!$B$2:$B$526=2019)*(RefCapacity!$C$2:$C$526=RefCapacityProj!AH$1),0))*IF($C109=2035,1+VLOOKUP(AH$1,RefCapacity!$H$2:$L$8,2,FALSE),1+VLOOKUP(AH$1,RefCapacity!$H$2:$L$8,4,FALSE))</f>
        <v>311.65678471726699</v>
      </c>
      <c r="AW109" cm="1">
        <f t="array" ref="AW109">INDEX(RefCapacity!$D$2:$D$526,MATCH(1,(RefCapacity!$A$2:$A$526=RefCapacityProj!$D109)*(RefCapacity!$B$2:$B$526=2019)*(RefCapacity!$C$2:$C$526=RefCapacityProj!AI$1),0))*IF($C109=2035,1+VLOOKUP(AI$1,RefCapacity!$H$2:$L$8,2,FALSE),1+VLOOKUP(AI$1,RefCapacity!$H$2:$L$8,4,FALSE))</f>
        <v>0</v>
      </c>
      <c r="AX109" cm="1">
        <f t="array" ref="AX109">INDEX(RefCapacity!$D$2:$D$526,MATCH(1,(RefCapacity!$A$2:$A$526=RefCapacityProj!$D109)*(RefCapacity!$B$2:$B$526=2019)*(RefCapacity!$C$2:$C$526=RefCapacityProj!AJ$1),0))*IF($C109=2035,1+VLOOKUP(AJ$1,RefCapacity!$H$2:$L$8,2,FALSE),1+VLOOKUP(AJ$1,RefCapacity!$H$2:$L$8,4,FALSE))</f>
        <v>138.96474358974359</v>
      </c>
      <c r="AY109" cm="1">
        <f t="array" ref="AY109">INDEX(RefCapacity!$D$2:$D$526,MATCH(1,(RefCapacity!$A$2:$A$526=RefCapacityProj!$D109)*(RefCapacity!$B$2:$B$526=2019)*(RefCapacity!$C$2:$C$526=RefCapacityProj!AK$1),0))*IF($C109=2035,1+VLOOKUP(AK$1,RefCapacity!$H$2:$L$8,2,FALSE),1+VLOOKUP(AK$1,RefCapacity!$H$2:$L$8,4,FALSE))</f>
        <v>273.7118603838083</v>
      </c>
      <c r="AZ109" cm="1">
        <f t="array" ref="AZ109">INDEX(RefCapacity!$D$2:$D$526,MATCH(1,(RefCapacity!$A$2:$A$526=RefCapacityProj!$D109)*(RefCapacity!$B$2:$B$526=2019)*(RefCapacity!$C$2:$C$526=RefCapacityProj!AL$1),0))*IF($C109=2035,1+VLOOKUP(AL$1,RefCapacity!$H$2:$L$8,2,FALSE),1+VLOOKUP(AL$1,RefCapacity!$H$2:$L$8,4,FALSE))</f>
        <v>0</v>
      </c>
      <c r="BA109" cm="1">
        <f t="array" ref="BA109">INDEX(RefCapacity!$D$2:$D$526,MATCH(1,(RefCapacity!$A$2:$A$526=RefCapacityProj!$D109)*(RefCapacity!$B$2:$B$526=2019)*(RefCapacity!$C$2:$C$526=RefCapacityProj!AM$1),0))*IF($C109=2035,1+VLOOKUP(AM$1,RefCapacity!$H$2:$L$8,2,FALSE),1+VLOOKUP(AM$1,RefCapacity!$H$2:$L$8,4,FALSE))</f>
        <v>150.98025463940334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f t="shared" si="12"/>
        <v>494.08122243535115</v>
      </c>
      <c r="BJ109">
        <f t="shared" si="13"/>
        <v>4.9910329197936107</v>
      </c>
      <c r="BK109">
        <f t="shared" si="14"/>
        <v>0.91532585719793502</v>
      </c>
      <c r="BL109" cm="1">
        <f t="array" ref="BL109">AG109/$BI109*INDEX('GHG Emission'!$C$2:$C$1121,MATCH(1,('GHG Emission'!$D$2:$D$1121=$D109)*('GHG Emission'!$E$2:$E$1121=$C109)*('GHG Emission'!$F$2:$F$1121=$B109)*('GHG Emission'!$I$2:$I$1121=$E109)*('GHG Emission'!$J$2:$J$1121=$F109)*('GHG Emission'!$K$2:$K$1121=AG$1),0))+AH109/$BI109*INDEX('GHG Emission'!$C$2:$C$1121,MATCH(1,('GHG Emission'!$D$2:$D$1121=$D109)*('GHG Emission'!$E$2:$E$1121=$C109)*('GHG Emission'!$F$2:$F$1121=$B109)*('GHG Emission'!$I$2:$I$1121=$E109)*('GHG Emission'!$J$2:$J$1121=$F109)*('GHG Emission'!$K$2:$K$1121=AH$1),0))+AI109/$BI109*INDEX('GHG Emission'!$C$2:$C$1121,MATCH(1,('GHG Emission'!$D$2:$D$1121=$D109)*('GHG Emission'!$E$2:$E$1121=$C109)*('GHG Emission'!$F$2:$F$1121=$B109)*('GHG Emission'!$I$2:$I$1121=$E109)*('GHG Emission'!$J$2:$J$1121=$F109)*('GHG Emission'!$K$2:$K$1121=AI$1),0))+AJ109/$BI109*INDEX('GHG Emission'!$C$2:$C$1121,MATCH(1,('GHG Emission'!$D$2:$D$1121=$D109)*('GHG Emission'!$E$2:$E$1121=$C109)*('GHG Emission'!$F$2:$F$1121=$B109)*('GHG Emission'!$I$2:$I$1121=$E109)*('GHG Emission'!$J$2:$J$1121=$F109)*('GHG Emission'!$K$2:$K$1121=AJ$1),0))+AK109/$BI109*INDEX('GHG Emission'!$C$2:$C$1121,MATCH(1,('GHG Emission'!$D$2:$D$1121=$D109)*('GHG Emission'!$E$2:$E$1121=$C109)*('GHG Emission'!$F$2:$F$1121=$B109)*('GHG Emission'!$I$2:$I$1121=$E109)*('GHG Emission'!$J$2:$J$1121=$F109)*('GHG Emission'!$K$2:$K$1121=AK$1),0))+AL109/$BI109*INDEX('GHG Emission'!$C$2:$C$1121,MATCH(1,('GHG Emission'!$D$2:$D$1121=$D109)*('GHG Emission'!$E$2:$E$1121=$C109)*('GHG Emission'!$F$2:$F$1121=$B109)*('GHG Emission'!$I$2:$I$1121=$E109)*('GHG Emission'!$J$2:$J$1121=$F109)*('GHG Emission'!$K$2:$K$1121=AL$1),0))+AM109/$BI109*INDEX('GHG Emission'!$C$2:$C$1121,MATCH(1,('GHG Emission'!$D$2:$D$1121=$D109)*('GHG Emission'!$E$2:$E$1121=$C109)*('GHG Emission'!$F$2:$F$1121=$B109)*('GHG Emission'!$I$2:$I$1121=$E109)*('GHG Emission'!$J$2:$J$1121=$F109)*('GHG Emission'!$K$2:$K$1121=AM$1),0))</f>
        <v>32.444622904321903</v>
      </c>
      <c r="BM109" t="str">
        <f t="shared" si="15"/>
        <v>LIGHT/SOUR</v>
      </c>
    </row>
    <row r="110" spans="1:65" hidden="1" x14ac:dyDescent="0.25">
      <c r="A110">
        <v>109</v>
      </c>
      <c r="B110" t="s">
        <v>471</v>
      </c>
      <c r="C110">
        <v>2050</v>
      </c>
      <c r="D110">
        <v>4</v>
      </c>
      <c r="E110" t="s">
        <v>466</v>
      </c>
      <c r="F110" t="s">
        <v>467</v>
      </c>
      <c r="G110">
        <v>82.286607396377974</v>
      </c>
      <c r="H110">
        <v>31.714904585976345</v>
      </c>
      <c r="I110">
        <v>103.12320037306165</v>
      </c>
      <c r="J110">
        <v>24.912136029174665</v>
      </c>
      <c r="K110">
        <v>5.489384803663925</v>
      </c>
      <c r="L110">
        <v>2.5634089998782152</v>
      </c>
      <c r="M110">
        <v>0</v>
      </c>
      <c r="N110">
        <v>0</v>
      </c>
      <c r="O110">
        <v>0</v>
      </c>
      <c r="P110">
        <v>100.4205402980339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f t="shared" si="8"/>
        <v>350.51018248616668</v>
      </c>
      <c r="Y110">
        <f>X110*VLOOKUP($D110,'LinearReg Model'!$S$2:$T$6,2,FALSE)</f>
        <v>318.37807334495886</v>
      </c>
      <c r="Z110">
        <f t="shared" si="9"/>
        <v>0.23476238782200148</v>
      </c>
      <c r="AA110">
        <f t="shared" si="10"/>
        <v>0.294208857618941</v>
      </c>
      <c r="AB110">
        <f t="shared" si="11"/>
        <v>9.0482120550743242E-2</v>
      </c>
      <c r="AC110">
        <v>26.924463078862729</v>
      </c>
      <c r="AD110">
        <v>1.1684886308416846</v>
      </c>
      <c r="AE110" s="2">
        <f>VLOOKUP($D110,'MultiReg Model'!$A$5:$F$9,2,FALSE)+AC110*VLOOKUP($D110,'MultiReg Model'!$A$5:$F$9,3,FALSE)+Z110*VLOOKUP($D110,'MultiReg Model'!$A$5:$F$9,4,FALSE)+AA110*VLOOKUP($D110,'MultiReg Model'!$A$5:$F$9,5,FALSE)+AB110*VLOOKUP($D110,'MultiReg Model'!$A$5:$F$9,6,FALSE)</f>
        <v>6.8771989812634953</v>
      </c>
      <c r="AF110" cm="1">
        <f t="array" ref="AF110">MMULT($AG110:$AM110,'Avg CI Index'!$C$2:$C$8)/BI110</f>
        <v>6.8871990148081093</v>
      </c>
      <c r="AG110">
        <v>67.367271238158281</v>
      </c>
      <c r="AH110">
        <v>178.21447123844959</v>
      </c>
      <c r="AI110">
        <v>0</v>
      </c>
      <c r="AJ110">
        <v>7.6964475279972602</v>
      </c>
      <c r="AK110">
        <v>62.469180553090382</v>
      </c>
      <c r="AL110">
        <v>0</v>
      </c>
      <c r="AM110">
        <v>0.21229974233764759</v>
      </c>
      <c r="AN110" cm="1">
        <f t="array" ref="AN110">$Y110*INDEX(RefCapacity!$D$2:$D$526,MATCH(1,(RefCapacity!$A$2:$A$526=RefCapacityProj!$D110)*(RefCapacity!$B$2:$B$526=2019)*(RefCapacity!$C$2:$C$526=AG$1),0))/SUMIFS(RefCapacity!$D$2:$D$526,RefCapacity!$A$2:$A$526,RefCapacityProj!$D110,RefCapacity!$B$2:$B$526,2019)</f>
        <v>6.9384039391580323</v>
      </c>
      <c r="AO110" cm="1">
        <f t="array" ref="AO110">$Y110*INDEX(RefCapacity!$D$2:$D$526,MATCH(1,(RefCapacity!$A$2:$A$526=RefCapacityProj!$D110)*(RefCapacity!$B$2:$B$526=2019)*(RefCapacity!$C$2:$C$526=AH$1),0))/SUMIFS(RefCapacity!$D$2:$D$526,RefCapacity!$A$2:$A$526,RefCapacityProj!$D110,RefCapacity!$B$2:$B$526,2019)</f>
        <v>107.55340199351907</v>
      </c>
      <c r="AP110" cm="1">
        <f t="array" ref="AP110">$Y110*INDEX(RefCapacity!$D$2:$D$526,MATCH(1,(RefCapacity!$A$2:$A$526=RefCapacityProj!$D110)*(RefCapacity!$B$2:$B$526=2019)*(RefCapacity!$C$2:$C$526=AI$1),0))/SUMIFS(RefCapacity!$D$2:$D$526,RefCapacity!$A$2:$A$526,RefCapacityProj!$D110,RefCapacity!$B$2:$B$526,2019)</f>
        <v>0</v>
      </c>
      <c r="AQ110" cm="1">
        <f t="array" ref="AQ110">$Y110*INDEX(RefCapacity!$D$2:$D$526,MATCH(1,(RefCapacity!$A$2:$A$526=RefCapacityProj!$D110)*(RefCapacity!$B$2:$B$526=2019)*(RefCapacity!$C$2:$C$526=AJ$1),0))/SUMIFS(RefCapacity!$D$2:$D$526,RefCapacity!$A$2:$A$526,RefCapacityProj!$D110,RefCapacity!$B$2:$B$526,2019)</f>
        <v>33.763952926858195</v>
      </c>
      <c r="AR110" cm="1">
        <f t="array" ref="AR110">$Y110*INDEX(RefCapacity!$D$2:$D$526,MATCH(1,(RefCapacity!$A$2:$A$526=RefCapacityProj!$D110)*(RefCapacity!$B$2:$B$526=2019)*(RefCapacity!$C$2:$C$526=AK$1),0))/SUMIFS(RefCapacity!$D$2:$D$526,RefCapacity!$A$2:$A$526,RefCapacityProj!$D110,RefCapacity!$B$2:$B$526,2019)</f>
        <v>102.55021497604375</v>
      </c>
      <c r="AS110" cm="1">
        <f t="array" ref="AS110">$Y110*INDEX(RefCapacity!$D$2:$D$526,MATCH(1,(RefCapacity!$A$2:$A$526=RefCapacityProj!$D110)*(RefCapacity!$B$2:$B$526=2019)*(RefCapacity!$C$2:$C$526=AL$1),0))/SUMIFS(RefCapacity!$D$2:$D$526,RefCapacity!$A$2:$A$526,RefCapacityProj!$D110,RefCapacity!$B$2:$B$526,2019)</f>
        <v>0</v>
      </c>
      <c r="AT110" cm="1">
        <f t="array" ref="AT110">$Y110*INDEX(RefCapacity!$D$2:$D$526,MATCH(1,(RefCapacity!$A$2:$A$526=RefCapacityProj!$D110)*(RefCapacity!$B$2:$B$526=2019)*(RefCapacity!$C$2:$C$526=AM$1),0))/SUMIFS(RefCapacity!$D$2:$D$526,RefCapacity!$A$2:$A$526,RefCapacityProj!$D110,RefCapacity!$B$2:$B$526,2019)</f>
        <v>67.572099509379811</v>
      </c>
      <c r="AU110" cm="1">
        <f t="array" ref="AU110">INDEX(RefCapacity!$D$2:$D$526,MATCH(1,(RefCapacity!$A$2:$A$526=RefCapacityProj!$D110)*(RefCapacity!$B$2:$B$526=2019)*(RefCapacity!$C$2:$C$526=RefCapacityProj!AG$1),0))*IF($C110=2035,1+VLOOKUP(AG$1,RefCapacity!$H$2:$L$8,2,FALSE),1+VLOOKUP(AG$1,RefCapacity!$H$2:$L$8,4,FALSE))</f>
        <v>67.579418148848575</v>
      </c>
      <c r="AV110" cm="1">
        <f t="array" ref="AV110">INDEX(RefCapacity!$D$2:$D$526,MATCH(1,(RefCapacity!$A$2:$A$526=RefCapacityProj!$D110)*(RefCapacity!$B$2:$B$526=2019)*(RefCapacity!$C$2:$C$526=RefCapacityProj!AH$1),0))*IF($C110=2035,1+VLOOKUP(AH$1,RefCapacity!$H$2:$L$8,2,FALSE),1+VLOOKUP(AH$1,RefCapacity!$H$2:$L$8,4,FALSE))</f>
        <v>392.11356943453399</v>
      </c>
      <c r="AW110" cm="1">
        <f t="array" ref="AW110">INDEX(RefCapacity!$D$2:$D$526,MATCH(1,(RefCapacity!$A$2:$A$526=RefCapacityProj!$D110)*(RefCapacity!$B$2:$B$526=2019)*(RefCapacity!$C$2:$C$526=RefCapacityProj!AI$1),0))*IF($C110=2035,1+VLOOKUP(AI$1,RefCapacity!$H$2:$L$8,2,FALSE),1+VLOOKUP(AI$1,RefCapacity!$H$2:$L$8,4,FALSE))</f>
        <v>0</v>
      </c>
      <c r="AX110" cm="1">
        <f t="array" ref="AX110">INDEX(RefCapacity!$D$2:$D$526,MATCH(1,(RefCapacity!$A$2:$A$526=RefCapacityProj!$D110)*(RefCapacity!$B$2:$B$526=2019)*(RefCapacity!$C$2:$C$526=RefCapacityProj!AJ$1),0))*IF($C110=2035,1+VLOOKUP(AJ$1,RefCapacity!$H$2:$L$8,2,FALSE),1+VLOOKUP(AJ$1,RefCapacity!$H$2:$L$8,4,FALSE))</f>
        <v>205.34948717948717</v>
      </c>
      <c r="AY110" cm="1">
        <f t="array" ref="AY110">INDEX(RefCapacity!$D$2:$D$526,MATCH(1,(RefCapacity!$A$2:$A$526=RefCapacityProj!$D110)*(RefCapacity!$B$2:$B$526=2019)*(RefCapacity!$C$2:$C$526=RefCapacityProj!AK$1),0))*IF($C110=2035,1+VLOOKUP(AK$1,RefCapacity!$H$2:$L$8,2,FALSE),1+VLOOKUP(AK$1,RefCapacity!$H$2:$L$8,4,FALSE))</f>
        <v>326.97872076761655</v>
      </c>
      <c r="AZ110" cm="1">
        <f t="array" ref="AZ110">INDEX(RefCapacity!$D$2:$D$526,MATCH(1,(RefCapacity!$A$2:$A$526=RefCapacityProj!$D110)*(RefCapacity!$B$2:$B$526=2019)*(RefCapacity!$C$2:$C$526=RefCapacityProj!AL$1),0))*IF($C110=2035,1+VLOOKUP(AL$1,RefCapacity!$H$2:$L$8,2,FALSE),1+VLOOKUP(AL$1,RefCapacity!$H$2:$L$8,4,FALSE))</f>
        <v>0</v>
      </c>
      <c r="BA110" cm="1">
        <f t="array" ref="BA110">INDEX(RefCapacity!$D$2:$D$526,MATCH(1,(RefCapacity!$A$2:$A$526=RefCapacityProj!$D110)*(RefCapacity!$B$2:$B$526=2019)*(RefCapacity!$C$2:$C$526=RefCapacityProj!AM$1),0))*IF($C110=2035,1+VLOOKUP(AM$1,RefCapacity!$H$2:$L$8,2,FALSE),1+VLOOKUP(AM$1,RefCapacity!$H$2:$L$8,4,FALSE))</f>
        <v>156.70550927880672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f t="shared" si="12"/>
        <v>315.95967030003311</v>
      </c>
      <c r="BJ110">
        <f t="shared" si="13"/>
        <v>2.4184030449257534</v>
      </c>
      <c r="BK110">
        <f t="shared" si="14"/>
        <v>1.0000033544613984E-2</v>
      </c>
      <c r="BL110" cm="1">
        <f t="array" ref="BL110">AG110/$BI110*INDEX('GHG Emission'!$C$2:$C$1121,MATCH(1,('GHG Emission'!$D$2:$D$1121=$D110)*('GHG Emission'!$E$2:$E$1121=$C110)*('GHG Emission'!$F$2:$F$1121=$B110)*('GHG Emission'!$I$2:$I$1121=$E110)*('GHG Emission'!$J$2:$J$1121=$F110)*('GHG Emission'!$K$2:$K$1121=AG$1),0))+AH110/$BI110*INDEX('GHG Emission'!$C$2:$C$1121,MATCH(1,('GHG Emission'!$D$2:$D$1121=$D110)*('GHG Emission'!$E$2:$E$1121=$C110)*('GHG Emission'!$F$2:$F$1121=$B110)*('GHG Emission'!$I$2:$I$1121=$E110)*('GHG Emission'!$J$2:$J$1121=$F110)*('GHG Emission'!$K$2:$K$1121=AH$1),0))+AI110/$BI110*INDEX('GHG Emission'!$C$2:$C$1121,MATCH(1,('GHG Emission'!$D$2:$D$1121=$D110)*('GHG Emission'!$E$2:$E$1121=$C110)*('GHG Emission'!$F$2:$F$1121=$B110)*('GHG Emission'!$I$2:$I$1121=$E110)*('GHG Emission'!$J$2:$J$1121=$F110)*('GHG Emission'!$K$2:$K$1121=AI$1),0))+AJ110/$BI110*INDEX('GHG Emission'!$C$2:$C$1121,MATCH(1,('GHG Emission'!$D$2:$D$1121=$D110)*('GHG Emission'!$E$2:$E$1121=$C110)*('GHG Emission'!$F$2:$F$1121=$B110)*('GHG Emission'!$I$2:$I$1121=$E110)*('GHG Emission'!$J$2:$J$1121=$F110)*('GHG Emission'!$K$2:$K$1121=AJ$1),0))+AK110/$BI110*INDEX('GHG Emission'!$C$2:$C$1121,MATCH(1,('GHG Emission'!$D$2:$D$1121=$D110)*('GHG Emission'!$E$2:$E$1121=$C110)*('GHG Emission'!$F$2:$F$1121=$B110)*('GHG Emission'!$I$2:$I$1121=$E110)*('GHG Emission'!$J$2:$J$1121=$F110)*('GHG Emission'!$K$2:$K$1121=AK$1),0))+AL110/$BI110*INDEX('GHG Emission'!$C$2:$C$1121,MATCH(1,('GHG Emission'!$D$2:$D$1121=$D110)*('GHG Emission'!$E$2:$E$1121=$C110)*('GHG Emission'!$F$2:$F$1121=$B110)*('GHG Emission'!$I$2:$I$1121=$E110)*('GHG Emission'!$J$2:$J$1121=$F110)*('GHG Emission'!$K$2:$K$1121=AL$1),0))+AM110/$BI110*INDEX('GHG Emission'!$C$2:$C$1121,MATCH(1,('GHG Emission'!$D$2:$D$1121=$D110)*('GHG Emission'!$E$2:$E$1121=$C110)*('GHG Emission'!$F$2:$F$1121=$B110)*('GHG Emission'!$I$2:$I$1121=$E110)*('GHG Emission'!$J$2:$J$1121=$F110)*('GHG Emission'!$K$2:$K$1121=AM$1),0))</f>
        <v>30.078276630770912</v>
      </c>
      <c r="BM110" t="str">
        <f t="shared" si="15"/>
        <v>HEAVY/SWEET</v>
      </c>
    </row>
    <row r="111" spans="1:65" hidden="1" x14ac:dyDescent="0.25">
      <c r="A111">
        <v>110</v>
      </c>
      <c r="B111" t="s">
        <v>471</v>
      </c>
      <c r="C111">
        <v>2050</v>
      </c>
      <c r="D111">
        <v>4</v>
      </c>
      <c r="E111" t="s">
        <v>466</v>
      </c>
      <c r="F111" t="s">
        <v>468</v>
      </c>
      <c r="G111">
        <v>82.286607396377974</v>
      </c>
      <c r="H111">
        <v>31.714904585976345</v>
      </c>
      <c r="I111">
        <v>103.12320037306165</v>
      </c>
      <c r="J111">
        <v>24.912136029174665</v>
      </c>
      <c r="K111">
        <v>5.489384803663925</v>
      </c>
      <c r="L111">
        <v>2.5634089998782152</v>
      </c>
      <c r="M111">
        <v>0</v>
      </c>
      <c r="N111">
        <v>0</v>
      </c>
      <c r="O111">
        <v>0</v>
      </c>
      <c r="P111">
        <v>100.4205402980339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f t="shared" si="8"/>
        <v>350.51018248616668</v>
      </c>
      <c r="Y111">
        <f>X111*VLOOKUP($D111,'LinearReg Model'!$S$2:$T$6,2,FALSE)</f>
        <v>318.37807334495886</v>
      </c>
      <c r="Z111">
        <f t="shared" si="9"/>
        <v>0.23476238782200148</v>
      </c>
      <c r="AA111">
        <f t="shared" si="10"/>
        <v>0.294208857618941</v>
      </c>
      <c r="AB111">
        <f t="shared" si="11"/>
        <v>9.0482120550743242E-2</v>
      </c>
      <c r="AC111">
        <v>26.924463078862729</v>
      </c>
      <c r="AD111">
        <v>3.7883857319296892</v>
      </c>
      <c r="AE111" s="2">
        <f>VLOOKUP($D111,'MultiReg Model'!$A$5:$F$9,2,FALSE)+AC111*VLOOKUP($D111,'MultiReg Model'!$A$5:$F$9,3,FALSE)+Z111*VLOOKUP($D111,'MultiReg Model'!$A$5:$F$9,4,FALSE)+AA111*VLOOKUP($D111,'MultiReg Model'!$A$5:$F$9,5,FALSE)+AB111*VLOOKUP($D111,'MultiReg Model'!$A$5:$F$9,6,FALSE)</f>
        <v>6.8771989812634953</v>
      </c>
      <c r="AF111" cm="1">
        <f t="array" ref="AF111">MMULT($AG111:$AM111,'Avg CI Index'!$C$2:$C$8)/BI111</f>
        <v>6.8871990148081093</v>
      </c>
      <c r="AG111">
        <v>67.367271238158281</v>
      </c>
      <c r="AH111">
        <v>178.21447123844959</v>
      </c>
      <c r="AI111">
        <v>0</v>
      </c>
      <c r="AJ111">
        <v>7.6964475279972602</v>
      </c>
      <c r="AK111">
        <v>62.469180553090382</v>
      </c>
      <c r="AL111">
        <v>0</v>
      </c>
      <c r="AM111">
        <v>0.21229974233764759</v>
      </c>
      <c r="AN111" cm="1">
        <f t="array" ref="AN111">$Y111*INDEX(RefCapacity!$D$2:$D$526,MATCH(1,(RefCapacity!$A$2:$A$526=RefCapacityProj!$D111)*(RefCapacity!$B$2:$B$526=2019)*(RefCapacity!$C$2:$C$526=AG$1),0))/SUMIFS(RefCapacity!$D$2:$D$526,RefCapacity!$A$2:$A$526,RefCapacityProj!$D111,RefCapacity!$B$2:$B$526,2019)</f>
        <v>6.9384039391580323</v>
      </c>
      <c r="AO111" cm="1">
        <f t="array" ref="AO111">$Y111*INDEX(RefCapacity!$D$2:$D$526,MATCH(1,(RefCapacity!$A$2:$A$526=RefCapacityProj!$D111)*(RefCapacity!$B$2:$B$526=2019)*(RefCapacity!$C$2:$C$526=AH$1),0))/SUMIFS(RefCapacity!$D$2:$D$526,RefCapacity!$A$2:$A$526,RefCapacityProj!$D111,RefCapacity!$B$2:$B$526,2019)</f>
        <v>107.55340199351907</v>
      </c>
      <c r="AP111" cm="1">
        <f t="array" ref="AP111">$Y111*INDEX(RefCapacity!$D$2:$D$526,MATCH(1,(RefCapacity!$A$2:$A$526=RefCapacityProj!$D111)*(RefCapacity!$B$2:$B$526=2019)*(RefCapacity!$C$2:$C$526=AI$1),0))/SUMIFS(RefCapacity!$D$2:$D$526,RefCapacity!$A$2:$A$526,RefCapacityProj!$D111,RefCapacity!$B$2:$B$526,2019)</f>
        <v>0</v>
      </c>
      <c r="AQ111" cm="1">
        <f t="array" ref="AQ111">$Y111*INDEX(RefCapacity!$D$2:$D$526,MATCH(1,(RefCapacity!$A$2:$A$526=RefCapacityProj!$D111)*(RefCapacity!$B$2:$B$526=2019)*(RefCapacity!$C$2:$C$526=AJ$1),0))/SUMIFS(RefCapacity!$D$2:$D$526,RefCapacity!$A$2:$A$526,RefCapacityProj!$D111,RefCapacity!$B$2:$B$526,2019)</f>
        <v>33.763952926858195</v>
      </c>
      <c r="AR111" cm="1">
        <f t="array" ref="AR111">$Y111*INDEX(RefCapacity!$D$2:$D$526,MATCH(1,(RefCapacity!$A$2:$A$526=RefCapacityProj!$D111)*(RefCapacity!$B$2:$B$526=2019)*(RefCapacity!$C$2:$C$526=AK$1),0))/SUMIFS(RefCapacity!$D$2:$D$526,RefCapacity!$A$2:$A$526,RefCapacityProj!$D111,RefCapacity!$B$2:$B$526,2019)</f>
        <v>102.55021497604375</v>
      </c>
      <c r="AS111" cm="1">
        <f t="array" ref="AS111">$Y111*INDEX(RefCapacity!$D$2:$D$526,MATCH(1,(RefCapacity!$A$2:$A$526=RefCapacityProj!$D111)*(RefCapacity!$B$2:$B$526=2019)*(RefCapacity!$C$2:$C$526=AL$1),0))/SUMIFS(RefCapacity!$D$2:$D$526,RefCapacity!$A$2:$A$526,RefCapacityProj!$D111,RefCapacity!$B$2:$B$526,2019)</f>
        <v>0</v>
      </c>
      <c r="AT111" cm="1">
        <f t="array" ref="AT111">$Y111*INDEX(RefCapacity!$D$2:$D$526,MATCH(1,(RefCapacity!$A$2:$A$526=RefCapacityProj!$D111)*(RefCapacity!$B$2:$B$526=2019)*(RefCapacity!$C$2:$C$526=AM$1),0))/SUMIFS(RefCapacity!$D$2:$D$526,RefCapacity!$A$2:$A$526,RefCapacityProj!$D111,RefCapacity!$B$2:$B$526,2019)</f>
        <v>67.572099509379811</v>
      </c>
      <c r="AU111" cm="1">
        <f t="array" ref="AU111">INDEX(RefCapacity!$D$2:$D$526,MATCH(1,(RefCapacity!$A$2:$A$526=RefCapacityProj!$D111)*(RefCapacity!$B$2:$B$526=2019)*(RefCapacity!$C$2:$C$526=RefCapacityProj!AG$1),0))*IF($C111=2035,1+VLOOKUP(AG$1,RefCapacity!$H$2:$L$8,2,FALSE),1+VLOOKUP(AG$1,RefCapacity!$H$2:$L$8,4,FALSE))</f>
        <v>67.579418148848575</v>
      </c>
      <c r="AV111" cm="1">
        <f t="array" ref="AV111">INDEX(RefCapacity!$D$2:$D$526,MATCH(1,(RefCapacity!$A$2:$A$526=RefCapacityProj!$D111)*(RefCapacity!$B$2:$B$526=2019)*(RefCapacity!$C$2:$C$526=RefCapacityProj!AH$1),0))*IF($C111=2035,1+VLOOKUP(AH$1,RefCapacity!$H$2:$L$8,2,FALSE),1+VLOOKUP(AH$1,RefCapacity!$H$2:$L$8,4,FALSE))</f>
        <v>392.11356943453399</v>
      </c>
      <c r="AW111" cm="1">
        <f t="array" ref="AW111">INDEX(RefCapacity!$D$2:$D$526,MATCH(1,(RefCapacity!$A$2:$A$526=RefCapacityProj!$D111)*(RefCapacity!$B$2:$B$526=2019)*(RefCapacity!$C$2:$C$526=RefCapacityProj!AI$1),0))*IF($C111=2035,1+VLOOKUP(AI$1,RefCapacity!$H$2:$L$8,2,FALSE),1+VLOOKUP(AI$1,RefCapacity!$H$2:$L$8,4,FALSE))</f>
        <v>0</v>
      </c>
      <c r="AX111" cm="1">
        <f t="array" ref="AX111">INDEX(RefCapacity!$D$2:$D$526,MATCH(1,(RefCapacity!$A$2:$A$526=RefCapacityProj!$D111)*(RefCapacity!$B$2:$B$526=2019)*(RefCapacity!$C$2:$C$526=RefCapacityProj!AJ$1),0))*IF($C111=2035,1+VLOOKUP(AJ$1,RefCapacity!$H$2:$L$8,2,FALSE),1+VLOOKUP(AJ$1,RefCapacity!$H$2:$L$8,4,FALSE))</f>
        <v>205.34948717948717</v>
      </c>
      <c r="AY111" cm="1">
        <f t="array" ref="AY111">INDEX(RefCapacity!$D$2:$D$526,MATCH(1,(RefCapacity!$A$2:$A$526=RefCapacityProj!$D111)*(RefCapacity!$B$2:$B$526=2019)*(RefCapacity!$C$2:$C$526=RefCapacityProj!AK$1),0))*IF($C111=2035,1+VLOOKUP(AK$1,RefCapacity!$H$2:$L$8,2,FALSE),1+VLOOKUP(AK$1,RefCapacity!$H$2:$L$8,4,FALSE))</f>
        <v>326.97872076761655</v>
      </c>
      <c r="AZ111" cm="1">
        <f t="array" ref="AZ111">INDEX(RefCapacity!$D$2:$D$526,MATCH(1,(RefCapacity!$A$2:$A$526=RefCapacityProj!$D111)*(RefCapacity!$B$2:$B$526=2019)*(RefCapacity!$C$2:$C$526=RefCapacityProj!AL$1),0))*IF($C111=2035,1+VLOOKUP(AL$1,RefCapacity!$H$2:$L$8,2,FALSE),1+VLOOKUP(AL$1,RefCapacity!$H$2:$L$8,4,FALSE))</f>
        <v>0</v>
      </c>
      <c r="BA111" cm="1">
        <f t="array" ref="BA111">INDEX(RefCapacity!$D$2:$D$526,MATCH(1,(RefCapacity!$A$2:$A$526=RefCapacityProj!$D111)*(RefCapacity!$B$2:$B$526=2019)*(RefCapacity!$C$2:$C$526=RefCapacityProj!AM$1),0))*IF($C111=2035,1+VLOOKUP(AM$1,RefCapacity!$H$2:$L$8,2,FALSE),1+VLOOKUP(AM$1,RefCapacity!$H$2:$L$8,4,FALSE))</f>
        <v>156.70550927880672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f t="shared" si="12"/>
        <v>315.95967030003311</v>
      </c>
      <c r="BJ111">
        <f t="shared" si="13"/>
        <v>2.4184030449257534</v>
      </c>
      <c r="BK111">
        <f t="shared" si="14"/>
        <v>1.0000033544613984E-2</v>
      </c>
      <c r="BL111" cm="1">
        <f t="array" ref="BL111">AG111/$BI111*INDEX('GHG Emission'!$C$2:$C$1121,MATCH(1,('GHG Emission'!$D$2:$D$1121=$D111)*('GHG Emission'!$E$2:$E$1121=$C111)*('GHG Emission'!$F$2:$F$1121=$B111)*('GHG Emission'!$I$2:$I$1121=$E111)*('GHG Emission'!$J$2:$J$1121=$F111)*('GHG Emission'!$K$2:$K$1121=AG$1),0))+AH111/$BI111*INDEX('GHG Emission'!$C$2:$C$1121,MATCH(1,('GHG Emission'!$D$2:$D$1121=$D111)*('GHG Emission'!$E$2:$E$1121=$C111)*('GHG Emission'!$F$2:$F$1121=$B111)*('GHG Emission'!$I$2:$I$1121=$E111)*('GHG Emission'!$J$2:$J$1121=$F111)*('GHG Emission'!$K$2:$K$1121=AH$1),0))+AI111/$BI111*INDEX('GHG Emission'!$C$2:$C$1121,MATCH(1,('GHG Emission'!$D$2:$D$1121=$D111)*('GHG Emission'!$E$2:$E$1121=$C111)*('GHG Emission'!$F$2:$F$1121=$B111)*('GHG Emission'!$I$2:$I$1121=$E111)*('GHG Emission'!$J$2:$J$1121=$F111)*('GHG Emission'!$K$2:$K$1121=AI$1),0))+AJ111/$BI111*INDEX('GHG Emission'!$C$2:$C$1121,MATCH(1,('GHG Emission'!$D$2:$D$1121=$D111)*('GHG Emission'!$E$2:$E$1121=$C111)*('GHG Emission'!$F$2:$F$1121=$B111)*('GHG Emission'!$I$2:$I$1121=$E111)*('GHG Emission'!$J$2:$J$1121=$F111)*('GHG Emission'!$K$2:$K$1121=AJ$1),0))+AK111/$BI111*INDEX('GHG Emission'!$C$2:$C$1121,MATCH(1,('GHG Emission'!$D$2:$D$1121=$D111)*('GHG Emission'!$E$2:$E$1121=$C111)*('GHG Emission'!$F$2:$F$1121=$B111)*('GHG Emission'!$I$2:$I$1121=$E111)*('GHG Emission'!$J$2:$J$1121=$F111)*('GHG Emission'!$K$2:$K$1121=AK$1),0))+AL111/$BI111*INDEX('GHG Emission'!$C$2:$C$1121,MATCH(1,('GHG Emission'!$D$2:$D$1121=$D111)*('GHG Emission'!$E$2:$E$1121=$C111)*('GHG Emission'!$F$2:$F$1121=$B111)*('GHG Emission'!$I$2:$I$1121=$E111)*('GHG Emission'!$J$2:$J$1121=$F111)*('GHG Emission'!$K$2:$K$1121=AL$1),0))+AM111/$BI111*INDEX('GHG Emission'!$C$2:$C$1121,MATCH(1,('GHG Emission'!$D$2:$D$1121=$D111)*('GHG Emission'!$E$2:$E$1121=$C111)*('GHG Emission'!$F$2:$F$1121=$B111)*('GHG Emission'!$I$2:$I$1121=$E111)*('GHG Emission'!$J$2:$J$1121=$F111)*('GHG Emission'!$K$2:$K$1121=AM$1),0))</f>
        <v>28.333301674105989</v>
      </c>
      <c r="BM111" t="str">
        <f t="shared" si="15"/>
        <v>HEAVY/SOUR</v>
      </c>
    </row>
    <row r="112" spans="1:65" hidden="1" x14ac:dyDescent="0.25">
      <c r="A112">
        <v>111</v>
      </c>
      <c r="B112" t="s">
        <v>471</v>
      </c>
      <c r="C112">
        <v>2050</v>
      </c>
      <c r="D112">
        <v>4</v>
      </c>
      <c r="E112" t="s">
        <v>469</v>
      </c>
      <c r="F112" t="s">
        <v>467</v>
      </c>
      <c r="G112">
        <v>82.286607396377974</v>
      </c>
      <c r="H112">
        <v>31.714904585976345</v>
      </c>
      <c r="I112">
        <v>103.12320037306165</v>
      </c>
      <c r="J112">
        <v>24.912136029174665</v>
      </c>
      <c r="K112">
        <v>5.489384803663925</v>
      </c>
      <c r="L112">
        <v>2.5634089998782152</v>
      </c>
      <c r="M112">
        <v>0</v>
      </c>
      <c r="N112">
        <v>0</v>
      </c>
      <c r="O112">
        <v>0</v>
      </c>
      <c r="P112">
        <v>100.4205402980339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f t="shared" si="8"/>
        <v>350.51018248616668</v>
      </c>
      <c r="Y112">
        <f>X112*VLOOKUP($D112,'LinearReg Model'!$S$2:$T$6,2,FALSE)</f>
        <v>318.37807334495886</v>
      </c>
      <c r="Z112">
        <f t="shared" si="9"/>
        <v>0.23476238782200148</v>
      </c>
      <c r="AA112">
        <f t="shared" si="10"/>
        <v>0.294208857618941</v>
      </c>
      <c r="AB112">
        <f t="shared" si="11"/>
        <v>9.0482120550743242E-2</v>
      </c>
      <c r="AC112">
        <v>33.609676323697812</v>
      </c>
      <c r="AD112">
        <v>1.1684886308416846</v>
      </c>
      <c r="AE112" s="2">
        <f>VLOOKUP($D112,'MultiReg Model'!$A$5:$F$9,2,FALSE)+AC112*VLOOKUP($D112,'MultiReg Model'!$A$5:$F$9,3,FALSE)+Z112*VLOOKUP($D112,'MultiReg Model'!$A$5:$F$9,4,FALSE)+AA112*VLOOKUP($D112,'MultiReg Model'!$A$5:$F$9,5,FALSE)+AB112*VLOOKUP($D112,'MultiReg Model'!$A$5:$F$9,6,FALSE)</f>
        <v>6.6481103016829977</v>
      </c>
      <c r="AF112" cm="1">
        <f t="array" ref="AF112">MMULT($AG112:$AM112,'Avg CI Index'!$C$2:$C$8)/BI112</f>
        <v>6.6581103294058259</v>
      </c>
      <c r="AG112">
        <v>67.347741376179044</v>
      </c>
      <c r="AH112">
        <v>208.03299570310043</v>
      </c>
      <c r="AI112">
        <v>0</v>
      </c>
      <c r="AJ112">
        <v>0.14721016045558455</v>
      </c>
      <c r="AK112">
        <v>41.677433065274414</v>
      </c>
      <c r="AL112">
        <v>0</v>
      </c>
      <c r="AM112">
        <v>0.20156596162119694</v>
      </c>
      <c r="AN112" cm="1">
        <f t="array" ref="AN112">$Y112*INDEX(RefCapacity!$D$2:$D$526,MATCH(1,(RefCapacity!$A$2:$A$526=RefCapacityProj!$D112)*(RefCapacity!$B$2:$B$526=2019)*(RefCapacity!$C$2:$C$526=AG$1),0))/SUMIFS(RefCapacity!$D$2:$D$526,RefCapacity!$A$2:$A$526,RefCapacityProj!$D112,RefCapacity!$B$2:$B$526,2019)</f>
        <v>6.9384039391580323</v>
      </c>
      <c r="AO112" cm="1">
        <f t="array" ref="AO112">$Y112*INDEX(RefCapacity!$D$2:$D$526,MATCH(1,(RefCapacity!$A$2:$A$526=RefCapacityProj!$D112)*(RefCapacity!$B$2:$B$526=2019)*(RefCapacity!$C$2:$C$526=AH$1),0))/SUMIFS(RefCapacity!$D$2:$D$526,RefCapacity!$A$2:$A$526,RefCapacityProj!$D112,RefCapacity!$B$2:$B$526,2019)</f>
        <v>107.55340199351907</v>
      </c>
      <c r="AP112" cm="1">
        <f t="array" ref="AP112">$Y112*INDEX(RefCapacity!$D$2:$D$526,MATCH(1,(RefCapacity!$A$2:$A$526=RefCapacityProj!$D112)*(RefCapacity!$B$2:$B$526=2019)*(RefCapacity!$C$2:$C$526=AI$1),0))/SUMIFS(RefCapacity!$D$2:$D$526,RefCapacity!$A$2:$A$526,RefCapacityProj!$D112,RefCapacity!$B$2:$B$526,2019)</f>
        <v>0</v>
      </c>
      <c r="AQ112" cm="1">
        <f t="array" ref="AQ112">$Y112*INDEX(RefCapacity!$D$2:$D$526,MATCH(1,(RefCapacity!$A$2:$A$526=RefCapacityProj!$D112)*(RefCapacity!$B$2:$B$526=2019)*(RefCapacity!$C$2:$C$526=AJ$1),0))/SUMIFS(RefCapacity!$D$2:$D$526,RefCapacity!$A$2:$A$526,RefCapacityProj!$D112,RefCapacity!$B$2:$B$526,2019)</f>
        <v>33.763952926858195</v>
      </c>
      <c r="AR112" cm="1">
        <f t="array" ref="AR112">$Y112*INDEX(RefCapacity!$D$2:$D$526,MATCH(1,(RefCapacity!$A$2:$A$526=RefCapacityProj!$D112)*(RefCapacity!$B$2:$B$526=2019)*(RefCapacity!$C$2:$C$526=AK$1),0))/SUMIFS(RefCapacity!$D$2:$D$526,RefCapacity!$A$2:$A$526,RefCapacityProj!$D112,RefCapacity!$B$2:$B$526,2019)</f>
        <v>102.55021497604375</v>
      </c>
      <c r="AS112" cm="1">
        <f t="array" ref="AS112">$Y112*INDEX(RefCapacity!$D$2:$D$526,MATCH(1,(RefCapacity!$A$2:$A$526=RefCapacityProj!$D112)*(RefCapacity!$B$2:$B$526=2019)*(RefCapacity!$C$2:$C$526=AL$1),0))/SUMIFS(RefCapacity!$D$2:$D$526,RefCapacity!$A$2:$A$526,RefCapacityProj!$D112,RefCapacity!$B$2:$B$526,2019)</f>
        <v>0</v>
      </c>
      <c r="AT112" cm="1">
        <f t="array" ref="AT112">$Y112*INDEX(RefCapacity!$D$2:$D$526,MATCH(1,(RefCapacity!$A$2:$A$526=RefCapacityProj!$D112)*(RefCapacity!$B$2:$B$526=2019)*(RefCapacity!$C$2:$C$526=AM$1),0))/SUMIFS(RefCapacity!$D$2:$D$526,RefCapacity!$A$2:$A$526,RefCapacityProj!$D112,RefCapacity!$B$2:$B$526,2019)</f>
        <v>67.572099509379811</v>
      </c>
      <c r="AU112" cm="1">
        <f t="array" ref="AU112">INDEX(RefCapacity!$D$2:$D$526,MATCH(1,(RefCapacity!$A$2:$A$526=RefCapacityProj!$D112)*(RefCapacity!$B$2:$B$526=2019)*(RefCapacity!$C$2:$C$526=RefCapacityProj!AG$1),0))*IF($C112=2035,1+VLOOKUP(AG$1,RefCapacity!$H$2:$L$8,2,FALSE),1+VLOOKUP(AG$1,RefCapacity!$H$2:$L$8,4,FALSE))</f>
        <v>67.579418148848575</v>
      </c>
      <c r="AV112" cm="1">
        <f t="array" ref="AV112">INDEX(RefCapacity!$D$2:$D$526,MATCH(1,(RefCapacity!$A$2:$A$526=RefCapacityProj!$D112)*(RefCapacity!$B$2:$B$526=2019)*(RefCapacity!$C$2:$C$526=RefCapacityProj!AH$1),0))*IF($C112=2035,1+VLOOKUP(AH$1,RefCapacity!$H$2:$L$8,2,FALSE),1+VLOOKUP(AH$1,RefCapacity!$H$2:$L$8,4,FALSE))</f>
        <v>392.11356943453399</v>
      </c>
      <c r="AW112" cm="1">
        <f t="array" ref="AW112">INDEX(RefCapacity!$D$2:$D$526,MATCH(1,(RefCapacity!$A$2:$A$526=RefCapacityProj!$D112)*(RefCapacity!$B$2:$B$526=2019)*(RefCapacity!$C$2:$C$526=RefCapacityProj!AI$1),0))*IF($C112=2035,1+VLOOKUP(AI$1,RefCapacity!$H$2:$L$8,2,FALSE),1+VLOOKUP(AI$1,RefCapacity!$H$2:$L$8,4,FALSE))</f>
        <v>0</v>
      </c>
      <c r="AX112" cm="1">
        <f t="array" ref="AX112">INDEX(RefCapacity!$D$2:$D$526,MATCH(1,(RefCapacity!$A$2:$A$526=RefCapacityProj!$D112)*(RefCapacity!$B$2:$B$526=2019)*(RefCapacity!$C$2:$C$526=RefCapacityProj!AJ$1),0))*IF($C112=2035,1+VLOOKUP(AJ$1,RefCapacity!$H$2:$L$8,2,FALSE),1+VLOOKUP(AJ$1,RefCapacity!$H$2:$L$8,4,FALSE))</f>
        <v>205.34948717948717</v>
      </c>
      <c r="AY112" cm="1">
        <f t="array" ref="AY112">INDEX(RefCapacity!$D$2:$D$526,MATCH(1,(RefCapacity!$A$2:$A$526=RefCapacityProj!$D112)*(RefCapacity!$B$2:$B$526=2019)*(RefCapacity!$C$2:$C$526=RefCapacityProj!AK$1),0))*IF($C112=2035,1+VLOOKUP(AK$1,RefCapacity!$H$2:$L$8,2,FALSE),1+VLOOKUP(AK$1,RefCapacity!$H$2:$L$8,4,FALSE))</f>
        <v>326.97872076761655</v>
      </c>
      <c r="AZ112" cm="1">
        <f t="array" ref="AZ112">INDEX(RefCapacity!$D$2:$D$526,MATCH(1,(RefCapacity!$A$2:$A$526=RefCapacityProj!$D112)*(RefCapacity!$B$2:$B$526=2019)*(RefCapacity!$C$2:$C$526=RefCapacityProj!AL$1),0))*IF($C112=2035,1+VLOOKUP(AL$1,RefCapacity!$H$2:$L$8,2,FALSE),1+VLOOKUP(AL$1,RefCapacity!$H$2:$L$8,4,FALSE))</f>
        <v>0</v>
      </c>
      <c r="BA112" cm="1">
        <f t="array" ref="BA112">INDEX(RefCapacity!$D$2:$D$526,MATCH(1,(RefCapacity!$A$2:$A$526=RefCapacityProj!$D112)*(RefCapacity!$B$2:$B$526=2019)*(RefCapacity!$C$2:$C$526=RefCapacityProj!AM$1),0))*IF($C112=2035,1+VLOOKUP(AM$1,RefCapacity!$H$2:$L$8,2,FALSE),1+VLOOKUP(AM$1,RefCapacity!$H$2:$L$8,4,FALSE))</f>
        <v>156.70550927880672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f t="shared" si="12"/>
        <v>317.40694626663071</v>
      </c>
      <c r="BJ112">
        <f t="shared" si="13"/>
        <v>0.97112707832815204</v>
      </c>
      <c r="BK112">
        <f t="shared" si="14"/>
        <v>1.0000027722828264E-2</v>
      </c>
      <c r="BL112" cm="1">
        <f t="array" ref="BL112">AG112/$BI112*INDEX('GHG Emission'!$C$2:$C$1121,MATCH(1,('GHG Emission'!$D$2:$D$1121=$D112)*('GHG Emission'!$E$2:$E$1121=$C112)*('GHG Emission'!$F$2:$F$1121=$B112)*('GHG Emission'!$I$2:$I$1121=$E112)*('GHG Emission'!$J$2:$J$1121=$F112)*('GHG Emission'!$K$2:$K$1121=AG$1),0))+AH112/$BI112*INDEX('GHG Emission'!$C$2:$C$1121,MATCH(1,('GHG Emission'!$D$2:$D$1121=$D112)*('GHG Emission'!$E$2:$E$1121=$C112)*('GHG Emission'!$F$2:$F$1121=$B112)*('GHG Emission'!$I$2:$I$1121=$E112)*('GHG Emission'!$J$2:$J$1121=$F112)*('GHG Emission'!$K$2:$K$1121=AH$1),0))+AI112/$BI112*INDEX('GHG Emission'!$C$2:$C$1121,MATCH(1,('GHG Emission'!$D$2:$D$1121=$D112)*('GHG Emission'!$E$2:$E$1121=$C112)*('GHG Emission'!$F$2:$F$1121=$B112)*('GHG Emission'!$I$2:$I$1121=$E112)*('GHG Emission'!$J$2:$J$1121=$F112)*('GHG Emission'!$K$2:$K$1121=AI$1),0))+AJ112/$BI112*INDEX('GHG Emission'!$C$2:$C$1121,MATCH(1,('GHG Emission'!$D$2:$D$1121=$D112)*('GHG Emission'!$E$2:$E$1121=$C112)*('GHG Emission'!$F$2:$F$1121=$B112)*('GHG Emission'!$I$2:$I$1121=$E112)*('GHG Emission'!$J$2:$J$1121=$F112)*('GHG Emission'!$K$2:$K$1121=AJ$1),0))+AK112/$BI112*INDEX('GHG Emission'!$C$2:$C$1121,MATCH(1,('GHG Emission'!$D$2:$D$1121=$D112)*('GHG Emission'!$E$2:$E$1121=$C112)*('GHG Emission'!$F$2:$F$1121=$B112)*('GHG Emission'!$I$2:$I$1121=$E112)*('GHG Emission'!$J$2:$J$1121=$F112)*('GHG Emission'!$K$2:$K$1121=AK$1),0))+AL112/$BI112*INDEX('GHG Emission'!$C$2:$C$1121,MATCH(1,('GHG Emission'!$D$2:$D$1121=$D112)*('GHG Emission'!$E$2:$E$1121=$C112)*('GHG Emission'!$F$2:$F$1121=$B112)*('GHG Emission'!$I$2:$I$1121=$E112)*('GHG Emission'!$J$2:$J$1121=$F112)*('GHG Emission'!$K$2:$K$1121=AL$1),0))+AM112/$BI112*INDEX('GHG Emission'!$C$2:$C$1121,MATCH(1,('GHG Emission'!$D$2:$D$1121=$D112)*('GHG Emission'!$E$2:$E$1121=$C112)*('GHG Emission'!$F$2:$F$1121=$B112)*('GHG Emission'!$I$2:$I$1121=$E112)*('GHG Emission'!$J$2:$J$1121=$F112)*('GHG Emission'!$K$2:$K$1121=AM$1),0))</f>
        <v>28.972041861885803</v>
      </c>
      <c r="BM112" t="str">
        <f t="shared" si="15"/>
        <v>LIGHT/SWEET</v>
      </c>
    </row>
    <row r="113" spans="1:65" hidden="1" x14ac:dyDescent="0.25">
      <c r="A113">
        <v>112</v>
      </c>
      <c r="B113" t="s">
        <v>471</v>
      </c>
      <c r="C113">
        <v>2050</v>
      </c>
      <c r="D113">
        <v>4</v>
      </c>
      <c r="E113" t="s">
        <v>469</v>
      </c>
      <c r="F113" t="s">
        <v>468</v>
      </c>
      <c r="G113">
        <v>82.286607396377974</v>
      </c>
      <c r="H113">
        <v>31.714904585976345</v>
      </c>
      <c r="I113">
        <v>103.12320037306165</v>
      </c>
      <c r="J113">
        <v>24.912136029174665</v>
      </c>
      <c r="K113">
        <v>5.489384803663925</v>
      </c>
      <c r="L113">
        <v>2.5634089998782152</v>
      </c>
      <c r="M113">
        <v>0</v>
      </c>
      <c r="N113">
        <v>0</v>
      </c>
      <c r="O113">
        <v>0</v>
      </c>
      <c r="P113">
        <v>100.4205402980339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f t="shared" si="8"/>
        <v>350.51018248616668</v>
      </c>
      <c r="Y113">
        <f>X113*VLOOKUP($D113,'LinearReg Model'!$S$2:$T$6,2,FALSE)</f>
        <v>318.37807334495886</v>
      </c>
      <c r="Z113">
        <f t="shared" si="9"/>
        <v>0.23476238782200148</v>
      </c>
      <c r="AA113">
        <f t="shared" si="10"/>
        <v>0.294208857618941</v>
      </c>
      <c r="AB113">
        <f t="shared" si="11"/>
        <v>9.0482120550743242E-2</v>
      </c>
      <c r="AC113">
        <v>33.609676323697812</v>
      </c>
      <c r="AD113">
        <v>3.7883857319296892</v>
      </c>
      <c r="AE113" s="2">
        <f>VLOOKUP($D113,'MultiReg Model'!$A$5:$F$9,2,FALSE)+AC113*VLOOKUP($D113,'MultiReg Model'!$A$5:$F$9,3,FALSE)+Z113*VLOOKUP($D113,'MultiReg Model'!$A$5:$F$9,4,FALSE)+AA113*VLOOKUP($D113,'MultiReg Model'!$A$5:$F$9,5,FALSE)+AB113*VLOOKUP($D113,'MultiReg Model'!$A$5:$F$9,6,FALSE)</f>
        <v>6.6481103016829977</v>
      </c>
      <c r="AF113" cm="1">
        <f t="array" ref="AF113">MMULT($AG113:$AM113,'Avg CI Index'!$C$2:$C$8)/BI113</f>
        <v>6.6581103294058259</v>
      </c>
      <c r="AG113">
        <v>67.347741376179044</v>
      </c>
      <c r="AH113">
        <v>208.03299570310043</v>
      </c>
      <c r="AI113">
        <v>0</v>
      </c>
      <c r="AJ113">
        <v>0.14721016045558455</v>
      </c>
      <c r="AK113">
        <v>41.677433065274414</v>
      </c>
      <c r="AL113">
        <v>0</v>
      </c>
      <c r="AM113">
        <v>0.20156596162119694</v>
      </c>
      <c r="AN113" cm="1">
        <f t="array" ref="AN113">$Y113*INDEX(RefCapacity!$D$2:$D$526,MATCH(1,(RefCapacity!$A$2:$A$526=RefCapacityProj!$D113)*(RefCapacity!$B$2:$B$526=2019)*(RefCapacity!$C$2:$C$526=AG$1),0))/SUMIFS(RefCapacity!$D$2:$D$526,RefCapacity!$A$2:$A$526,RefCapacityProj!$D113,RefCapacity!$B$2:$B$526,2019)</f>
        <v>6.9384039391580323</v>
      </c>
      <c r="AO113" cm="1">
        <f t="array" ref="AO113">$Y113*INDEX(RefCapacity!$D$2:$D$526,MATCH(1,(RefCapacity!$A$2:$A$526=RefCapacityProj!$D113)*(RefCapacity!$B$2:$B$526=2019)*(RefCapacity!$C$2:$C$526=AH$1),0))/SUMIFS(RefCapacity!$D$2:$D$526,RefCapacity!$A$2:$A$526,RefCapacityProj!$D113,RefCapacity!$B$2:$B$526,2019)</f>
        <v>107.55340199351907</v>
      </c>
      <c r="AP113" cm="1">
        <f t="array" ref="AP113">$Y113*INDEX(RefCapacity!$D$2:$D$526,MATCH(1,(RefCapacity!$A$2:$A$526=RefCapacityProj!$D113)*(RefCapacity!$B$2:$B$526=2019)*(RefCapacity!$C$2:$C$526=AI$1),0))/SUMIFS(RefCapacity!$D$2:$D$526,RefCapacity!$A$2:$A$526,RefCapacityProj!$D113,RefCapacity!$B$2:$B$526,2019)</f>
        <v>0</v>
      </c>
      <c r="AQ113" cm="1">
        <f t="array" ref="AQ113">$Y113*INDEX(RefCapacity!$D$2:$D$526,MATCH(1,(RefCapacity!$A$2:$A$526=RefCapacityProj!$D113)*(RefCapacity!$B$2:$B$526=2019)*(RefCapacity!$C$2:$C$526=AJ$1),0))/SUMIFS(RefCapacity!$D$2:$D$526,RefCapacity!$A$2:$A$526,RefCapacityProj!$D113,RefCapacity!$B$2:$B$526,2019)</f>
        <v>33.763952926858195</v>
      </c>
      <c r="AR113" cm="1">
        <f t="array" ref="AR113">$Y113*INDEX(RefCapacity!$D$2:$D$526,MATCH(1,(RefCapacity!$A$2:$A$526=RefCapacityProj!$D113)*(RefCapacity!$B$2:$B$526=2019)*(RefCapacity!$C$2:$C$526=AK$1),0))/SUMIFS(RefCapacity!$D$2:$D$526,RefCapacity!$A$2:$A$526,RefCapacityProj!$D113,RefCapacity!$B$2:$B$526,2019)</f>
        <v>102.55021497604375</v>
      </c>
      <c r="AS113" cm="1">
        <f t="array" ref="AS113">$Y113*INDEX(RefCapacity!$D$2:$D$526,MATCH(1,(RefCapacity!$A$2:$A$526=RefCapacityProj!$D113)*(RefCapacity!$B$2:$B$526=2019)*(RefCapacity!$C$2:$C$526=AL$1),0))/SUMIFS(RefCapacity!$D$2:$D$526,RefCapacity!$A$2:$A$526,RefCapacityProj!$D113,RefCapacity!$B$2:$B$526,2019)</f>
        <v>0</v>
      </c>
      <c r="AT113" cm="1">
        <f t="array" ref="AT113">$Y113*INDEX(RefCapacity!$D$2:$D$526,MATCH(1,(RefCapacity!$A$2:$A$526=RefCapacityProj!$D113)*(RefCapacity!$B$2:$B$526=2019)*(RefCapacity!$C$2:$C$526=AM$1),0))/SUMIFS(RefCapacity!$D$2:$D$526,RefCapacity!$A$2:$A$526,RefCapacityProj!$D113,RefCapacity!$B$2:$B$526,2019)</f>
        <v>67.572099509379811</v>
      </c>
      <c r="AU113" cm="1">
        <f t="array" ref="AU113">INDEX(RefCapacity!$D$2:$D$526,MATCH(1,(RefCapacity!$A$2:$A$526=RefCapacityProj!$D113)*(RefCapacity!$B$2:$B$526=2019)*(RefCapacity!$C$2:$C$526=RefCapacityProj!AG$1),0))*IF($C113=2035,1+VLOOKUP(AG$1,RefCapacity!$H$2:$L$8,2,FALSE),1+VLOOKUP(AG$1,RefCapacity!$H$2:$L$8,4,FALSE))</f>
        <v>67.579418148848575</v>
      </c>
      <c r="AV113" cm="1">
        <f t="array" ref="AV113">INDEX(RefCapacity!$D$2:$D$526,MATCH(1,(RefCapacity!$A$2:$A$526=RefCapacityProj!$D113)*(RefCapacity!$B$2:$B$526=2019)*(RefCapacity!$C$2:$C$526=RefCapacityProj!AH$1),0))*IF($C113=2035,1+VLOOKUP(AH$1,RefCapacity!$H$2:$L$8,2,FALSE),1+VLOOKUP(AH$1,RefCapacity!$H$2:$L$8,4,FALSE))</f>
        <v>392.11356943453399</v>
      </c>
      <c r="AW113" cm="1">
        <f t="array" ref="AW113">INDEX(RefCapacity!$D$2:$D$526,MATCH(1,(RefCapacity!$A$2:$A$526=RefCapacityProj!$D113)*(RefCapacity!$B$2:$B$526=2019)*(RefCapacity!$C$2:$C$526=RefCapacityProj!AI$1),0))*IF($C113=2035,1+VLOOKUP(AI$1,RefCapacity!$H$2:$L$8,2,FALSE),1+VLOOKUP(AI$1,RefCapacity!$H$2:$L$8,4,FALSE))</f>
        <v>0</v>
      </c>
      <c r="AX113" cm="1">
        <f t="array" ref="AX113">INDEX(RefCapacity!$D$2:$D$526,MATCH(1,(RefCapacity!$A$2:$A$526=RefCapacityProj!$D113)*(RefCapacity!$B$2:$B$526=2019)*(RefCapacity!$C$2:$C$526=RefCapacityProj!AJ$1),0))*IF($C113=2035,1+VLOOKUP(AJ$1,RefCapacity!$H$2:$L$8,2,FALSE),1+VLOOKUP(AJ$1,RefCapacity!$H$2:$L$8,4,FALSE))</f>
        <v>205.34948717948717</v>
      </c>
      <c r="AY113" cm="1">
        <f t="array" ref="AY113">INDEX(RefCapacity!$D$2:$D$526,MATCH(1,(RefCapacity!$A$2:$A$526=RefCapacityProj!$D113)*(RefCapacity!$B$2:$B$526=2019)*(RefCapacity!$C$2:$C$526=RefCapacityProj!AK$1),0))*IF($C113=2035,1+VLOOKUP(AK$1,RefCapacity!$H$2:$L$8,2,FALSE),1+VLOOKUP(AK$1,RefCapacity!$H$2:$L$8,4,FALSE))</f>
        <v>326.97872076761655</v>
      </c>
      <c r="AZ113" cm="1">
        <f t="array" ref="AZ113">INDEX(RefCapacity!$D$2:$D$526,MATCH(1,(RefCapacity!$A$2:$A$526=RefCapacityProj!$D113)*(RefCapacity!$B$2:$B$526=2019)*(RefCapacity!$C$2:$C$526=RefCapacityProj!AL$1),0))*IF($C113=2035,1+VLOOKUP(AL$1,RefCapacity!$H$2:$L$8,2,FALSE),1+VLOOKUP(AL$1,RefCapacity!$H$2:$L$8,4,FALSE))</f>
        <v>0</v>
      </c>
      <c r="BA113" cm="1">
        <f t="array" ref="BA113">INDEX(RefCapacity!$D$2:$D$526,MATCH(1,(RefCapacity!$A$2:$A$526=RefCapacityProj!$D113)*(RefCapacity!$B$2:$B$526=2019)*(RefCapacity!$C$2:$C$526=RefCapacityProj!AM$1),0))*IF($C113=2035,1+VLOOKUP(AM$1,RefCapacity!$H$2:$L$8,2,FALSE),1+VLOOKUP(AM$1,RefCapacity!$H$2:$L$8,4,FALSE))</f>
        <v>156.70550927880672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f t="shared" si="12"/>
        <v>317.40694626663071</v>
      </c>
      <c r="BJ113">
        <f t="shared" si="13"/>
        <v>0.97112707832815204</v>
      </c>
      <c r="BK113">
        <f t="shared" si="14"/>
        <v>1.0000027722828264E-2</v>
      </c>
      <c r="BL113" cm="1">
        <f t="array" ref="BL113">AG113/$BI113*INDEX('GHG Emission'!$C$2:$C$1121,MATCH(1,('GHG Emission'!$D$2:$D$1121=$D113)*('GHG Emission'!$E$2:$E$1121=$C113)*('GHG Emission'!$F$2:$F$1121=$B113)*('GHG Emission'!$I$2:$I$1121=$E113)*('GHG Emission'!$J$2:$J$1121=$F113)*('GHG Emission'!$K$2:$K$1121=AG$1),0))+AH113/$BI113*INDEX('GHG Emission'!$C$2:$C$1121,MATCH(1,('GHG Emission'!$D$2:$D$1121=$D113)*('GHG Emission'!$E$2:$E$1121=$C113)*('GHG Emission'!$F$2:$F$1121=$B113)*('GHG Emission'!$I$2:$I$1121=$E113)*('GHG Emission'!$J$2:$J$1121=$F113)*('GHG Emission'!$K$2:$K$1121=AH$1),0))+AI113/$BI113*INDEX('GHG Emission'!$C$2:$C$1121,MATCH(1,('GHG Emission'!$D$2:$D$1121=$D113)*('GHG Emission'!$E$2:$E$1121=$C113)*('GHG Emission'!$F$2:$F$1121=$B113)*('GHG Emission'!$I$2:$I$1121=$E113)*('GHG Emission'!$J$2:$J$1121=$F113)*('GHG Emission'!$K$2:$K$1121=AI$1),0))+AJ113/$BI113*INDEX('GHG Emission'!$C$2:$C$1121,MATCH(1,('GHG Emission'!$D$2:$D$1121=$D113)*('GHG Emission'!$E$2:$E$1121=$C113)*('GHG Emission'!$F$2:$F$1121=$B113)*('GHG Emission'!$I$2:$I$1121=$E113)*('GHG Emission'!$J$2:$J$1121=$F113)*('GHG Emission'!$K$2:$K$1121=AJ$1),0))+AK113/$BI113*INDEX('GHG Emission'!$C$2:$C$1121,MATCH(1,('GHG Emission'!$D$2:$D$1121=$D113)*('GHG Emission'!$E$2:$E$1121=$C113)*('GHG Emission'!$F$2:$F$1121=$B113)*('GHG Emission'!$I$2:$I$1121=$E113)*('GHG Emission'!$J$2:$J$1121=$F113)*('GHG Emission'!$K$2:$K$1121=AK$1),0))+AL113/$BI113*INDEX('GHG Emission'!$C$2:$C$1121,MATCH(1,('GHG Emission'!$D$2:$D$1121=$D113)*('GHG Emission'!$E$2:$E$1121=$C113)*('GHG Emission'!$F$2:$F$1121=$B113)*('GHG Emission'!$I$2:$I$1121=$E113)*('GHG Emission'!$J$2:$J$1121=$F113)*('GHG Emission'!$K$2:$K$1121=AL$1),0))+AM113/$BI113*INDEX('GHG Emission'!$C$2:$C$1121,MATCH(1,('GHG Emission'!$D$2:$D$1121=$D113)*('GHG Emission'!$E$2:$E$1121=$C113)*('GHG Emission'!$F$2:$F$1121=$B113)*('GHG Emission'!$I$2:$I$1121=$E113)*('GHG Emission'!$J$2:$J$1121=$F113)*('GHG Emission'!$K$2:$K$1121=AM$1),0))</f>
        <v>27.411257797913972</v>
      </c>
      <c r="BM113" t="str">
        <f t="shared" si="15"/>
        <v>LIGHT/SOUR</v>
      </c>
    </row>
    <row r="114" spans="1:65" hidden="1" x14ac:dyDescent="0.25">
      <c r="A114">
        <v>113</v>
      </c>
      <c r="B114" t="s">
        <v>471</v>
      </c>
      <c r="C114">
        <v>2035</v>
      </c>
      <c r="D114">
        <v>5</v>
      </c>
      <c r="E114" t="s">
        <v>466</v>
      </c>
      <c r="F114" t="s">
        <v>467</v>
      </c>
      <c r="G114">
        <v>956.75398005601301</v>
      </c>
      <c r="H114">
        <v>326.96315130646633</v>
      </c>
      <c r="I114">
        <v>672.267463270289</v>
      </c>
      <c r="J114">
        <v>353.13320077502198</v>
      </c>
      <c r="K114">
        <v>353.7995949044448</v>
      </c>
      <c r="L114">
        <v>26.363897406863835</v>
      </c>
      <c r="M114">
        <v>0</v>
      </c>
      <c r="N114">
        <v>0</v>
      </c>
      <c r="O114">
        <v>0</v>
      </c>
      <c r="P114">
        <v>48.123433515785095</v>
      </c>
      <c r="Q114">
        <v>0</v>
      </c>
      <c r="R114">
        <v>0</v>
      </c>
      <c r="S114">
        <v>0</v>
      </c>
      <c r="T114">
        <v>25.261154693326308</v>
      </c>
      <c r="U114">
        <v>0</v>
      </c>
      <c r="V114">
        <v>0</v>
      </c>
      <c r="W114">
        <v>0</v>
      </c>
      <c r="X114">
        <f t="shared" si="8"/>
        <v>2762.6658759282104</v>
      </c>
      <c r="Y114">
        <f>X114*VLOOKUP($D114,'LinearReg Model'!$S$2:$T$6,2,FALSE)</f>
        <v>2203.4767368148646</v>
      </c>
      <c r="Z114">
        <f t="shared" si="9"/>
        <v>0.3463154876572106</v>
      </c>
      <c r="AA114">
        <f t="shared" si="10"/>
        <v>0.24334012633518998</v>
      </c>
      <c r="AB114">
        <f t="shared" si="11"/>
        <v>0.11835059539967427</v>
      </c>
      <c r="AC114">
        <v>28.769370330956527</v>
      </c>
      <c r="AD114">
        <v>1.439026873673878</v>
      </c>
      <c r="AE114" s="2">
        <f>VLOOKUP($D114,'MultiReg Model'!$A$5:$F$9,2,FALSE)+AC114*VLOOKUP($D114,'MultiReg Model'!$A$5:$F$9,3,FALSE)+Z114*VLOOKUP($D114,'MultiReg Model'!$A$5:$F$9,4,FALSE)+AA114*VLOOKUP($D114,'MultiReg Model'!$A$5:$F$9,5,FALSE)+AB114*VLOOKUP($D114,'MultiReg Model'!$A$5:$F$9,6,FALSE)</f>
        <v>8.2251314263199653</v>
      </c>
      <c r="AF114" cm="1">
        <f t="array" ref="AF114">MMULT($AG114:$AM114,'Avg CI Index'!$C$2:$C$8)/BI114</f>
        <v>8.2351314785384062</v>
      </c>
      <c r="AG114">
        <v>460.53089753752039</v>
      </c>
      <c r="AH114">
        <v>230.32383304914859</v>
      </c>
      <c r="AI114">
        <v>252.00298125934944</v>
      </c>
      <c r="AJ114">
        <v>126.94147992352545</v>
      </c>
      <c r="AK114">
        <v>83.649053873070486</v>
      </c>
      <c r="AL114">
        <v>171.2652519992796</v>
      </c>
      <c r="AM114">
        <v>897.58063646305095</v>
      </c>
      <c r="AN114" cm="1">
        <f t="array" ref="AN114">$Y114*INDEX(RefCapacity!$D$2:$D$526,MATCH(1,(RefCapacity!$A$2:$A$526=RefCapacityProj!$D114)*(RefCapacity!$B$2:$B$526=2019)*(RefCapacity!$C$2:$C$526=AG$1),0))/SUMIFS(RefCapacity!$D$2:$D$526,RefCapacity!$A$2:$A$526,RefCapacityProj!$D114,RefCapacity!$B$2:$B$526,2019)</f>
        <v>149.57960625848457</v>
      </c>
      <c r="AO114" cm="1">
        <f t="array" ref="AO114">$Y114*INDEX(RefCapacity!$D$2:$D$526,MATCH(1,(RefCapacity!$A$2:$A$526=RefCapacityProj!$D114)*(RefCapacity!$B$2:$B$526=2019)*(RefCapacity!$C$2:$C$526=AH$1),0))/SUMIFS(RefCapacity!$D$2:$D$526,RefCapacity!$A$2:$A$526,RefCapacityProj!$D114,RefCapacity!$B$2:$B$526,2019)</f>
        <v>171.62674760865946</v>
      </c>
      <c r="AP114" cm="1">
        <f t="array" ref="AP114">$Y114*INDEX(RefCapacity!$D$2:$D$526,MATCH(1,(RefCapacity!$A$2:$A$526=RefCapacityProj!$D114)*(RefCapacity!$B$2:$B$526=2019)*(RefCapacity!$C$2:$C$526=AI$1),0))/SUMIFS(RefCapacity!$D$2:$D$526,RefCapacity!$A$2:$A$526,RefCapacityProj!$D114,RefCapacity!$B$2:$B$526,2019)</f>
        <v>186.75901665004795</v>
      </c>
      <c r="AQ114" cm="1">
        <f t="array" ref="AQ114">$Y114*INDEX(RefCapacity!$D$2:$D$526,MATCH(1,(RefCapacity!$A$2:$A$526=RefCapacityProj!$D114)*(RefCapacity!$B$2:$B$526=2019)*(RefCapacity!$C$2:$C$526=AJ$1),0))/SUMIFS(RefCapacity!$D$2:$D$526,RefCapacity!$A$2:$A$526,RefCapacityProj!$D114,RefCapacity!$B$2:$B$526,2019)</f>
        <v>196.91104524743517</v>
      </c>
      <c r="AR114" cm="1">
        <f t="array" ref="AR114">$Y114*INDEX(RefCapacity!$D$2:$D$526,MATCH(1,(RefCapacity!$A$2:$A$526=RefCapacityProj!$D114)*(RefCapacity!$B$2:$B$526=2019)*(RefCapacity!$C$2:$C$526=AK$1),0))/SUMIFS(RefCapacity!$D$2:$D$526,RefCapacity!$A$2:$A$526,RefCapacityProj!$D114,RefCapacity!$B$2:$B$526,2019)</f>
        <v>171.77998577616719</v>
      </c>
      <c r="AS114" cm="1">
        <f t="array" ref="AS114">$Y114*INDEX(RefCapacity!$D$2:$D$526,MATCH(1,(RefCapacity!$A$2:$A$526=RefCapacityProj!$D114)*(RefCapacity!$B$2:$B$526=2019)*(RefCapacity!$C$2:$C$526=AL$1),0))/SUMIFS(RefCapacity!$D$2:$D$526,RefCapacity!$A$2:$A$526,RefCapacityProj!$D114,RefCapacity!$B$2:$B$526,2019)</f>
        <v>274.64110571573207</v>
      </c>
      <c r="AT114" cm="1">
        <f t="array" ref="AT114">$Y114*INDEX(RefCapacity!$D$2:$D$526,MATCH(1,(RefCapacity!$A$2:$A$526=RefCapacityProj!$D114)*(RefCapacity!$B$2:$B$526=2019)*(RefCapacity!$C$2:$C$526=AM$1),0))/SUMIFS(RefCapacity!$D$2:$D$526,RefCapacity!$A$2:$A$526,RefCapacityProj!$D114,RefCapacity!$B$2:$B$526,2019)</f>
        <v>1052.179229558338</v>
      </c>
      <c r="AU114" cm="1">
        <f t="array" ref="AU114">INDEX(RefCapacity!$D$2:$D$526,MATCH(1,(RefCapacity!$A$2:$A$526=RefCapacityProj!$D114)*(RefCapacity!$B$2:$B$526=2019)*(RefCapacity!$C$2:$C$526=RefCapacityProj!AG$1),0))*IF($C114=2035,1+VLOOKUP(AG$1,RefCapacity!$H$2:$L$8,2,FALSE),1+VLOOKUP(AG$1,RefCapacity!$H$2:$L$8,4,FALSE))</f>
        <v>539.89181304421595</v>
      </c>
      <c r="AV114" cm="1">
        <f t="array" ref="AV114">INDEX(RefCapacity!$D$2:$D$526,MATCH(1,(RefCapacity!$A$2:$A$526=RefCapacityProj!$D114)*(RefCapacity!$B$2:$B$526=2019)*(RefCapacity!$C$2:$C$526=RefCapacityProj!AH$1),0))*IF($C114=2035,1+VLOOKUP(AH$1,RefCapacity!$H$2:$L$8,2,FALSE),1+VLOOKUP(AH$1,RefCapacity!$H$2:$L$8,4,FALSE))</f>
        <v>301.95121010669465</v>
      </c>
      <c r="AW114" cm="1">
        <f t="array" ref="AW114">INDEX(RefCapacity!$D$2:$D$526,MATCH(1,(RefCapacity!$A$2:$A$526=RefCapacityProj!$D114)*(RefCapacity!$B$2:$B$526=2019)*(RefCapacity!$C$2:$C$526=RefCapacityProj!AI$1),0))*IF($C114=2035,1+VLOOKUP(AI$1,RefCapacity!$H$2:$L$8,2,FALSE),1+VLOOKUP(AI$1,RefCapacity!$H$2:$L$8,4,FALSE))</f>
        <v>252.01742847049914</v>
      </c>
      <c r="AX114" cm="1">
        <f t="array" ref="AX114">INDEX(RefCapacity!$D$2:$D$526,MATCH(1,(RefCapacity!$A$2:$A$526=RefCapacityProj!$D114)*(RefCapacity!$B$2:$B$526=2019)*(RefCapacity!$C$2:$C$526=RefCapacityProj!AJ$1),0))*IF($C114=2035,1+VLOOKUP(AJ$1,RefCapacity!$H$2:$L$8,2,FALSE),1+VLOOKUP(AJ$1,RefCapacity!$H$2:$L$8,4,FALSE))</f>
        <v>492.06309041835357</v>
      </c>
      <c r="AY114" cm="1">
        <f t="array" ref="AY114">INDEX(RefCapacity!$D$2:$D$526,MATCH(1,(RefCapacity!$A$2:$A$526=RefCapacityProj!$D114)*(RefCapacity!$B$2:$B$526=2019)*(RefCapacity!$C$2:$C$526=RefCapacityProj!AK$1),0))*IF($C114=2035,1+VLOOKUP(AK$1,RefCapacity!$H$2:$L$8,2,FALSE),1+VLOOKUP(AK$1,RefCapacity!$H$2:$L$8,4,FALSE))</f>
        <v>278.3741935541737</v>
      </c>
      <c r="AZ114" cm="1">
        <f t="array" ref="AZ114">INDEX(RefCapacity!$D$2:$D$526,MATCH(1,(RefCapacity!$A$2:$A$526=RefCapacityProj!$D114)*(RefCapacity!$B$2:$B$526=2019)*(RefCapacity!$C$2:$C$526=RefCapacityProj!AL$1),0))*IF($C114=2035,1+VLOOKUP(AL$1,RefCapacity!$H$2:$L$8,2,FALSE),1+VLOOKUP(AL$1,RefCapacity!$H$2:$L$8,4,FALSE))</f>
        <v>505.88851674641143</v>
      </c>
      <c r="BA114" cm="1">
        <f t="array" ref="BA114">INDEX(RefCapacity!$D$2:$D$526,MATCH(1,(RefCapacity!$A$2:$A$526=RefCapacityProj!$D114)*(RefCapacity!$B$2:$B$526=2019)*(RefCapacity!$C$2:$C$526=RefCapacityProj!AM$1),0))*IF($C114=2035,1+VLOOKUP(AM$1,RefCapacity!$H$2:$L$8,2,FALSE),1+VLOOKUP(AM$1,RefCapacity!$H$2:$L$8,4,FALSE))</f>
        <v>1427.387315315184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f t="shared" si="12"/>
        <v>2222.294134104945</v>
      </c>
      <c r="BJ114">
        <f t="shared" si="13"/>
        <v>18.817397290080407</v>
      </c>
      <c r="BK114">
        <f t="shared" si="14"/>
        <v>1.0000052218440914E-2</v>
      </c>
      <c r="BL114" cm="1">
        <f t="array" ref="BL114">AG114/$BI114*INDEX('GHG Emission'!$C$2:$C$1121,MATCH(1,('GHG Emission'!$D$2:$D$1121=$D114)*('GHG Emission'!$E$2:$E$1121=$C114)*('GHG Emission'!$F$2:$F$1121=$B114)*('GHG Emission'!$I$2:$I$1121=$E114)*('GHG Emission'!$J$2:$J$1121=$F114)*('GHG Emission'!$K$2:$K$1121=AG$1),0))+AH114/$BI114*INDEX('GHG Emission'!$C$2:$C$1121,MATCH(1,('GHG Emission'!$D$2:$D$1121=$D114)*('GHG Emission'!$E$2:$E$1121=$C114)*('GHG Emission'!$F$2:$F$1121=$B114)*('GHG Emission'!$I$2:$I$1121=$E114)*('GHG Emission'!$J$2:$J$1121=$F114)*('GHG Emission'!$K$2:$K$1121=AH$1),0))+AI114/$BI114*INDEX('GHG Emission'!$C$2:$C$1121,MATCH(1,('GHG Emission'!$D$2:$D$1121=$D114)*('GHG Emission'!$E$2:$E$1121=$C114)*('GHG Emission'!$F$2:$F$1121=$B114)*('GHG Emission'!$I$2:$I$1121=$E114)*('GHG Emission'!$J$2:$J$1121=$F114)*('GHG Emission'!$K$2:$K$1121=AI$1),0))+AJ114/$BI114*INDEX('GHG Emission'!$C$2:$C$1121,MATCH(1,('GHG Emission'!$D$2:$D$1121=$D114)*('GHG Emission'!$E$2:$E$1121=$C114)*('GHG Emission'!$F$2:$F$1121=$B114)*('GHG Emission'!$I$2:$I$1121=$E114)*('GHG Emission'!$J$2:$J$1121=$F114)*('GHG Emission'!$K$2:$K$1121=AJ$1),0))+AK114/$BI114*INDEX('GHG Emission'!$C$2:$C$1121,MATCH(1,('GHG Emission'!$D$2:$D$1121=$D114)*('GHG Emission'!$E$2:$E$1121=$C114)*('GHG Emission'!$F$2:$F$1121=$B114)*('GHG Emission'!$I$2:$I$1121=$E114)*('GHG Emission'!$J$2:$J$1121=$F114)*('GHG Emission'!$K$2:$K$1121=AK$1),0))+AL114/$BI114*INDEX('GHG Emission'!$C$2:$C$1121,MATCH(1,('GHG Emission'!$D$2:$D$1121=$D114)*('GHG Emission'!$E$2:$E$1121=$C114)*('GHG Emission'!$F$2:$F$1121=$B114)*('GHG Emission'!$I$2:$I$1121=$E114)*('GHG Emission'!$J$2:$J$1121=$F114)*('GHG Emission'!$K$2:$K$1121=AL$1),0))+AM114/$BI114*INDEX('GHG Emission'!$C$2:$C$1121,MATCH(1,('GHG Emission'!$D$2:$D$1121=$D114)*('GHG Emission'!$E$2:$E$1121=$C114)*('GHG Emission'!$F$2:$F$1121=$B114)*('GHG Emission'!$I$2:$I$1121=$E114)*('GHG Emission'!$J$2:$J$1121=$F114)*('GHG Emission'!$K$2:$K$1121=AM$1),0))</f>
        <v>35.205316419857319</v>
      </c>
      <c r="BM114" t="str">
        <f t="shared" si="15"/>
        <v>HEAVY/SWEET</v>
      </c>
    </row>
    <row r="115" spans="1:65" hidden="1" x14ac:dyDescent="0.25">
      <c r="A115">
        <v>114</v>
      </c>
      <c r="B115" t="s">
        <v>471</v>
      </c>
      <c r="C115">
        <v>2035</v>
      </c>
      <c r="D115">
        <v>5</v>
      </c>
      <c r="E115" t="s">
        <v>466</v>
      </c>
      <c r="F115" t="s">
        <v>468</v>
      </c>
      <c r="G115">
        <v>956.75398005601301</v>
      </c>
      <c r="H115">
        <v>326.96315130646633</v>
      </c>
      <c r="I115">
        <v>672.267463270289</v>
      </c>
      <c r="J115">
        <v>353.13320077502198</v>
      </c>
      <c r="K115">
        <v>353.7995949044448</v>
      </c>
      <c r="L115">
        <v>26.363897406863835</v>
      </c>
      <c r="M115">
        <v>0</v>
      </c>
      <c r="N115">
        <v>0</v>
      </c>
      <c r="O115">
        <v>0</v>
      </c>
      <c r="P115">
        <v>48.123433515785095</v>
      </c>
      <c r="Q115">
        <v>0</v>
      </c>
      <c r="R115">
        <v>0</v>
      </c>
      <c r="S115">
        <v>0</v>
      </c>
      <c r="T115">
        <v>25.261154693326308</v>
      </c>
      <c r="U115">
        <v>0</v>
      </c>
      <c r="V115">
        <v>0</v>
      </c>
      <c r="W115">
        <v>0</v>
      </c>
      <c r="X115">
        <f t="shared" si="8"/>
        <v>2762.6658759282104</v>
      </c>
      <c r="Y115">
        <f>X115*VLOOKUP($D115,'LinearReg Model'!$S$2:$T$6,2,FALSE)</f>
        <v>2203.4767368148646</v>
      </c>
      <c r="Z115">
        <f t="shared" si="9"/>
        <v>0.3463154876572106</v>
      </c>
      <c r="AA115">
        <f t="shared" si="10"/>
        <v>0.24334012633518998</v>
      </c>
      <c r="AB115">
        <f t="shared" si="11"/>
        <v>0.11835059539967427</v>
      </c>
      <c r="AC115">
        <v>28.769370330956527</v>
      </c>
      <c r="AD115">
        <v>1.664030724437416</v>
      </c>
      <c r="AE115" s="2">
        <f>VLOOKUP($D115,'MultiReg Model'!$A$5:$F$9,2,FALSE)+AC115*VLOOKUP($D115,'MultiReg Model'!$A$5:$F$9,3,FALSE)+Z115*VLOOKUP($D115,'MultiReg Model'!$A$5:$F$9,4,FALSE)+AA115*VLOOKUP($D115,'MultiReg Model'!$A$5:$F$9,5,FALSE)+AB115*VLOOKUP($D115,'MultiReg Model'!$A$5:$F$9,6,FALSE)</f>
        <v>8.2251314263199653</v>
      </c>
      <c r="AF115" cm="1">
        <f t="array" ref="AF115">MMULT($AG115:$AM115,'Avg CI Index'!$C$2:$C$8)/BI115</f>
        <v>8.2351314785384062</v>
      </c>
      <c r="AG115">
        <v>460.53089753752039</v>
      </c>
      <c r="AH115">
        <v>230.32383304914859</v>
      </c>
      <c r="AI115">
        <v>252.00298125934944</v>
      </c>
      <c r="AJ115">
        <v>126.94147992352545</v>
      </c>
      <c r="AK115">
        <v>83.649053873070486</v>
      </c>
      <c r="AL115">
        <v>171.2652519992796</v>
      </c>
      <c r="AM115">
        <v>897.58063646305095</v>
      </c>
      <c r="AN115" cm="1">
        <f t="array" ref="AN115">$Y115*INDEX(RefCapacity!$D$2:$D$526,MATCH(1,(RefCapacity!$A$2:$A$526=RefCapacityProj!$D115)*(RefCapacity!$B$2:$B$526=2019)*(RefCapacity!$C$2:$C$526=AG$1),0))/SUMIFS(RefCapacity!$D$2:$D$526,RefCapacity!$A$2:$A$526,RefCapacityProj!$D115,RefCapacity!$B$2:$B$526,2019)</f>
        <v>149.57960625848457</v>
      </c>
      <c r="AO115" cm="1">
        <f t="array" ref="AO115">$Y115*INDEX(RefCapacity!$D$2:$D$526,MATCH(1,(RefCapacity!$A$2:$A$526=RefCapacityProj!$D115)*(RefCapacity!$B$2:$B$526=2019)*(RefCapacity!$C$2:$C$526=AH$1),0))/SUMIFS(RefCapacity!$D$2:$D$526,RefCapacity!$A$2:$A$526,RefCapacityProj!$D115,RefCapacity!$B$2:$B$526,2019)</f>
        <v>171.62674760865946</v>
      </c>
      <c r="AP115" cm="1">
        <f t="array" ref="AP115">$Y115*INDEX(RefCapacity!$D$2:$D$526,MATCH(1,(RefCapacity!$A$2:$A$526=RefCapacityProj!$D115)*(RefCapacity!$B$2:$B$526=2019)*(RefCapacity!$C$2:$C$526=AI$1),0))/SUMIFS(RefCapacity!$D$2:$D$526,RefCapacity!$A$2:$A$526,RefCapacityProj!$D115,RefCapacity!$B$2:$B$526,2019)</f>
        <v>186.75901665004795</v>
      </c>
      <c r="AQ115" cm="1">
        <f t="array" ref="AQ115">$Y115*INDEX(RefCapacity!$D$2:$D$526,MATCH(1,(RefCapacity!$A$2:$A$526=RefCapacityProj!$D115)*(RefCapacity!$B$2:$B$526=2019)*(RefCapacity!$C$2:$C$526=AJ$1),0))/SUMIFS(RefCapacity!$D$2:$D$526,RefCapacity!$A$2:$A$526,RefCapacityProj!$D115,RefCapacity!$B$2:$B$526,2019)</f>
        <v>196.91104524743517</v>
      </c>
      <c r="AR115" cm="1">
        <f t="array" ref="AR115">$Y115*INDEX(RefCapacity!$D$2:$D$526,MATCH(1,(RefCapacity!$A$2:$A$526=RefCapacityProj!$D115)*(RefCapacity!$B$2:$B$526=2019)*(RefCapacity!$C$2:$C$526=AK$1),0))/SUMIFS(RefCapacity!$D$2:$D$526,RefCapacity!$A$2:$A$526,RefCapacityProj!$D115,RefCapacity!$B$2:$B$526,2019)</f>
        <v>171.77998577616719</v>
      </c>
      <c r="AS115" cm="1">
        <f t="array" ref="AS115">$Y115*INDEX(RefCapacity!$D$2:$D$526,MATCH(1,(RefCapacity!$A$2:$A$526=RefCapacityProj!$D115)*(RefCapacity!$B$2:$B$526=2019)*(RefCapacity!$C$2:$C$526=AL$1),0))/SUMIFS(RefCapacity!$D$2:$D$526,RefCapacity!$A$2:$A$526,RefCapacityProj!$D115,RefCapacity!$B$2:$B$526,2019)</f>
        <v>274.64110571573207</v>
      </c>
      <c r="AT115" cm="1">
        <f t="array" ref="AT115">$Y115*INDEX(RefCapacity!$D$2:$D$526,MATCH(1,(RefCapacity!$A$2:$A$526=RefCapacityProj!$D115)*(RefCapacity!$B$2:$B$526=2019)*(RefCapacity!$C$2:$C$526=AM$1),0))/SUMIFS(RefCapacity!$D$2:$D$526,RefCapacity!$A$2:$A$526,RefCapacityProj!$D115,RefCapacity!$B$2:$B$526,2019)</f>
        <v>1052.179229558338</v>
      </c>
      <c r="AU115" cm="1">
        <f t="array" ref="AU115">INDEX(RefCapacity!$D$2:$D$526,MATCH(1,(RefCapacity!$A$2:$A$526=RefCapacityProj!$D115)*(RefCapacity!$B$2:$B$526=2019)*(RefCapacity!$C$2:$C$526=RefCapacityProj!AG$1),0))*IF($C115=2035,1+VLOOKUP(AG$1,RefCapacity!$H$2:$L$8,2,FALSE),1+VLOOKUP(AG$1,RefCapacity!$H$2:$L$8,4,FALSE))</f>
        <v>539.89181304421595</v>
      </c>
      <c r="AV115" cm="1">
        <f t="array" ref="AV115">INDEX(RefCapacity!$D$2:$D$526,MATCH(1,(RefCapacity!$A$2:$A$526=RefCapacityProj!$D115)*(RefCapacity!$B$2:$B$526=2019)*(RefCapacity!$C$2:$C$526=RefCapacityProj!AH$1),0))*IF($C115=2035,1+VLOOKUP(AH$1,RefCapacity!$H$2:$L$8,2,FALSE),1+VLOOKUP(AH$1,RefCapacity!$H$2:$L$8,4,FALSE))</f>
        <v>301.95121010669465</v>
      </c>
      <c r="AW115" cm="1">
        <f t="array" ref="AW115">INDEX(RefCapacity!$D$2:$D$526,MATCH(1,(RefCapacity!$A$2:$A$526=RefCapacityProj!$D115)*(RefCapacity!$B$2:$B$526=2019)*(RefCapacity!$C$2:$C$526=RefCapacityProj!AI$1),0))*IF($C115=2035,1+VLOOKUP(AI$1,RefCapacity!$H$2:$L$8,2,FALSE),1+VLOOKUP(AI$1,RefCapacity!$H$2:$L$8,4,FALSE))</f>
        <v>252.01742847049914</v>
      </c>
      <c r="AX115" cm="1">
        <f t="array" ref="AX115">INDEX(RefCapacity!$D$2:$D$526,MATCH(1,(RefCapacity!$A$2:$A$526=RefCapacityProj!$D115)*(RefCapacity!$B$2:$B$526=2019)*(RefCapacity!$C$2:$C$526=RefCapacityProj!AJ$1),0))*IF($C115=2035,1+VLOOKUP(AJ$1,RefCapacity!$H$2:$L$8,2,FALSE),1+VLOOKUP(AJ$1,RefCapacity!$H$2:$L$8,4,FALSE))</f>
        <v>492.06309041835357</v>
      </c>
      <c r="AY115" cm="1">
        <f t="array" ref="AY115">INDEX(RefCapacity!$D$2:$D$526,MATCH(1,(RefCapacity!$A$2:$A$526=RefCapacityProj!$D115)*(RefCapacity!$B$2:$B$526=2019)*(RefCapacity!$C$2:$C$526=RefCapacityProj!AK$1),0))*IF($C115=2035,1+VLOOKUP(AK$1,RefCapacity!$H$2:$L$8,2,FALSE),1+VLOOKUP(AK$1,RefCapacity!$H$2:$L$8,4,FALSE))</f>
        <v>278.3741935541737</v>
      </c>
      <c r="AZ115" cm="1">
        <f t="array" ref="AZ115">INDEX(RefCapacity!$D$2:$D$526,MATCH(1,(RefCapacity!$A$2:$A$526=RefCapacityProj!$D115)*(RefCapacity!$B$2:$B$526=2019)*(RefCapacity!$C$2:$C$526=RefCapacityProj!AL$1),0))*IF($C115=2035,1+VLOOKUP(AL$1,RefCapacity!$H$2:$L$8,2,FALSE),1+VLOOKUP(AL$1,RefCapacity!$H$2:$L$8,4,FALSE))</f>
        <v>505.88851674641143</v>
      </c>
      <c r="BA115" cm="1">
        <f t="array" ref="BA115">INDEX(RefCapacity!$D$2:$D$526,MATCH(1,(RefCapacity!$A$2:$A$526=RefCapacityProj!$D115)*(RefCapacity!$B$2:$B$526=2019)*(RefCapacity!$C$2:$C$526=RefCapacityProj!AM$1),0))*IF($C115=2035,1+VLOOKUP(AM$1,RefCapacity!$H$2:$L$8,2,FALSE),1+VLOOKUP(AM$1,RefCapacity!$H$2:$L$8,4,FALSE))</f>
        <v>1427.387315315184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f t="shared" si="12"/>
        <v>2222.294134104945</v>
      </c>
      <c r="BJ115">
        <f t="shared" si="13"/>
        <v>18.817397290080407</v>
      </c>
      <c r="BK115">
        <f t="shared" si="14"/>
        <v>1.0000052218440914E-2</v>
      </c>
      <c r="BL115" cm="1">
        <f t="array" ref="BL115">AG115/$BI115*INDEX('GHG Emission'!$C$2:$C$1121,MATCH(1,('GHG Emission'!$D$2:$D$1121=$D115)*('GHG Emission'!$E$2:$E$1121=$C115)*('GHG Emission'!$F$2:$F$1121=$B115)*('GHG Emission'!$I$2:$I$1121=$E115)*('GHG Emission'!$J$2:$J$1121=$F115)*('GHG Emission'!$K$2:$K$1121=AG$1),0))+AH115/$BI115*INDEX('GHG Emission'!$C$2:$C$1121,MATCH(1,('GHG Emission'!$D$2:$D$1121=$D115)*('GHG Emission'!$E$2:$E$1121=$C115)*('GHG Emission'!$F$2:$F$1121=$B115)*('GHG Emission'!$I$2:$I$1121=$E115)*('GHG Emission'!$J$2:$J$1121=$F115)*('GHG Emission'!$K$2:$K$1121=AH$1),0))+AI115/$BI115*INDEX('GHG Emission'!$C$2:$C$1121,MATCH(1,('GHG Emission'!$D$2:$D$1121=$D115)*('GHG Emission'!$E$2:$E$1121=$C115)*('GHG Emission'!$F$2:$F$1121=$B115)*('GHG Emission'!$I$2:$I$1121=$E115)*('GHG Emission'!$J$2:$J$1121=$F115)*('GHG Emission'!$K$2:$K$1121=AI$1),0))+AJ115/$BI115*INDEX('GHG Emission'!$C$2:$C$1121,MATCH(1,('GHG Emission'!$D$2:$D$1121=$D115)*('GHG Emission'!$E$2:$E$1121=$C115)*('GHG Emission'!$F$2:$F$1121=$B115)*('GHG Emission'!$I$2:$I$1121=$E115)*('GHG Emission'!$J$2:$J$1121=$F115)*('GHG Emission'!$K$2:$K$1121=AJ$1),0))+AK115/$BI115*INDEX('GHG Emission'!$C$2:$C$1121,MATCH(1,('GHG Emission'!$D$2:$D$1121=$D115)*('GHG Emission'!$E$2:$E$1121=$C115)*('GHG Emission'!$F$2:$F$1121=$B115)*('GHG Emission'!$I$2:$I$1121=$E115)*('GHG Emission'!$J$2:$J$1121=$F115)*('GHG Emission'!$K$2:$K$1121=AK$1),0))+AL115/$BI115*INDEX('GHG Emission'!$C$2:$C$1121,MATCH(1,('GHG Emission'!$D$2:$D$1121=$D115)*('GHG Emission'!$E$2:$E$1121=$C115)*('GHG Emission'!$F$2:$F$1121=$B115)*('GHG Emission'!$I$2:$I$1121=$E115)*('GHG Emission'!$J$2:$J$1121=$F115)*('GHG Emission'!$K$2:$K$1121=AL$1),0))+AM115/$BI115*INDEX('GHG Emission'!$C$2:$C$1121,MATCH(1,('GHG Emission'!$D$2:$D$1121=$D115)*('GHG Emission'!$E$2:$E$1121=$C115)*('GHG Emission'!$F$2:$F$1121=$B115)*('GHG Emission'!$I$2:$I$1121=$E115)*('GHG Emission'!$J$2:$J$1121=$F115)*('GHG Emission'!$K$2:$K$1121=AM$1),0))</f>
        <v>34.282754454015006</v>
      </c>
      <c r="BM115" t="str">
        <f t="shared" si="15"/>
        <v>HEAVY/SOUR</v>
      </c>
    </row>
    <row r="116" spans="1:65" hidden="1" x14ac:dyDescent="0.25">
      <c r="A116">
        <v>115</v>
      </c>
      <c r="B116" t="s">
        <v>471</v>
      </c>
      <c r="C116">
        <v>2035</v>
      </c>
      <c r="D116">
        <v>5</v>
      </c>
      <c r="E116" t="s">
        <v>469</v>
      </c>
      <c r="F116" t="s">
        <v>467</v>
      </c>
      <c r="G116">
        <v>956.75398005601301</v>
      </c>
      <c r="H116">
        <v>326.96315130646633</v>
      </c>
      <c r="I116">
        <v>672.267463270289</v>
      </c>
      <c r="J116">
        <v>353.13320077502198</v>
      </c>
      <c r="K116">
        <v>353.7995949044448</v>
      </c>
      <c r="L116">
        <v>26.363897406863835</v>
      </c>
      <c r="M116">
        <v>0</v>
      </c>
      <c r="N116">
        <v>0</v>
      </c>
      <c r="O116">
        <v>0</v>
      </c>
      <c r="P116">
        <v>48.123433515785095</v>
      </c>
      <c r="Q116">
        <v>0</v>
      </c>
      <c r="R116">
        <v>0</v>
      </c>
      <c r="S116">
        <v>0</v>
      </c>
      <c r="T116">
        <v>25.261154693326308</v>
      </c>
      <c r="U116">
        <v>0</v>
      </c>
      <c r="V116">
        <v>0</v>
      </c>
      <c r="W116">
        <v>0</v>
      </c>
      <c r="X116">
        <f t="shared" si="8"/>
        <v>2762.6658759282104</v>
      </c>
      <c r="Y116">
        <f>X116*VLOOKUP($D116,'LinearReg Model'!$S$2:$T$6,2,FALSE)</f>
        <v>2203.4767368148646</v>
      </c>
      <c r="Z116">
        <f t="shared" si="9"/>
        <v>0.3463154876572106</v>
      </c>
      <c r="AA116">
        <f t="shared" si="10"/>
        <v>0.24334012633518998</v>
      </c>
      <c r="AB116">
        <f t="shared" si="11"/>
        <v>0.11835059539967427</v>
      </c>
      <c r="AC116">
        <v>31.950804958677317</v>
      </c>
      <c r="AD116">
        <v>1.439026873673878</v>
      </c>
      <c r="AE116" s="2">
        <f>VLOOKUP($D116,'MultiReg Model'!$A$5:$F$9,2,FALSE)+AC116*VLOOKUP($D116,'MultiReg Model'!$A$5:$F$9,3,FALSE)+Z116*VLOOKUP($D116,'MultiReg Model'!$A$5:$F$9,4,FALSE)+AA116*VLOOKUP($D116,'MultiReg Model'!$A$5:$F$9,5,FALSE)+AB116*VLOOKUP($D116,'MultiReg Model'!$A$5:$F$9,6,FALSE)</f>
        <v>8.8867797831066433</v>
      </c>
      <c r="AF116" cm="1">
        <f t="array" ref="AF116">MMULT($AG116:$AM116,'Avg CI Index'!$C$2:$C$8)/BI116</f>
        <v>8.8967797831227085</v>
      </c>
      <c r="AG116">
        <v>291.44018212638889</v>
      </c>
      <c r="AH116">
        <v>197.19224455891424</v>
      </c>
      <c r="AI116">
        <v>239.1699009526358</v>
      </c>
      <c r="AJ116">
        <v>163.14702742374243</v>
      </c>
      <c r="AK116">
        <v>129.63262005276886</v>
      </c>
      <c r="AL116">
        <v>225.47910638856581</v>
      </c>
      <c r="AM116">
        <v>979.41927430376052</v>
      </c>
      <c r="AN116" cm="1">
        <f t="array" ref="AN116">$Y116*INDEX(RefCapacity!$D$2:$D$526,MATCH(1,(RefCapacity!$A$2:$A$526=RefCapacityProj!$D116)*(RefCapacity!$B$2:$B$526=2019)*(RefCapacity!$C$2:$C$526=AG$1),0))/SUMIFS(RefCapacity!$D$2:$D$526,RefCapacity!$A$2:$A$526,RefCapacityProj!$D116,RefCapacity!$B$2:$B$526,2019)</f>
        <v>149.57960625848457</v>
      </c>
      <c r="AO116" cm="1">
        <f t="array" ref="AO116">$Y116*INDEX(RefCapacity!$D$2:$D$526,MATCH(1,(RefCapacity!$A$2:$A$526=RefCapacityProj!$D116)*(RefCapacity!$B$2:$B$526=2019)*(RefCapacity!$C$2:$C$526=AH$1),0))/SUMIFS(RefCapacity!$D$2:$D$526,RefCapacity!$A$2:$A$526,RefCapacityProj!$D116,RefCapacity!$B$2:$B$526,2019)</f>
        <v>171.62674760865946</v>
      </c>
      <c r="AP116" cm="1">
        <f t="array" ref="AP116">$Y116*INDEX(RefCapacity!$D$2:$D$526,MATCH(1,(RefCapacity!$A$2:$A$526=RefCapacityProj!$D116)*(RefCapacity!$B$2:$B$526=2019)*(RefCapacity!$C$2:$C$526=AI$1),0))/SUMIFS(RefCapacity!$D$2:$D$526,RefCapacity!$A$2:$A$526,RefCapacityProj!$D116,RefCapacity!$B$2:$B$526,2019)</f>
        <v>186.75901665004795</v>
      </c>
      <c r="AQ116" cm="1">
        <f t="array" ref="AQ116">$Y116*INDEX(RefCapacity!$D$2:$D$526,MATCH(1,(RefCapacity!$A$2:$A$526=RefCapacityProj!$D116)*(RefCapacity!$B$2:$B$526=2019)*(RefCapacity!$C$2:$C$526=AJ$1),0))/SUMIFS(RefCapacity!$D$2:$D$526,RefCapacity!$A$2:$A$526,RefCapacityProj!$D116,RefCapacity!$B$2:$B$526,2019)</f>
        <v>196.91104524743517</v>
      </c>
      <c r="AR116" cm="1">
        <f t="array" ref="AR116">$Y116*INDEX(RefCapacity!$D$2:$D$526,MATCH(1,(RefCapacity!$A$2:$A$526=RefCapacityProj!$D116)*(RefCapacity!$B$2:$B$526=2019)*(RefCapacity!$C$2:$C$526=AK$1),0))/SUMIFS(RefCapacity!$D$2:$D$526,RefCapacity!$A$2:$A$526,RefCapacityProj!$D116,RefCapacity!$B$2:$B$526,2019)</f>
        <v>171.77998577616719</v>
      </c>
      <c r="AS116" cm="1">
        <f t="array" ref="AS116">$Y116*INDEX(RefCapacity!$D$2:$D$526,MATCH(1,(RefCapacity!$A$2:$A$526=RefCapacityProj!$D116)*(RefCapacity!$B$2:$B$526=2019)*(RefCapacity!$C$2:$C$526=AL$1),0))/SUMIFS(RefCapacity!$D$2:$D$526,RefCapacity!$A$2:$A$526,RefCapacityProj!$D116,RefCapacity!$B$2:$B$526,2019)</f>
        <v>274.64110571573207</v>
      </c>
      <c r="AT116" cm="1">
        <f t="array" ref="AT116">$Y116*INDEX(RefCapacity!$D$2:$D$526,MATCH(1,(RefCapacity!$A$2:$A$526=RefCapacityProj!$D116)*(RefCapacity!$B$2:$B$526=2019)*(RefCapacity!$C$2:$C$526=AM$1),0))/SUMIFS(RefCapacity!$D$2:$D$526,RefCapacity!$A$2:$A$526,RefCapacityProj!$D116,RefCapacity!$B$2:$B$526,2019)</f>
        <v>1052.179229558338</v>
      </c>
      <c r="AU116" cm="1">
        <f t="array" ref="AU116">INDEX(RefCapacity!$D$2:$D$526,MATCH(1,(RefCapacity!$A$2:$A$526=RefCapacityProj!$D116)*(RefCapacity!$B$2:$B$526=2019)*(RefCapacity!$C$2:$C$526=RefCapacityProj!AG$1),0))*IF($C116=2035,1+VLOOKUP(AG$1,RefCapacity!$H$2:$L$8,2,FALSE),1+VLOOKUP(AG$1,RefCapacity!$H$2:$L$8,4,FALSE))</f>
        <v>539.89181304421595</v>
      </c>
      <c r="AV116" cm="1">
        <f t="array" ref="AV116">INDEX(RefCapacity!$D$2:$D$526,MATCH(1,(RefCapacity!$A$2:$A$526=RefCapacityProj!$D116)*(RefCapacity!$B$2:$B$526=2019)*(RefCapacity!$C$2:$C$526=RefCapacityProj!AH$1),0))*IF($C116=2035,1+VLOOKUP(AH$1,RefCapacity!$H$2:$L$8,2,FALSE),1+VLOOKUP(AH$1,RefCapacity!$H$2:$L$8,4,FALSE))</f>
        <v>301.95121010669465</v>
      </c>
      <c r="AW116" cm="1">
        <f t="array" ref="AW116">INDEX(RefCapacity!$D$2:$D$526,MATCH(1,(RefCapacity!$A$2:$A$526=RefCapacityProj!$D116)*(RefCapacity!$B$2:$B$526=2019)*(RefCapacity!$C$2:$C$526=RefCapacityProj!AI$1),0))*IF($C116=2035,1+VLOOKUP(AI$1,RefCapacity!$H$2:$L$8,2,FALSE),1+VLOOKUP(AI$1,RefCapacity!$H$2:$L$8,4,FALSE))</f>
        <v>252.01742847049914</v>
      </c>
      <c r="AX116" cm="1">
        <f t="array" ref="AX116">INDEX(RefCapacity!$D$2:$D$526,MATCH(1,(RefCapacity!$A$2:$A$526=RefCapacityProj!$D116)*(RefCapacity!$B$2:$B$526=2019)*(RefCapacity!$C$2:$C$526=RefCapacityProj!AJ$1),0))*IF($C116=2035,1+VLOOKUP(AJ$1,RefCapacity!$H$2:$L$8,2,FALSE),1+VLOOKUP(AJ$1,RefCapacity!$H$2:$L$8,4,FALSE))</f>
        <v>492.06309041835357</v>
      </c>
      <c r="AY116" cm="1">
        <f t="array" ref="AY116">INDEX(RefCapacity!$D$2:$D$526,MATCH(1,(RefCapacity!$A$2:$A$526=RefCapacityProj!$D116)*(RefCapacity!$B$2:$B$526=2019)*(RefCapacity!$C$2:$C$526=RefCapacityProj!AK$1),0))*IF($C116=2035,1+VLOOKUP(AK$1,RefCapacity!$H$2:$L$8,2,FALSE),1+VLOOKUP(AK$1,RefCapacity!$H$2:$L$8,4,FALSE))</f>
        <v>278.3741935541737</v>
      </c>
      <c r="AZ116" cm="1">
        <f t="array" ref="AZ116">INDEX(RefCapacity!$D$2:$D$526,MATCH(1,(RefCapacity!$A$2:$A$526=RefCapacityProj!$D116)*(RefCapacity!$B$2:$B$526=2019)*(RefCapacity!$C$2:$C$526=RefCapacityProj!AL$1),0))*IF($C116=2035,1+VLOOKUP(AL$1,RefCapacity!$H$2:$L$8,2,FALSE),1+VLOOKUP(AL$1,RefCapacity!$H$2:$L$8,4,FALSE))</f>
        <v>505.88851674641143</v>
      </c>
      <c r="BA116" cm="1">
        <f t="array" ref="BA116">INDEX(RefCapacity!$D$2:$D$526,MATCH(1,(RefCapacity!$A$2:$A$526=RefCapacityProj!$D116)*(RefCapacity!$B$2:$B$526=2019)*(RefCapacity!$C$2:$C$526=RefCapacityProj!AM$1),0))*IF($C116=2035,1+VLOOKUP(AM$1,RefCapacity!$H$2:$L$8,2,FALSE),1+VLOOKUP(AM$1,RefCapacity!$H$2:$L$8,4,FALSE))</f>
        <v>1427.387315315184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f t="shared" si="12"/>
        <v>2225.4803558067765</v>
      </c>
      <c r="BJ116">
        <f t="shared" si="13"/>
        <v>22.003618991911935</v>
      </c>
      <c r="BK116">
        <f t="shared" si="14"/>
        <v>1.0000000016065158E-2</v>
      </c>
      <c r="BL116" cm="1">
        <f t="array" ref="BL116">AG116/$BI116*INDEX('GHG Emission'!$C$2:$C$1121,MATCH(1,('GHG Emission'!$D$2:$D$1121=$D116)*('GHG Emission'!$E$2:$E$1121=$C116)*('GHG Emission'!$F$2:$F$1121=$B116)*('GHG Emission'!$I$2:$I$1121=$E116)*('GHG Emission'!$J$2:$J$1121=$F116)*('GHG Emission'!$K$2:$K$1121=AG$1),0))+AH116/$BI116*INDEX('GHG Emission'!$C$2:$C$1121,MATCH(1,('GHG Emission'!$D$2:$D$1121=$D116)*('GHG Emission'!$E$2:$E$1121=$C116)*('GHG Emission'!$F$2:$F$1121=$B116)*('GHG Emission'!$I$2:$I$1121=$E116)*('GHG Emission'!$J$2:$J$1121=$F116)*('GHG Emission'!$K$2:$K$1121=AH$1),0))+AI116/$BI116*INDEX('GHG Emission'!$C$2:$C$1121,MATCH(1,('GHG Emission'!$D$2:$D$1121=$D116)*('GHG Emission'!$E$2:$E$1121=$C116)*('GHG Emission'!$F$2:$F$1121=$B116)*('GHG Emission'!$I$2:$I$1121=$E116)*('GHG Emission'!$J$2:$J$1121=$F116)*('GHG Emission'!$K$2:$K$1121=AI$1),0))+AJ116/$BI116*INDEX('GHG Emission'!$C$2:$C$1121,MATCH(1,('GHG Emission'!$D$2:$D$1121=$D116)*('GHG Emission'!$E$2:$E$1121=$C116)*('GHG Emission'!$F$2:$F$1121=$B116)*('GHG Emission'!$I$2:$I$1121=$E116)*('GHG Emission'!$J$2:$J$1121=$F116)*('GHG Emission'!$K$2:$K$1121=AJ$1),0))+AK116/$BI116*INDEX('GHG Emission'!$C$2:$C$1121,MATCH(1,('GHG Emission'!$D$2:$D$1121=$D116)*('GHG Emission'!$E$2:$E$1121=$C116)*('GHG Emission'!$F$2:$F$1121=$B116)*('GHG Emission'!$I$2:$I$1121=$E116)*('GHG Emission'!$J$2:$J$1121=$F116)*('GHG Emission'!$K$2:$K$1121=AK$1),0))+AL116/$BI116*INDEX('GHG Emission'!$C$2:$C$1121,MATCH(1,('GHG Emission'!$D$2:$D$1121=$D116)*('GHG Emission'!$E$2:$E$1121=$C116)*('GHG Emission'!$F$2:$F$1121=$B116)*('GHG Emission'!$I$2:$I$1121=$E116)*('GHG Emission'!$J$2:$J$1121=$F116)*('GHG Emission'!$K$2:$K$1121=AL$1),0))+AM116/$BI116*INDEX('GHG Emission'!$C$2:$C$1121,MATCH(1,('GHG Emission'!$D$2:$D$1121=$D116)*('GHG Emission'!$E$2:$E$1121=$C116)*('GHG Emission'!$F$2:$F$1121=$B116)*('GHG Emission'!$I$2:$I$1121=$E116)*('GHG Emission'!$J$2:$J$1121=$F116)*('GHG Emission'!$K$2:$K$1121=AM$1),0))</f>
        <v>34.976211630172173</v>
      </c>
      <c r="BM116" t="str">
        <f t="shared" si="15"/>
        <v>LIGHT/SWEET</v>
      </c>
    </row>
    <row r="117" spans="1:65" hidden="1" x14ac:dyDescent="0.25">
      <c r="A117">
        <v>116</v>
      </c>
      <c r="B117" t="s">
        <v>471</v>
      </c>
      <c r="C117">
        <v>2035</v>
      </c>
      <c r="D117">
        <v>5</v>
      </c>
      <c r="E117" t="s">
        <v>469</v>
      </c>
      <c r="F117" t="s">
        <v>468</v>
      </c>
      <c r="G117">
        <v>956.75398005601301</v>
      </c>
      <c r="H117">
        <v>326.96315130646633</v>
      </c>
      <c r="I117">
        <v>672.267463270289</v>
      </c>
      <c r="J117">
        <v>353.13320077502198</v>
      </c>
      <c r="K117">
        <v>353.7995949044448</v>
      </c>
      <c r="L117">
        <v>26.363897406863835</v>
      </c>
      <c r="M117">
        <v>0</v>
      </c>
      <c r="N117">
        <v>0</v>
      </c>
      <c r="O117">
        <v>0</v>
      </c>
      <c r="P117">
        <v>48.123433515785095</v>
      </c>
      <c r="Q117">
        <v>0</v>
      </c>
      <c r="R117">
        <v>0</v>
      </c>
      <c r="S117">
        <v>0</v>
      </c>
      <c r="T117">
        <v>25.261154693326308</v>
      </c>
      <c r="U117">
        <v>0</v>
      </c>
      <c r="V117">
        <v>0</v>
      </c>
      <c r="W117">
        <v>0</v>
      </c>
      <c r="X117">
        <f t="shared" si="8"/>
        <v>2762.6658759282104</v>
      </c>
      <c r="Y117">
        <f>X117*VLOOKUP($D117,'LinearReg Model'!$S$2:$T$6,2,FALSE)</f>
        <v>2203.4767368148646</v>
      </c>
      <c r="Z117">
        <f t="shared" si="9"/>
        <v>0.3463154876572106</v>
      </c>
      <c r="AA117">
        <f t="shared" si="10"/>
        <v>0.24334012633518998</v>
      </c>
      <c r="AB117">
        <f t="shared" si="11"/>
        <v>0.11835059539967427</v>
      </c>
      <c r="AC117">
        <v>31.950804958677317</v>
      </c>
      <c r="AD117">
        <v>1.664030724437416</v>
      </c>
      <c r="AE117" s="2">
        <f>VLOOKUP($D117,'MultiReg Model'!$A$5:$F$9,2,FALSE)+AC117*VLOOKUP($D117,'MultiReg Model'!$A$5:$F$9,3,FALSE)+Z117*VLOOKUP($D117,'MultiReg Model'!$A$5:$F$9,4,FALSE)+AA117*VLOOKUP($D117,'MultiReg Model'!$A$5:$F$9,5,FALSE)+AB117*VLOOKUP($D117,'MultiReg Model'!$A$5:$F$9,6,FALSE)</f>
        <v>8.8867797831066433</v>
      </c>
      <c r="AF117" cm="1">
        <f t="array" ref="AF117">MMULT($AG117:$AM117,'Avg CI Index'!$C$2:$C$8)/BI117</f>
        <v>8.8967797831227085</v>
      </c>
      <c r="AG117">
        <v>291.44018212638889</v>
      </c>
      <c r="AH117">
        <v>197.19224455891424</v>
      </c>
      <c r="AI117">
        <v>239.1699009526358</v>
      </c>
      <c r="AJ117">
        <v>163.14702742374243</v>
      </c>
      <c r="AK117">
        <v>129.63262005276886</v>
      </c>
      <c r="AL117">
        <v>225.47910638856581</v>
      </c>
      <c r="AM117">
        <v>979.41927430376052</v>
      </c>
      <c r="AN117" cm="1">
        <f t="array" ref="AN117">$Y117*INDEX(RefCapacity!$D$2:$D$526,MATCH(1,(RefCapacity!$A$2:$A$526=RefCapacityProj!$D117)*(RefCapacity!$B$2:$B$526=2019)*(RefCapacity!$C$2:$C$526=AG$1),0))/SUMIFS(RefCapacity!$D$2:$D$526,RefCapacity!$A$2:$A$526,RefCapacityProj!$D117,RefCapacity!$B$2:$B$526,2019)</f>
        <v>149.57960625848457</v>
      </c>
      <c r="AO117" cm="1">
        <f t="array" ref="AO117">$Y117*INDEX(RefCapacity!$D$2:$D$526,MATCH(1,(RefCapacity!$A$2:$A$526=RefCapacityProj!$D117)*(RefCapacity!$B$2:$B$526=2019)*(RefCapacity!$C$2:$C$526=AH$1),0))/SUMIFS(RefCapacity!$D$2:$D$526,RefCapacity!$A$2:$A$526,RefCapacityProj!$D117,RefCapacity!$B$2:$B$526,2019)</f>
        <v>171.62674760865946</v>
      </c>
      <c r="AP117" cm="1">
        <f t="array" ref="AP117">$Y117*INDEX(RefCapacity!$D$2:$D$526,MATCH(1,(RefCapacity!$A$2:$A$526=RefCapacityProj!$D117)*(RefCapacity!$B$2:$B$526=2019)*(RefCapacity!$C$2:$C$526=AI$1),0))/SUMIFS(RefCapacity!$D$2:$D$526,RefCapacity!$A$2:$A$526,RefCapacityProj!$D117,RefCapacity!$B$2:$B$526,2019)</f>
        <v>186.75901665004795</v>
      </c>
      <c r="AQ117" cm="1">
        <f t="array" ref="AQ117">$Y117*INDEX(RefCapacity!$D$2:$D$526,MATCH(1,(RefCapacity!$A$2:$A$526=RefCapacityProj!$D117)*(RefCapacity!$B$2:$B$526=2019)*(RefCapacity!$C$2:$C$526=AJ$1),0))/SUMIFS(RefCapacity!$D$2:$D$526,RefCapacity!$A$2:$A$526,RefCapacityProj!$D117,RefCapacity!$B$2:$B$526,2019)</f>
        <v>196.91104524743517</v>
      </c>
      <c r="AR117" cm="1">
        <f t="array" ref="AR117">$Y117*INDEX(RefCapacity!$D$2:$D$526,MATCH(1,(RefCapacity!$A$2:$A$526=RefCapacityProj!$D117)*(RefCapacity!$B$2:$B$526=2019)*(RefCapacity!$C$2:$C$526=AK$1),0))/SUMIFS(RefCapacity!$D$2:$D$526,RefCapacity!$A$2:$A$526,RefCapacityProj!$D117,RefCapacity!$B$2:$B$526,2019)</f>
        <v>171.77998577616719</v>
      </c>
      <c r="AS117" cm="1">
        <f t="array" ref="AS117">$Y117*INDEX(RefCapacity!$D$2:$D$526,MATCH(1,(RefCapacity!$A$2:$A$526=RefCapacityProj!$D117)*(RefCapacity!$B$2:$B$526=2019)*(RefCapacity!$C$2:$C$526=AL$1),0))/SUMIFS(RefCapacity!$D$2:$D$526,RefCapacity!$A$2:$A$526,RefCapacityProj!$D117,RefCapacity!$B$2:$B$526,2019)</f>
        <v>274.64110571573207</v>
      </c>
      <c r="AT117" cm="1">
        <f t="array" ref="AT117">$Y117*INDEX(RefCapacity!$D$2:$D$526,MATCH(1,(RefCapacity!$A$2:$A$526=RefCapacityProj!$D117)*(RefCapacity!$B$2:$B$526=2019)*(RefCapacity!$C$2:$C$526=AM$1),0))/SUMIFS(RefCapacity!$D$2:$D$526,RefCapacity!$A$2:$A$526,RefCapacityProj!$D117,RefCapacity!$B$2:$B$526,2019)</f>
        <v>1052.179229558338</v>
      </c>
      <c r="AU117" cm="1">
        <f t="array" ref="AU117">INDEX(RefCapacity!$D$2:$D$526,MATCH(1,(RefCapacity!$A$2:$A$526=RefCapacityProj!$D117)*(RefCapacity!$B$2:$B$526=2019)*(RefCapacity!$C$2:$C$526=RefCapacityProj!AG$1),0))*IF($C117=2035,1+VLOOKUP(AG$1,RefCapacity!$H$2:$L$8,2,FALSE),1+VLOOKUP(AG$1,RefCapacity!$H$2:$L$8,4,FALSE))</f>
        <v>539.89181304421595</v>
      </c>
      <c r="AV117" cm="1">
        <f t="array" ref="AV117">INDEX(RefCapacity!$D$2:$D$526,MATCH(1,(RefCapacity!$A$2:$A$526=RefCapacityProj!$D117)*(RefCapacity!$B$2:$B$526=2019)*(RefCapacity!$C$2:$C$526=RefCapacityProj!AH$1),0))*IF($C117=2035,1+VLOOKUP(AH$1,RefCapacity!$H$2:$L$8,2,FALSE),1+VLOOKUP(AH$1,RefCapacity!$H$2:$L$8,4,FALSE))</f>
        <v>301.95121010669465</v>
      </c>
      <c r="AW117" cm="1">
        <f t="array" ref="AW117">INDEX(RefCapacity!$D$2:$D$526,MATCH(1,(RefCapacity!$A$2:$A$526=RefCapacityProj!$D117)*(RefCapacity!$B$2:$B$526=2019)*(RefCapacity!$C$2:$C$526=RefCapacityProj!AI$1),0))*IF($C117=2035,1+VLOOKUP(AI$1,RefCapacity!$H$2:$L$8,2,FALSE),1+VLOOKUP(AI$1,RefCapacity!$H$2:$L$8,4,FALSE))</f>
        <v>252.01742847049914</v>
      </c>
      <c r="AX117" cm="1">
        <f t="array" ref="AX117">INDEX(RefCapacity!$D$2:$D$526,MATCH(1,(RefCapacity!$A$2:$A$526=RefCapacityProj!$D117)*(RefCapacity!$B$2:$B$526=2019)*(RefCapacity!$C$2:$C$526=RefCapacityProj!AJ$1),0))*IF($C117=2035,1+VLOOKUP(AJ$1,RefCapacity!$H$2:$L$8,2,FALSE),1+VLOOKUP(AJ$1,RefCapacity!$H$2:$L$8,4,FALSE))</f>
        <v>492.06309041835357</v>
      </c>
      <c r="AY117" cm="1">
        <f t="array" ref="AY117">INDEX(RefCapacity!$D$2:$D$526,MATCH(1,(RefCapacity!$A$2:$A$526=RefCapacityProj!$D117)*(RefCapacity!$B$2:$B$526=2019)*(RefCapacity!$C$2:$C$526=RefCapacityProj!AK$1),0))*IF($C117=2035,1+VLOOKUP(AK$1,RefCapacity!$H$2:$L$8,2,FALSE),1+VLOOKUP(AK$1,RefCapacity!$H$2:$L$8,4,FALSE))</f>
        <v>278.3741935541737</v>
      </c>
      <c r="AZ117" cm="1">
        <f t="array" ref="AZ117">INDEX(RefCapacity!$D$2:$D$526,MATCH(1,(RefCapacity!$A$2:$A$526=RefCapacityProj!$D117)*(RefCapacity!$B$2:$B$526=2019)*(RefCapacity!$C$2:$C$526=RefCapacityProj!AL$1),0))*IF($C117=2035,1+VLOOKUP(AL$1,RefCapacity!$H$2:$L$8,2,FALSE),1+VLOOKUP(AL$1,RefCapacity!$H$2:$L$8,4,FALSE))</f>
        <v>505.88851674641143</v>
      </c>
      <c r="BA117" cm="1">
        <f t="array" ref="BA117">INDEX(RefCapacity!$D$2:$D$526,MATCH(1,(RefCapacity!$A$2:$A$526=RefCapacityProj!$D117)*(RefCapacity!$B$2:$B$526=2019)*(RefCapacity!$C$2:$C$526=RefCapacityProj!AM$1),0))*IF($C117=2035,1+VLOOKUP(AM$1,RefCapacity!$H$2:$L$8,2,FALSE),1+VLOOKUP(AM$1,RefCapacity!$H$2:$L$8,4,FALSE))</f>
        <v>1427.387315315184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f t="shared" si="12"/>
        <v>2225.4803558067765</v>
      </c>
      <c r="BJ117">
        <f t="shared" si="13"/>
        <v>22.003618991911935</v>
      </c>
      <c r="BK117">
        <f t="shared" si="14"/>
        <v>1.0000000016065158E-2</v>
      </c>
      <c r="BL117" cm="1">
        <f t="array" ref="BL117">AG117/$BI117*INDEX('GHG Emission'!$C$2:$C$1121,MATCH(1,('GHG Emission'!$D$2:$D$1121=$D117)*('GHG Emission'!$E$2:$E$1121=$C117)*('GHG Emission'!$F$2:$F$1121=$B117)*('GHG Emission'!$I$2:$I$1121=$E117)*('GHG Emission'!$J$2:$J$1121=$F117)*('GHG Emission'!$K$2:$K$1121=AG$1),0))+AH117/$BI117*INDEX('GHG Emission'!$C$2:$C$1121,MATCH(1,('GHG Emission'!$D$2:$D$1121=$D117)*('GHG Emission'!$E$2:$E$1121=$C117)*('GHG Emission'!$F$2:$F$1121=$B117)*('GHG Emission'!$I$2:$I$1121=$E117)*('GHG Emission'!$J$2:$J$1121=$F117)*('GHG Emission'!$K$2:$K$1121=AH$1),0))+AI117/$BI117*INDEX('GHG Emission'!$C$2:$C$1121,MATCH(1,('GHG Emission'!$D$2:$D$1121=$D117)*('GHG Emission'!$E$2:$E$1121=$C117)*('GHG Emission'!$F$2:$F$1121=$B117)*('GHG Emission'!$I$2:$I$1121=$E117)*('GHG Emission'!$J$2:$J$1121=$F117)*('GHG Emission'!$K$2:$K$1121=AI$1),0))+AJ117/$BI117*INDEX('GHG Emission'!$C$2:$C$1121,MATCH(1,('GHG Emission'!$D$2:$D$1121=$D117)*('GHG Emission'!$E$2:$E$1121=$C117)*('GHG Emission'!$F$2:$F$1121=$B117)*('GHG Emission'!$I$2:$I$1121=$E117)*('GHG Emission'!$J$2:$J$1121=$F117)*('GHG Emission'!$K$2:$K$1121=AJ$1),0))+AK117/$BI117*INDEX('GHG Emission'!$C$2:$C$1121,MATCH(1,('GHG Emission'!$D$2:$D$1121=$D117)*('GHG Emission'!$E$2:$E$1121=$C117)*('GHG Emission'!$F$2:$F$1121=$B117)*('GHG Emission'!$I$2:$I$1121=$E117)*('GHG Emission'!$J$2:$J$1121=$F117)*('GHG Emission'!$K$2:$K$1121=AK$1),0))+AL117/$BI117*INDEX('GHG Emission'!$C$2:$C$1121,MATCH(1,('GHG Emission'!$D$2:$D$1121=$D117)*('GHG Emission'!$E$2:$E$1121=$C117)*('GHG Emission'!$F$2:$F$1121=$B117)*('GHG Emission'!$I$2:$I$1121=$E117)*('GHG Emission'!$J$2:$J$1121=$F117)*('GHG Emission'!$K$2:$K$1121=AL$1),0))+AM117/$BI117*INDEX('GHG Emission'!$C$2:$C$1121,MATCH(1,('GHG Emission'!$D$2:$D$1121=$D117)*('GHG Emission'!$E$2:$E$1121=$C117)*('GHG Emission'!$F$2:$F$1121=$B117)*('GHG Emission'!$I$2:$I$1121=$E117)*('GHG Emission'!$J$2:$J$1121=$F117)*('GHG Emission'!$K$2:$K$1121=AM$1),0))</f>
        <v>35.120419218216384</v>
      </c>
      <c r="BM117" t="str">
        <f t="shared" si="15"/>
        <v>LIGHT/SOUR</v>
      </c>
    </row>
    <row r="118" spans="1:65" hidden="1" x14ac:dyDescent="0.25">
      <c r="A118">
        <v>117</v>
      </c>
      <c r="B118" t="s">
        <v>471</v>
      </c>
      <c r="C118">
        <v>2050</v>
      </c>
      <c r="D118">
        <v>5</v>
      </c>
      <c r="E118" t="s">
        <v>466</v>
      </c>
      <c r="F118" t="s">
        <v>467</v>
      </c>
      <c r="G118">
        <v>361.26345574708961</v>
      </c>
      <c r="H118">
        <v>403.19471874513545</v>
      </c>
      <c r="I118">
        <v>500.87389443332125</v>
      </c>
      <c r="J118">
        <v>263.10242751518609</v>
      </c>
      <c r="K118">
        <v>419.77387298964987</v>
      </c>
      <c r="L118">
        <v>31.280067815142612</v>
      </c>
      <c r="M118">
        <v>0</v>
      </c>
      <c r="N118">
        <v>0</v>
      </c>
      <c r="O118">
        <v>0</v>
      </c>
      <c r="P118">
        <v>38.642635853032168</v>
      </c>
      <c r="Q118">
        <v>0</v>
      </c>
      <c r="R118">
        <v>0</v>
      </c>
      <c r="S118">
        <v>0</v>
      </c>
      <c r="T118">
        <v>25.739540023388059</v>
      </c>
      <c r="U118">
        <v>0</v>
      </c>
      <c r="V118">
        <v>0</v>
      </c>
      <c r="W118">
        <v>0</v>
      </c>
      <c r="X118">
        <f t="shared" si="8"/>
        <v>2043.8706131219449</v>
      </c>
      <c r="Y118">
        <f>X118*VLOOKUP($D118,'LinearReg Model'!$S$2:$T$6,2,FALSE)</f>
        <v>1630.1722869619898</v>
      </c>
      <c r="Z118">
        <f t="shared" si="9"/>
        <v>0.17675456236208201</v>
      </c>
      <c r="AA118">
        <f t="shared" si="10"/>
        <v>0.2450614492021356</v>
      </c>
      <c r="AB118">
        <f t="shared" si="11"/>
        <v>0.19727017755261367</v>
      </c>
      <c r="AC118">
        <v>29.834929643303958</v>
      </c>
      <c r="AD118">
        <v>1.5923770961611641</v>
      </c>
      <c r="AE118" s="2">
        <f>VLOOKUP($D118,'MultiReg Model'!$A$5:$F$9,2,FALSE)+AC118*VLOOKUP($D118,'MultiReg Model'!$A$5:$F$9,3,FALSE)+Z118*VLOOKUP($D118,'MultiReg Model'!$A$5:$F$9,4,FALSE)+AA118*VLOOKUP($D118,'MultiReg Model'!$A$5:$F$9,5,FALSE)+AB118*VLOOKUP($D118,'MultiReg Model'!$A$5:$F$9,6,FALSE)</f>
        <v>9.8918094040678994</v>
      </c>
      <c r="AF118" cm="1">
        <f t="array" ref="AF118">MMULT($AG118:$AM118,'Avg CI Index'!$C$2:$C$8)/BI118</f>
        <v>9.8818094049212952</v>
      </c>
      <c r="AG118">
        <v>49.482279308556166</v>
      </c>
      <c r="AH118">
        <v>116.86779442172569</v>
      </c>
      <c r="AI118">
        <v>115.22113307438458</v>
      </c>
      <c r="AJ118">
        <v>162.18882497701671</v>
      </c>
      <c r="AK118">
        <v>146.97261771549623</v>
      </c>
      <c r="AL118">
        <v>226.13247119539255</v>
      </c>
      <c r="AM118">
        <v>811.37589014279979</v>
      </c>
      <c r="AN118" cm="1">
        <f t="array" ref="AN118">$Y118*INDEX(RefCapacity!$D$2:$D$526,MATCH(1,(RefCapacity!$A$2:$A$526=RefCapacityProj!$D118)*(RefCapacity!$B$2:$B$526=2019)*(RefCapacity!$C$2:$C$526=AG$1),0))/SUMIFS(RefCapacity!$D$2:$D$526,RefCapacity!$A$2:$A$526,RefCapacityProj!$D118,RefCapacity!$B$2:$B$526,2019)</f>
        <v>110.66172142563227</v>
      </c>
      <c r="AO118" cm="1">
        <f t="array" ref="AO118">$Y118*INDEX(RefCapacity!$D$2:$D$526,MATCH(1,(RefCapacity!$A$2:$A$526=RefCapacityProj!$D118)*(RefCapacity!$B$2:$B$526=2019)*(RefCapacity!$C$2:$C$526=AH$1),0))/SUMIFS(RefCapacity!$D$2:$D$526,RefCapacity!$A$2:$A$526,RefCapacityProj!$D118,RefCapacity!$B$2:$B$526,2019)</f>
        <v>126.97259879288835</v>
      </c>
      <c r="AP118" cm="1">
        <f t="array" ref="AP118">$Y118*INDEX(RefCapacity!$D$2:$D$526,MATCH(1,(RefCapacity!$A$2:$A$526=RefCapacityProj!$D118)*(RefCapacity!$B$2:$B$526=2019)*(RefCapacity!$C$2:$C$526=AI$1),0))/SUMIFS(RefCapacity!$D$2:$D$526,RefCapacity!$A$2:$A$526,RefCapacityProj!$D118,RefCapacity!$B$2:$B$526,2019)</f>
        <v>138.1677274811006</v>
      </c>
      <c r="AQ118" cm="1">
        <f t="array" ref="AQ118">$Y118*INDEX(RefCapacity!$D$2:$D$526,MATCH(1,(RefCapacity!$A$2:$A$526=RefCapacityProj!$D118)*(RefCapacity!$B$2:$B$526=2019)*(RefCapacity!$C$2:$C$526=AJ$1),0))/SUMIFS(RefCapacity!$D$2:$D$526,RefCapacity!$A$2:$A$526,RefCapacityProj!$D118,RefCapacity!$B$2:$B$526,2019)</f>
        <v>145.6783834364835</v>
      </c>
      <c r="AR118" cm="1">
        <f t="array" ref="AR118">$Y118*INDEX(RefCapacity!$D$2:$D$526,MATCH(1,(RefCapacity!$A$2:$A$526=RefCapacityProj!$D118)*(RefCapacity!$B$2:$B$526=2019)*(RefCapacity!$C$2:$C$526=AK$1),0))/SUMIFS(RefCapacity!$D$2:$D$526,RefCapacity!$A$2:$A$526,RefCapacityProj!$D118,RefCapacity!$B$2:$B$526,2019)</f>
        <v>127.08596718466771</v>
      </c>
      <c r="AS118" cm="1">
        <f t="array" ref="AS118">$Y118*INDEX(RefCapacity!$D$2:$D$526,MATCH(1,(RefCapacity!$A$2:$A$526=RefCapacityProj!$D118)*(RefCapacity!$B$2:$B$526=2019)*(RefCapacity!$C$2:$C$526=AL$1),0))/SUMIFS(RefCapacity!$D$2:$D$526,RefCapacity!$A$2:$A$526,RefCapacityProj!$D118,RefCapacity!$B$2:$B$526,2019)</f>
        <v>203.18450016656618</v>
      </c>
      <c r="AT118" cm="1">
        <f t="array" ref="AT118">$Y118*INDEX(RefCapacity!$D$2:$D$526,MATCH(1,(RefCapacity!$A$2:$A$526=RefCapacityProj!$D118)*(RefCapacity!$B$2:$B$526=2019)*(RefCapacity!$C$2:$C$526=AM$1),0))/SUMIFS(RefCapacity!$D$2:$D$526,RefCapacity!$A$2:$A$526,RefCapacityProj!$D118,RefCapacity!$B$2:$B$526,2019)</f>
        <v>778.42138847465105</v>
      </c>
      <c r="AU118" cm="1">
        <f t="array" ref="AU118">INDEX(RefCapacity!$D$2:$D$526,MATCH(1,(RefCapacity!$A$2:$A$526=RefCapacityProj!$D118)*(RefCapacity!$B$2:$B$526=2019)*(RefCapacity!$C$2:$C$526=RefCapacityProj!AG$1),0))*IF($C118=2035,1+VLOOKUP(AG$1,RefCapacity!$H$2:$L$8,2,FALSE),1+VLOOKUP(AG$1,RefCapacity!$H$2:$L$8,4,FALSE))</f>
        <v>884.55862608843188</v>
      </c>
      <c r="AV118" cm="1">
        <f t="array" ref="AV118">INDEX(RefCapacity!$D$2:$D$526,MATCH(1,(RefCapacity!$A$2:$A$526=RefCapacityProj!$D118)*(RefCapacity!$B$2:$B$526=2019)*(RefCapacity!$C$2:$C$526=RefCapacityProj!AH$1),0))*IF($C118=2035,1+VLOOKUP(AH$1,RefCapacity!$H$2:$L$8,2,FALSE),1+VLOOKUP(AH$1,RefCapacity!$H$2:$L$8,4,FALSE))</f>
        <v>379.90242021338935</v>
      </c>
      <c r="AW118" cm="1">
        <f t="array" ref="AW118">INDEX(RefCapacity!$D$2:$D$526,MATCH(1,(RefCapacity!$A$2:$A$526=RefCapacityProj!$D118)*(RefCapacity!$B$2:$B$526=2019)*(RefCapacity!$C$2:$C$526=RefCapacityProj!AI$1),0))*IF($C118=2035,1+VLOOKUP(AI$1,RefCapacity!$H$2:$L$8,2,FALSE),1+VLOOKUP(AI$1,RefCapacity!$H$2:$L$8,4,FALSE))</f>
        <v>260.28485694099828</v>
      </c>
      <c r="AX118" cm="1">
        <f t="array" ref="AX118">INDEX(RefCapacity!$D$2:$D$526,MATCH(1,(RefCapacity!$A$2:$A$526=RefCapacityProj!$D118)*(RefCapacity!$B$2:$B$526=2019)*(RefCapacity!$C$2:$C$526=RefCapacityProj!AJ$1),0))*IF($C118=2035,1+VLOOKUP(AJ$1,RefCapacity!$H$2:$L$8,2,FALSE),1+VLOOKUP(AJ$1,RefCapacity!$H$2:$L$8,4,FALSE))</f>
        <v>727.12618083670714</v>
      </c>
      <c r="AY118" cm="1">
        <f t="array" ref="AY118">INDEX(RefCapacity!$D$2:$D$526,MATCH(1,(RefCapacity!$A$2:$A$526=RefCapacityProj!$D118)*(RefCapacity!$B$2:$B$526=2019)*(RefCapacity!$C$2:$C$526=RefCapacityProj!AK$1),0))*IF($C118=2035,1+VLOOKUP(AK$1,RefCapacity!$H$2:$L$8,2,FALSE),1+VLOOKUP(AK$1,RefCapacity!$H$2:$L$8,4,FALSE))</f>
        <v>332.5483871083473</v>
      </c>
      <c r="AZ118" cm="1">
        <f t="array" ref="AZ118">INDEX(RefCapacity!$D$2:$D$526,MATCH(1,(RefCapacity!$A$2:$A$526=RefCapacityProj!$D118)*(RefCapacity!$B$2:$B$526=2019)*(RefCapacity!$C$2:$C$526=RefCapacityProj!AL$1),0))*IF($C118=2035,1+VLOOKUP(AL$1,RefCapacity!$H$2:$L$8,2,FALSE),1+VLOOKUP(AL$1,RefCapacity!$H$2:$L$8,4,FALSE))</f>
        <v>653.32703349282281</v>
      </c>
      <c r="BA118" cm="1">
        <f t="array" ref="BA118">INDEX(RefCapacity!$D$2:$D$526,MATCH(1,(RefCapacity!$A$2:$A$526=RefCapacityProj!$D118)*(RefCapacity!$B$2:$B$526=2019)*(RefCapacity!$C$2:$C$526=RefCapacityProj!AM$1),0))*IF($C118=2035,1+VLOOKUP(AM$1,RefCapacity!$H$2:$L$8,2,FALSE),1+VLOOKUP(AM$1,RefCapacity!$H$2:$L$8,4,FALSE))</f>
        <v>1481.5146306303682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f t="shared" si="12"/>
        <v>1628.2410108353715</v>
      </c>
      <c r="BJ118">
        <f t="shared" si="13"/>
        <v>1.9312761266182861</v>
      </c>
      <c r="BK118">
        <f t="shared" si="14"/>
        <v>9.9999991466042104E-3</v>
      </c>
      <c r="BL118" cm="1">
        <f t="array" ref="BL118">AG118/$BI118*INDEX('GHG Emission'!$C$2:$C$1121,MATCH(1,('GHG Emission'!$D$2:$D$1121=$D118)*('GHG Emission'!$E$2:$E$1121=$C118)*('GHG Emission'!$F$2:$F$1121=$B118)*('GHG Emission'!$I$2:$I$1121=$E118)*('GHG Emission'!$J$2:$J$1121=$F118)*('GHG Emission'!$K$2:$K$1121=AG$1),0))+AH118/$BI118*INDEX('GHG Emission'!$C$2:$C$1121,MATCH(1,('GHG Emission'!$D$2:$D$1121=$D118)*('GHG Emission'!$E$2:$E$1121=$C118)*('GHG Emission'!$F$2:$F$1121=$B118)*('GHG Emission'!$I$2:$I$1121=$E118)*('GHG Emission'!$J$2:$J$1121=$F118)*('GHG Emission'!$K$2:$K$1121=AH$1),0))+AI118/$BI118*INDEX('GHG Emission'!$C$2:$C$1121,MATCH(1,('GHG Emission'!$D$2:$D$1121=$D118)*('GHG Emission'!$E$2:$E$1121=$C118)*('GHG Emission'!$F$2:$F$1121=$B118)*('GHG Emission'!$I$2:$I$1121=$E118)*('GHG Emission'!$J$2:$J$1121=$F118)*('GHG Emission'!$K$2:$K$1121=AI$1),0))+AJ118/$BI118*INDEX('GHG Emission'!$C$2:$C$1121,MATCH(1,('GHG Emission'!$D$2:$D$1121=$D118)*('GHG Emission'!$E$2:$E$1121=$C118)*('GHG Emission'!$F$2:$F$1121=$B118)*('GHG Emission'!$I$2:$I$1121=$E118)*('GHG Emission'!$J$2:$J$1121=$F118)*('GHG Emission'!$K$2:$K$1121=AJ$1),0))+AK118/$BI118*INDEX('GHG Emission'!$C$2:$C$1121,MATCH(1,('GHG Emission'!$D$2:$D$1121=$D118)*('GHG Emission'!$E$2:$E$1121=$C118)*('GHG Emission'!$F$2:$F$1121=$B118)*('GHG Emission'!$I$2:$I$1121=$E118)*('GHG Emission'!$J$2:$J$1121=$F118)*('GHG Emission'!$K$2:$K$1121=AK$1),0))+AL118/$BI118*INDEX('GHG Emission'!$C$2:$C$1121,MATCH(1,('GHG Emission'!$D$2:$D$1121=$D118)*('GHG Emission'!$E$2:$E$1121=$C118)*('GHG Emission'!$F$2:$F$1121=$B118)*('GHG Emission'!$I$2:$I$1121=$E118)*('GHG Emission'!$J$2:$J$1121=$F118)*('GHG Emission'!$K$2:$K$1121=AL$1),0))+AM118/$BI118*INDEX('GHG Emission'!$C$2:$C$1121,MATCH(1,('GHG Emission'!$D$2:$D$1121=$D118)*('GHG Emission'!$E$2:$E$1121=$C118)*('GHG Emission'!$F$2:$F$1121=$B118)*('GHG Emission'!$I$2:$I$1121=$E118)*('GHG Emission'!$J$2:$J$1121=$F118)*('GHG Emission'!$K$2:$K$1121=AM$1),0))</f>
        <v>35.32777866166893</v>
      </c>
      <c r="BM118" t="str">
        <f t="shared" si="15"/>
        <v>HEAVY/SWEET</v>
      </c>
    </row>
    <row r="119" spans="1:65" hidden="1" x14ac:dyDescent="0.25">
      <c r="A119">
        <v>118</v>
      </c>
      <c r="B119" t="s">
        <v>471</v>
      </c>
      <c r="C119">
        <v>2050</v>
      </c>
      <c r="D119">
        <v>5</v>
      </c>
      <c r="E119" t="s">
        <v>466</v>
      </c>
      <c r="F119" t="s">
        <v>468</v>
      </c>
      <c r="G119">
        <v>361.26345574708961</v>
      </c>
      <c r="H119">
        <v>403.19471874513545</v>
      </c>
      <c r="I119">
        <v>500.87389443332125</v>
      </c>
      <c r="J119">
        <v>263.10242751518609</v>
      </c>
      <c r="K119">
        <v>419.77387298964987</v>
      </c>
      <c r="L119">
        <v>31.280067815142612</v>
      </c>
      <c r="M119">
        <v>0</v>
      </c>
      <c r="N119">
        <v>0</v>
      </c>
      <c r="O119">
        <v>0</v>
      </c>
      <c r="P119">
        <v>38.642635853032168</v>
      </c>
      <c r="Q119">
        <v>0</v>
      </c>
      <c r="R119">
        <v>0</v>
      </c>
      <c r="S119">
        <v>0</v>
      </c>
      <c r="T119">
        <v>25.739540023388059</v>
      </c>
      <c r="U119">
        <v>0</v>
      </c>
      <c r="V119">
        <v>0</v>
      </c>
      <c r="W119">
        <v>0</v>
      </c>
      <c r="X119">
        <f t="shared" si="8"/>
        <v>2043.8706131219449</v>
      </c>
      <c r="Y119">
        <f>X119*VLOOKUP($D119,'LinearReg Model'!$S$2:$T$6,2,FALSE)</f>
        <v>1630.1722869619898</v>
      </c>
      <c r="Z119">
        <f t="shared" si="9"/>
        <v>0.17675456236208201</v>
      </c>
      <c r="AA119">
        <f t="shared" si="10"/>
        <v>0.2450614492021356</v>
      </c>
      <c r="AB119">
        <f t="shared" si="11"/>
        <v>0.19727017755261367</v>
      </c>
      <c r="AC119">
        <v>29.834929643303958</v>
      </c>
      <c r="AD119">
        <v>1.8659991154487672</v>
      </c>
      <c r="AE119" s="2">
        <f>VLOOKUP($D119,'MultiReg Model'!$A$5:$F$9,2,FALSE)+AC119*VLOOKUP($D119,'MultiReg Model'!$A$5:$F$9,3,FALSE)+Z119*VLOOKUP($D119,'MultiReg Model'!$A$5:$F$9,4,FALSE)+AA119*VLOOKUP($D119,'MultiReg Model'!$A$5:$F$9,5,FALSE)+AB119*VLOOKUP($D119,'MultiReg Model'!$A$5:$F$9,6,FALSE)</f>
        <v>9.8918094040678994</v>
      </c>
      <c r="AF119" cm="1">
        <f t="array" ref="AF119">MMULT($AG119:$AM119,'Avg CI Index'!$C$2:$C$8)/BI119</f>
        <v>9.8818094049212952</v>
      </c>
      <c r="AG119">
        <v>49.482279308556166</v>
      </c>
      <c r="AH119">
        <v>116.86779442172569</v>
      </c>
      <c r="AI119">
        <v>115.22113307438458</v>
      </c>
      <c r="AJ119">
        <v>162.18882497701671</v>
      </c>
      <c r="AK119">
        <v>146.97261771549623</v>
      </c>
      <c r="AL119">
        <v>226.13247119539255</v>
      </c>
      <c r="AM119">
        <v>811.37589014279979</v>
      </c>
      <c r="AN119" cm="1">
        <f t="array" ref="AN119">$Y119*INDEX(RefCapacity!$D$2:$D$526,MATCH(1,(RefCapacity!$A$2:$A$526=RefCapacityProj!$D119)*(RefCapacity!$B$2:$B$526=2019)*(RefCapacity!$C$2:$C$526=AG$1),0))/SUMIFS(RefCapacity!$D$2:$D$526,RefCapacity!$A$2:$A$526,RefCapacityProj!$D119,RefCapacity!$B$2:$B$526,2019)</f>
        <v>110.66172142563227</v>
      </c>
      <c r="AO119" cm="1">
        <f t="array" ref="AO119">$Y119*INDEX(RefCapacity!$D$2:$D$526,MATCH(1,(RefCapacity!$A$2:$A$526=RefCapacityProj!$D119)*(RefCapacity!$B$2:$B$526=2019)*(RefCapacity!$C$2:$C$526=AH$1),0))/SUMIFS(RefCapacity!$D$2:$D$526,RefCapacity!$A$2:$A$526,RefCapacityProj!$D119,RefCapacity!$B$2:$B$526,2019)</f>
        <v>126.97259879288835</v>
      </c>
      <c r="AP119" cm="1">
        <f t="array" ref="AP119">$Y119*INDEX(RefCapacity!$D$2:$D$526,MATCH(1,(RefCapacity!$A$2:$A$526=RefCapacityProj!$D119)*(RefCapacity!$B$2:$B$526=2019)*(RefCapacity!$C$2:$C$526=AI$1),0))/SUMIFS(RefCapacity!$D$2:$D$526,RefCapacity!$A$2:$A$526,RefCapacityProj!$D119,RefCapacity!$B$2:$B$526,2019)</f>
        <v>138.1677274811006</v>
      </c>
      <c r="AQ119" cm="1">
        <f t="array" ref="AQ119">$Y119*INDEX(RefCapacity!$D$2:$D$526,MATCH(1,(RefCapacity!$A$2:$A$526=RefCapacityProj!$D119)*(RefCapacity!$B$2:$B$526=2019)*(RefCapacity!$C$2:$C$526=AJ$1),0))/SUMIFS(RefCapacity!$D$2:$D$526,RefCapacity!$A$2:$A$526,RefCapacityProj!$D119,RefCapacity!$B$2:$B$526,2019)</f>
        <v>145.6783834364835</v>
      </c>
      <c r="AR119" cm="1">
        <f t="array" ref="AR119">$Y119*INDEX(RefCapacity!$D$2:$D$526,MATCH(1,(RefCapacity!$A$2:$A$526=RefCapacityProj!$D119)*(RefCapacity!$B$2:$B$526=2019)*(RefCapacity!$C$2:$C$526=AK$1),0))/SUMIFS(RefCapacity!$D$2:$D$526,RefCapacity!$A$2:$A$526,RefCapacityProj!$D119,RefCapacity!$B$2:$B$526,2019)</f>
        <v>127.08596718466771</v>
      </c>
      <c r="AS119" cm="1">
        <f t="array" ref="AS119">$Y119*INDEX(RefCapacity!$D$2:$D$526,MATCH(1,(RefCapacity!$A$2:$A$526=RefCapacityProj!$D119)*(RefCapacity!$B$2:$B$526=2019)*(RefCapacity!$C$2:$C$526=AL$1),0))/SUMIFS(RefCapacity!$D$2:$D$526,RefCapacity!$A$2:$A$526,RefCapacityProj!$D119,RefCapacity!$B$2:$B$526,2019)</f>
        <v>203.18450016656618</v>
      </c>
      <c r="AT119" cm="1">
        <f t="array" ref="AT119">$Y119*INDEX(RefCapacity!$D$2:$D$526,MATCH(1,(RefCapacity!$A$2:$A$526=RefCapacityProj!$D119)*(RefCapacity!$B$2:$B$526=2019)*(RefCapacity!$C$2:$C$526=AM$1),0))/SUMIFS(RefCapacity!$D$2:$D$526,RefCapacity!$A$2:$A$526,RefCapacityProj!$D119,RefCapacity!$B$2:$B$526,2019)</f>
        <v>778.42138847465105</v>
      </c>
      <c r="AU119" cm="1">
        <f t="array" ref="AU119">INDEX(RefCapacity!$D$2:$D$526,MATCH(1,(RefCapacity!$A$2:$A$526=RefCapacityProj!$D119)*(RefCapacity!$B$2:$B$526=2019)*(RefCapacity!$C$2:$C$526=RefCapacityProj!AG$1),0))*IF($C119=2035,1+VLOOKUP(AG$1,RefCapacity!$H$2:$L$8,2,FALSE),1+VLOOKUP(AG$1,RefCapacity!$H$2:$L$8,4,FALSE))</f>
        <v>884.55862608843188</v>
      </c>
      <c r="AV119" cm="1">
        <f t="array" ref="AV119">INDEX(RefCapacity!$D$2:$D$526,MATCH(1,(RefCapacity!$A$2:$A$526=RefCapacityProj!$D119)*(RefCapacity!$B$2:$B$526=2019)*(RefCapacity!$C$2:$C$526=RefCapacityProj!AH$1),0))*IF($C119=2035,1+VLOOKUP(AH$1,RefCapacity!$H$2:$L$8,2,FALSE),1+VLOOKUP(AH$1,RefCapacity!$H$2:$L$8,4,FALSE))</f>
        <v>379.90242021338935</v>
      </c>
      <c r="AW119" cm="1">
        <f t="array" ref="AW119">INDEX(RefCapacity!$D$2:$D$526,MATCH(1,(RefCapacity!$A$2:$A$526=RefCapacityProj!$D119)*(RefCapacity!$B$2:$B$526=2019)*(RefCapacity!$C$2:$C$526=RefCapacityProj!AI$1),0))*IF($C119=2035,1+VLOOKUP(AI$1,RefCapacity!$H$2:$L$8,2,FALSE),1+VLOOKUP(AI$1,RefCapacity!$H$2:$L$8,4,FALSE))</f>
        <v>260.28485694099828</v>
      </c>
      <c r="AX119" cm="1">
        <f t="array" ref="AX119">INDEX(RefCapacity!$D$2:$D$526,MATCH(1,(RefCapacity!$A$2:$A$526=RefCapacityProj!$D119)*(RefCapacity!$B$2:$B$526=2019)*(RefCapacity!$C$2:$C$526=RefCapacityProj!AJ$1),0))*IF($C119=2035,1+VLOOKUP(AJ$1,RefCapacity!$H$2:$L$8,2,FALSE),1+VLOOKUP(AJ$1,RefCapacity!$H$2:$L$8,4,FALSE))</f>
        <v>727.12618083670714</v>
      </c>
      <c r="AY119" cm="1">
        <f t="array" ref="AY119">INDEX(RefCapacity!$D$2:$D$526,MATCH(1,(RefCapacity!$A$2:$A$526=RefCapacityProj!$D119)*(RefCapacity!$B$2:$B$526=2019)*(RefCapacity!$C$2:$C$526=RefCapacityProj!AK$1),0))*IF($C119=2035,1+VLOOKUP(AK$1,RefCapacity!$H$2:$L$8,2,FALSE),1+VLOOKUP(AK$1,RefCapacity!$H$2:$L$8,4,FALSE))</f>
        <v>332.5483871083473</v>
      </c>
      <c r="AZ119" cm="1">
        <f t="array" ref="AZ119">INDEX(RefCapacity!$D$2:$D$526,MATCH(1,(RefCapacity!$A$2:$A$526=RefCapacityProj!$D119)*(RefCapacity!$B$2:$B$526=2019)*(RefCapacity!$C$2:$C$526=RefCapacityProj!AL$1),0))*IF($C119=2035,1+VLOOKUP(AL$1,RefCapacity!$H$2:$L$8,2,FALSE),1+VLOOKUP(AL$1,RefCapacity!$H$2:$L$8,4,FALSE))</f>
        <v>653.32703349282281</v>
      </c>
      <c r="BA119" cm="1">
        <f t="array" ref="BA119">INDEX(RefCapacity!$D$2:$D$526,MATCH(1,(RefCapacity!$A$2:$A$526=RefCapacityProj!$D119)*(RefCapacity!$B$2:$B$526=2019)*(RefCapacity!$C$2:$C$526=RefCapacityProj!AM$1),0))*IF($C119=2035,1+VLOOKUP(AM$1,RefCapacity!$H$2:$L$8,2,FALSE),1+VLOOKUP(AM$1,RefCapacity!$H$2:$L$8,4,FALSE))</f>
        <v>1481.5146306303682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f t="shared" si="12"/>
        <v>1628.2410108353715</v>
      </c>
      <c r="BJ119">
        <f t="shared" si="13"/>
        <v>1.9312761266182861</v>
      </c>
      <c r="BK119">
        <f t="shared" si="14"/>
        <v>9.9999991466042104E-3</v>
      </c>
      <c r="BL119" cm="1">
        <f t="array" ref="BL119">AG119/$BI119*INDEX('GHG Emission'!$C$2:$C$1121,MATCH(1,('GHG Emission'!$D$2:$D$1121=$D119)*('GHG Emission'!$E$2:$E$1121=$C119)*('GHG Emission'!$F$2:$F$1121=$B119)*('GHG Emission'!$I$2:$I$1121=$E119)*('GHG Emission'!$J$2:$J$1121=$F119)*('GHG Emission'!$K$2:$K$1121=AG$1),0))+AH119/$BI119*INDEX('GHG Emission'!$C$2:$C$1121,MATCH(1,('GHG Emission'!$D$2:$D$1121=$D119)*('GHG Emission'!$E$2:$E$1121=$C119)*('GHG Emission'!$F$2:$F$1121=$B119)*('GHG Emission'!$I$2:$I$1121=$E119)*('GHG Emission'!$J$2:$J$1121=$F119)*('GHG Emission'!$K$2:$K$1121=AH$1),0))+AI119/$BI119*INDEX('GHG Emission'!$C$2:$C$1121,MATCH(1,('GHG Emission'!$D$2:$D$1121=$D119)*('GHG Emission'!$E$2:$E$1121=$C119)*('GHG Emission'!$F$2:$F$1121=$B119)*('GHG Emission'!$I$2:$I$1121=$E119)*('GHG Emission'!$J$2:$J$1121=$F119)*('GHG Emission'!$K$2:$K$1121=AI$1),0))+AJ119/$BI119*INDEX('GHG Emission'!$C$2:$C$1121,MATCH(1,('GHG Emission'!$D$2:$D$1121=$D119)*('GHG Emission'!$E$2:$E$1121=$C119)*('GHG Emission'!$F$2:$F$1121=$B119)*('GHG Emission'!$I$2:$I$1121=$E119)*('GHG Emission'!$J$2:$J$1121=$F119)*('GHG Emission'!$K$2:$K$1121=AJ$1),0))+AK119/$BI119*INDEX('GHG Emission'!$C$2:$C$1121,MATCH(1,('GHG Emission'!$D$2:$D$1121=$D119)*('GHG Emission'!$E$2:$E$1121=$C119)*('GHG Emission'!$F$2:$F$1121=$B119)*('GHG Emission'!$I$2:$I$1121=$E119)*('GHG Emission'!$J$2:$J$1121=$F119)*('GHG Emission'!$K$2:$K$1121=AK$1),0))+AL119/$BI119*INDEX('GHG Emission'!$C$2:$C$1121,MATCH(1,('GHG Emission'!$D$2:$D$1121=$D119)*('GHG Emission'!$E$2:$E$1121=$C119)*('GHG Emission'!$F$2:$F$1121=$B119)*('GHG Emission'!$I$2:$I$1121=$E119)*('GHG Emission'!$J$2:$J$1121=$F119)*('GHG Emission'!$K$2:$K$1121=AL$1),0))+AM119/$BI119*INDEX('GHG Emission'!$C$2:$C$1121,MATCH(1,('GHG Emission'!$D$2:$D$1121=$D119)*('GHG Emission'!$E$2:$E$1121=$C119)*('GHG Emission'!$F$2:$F$1121=$B119)*('GHG Emission'!$I$2:$I$1121=$E119)*('GHG Emission'!$J$2:$J$1121=$F119)*('GHG Emission'!$K$2:$K$1121=AM$1),0))</f>
        <v>36.083101220513456</v>
      </c>
      <c r="BM119" t="str">
        <f t="shared" si="15"/>
        <v>HEAVY/SOUR</v>
      </c>
    </row>
    <row r="120" spans="1:65" hidden="1" x14ac:dyDescent="0.25">
      <c r="A120">
        <v>119</v>
      </c>
      <c r="B120" t="s">
        <v>471</v>
      </c>
      <c r="C120">
        <v>2050</v>
      </c>
      <c r="D120">
        <v>5</v>
      </c>
      <c r="E120" t="s">
        <v>469</v>
      </c>
      <c r="F120" t="s">
        <v>467</v>
      </c>
      <c r="G120">
        <v>361.26345574708961</v>
      </c>
      <c r="H120">
        <v>403.19471874513545</v>
      </c>
      <c r="I120">
        <v>500.87389443332125</v>
      </c>
      <c r="J120">
        <v>263.10242751518609</v>
      </c>
      <c r="K120">
        <v>419.77387298964987</v>
      </c>
      <c r="L120">
        <v>31.280067815142612</v>
      </c>
      <c r="M120">
        <v>0</v>
      </c>
      <c r="N120">
        <v>0</v>
      </c>
      <c r="O120">
        <v>0</v>
      </c>
      <c r="P120">
        <v>38.642635853032168</v>
      </c>
      <c r="Q120">
        <v>0</v>
      </c>
      <c r="R120">
        <v>0</v>
      </c>
      <c r="S120">
        <v>0</v>
      </c>
      <c r="T120">
        <v>25.739540023388059</v>
      </c>
      <c r="U120">
        <v>0</v>
      </c>
      <c r="V120">
        <v>0</v>
      </c>
      <c r="W120">
        <v>0</v>
      </c>
      <c r="X120">
        <f t="shared" si="8"/>
        <v>2043.8706131219449</v>
      </c>
      <c r="Y120">
        <f>X120*VLOOKUP($D120,'LinearReg Model'!$S$2:$T$6,2,FALSE)</f>
        <v>1630.1722869619898</v>
      </c>
      <c r="Z120">
        <f t="shared" si="9"/>
        <v>0.17675456236208201</v>
      </c>
      <c r="AA120">
        <f t="shared" si="10"/>
        <v>0.2450614492021356</v>
      </c>
      <c r="AB120">
        <f t="shared" si="11"/>
        <v>0.19727017755261367</v>
      </c>
      <c r="AC120">
        <v>34.263678151264266</v>
      </c>
      <c r="AD120">
        <v>1.5923770961611641</v>
      </c>
      <c r="AE120" s="2">
        <f>VLOOKUP($D120,'MultiReg Model'!$A$5:$F$9,2,FALSE)+AC120*VLOOKUP($D120,'MultiReg Model'!$A$5:$F$9,3,FALSE)+Z120*VLOOKUP($D120,'MultiReg Model'!$A$5:$F$9,4,FALSE)+AA120*VLOOKUP($D120,'MultiReg Model'!$A$5:$F$9,5,FALSE)+AB120*VLOOKUP($D120,'MultiReg Model'!$A$5:$F$9,6,FALSE)</f>
        <v>10.812863744578635</v>
      </c>
      <c r="AF120" cm="1">
        <f t="array" ref="AF120">MMULT($AG120:$AM120,'Avg CI Index'!$C$2:$C$8)/BI120</f>
        <v>10.802863670489977</v>
      </c>
      <c r="AG120">
        <v>5.0469864462120563E-4</v>
      </c>
      <c r="AH120">
        <v>9.1806163458155513E-4</v>
      </c>
      <c r="AI120">
        <v>1.0439240297750395E-3</v>
      </c>
      <c r="AJ120">
        <v>84.084582216496571</v>
      </c>
      <c r="AK120">
        <v>146.08175755164308</v>
      </c>
      <c r="AL120">
        <v>290.23468556588517</v>
      </c>
      <c r="AM120">
        <v>1093.4693207254597</v>
      </c>
      <c r="AN120" cm="1">
        <f t="array" ref="AN120">$Y120*INDEX(RefCapacity!$D$2:$D$526,MATCH(1,(RefCapacity!$A$2:$A$526=RefCapacityProj!$D120)*(RefCapacity!$B$2:$B$526=2019)*(RefCapacity!$C$2:$C$526=AG$1),0))/SUMIFS(RefCapacity!$D$2:$D$526,RefCapacity!$A$2:$A$526,RefCapacityProj!$D120,RefCapacity!$B$2:$B$526,2019)</f>
        <v>110.66172142563227</v>
      </c>
      <c r="AO120" cm="1">
        <f t="array" ref="AO120">$Y120*INDEX(RefCapacity!$D$2:$D$526,MATCH(1,(RefCapacity!$A$2:$A$526=RefCapacityProj!$D120)*(RefCapacity!$B$2:$B$526=2019)*(RefCapacity!$C$2:$C$526=AH$1),0))/SUMIFS(RefCapacity!$D$2:$D$526,RefCapacity!$A$2:$A$526,RefCapacityProj!$D120,RefCapacity!$B$2:$B$526,2019)</f>
        <v>126.97259879288835</v>
      </c>
      <c r="AP120" cm="1">
        <f t="array" ref="AP120">$Y120*INDEX(RefCapacity!$D$2:$D$526,MATCH(1,(RefCapacity!$A$2:$A$526=RefCapacityProj!$D120)*(RefCapacity!$B$2:$B$526=2019)*(RefCapacity!$C$2:$C$526=AI$1),0))/SUMIFS(RefCapacity!$D$2:$D$526,RefCapacity!$A$2:$A$526,RefCapacityProj!$D120,RefCapacity!$B$2:$B$526,2019)</f>
        <v>138.1677274811006</v>
      </c>
      <c r="AQ120" cm="1">
        <f t="array" ref="AQ120">$Y120*INDEX(RefCapacity!$D$2:$D$526,MATCH(1,(RefCapacity!$A$2:$A$526=RefCapacityProj!$D120)*(RefCapacity!$B$2:$B$526=2019)*(RefCapacity!$C$2:$C$526=AJ$1),0))/SUMIFS(RefCapacity!$D$2:$D$526,RefCapacity!$A$2:$A$526,RefCapacityProj!$D120,RefCapacity!$B$2:$B$526,2019)</f>
        <v>145.6783834364835</v>
      </c>
      <c r="AR120" cm="1">
        <f t="array" ref="AR120">$Y120*INDEX(RefCapacity!$D$2:$D$526,MATCH(1,(RefCapacity!$A$2:$A$526=RefCapacityProj!$D120)*(RefCapacity!$B$2:$B$526=2019)*(RefCapacity!$C$2:$C$526=AK$1),0))/SUMIFS(RefCapacity!$D$2:$D$526,RefCapacity!$A$2:$A$526,RefCapacityProj!$D120,RefCapacity!$B$2:$B$526,2019)</f>
        <v>127.08596718466771</v>
      </c>
      <c r="AS120" cm="1">
        <f t="array" ref="AS120">$Y120*INDEX(RefCapacity!$D$2:$D$526,MATCH(1,(RefCapacity!$A$2:$A$526=RefCapacityProj!$D120)*(RefCapacity!$B$2:$B$526=2019)*(RefCapacity!$C$2:$C$526=AL$1),0))/SUMIFS(RefCapacity!$D$2:$D$526,RefCapacity!$A$2:$A$526,RefCapacityProj!$D120,RefCapacity!$B$2:$B$526,2019)</f>
        <v>203.18450016656618</v>
      </c>
      <c r="AT120" cm="1">
        <f t="array" ref="AT120">$Y120*INDEX(RefCapacity!$D$2:$D$526,MATCH(1,(RefCapacity!$A$2:$A$526=RefCapacityProj!$D120)*(RefCapacity!$B$2:$B$526=2019)*(RefCapacity!$C$2:$C$526=AM$1),0))/SUMIFS(RefCapacity!$D$2:$D$526,RefCapacity!$A$2:$A$526,RefCapacityProj!$D120,RefCapacity!$B$2:$B$526,2019)</f>
        <v>778.42138847465105</v>
      </c>
      <c r="AU120" cm="1">
        <f t="array" ref="AU120">INDEX(RefCapacity!$D$2:$D$526,MATCH(1,(RefCapacity!$A$2:$A$526=RefCapacityProj!$D120)*(RefCapacity!$B$2:$B$526=2019)*(RefCapacity!$C$2:$C$526=RefCapacityProj!AG$1),0))*IF($C120=2035,1+VLOOKUP(AG$1,RefCapacity!$H$2:$L$8,2,FALSE),1+VLOOKUP(AG$1,RefCapacity!$H$2:$L$8,4,FALSE))</f>
        <v>884.55862608843188</v>
      </c>
      <c r="AV120" cm="1">
        <f t="array" ref="AV120">INDEX(RefCapacity!$D$2:$D$526,MATCH(1,(RefCapacity!$A$2:$A$526=RefCapacityProj!$D120)*(RefCapacity!$B$2:$B$526=2019)*(RefCapacity!$C$2:$C$526=RefCapacityProj!AH$1),0))*IF($C120=2035,1+VLOOKUP(AH$1,RefCapacity!$H$2:$L$8,2,FALSE),1+VLOOKUP(AH$1,RefCapacity!$H$2:$L$8,4,FALSE))</f>
        <v>379.90242021338935</v>
      </c>
      <c r="AW120" cm="1">
        <f t="array" ref="AW120">INDEX(RefCapacity!$D$2:$D$526,MATCH(1,(RefCapacity!$A$2:$A$526=RefCapacityProj!$D120)*(RefCapacity!$B$2:$B$526=2019)*(RefCapacity!$C$2:$C$526=RefCapacityProj!AI$1),0))*IF($C120=2035,1+VLOOKUP(AI$1,RefCapacity!$H$2:$L$8,2,FALSE),1+VLOOKUP(AI$1,RefCapacity!$H$2:$L$8,4,FALSE))</f>
        <v>260.28485694099828</v>
      </c>
      <c r="AX120" cm="1">
        <f t="array" ref="AX120">INDEX(RefCapacity!$D$2:$D$526,MATCH(1,(RefCapacity!$A$2:$A$526=RefCapacityProj!$D120)*(RefCapacity!$B$2:$B$526=2019)*(RefCapacity!$C$2:$C$526=RefCapacityProj!AJ$1),0))*IF($C120=2035,1+VLOOKUP(AJ$1,RefCapacity!$H$2:$L$8,2,FALSE),1+VLOOKUP(AJ$1,RefCapacity!$H$2:$L$8,4,FALSE))</f>
        <v>727.12618083670714</v>
      </c>
      <c r="AY120" cm="1">
        <f t="array" ref="AY120">INDEX(RefCapacity!$D$2:$D$526,MATCH(1,(RefCapacity!$A$2:$A$526=RefCapacityProj!$D120)*(RefCapacity!$B$2:$B$526=2019)*(RefCapacity!$C$2:$C$526=RefCapacityProj!AK$1),0))*IF($C120=2035,1+VLOOKUP(AK$1,RefCapacity!$H$2:$L$8,2,FALSE),1+VLOOKUP(AK$1,RefCapacity!$H$2:$L$8,4,FALSE))</f>
        <v>332.5483871083473</v>
      </c>
      <c r="AZ120" cm="1">
        <f t="array" ref="AZ120">INDEX(RefCapacity!$D$2:$D$526,MATCH(1,(RefCapacity!$A$2:$A$526=RefCapacityProj!$D120)*(RefCapacity!$B$2:$B$526=2019)*(RefCapacity!$C$2:$C$526=RefCapacityProj!AL$1),0))*IF($C120=2035,1+VLOOKUP(AL$1,RefCapacity!$H$2:$L$8,2,FALSE),1+VLOOKUP(AL$1,RefCapacity!$H$2:$L$8,4,FALSE))</f>
        <v>653.32703349282281</v>
      </c>
      <c r="BA120" cm="1">
        <f t="array" ref="BA120">INDEX(RefCapacity!$D$2:$D$526,MATCH(1,(RefCapacity!$A$2:$A$526=RefCapacityProj!$D120)*(RefCapacity!$B$2:$B$526=2019)*(RefCapacity!$C$2:$C$526=RefCapacityProj!AM$1),0))*IF($C120=2035,1+VLOOKUP(AM$1,RefCapacity!$H$2:$L$8,2,FALSE),1+VLOOKUP(AM$1,RefCapacity!$H$2:$L$8,4,FALSE))</f>
        <v>1481.5146306303682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f t="shared" si="12"/>
        <v>1613.8728127437935</v>
      </c>
      <c r="BJ120">
        <f t="shared" si="13"/>
        <v>16.299474218196337</v>
      </c>
      <c r="BK120">
        <f t="shared" si="14"/>
        <v>1.000007408865855E-2</v>
      </c>
      <c r="BL120" cm="1">
        <f t="array" ref="BL120">AG120/$BI120*INDEX('GHG Emission'!$C$2:$C$1121,MATCH(1,('GHG Emission'!$D$2:$D$1121=$D120)*('GHG Emission'!$E$2:$E$1121=$C120)*('GHG Emission'!$F$2:$F$1121=$B120)*('GHG Emission'!$I$2:$I$1121=$E120)*('GHG Emission'!$J$2:$J$1121=$F120)*('GHG Emission'!$K$2:$K$1121=AG$1),0))+AH120/$BI120*INDEX('GHG Emission'!$C$2:$C$1121,MATCH(1,('GHG Emission'!$D$2:$D$1121=$D120)*('GHG Emission'!$E$2:$E$1121=$C120)*('GHG Emission'!$F$2:$F$1121=$B120)*('GHG Emission'!$I$2:$I$1121=$E120)*('GHG Emission'!$J$2:$J$1121=$F120)*('GHG Emission'!$K$2:$K$1121=AH$1),0))+AI120/$BI120*INDEX('GHG Emission'!$C$2:$C$1121,MATCH(1,('GHG Emission'!$D$2:$D$1121=$D120)*('GHG Emission'!$E$2:$E$1121=$C120)*('GHG Emission'!$F$2:$F$1121=$B120)*('GHG Emission'!$I$2:$I$1121=$E120)*('GHG Emission'!$J$2:$J$1121=$F120)*('GHG Emission'!$K$2:$K$1121=AI$1),0))+AJ120/$BI120*INDEX('GHG Emission'!$C$2:$C$1121,MATCH(1,('GHG Emission'!$D$2:$D$1121=$D120)*('GHG Emission'!$E$2:$E$1121=$C120)*('GHG Emission'!$F$2:$F$1121=$B120)*('GHG Emission'!$I$2:$I$1121=$E120)*('GHG Emission'!$J$2:$J$1121=$F120)*('GHG Emission'!$K$2:$K$1121=AJ$1),0))+AK120/$BI120*INDEX('GHG Emission'!$C$2:$C$1121,MATCH(1,('GHG Emission'!$D$2:$D$1121=$D120)*('GHG Emission'!$E$2:$E$1121=$C120)*('GHG Emission'!$F$2:$F$1121=$B120)*('GHG Emission'!$I$2:$I$1121=$E120)*('GHG Emission'!$J$2:$J$1121=$F120)*('GHG Emission'!$K$2:$K$1121=AK$1),0))+AL120/$BI120*INDEX('GHG Emission'!$C$2:$C$1121,MATCH(1,('GHG Emission'!$D$2:$D$1121=$D120)*('GHG Emission'!$E$2:$E$1121=$C120)*('GHG Emission'!$F$2:$F$1121=$B120)*('GHG Emission'!$I$2:$I$1121=$E120)*('GHG Emission'!$J$2:$J$1121=$F120)*('GHG Emission'!$K$2:$K$1121=AL$1),0))+AM120/$BI120*INDEX('GHG Emission'!$C$2:$C$1121,MATCH(1,('GHG Emission'!$D$2:$D$1121=$D120)*('GHG Emission'!$E$2:$E$1121=$C120)*('GHG Emission'!$F$2:$F$1121=$B120)*('GHG Emission'!$I$2:$I$1121=$E120)*('GHG Emission'!$J$2:$J$1121=$F120)*('GHG Emission'!$K$2:$K$1121=AM$1),0))</f>
        <v>34.748492551028605</v>
      </c>
      <c r="BM120" t="str">
        <f t="shared" si="15"/>
        <v>LIGHT/SWEET</v>
      </c>
    </row>
    <row r="121" spans="1:65" hidden="1" x14ac:dyDescent="0.25">
      <c r="A121">
        <v>120</v>
      </c>
      <c r="B121" t="s">
        <v>471</v>
      </c>
      <c r="C121">
        <v>2050</v>
      </c>
      <c r="D121">
        <v>5</v>
      </c>
      <c r="E121" t="s">
        <v>469</v>
      </c>
      <c r="F121" t="s">
        <v>468</v>
      </c>
      <c r="G121">
        <v>361.26345574708961</v>
      </c>
      <c r="H121">
        <v>403.19471874513545</v>
      </c>
      <c r="I121">
        <v>500.87389443332125</v>
      </c>
      <c r="J121">
        <v>263.10242751518609</v>
      </c>
      <c r="K121">
        <v>419.77387298964987</v>
      </c>
      <c r="L121">
        <v>31.280067815142612</v>
      </c>
      <c r="M121">
        <v>0</v>
      </c>
      <c r="N121">
        <v>0</v>
      </c>
      <c r="O121">
        <v>0</v>
      </c>
      <c r="P121">
        <v>38.642635853032168</v>
      </c>
      <c r="Q121">
        <v>0</v>
      </c>
      <c r="R121">
        <v>0</v>
      </c>
      <c r="S121">
        <v>0</v>
      </c>
      <c r="T121">
        <v>25.739540023388059</v>
      </c>
      <c r="U121">
        <v>0</v>
      </c>
      <c r="V121">
        <v>0</v>
      </c>
      <c r="W121">
        <v>0</v>
      </c>
      <c r="X121">
        <f t="shared" si="8"/>
        <v>2043.8706131219449</v>
      </c>
      <c r="Y121">
        <f>X121*VLOOKUP($D121,'LinearReg Model'!$S$2:$T$6,2,FALSE)</f>
        <v>1630.1722869619898</v>
      </c>
      <c r="Z121">
        <f t="shared" si="9"/>
        <v>0.17675456236208201</v>
      </c>
      <c r="AA121">
        <f t="shared" si="10"/>
        <v>0.2450614492021356</v>
      </c>
      <c r="AB121">
        <f t="shared" si="11"/>
        <v>0.19727017755261367</v>
      </c>
      <c r="AC121">
        <v>34.263678151264266</v>
      </c>
      <c r="AD121">
        <v>1.8659991154487672</v>
      </c>
      <c r="AE121" s="2">
        <f>VLOOKUP($D121,'MultiReg Model'!$A$5:$F$9,2,FALSE)+AC121*VLOOKUP($D121,'MultiReg Model'!$A$5:$F$9,3,FALSE)+Z121*VLOOKUP($D121,'MultiReg Model'!$A$5:$F$9,4,FALSE)+AA121*VLOOKUP($D121,'MultiReg Model'!$A$5:$F$9,5,FALSE)+AB121*VLOOKUP($D121,'MultiReg Model'!$A$5:$F$9,6,FALSE)</f>
        <v>10.812863744578635</v>
      </c>
      <c r="AF121" cm="1">
        <f t="array" ref="AF121">MMULT($AG121:$AM121,'Avg CI Index'!$C$2:$C$8)/BI121</f>
        <v>10.802863670489977</v>
      </c>
      <c r="AG121">
        <v>5.0469864462120563E-4</v>
      </c>
      <c r="AH121">
        <v>9.1806163458155513E-4</v>
      </c>
      <c r="AI121">
        <v>1.0439240297750395E-3</v>
      </c>
      <c r="AJ121">
        <v>84.084582216496571</v>
      </c>
      <c r="AK121">
        <v>146.08175755164308</v>
      </c>
      <c r="AL121">
        <v>290.23468556588517</v>
      </c>
      <c r="AM121">
        <v>1093.4693207254597</v>
      </c>
      <c r="AN121" cm="1">
        <f t="array" ref="AN121">$Y121*INDEX(RefCapacity!$D$2:$D$526,MATCH(1,(RefCapacity!$A$2:$A$526=RefCapacityProj!$D121)*(RefCapacity!$B$2:$B$526=2019)*(RefCapacity!$C$2:$C$526=AG$1),0))/SUMIFS(RefCapacity!$D$2:$D$526,RefCapacity!$A$2:$A$526,RefCapacityProj!$D121,RefCapacity!$B$2:$B$526,2019)</f>
        <v>110.66172142563227</v>
      </c>
      <c r="AO121" cm="1">
        <f t="array" ref="AO121">$Y121*INDEX(RefCapacity!$D$2:$D$526,MATCH(1,(RefCapacity!$A$2:$A$526=RefCapacityProj!$D121)*(RefCapacity!$B$2:$B$526=2019)*(RefCapacity!$C$2:$C$526=AH$1),0))/SUMIFS(RefCapacity!$D$2:$D$526,RefCapacity!$A$2:$A$526,RefCapacityProj!$D121,RefCapacity!$B$2:$B$526,2019)</f>
        <v>126.97259879288835</v>
      </c>
      <c r="AP121" cm="1">
        <f t="array" ref="AP121">$Y121*INDEX(RefCapacity!$D$2:$D$526,MATCH(1,(RefCapacity!$A$2:$A$526=RefCapacityProj!$D121)*(RefCapacity!$B$2:$B$526=2019)*(RefCapacity!$C$2:$C$526=AI$1),0))/SUMIFS(RefCapacity!$D$2:$D$526,RefCapacity!$A$2:$A$526,RefCapacityProj!$D121,RefCapacity!$B$2:$B$526,2019)</f>
        <v>138.1677274811006</v>
      </c>
      <c r="AQ121" cm="1">
        <f t="array" ref="AQ121">$Y121*INDEX(RefCapacity!$D$2:$D$526,MATCH(1,(RefCapacity!$A$2:$A$526=RefCapacityProj!$D121)*(RefCapacity!$B$2:$B$526=2019)*(RefCapacity!$C$2:$C$526=AJ$1),0))/SUMIFS(RefCapacity!$D$2:$D$526,RefCapacity!$A$2:$A$526,RefCapacityProj!$D121,RefCapacity!$B$2:$B$526,2019)</f>
        <v>145.6783834364835</v>
      </c>
      <c r="AR121" cm="1">
        <f t="array" ref="AR121">$Y121*INDEX(RefCapacity!$D$2:$D$526,MATCH(1,(RefCapacity!$A$2:$A$526=RefCapacityProj!$D121)*(RefCapacity!$B$2:$B$526=2019)*(RefCapacity!$C$2:$C$526=AK$1),0))/SUMIFS(RefCapacity!$D$2:$D$526,RefCapacity!$A$2:$A$526,RefCapacityProj!$D121,RefCapacity!$B$2:$B$526,2019)</f>
        <v>127.08596718466771</v>
      </c>
      <c r="AS121" cm="1">
        <f t="array" ref="AS121">$Y121*INDEX(RefCapacity!$D$2:$D$526,MATCH(1,(RefCapacity!$A$2:$A$526=RefCapacityProj!$D121)*(RefCapacity!$B$2:$B$526=2019)*(RefCapacity!$C$2:$C$526=AL$1),0))/SUMIFS(RefCapacity!$D$2:$D$526,RefCapacity!$A$2:$A$526,RefCapacityProj!$D121,RefCapacity!$B$2:$B$526,2019)</f>
        <v>203.18450016656618</v>
      </c>
      <c r="AT121" cm="1">
        <f t="array" ref="AT121">$Y121*INDEX(RefCapacity!$D$2:$D$526,MATCH(1,(RefCapacity!$A$2:$A$526=RefCapacityProj!$D121)*(RefCapacity!$B$2:$B$526=2019)*(RefCapacity!$C$2:$C$526=AM$1),0))/SUMIFS(RefCapacity!$D$2:$D$526,RefCapacity!$A$2:$A$526,RefCapacityProj!$D121,RefCapacity!$B$2:$B$526,2019)</f>
        <v>778.42138847465105</v>
      </c>
      <c r="AU121" cm="1">
        <f t="array" ref="AU121">INDEX(RefCapacity!$D$2:$D$526,MATCH(1,(RefCapacity!$A$2:$A$526=RefCapacityProj!$D121)*(RefCapacity!$B$2:$B$526=2019)*(RefCapacity!$C$2:$C$526=RefCapacityProj!AG$1),0))*IF($C121=2035,1+VLOOKUP(AG$1,RefCapacity!$H$2:$L$8,2,FALSE),1+VLOOKUP(AG$1,RefCapacity!$H$2:$L$8,4,FALSE))</f>
        <v>884.55862608843188</v>
      </c>
      <c r="AV121" cm="1">
        <f t="array" ref="AV121">INDEX(RefCapacity!$D$2:$D$526,MATCH(1,(RefCapacity!$A$2:$A$526=RefCapacityProj!$D121)*(RefCapacity!$B$2:$B$526=2019)*(RefCapacity!$C$2:$C$526=RefCapacityProj!AH$1),0))*IF($C121=2035,1+VLOOKUP(AH$1,RefCapacity!$H$2:$L$8,2,FALSE),1+VLOOKUP(AH$1,RefCapacity!$H$2:$L$8,4,FALSE))</f>
        <v>379.90242021338935</v>
      </c>
      <c r="AW121" cm="1">
        <f t="array" ref="AW121">INDEX(RefCapacity!$D$2:$D$526,MATCH(1,(RefCapacity!$A$2:$A$526=RefCapacityProj!$D121)*(RefCapacity!$B$2:$B$526=2019)*(RefCapacity!$C$2:$C$526=RefCapacityProj!AI$1),0))*IF($C121=2035,1+VLOOKUP(AI$1,RefCapacity!$H$2:$L$8,2,FALSE),1+VLOOKUP(AI$1,RefCapacity!$H$2:$L$8,4,FALSE))</f>
        <v>260.28485694099828</v>
      </c>
      <c r="AX121" cm="1">
        <f t="array" ref="AX121">INDEX(RefCapacity!$D$2:$D$526,MATCH(1,(RefCapacity!$A$2:$A$526=RefCapacityProj!$D121)*(RefCapacity!$B$2:$B$526=2019)*(RefCapacity!$C$2:$C$526=RefCapacityProj!AJ$1),0))*IF($C121=2035,1+VLOOKUP(AJ$1,RefCapacity!$H$2:$L$8,2,FALSE),1+VLOOKUP(AJ$1,RefCapacity!$H$2:$L$8,4,FALSE))</f>
        <v>727.12618083670714</v>
      </c>
      <c r="AY121" cm="1">
        <f t="array" ref="AY121">INDEX(RefCapacity!$D$2:$D$526,MATCH(1,(RefCapacity!$A$2:$A$526=RefCapacityProj!$D121)*(RefCapacity!$B$2:$B$526=2019)*(RefCapacity!$C$2:$C$526=RefCapacityProj!AK$1),0))*IF($C121=2035,1+VLOOKUP(AK$1,RefCapacity!$H$2:$L$8,2,FALSE),1+VLOOKUP(AK$1,RefCapacity!$H$2:$L$8,4,FALSE))</f>
        <v>332.5483871083473</v>
      </c>
      <c r="AZ121" cm="1">
        <f t="array" ref="AZ121">INDEX(RefCapacity!$D$2:$D$526,MATCH(1,(RefCapacity!$A$2:$A$526=RefCapacityProj!$D121)*(RefCapacity!$B$2:$B$526=2019)*(RefCapacity!$C$2:$C$526=RefCapacityProj!AL$1),0))*IF($C121=2035,1+VLOOKUP(AL$1,RefCapacity!$H$2:$L$8,2,FALSE),1+VLOOKUP(AL$1,RefCapacity!$H$2:$L$8,4,FALSE))</f>
        <v>653.32703349282281</v>
      </c>
      <c r="BA121" cm="1">
        <f t="array" ref="BA121">INDEX(RefCapacity!$D$2:$D$526,MATCH(1,(RefCapacity!$A$2:$A$526=RefCapacityProj!$D121)*(RefCapacity!$B$2:$B$526=2019)*(RefCapacity!$C$2:$C$526=RefCapacityProj!AM$1),0))*IF($C121=2035,1+VLOOKUP(AM$1,RefCapacity!$H$2:$L$8,2,FALSE),1+VLOOKUP(AM$1,RefCapacity!$H$2:$L$8,4,FALSE))</f>
        <v>1481.5146306303682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f t="shared" si="12"/>
        <v>1613.8728127437935</v>
      </c>
      <c r="BJ121">
        <f t="shared" si="13"/>
        <v>16.299474218196337</v>
      </c>
      <c r="BK121">
        <f t="shared" si="14"/>
        <v>1.000007408865855E-2</v>
      </c>
      <c r="BL121" cm="1">
        <f t="array" ref="BL121">AG121/$BI121*INDEX('GHG Emission'!$C$2:$C$1121,MATCH(1,('GHG Emission'!$D$2:$D$1121=$D121)*('GHG Emission'!$E$2:$E$1121=$C121)*('GHG Emission'!$F$2:$F$1121=$B121)*('GHG Emission'!$I$2:$I$1121=$E121)*('GHG Emission'!$J$2:$J$1121=$F121)*('GHG Emission'!$K$2:$K$1121=AG$1),0))+AH121/$BI121*INDEX('GHG Emission'!$C$2:$C$1121,MATCH(1,('GHG Emission'!$D$2:$D$1121=$D121)*('GHG Emission'!$E$2:$E$1121=$C121)*('GHG Emission'!$F$2:$F$1121=$B121)*('GHG Emission'!$I$2:$I$1121=$E121)*('GHG Emission'!$J$2:$J$1121=$F121)*('GHG Emission'!$K$2:$K$1121=AH$1),0))+AI121/$BI121*INDEX('GHG Emission'!$C$2:$C$1121,MATCH(1,('GHG Emission'!$D$2:$D$1121=$D121)*('GHG Emission'!$E$2:$E$1121=$C121)*('GHG Emission'!$F$2:$F$1121=$B121)*('GHG Emission'!$I$2:$I$1121=$E121)*('GHG Emission'!$J$2:$J$1121=$F121)*('GHG Emission'!$K$2:$K$1121=AI$1),0))+AJ121/$BI121*INDEX('GHG Emission'!$C$2:$C$1121,MATCH(1,('GHG Emission'!$D$2:$D$1121=$D121)*('GHG Emission'!$E$2:$E$1121=$C121)*('GHG Emission'!$F$2:$F$1121=$B121)*('GHG Emission'!$I$2:$I$1121=$E121)*('GHG Emission'!$J$2:$J$1121=$F121)*('GHG Emission'!$K$2:$K$1121=AJ$1),0))+AK121/$BI121*INDEX('GHG Emission'!$C$2:$C$1121,MATCH(1,('GHG Emission'!$D$2:$D$1121=$D121)*('GHG Emission'!$E$2:$E$1121=$C121)*('GHG Emission'!$F$2:$F$1121=$B121)*('GHG Emission'!$I$2:$I$1121=$E121)*('GHG Emission'!$J$2:$J$1121=$F121)*('GHG Emission'!$K$2:$K$1121=AK$1),0))+AL121/$BI121*INDEX('GHG Emission'!$C$2:$C$1121,MATCH(1,('GHG Emission'!$D$2:$D$1121=$D121)*('GHG Emission'!$E$2:$E$1121=$C121)*('GHG Emission'!$F$2:$F$1121=$B121)*('GHG Emission'!$I$2:$I$1121=$E121)*('GHG Emission'!$J$2:$J$1121=$F121)*('GHG Emission'!$K$2:$K$1121=AL$1),0))+AM121/$BI121*INDEX('GHG Emission'!$C$2:$C$1121,MATCH(1,('GHG Emission'!$D$2:$D$1121=$D121)*('GHG Emission'!$E$2:$E$1121=$C121)*('GHG Emission'!$F$2:$F$1121=$B121)*('GHG Emission'!$I$2:$I$1121=$E121)*('GHG Emission'!$J$2:$J$1121=$F121)*('GHG Emission'!$K$2:$K$1121=AM$1),0))</f>
        <v>35.289351908415938</v>
      </c>
      <c r="BM121" t="str">
        <f t="shared" si="15"/>
        <v>LIGHT/SOUR</v>
      </c>
    </row>
    <row r="122" spans="1:65" hidden="1" x14ac:dyDescent="0.25">
      <c r="A122">
        <v>121</v>
      </c>
      <c r="B122" t="s">
        <v>472</v>
      </c>
      <c r="C122">
        <v>2035</v>
      </c>
      <c r="D122">
        <v>1</v>
      </c>
      <c r="E122" t="s">
        <v>466</v>
      </c>
      <c r="F122" t="s">
        <v>467</v>
      </c>
      <c r="G122">
        <v>1110.1970668029492</v>
      </c>
      <c r="H122">
        <v>103.30655223670755</v>
      </c>
      <c r="I122">
        <v>312.27598023090906</v>
      </c>
      <c r="J122">
        <v>110.04113489570344</v>
      </c>
      <c r="K122">
        <v>126.58285122181967</v>
      </c>
      <c r="L122">
        <v>0</v>
      </c>
      <c r="M122">
        <v>0</v>
      </c>
      <c r="N122">
        <v>0</v>
      </c>
      <c r="O122">
        <v>0</v>
      </c>
      <c r="P122">
        <v>143.60580193208193</v>
      </c>
      <c r="Q122">
        <v>0</v>
      </c>
      <c r="R122">
        <v>0</v>
      </c>
      <c r="S122">
        <v>0</v>
      </c>
      <c r="T122">
        <v>10.257393535321418</v>
      </c>
      <c r="U122">
        <v>0</v>
      </c>
      <c r="V122">
        <v>0</v>
      </c>
      <c r="W122">
        <v>0</v>
      </c>
      <c r="X122">
        <f t="shared" si="8"/>
        <v>1916.2667808554922</v>
      </c>
      <c r="Y122">
        <f>X122*VLOOKUP($D122,'LinearReg Model'!$S$2:$T$6,2,FALSE)</f>
        <v>642.20943612412998</v>
      </c>
      <c r="Z122">
        <f t="shared" si="9"/>
        <v>0.57935412641621653</v>
      </c>
      <c r="AA122">
        <f t="shared" si="10"/>
        <v>0.16296059784092146</v>
      </c>
      <c r="AB122">
        <f t="shared" si="11"/>
        <v>5.3910318369443155E-2</v>
      </c>
      <c r="AC122">
        <v>30.30214176476078</v>
      </c>
      <c r="AD122">
        <v>0.41766843364396622</v>
      </c>
      <c r="AE122" s="2">
        <f>VLOOKUP($D122,'MultiReg Model'!$A$5:$F$9,2,FALSE)+AC122*VLOOKUP($D122,'MultiReg Model'!$A$5:$F$9,3,FALSE)+Z122*VLOOKUP($D122,'MultiReg Model'!$A$5:$F$9,4,FALSE)+AA122*VLOOKUP($D122,'MultiReg Model'!$A$5:$F$9,5,FALSE)+AB122*VLOOKUP($D122,'MultiReg Model'!$A$5:$F$9,6,FALSE)</f>
        <v>8.2761253271489181</v>
      </c>
      <c r="AF122" cm="1">
        <f t="array" ref="AF122">MMULT($AG122:$AM122,'Avg CI Index'!$C$2:$C$8)/BI122</f>
        <v>8.2861251927597976</v>
      </c>
      <c r="AG122">
        <v>29.907412831345923</v>
      </c>
      <c r="AH122">
        <v>347.91846682823092</v>
      </c>
      <c r="AI122">
        <v>0</v>
      </c>
      <c r="AJ122">
        <v>100.34817351632172</v>
      </c>
      <c r="AK122">
        <v>78.800831867477655</v>
      </c>
      <c r="AL122">
        <v>0</v>
      </c>
      <c r="AM122">
        <v>88.105196258262765</v>
      </c>
      <c r="AN122" cm="1">
        <f t="array" ref="AN122">$Y122*INDEX(RefCapacity!$D$2:$D$526,MATCH(1,(RefCapacity!$A$2:$A$526=RefCapacityProj!$D122)*(RefCapacity!$B$2:$B$526=2019)*(RefCapacity!$C$2:$C$526=AG$1),0))/SUMIFS(RefCapacity!$D$2:$D$526,RefCapacity!$A$2:$A$526,RefCapacityProj!$D122,RefCapacity!$B$2:$B$526,2019)</f>
        <v>17.243112123985821</v>
      </c>
      <c r="AO122" cm="1">
        <f t="array" ref="AO122">$Y122*INDEX(RefCapacity!$D$2:$D$526,MATCH(1,(RefCapacity!$A$2:$A$526=RefCapacityProj!$D122)*(RefCapacity!$B$2:$B$526=2019)*(RefCapacity!$C$2:$C$526=AH$1),0))/SUMIFS(RefCapacity!$D$2:$D$526,RefCapacity!$A$2:$A$526,RefCapacityProj!$D122,RefCapacity!$B$2:$B$526,2019)</f>
        <v>345.40989123138559</v>
      </c>
      <c r="AP122" cm="1">
        <f t="array" ref="AP122">$Y122*INDEX(RefCapacity!$D$2:$D$526,MATCH(1,(RefCapacity!$A$2:$A$526=RefCapacityProj!$D122)*(RefCapacity!$B$2:$B$526=2019)*(RefCapacity!$C$2:$C$526=AI$1),0))/SUMIFS(RefCapacity!$D$2:$D$526,RefCapacity!$A$2:$A$526,RefCapacityProj!$D122,RefCapacity!$B$2:$B$526,2019)</f>
        <v>0</v>
      </c>
      <c r="AQ122" cm="1">
        <f t="array" ref="AQ122">$Y122*INDEX(RefCapacity!$D$2:$D$526,MATCH(1,(RefCapacity!$A$2:$A$526=RefCapacityProj!$D122)*(RefCapacity!$B$2:$B$526=2019)*(RefCapacity!$C$2:$C$526=AJ$1),0))/SUMIFS(RefCapacity!$D$2:$D$526,RefCapacity!$A$2:$A$526,RefCapacityProj!$D122,RefCapacity!$B$2:$B$526,2019)</f>
        <v>103.06227936175431</v>
      </c>
      <c r="AR122" cm="1">
        <f t="array" ref="AR122">$Y122*INDEX(RefCapacity!$D$2:$D$526,MATCH(1,(RefCapacity!$A$2:$A$526=RefCapacityProj!$D122)*(RefCapacity!$B$2:$B$526=2019)*(RefCapacity!$C$2:$C$526=AK$1),0))/SUMIFS(RefCapacity!$D$2:$D$526,RefCapacity!$A$2:$A$526,RefCapacityProj!$D122,RefCapacity!$B$2:$B$526,2019)</f>
        <v>82.251626798323159</v>
      </c>
      <c r="AS122" cm="1">
        <f t="array" ref="AS122">$Y122*INDEX(RefCapacity!$D$2:$D$526,MATCH(1,(RefCapacity!$A$2:$A$526=RefCapacityProj!$D122)*(RefCapacity!$B$2:$B$526=2019)*(RefCapacity!$C$2:$C$526=AL$1),0))/SUMIFS(RefCapacity!$D$2:$D$526,RefCapacity!$A$2:$A$526,RefCapacityProj!$D122,RefCapacity!$B$2:$B$526,2019)</f>
        <v>0</v>
      </c>
      <c r="AT122" cm="1">
        <f t="array" ref="AT122">$Y122*INDEX(RefCapacity!$D$2:$D$526,MATCH(1,(RefCapacity!$A$2:$A$526=RefCapacityProj!$D122)*(RefCapacity!$B$2:$B$526=2019)*(RefCapacity!$C$2:$C$526=AM$1),0))/SUMIFS(RefCapacity!$D$2:$D$526,RefCapacity!$A$2:$A$526,RefCapacityProj!$D122,RefCapacity!$B$2:$B$526,2019)</f>
        <v>94.242526608681118</v>
      </c>
      <c r="AU122" cm="1">
        <f t="array" ref="AU122">INDEX(RefCapacity!$D$2:$D$526,MATCH(1,(RefCapacity!$A$2:$A$526=RefCapacityProj!$D122)*(RefCapacity!$B$2:$B$526=2019)*(RefCapacity!$C$2:$C$526=RefCapacityProj!AG$1),0))*IF($C122=2035,1+VLOOKUP(AG$1,RefCapacity!$H$2:$L$8,2,FALSE),1+VLOOKUP(AG$1,RefCapacity!$H$2:$L$8,4,FALSE))</f>
        <v>91.42693476369206</v>
      </c>
      <c r="AV122" cm="1">
        <f t="array" ref="AV122">INDEX(RefCapacity!$D$2:$D$526,MATCH(1,(RefCapacity!$A$2:$A$526=RefCapacityProj!$D122)*(RefCapacity!$B$2:$B$526=2019)*(RefCapacity!$C$2:$C$526=RefCapacityProj!AH$1),0))*IF($C122=2035,1+VLOOKUP(AH$1,RefCapacity!$H$2:$L$8,2,FALSE),1+VLOOKUP(AH$1,RefCapacity!$H$2:$L$8,4,FALSE))</f>
        <v>892.71066470160065</v>
      </c>
      <c r="AW122" cm="1">
        <f t="array" ref="AW122">INDEX(RefCapacity!$D$2:$D$526,MATCH(1,(RefCapacity!$A$2:$A$526=RefCapacityProj!$D122)*(RefCapacity!$B$2:$B$526=2019)*(RefCapacity!$C$2:$C$526=RefCapacityProj!AI$1),0))*IF($C122=2035,1+VLOOKUP(AI$1,RefCapacity!$H$2:$L$8,2,FALSE),1+VLOOKUP(AI$1,RefCapacity!$H$2:$L$8,4,FALSE))</f>
        <v>0</v>
      </c>
      <c r="AX122" cm="1">
        <f t="array" ref="AX122">INDEX(RefCapacity!$D$2:$D$526,MATCH(1,(RefCapacity!$A$2:$A$526=RefCapacityProj!$D122)*(RefCapacity!$B$2:$B$526=2019)*(RefCapacity!$C$2:$C$526=RefCapacityProj!AJ$1),0))*IF($C122=2035,1+VLOOKUP(AJ$1,RefCapacity!$H$2:$L$8,2,FALSE),1+VLOOKUP(AJ$1,RefCapacity!$H$2:$L$8,4,FALSE))</f>
        <v>378.33333333333331</v>
      </c>
      <c r="AY122" cm="1">
        <f t="array" ref="AY122">INDEX(RefCapacity!$D$2:$D$526,MATCH(1,(RefCapacity!$A$2:$A$526=RefCapacityProj!$D122)*(RefCapacity!$B$2:$B$526=2019)*(RefCapacity!$C$2:$C$526=RefCapacityProj!AK$1),0))*IF($C122=2035,1+VLOOKUP(AK$1,RefCapacity!$H$2:$L$8,2,FALSE),1+VLOOKUP(AK$1,RefCapacity!$H$2:$L$8,4,FALSE))</f>
        <v>195.80557682200353</v>
      </c>
      <c r="AZ122" cm="1">
        <f t="array" ref="AZ122">INDEX(RefCapacity!$D$2:$D$526,MATCH(1,(RefCapacity!$A$2:$A$526=RefCapacityProj!$D122)*(RefCapacity!$B$2:$B$526=2019)*(RefCapacity!$C$2:$C$526=RefCapacityProj!AL$1),0))*IF($C122=2035,1+VLOOKUP(AL$1,RefCapacity!$H$2:$L$8,2,FALSE),1+VLOOKUP(AL$1,RefCapacity!$H$2:$L$8,4,FALSE))</f>
        <v>0</v>
      </c>
      <c r="BA122" cm="1">
        <f t="array" ref="BA122">INDEX(RefCapacity!$D$2:$D$526,MATCH(1,(RefCapacity!$A$2:$A$526=RefCapacityProj!$D122)*(RefCapacity!$B$2:$B$526=2019)*(RefCapacity!$C$2:$C$526=RefCapacityProj!AM$1),0))*IF($C122=2035,1+VLOOKUP(AM$1,RefCapacity!$H$2:$L$8,2,FALSE),1+VLOOKUP(AM$1,RefCapacity!$H$2:$L$8,4,FALSE))</f>
        <v>187.81193219368552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f t="shared" si="12"/>
        <v>645.08008130163898</v>
      </c>
      <c r="BJ122">
        <f t="shared" si="13"/>
        <v>2.8706451775090045</v>
      </c>
      <c r="BK122">
        <f t="shared" si="14"/>
        <v>9.9998656108795103E-3</v>
      </c>
      <c r="BL122" cm="1">
        <f t="array" ref="BL122">AG122/$BI122*INDEX('GHG Emission'!$C$2:$C$1121,MATCH(1,('GHG Emission'!$D$2:$D$1121=$D122)*('GHG Emission'!$E$2:$E$1121=$C122)*('GHG Emission'!$F$2:$F$1121=$B122)*('GHG Emission'!$I$2:$I$1121=$E122)*('GHG Emission'!$J$2:$J$1121=$F122)*('GHG Emission'!$K$2:$K$1121=AG$1),0))+AH122/$BI122*INDEX('GHG Emission'!$C$2:$C$1121,MATCH(1,('GHG Emission'!$D$2:$D$1121=$D122)*('GHG Emission'!$E$2:$E$1121=$C122)*('GHG Emission'!$F$2:$F$1121=$B122)*('GHG Emission'!$I$2:$I$1121=$E122)*('GHG Emission'!$J$2:$J$1121=$F122)*('GHG Emission'!$K$2:$K$1121=AH$1),0))+AI122/$BI122*INDEX('GHG Emission'!$C$2:$C$1121,MATCH(1,('GHG Emission'!$D$2:$D$1121=$D122)*('GHG Emission'!$E$2:$E$1121=$C122)*('GHG Emission'!$F$2:$F$1121=$B122)*('GHG Emission'!$I$2:$I$1121=$E122)*('GHG Emission'!$J$2:$J$1121=$F122)*('GHG Emission'!$K$2:$K$1121=AI$1),0))+AJ122/$BI122*INDEX('GHG Emission'!$C$2:$C$1121,MATCH(1,('GHG Emission'!$D$2:$D$1121=$D122)*('GHG Emission'!$E$2:$E$1121=$C122)*('GHG Emission'!$F$2:$F$1121=$B122)*('GHG Emission'!$I$2:$I$1121=$E122)*('GHG Emission'!$J$2:$J$1121=$F122)*('GHG Emission'!$K$2:$K$1121=AJ$1),0))+AK122/$BI122*INDEX('GHG Emission'!$C$2:$C$1121,MATCH(1,('GHG Emission'!$D$2:$D$1121=$D122)*('GHG Emission'!$E$2:$E$1121=$C122)*('GHG Emission'!$F$2:$F$1121=$B122)*('GHG Emission'!$I$2:$I$1121=$E122)*('GHG Emission'!$J$2:$J$1121=$F122)*('GHG Emission'!$K$2:$K$1121=AK$1),0))+AL122/$BI122*INDEX('GHG Emission'!$C$2:$C$1121,MATCH(1,('GHG Emission'!$D$2:$D$1121=$D122)*('GHG Emission'!$E$2:$E$1121=$C122)*('GHG Emission'!$F$2:$F$1121=$B122)*('GHG Emission'!$I$2:$I$1121=$E122)*('GHG Emission'!$J$2:$J$1121=$F122)*('GHG Emission'!$K$2:$K$1121=AL$1),0))+AM122/$BI122*INDEX('GHG Emission'!$C$2:$C$1121,MATCH(1,('GHG Emission'!$D$2:$D$1121=$D122)*('GHG Emission'!$E$2:$E$1121=$C122)*('GHG Emission'!$F$2:$F$1121=$B122)*('GHG Emission'!$I$2:$I$1121=$E122)*('GHG Emission'!$J$2:$J$1121=$F122)*('GHG Emission'!$K$2:$K$1121=AM$1),0))</f>
        <v>33.933643921839405</v>
      </c>
      <c r="BM122" t="str">
        <f t="shared" si="15"/>
        <v>HEAVY/SWEET</v>
      </c>
    </row>
    <row r="123" spans="1:65" hidden="1" x14ac:dyDescent="0.25">
      <c r="A123">
        <v>122</v>
      </c>
      <c r="B123" t="s">
        <v>472</v>
      </c>
      <c r="C123">
        <v>2035</v>
      </c>
      <c r="D123">
        <v>1</v>
      </c>
      <c r="E123" t="s">
        <v>466</v>
      </c>
      <c r="F123" t="s">
        <v>468</v>
      </c>
      <c r="G123">
        <v>1110.1970668029492</v>
      </c>
      <c r="H123">
        <v>103.30655223670755</v>
      </c>
      <c r="I123">
        <v>312.27598023090906</v>
      </c>
      <c r="J123">
        <v>110.04113489570344</v>
      </c>
      <c r="K123">
        <v>126.58285122181967</v>
      </c>
      <c r="L123">
        <v>0</v>
      </c>
      <c r="M123">
        <v>0</v>
      </c>
      <c r="N123">
        <v>0</v>
      </c>
      <c r="O123">
        <v>0</v>
      </c>
      <c r="P123">
        <v>143.60580193208193</v>
      </c>
      <c r="Q123">
        <v>0</v>
      </c>
      <c r="R123">
        <v>0</v>
      </c>
      <c r="S123">
        <v>0</v>
      </c>
      <c r="T123">
        <v>10.257393535321418</v>
      </c>
      <c r="U123">
        <v>0</v>
      </c>
      <c r="V123">
        <v>0</v>
      </c>
      <c r="W123">
        <v>0</v>
      </c>
      <c r="X123">
        <f t="shared" si="8"/>
        <v>1916.2667808554922</v>
      </c>
      <c r="Y123">
        <f>X123*VLOOKUP($D123,'LinearReg Model'!$S$2:$T$6,2,FALSE)</f>
        <v>642.20943612412998</v>
      </c>
      <c r="Z123">
        <f t="shared" si="9"/>
        <v>0.57935412641621653</v>
      </c>
      <c r="AA123">
        <f t="shared" si="10"/>
        <v>0.16296059784092146</v>
      </c>
      <c r="AB123">
        <f t="shared" si="11"/>
        <v>5.3910318369443155E-2</v>
      </c>
      <c r="AC123">
        <v>30.30214176476078</v>
      </c>
      <c r="AD123">
        <v>1.5301400799730309</v>
      </c>
      <c r="AE123" s="2">
        <f>VLOOKUP($D123,'MultiReg Model'!$A$5:$F$9,2,FALSE)+AC123*VLOOKUP($D123,'MultiReg Model'!$A$5:$F$9,3,FALSE)+Z123*VLOOKUP($D123,'MultiReg Model'!$A$5:$F$9,4,FALSE)+AA123*VLOOKUP($D123,'MultiReg Model'!$A$5:$F$9,5,FALSE)+AB123*VLOOKUP($D123,'MultiReg Model'!$A$5:$F$9,6,FALSE)</f>
        <v>8.2761253271489181</v>
      </c>
      <c r="AF123" cm="1">
        <f t="array" ref="AF123">MMULT($AG123:$AM123,'Avg CI Index'!$C$2:$C$8)/BI123</f>
        <v>8.2861251927597976</v>
      </c>
      <c r="AG123">
        <v>29.907412831345923</v>
      </c>
      <c r="AH123">
        <v>347.91846682823092</v>
      </c>
      <c r="AI123">
        <v>0</v>
      </c>
      <c r="AJ123">
        <v>100.34817351632172</v>
      </c>
      <c r="AK123">
        <v>78.800831867477655</v>
      </c>
      <c r="AL123">
        <v>0</v>
      </c>
      <c r="AM123">
        <v>88.105196258262765</v>
      </c>
      <c r="AN123" cm="1">
        <f t="array" ref="AN123">$Y123*INDEX(RefCapacity!$D$2:$D$526,MATCH(1,(RefCapacity!$A$2:$A$526=RefCapacityProj!$D123)*(RefCapacity!$B$2:$B$526=2019)*(RefCapacity!$C$2:$C$526=AG$1),0))/SUMIFS(RefCapacity!$D$2:$D$526,RefCapacity!$A$2:$A$526,RefCapacityProj!$D123,RefCapacity!$B$2:$B$526,2019)</f>
        <v>17.243112123985821</v>
      </c>
      <c r="AO123" cm="1">
        <f t="array" ref="AO123">$Y123*INDEX(RefCapacity!$D$2:$D$526,MATCH(1,(RefCapacity!$A$2:$A$526=RefCapacityProj!$D123)*(RefCapacity!$B$2:$B$526=2019)*(RefCapacity!$C$2:$C$526=AH$1),0))/SUMIFS(RefCapacity!$D$2:$D$526,RefCapacity!$A$2:$A$526,RefCapacityProj!$D123,RefCapacity!$B$2:$B$526,2019)</f>
        <v>345.40989123138559</v>
      </c>
      <c r="AP123" cm="1">
        <f t="array" ref="AP123">$Y123*INDEX(RefCapacity!$D$2:$D$526,MATCH(1,(RefCapacity!$A$2:$A$526=RefCapacityProj!$D123)*(RefCapacity!$B$2:$B$526=2019)*(RefCapacity!$C$2:$C$526=AI$1),0))/SUMIFS(RefCapacity!$D$2:$D$526,RefCapacity!$A$2:$A$526,RefCapacityProj!$D123,RefCapacity!$B$2:$B$526,2019)</f>
        <v>0</v>
      </c>
      <c r="AQ123" cm="1">
        <f t="array" ref="AQ123">$Y123*INDEX(RefCapacity!$D$2:$D$526,MATCH(1,(RefCapacity!$A$2:$A$526=RefCapacityProj!$D123)*(RefCapacity!$B$2:$B$526=2019)*(RefCapacity!$C$2:$C$526=AJ$1),0))/SUMIFS(RefCapacity!$D$2:$D$526,RefCapacity!$A$2:$A$526,RefCapacityProj!$D123,RefCapacity!$B$2:$B$526,2019)</f>
        <v>103.06227936175431</v>
      </c>
      <c r="AR123" cm="1">
        <f t="array" ref="AR123">$Y123*INDEX(RefCapacity!$D$2:$D$526,MATCH(1,(RefCapacity!$A$2:$A$526=RefCapacityProj!$D123)*(RefCapacity!$B$2:$B$526=2019)*(RefCapacity!$C$2:$C$526=AK$1),0))/SUMIFS(RefCapacity!$D$2:$D$526,RefCapacity!$A$2:$A$526,RefCapacityProj!$D123,RefCapacity!$B$2:$B$526,2019)</f>
        <v>82.251626798323159</v>
      </c>
      <c r="AS123" cm="1">
        <f t="array" ref="AS123">$Y123*INDEX(RefCapacity!$D$2:$D$526,MATCH(1,(RefCapacity!$A$2:$A$526=RefCapacityProj!$D123)*(RefCapacity!$B$2:$B$526=2019)*(RefCapacity!$C$2:$C$526=AL$1),0))/SUMIFS(RefCapacity!$D$2:$D$526,RefCapacity!$A$2:$A$526,RefCapacityProj!$D123,RefCapacity!$B$2:$B$526,2019)</f>
        <v>0</v>
      </c>
      <c r="AT123" cm="1">
        <f t="array" ref="AT123">$Y123*INDEX(RefCapacity!$D$2:$D$526,MATCH(1,(RefCapacity!$A$2:$A$526=RefCapacityProj!$D123)*(RefCapacity!$B$2:$B$526=2019)*(RefCapacity!$C$2:$C$526=AM$1),0))/SUMIFS(RefCapacity!$D$2:$D$526,RefCapacity!$A$2:$A$526,RefCapacityProj!$D123,RefCapacity!$B$2:$B$526,2019)</f>
        <v>94.242526608681118</v>
      </c>
      <c r="AU123" cm="1">
        <f t="array" ref="AU123">INDEX(RefCapacity!$D$2:$D$526,MATCH(1,(RefCapacity!$A$2:$A$526=RefCapacityProj!$D123)*(RefCapacity!$B$2:$B$526=2019)*(RefCapacity!$C$2:$C$526=RefCapacityProj!AG$1),0))*IF($C123=2035,1+VLOOKUP(AG$1,RefCapacity!$H$2:$L$8,2,FALSE),1+VLOOKUP(AG$1,RefCapacity!$H$2:$L$8,4,FALSE))</f>
        <v>91.42693476369206</v>
      </c>
      <c r="AV123" cm="1">
        <f t="array" ref="AV123">INDEX(RefCapacity!$D$2:$D$526,MATCH(1,(RefCapacity!$A$2:$A$526=RefCapacityProj!$D123)*(RefCapacity!$B$2:$B$526=2019)*(RefCapacity!$C$2:$C$526=RefCapacityProj!AH$1),0))*IF($C123=2035,1+VLOOKUP(AH$1,RefCapacity!$H$2:$L$8,2,FALSE),1+VLOOKUP(AH$1,RefCapacity!$H$2:$L$8,4,FALSE))</f>
        <v>892.71066470160065</v>
      </c>
      <c r="AW123" cm="1">
        <f t="array" ref="AW123">INDEX(RefCapacity!$D$2:$D$526,MATCH(1,(RefCapacity!$A$2:$A$526=RefCapacityProj!$D123)*(RefCapacity!$B$2:$B$526=2019)*(RefCapacity!$C$2:$C$526=RefCapacityProj!AI$1),0))*IF($C123=2035,1+VLOOKUP(AI$1,RefCapacity!$H$2:$L$8,2,FALSE),1+VLOOKUP(AI$1,RefCapacity!$H$2:$L$8,4,FALSE))</f>
        <v>0</v>
      </c>
      <c r="AX123" cm="1">
        <f t="array" ref="AX123">INDEX(RefCapacity!$D$2:$D$526,MATCH(1,(RefCapacity!$A$2:$A$526=RefCapacityProj!$D123)*(RefCapacity!$B$2:$B$526=2019)*(RefCapacity!$C$2:$C$526=RefCapacityProj!AJ$1),0))*IF($C123=2035,1+VLOOKUP(AJ$1,RefCapacity!$H$2:$L$8,2,FALSE),1+VLOOKUP(AJ$1,RefCapacity!$H$2:$L$8,4,FALSE))</f>
        <v>378.33333333333331</v>
      </c>
      <c r="AY123" cm="1">
        <f t="array" ref="AY123">INDEX(RefCapacity!$D$2:$D$526,MATCH(1,(RefCapacity!$A$2:$A$526=RefCapacityProj!$D123)*(RefCapacity!$B$2:$B$526=2019)*(RefCapacity!$C$2:$C$526=RefCapacityProj!AK$1),0))*IF($C123=2035,1+VLOOKUP(AK$1,RefCapacity!$H$2:$L$8,2,FALSE),1+VLOOKUP(AK$1,RefCapacity!$H$2:$L$8,4,FALSE))</f>
        <v>195.80557682200353</v>
      </c>
      <c r="AZ123" cm="1">
        <f t="array" ref="AZ123">INDEX(RefCapacity!$D$2:$D$526,MATCH(1,(RefCapacity!$A$2:$A$526=RefCapacityProj!$D123)*(RefCapacity!$B$2:$B$526=2019)*(RefCapacity!$C$2:$C$526=RefCapacityProj!AL$1),0))*IF($C123=2035,1+VLOOKUP(AL$1,RefCapacity!$H$2:$L$8,2,FALSE),1+VLOOKUP(AL$1,RefCapacity!$H$2:$L$8,4,FALSE))</f>
        <v>0</v>
      </c>
      <c r="BA123" cm="1">
        <f t="array" ref="BA123">INDEX(RefCapacity!$D$2:$D$526,MATCH(1,(RefCapacity!$A$2:$A$526=RefCapacityProj!$D123)*(RefCapacity!$B$2:$B$526=2019)*(RefCapacity!$C$2:$C$526=RefCapacityProj!AM$1),0))*IF($C123=2035,1+VLOOKUP(AM$1,RefCapacity!$H$2:$L$8,2,FALSE),1+VLOOKUP(AM$1,RefCapacity!$H$2:$L$8,4,FALSE))</f>
        <v>187.81193219368552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f t="shared" si="12"/>
        <v>645.08008130163898</v>
      </c>
      <c r="BJ123">
        <f t="shared" si="13"/>
        <v>2.8706451775090045</v>
      </c>
      <c r="BK123">
        <f t="shared" si="14"/>
        <v>9.9998656108795103E-3</v>
      </c>
      <c r="BL123" cm="1">
        <f t="array" ref="BL123">AG123/$BI123*INDEX('GHG Emission'!$C$2:$C$1121,MATCH(1,('GHG Emission'!$D$2:$D$1121=$D123)*('GHG Emission'!$E$2:$E$1121=$C123)*('GHG Emission'!$F$2:$F$1121=$B123)*('GHG Emission'!$I$2:$I$1121=$E123)*('GHG Emission'!$J$2:$J$1121=$F123)*('GHG Emission'!$K$2:$K$1121=AG$1),0))+AH123/$BI123*INDEX('GHG Emission'!$C$2:$C$1121,MATCH(1,('GHG Emission'!$D$2:$D$1121=$D123)*('GHG Emission'!$E$2:$E$1121=$C123)*('GHG Emission'!$F$2:$F$1121=$B123)*('GHG Emission'!$I$2:$I$1121=$E123)*('GHG Emission'!$J$2:$J$1121=$F123)*('GHG Emission'!$K$2:$K$1121=AH$1),0))+AI123/$BI123*INDEX('GHG Emission'!$C$2:$C$1121,MATCH(1,('GHG Emission'!$D$2:$D$1121=$D123)*('GHG Emission'!$E$2:$E$1121=$C123)*('GHG Emission'!$F$2:$F$1121=$B123)*('GHG Emission'!$I$2:$I$1121=$E123)*('GHG Emission'!$J$2:$J$1121=$F123)*('GHG Emission'!$K$2:$K$1121=AI$1),0))+AJ123/$BI123*INDEX('GHG Emission'!$C$2:$C$1121,MATCH(1,('GHG Emission'!$D$2:$D$1121=$D123)*('GHG Emission'!$E$2:$E$1121=$C123)*('GHG Emission'!$F$2:$F$1121=$B123)*('GHG Emission'!$I$2:$I$1121=$E123)*('GHG Emission'!$J$2:$J$1121=$F123)*('GHG Emission'!$K$2:$K$1121=AJ$1),0))+AK123/$BI123*INDEX('GHG Emission'!$C$2:$C$1121,MATCH(1,('GHG Emission'!$D$2:$D$1121=$D123)*('GHG Emission'!$E$2:$E$1121=$C123)*('GHG Emission'!$F$2:$F$1121=$B123)*('GHG Emission'!$I$2:$I$1121=$E123)*('GHG Emission'!$J$2:$J$1121=$F123)*('GHG Emission'!$K$2:$K$1121=AK$1),0))+AL123/$BI123*INDEX('GHG Emission'!$C$2:$C$1121,MATCH(1,('GHG Emission'!$D$2:$D$1121=$D123)*('GHG Emission'!$E$2:$E$1121=$C123)*('GHG Emission'!$F$2:$F$1121=$B123)*('GHG Emission'!$I$2:$I$1121=$E123)*('GHG Emission'!$J$2:$J$1121=$F123)*('GHG Emission'!$K$2:$K$1121=AL$1),0))+AM123/$BI123*INDEX('GHG Emission'!$C$2:$C$1121,MATCH(1,('GHG Emission'!$D$2:$D$1121=$D123)*('GHG Emission'!$E$2:$E$1121=$C123)*('GHG Emission'!$F$2:$F$1121=$B123)*('GHG Emission'!$I$2:$I$1121=$E123)*('GHG Emission'!$J$2:$J$1121=$F123)*('GHG Emission'!$K$2:$K$1121=AM$1),0))</f>
        <v>33.183647228691299</v>
      </c>
      <c r="BM123" t="str">
        <f t="shared" si="15"/>
        <v>HEAVY/SOUR</v>
      </c>
    </row>
    <row r="124" spans="1:65" hidden="1" x14ac:dyDescent="0.25">
      <c r="A124">
        <v>123</v>
      </c>
      <c r="B124" t="s">
        <v>472</v>
      </c>
      <c r="C124">
        <v>2035</v>
      </c>
      <c r="D124">
        <v>1</v>
      </c>
      <c r="E124" t="s">
        <v>469</v>
      </c>
      <c r="F124" t="s">
        <v>467</v>
      </c>
      <c r="G124">
        <v>1110.1970668029492</v>
      </c>
      <c r="H124">
        <v>103.30655223670755</v>
      </c>
      <c r="I124">
        <v>312.27598023090906</v>
      </c>
      <c r="J124">
        <v>110.04113489570344</v>
      </c>
      <c r="K124">
        <v>126.58285122181967</v>
      </c>
      <c r="L124">
        <v>0</v>
      </c>
      <c r="M124">
        <v>0</v>
      </c>
      <c r="N124">
        <v>0</v>
      </c>
      <c r="O124">
        <v>0</v>
      </c>
      <c r="P124">
        <v>143.60580193208193</v>
      </c>
      <c r="Q124">
        <v>0</v>
      </c>
      <c r="R124">
        <v>0</v>
      </c>
      <c r="S124">
        <v>0</v>
      </c>
      <c r="T124">
        <v>10.257393535321418</v>
      </c>
      <c r="U124">
        <v>0</v>
      </c>
      <c r="V124">
        <v>0</v>
      </c>
      <c r="W124">
        <v>0</v>
      </c>
      <c r="X124">
        <f t="shared" si="8"/>
        <v>1916.2667808554922</v>
      </c>
      <c r="Y124">
        <f>X124*VLOOKUP($D124,'LinearReg Model'!$S$2:$T$6,2,FALSE)</f>
        <v>642.20943612412998</v>
      </c>
      <c r="Z124">
        <f t="shared" si="9"/>
        <v>0.57935412641621653</v>
      </c>
      <c r="AA124">
        <f t="shared" si="10"/>
        <v>0.16296059784092146</v>
      </c>
      <c r="AB124">
        <f t="shared" si="11"/>
        <v>5.3910318369443155E-2</v>
      </c>
      <c r="AC124">
        <v>36.614652924665549</v>
      </c>
      <c r="AD124">
        <v>0.41766843364396622</v>
      </c>
      <c r="AE124" s="2">
        <f>VLOOKUP($D124,'MultiReg Model'!$A$5:$F$9,2,FALSE)+AC124*VLOOKUP($D124,'MultiReg Model'!$A$5:$F$9,3,FALSE)+Z124*VLOOKUP($D124,'MultiReg Model'!$A$5:$F$9,4,FALSE)+AA124*VLOOKUP($D124,'MultiReg Model'!$A$5:$F$9,5,FALSE)+AB124*VLOOKUP($D124,'MultiReg Model'!$A$5:$F$9,6,FALSE)</f>
        <v>7.5238985455888931</v>
      </c>
      <c r="AF124" cm="1">
        <f t="array" ref="AF124">MMULT($AG124:$AM124,'Avg CI Index'!$C$2:$C$8)/BI124</f>
        <v>7.5338986469247642</v>
      </c>
      <c r="AG124">
        <v>89.324377789495102</v>
      </c>
      <c r="AH124">
        <v>357.92474438549544</v>
      </c>
      <c r="AI124">
        <v>0</v>
      </c>
      <c r="AJ124">
        <v>84.900378803323648</v>
      </c>
      <c r="AK124">
        <v>59.774122211769537</v>
      </c>
      <c r="AL124">
        <v>0</v>
      </c>
      <c r="AM124">
        <v>55.99711956124785</v>
      </c>
      <c r="AN124" cm="1">
        <f t="array" ref="AN124">$Y124*INDEX(RefCapacity!$D$2:$D$526,MATCH(1,(RefCapacity!$A$2:$A$526=RefCapacityProj!$D124)*(RefCapacity!$B$2:$B$526=2019)*(RefCapacity!$C$2:$C$526=AG$1),0))/SUMIFS(RefCapacity!$D$2:$D$526,RefCapacity!$A$2:$A$526,RefCapacityProj!$D124,RefCapacity!$B$2:$B$526,2019)</f>
        <v>17.243112123985821</v>
      </c>
      <c r="AO124" cm="1">
        <f t="array" ref="AO124">$Y124*INDEX(RefCapacity!$D$2:$D$526,MATCH(1,(RefCapacity!$A$2:$A$526=RefCapacityProj!$D124)*(RefCapacity!$B$2:$B$526=2019)*(RefCapacity!$C$2:$C$526=AH$1),0))/SUMIFS(RefCapacity!$D$2:$D$526,RefCapacity!$A$2:$A$526,RefCapacityProj!$D124,RefCapacity!$B$2:$B$526,2019)</f>
        <v>345.40989123138559</v>
      </c>
      <c r="AP124" cm="1">
        <f t="array" ref="AP124">$Y124*INDEX(RefCapacity!$D$2:$D$526,MATCH(1,(RefCapacity!$A$2:$A$526=RefCapacityProj!$D124)*(RefCapacity!$B$2:$B$526=2019)*(RefCapacity!$C$2:$C$526=AI$1),0))/SUMIFS(RefCapacity!$D$2:$D$526,RefCapacity!$A$2:$A$526,RefCapacityProj!$D124,RefCapacity!$B$2:$B$526,2019)</f>
        <v>0</v>
      </c>
      <c r="AQ124" cm="1">
        <f t="array" ref="AQ124">$Y124*INDEX(RefCapacity!$D$2:$D$526,MATCH(1,(RefCapacity!$A$2:$A$526=RefCapacityProj!$D124)*(RefCapacity!$B$2:$B$526=2019)*(RefCapacity!$C$2:$C$526=AJ$1),0))/SUMIFS(RefCapacity!$D$2:$D$526,RefCapacity!$A$2:$A$526,RefCapacityProj!$D124,RefCapacity!$B$2:$B$526,2019)</f>
        <v>103.06227936175431</v>
      </c>
      <c r="AR124" cm="1">
        <f t="array" ref="AR124">$Y124*INDEX(RefCapacity!$D$2:$D$526,MATCH(1,(RefCapacity!$A$2:$A$526=RefCapacityProj!$D124)*(RefCapacity!$B$2:$B$526=2019)*(RefCapacity!$C$2:$C$526=AK$1),0))/SUMIFS(RefCapacity!$D$2:$D$526,RefCapacity!$A$2:$A$526,RefCapacityProj!$D124,RefCapacity!$B$2:$B$526,2019)</f>
        <v>82.251626798323159</v>
      </c>
      <c r="AS124" cm="1">
        <f t="array" ref="AS124">$Y124*INDEX(RefCapacity!$D$2:$D$526,MATCH(1,(RefCapacity!$A$2:$A$526=RefCapacityProj!$D124)*(RefCapacity!$B$2:$B$526=2019)*(RefCapacity!$C$2:$C$526=AL$1),0))/SUMIFS(RefCapacity!$D$2:$D$526,RefCapacity!$A$2:$A$526,RefCapacityProj!$D124,RefCapacity!$B$2:$B$526,2019)</f>
        <v>0</v>
      </c>
      <c r="AT124" cm="1">
        <f t="array" ref="AT124">$Y124*INDEX(RefCapacity!$D$2:$D$526,MATCH(1,(RefCapacity!$A$2:$A$526=RefCapacityProj!$D124)*(RefCapacity!$B$2:$B$526=2019)*(RefCapacity!$C$2:$C$526=AM$1),0))/SUMIFS(RefCapacity!$D$2:$D$526,RefCapacity!$A$2:$A$526,RefCapacityProj!$D124,RefCapacity!$B$2:$B$526,2019)</f>
        <v>94.242526608681118</v>
      </c>
      <c r="AU124" cm="1">
        <f t="array" ref="AU124">INDEX(RefCapacity!$D$2:$D$526,MATCH(1,(RefCapacity!$A$2:$A$526=RefCapacityProj!$D124)*(RefCapacity!$B$2:$B$526=2019)*(RefCapacity!$C$2:$C$526=RefCapacityProj!AG$1),0))*IF($C124=2035,1+VLOOKUP(AG$1,RefCapacity!$H$2:$L$8,2,FALSE),1+VLOOKUP(AG$1,RefCapacity!$H$2:$L$8,4,FALSE))</f>
        <v>91.42693476369206</v>
      </c>
      <c r="AV124" cm="1">
        <f t="array" ref="AV124">INDEX(RefCapacity!$D$2:$D$526,MATCH(1,(RefCapacity!$A$2:$A$526=RefCapacityProj!$D124)*(RefCapacity!$B$2:$B$526=2019)*(RefCapacity!$C$2:$C$526=RefCapacityProj!AH$1),0))*IF($C124=2035,1+VLOOKUP(AH$1,RefCapacity!$H$2:$L$8,2,FALSE),1+VLOOKUP(AH$1,RefCapacity!$H$2:$L$8,4,FALSE))</f>
        <v>892.71066470160065</v>
      </c>
      <c r="AW124" cm="1">
        <f t="array" ref="AW124">INDEX(RefCapacity!$D$2:$D$526,MATCH(1,(RefCapacity!$A$2:$A$526=RefCapacityProj!$D124)*(RefCapacity!$B$2:$B$526=2019)*(RefCapacity!$C$2:$C$526=RefCapacityProj!AI$1),0))*IF($C124=2035,1+VLOOKUP(AI$1,RefCapacity!$H$2:$L$8,2,FALSE),1+VLOOKUP(AI$1,RefCapacity!$H$2:$L$8,4,FALSE))</f>
        <v>0</v>
      </c>
      <c r="AX124" cm="1">
        <f t="array" ref="AX124">INDEX(RefCapacity!$D$2:$D$526,MATCH(1,(RefCapacity!$A$2:$A$526=RefCapacityProj!$D124)*(RefCapacity!$B$2:$B$526=2019)*(RefCapacity!$C$2:$C$526=RefCapacityProj!AJ$1),0))*IF($C124=2035,1+VLOOKUP(AJ$1,RefCapacity!$H$2:$L$8,2,FALSE),1+VLOOKUP(AJ$1,RefCapacity!$H$2:$L$8,4,FALSE))</f>
        <v>378.33333333333331</v>
      </c>
      <c r="AY124" cm="1">
        <f t="array" ref="AY124">INDEX(RefCapacity!$D$2:$D$526,MATCH(1,(RefCapacity!$A$2:$A$526=RefCapacityProj!$D124)*(RefCapacity!$B$2:$B$526=2019)*(RefCapacity!$C$2:$C$526=RefCapacityProj!AK$1),0))*IF($C124=2035,1+VLOOKUP(AK$1,RefCapacity!$H$2:$L$8,2,FALSE),1+VLOOKUP(AK$1,RefCapacity!$H$2:$L$8,4,FALSE))</f>
        <v>195.80557682200353</v>
      </c>
      <c r="AZ124" cm="1">
        <f t="array" ref="AZ124">INDEX(RefCapacity!$D$2:$D$526,MATCH(1,(RefCapacity!$A$2:$A$526=RefCapacityProj!$D124)*(RefCapacity!$B$2:$B$526=2019)*(RefCapacity!$C$2:$C$526=RefCapacityProj!AL$1),0))*IF($C124=2035,1+VLOOKUP(AL$1,RefCapacity!$H$2:$L$8,2,FALSE),1+VLOOKUP(AL$1,RefCapacity!$H$2:$L$8,4,FALSE))</f>
        <v>0</v>
      </c>
      <c r="BA124" cm="1">
        <f t="array" ref="BA124">INDEX(RefCapacity!$D$2:$D$526,MATCH(1,(RefCapacity!$A$2:$A$526=RefCapacityProj!$D124)*(RefCapacity!$B$2:$B$526=2019)*(RefCapacity!$C$2:$C$526=RefCapacityProj!AM$1),0))*IF($C124=2035,1+VLOOKUP(AM$1,RefCapacity!$H$2:$L$8,2,FALSE),1+VLOOKUP(AM$1,RefCapacity!$H$2:$L$8,4,FALSE))</f>
        <v>187.81193219368552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f t="shared" si="12"/>
        <v>647.92074275133155</v>
      </c>
      <c r="BJ124">
        <f t="shared" si="13"/>
        <v>5.7113066272015658</v>
      </c>
      <c r="BK124">
        <f t="shared" si="14"/>
        <v>1.0000101335871037E-2</v>
      </c>
      <c r="BL124" cm="1">
        <f t="array" ref="BL124">AG124/$BI124*INDEX('GHG Emission'!$C$2:$C$1121,MATCH(1,('GHG Emission'!$D$2:$D$1121=$D124)*('GHG Emission'!$E$2:$E$1121=$C124)*('GHG Emission'!$F$2:$F$1121=$B124)*('GHG Emission'!$I$2:$I$1121=$E124)*('GHG Emission'!$J$2:$J$1121=$F124)*('GHG Emission'!$K$2:$K$1121=AG$1),0))+AH124/$BI124*INDEX('GHG Emission'!$C$2:$C$1121,MATCH(1,('GHG Emission'!$D$2:$D$1121=$D124)*('GHG Emission'!$E$2:$E$1121=$C124)*('GHG Emission'!$F$2:$F$1121=$B124)*('GHG Emission'!$I$2:$I$1121=$E124)*('GHG Emission'!$J$2:$J$1121=$F124)*('GHG Emission'!$K$2:$K$1121=AH$1),0))+AI124/$BI124*INDEX('GHG Emission'!$C$2:$C$1121,MATCH(1,('GHG Emission'!$D$2:$D$1121=$D124)*('GHG Emission'!$E$2:$E$1121=$C124)*('GHG Emission'!$F$2:$F$1121=$B124)*('GHG Emission'!$I$2:$I$1121=$E124)*('GHG Emission'!$J$2:$J$1121=$F124)*('GHG Emission'!$K$2:$K$1121=AI$1),0))+AJ124/$BI124*INDEX('GHG Emission'!$C$2:$C$1121,MATCH(1,('GHG Emission'!$D$2:$D$1121=$D124)*('GHG Emission'!$E$2:$E$1121=$C124)*('GHG Emission'!$F$2:$F$1121=$B124)*('GHG Emission'!$I$2:$I$1121=$E124)*('GHG Emission'!$J$2:$J$1121=$F124)*('GHG Emission'!$K$2:$K$1121=AJ$1),0))+AK124/$BI124*INDEX('GHG Emission'!$C$2:$C$1121,MATCH(1,('GHG Emission'!$D$2:$D$1121=$D124)*('GHG Emission'!$E$2:$E$1121=$C124)*('GHG Emission'!$F$2:$F$1121=$B124)*('GHG Emission'!$I$2:$I$1121=$E124)*('GHG Emission'!$J$2:$J$1121=$F124)*('GHG Emission'!$K$2:$K$1121=AK$1),0))+AL124/$BI124*INDEX('GHG Emission'!$C$2:$C$1121,MATCH(1,('GHG Emission'!$D$2:$D$1121=$D124)*('GHG Emission'!$E$2:$E$1121=$C124)*('GHG Emission'!$F$2:$F$1121=$B124)*('GHG Emission'!$I$2:$I$1121=$E124)*('GHG Emission'!$J$2:$J$1121=$F124)*('GHG Emission'!$K$2:$K$1121=AL$1),0))+AM124/$BI124*INDEX('GHG Emission'!$C$2:$C$1121,MATCH(1,('GHG Emission'!$D$2:$D$1121=$D124)*('GHG Emission'!$E$2:$E$1121=$C124)*('GHG Emission'!$F$2:$F$1121=$B124)*('GHG Emission'!$I$2:$I$1121=$E124)*('GHG Emission'!$J$2:$J$1121=$F124)*('GHG Emission'!$K$2:$K$1121=AM$1),0))</f>
        <v>33.689859860956219</v>
      </c>
      <c r="BM124" t="str">
        <f t="shared" si="15"/>
        <v>LIGHT/SWEET</v>
      </c>
    </row>
    <row r="125" spans="1:65" hidden="1" x14ac:dyDescent="0.25">
      <c r="A125">
        <v>124</v>
      </c>
      <c r="B125" t="s">
        <v>472</v>
      </c>
      <c r="C125">
        <v>2035</v>
      </c>
      <c r="D125">
        <v>1</v>
      </c>
      <c r="E125" t="s">
        <v>469</v>
      </c>
      <c r="F125" t="s">
        <v>468</v>
      </c>
      <c r="G125">
        <v>1110.1970668029492</v>
      </c>
      <c r="H125">
        <v>103.30655223670755</v>
      </c>
      <c r="I125">
        <v>312.27598023090906</v>
      </c>
      <c r="J125">
        <v>110.04113489570344</v>
      </c>
      <c r="K125">
        <v>126.58285122181967</v>
      </c>
      <c r="L125">
        <v>0</v>
      </c>
      <c r="M125">
        <v>0</v>
      </c>
      <c r="N125">
        <v>0</v>
      </c>
      <c r="O125">
        <v>0</v>
      </c>
      <c r="P125">
        <v>143.60580193208193</v>
      </c>
      <c r="Q125">
        <v>0</v>
      </c>
      <c r="R125">
        <v>0</v>
      </c>
      <c r="S125">
        <v>0</v>
      </c>
      <c r="T125">
        <v>10.257393535321418</v>
      </c>
      <c r="U125">
        <v>0</v>
      </c>
      <c r="V125">
        <v>0</v>
      </c>
      <c r="W125">
        <v>0</v>
      </c>
      <c r="X125">
        <f t="shared" si="8"/>
        <v>1916.2667808554922</v>
      </c>
      <c r="Y125">
        <f>X125*VLOOKUP($D125,'LinearReg Model'!$S$2:$T$6,2,FALSE)</f>
        <v>642.20943612412998</v>
      </c>
      <c r="Z125">
        <f t="shared" si="9"/>
        <v>0.57935412641621653</v>
      </c>
      <c r="AA125">
        <f t="shared" si="10"/>
        <v>0.16296059784092146</v>
      </c>
      <c r="AB125">
        <f t="shared" si="11"/>
        <v>5.3910318369443155E-2</v>
      </c>
      <c r="AC125">
        <v>36.614652924665549</v>
      </c>
      <c r="AD125">
        <v>1.5301400799730309</v>
      </c>
      <c r="AE125" s="2">
        <f>VLOOKUP($D125,'MultiReg Model'!$A$5:$F$9,2,FALSE)+AC125*VLOOKUP($D125,'MultiReg Model'!$A$5:$F$9,3,FALSE)+Z125*VLOOKUP($D125,'MultiReg Model'!$A$5:$F$9,4,FALSE)+AA125*VLOOKUP($D125,'MultiReg Model'!$A$5:$F$9,5,FALSE)+AB125*VLOOKUP($D125,'MultiReg Model'!$A$5:$F$9,6,FALSE)</f>
        <v>7.5238985455888931</v>
      </c>
      <c r="AF125" cm="1">
        <f t="array" ref="AF125">MMULT($AG125:$AM125,'Avg CI Index'!$C$2:$C$8)/BI125</f>
        <v>7.5338986469247642</v>
      </c>
      <c r="AG125">
        <v>89.324377789495102</v>
      </c>
      <c r="AH125">
        <v>357.92474438549544</v>
      </c>
      <c r="AI125">
        <v>0</v>
      </c>
      <c r="AJ125">
        <v>84.900378803323648</v>
      </c>
      <c r="AK125">
        <v>59.774122211769537</v>
      </c>
      <c r="AL125">
        <v>0</v>
      </c>
      <c r="AM125">
        <v>55.99711956124785</v>
      </c>
      <c r="AN125" cm="1">
        <f t="array" ref="AN125">$Y125*INDEX(RefCapacity!$D$2:$D$526,MATCH(1,(RefCapacity!$A$2:$A$526=RefCapacityProj!$D125)*(RefCapacity!$B$2:$B$526=2019)*(RefCapacity!$C$2:$C$526=AG$1),0))/SUMIFS(RefCapacity!$D$2:$D$526,RefCapacity!$A$2:$A$526,RefCapacityProj!$D125,RefCapacity!$B$2:$B$526,2019)</f>
        <v>17.243112123985821</v>
      </c>
      <c r="AO125" cm="1">
        <f t="array" ref="AO125">$Y125*INDEX(RefCapacity!$D$2:$D$526,MATCH(1,(RefCapacity!$A$2:$A$526=RefCapacityProj!$D125)*(RefCapacity!$B$2:$B$526=2019)*(RefCapacity!$C$2:$C$526=AH$1),0))/SUMIFS(RefCapacity!$D$2:$D$526,RefCapacity!$A$2:$A$526,RefCapacityProj!$D125,RefCapacity!$B$2:$B$526,2019)</f>
        <v>345.40989123138559</v>
      </c>
      <c r="AP125" cm="1">
        <f t="array" ref="AP125">$Y125*INDEX(RefCapacity!$D$2:$D$526,MATCH(1,(RefCapacity!$A$2:$A$526=RefCapacityProj!$D125)*(RefCapacity!$B$2:$B$526=2019)*(RefCapacity!$C$2:$C$526=AI$1),0))/SUMIFS(RefCapacity!$D$2:$D$526,RefCapacity!$A$2:$A$526,RefCapacityProj!$D125,RefCapacity!$B$2:$B$526,2019)</f>
        <v>0</v>
      </c>
      <c r="AQ125" cm="1">
        <f t="array" ref="AQ125">$Y125*INDEX(RefCapacity!$D$2:$D$526,MATCH(1,(RefCapacity!$A$2:$A$526=RefCapacityProj!$D125)*(RefCapacity!$B$2:$B$526=2019)*(RefCapacity!$C$2:$C$526=AJ$1),0))/SUMIFS(RefCapacity!$D$2:$D$526,RefCapacity!$A$2:$A$526,RefCapacityProj!$D125,RefCapacity!$B$2:$B$526,2019)</f>
        <v>103.06227936175431</v>
      </c>
      <c r="AR125" cm="1">
        <f t="array" ref="AR125">$Y125*INDEX(RefCapacity!$D$2:$D$526,MATCH(1,(RefCapacity!$A$2:$A$526=RefCapacityProj!$D125)*(RefCapacity!$B$2:$B$526=2019)*(RefCapacity!$C$2:$C$526=AK$1),0))/SUMIFS(RefCapacity!$D$2:$D$526,RefCapacity!$A$2:$A$526,RefCapacityProj!$D125,RefCapacity!$B$2:$B$526,2019)</f>
        <v>82.251626798323159</v>
      </c>
      <c r="AS125" cm="1">
        <f t="array" ref="AS125">$Y125*INDEX(RefCapacity!$D$2:$D$526,MATCH(1,(RefCapacity!$A$2:$A$526=RefCapacityProj!$D125)*(RefCapacity!$B$2:$B$526=2019)*(RefCapacity!$C$2:$C$526=AL$1),0))/SUMIFS(RefCapacity!$D$2:$D$526,RefCapacity!$A$2:$A$526,RefCapacityProj!$D125,RefCapacity!$B$2:$B$526,2019)</f>
        <v>0</v>
      </c>
      <c r="AT125" cm="1">
        <f t="array" ref="AT125">$Y125*INDEX(RefCapacity!$D$2:$D$526,MATCH(1,(RefCapacity!$A$2:$A$526=RefCapacityProj!$D125)*(RefCapacity!$B$2:$B$526=2019)*(RefCapacity!$C$2:$C$526=AM$1),0))/SUMIFS(RefCapacity!$D$2:$D$526,RefCapacity!$A$2:$A$526,RefCapacityProj!$D125,RefCapacity!$B$2:$B$526,2019)</f>
        <v>94.242526608681118</v>
      </c>
      <c r="AU125" cm="1">
        <f t="array" ref="AU125">INDEX(RefCapacity!$D$2:$D$526,MATCH(1,(RefCapacity!$A$2:$A$526=RefCapacityProj!$D125)*(RefCapacity!$B$2:$B$526=2019)*(RefCapacity!$C$2:$C$526=RefCapacityProj!AG$1),0))*IF($C125=2035,1+VLOOKUP(AG$1,RefCapacity!$H$2:$L$8,2,FALSE),1+VLOOKUP(AG$1,RefCapacity!$H$2:$L$8,4,FALSE))</f>
        <v>91.42693476369206</v>
      </c>
      <c r="AV125" cm="1">
        <f t="array" ref="AV125">INDEX(RefCapacity!$D$2:$D$526,MATCH(1,(RefCapacity!$A$2:$A$526=RefCapacityProj!$D125)*(RefCapacity!$B$2:$B$526=2019)*(RefCapacity!$C$2:$C$526=RefCapacityProj!AH$1),0))*IF($C125=2035,1+VLOOKUP(AH$1,RefCapacity!$H$2:$L$8,2,FALSE),1+VLOOKUP(AH$1,RefCapacity!$H$2:$L$8,4,FALSE))</f>
        <v>892.71066470160065</v>
      </c>
      <c r="AW125" cm="1">
        <f t="array" ref="AW125">INDEX(RefCapacity!$D$2:$D$526,MATCH(1,(RefCapacity!$A$2:$A$526=RefCapacityProj!$D125)*(RefCapacity!$B$2:$B$526=2019)*(RefCapacity!$C$2:$C$526=RefCapacityProj!AI$1),0))*IF($C125=2035,1+VLOOKUP(AI$1,RefCapacity!$H$2:$L$8,2,FALSE),1+VLOOKUP(AI$1,RefCapacity!$H$2:$L$8,4,FALSE))</f>
        <v>0</v>
      </c>
      <c r="AX125" cm="1">
        <f t="array" ref="AX125">INDEX(RefCapacity!$D$2:$D$526,MATCH(1,(RefCapacity!$A$2:$A$526=RefCapacityProj!$D125)*(RefCapacity!$B$2:$B$526=2019)*(RefCapacity!$C$2:$C$526=RefCapacityProj!AJ$1),0))*IF($C125=2035,1+VLOOKUP(AJ$1,RefCapacity!$H$2:$L$8,2,FALSE),1+VLOOKUP(AJ$1,RefCapacity!$H$2:$L$8,4,FALSE))</f>
        <v>378.33333333333331</v>
      </c>
      <c r="AY125" cm="1">
        <f t="array" ref="AY125">INDEX(RefCapacity!$D$2:$D$526,MATCH(1,(RefCapacity!$A$2:$A$526=RefCapacityProj!$D125)*(RefCapacity!$B$2:$B$526=2019)*(RefCapacity!$C$2:$C$526=RefCapacityProj!AK$1),0))*IF($C125=2035,1+VLOOKUP(AK$1,RefCapacity!$H$2:$L$8,2,FALSE),1+VLOOKUP(AK$1,RefCapacity!$H$2:$L$8,4,FALSE))</f>
        <v>195.80557682200353</v>
      </c>
      <c r="AZ125" cm="1">
        <f t="array" ref="AZ125">INDEX(RefCapacity!$D$2:$D$526,MATCH(1,(RefCapacity!$A$2:$A$526=RefCapacityProj!$D125)*(RefCapacity!$B$2:$B$526=2019)*(RefCapacity!$C$2:$C$526=RefCapacityProj!AL$1),0))*IF($C125=2035,1+VLOOKUP(AL$1,RefCapacity!$H$2:$L$8,2,FALSE),1+VLOOKUP(AL$1,RefCapacity!$H$2:$L$8,4,FALSE))</f>
        <v>0</v>
      </c>
      <c r="BA125" cm="1">
        <f t="array" ref="BA125">INDEX(RefCapacity!$D$2:$D$526,MATCH(1,(RefCapacity!$A$2:$A$526=RefCapacityProj!$D125)*(RefCapacity!$B$2:$B$526=2019)*(RefCapacity!$C$2:$C$526=RefCapacityProj!AM$1),0))*IF($C125=2035,1+VLOOKUP(AM$1,RefCapacity!$H$2:$L$8,2,FALSE),1+VLOOKUP(AM$1,RefCapacity!$H$2:$L$8,4,FALSE))</f>
        <v>187.81193219368552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f t="shared" si="12"/>
        <v>647.92074275133155</v>
      </c>
      <c r="BJ125">
        <f t="shared" si="13"/>
        <v>5.7113066272015658</v>
      </c>
      <c r="BK125">
        <f t="shared" si="14"/>
        <v>1.0000101335871037E-2</v>
      </c>
      <c r="BL125" cm="1">
        <f t="array" ref="BL125">AG125/$BI125*INDEX('GHG Emission'!$C$2:$C$1121,MATCH(1,('GHG Emission'!$D$2:$D$1121=$D125)*('GHG Emission'!$E$2:$E$1121=$C125)*('GHG Emission'!$F$2:$F$1121=$B125)*('GHG Emission'!$I$2:$I$1121=$E125)*('GHG Emission'!$J$2:$J$1121=$F125)*('GHG Emission'!$K$2:$K$1121=AG$1),0))+AH125/$BI125*INDEX('GHG Emission'!$C$2:$C$1121,MATCH(1,('GHG Emission'!$D$2:$D$1121=$D125)*('GHG Emission'!$E$2:$E$1121=$C125)*('GHG Emission'!$F$2:$F$1121=$B125)*('GHG Emission'!$I$2:$I$1121=$E125)*('GHG Emission'!$J$2:$J$1121=$F125)*('GHG Emission'!$K$2:$K$1121=AH$1),0))+AI125/$BI125*INDEX('GHG Emission'!$C$2:$C$1121,MATCH(1,('GHG Emission'!$D$2:$D$1121=$D125)*('GHG Emission'!$E$2:$E$1121=$C125)*('GHG Emission'!$F$2:$F$1121=$B125)*('GHG Emission'!$I$2:$I$1121=$E125)*('GHG Emission'!$J$2:$J$1121=$F125)*('GHG Emission'!$K$2:$K$1121=AI$1),0))+AJ125/$BI125*INDEX('GHG Emission'!$C$2:$C$1121,MATCH(1,('GHG Emission'!$D$2:$D$1121=$D125)*('GHG Emission'!$E$2:$E$1121=$C125)*('GHG Emission'!$F$2:$F$1121=$B125)*('GHG Emission'!$I$2:$I$1121=$E125)*('GHG Emission'!$J$2:$J$1121=$F125)*('GHG Emission'!$K$2:$K$1121=AJ$1),0))+AK125/$BI125*INDEX('GHG Emission'!$C$2:$C$1121,MATCH(1,('GHG Emission'!$D$2:$D$1121=$D125)*('GHG Emission'!$E$2:$E$1121=$C125)*('GHG Emission'!$F$2:$F$1121=$B125)*('GHG Emission'!$I$2:$I$1121=$E125)*('GHG Emission'!$J$2:$J$1121=$F125)*('GHG Emission'!$K$2:$K$1121=AK$1),0))+AL125/$BI125*INDEX('GHG Emission'!$C$2:$C$1121,MATCH(1,('GHG Emission'!$D$2:$D$1121=$D125)*('GHG Emission'!$E$2:$E$1121=$C125)*('GHG Emission'!$F$2:$F$1121=$B125)*('GHG Emission'!$I$2:$I$1121=$E125)*('GHG Emission'!$J$2:$J$1121=$F125)*('GHG Emission'!$K$2:$K$1121=AL$1),0))+AM125/$BI125*INDEX('GHG Emission'!$C$2:$C$1121,MATCH(1,('GHG Emission'!$D$2:$D$1121=$D125)*('GHG Emission'!$E$2:$E$1121=$C125)*('GHG Emission'!$F$2:$F$1121=$B125)*('GHG Emission'!$I$2:$I$1121=$E125)*('GHG Emission'!$J$2:$J$1121=$F125)*('GHG Emission'!$K$2:$K$1121=AM$1),0))</f>
        <v>32.264460768394045</v>
      </c>
      <c r="BM125" t="str">
        <f t="shared" si="15"/>
        <v>LIGHT/SOUR</v>
      </c>
    </row>
    <row r="126" spans="1:65" hidden="1" x14ac:dyDescent="0.25">
      <c r="A126">
        <v>125</v>
      </c>
      <c r="B126" t="s">
        <v>472</v>
      </c>
      <c r="C126">
        <v>2050</v>
      </c>
      <c r="D126">
        <v>1</v>
      </c>
      <c r="E126" t="s">
        <v>466</v>
      </c>
      <c r="F126" t="s">
        <v>467</v>
      </c>
      <c r="G126">
        <v>1035.011860720035</v>
      </c>
      <c r="H126">
        <v>127.36328456880523</v>
      </c>
      <c r="I126">
        <v>336.48167651968691</v>
      </c>
      <c r="J126">
        <v>118.57084085832106</v>
      </c>
      <c r="K126">
        <v>150.322538005761</v>
      </c>
      <c r="L126">
        <v>0</v>
      </c>
      <c r="M126">
        <v>0</v>
      </c>
      <c r="N126">
        <v>0</v>
      </c>
      <c r="O126">
        <v>0</v>
      </c>
      <c r="P126">
        <v>175.81576906160231</v>
      </c>
      <c r="Q126">
        <v>0</v>
      </c>
      <c r="R126">
        <v>0</v>
      </c>
      <c r="S126">
        <v>0</v>
      </c>
      <c r="T126">
        <v>10.451643824017232</v>
      </c>
      <c r="U126">
        <v>0</v>
      </c>
      <c r="V126">
        <v>0</v>
      </c>
      <c r="W126">
        <v>0</v>
      </c>
      <c r="X126">
        <f t="shared" si="8"/>
        <v>1954.0176135582292</v>
      </c>
      <c r="Y126">
        <f>X126*VLOOKUP($D126,'LinearReg Model'!$S$2:$T$6,2,FALSE)</f>
        <v>654.86108840211682</v>
      </c>
      <c r="Z126">
        <f t="shared" si="9"/>
        <v>0.52968399749237571</v>
      </c>
      <c r="AA126">
        <f t="shared" si="10"/>
        <v>0.17219991989067085</v>
      </c>
      <c r="AB126">
        <f t="shared" si="11"/>
        <v>6.5180213159327205E-2</v>
      </c>
      <c r="AC126">
        <v>28.267512206646213</v>
      </c>
      <c r="AD126">
        <v>0.27799592561789516</v>
      </c>
      <c r="AE126" s="2">
        <f>VLOOKUP($D126,'MultiReg Model'!$A$5:$F$9,2,FALSE)+AC126*VLOOKUP($D126,'MultiReg Model'!$A$5:$F$9,3,FALSE)+Z126*VLOOKUP($D126,'MultiReg Model'!$A$5:$F$9,4,FALSE)+AA126*VLOOKUP($D126,'MultiReg Model'!$A$5:$F$9,5,FALSE)+AB126*VLOOKUP($D126,'MultiReg Model'!$A$5:$F$9,6,FALSE)</f>
        <v>8.4064166910957177</v>
      </c>
      <c r="AF126" cm="1">
        <f t="array" ref="AF126">MMULT($AG126:$AM126,'Avg CI Index'!$C$2:$C$8)/BI126</f>
        <v>8.4164166910868978</v>
      </c>
      <c r="AG126">
        <v>19.737411841762302</v>
      </c>
      <c r="AH126">
        <v>352.64677224150063</v>
      </c>
      <c r="AI126">
        <v>0</v>
      </c>
      <c r="AJ126">
        <v>104.63912904738407</v>
      </c>
      <c r="AK126">
        <v>83.293614251777413</v>
      </c>
      <c r="AL126">
        <v>0</v>
      </c>
      <c r="AM126">
        <v>95.065406842398261</v>
      </c>
      <c r="AN126" cm="1">
        <f t="array" ref="AN126">$Y126*INDEX(RefCapacity!$D$2:$D$526,MATCH(1,(RefCapacity!$A$2:$A$526=RefCapacityProj!$D126)*(RefCapacity!$B$2:$B$526=2019)*(RefCapacity!$C$2:$C$526=AG$1),0))/SUMIFS(RefCapacity!$D$2:$D$526,RefCapacity!$A$2:$A$526,RefCapacityProj!$D126,RefCapacity!$B$2:$B$526,2019)</f>
        <v>17.582804826260038</v>
      </c>
      <c r="AO126" cm="1">
        <f t="array" ref="AO126">$Y126*INDEX(RefCapacity!$D$2:$D$526,MATCH(1,(RefCapacity!$A$2:$A$526=RefCapacityProj!$D126)*(RefCapacity!$B$2:$B$526=2019)*(RefCapacity!$C$2:$C$526=AH$1),0))/SUMIFS(RefCapacity!$D$2:$D$526,RefCapacity!$A$2:$A$526,RefCapacityProj!$D126,RefCapacity!$B$2:$B$526,2019)</f>
        <v>352.21453406505469</v>
      </c>
      <c r="AP126" cm="1">
        <f t="array" ref="AP126">$Y126*INDEX(RefCapacity!$D$2:$D$526,MATCH(1,(RefCapacity!$A$2:$A$526=RefCapacityProj!$D126)*(RefCapacity!$B$2:$B$526=2019)*(RefCapacity!$C$2:$C$526=AI$1),0))/SUMIFS(RefCapacity!$D$2:$D$526,RefCapacity!$A$2:$A$526,RefCapacityProj!$D126,RefCapacity!$B$2:$B$526,2019)</f>
        <v>0</v>
      </c>
      <c r="AQ126" cm="1">
        <f t="array" ref="AQ126">$Y126*INDEX(RefCapacity!$D$2:$D$526,MATCH(1,(RefCapacity!$A$2:$A$526=RefCapacityProj!$D126)*(RefCapacity!$B$2:$B$526=2019)*(RefCapacity!$C$2:$C$526=AJ$1),0))/SUMIFS(RefCapacity!$D$2:$D$526,RefCapacity!$A$2:$A$526,RefCapacityProj!$D126,RefCapacity!$B$2:$B$526,2019)</f>
        <v>105.09262654776114</v>
      </c>
      <c r="AR126" cm="1">
        <f t="array" ref="AR126">$Y126*INDEX(RefCapacity!$D$2:$D$526,MATCH(1,(RefCapacity!$A$2:$A$526=RefCapacityProj!$D126)*(RefCapacity!$B$2:$B$526=2019)*(RefCapacity!$C$2:$C$526=AK$1),0))/SUMIFS(RefCapacity!$D$2:$D$526,RefCapacity!$A$2:$A$526,RefCapacityProj!$D126,RefCapacity!$B$2:$B$526,2019)</f>
        <v>83.872000033309362</v>
      </c>
      <c r="AS126" cm="1">
        <f t="array" ref="AS126">$Y126*INDEX(RefCapacity!$D$2:$D$526,MATCH(1,(RefCapacity!$A$2:$A$526=RefCapacityProj!$D126)*(RefCapacity!$B$2:$B$526=2019)*(RefCapacity!$C$2:$C$526=AL$1),0))/SUMIFS(RefCapacity!$D$2:$D$526,RefCapacity!$A$2:$A$526,RefCapacityProj!$D126,RefCapacity!$B$2:$B$526,2019)</f>
        <v>0</v>
      </c>
      <c r="AT126" cm="1">
        <f t="array" ref="AT126">$Y126*INDEX(RefCapacity!$D$2:$D$526,MATCH(1,(RefCapacity!$A$2:$A$526=RefCapacityProj!$D126)*(RefCapacity!$B$2:$B$526=2019)*(RefCapacity!$C$2:$C$526=AM$1),0))/SUMIFS(RefCapacity!$D$2:$D$526,RefCapacity!$A$2:$A$526,RefCapacityProj!$D126,RefCapacity!$B$2:$B$526,2019)</f>
        <v>96.099122929731578</v>
      </c>
      <c r="AU126" cm="1">
        <f t="array" ref="AU126">INDEX(RefCapacity!$D$2:$D$526,MATCH(1,(RefCapacity!$A$2:$A$526=RefCapacityProj!$D126)*(RefCapacity!$B$2:$B$526=2019)*(RefCapacity!$C$2:$C$526=RefCapacityProj!AG$1),0))*IF($C126=2035,1+VLOOKUP(AG$1,RefCapacity!$H$2:$L$8,2,FALSE),1+VLOOKUP(AG$1,RefCapacity!$H$2:$L$8,4,FALSE))</f>
        <v>149.79386952738412</v>
      </c>
      <c r="AV126" cm="1">
        <f t="array" ref="AV126">INDEX(RefCapacity!$D$2:$D$526,MATCH(1,(RefCapacity!$A$2:$A$526=RefCapacityProj!$D126)*(RefCapacity!$B$2:$B$526=2019)*(RefCapacity!$C$2:$C$526=RefCapacityProj!AH$1),0))*IF($C126=2035,1+VLOOKUP(AH$1,RefCapacity!$H$2:$L$8,2,FALSE),1+VLOOKUP(AH$1,RefCapacity!$H$2:$L$8,4,FALSE))</f>
        <v>1123.1713294032013</v>
      </c>
      <c r="AW126" cm="1">
        <f t="array" ref="AW126">INDEX(RefCapacity!$D$2:$D$526,MATCH(1,(RefCapacity!$A$2:$A$526=RefCapacityProj!$D126)*(RefCapacity!$B$2:$B$526=2019)*(RefCapacity!$C$2:$C$526=RefCapacityProj!AI$1),0))*IF($C126=2035,1+VLOOKUP(AI$1,RefCapacity!$H$2:$L$8,2,FALSE),1+VLOOKUP(AI$1,RefCapacity!$H$2:$L$8,4,FALSE))</f>
        <v>0</v>
      </c>
      <c r="AX126" cm="1">
        <f t="array" ref="AX126">INDEX(RefCapacity!$D$2:$D$526,MATCH(1,(RefCapacity!$A$2:$A$526=RefCapacityProj!$D126)*(RefCapacity!$B$2:$B$526=2019)*(RefCapacity!$C$2:$C$526=RefCapacityProj!AJ$1),0))*IF($C126=2035,1+VLOOKUP(AJ$1,RefCapacity!$H$2:$L$8,2,FALSE),1+VLOOKUP(AJ$1,RefCapacity!$H$2:$L$8,4,FALSE))</f>
        <v>559.06666666666661</v>
      </c>
      <c r="AY126" cm="1">
        <f t="array" ref="AY126">INDEX(RefCapacity!$D$2:$D$526,MATCH(1,(RefCapacity!$A$2:$A$526=RefCapacityProj!$D126)*(RefCapacity!$B$2:$B$526=2019)*(RefCapacity!$C$2:$C$526=RefCapacityProj!AK$1),0))*IF($C126=2035,1+VLOOKUP(AK$1,RefCapacity!$H$2:$L$8,2,FALSE),1+VLOOKUP(AK$1,RefCapacity!$H$2:$L$8,4,FALSE))</f>
        <v>233.91115364400702</v>
      </c>
      <c r="AZ126" cm="1">
        <f t="array" ref="AZ126">INDEX(RefCapacity!$D$2:$D$526,MATCH(1,(RefCapacity!$A$2:$A$526=RefCapacityProj!$D126)*(RefCapacity!$B$2:$B$526=2019)*(RefCapacity!$C$2:$C$526=RefCapacityProj!AL$1),0))*IF($C126=2035,1+VLOOKUP(AL$1,RefCapacity!$H$2:$L$8,2,FALSE),1+VLOOKUP(AL$1,RefCapacity!$H$2:$L$8,4,FALSE))</f>
        <v>0</v>
      </c>
      <c r="BA126" cm="1">
        <f t="array" ref="BA126">INDEX(RefCapacity!$D$2:$D$526,MATCH(1,(RefCapacity!$A$2:$A$526=RefCapacityProj!$D126)*(RefCapacity!$B$2:$B$526=2019)*(RefCapacity!$C$2:$C$526=RefCapacityProj!AM$1),0))*IF($C126=2035,1+VLOOKUP(AM$1,RefCapacity!$H$2:$L$8,2,FALSE),1+VLOOKUP(AM$1,RefCapacity!$H$2:$L$8,4,FALSE))</f>
        <v>194.9338643873711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f t="shared" si="12"/>
        <v>655.38233422482267</v>
      </c>
      <c r="BJ126">
        <f t="shared" si="13"/>
        <v>0.52124582270585051</v>
      </c>
      <c r="BK126">
        <f t="shared" si="14"/>
        <v>9.9999999911801751E-3</v>
      </c>
      <c r="BL126" cm="1">
        <f t="array" ref="BL126">AG126/$BI126*INDEX('GHG Emission'!$C$2:$C$1121,MATCH(1,('GHG Emission'!$D$2:$D$1121=$D126)*('GHG Emission'!$E$2:$E$1121=$C126)*('GHG Emission'!$F$2:$F$1121=$B126)*('GHG Emission'!$I$2:$I$1121=$E126)*('GHG Emission'!$J$2:$J$1121=$F126)*('GHG Emission'!$K$2:$K$1121=AG$1),0))+AH126/$BI126*INDEX('GHG Emission'!$C$2:$C$1121,MATCH(1,('GHG Emission'!$D$2:$D$1121=$D126)*('GHG Emission'!$E$2:$E$1121=$C126)*('GHG Emission'!$F$2:$F$1121=$B126)*('GHG Emission'!$I$2:$I$1121=$E126)*('GHG Emission'!$J$2:$J$1121=$F126)*('GHG Emission'!$K$2:$K$1121=AH$1),0))+AI126/$BI126*INDEX('GHG Emission'!$C$2:$C$1121,MATCH(1,('GHG Emission'!$D$2:$D$1121=$D126)*('GHG Emission'!$E$2:$E$1121=$C126)*('GHG Emission'!$F$2:$F$1121=$B126)*('GHG Emission'!$I$2:$I$1121=$E126)*('GHG Emission'!$J$2:$J$1121=$F126)*('GHG Emission'!$K$2:$K$1121=AI$1),0))+AJ126/$BI126*INDEX('GHG Emission'!$C$2:$C$1121,MATCH(1,('GHG Emission'!$D$2:$D$1121=$D126)*('GHG Emission'!$E$2:$E$1121=$C126)*('GHG Emission'!$F$2:$F$1121=$B126)*('GHG Emission'!$I$2:$I$1121=$E126)*('GHG Emission'!$J$2:$J$1121=$F126)*('GHG Emission'!$K$2:$K$1121=AJ$1),0))+AK126/$BI126*INDEX('GHG Emission'!$C$2:$C$1121,MATCH(1,('GHG Emission'!$D$2:$D$1121=$D126)*('GHG Emission'!$E$2:$E$1121=$C126)*('GHG Emission'!$F$2:$F$1121=$B126)*('GHG Emission'!$I$2:$I$1121=$E126)*('GHG Emission'!$J$2:$J$1121=$F126)*('GHG Emission'!$K$2:$K$1121=AK$1),0))+AL126/$BI126*INDEX('GHG Emission'!$C$2:$C$1121,MATCH(1,('GHG Emission'!$D$2:$D$1121=$D126)*('GHG Emission'!$E$2:$E$1121=$C126)*('GHG Emission'!$F$2:$F$1121=$B126)*('GHG Emission'!$I$2:$I$1121=$E126)*('GHG Emission'!$J$2:$J$1121=$F126)*('GHG Emission'!$K$2:$K$1121=AL$1),0))+AM126/$BI126*INDEX('GHG Emission'!$C$2:$C$1121,MATCH(1,('GHG Emission'!$D$2:$D$1121=$D126)*('GHG Emission'!$E$2:$E$1121=$C126)*('GHG Emission'!$F$2:$F$1121=$B126)*('GHG Emission'!$I$2:$I$1121=$E126)*('GHG Emission'!$J$2:$J$1121=$F126)*('GHG Emission'!$K$2:$K$1121=AM$1),0))</f>
        <v>34.043967313851709</v>
      </c>
      <c r="BM126" t="str">
        <f t="shared" si="15"/>
        <v>HEAVY/SWEET</v>
      </c>
    </row>
    <row r="127" spans="1:65" hidden="1" x14ac:dyDescent="0.25">
      <c r="A127">
        <v>126</v>
      </c>
      <c r="B127" t="s">
        <v>472</v>
      </c>
      <c r="C127">
        <v>2050</v>
      </c>
      <c r="D127">
        <v>1</v>
      </c>
      <c r="E127" t="s">
        <v>466</v>
      </c>
      <c r="F127" t="s">
        <v>468</v>
      </c>
      <c r="G127">
        <v>1035.011860720035</v>
      </c>
      <c r="H127">
        <v>127.36328456880523</v>
      </c>
      <c r="I127">
        <v>336.48167651968691</v>
      </c>
      <c r="J127">
        <v>118.57084085832106</v>
      </c>
      <c r="K127">
        <v>150.322538005761</v>
      </c>
      <c r="L127">
        <v>0</v>
      </c>
      <c r="M127">
        <v>0</v>
      </c>
      <c r="N127">
        <v>0</v>
      </c>
      <c r="O127">
        <v>0</v>
      </c>
      <c r="P127">
        <v>175.81576906160231</v>
      </c>
      <c r="Q127">
        <v>0</v>
      </c>
      <c r="R127">
        <v>0</v>
      </c>
      <c r="S127">
        <v>0</v>
      </c>
      <c r="T127">
        <v>10.451643824017232</v>
      </c>
      <c r="U127">
        <v>0</v>
      </c>
      <c r="V127">
        <v>0</v>
      </c>
      <c r="W127">
        <v>0</v>
      </c>
      <c r="X127">
        <f t="shared" si="8"/>
        <v>1954.0176135582292</v>
      </c>
      <c r="Y127">
        <f>X127*VLOOKUP($D127,'LinearReg Model'!$S$2:$T$6,2,FALSE)</f>
        <v>654.86108840211682</v>
      </c>
      <c r="Z127">
        <f t="shared" si="9"/>
        <v>0.52968399749237571</v>
      </c>
      <c r="AA127">
        <f t="shared" si="10"/>
        <v>0.17219991989067085</v>
      </c>
      <c r="AB127">
        <f t="shared" si="11"/>
        <v>6.5180213159327205E-2</v>
      </c>
      <c r="AC127">
        <v>28.267512206646213</v>
      </c>
      <c r="AD127">
        <v>1.8266228074543227</v>
      </c>
      <c r="AE127" s="2">
        <f>VLOOKUP($D127,'MultiReg Model'!$A$5:$F$9,2,FALSE)+AC127*VLOOKUP($D127,'MultiReg Model'!$A$5:$F$9,3,FALSE)+Z127*VLOOKUP($D127,'MultiReg Model'!$A$5:$F$9,4,FALSE)+AA127*VLOOKUP($D127,'MultiReg Model'!$A$5:$F$9,5,FALSE)+AB127*VLOOKUP($D127,'MultiReg Model'!$A$5:$F$9,6,FALSE)</f>
        <v>8.4064166910957177</v>
      </c>
      <c r="AF127" cm="1">
        <f t="array" ref="AF127">MMULT($AG127:$AM127,'Avg CI Index'!$C$2:$C$8)/BI127</f>
        <v>8.4164166910868978</v>
      </c>
      <c r="AG127">
        <v>19.737411841762302</v>
      </c>
      <c r="AH127">
        <v>352.64677224150063</v>
      </c>
      <c r="AI127">
        <v>0</v>
      </c>
      <c r="AJ127">
        <v>104.63912904738407</v>
      </c>
      <c r="AK127">
        <v>83.293614251777413</v>
      </c>
      <c r="AL127">
        <v>0</v>
      </c>
      <c r="AM127">
        <v>95.065406842398261</v>
      </c>
      <c r="AN127" cm="1">
        <f t="array" ref="AN127">$Y127*INDEX(RefCapacity!$D$2:$D$526,MATCH(1,(RefCapacity!$A$2:$A$526=RefCapacityProj!$D127)*(RefCapacity!$B$2:$B$526=2019)*(RefCapacity!$C$2:$C$526=AG$1),0))/SUMIFS(RefCapacity!$D$2:$D$526,RefCapacity!$A$2:$A$526,RefCapacityProj!$D127,RefCapacity!$B$2:$B$526,2019)</f>
        <v>17.582804826260038</v>
      </c>
      <c r="AO127" cm="1">
        <f t="array" ref="AO127">$Y127*INDEX(RefCapacity!$D$2:$D$526,MATCH(1,(RefCapacity!$A$2:$A$526=RefCapacityProj!$D127)*(RefCapacity!$B$2:$B$526=2019)*(RefCapacity!$C$2:$C$526=AH$1),0))/SUMIFS(RefCapacity!$D$2:$D$526,RefCapacity!$A$2:$A$526,RefCapacityProj!$D127,RefCapacity!$B$2:$B$526,2019)</f>
        <v>352.21453406505469</v>
      </c>
      <c r="AP127" cm="1">
        <f t="array" ref="AP127">$Y127*INDEX(RefCapacity!$D$2:$D$526,MATCH(1,(RefCapacity!$A$2:$A$526=RefCapacityProj!$D127)*(RefCapacity!$B$2:$B$526=2019)*(RefCapacity!$C$2:$C$526=AI$1),0))/SUMIFS(RefCapacity!$D$2:$D$526,RefCapacity!$A$2:$A$526,RefCapacityProj!$D127,RefCapacity!$B$2:$B$526,2019)</f>
        <v>0</v>
      </c>
      <c r="AQ127" cm="1">
        <f t="array" ref="AQ127">$Y127*INDEX(RefCapacity!$D$2:$D$526,MATCH(1,(RefCapacity!$A$2:$A$526=RefCapacityProj!$D127)*(RefCapacity!$B$2:$B$526=2019)*(RefCapacity!$C$2:$C$526=AJ$1),0))/SUMIFS(RefCapacity!$D$2:$D$526,RefCapacity!$A$2:$A$526,RefCapacityProj!$D127,RefCapacity!$B$2:$B$526,2019)</f>
        <v>105.09262654776114</v>
      </c>
      <c r="AR127" cm="1">
        <f t="array" ref="AR127">$Y127*INDEX(RefCapacity!$D$2:$D$526,MATCH(1,(RefCapacity!$A$2:$A$526=RefCapacityProj!$D127)*(RefCapacity!$B$2:$B$526=2019)*(RefCapacity!$C$2:$C$526=AK$1),0))/SUMIFS(RefCapacity!$D$2:$D$526,RefCapacity!$A$2:$A$526,RefCapacityProj!$D127,RefCapacity!$B$2:$B$526,2019)</f>
        <v>83.872000033309362</v>
      </c>
      <c r="AS127" cm="1">
        <f t="array" ref="AS127">$Y127*INDEX(RefCapacity!$D$2:$D$526,MATCH(1,(RefCapacity!$A$2:$A$526=RefCapacityProj!$D127)*(RefCapacity!$B$2:$B$526=2019)*(RefCapacity!$C$2:$C$526=AL$1),0))/SUMIFS(RefCapacity!$D$2:$D$526,RefCapacity!$A$2:$A$526,RefCapacityProj!$D127,RefCapacity!$B$2:$B$526,2019)</f>
        <v>0</v>
      </c>
      <c r="AT127" cm="1">
        <f t="array" ref="AT127">$Y127*INDEX(RefCapacity!$D$2:$D$526,MATCH(1,(RefCapacity!$A$2:$A$526=RefCapacityProj!$D127)*(RefCapacity!$B$2:$B$526=2019)*(RefCapacity!$C$2:$C$526=AM$1),0))/SUMIFS(RefCapacity!$D$2:$D$526,RefCapacity!$A$2:$A$526,RefCapacityProj!$D127,RefCapacity!$B$2:$B$526,2019)</f>
        <v>96.099122929731578</v>
      </c>
      <c r="AU127" cm="1">
        <f t="array" ref="AU127">INDEX(RefCapacity!$D$2:$D$526,MATCH(1,(RefCapacity!$A$2:$A$526=RefCapacityProj!$D127)*(RefCapacity!$B$2:$B$526=2019)*(RefCapacity!$C$2:$C$526=RefCapacityProj!AG$1),0))*IF($C127=2035,1+VLOOKUP(AG$1,RefCapacity!$H$2:$L$8,2,FALSE),1+VLOOKUP(AG$1,RefCapacity!$H$2:$L$8,4,FALSE))</f>
        <v>149.79386952738412</v>
      </c>
      <c r="AV127" cm="1">
        <f t="array" ref="AV127">INDEX(RefCapacity!$D$2:$D$526,MATCH(1,(RefCapacity!$A$2:$A$526=RefCapacityProj!$D127)*(RefCapacity!$B$2:$B$526=2019)*(RefCapacity!$C$2:$C$526=RefCapacityProj!AH$1),0))*IF($C127=2035,1+VLOOKUP(AH$1,RefCapacity!$H$2:$L$8,2,FALSE),1+VLOOKUP(AH$1,RefCapacity!$H$2:$L$8,4,FALSE))</f>
        <v>1123.1713294032013</v>
      </c>
      <c r="AW127" cm="1">
        <f t="array" ref="AW127">INDEX(RefCapacity!$D$2:$D$526,MATCH(1,(RefCapacity!$A$2:$A$526=RefCapacityProj!$D127)*(RefCapacity!$B$2:$B$526=2019)*(RefCapacity!$C$2:$C$526=RefCapacityProj!AI$1),0))*IF($C127=2035,1+VLOOKUP(AI$1,RefCapacity!$H$2:$L$8,2,FALSE),1+VLOOKUP(AI$1,RefCapacity!$H$2:$L$8,4,FALSE))</f>
        <v>0</v>
      </c>
      <c r="AX127" cm="1">
        <f t="array" ref="AX127">INDEX(RefCapacity!$D$2:$D$526,MATCH(1,(RefCapacity!$A$2:$A$526=RefCapacityProj!$D127)*(RefCapacity!$B$2:$B$526=2019)*(RefCapacity!$C$2:$C$526=RefCapacityProj!AJ$1),0))*IF($C127=2035,1+VLOOKUP(AJ$1,RefCapacity!$H$2:$L$8,2,FALSE),1+VLOOKUP(AJ$1,RefCapacity!$H$2:$L$8,4,FALSE))</f>
        <v>559.06666666666661</v>
      </c>
      <c r="AY127" cm="1">
        <f t="array" ref="AY127">INDEX(RefCapacity!$D$2:$D$526,MATCH(1,(RefCapacity!$A$2:$A$526=RefCapacityProj!$D127)*(RefCapacity!$B$2:$B$526=2019)*(RefCapacity!$C$2:$C$526=RefCapacityProj!AK$1),0))*IF($C127=2035,1+VLOOKUP(AK$1,RefCapacity!$H$2:$L$8,2,FALSE),1+VLOOKUP(AK$1,RefCapacity!$H$2:$L$8,4,FALSE))</f>
        <v>233.91115364400702</v>
      </c>
      <c r="AZ127" cm="1">
        <f t="array" ref="AZ127">INDEX(RefCapacity!$D$2:$D$526,MATCH(1,(RefCapacity!$A$2:$A$526=RefCapacityProj!$D127)*(RefCapacity!$B$2:$B$526=2019)*(RefCapacity!$C$2:$C$526=RefCapacityProj!AL$1),0))*IF($C127=2035,1+VLOOKUP(AL$1,RefCapacity!$H$2:$L$8,2,FALSE),1+VLOOKUP(AL$1,RefCapacity!$H$2:$L$8,4,FALSE))</f>
        <v>0</v>
      </c>
      <c r="BA127" cm="1">
        <f t="array" ref="BA127">INDEX(RefCapacity!$D$2:$D$526,MATCH(1,(RefCapacity!$A$2:$A$526=RefCapacityProj!$D127)*(RefCapacity!$B$2:$B$526=2019)*(RefCapacity!$C$2:$C$526=RefCapacityProj!AM$1),0))*IF($C127=2035,1+VLOOKUP(AM$1,RefCapacity!$H$2:$L$8,2,FALSE),1+VLOOKUP(AM$1,RefCapacity!$H$2:$L$8,4,FALSE))</f>
        <v>194.9338643873711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f t="shared" si="12"/>
        <v>655.38233422482267</v>
      </c>
      <c r="BJ127">
        <f t="shared" si="13"/>
        <v>0.52124582270585051</v>
      </c>
      <c r="BK127">
        <f t="shared" si="14"/>
        <v>9.9999999911801751E-3</v>
      </c>
      <c r="BL127" cm="1">
        <f t="array" ref="BL127">AG127/$BI127*INDEX('GHG Emission'!$C$2:$C$1121,MATCH(1,('GHG Emission'!$D$2:$D$1121=$D127)*('GHG Emission'!$E$2:$E$1121=$C127)*('GHG Emission'!$F$2:$F$1121=$B127)*('GHG Emission'!$I$2:$I$1121=$E127)*('GHG Emission'!$J$2:$J$1121=$F127)*('GHG Emission'!$K$2:$K$1121=AG$1),0))+AH127/$BI127*INDEX('GHG Emission'!$C$2:$C$1121,MATCH(1,('GHG Emission'!$D$2:$D$1121=$D127)*('GHG Emission'!$E$2:$E$1121=$C127)*('GHG Emission'!$F$2:$F$1121=$B127)*('GHG Emission'!$I$2:$I$1121=$E127)*('GHG Emission'!$J$2:$J$1121=$F127)*('GHG Emission'!$K$2:$K$1121=AH$1),0))+AI127/$BI127*INDEX('GHG Emission'!$C$2:$C$1121,MATCH(1,('GHG Emission'!$D$2:$D$1121=$D127)*('GHG Emission'!$E$2:$E$1121=$C127)*('GHG Emission'!$F$2:$F$1121=$B127)*('GHG Emission'!$I$2:$I$1121=$E127)*('GHG Emission'!$J$2:$J$1121=$F127)*('GHG Emission'!$K$2:$K$1121=AI$1),0))+AJ127/$BI127*INDEX('GHG Emission'!$C$2:$C$1121,MATCH(1,('GHG Emission'!$D$2:$D$1121=$D127)*('GHG Emission'!$E$2:$E$1121=$C127)*('GHG Emission'!$F$2:$F$1121=$B127)*('GHG Emission'!$I$2:$I$1121=$E127)*('GHG Emission'!$J$2:$J$1121=$F127)*('GHG Emission'!$K$2:$K$1121=AJ$1),0))+AK127/$BI127*INDEX('GHG Emission'!$C$2:$C$1121,MATCH(1,('GHG Emission'!$D$2:$D$1121=$D127)*('GHG Emission'!$E$2:$E$1121=$C127)*('GHG Emission'!$F$2:$F$1121=$B127)*('GHG Emission'!$I$2:$I$1121=$E127)*('GHG Emission'!$J$2:$J$1121=$F127)*('GHG Emission'!$K$2:$K$1121=AK$1),0))+AL127/$BI127*INDEX('GHG Emission'!$C$2:$C$1121,MATCH(1,('GHG Emission'!$D$2:$D$1121=$D127)*('GHG Emission'!$E$2:$E$1121=$C127)*('GHG Emission'!$F$2:$F$1121=$B127)*('GHG Emission'!$I$2:$I$1121=$E127)*('GHG Emission'!$J$2:$J$1121=$F127)*('GHG Emission'!$K$2:$K$1121=AL$1),0))+AM127/$BI127*INDEX('GHG Emission'!$C$2:$C$1121,MATCH(1,('GHG Emission'!$D$2:$D$1121=$D127)*('GHG Emission'!$E$2:$E$1121=$C127)*('GHG Emission'!$F$2:$F$1121=$B127)*('GHG Emission'!$I$2:$I$1121=$E127)*('GHG Emission'!$J$2:$J$1121=$F127)*('GHG Emission'!$K$2:$K$1121=AM$1),0))</f>
        <v>33.557144053066978</v>
      </c>
      <c r="BM127" t="str">
        <f t="shared" si="15"/>
        <v>HEAVY/SOUR</v>
      </c>
    </row>
    <row r="128" spans="1:65" hidden="1" x14ac:dyDescent="0.25">
      <c r="A128">
        <v>127</v>
      </c>
      <c r="B128" t="s">
        <v>472</v>
      </c>
      <c r="C128">
        <v>2050</v>
      </c>
      <c r="D128">
        <v>1</v>
      </c>
      <c r="E128" t="s">
        <v>469</v>
      </c>
      <c r="F128" t="s">
        <v>467</v>
      </c>
      <c r="G128">
        <v>1035.011860720035</v>
      </c>
      <c r="H128">
        <v>127.36328456880523</v>
      </c>
      <c r="I128">
        <v>336.48167651968691</v>
      </c>
      <c r="J128">
        <v>118.57084085832106</v>
      </c>
      <c r="K128">
        <v>150.322538005761</v>
      </c>
      <c r="L128">
        <v>0</v>
      </c>
      <c r="M128">
        <v>0</v>
      </c>
      <c r="N128">
        <v>0</v>
      </c>
      <c r="O128">
        <v>0</v>
      </c>
      <c r="P128">
        <v>175.81576906160231</v>
      </c>
      <c r="Q128">
        <v>0</v>
      </c>
      <c r="R128">
        <v>0</v>
      </c>
      <c r="S128">
        <v>0</v>
      </c>
      <c r="T128">
        <v>10.451643824017232</v>
      </c>
      <c r="U128">
        <v>0</v>
      </c>
      <c r="V128">
        <v>0</v>
      </c>
      <c r="W128">
        <v>0</v>
      </c>
      <c r="X128">
        <f t="shared" si="8"/>
        <v>1954.0176135582292</v>
      </c>
      <c r="Y128">
        <f>X128*VLOOKUP($D128,'LinearReg Model'!$S$2:$T$6,2,FALSE)</f>
        <v>654.86108840211682</v>
      </c>
      <c r="Z128">
        <f t="shared" si="9"/>
        <v>0.52968399749237571</v>
      </c>
      <c r="AA128">
        <f t="shared" si="10"/>
        <v>0.17219991989067085</v>
      </c>
      <c r="AB128">
        <f t="shared" si="11"/>
        <v>6.5180213159327205E-2</v>
      </c>
      <c r="AC128">
        <v>37.317276792879753</v>
      </c>
      <c r="AD128">
        <v>0.27799592561789516</v>
      </c>
      <c r="AE128" s="2">
        <f>VLOOKUP($D128,'MultiReg Model'!$A$5:$F$9,2,FALSE)+AC128*VLOOKUP($D128,'MultiReg Model'!$A$5:$F$9,3,FALSE)+Z128*VLOOKUP($D128,'MultiReg Model'!$A$5:$F$9,4,FALSE)+AA128*VLOOKUP($D128,'MultiReg Model'!$A$5:$F$9,5,FALSE)+AB128*VLOOKUP($D128,'MultiReg Model'!$A$5:$F$9,6,FALSE)</f>
        <v>7.3280066707194473</v>
      </c>
      <c r="AF128" cm="1">
        <f t="array" ref="AF128">MMULT($AG128:$AM128,'Avg CI Index'!$C$2:$C$8)/BI128</f>
        <v>7.33800676254923</v>
      </c>
      <c r="AG128">
        <v>106.78273547267676</v>
      </c>
      <c r="AH128">
        <v>367.45390746032865</v>
      </c>
      <c r="AI128">
        <v>0</v>
      </c>
      <c r="AJ128">
        <v>82.330237224834846</v>
      </c>
      <c r="AK128">
        <v>55.76254955384568</v>
      </c>
      <c r="AL128">
        <v>0</v>
      </c>
      <c r="AM128">
        <v>48.465079047657795</v>
      </c>
      <c r="AN128" cm="1">
        <f t="array" ref="AN128">$Y128*INDEX(RefCapacity!$D$2:$D$526,MATCH(1,(RefCapacity!$A$2:$A$526=RefCapacityProj!$D128)*(RefCapacity!$B$2:$B$526=2019)*(RefCapacity!$C$2:$C$526=AG$1),0))/SUMIFS(RefCapacity!$D$2:$D$526,RefCapacity!$A$2:$A$526,RefCapacityProj!$D128,RefCapacity!$B$2:$B$526,2019)</f>
        <v>17.582804826260038</v>
      </c>
      <c r="AO128" cm="1">
        <f t="array" ref="AO128">$Y128*INDEX(RefCapacity!$D$2:$D$526,MATCH(1,(RefCapacity!$A$2:$A$526=RefCapacityProj!$D128)*(RefCapacity!$B$2:$B$526=2019)*(RefCapacity!$C$2:$C$526=AH$1),0))/SUMIFS(RefCapacity!$D$2:$D$526,RefCapacity!$A$2:$A$526,RefCapacityProj!$D128,RefCapacity!$B$2:$B$526,2019)</f>
        <v>352.21453406505469</v>
      </c>
      <c r="AP128" cm="1">
        <f t="array" ref="AP128">$Y128*INDEX(RefCapacity!$D$2:$D$526,MATCH(1,(RefCapacity!$A$2:$A$526=RefCapacityProj!$D128)*(RefCapacity!$B$2:$B$526=2019)*(RefCapacity!$C$2:$C$526=AI$1),0))/SUMIFS(RefCapacity!$D$2:$D$526,RefCapacity!$A$2:$A$526,RefCapacityProj!$D128,RefCapacity!$B$2:$B$526,2019)</f>
        <v>0</v>
      </c>
      <c r="AQ128" cm="1">
        <f t="array" ref="AQ128">$Y128*INDEX(RefCapacity!$D$2:$D$526,MATCH(1,(RefCapacity!$A$2:$A$526=RefCapacityProj!$D128)*(RefCapacity!$B$2:$B$526=2019)*(RefCapacity!$C$2:$C$526=AJ$1),0))/SUMIFS(RefCapacity!$D$2:$D$526,RefCapacity!$A$2:$A$526,RefCapacityProj!$D128,RefCapacity!$B$2:$B$526,2019)</f>
        <v>105.09262654776114</v>
      </c>
      <c r="AR128" cm="1">
        <f t="array" ref="AR128">$Y128*INDEX(RefCapacity!$D$2:$D$526,MATCH(1,(RefCapacity!$A$2:$A$526=RefCapacityProj!$D128)*(RefCapacity!$B$2:$B$526=2019)*(RefCapacity!$C$2:$C$526=AK$1),0))/SUMIFS(RefCapacity!$D$2:$D$526,RefCapacity!$A$2:$A$526,RefCapacityProj!$D128,RefCapacity!$B$2:$B$526,2019)</f>
        <v>83.872000033309362</v>
      </c>
      <c r="AS128" cm="1">
        <f t="array" ref="AS128">$Y128*INDEX(RefCapacity!$D$2:$D$526,MATCH(1,(RefCapacity!$A$2:$A$526=RefCapacityProj!$D128)*(RefCapacity!$B$2:$B$526=2019)*(RefCapacity!$C$2:$C$526=AL$1),0))/SUMIFS(RefCapacity!$D$2:$D$526,RefCapacity!$A$2:$A$526,RefCapacityProj!$D128,RefCapacity!$B$2:$B$526,2019)</f>
        <v>0</v>
      </c>
      <c r="AT128" cm="1">
        <f t="array" ref="AT128">$Y128*INDEX(RefCapacity!$D$2:$D$526,MATCH(1,(RefCapacity!$A$2:$A$526=RefCapacityProj!$D128)*(RefCapacity!$B$2:$B$526=2019)*(RefCapacity!$C$2:$C$526=AM$1),0))/SUMIFS(RefCapacity!$D$2:$D$526,RefCapacity!$A$2:$A$526,RefCapacityProj!$D128,RefCapacity!$B$2:$B$526,2019)</f>
        <v>96.099122929731578</v>
      </c>
      <c r="AU128" cm="1">
        <f t="array" ref="AU128">INDEX(RefCapacity!$D$2:$D$526,MATCH(1,(RefCapacity!$A$2:$A$526=RefCapacityProj!$D128)*(RefCapacity!$B$2:$B$526=2019)*(RefCapacity!$C$2:$C$526=RefCapacityProj!AG$1),0))*IF($C128=2035,1+VLOOKUP(AG$1,RefCapacity!$H$2:$L$8,2,FALSE),1+VLOOKUP(AG$1,RefCapacity!$H$2:$L$8,4,FALSE))</f>
        <v>149.79386952738412</v>
      </c>
      <c r="AV128" cm="1">
        <f t="array" ref="AV128">INDEX(RefCapacity!$D$2:$D$526,MATCH(1,(RefCapacity!$A$2:$A$526=RefCapacityProj!$D128)*(RefCapacity!$B$2:$B$526=2019)*(RefCapacity!$C$2:$C$526=RefCapacityProj!AH$1),0))*IF($C128=2035,1+VLOOKUP(AH$1,RefCapacity!$H$2:$L$8,2,FALSE),1+VLOOKUP(AH$1,RefCapacity!$H$2:$L$8,4,FALSE))</f>
        <v>1123.1713294032013</v>
      </c>
      <c r="AW128" cm="1">
        <f t="array" ref="AW128">INDEX(RefCapacity!$D$2:$D$526,MATCH(1,(RefCapacity!$A$2:$A$526=RefCapacityProj!$D128)*(RefCapacity!$B$2:$B$526=2019)*(RefCapacity!$C$2:$C$526=RefCapacityProj!AI$1),0))*IF($C128=2035,1+VLOOKUP(AI$1,RefCapacity!$H$2:$L$8,2,FALSE),1+VLOOKUP(AI$1,RefCapacity!$H$2:$L$8,4,FALSE))</f>
        <v>0</v>
      </c>
      <c r="AX128" cm="1">
        <f t="array" ref="AX128">INDEX(RefCapacity!$D$2:$D$526,MATCH(1,(RefCapacity!$A$2:$A$526=RefCapacityProj!$D128)*(RefCapacity!$B$2:$B$526=2019)*(RefCapacity!$C$2:$C$526=RefCapacityProj!AJ$1),0))*IF($C128=2035,1+VLOOKUP(AJ$1,RefCapacity!$H$2:$L$8,2,FALSE),1+VLOOKUP(AJ$1,RefCapacity!$H$2:$L$8,4,FALSE))</f>
        <v>559.06666666666661</v>
      </c>
      <c r="AY128" cm="1">
        <f t="array" ref="AY128">INDEX(RefCapacity!$D$2:$D$526,MATCH(1,(RefCapacity!$A$2:$A$526=RefCapacityProj!$D128)*(RefCapacity!$B$2:$B$526=2019)*(RefCapacity!$C$2:$C$526=RefCapacityProj!AK$1),0))*IF($C128=2035,1+VLOOKUP(AK$1,RefCapacity!$H$2:$L$8,2,FALSE),1+VLOOKUP(AK$1,RefCapacity!$H$2:$L$8,4,FALSE))</f>
        <v>233.91115364400702</v>
      </c>
      <c r="AZ128" cm="1">
        <f t="array" ref="AZ128">INDEX(RefCapacity!$D$2:$D$526,MATCH(1,(RefCapacity!$A$2:$A$526=RefCapacityProj!$D128)*(RefCapacity!$B$2:$B$526=2019)*(RefCapacity!$C$2:$C$526=RefCapacityProj!AL$1),0))*IF($C128=2035,1+VLOOKUP(AL$1,RefCapacity!$H$2:$L$8,2,FALSE),1+VLOOKUP(AL$1,RefCapacity!$H$2:$L$8,4,FALSE))</f>
        <v>0</v>
      </c>
      <c r="BA128" cm="1">
        <f t="array" ref="BA128">INDEX(RefCapacity!$D$2:$D$526,MATCH(1,(RefCapacity!$A$2:$A$526=RefCapacityProj!$D128)*(RefCapacity!$B$2:$B$526=2019)*(RefCapacity!$C$2:$C$526=RefCapacityProj!AM$1),0))*IF($C128=2035,1+VLOOKUP(AM$1,RefCapacity!$H$2:$L$8,2,FALSE),1+VLOOKUP(AM$1,RefCapacity!$H$2:$L$8,4,FALSE))</f>
        <v>194.9338643873711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f t="shared" si="12"/>
        <v>660.79450875934378</v>
      </c>
      <c r="BJ128">
        <f t="shared" si="13"/>
        <v>5.9334203572269644</v>
      </c>
      <c r="BK128">
        <f t="shared" si="14"/>
        <v>1.0000091829782676E-2</v>
      </c>
      <c r="BL128" cm="1">
        <f t="array" ref="BL128">AG128/$BI128*INDEX('GHG Emission'!$C$2:$C$1121,MATCH(1,('GHG Emission'!$D$2:$D$1121=$D128)*('GHG Emission'!$E$2:$E$1121=$C128)*('GHG Emission'!$F$2:$F$1121=$B128)*('GHG Emission'!$I$2:$I$1121=$E128)*('GHG Emission'!$J$2:$J$1121=$F128)*('GHG Emission'!$K$2:$K$1121=AG$1),0))+AH128/$BI128*INDEX('GHG Emission'!$C$2:$C$1121,MATCH(1,('GHG Emission'!$D$2:$D$1121=$D128)*('GHG Emission'!$E$2:$E$1121=$C128)*('GHG Emission'!$F$2:$F$1121=$B128)*('GHG Emission'!$I$2:$I$1121=$E128)*('GHG Emission'!$J$2:$J$1121=$F128)*('GHG Emission'!$K$2:$K$1121=AH$1),0))+AI128/$BI128*INDEX('GHG Emission'!$C$2:$C$1121,MATCH(1,('GHG Emission'!$D$2:$D$1121=$D128)*('GHG Emission'!$E$2:$E$1121=$C128)*('GHG Emission'!$F$2:$F$1121=$B128)*('GHG Emission'!$I$2:$I$1121=$E128)*('GHG Emission'!$J$2:$J$1121=$F128)*('GHG Emission'!$K$2:$K$1121=AI$1),0))+AJ128/$BI128*INDEX('GHG Emission'!$C$2:$C$1121,MATCH(1,('GHG Emission'!$D$2:$D$1121=$D128)*('GHG Emission'!$E$2:$E$1121=$C128)*('GHG Emission'!$F$2:$F$1121=$B128)*('GHG Emission'!$I$2:$I$1121=$E128)*('GHG Emission'!$J$2:$J$1121=$F128)*('GHG Emission'!$K$2:$K$1121=AJ$1),0))+AK128/$BI128*INDEX('GHG Emission'!$C$2:$C$1121,MATCH(1,('GHG Emission'!$D$2:$D$1121=$D128)*('GHG Emission'!$E$2:$E$1121=$C128)*('GHG Emission'!$F$2:$F$1121=$B128)*('GHG Emission'!$I$2:$I$1121=$E128)*('GHG Emission'!$J$2:$J$1121=$F128)*('GHG Emission'!$K$2:$K$1121=AK$1),0))+AL128/$BI128*INDEX('GHG Emission'!$C$2:$C$1121,MATCH(1,('GHG Emission'!$D$2:$D$1121=$D128)*('GHG Emission'!$E$2:$E$1121=$C128)*('GHG Emission'!$F$2:$F$1121=$B128)*('GHG Emission'!$I$2:$I$1121=$E128)*('GHG Emission'!$J$2:$J$1121=$F128)*('GHG Emission'!$K$2:$K$1121=AL$1),0))+AM128/$BI128*INDEX('GHG Emission'!$C$2:$C$1121,MATCH(1,('GHG Emission'!$D$2:$D$1121=$D128)*('GHG Emission'!$E$2:$E$1121=$C128)*('GHG Emission'!$F$2:$F$1121=$B128)*('GHG Emission'!$I$2:$I$1121=$E128)*('GHG Emission'!$J$2:$J$1121=$F128)*('GHG Emission'!$K$2:$K$1121=AM$1),0))</f>
        <v>32.402953477900546</v>
      </c>
      <c r="BM128" t="str">
        <f t="shared" si="15"/>
        <v>LIGHT/SWEET</v>
      </c>
    </row>
    <row r="129" spans="1:65" hidden="1" x14ac:dyDescent="0.25">
      <c r="A129">
        <v>128</v>
      </c>
      <c r="B129" t="s">
        <v>472</v>
      </c>
      <c r="C129">
        <v>2050</v>
      </c>
      <c r="D129">
        <v>1</v>
      </c>
      <c r="E129" t="s">
        <v>469</v>
      </c>
      <c r="F129" t="s">
        <v>468</v>
      </c>
      <c r="G129">
        <v>1035.011860720035</v>
      </c>
      <c r="H129">
        <v>127.36328456880523</v>
      </c>
      <c r="I129">
        <v>336.48167651968691</v>
      </c>
      <c r="J129">
        <v>118.57084085832106</v>
      </c>
      <c r="K129">
        <v>150.322538005761</v>
      </c>
      <c r="L129">
        <v>0</v>
      </c>
      <c r="M129">
        <v>0</v>
      </c>
      <c r="N129">
        <v>0</v>
      </c>
      <c r="O129">
        <v>0</v>
      </c>
      <c r="P129">
        <v>175.81576906160231</v>
      </c>
      <c r="Q129">
        <v>0</v>
      </c>
      <c r="R129">
        <v>0</v>
      </c>
      <c r="S129">
        <v>0</v>
      </c>
      <c r="T129">
        <v>10.451643824017232</v>
      </c>
      <c r="U129">
        <v>0</v>
      </c>
      <c r="V129">
        <v>0</v>
      </c>
      <c r="W129">
        <v>0</v>
      </c>
      <c r="X129">
        <f t="shared" si="8"/>
        <v>1954.0176135582292</v>
      </c>
      <c r="Y129">
        <f>X129*VLOOKUP($D129,'LinearReg Model'!$S$2:$T$6,2,FALSE)</f>
        <v>654.86108840211682</v>
      </c>
      <c r="Z129">
        <f t="shared" si="9"/>
        <v>0.52968399749237571</v>
      </c>
      <c r="AA129">
        <f t="shared" si="10"/>
        <v>0.17219991989067085</v>
      </c>
      <c r="AB129">
        <f t="shared" si="11"/>
        <v>6.5180213159327205E-2</v>
      </c>
      <c r="AC129">
        <v>37.317276792879753</v>
      </c>
      <c r="AD129">
        <v>1.8266228074543227</v>
      </c>
      <c r="AE129" s="2">
        <f>VLOOKUP($D129,'MultiReg Model'!$A$5:$F$9,2,FALSE)+AC129*VLOOKUP($D129,'MultiReg Model'!$A$5:$F$9,3,FALSE)+Z129*VLOOKUP($D129,'MultiReg Model'!$A$5:$F$9,4,FALSE)+AA129*VLOOKUP($D129,'MultiReg Model'!$A$5:$F$9,5,FALSE)+AB129*VLOOKUP($D129,'MultiReg Model'!$A$5:$F$9,6,FALSE)</f>
        <v>7.3280066707194473</v>
      </c>
      <c r="AF129" cm="1">
        <f t="array" ref="AF129">MMULT($AG129:$AM129,'Avg CI Index'!$C$2:$C$8)/BI129</f>
        <v>7.33800676254923</v>
      </c>
      <c r="AG129">
        <v>106.78273547267676</v>
      </c>
      <c r="AH129">
        <v>367.45390746032865</v>
      </c>
      <c r="AI129">
        <v>0</v>
      </c>
      <c r="AJ129">
        <v>82.330237224834846</v>
      </c>
      <c r="AK129">
        <v>55.76254955384568</v>
      </c>
      <c r="AL129">
        <v>0</v>
      </c>
      <c r="AM129">
        <v>48.465079047657795</v>
      </c>
      <c r="AN129" cm="1">
        <f t="array" ref="AN129">$Y129*INDEX(RefCapacity!$D$2:$D$526,MATCH(1,(RefCapacity!$A$2:$A$526=RefCapacityProj!$D129)*(RefCapacity!$B$2:$B$526=2019)*(RefCapacity!$C$2:$C$526=AG$1),0))/SUMIFS(RefCapacity!$D$2:$D$526,RefCapacity!$A$2:$A$526,RefCapacityProj!$D129,RefCapacity!$B$2:$B$526,2019)</f>
        <v>17.582804826260038</v>
      </c>
      <c r="AO129" cm="1">
        <f t="array" ref="AO129">$Y129*INDEX(RefCapacity!$D$2:$D$526,MATCH(1,(RefCapacity!$A$2:$A$526=RefCapacityProj!$D129)*(RefCapacity!$B$2:$B$526=2019)*(RefCapacity!$C$2:$C$526=AH$1),0))/SUMIFS(RefCapacity!$D$2:$D$526,RefCapacity!$A$2:$A$526,RefCapacityProj!$D129,RefCapacity!$B$2:$B$526,2019)</f>
        <v>352.21453406505469</v>
      </c>
      <c r="AP129" cm="1">
        <f t="array" ref="AP129">$Y129*INDEX(RefCapacity!$D$2:$D$526,MATCH(1,(RefCapacity!$A$2:$A$526=RefCapacityProj!$D129)*(RefCapacity!$B$2:$B$526=2019)*(RefCapacity!$C$2:$C$526=AI$1),0))/SUMIFS(RefCapacity!$D$2:$D$526,RefCapacity!$A$2:$A$526,RefCapacityProj!$D129,RefCapacity!$B$2:$B$526,2019)</f>
        <v>0</v>
      </c>
      <c r="AQ129" cm="1">
        <f t="array" ref="AQ129">$Y129*INDEX(RefCapacity!$D$2:$D$526,MATCH(1,(RefCapacity!$A$2:$A$526=RefCapacityProj!$D129)*(RefCapacity!$B$2:$B$526=2019)*(RefCapacity!$C$2:$C$526=AJ$1),0))/SUMIFS(RefCapacity!$D$2:$D$526,RefCapacity!$A$2:$A$526,RefCapacityProj!$D129,RefCapacity!$B$2:$B$526,2019)</f>
        <v>105.09262654776114</v>
      </c>
      <c r="AR129" cm="1">
        <f t="array" ref="AR129">$Y129*INDEX(RefCapacity!$D$2:$D$526,MATCH(1,(RefCapacity!$A$2:$A$526=RefCapacityProj!$D129)*(RefCapacity!$B$2:$B$526=2019)*(RefCapacity!$C$2:$C$526=AK$1),0))/SUMIFS(RefCapacity!$D$2:$D$526,RefCapacity!$A$2:$A$526,RefCapacityProj!$D129,RefCapacity!$B$2:$B$526,2019)</f>
        <v>83.872000033309362</v>
      </c>
      <c r="AS129" cm="1">
        <f t="array" ref="AS129">$Y129*INDEX(RefCapacity!$D$2:$D$526,MATCH(1,(RefCapacity!$A$2:$A$526=RefCapacityProj!$D129)*(RefCapacity!$B$2:$B$526=2019)*(RefCapacity!$C$2:$C$526=AL$1),0))/SUMIFS(RefCapacity!$D$2:$D$526,RefCapacity!$A$2:$A$526,RefCapacityProj!$D129,RefCapacity!$B$2:$B$526,2019)</f>
        <v>0</v>
      </c>
      <c r="AT129" cm="1">
        <f t="array" ref="AT129">$Y129*INDEX(RefCapacity!$D$2:$D$526,MATCH(1,(RefCapacity!$A$2:$A$526=RefCapacityProj!$D129)*(RefCapacity!$B$2:$B$526=2019)*(RefCapacity!$C$2:$C$526=AM$1),0))/SUMIFS(RefCapacity!$D$2:$D$526,RefCapacity!$A$2:$A$526,RefCapacityProj!$D129,RefCapacity!$B$2:$B$526,2019)</f>
        <v>96.099122929731578</v>
      </c>
      <c r="AU129" cm="1">
        <f t="array" ref="AU129">INDEX(RefCapacity!$D$2:$D$526,MATCH(1,(RefCapacity!$A$2:$A$526=RefCapacityProj!$D129)*(RefCapacity!$B$2:$B$526=2019)*(RefCapacity!$C$2:$C$526=RefCapacityProj!AG$1),0))*IF($C129=2035,1+VLOOKUP(AG$1,RefCapacity!$H$2:$L$8,2,FALSE),1+VLOOKUP(AG$1,RefCapacity!$H$2:$L$8,4,FALSE))</f>
        <v>149.79386952738412</v>
      </c>
      <c r="AV129" cm="1">
        <f t="array" ref="AV129">INDEX(RefCapacity!$D$2:$D$526,MATCH(1,(RefCapacity!$A$2:$A$526=RefCapacityProj!$D129)*(RefCapacity!$B$2:$B$526=2019)*(RefCapacity!$C$2:$C$526=RefCapacityProj!AH$1),0))*IF($C129=2035,1+VLOOKUP(AH$1,RefCapacity!$H$2:$L$8,2,FALSE),1+VLOOKUP(AH$1,RefCapacity!$H$2:$L$8,4,FALSE))</f>
        <v>1123.1713294032013</v>
      </c>
      <c r="AW129" cm="1">
        <f t="array" ref="AW129">INDEX(RefCapacity!$D$2:$D$526,MATCH(1,(RefCapacity!$A$2:$A$526=RefCapacityProj!$D129)*(RefCapacity!$B$2:$B$526=2019)*(RefCapacity!$C$2:$C$526=RefCapacityProj!AI$1),0))*IF($C129=2035,1+VLOOKUP(AI$1,RefCapacity!$H$2:$L$8,2,FALSE),1+VLOOKUP(AI$1,RefCapacity!$H$2:$L$8,4,FALSE))</f>
        <v>0</v>
      </c>
      <c r="AX129" cm="1">
        <f t="array" ref="AX129">INDEX(RefCapacity!$D$2:$D$526,MATCH(1,(RefCapacity!$A$2:$A$526=RefCapacityProj!$D129)*(RefCapacity!$B$2:$B$526=2019)*(RefCapacity!$C$2:$C$526=RefCapacityProj!AJ$1),0))*IF($C129=2035,1+VLOOKUP(AJ$1,RefCapacity!$H$2:$L$8,2,FALSE),1+VLOOKUP(AJ$1,RefCapacity!$H$2:$L$8,4,FALSE))</f>
        <v>559.06666666666661</v>
      </c>
      <c r="AY129" cm="1">
        <f t="array" ref="AY129">INDEX(RefCapacity!$D$2:$D$526,MATCH(1,(RefCapacity!$A$2:$A$526=RefCapacityProj!$D129)*(RefCapacity!$B$2:$B$526=2019)*(RefCapacity!$C$2:$C$526=RefCapacityProj!AK$1),0))*IF($C129=2035,1+VLOOKUP(AK$1,RefCapacity!$H$2:$L$8,2,FALSE),1+VLOOKUP(AK$1,RefCapacity!$H$2:$L$8,4,FALSE))</f>
        <v>233.91115364400702</v>
      </c>
      <c r="AZ129" cm="1">
        <f t="array" ref="AZ129">INDEX(RefCapacity!$D$2:$D$526,MATCH(1,(RefCapacity!$A$2:$A$526=RefCapacityProj!$D129)*(RefCapacity!$B$2:$B$526=2019)*(RefCapacity!$C$2:$C$526=RefCapacityProj!AL$1),0))*IF($C129=2035,1+VLOOKUP(AL$1,RefCapacity!$H$2:$L$8,2,FALSE),1+VLOOKUP(AL$1,RefCapacity!$H$2:$L$8,4,FALSE))</f>
        <v>0</v>
      </c>
      <c r="BA129" cm="1">
        <f t="array" ref="BA129">INDEX(RefCapacity!$D$2:$D$526,MATCH(1,(RefCapacity!$A$2:$A$526=RefCapacityProj!$D129)*(RefCapacity!$B$2:$B$526=2019)*(RefCapacity!$C$2:$C$526=RefCapacityProj!AM$1),0))*IF($C129=2035,1+VLOOKUP(AM$1,RefCapacity!$H$2:$L$8,2,FALSE),1+VLOOKUP(AM$1,RefCapacity!$H$2:$L$8,4,FALSE))</f>
        <v>194.9338643873711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f t="shared" si="12"/>
        <v>660.79450875934378</v>
      </c>
      <c r="BJ129">
        <f t="shared" si="13"/>
        <v>5.9334203572269644</v>
      </c>
      <c r="BK129">
        <f t="shared" si="14"/>
        <v>1.0000091829782676E-2</v>
      </c>
      <c r="BL129" cm="1">
        <f t="array" ref="BL129">AG129/$BI129*INDEX('GHG Emission'!$C$2:$C$1121,MATCH(1,('GHG Emission'!$D$2:$D$1121=$D129)*('GHG Emission'!$E$2:$E$1121=$C129)*('GHG Emission'!$F$2:$F$1121=$B129)*('GHG Emission'!$I$2:$I$1121=$E129)*('GHG Emission'!$J$2:$J$1121=$F129)*('GHG Emission'!$K$2:$K$1121=AG$1),0))+AH129/$BI129*INDEX('GHG Emission'!$C$2:$C$1121,MATCH(1,('GHG Emission'!$D$2:$D$1121=$D129)*('GHG Emission'!$E$2:$E$1121=$C129)*('GHG Emission'!$F$2:$F$1121=$B129)*('GHG Emission'!$I$2:$I$1121=$E129)*('GHG Emission'!$J$2:$J$1121=$F129)*('GHG Emission'!$K$2:$K$1121=AH$1),0))+AI129/$BI129*INDEX('GHG Emission'!$C$2:$C$1121,MATCH(1,('GHG Emission'!$D$2:$D$1121=$D129)*('GHG Emission'!$E$2:$E$1121=$C129)*('GHG Emission'!$F$2:$F$1121=$B129)*('GHG Emission'!$I$2:$I$1121=$E129)*('GHG Emission'!$J$2:$J$1121=$F129)*('GHG Emission'!$K$2:$K$1121=AI$1),0))+AJ129/$BI129*INDEX('GHG Emission'!$C$2:$C$1121,MATCH(1,('GHG Emission'!$D$2:$D$1121=$D129)*('GHG Emission'!$E$2:$E$1121=$C129)*('GHG Emission'!$F$2:$F$1121=$B129)*('GHG Emission'!$I$2:$I$1121=$E129)*('GHG Emission'!$J$2:$J$1121=$F129)*('GHG Emission'!$K$2:$K$1121=AJ$1),0))+AK129/$BI129*INDEX('GHG Emission'!$C$2:$C$1121,MATCH(1,('GHG Emission'!$D$2:$D$1121=$D129)*('GHG Emission'!$E$2:$E$1121=$C129)*('GHG Emission'!$F$2:$F$1121=$B129)*('GHG Emission'!$I$2:$I$1121=$E129)*('GHG Emission'!$J$2:$J$1121=$F129)*('GHG Emission'!$K$2:$K$1121=AK$1),0))+AL129/$BI129*INDEX('GHG Emission'!$C$2:$C$1121,MATCH(1,('GHG Emission'!$D$2:$D$1121=$D129)*('GHG Emission'!$E$2:$E$1121=$C129)*('GHG Emission'!$F$2:$F$1121=$B129)*('GHG Emission'!$I$2:$I$1121=$E129)*('GHG Emission'!$J$2:$J$1121=$F129)*('GHG Emission'!$K$2:$K$1121=AL$1),0))+AM129/$BI129*INDEX('GHG Emission'!$C$2:$C$1121,MATCH(1,('GHG Emission'!$D$2:$D$1121=$D129)*('GHG Emission'!$E$2:$E$1121=$C129)*('GHG Emission'!$F$2:$F$1121=$B129)*('GHG Emission'!$I$2:$I$1121=$E129)*('GHG Emission'!$J$2:$J$1121=$F129)*('GHG Emission'!$K$2:$K$1121=AM$1),0))</f>
        <v>31.237941518412001</v>
      </c>
      <c r="BM129" t="str">
        <f t="shared" si="15"/>
        <v>LIGHT/SOUR</v>
      </c>
    </row>
    <row r="130" spans="1:65" hidden="1" x14ac:dyDescent="0.25">
      <c r="A130">
        <v>129</v>
      </c>
      <c r="B130" t="s">
        <v>472</v>
      </c>
      <c r="C130">
        <v>2035</v>
      </c>
      <c r="D130">
        <v>2</v>
      </c>
      <c r="E130" t="s">
        <v>466</v>
      </c>
      <c r="F130" t="s">
        <v>467</v>
      </c>
      <c r="G130">
        <v>2334.9472793392815</v>
      </c>
      <c r="H130">
        <v>243.18273200131145</v>
      </c>
      <c r="I130">
        <v>1211.1971507513754</v>
      </c>
      <c r="J130">
        <v>74.484884121821509</v>
      </c>
      <c r="K130">
        <v>41.316115877463915</v>
      </c>
      <c r="L130">
        <v>29.323153592751066</v>
      </c>
      <c r="M130">
        <v>0</v>
      </c>
      <c r="N130">
        <v>0</v>
      </c>
      <c r="O130">
        <v>0</v>
      </c>
      <c r="P130">
        <v>298.48989607922942</v>
      </c>
      <c r="Q130">
        <v>0</v>
      </c>
      <c r="R130">
        <v>0</v>
      </c>
      <c r="S130">
        <v>0</v>
      </c>
      <c r="T130">
        <v>8.9774380545843417</v>
      </c>
      <c r="U130">
        <v>0</v>
      </c>
      <c r="V130">
        <v>0</v>
      </c>
      <c r="W130">
        <v>0</v>
      </c>
      <c r="X130">
        <f t="shared" si="8"/>
        <v>4241.9186498178178</v>
      </c>
      <c r="Y130">
        <f>X130*VLOOKUP($D130,'LinearReg Model'!$S$2:$T$6,2,FALSE)</f>
        <v>3503.0207873255399</v>
      </c>
      <c r="Z130">
        <f t="shared" si="9"/>
        <v>0.55044602975579526</v>
      </c>
      <c r="AA130">
        <f t="shared" si="10"/>
        <v>0.28553049946004833</v>
      </c>
      <c r="AB130">
        <f t="shared" si="11"/>
        <v>5.7328476115815111E-2</v>
      </c>
      <c r="AC130">
        <v>30.283494646922765</v>
      </c>
      <c r="AD130">
        <v>0.85848259090407375</v>
      </c>
      <c r="AE130" s="2">
        <f>VLOOKUP($D130,'MultiReg Model'!$A$5:$F$9,2,FALSE)+AC130*VLOOKUP($D130,'MultiReg Model'!$A$5:$F$9,3,FALSE)+Z130*VLOOKUP($D130,'MultiReg Model'!$A$5:$F$9,4,FALSE)+AA130*VLOOKUP($D130,'MultiReg Model'!$A$5:$F$9,5,FALSE)+AB130*VLOOKUP($D130,'MultiReg Model'!$A$5:$F$9,6,FALSE)</f>
        <v>9.7410106004251542</v>
      </c>
      <c r="AF130" cm="1">
        <f t="array" ref="AF130">MMULT($AG130:$AM130,'Avg CI Index'!$C$2:$C$8)/BI130</f>
        <v>9.7510106001849621</v>
      </c>
      <c r="AG130">
        <v>63.299440479860891</v>
      </c>
      <c r="AH130">
        <v>542.1768701857718</v>
      </c>
      <c r="AI130">
        <v>0</v>
      </c>
      <c r="AJ130">
        <v>443.80976462081776</v>
      </c>
      <c r="AK130">
        <v>1375.3008160666207</v>
      </c>
      <c r="AL130">
        <v>0</v>
      </c>
      <c r="AM130">
        <v>1113.463231725081</v>
      </c>
      <c r="AN130" cm="1">
        <f t="array" ref="AN130">$Y130*INDEX(RefCapacity!$D$2:$D$526,MATCH(1,(RefCapacity!$A$2:$A$526=RefCapacityProj!$D130)*(RefCapacity!$B$2:$B$526=2019)*(RefCapacity!$C$2:$C$526=AG$1),0))/SUMIFS(RefCapacity!$D$2:$D$526,RefCapacity!$A$2:$A$526,RefCapacityProj!$D130,RefCapacity!$B$2:$B$526,2019)</f>
        <v>21.495930182939048</v>
      </c>
      <c r="AO130" cm="1">
        <f t="array" ref="AO130">$Y130*INDEX(RefCapacity!$D$2:$D$526,MATCH(1,(RefCapacity!$A$2:$A$526=RefCapacityProj!$D130)*(RefCapacity!$B$2:$B$526=2019)*(RefCapacity!$C$2:$C$526=AH$1),0))/SUMIFS(RefCapacity!$D$2:$D$526,RefCapacity!$A$2:$A$526,RefCapacityProj!$D130,RefCapacity!$B$2:$B$526,2019)</f>
        <v>529.55333464370483</v>
      </c>
      <c r="AP130" cm="1">
        <f t="array" ref="AP130">$Y130*INDEX(RefCapacity!$D$2:$D$526,MATCH(1,(RefCapacity!$A$2:$A$526=RefCapacityProj!$D130)*(RefCapacity!$B$2:$B$526=2019)*(RefCapacity!$C$2:$C$526=AI$1),0))/SUMIFS(RefCapacity!$D$2:$D$526,RefCapacity!$A$2:$A$526,RefCapacityProj!$D130,RefCapacity!$B$2:$B$526,2019)</f>
        <v>0</v>
      </c>
      <c r="AQ130" cm="1">
        <f t="array" ref="AQ130">$Y130*INDEX(RefCapacity!$D$2:$D$526,MATCH(1,(RefCapacity!$A$2:$A$526=RefCapacityProj!$D130)*(RefCapacity!$B$2:$B$526=2019)*(RefCapacity!$C$2:$C$526=AJ$1),0))/SUMIFS(RefCapacity!$D$2:$D$526,RefCapacity!$A$2:$A$526,RefCapacityProj!$D130,RefCapacity!$B$2:$B$526,2019)</f>
        <v>446.26531862679548</v>
      </c>
      <c r="AR130" cm="1">
        <f t="array" ref="AR130">$Y130*INDEX(RefCapacity!$D$2:$D$526,MATCH(1,(RefCapacity!$A$2:$A$526=RefCapacityProj!$D130)*(RefCapacity!$B$2:$B$526=2019)*(RefCapacity!$C$2:$C$526=AK$1),0))/SUMIFS(RefCapacity!$D$2:$D$526,RefCapacity!$A$2:$A$526,RefCapacityProj!$D130,RefCapacity!$B$2:$B$526,2019)</f>
        <v>1379.8907369565554</v>
      </c>
      <c r="AS130" cm="1">
        <f t="array" ref="AS130">$Y130*INDEX(RefCapacity!$D$2:$D$526,MATCH(1,(RefCapacity!$A$2:$A$526=RefCapacityProj!$D130)*(RefCapacity!$B$2:$B$526=2019)*(RefCapacity!$C$2:$C$526=AL$1),0))/SUMIFS(RefCapacity!$D$2:$D$526,RefCapacity!$A$2:$A$526,RefCapacityProj!$D130,RefCapacity!$B$2:$B$526,2019)</f>
        <v>0</v>
      </c>
      <c r="AT130" cm="1">
        <f t="array" ref="AT130">$Y130*INDEX(RefCapacity!$D$2:$D$526,MATCH(1,(RefCapacity!$A$2:$A$526=RefCapacityProj!$D130)*(RefCapacity!$B$2:$B$526=2019)*(RefCapacity!$C$2:$C$526=AM$1),0))/SUMIFS(RefCapacity!$D$2:$D$526,RefCapacity!$A$2:$A$526,RefCapacityProj!$D130,RefCapacity!$B$2:$B$526,2019)</f>
        <v>1125.8154669155449</v>
      </c>
      <c r="AU130" cm="1">
        <f t="array" ref="AU130">INDEX(RefCapacity!$D$2:$D$526,MATCH(1,(RefCapacity!$A$2:$A$526=RefCapacityProj!$D130)*(RefCapacity!$B$2:$B$526=2019)*(RefCapacity!$C$2:$C$526=RefCapacityProj!AG$1),0))*IF($C130=2035,1+VLOOKUP(AG$1,RefCapacity!$H$2:$L$8,2,FALSE),1+VLOOKUP(AG$1,RefCapacity!$H$2:$L$8,4,FALSE))</f>
        <v>69.095643226583363</v>
      </c>
      <c r="AV130" cm="1">
        <f t="array" ref="AV130">INDEX(RefCapacity!$D$2:$D$526,MATCH(1,(RefCapacity!$A$2:$A$526=RefCapacityProj!$D130)*(RefCapacity!$B$2:$B$526=2019)*(RefCapacity!$C$2:$C$526=RefCapacityProj!AH$1),0))*IF($C130=2035,1+VLOOKUP(AH$1,RefCapacity!$H$2:$L$8,2,FALSE),1+VLOOKUP(AH$1,RefCapacity!$H$2:$L$8,4,FALSE))</f>
        <v>829.70092482947541</v>
      </c>
      <c r="AW130" cm="1">
        <f t="array" ref="AW130">INDEX(RefCapacity!$D$2:$D$526,MATCH(1,(RefCapacity!$A$2:$A$526=RefCapacityProj!$D130)*(RefCapacity!$B$2:$B$526=2019)*(RefCapacity!$C$2:$C$526=RefCapacityProj!AI$1),0))*IF($C130=2035,1+VLOOKUP(AI$1,RefCapacity!$H$2:$L$8,2,FALSE),1+VLOOKUP(AI$1,RefCapacity!$H$2:$L$8,4,FALSE))</f>
        <v>0</v>
      </c>
      <c r="AX130" cm="1">
        <f t="array" ref="AX130">INDEX(RefCapacity!$D$2:$D$526,MATCH(1,(RefCapacity!$A$2:$A$526=RefCapacityProj!$D130)*(RefCapacity!$B$2:$B$526=2019)*(RefCapacity!$C$2:$C$526=RefCapacityProj!AJ$1),0))*IF($C130=2035,1+VLOOKUP(AJ$1,RefCapacity!$H$2:$L$8,2,FALSE),1+VLOOKUP(AJ$1,RefCapacity!$H$2:$L$8,4,FALSE))</f>
        <v>993.12500000000011</v>
      </c>
      <c r="AY130" cm="1">
        <f t="array" ref="AY130">INDEX(RefCapacity!$D$2:$D$526,MATCH(1,(RefCapacity!$A$2:$A$526=RefCapacityProj!$D130)*(RefCapacity!$B$2:$B$526=2019)*(RefCapacity!$C$2:$C$526=RefCapacityProj!AK$1),0))*IF($C130=2035,1+VLOOKUP(AK$1,RefCapacity!$H$2:$L$8,2,FALSE),1+VLOOKUP(AK$1,RefCapacity!$H$2:$L$8,4,FALSE))</f>
        <v>1991.4122477464978</v>
      </c>
      <c r="AZ130" cm="1">
        <f t="array" ref="AZ130">INDEX(RefCapacity!$D$2:$D$526,MATCH(1,(RefCapacity!$A$2:$A$526=RefCapacityProj!$D130)*(RefCapacity!$B$2:$B$526=2019)*(RefCapacity!$C$2:$C$526=RefCapacityProj!AL$1),0))*IF($C130=2035,1+VLOOKUP(AL$1,RefCapacity!$H$2:$L$8,2,FALSE),1+VLOOKUP(AL$1,RefCapacity!$H$2:$L$8,4,FALSE))</f>
        <v>0</v>
      </c>
      <c r="BA130" cm="1">
        <f t="array" ref="BA130">INDEX(RefCapacity!$D$2:$D$526,MATCH(1,(RefCapacity!$A$2:$A$526=RefCapacityProj!$D130)*(RefCapacity!$B$2:$B$526=2019)*(RefCapacity!$C$2:$C$526=RefCapacityProj!AM$1),0))*IF($C130=2035,1+VLOOKUP(AM$1,RefCapacity!$H$2:$L$8,2,FALSE),1+VLOOKUP(AM$1,RefCapacity!$H$2:$L$8,4,FALSE))</f>
        <v>1360.1267578285858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f t="shared" si="12"/>
        <v>3538.050123078152</v>
      </c>
      <c r="BJ130">
        <f t="shared" si="13"/>
        <v>35.029335752612042</v>
      </c>
      <c r="BK130">
        <f t="shared" si="14"/>
        <v>9.9999997598079204E-3</v>
      </c>
      <c r="BL130" cm="1">
        <f t="array" ref="BL130">AG130/$BI130*INDEX('GHG Emission'!$C$2:$C$1121,MATCH(1,('GHG Emission'!$D$2:$D$1121=$D130)*('GHG Emission'!$E$2:$E$1121=$C130)*('GHG Emission'!$F$2:$F$1121=$B130)*('GHG Emission'!$I$2:$I$1121=$E130)*('GHG Emission'!$J$2:$J$1121=$F130)*('GHG Emission'!$K$2:$K$1121=AG$1),0))+AH130/$BI130*INDEX('GHG Emission'!$C$2:$C$1121,MATCH(1,('GHG Emission'!$D$2:$D$1121=$D130)*('GHG Emission'!$E$2:$E$1121=$C130)*('GHG Emission'!$F$2:$F$1121=$B130)*('GHG Emission'!$I$2:$I$1121=$E130)*('GHG Emission'!$J$2:$J$1121=$F130)*('GHG Emission'!$K$2:$K$1121=AH$1),0))+AI130/$BI130*INDEX('GHG Emission'!$C$2:$C$1121,MATCH(1,('GHG Emission'!$D$2:$D$1121=$D130)*('GHG Emission'!$E$2:$E$1121=$C130)*('GHG Emission'!$F$2:$F$1121=$B130)*('GHG Emission'!$I$2:$I$1121=$E130)*('GHG Emission'!$J$2:$J$1121=$F130)*('GHG Emission'!$K$2:$K$1121=AI$1),0))+AJ130/$BI130*INDEX('GHG Emission'!$C$2:$C$1121,MATCH(1,('GHG Emission'!$D$2:$D$1121=$D130)*('GHG Emission'!$E$2:$E$1121=$C130)*('GHG Emission'!$F$2:$F$1121=$B130)*('GHG Emission'!$I$2:$I$1121=$E130)*('GHG Emission'!$J$2:$J$1121=$F130)*('GHG Emission'!$K$2:$K$1121=AJ$1),0))+AK130/$BI130*INDEX('GHG Emission'!$C$2:$C$1121,MATCH(1,('GHG Emission'!$D$2:$D$1121=$D130)*('GHG Emission'!$E$2:$E$1121=$C130)*('GHG Emission'!$F$2:$F$1121=$B130)*('GHG Emission'!$I$2:$I$1121=$E130)*('GHG Emission'!$J$2:$J$1121=$F130)*('GHG Emission'!$K$2:$K$1121=AK$1),0))+AL130/$BI130*INDEX('GHG Emission'!$C$2:$C$1121,MATCH(1,('GHG Emission'!$D$2:$D$1121=$D130)*('GHG Emission'!$E$2:$E$1121=$C130)*('GHG Emission'!$F$2:$F$1121=$B130)*('GHG Emission'!$I$2:$I$1121=$E130)*('GHG Emission'!$J$2:$J$1121=$F130)*('GHG Emission'!$K$2:$K$1121=AL$1),0))+AM130/$BI130*INDEX('GHG Emission'!$C$2:$C$1121,MATCH(1,('GHG Emission'!$D$2:$D$1121=$D130)*('GHG Emission'!$E$2:$E$1121=$C130)*('GHG Emission'!$F$2:$F$1121=$B130)*('GHG Emission'!$I$2:$I$1121=$E130)*('GHG Emission'!$J$2:$J$1121=$F130)*('GHG Emission'!$K$2:$K$1121=AM$1),0))</f>
        <v>34.897841529755354</v>
      </c>
      <c r="BM130" t="str">
        <f t="shared" si="15"/>
        <v>HEAVY/SWEET</v>
      </c>
    </row>
    <row r="131" spans="1:65" hidden="1" x14ac:dyDescent="0.25">
      <c r="A131">
        <v>130</v>
      </c>
      <c r="B131" t="s">
        <v>472</v>
      </c>
      <c r="C131">
        <v>2035</v>
      </c>
      <c r="D131">
        <v>2</v>
      </c>
      <c r="E131" t="s">
        <v>466</v>
      </c>
      <c r="F131" t="s">
        <v>468</v>
      </c>
      <c r="G131">
        <v>2334.9472793392815</v>
      </c>
      <c r="H131">
        <v>243.18273200131145</v>
      </c>
      <c r="I131">
        <v>1211.1971507513754</v>
      </c>
      <c r="J131">
        <v>74.484884121821509</v>
      </c>
      <c r="K131">
        <v>41.316115877463915</v>
      </c>
      <c r="L131">
        <v>29.323153592751066</v>
      </c>
      <c r="M131">
        <v>0</v>
      </c>
      <c r="N131">
        <v>0</v>
      </c>
      <c r="O131">
        <v>0</v>
      </c>
      <c r="P131">
        <v>298.48989607922942</v>
      </c>
      <c r="Q131">
        <v>0</v>
      </c>
      <c r="R131">
        <v>0</v>
      </c>
      <c r="S131">
        <v>0</v>
      </c>
      <c r="T131">
        <v>8.9774380545843417</v>
      </c>
      <c r="U131">
        <v>0</v>
      </c>
      <c r="V131">
        <v>0</v>
      </c>
      <c r="W131">
        <v>0</v>
      </c>
      <c r="X131">
        <f t="shared" ref="X131:X161" si="16">SUM($G131:$W131)</f>
        <v>4241.9186498178178</v>
      </c>
      <c r="Y131">
        <f>X131*VLOOKUP($D131,'LinearReg Model'!$S$2:$T$6,2,FALSE)</f>
        <v>3503.0207873255399</v>
      </c>
      <c r="Z131">
        <f t="shared" ref="Z131:Z161" si="17">G131/$X131</f>
        <v>0.55044602975579526</v>
      </c>
      <c r="AA131">
        <f t="shared" ref="AA131:AA161" si="18">I131/$X131</f>
        <v>0.28553049946004833</v>
      </c>
      <c r="AB131">
        <f t="shared" ref="AB131:AB161" si="19">H131/$X131</f>
        <v>5.7328476115815111E-2</v>
      </c>
      <c r="AC131">
        <v>30.283494646922765</v>
      </c>
      <c r="AD131">
        <v>2.3964868933205583</v>
      </c>
      <c r="AE131" s="2">
        <f>VLOOKUP($D131,'MultiReg Model'!$A$5:$F$9,2,FALSE)+AC131*VLOOKUP($D131,'MultiReg Model'!$A$5:$F$9,3,FALSE)+Z131*VLOOKUP($D131,'MultiReg Model'!$A$5:$F$9,4,FALSE)+AA131*VLOOKUP($D131,'MultiReg Model'!$A$5:$F$9,5,FALSE)+AB131*VLOOKUP($D131,'MultiReg Model'!$A$5:$F$9,6,FALSE)</f>
        <v>9.7410106004251542</v>
      </c>
      <c r="AF131" cm="1">
        <f t="array" ref="AF131">MMULT($AG131:$AM131,'Avg CI Index'!$C$2:$C$8)/BI131</f>
        <v>9.7510106001849621</v>
      </c>
      <c r="AG131">
        <v>63.299440479860891</v>
      </c>
      <c r="AH131">
        <v>542.1768701857718</v>
      </c>
      <c r="AI131">
        <v>0</v>
      </c>
      <c r="AJ131">
        <v>443.80976462081776</v>
      </c>
      <c r="AK131">
        <v>1375.3008160666207</v>
      </c>
      <c r="AL131">
        <v>0</v>
      </c>
      <c r="AM131">
        <v>1113.463231725081</v>
      </c>
      <c r="AN131" cm="1">
        <f t="array" ref="AN131">$Y131*INDEX(RefCapacity!$D$2:$D$526,MATCH(1,(RefCapacity!$A$2:$A$526=RefCapacityProj!$D131)*(RefCapacity!$B$2:$B$526=2019)*(RefCapacity!$C$2:$C$526=AG$1),0))/SUMIFS(RefCapacity!$D$2:$D$526,RefCapacity!$A$2:$A$526,RefCapacityProj!$D131,RefCapacity!$B$2:$B$526,2019)</f>
        <v>21.495930182939048</v>
      </c>
      <c r="AO131" cm="1">
        <f t="array" ref="AO131">$Y131*INDEX(RefCapacity!$D$2:$D$526,MATCH(1,(RefCapacity!$A$2:$A$526=RefCapacityProj!$D131)*(RefCapacity!$B$2:$B$526=2019)*(RefCapacity!$C$2:$C$526=AH$1),0))/SUMIFS(RefCapacity!$D$2:$D$526,RefCapacity!$A$2:$A$526,RefCapacityProj!$D131,RefCapacity!$B$2:$B$526,2019)</f>
        <v>529.55333464370483</v>
      </c>
      <c r="AP131" cm="1">
        <f t="array" ref="AP131">$Y131*INDEX(RefCapacity!$D$2:$D$526,MATCH(1,(RefCapacity!$A$2:$A$526=RefCapacityProj!$D131)*(RefCapacity!$B$2:$B$526=2019)*(RefCapacity!$C$2:$C$526=AI$1),0))/SUMIFS(RefCapacity!$D$2:$D$526,RefCapacity!$A$2:$A$526,RefCapacityProj!$D131,RefCapacity!$B$2:$B$526,2019)</f>
        <v>0</v>
      </c>
      <c r="AQ131" cm="1">
        <f t="array" ref="AQ131">$Y131*INDEX(RefCapacity!$D$2:$D$526,MATCH(1,(RefCapacity!$A$2:$A$526=RefCapacityProj!$D131)*(RefCapacity!$B$2:$B$526=2019)*(RefCapacity!$C$2:$C$526=AJ$1),0))/SUMIFS(RefCapacity!$D$2:$D$526,RefCapacity!$A$2:$A$526,RefCapacityProj!$D131,RefCapacity!$B$2:$B$526,2019)</f>
        <v>446.26531862679548</v>
      </c>
      <c r="AR131" cm="1">
        <f t="array" ref="AR131">$Y131*INDEX(RefCapacity!$D$2:$D$526,MATCH(1,(RefCapacity!$A$2:$A$526=RefCapacityProj!$D131)*(RefCapacity!$B$2:$B$526=2019)*(RefCapacity!$C$2:$C$526=AK$1),0))/SUMIFS(RefCapacity!$D$2:$D$526,RefCapacity!$A$2:$A$526,RefCapacityProj!$D131,RefCapacity!$B$2:$B$526,2019)</f>
        <v>1379.8907369565554</v>
      </c>
      <c r="AS131" cm="1">
        <f t="array" ref="AS131">$Y131*INDEX(RefCapacity!$D$2:$D$526,MATCH(1,(RefCapacity!$A$2:$A$526=RefCapacityProj!$D131)*(RefCapacity!$B$2:$B$526=2019)*(RefCapacity!$C$2:$C$526=AL$1),0))/SUMIFS(RefCapacity!$D$2:$D$526,RefCapacity!$A$2:$A$526,RefCapacityProj!$D131,RefCapacity!$B$2:$B$526,2019)</f>
        <v>0</v>
      </c>
      <c r="AT131" cm="1">
        <f t="array" ref="AT131">$Y131*INDEX(RefCapacity!$D$2:$D$526,MATCH(1,(RefCapacity!$A$2:$A$526=RefCapacityProj!$D131)*(RefCapacity!$B$2:$B$526=2019)*(RefCapacity!$C$2:$C$526=AM$1),0))/SUMIFS(RefCapacity!$D$2:$D$526,RefCapacity!$A$2:$A$526,RefCapacityProj!$D131,RefCapacity!$B$2:$B$526,2019)</f>
        <v>1125.8154669155449</v>
      </c>
      <c r="AU131" cm="1">
        <f t="array" ref="AU131">INDEX(RefCapacity!$D$2:$D$526,MATCH(1,(RefCapacity!$A$2:$A$526=RefCapacityProj!$D131)*(RefCapacity!$B$2:$B$526=2019)*(RefCapacity!$C$2:$C$526=RefCapacityProj!AG$1),0))*IF($C131=2035,1+VLOOKUP(AG$1,RefCapacity!$H$2:$L$8,2,FALSE),1+VLOOKUP(AG$1,RefCapacity!$H$2:$L$8,4,FALSE))</f>
        <v>69.095643226583363</v>
      </c>
      <c r="AV131" cm="1">
        <f t="array" ref="AV131">INDEX(RefCapacity!$D$2:$D$526,MATCH(1,(RefCapacity!$A$2:$A$526=RefCapacityProj!$D131)*(RefCapacity!$B$2:$B$526=2019)*(RefCapacity!$C$2:$C$526=RefCapacityProj!AH$1),0))*IF($C131=2035,1+VLOOKUP(AH$1,RefCapacity!$H$2:$L$8,2,FALSE),1+VLOOKUP(AH$1,RefCapacity!$H$2:$L$8,4,FALSE))</f>
        <v>829.70092482947541</v>
      </c>
      <c r="AW131" cm="1">
        <f t="array" ref="AW131">INDEX(RefCapacity!$D$2:$D$526,MATCH(1,(RefCapacity!$A$2:$A$526=RefCapacityProj!$D131)*(RefCapacity!$B$2:$B$526=2019)*(RefCapacity!$C$2:$C$526=RefCapacityProj!AI$1),0))*IF($C131=2035,1+VLOOKUP(AI$1,RefCapacity!$H$2:$L$8,2,FALSE),1+VLOOKUP(AI$1,RefCapacity!$H$2:$L$8,4,FALSE))</f>
        <v>0</v>
      </c>
      <c r="AX131" cm="1">
        <f t="array" ref="AX131">INDEX(RefCapacity!$D$2:$D$526,MATCH(1,(RefCapacity!$A$2:$A$526=RefCapacityProj!$D131)*(RefCapacity!$B$2:$B$526=2019)*(RefCapacity!$C$2:$C$526=RefCapacityProj!AJ$1),0))*IF($C131=2035,1+VLOOKUP(AJ$1,RefCapacity!$H$2:$L$8,2,FALSE),1+VLOOKUP(AJ$1,RefCapacity!$H$2:$L$8,4,FALSE))</f>
        <v>993.12500000000011</v>
      </c>
      <c r="AY131" cm="1">
        <f t="array" ref="AY131">INDEX(RefCapacity!$D$2:$D$526,MATCH(1,(RefCapacity!$A$2:$A$526=RefCapacityProj!$D131)*(RefCapacity!$B$2:$B$526=2019)*(RefCapacity!$C$2:$C$526=RefCapacityProj!AK$1),0))*IF($C131=2035,1+VLOOKUP(AK$1,RefCapacity!$H$2:$L$8,2,FALSE),1+VLOOKUP(AK$1,RefCapacity!$H$2:$L$8,4,FALSE))</f>
        <v>1991.4122477464978</v>
      </c>
      <c r="AZ131" cm="1">
        <f t="array" ref="AZ131">INDEX(RefCapacity!$D$2:$D$526,MATCH(1,(RefCapacity!$A$2:$A$526=RefCapacityProj!$D131)*(RefCapacity!$B$2:$B$526=2019)*(RefCapacity!$C$2:$C$526=RefCapacityProj!AL$1),0))*IF($C131=2035,1+VLOOKUP(AL$1,RefCapacity!$H$2:$L$8,2,FALSE),1+VLOOKUP(AL$1,RefCapacity!$H$2:$L$8,4,FALSE))</f>
        <v>0</v>
      </c>
      <c r="BA131" cm="1">
        <f t="array" ref="BA131">INDEX(RefCapacity!$D$2:$D$526,MATCH(1,(RefCapacity!$A$2:$A$526=RefCapacityProj!$D131)*(RefCapacity!$B$2:$B$526=2019)*(RefCapacity!$C$2:$C$526=RefCapacityProj!AM$1),0))*IF($C131=2035,1+VLOOKUP(AM$1,RefCapacity!$H$2:$L$8,2,FALSE),1+VLOOKUP(AM$1,RefCapacity!$H$2:$L$8,4,FALSE))</f>
        <v>1360.1267578285858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f t="shared" ref="BI131:BI166" si="20">SUM(AG131:AM131)</f>
        <v>3538.050123078152</v>
      </c>
      <c r="BJ131">
        <f t="shared" ref="BJ131:BJ166" si="21">ABS(Y131-BI131)</f>
        <v>35.029335752612042</v>
      </c>
      <c r="BK131">
        <f t="shared" ref="BK131:BK166" si="22">ABS(AE131-AF131)</f>
        <v>9.9999997598079204E-3</v>
      </c>
      <c r="BL131" cm="1">
        <f t="array" ref="BL131">AG131/$BI131*INDEX('GHG Emission'!$C$2:$C$1121,MATCH(1,('GHG Emission'!$D$2:$D$1121=$D131)*('GHG Emission'!$E$2:$E$1121=$C131)*('GHG Emission'!$F$2:$F$1121=$B131)*('GHG Emission'!$I$2:$I$1121=$E131)*('GHG Emission'!$J$2:$J$1121=$F131)*('GHG Emission'!$K$2:$K$1121=AG$1),0))+AH131/$BI131*INDEX('GHG Emission'!$C$2:$C$1121,MATCH(1,('GHG Emission'!$D$2:$D$1121=$D131)*('GHG Emission'!$E$2:$E$1121=$C131)*('GHG Emission'!$F$2:$F$1121=$B131)*('GHG Emission'!$I$2:$I$1121=$E131)*('GHG Emission'!$J$2:$J$1121=$F131)*('GHG Emission'!$K$2:$K$1121=AH$1),0))+AI131/$BI131*INDEX('GHG Emission'!$C$2:$C$1121,MATCH(1,('GHG Emission'!$D$2:$D$1121=$D131)*('GHG Emission'!$E$2:$E$1121=$C131)*('GHG Emission'!$F$2:$F$1121=$B131)*('GHG Emission'!$I$2:$I$1121=$E131)*('GHG Emission'!$J$2:$J$1121=$F131)*('GHG Emission'!$K$2:$K$1121=AI$1),0))+AJ131/$BI131*INDEX('GHG Emission'!$C$2:$C$1121,MATCH(1,('GHG Emission'!$D$2:$D$1121=$D131)*('GHG Emission'!$E$2:$E$1121=$C131)*('GHG Emission'!$F$2:$F$1121=$B131)*('GHG Emission'!$I$2:$I$1121=$E131)*('GHG Emission'!$J$2:$J$1121=$F131)*('GHG Emission'!$K$2:$K$1121=AJ$1),0))+AK131/$BI131*INDEX('GHG Emission'!$C$2:$C$1121,MATCH(1,('GHG Emission'!$D$2:$D$1121=$D131)*('GHG Emission'!$E$2:$E$1121=$C131)*('GHG Emission'!$F$2:$F$1121=$B131)*('GHG Emission'!$I$2:$I$1121=$E131)*('GHG Emission'!$J$2:$J$1121=$F131)*('GHG Emission'!$K$2:$K$1121=AK$1),0))+AL131/$BI131*INDEX('GHG Emission'!$C$2:$C$1121,MATCH(1,('GHG Emission'!$D$2:$D$1121=$D131)*('GHG Emission'!$E$2:$E$1121=$C131)*('GHG Emission'!$F$2:$F$1121=$B131)*('GHG Emission'!$I$2:$I$1121=$E131)*('GHG Emission'!$J$2:$J$1121=$F131)*('GHG Emission'!$K$2:$K$1121=AL$1),0))+AM131/$BI131*INDEX('GHG Emission'!$C$2:$C$1121,MATCH(1,('GHG Emission'!$D$2:$D$1121=$D131)*('GHG Emission'!$E$2:$E$1121=$C131)*('GHG Emission'!$F$2:$F$1121=$B131)*('GHG Emission'!$I$2:$I$1121=$E131)*('GHG Emission'!$J$2:$J$1121=$F131)*('GHG Emission'!$K$2:$K$1121=AM$1),0))</f>
        <v>35.067330565923854</v>
      </c>
      <c r="BM131" t="str">
        <f t="shared" ref="BM131:BM166" si="23">_xlfn.CONCAT(E131,"/",F131)</f>
        <v>HEAVY/SOUR</v>
      </c>
    </row>
    <row r="132" spans="1:65" hidden="1" x14ac:dyDescent="0.25">
      <c r="A132">
        <v>131</v>
      </c>
      <c r="B132" t="s">
        <v>472</v>
      </c>
      <c r="C132">
        <v>2035</v>
      </c>
      <c r="D132">
        <v>2</v>
      </c>
      <c r="E132" t="s">
        <v>469</v>
      </c>
      <c r="F132" t="s">
        <v>467</v>
      </c>
      <c r="G132">
        <v>2334.9472793392815</v>
      </c>
      <c r="H132">
        <v>243.18273200131145</v>
      </c>
      <c r="I132">
        <v>1211.1971507513754</v>
      </c>
      <c r="J132">
        <v>74.484884121821509</v>
      </c>
      <c r="K132">
        <v>41.316115877463915</v>
      </c>
      <c r="L132">
        <v>29.323153592751066</v>
      </c>
      <c r="M132">
        <v>0</v>
      </c>
      <c r="N132">
        <v>0</v>
      </c>
      <c r="O132">
        <v>0</v>
      </c>
      <c r="P132">
        <v>298.48989607922942</v>
      </c>
      <c r="Q132">
        <v>0</v>
      </c>
      <c r="R132">
        <v>0</v>
      </c>
      <c r="S132">
        <v>0</v>
      </c>
      <c r="T132">
        <v>8.9774380545843417</v>
      </c>
      <c r="U132">
        <v>0</v>
      </c>
      <c r="V132">
        <v>0</v>
      </c>
      <c r="W132">
        <v>0</v>
      </c>
      <c r="X132">
        <f t="shared" si="16"/>
        <v>4241.9186498178178</v>
      </c>
      <c r="Y132">
        <f>X132*VLOOKUP($D132,'LinearReg Model'!$S$2:$T$6,2,FALSE)</f>
        <v>3503.0207873255399</v>
      </c>
      <c r="Z132">
        <f t="shared" si="17"/>
        <v>0.55044602975579526</v>
      </c>
      <c r="AA132">
        <f t="shared" si="18"/>
        <v>0.28553049946004833</v>
      </c>
      <c r="AB132">
        <f t="shared" si="19"/>
        <v>5.7328476115815111E-2</v>
      </c>
      <c r="AC132">
        <v>34.957728681668918</v>
      </c>
      <c r="AD132">
        <v>0.85848259090407375</v>
      </c>
      <c r="AE132" s="2">
        <f>VLOOKUP($D132,'MultiReg Model'!$A$5:$F$9,2,FALSE)+AC132*VLOOKUP($D132,'MultiReg Model'!$A$5:$F$9,3,FALSE)+Z132*VLOOKUP($D132,'MultiReg Model'!$A$5:$F$9,4,FALSE)+AA132*VLOOKUP($D132,'MultiReg Model'!$A$5:$F$9,5,FALSE)+AB132*VLOOKUP($D132,'MultiReg Model'!$A$5:$F$9,6,FALSE)</f>
        <v>9.4518774960161842</v>
      </c>
      <c r="AF132" cm="1">
        <f t="array" ref="AF132">MMULT($AG132:$AM132,'Avg CI Index'!$C$2:$C$8)/BI132</f>
        <v>9.4618775057292996</v>
      </c>
      <c r="AG132">
        <v>69.094920865061709</v>
      </c>
      <c r="AH132">
        <v>816.59006309727226</v>
      </c>
      <c r="AI132">
        <v>0</v>
      </c>
      <c r="AJ132">
        <v>426.9999152003702</v>
      </c>
      <c r="AK132">
        <v>1317.2794690949197</v>
      </c>
      <c r="AL132">
        <v>0</v>
      </c>
      <c r="AM132">
        <v>905.51584960106732</v>
      </c>
      <c r="AN132" cm="1">
        <f t="array" ref="AN132">$Y132*INDEX(RefCapacity!$D$2:$D$526,MATCH(1,(RefCapacity!$A$2:$A$526=RefCapacityProj!$D132)*(RefCapacity!$B$2:$B$526=2019)*(RefCapacity!$C$2:$C$526=AG$1),0))/SUMIFS(RefCapacity!$D$2:$D$526,RefCapacity!$A$2:$A$526,RefCapacityProj!$D132,RefCapacity!$B$2:$B$526,2019)</f>
        <v>21.495930182939048</v>
      </c>
      <c r="AO132" cm="1">
        <f t="array" ref="AO132">$Y132*INDEX(RefCapacity!$D$2:$D$526,MATCH(1,(RefCapacity!$A$2:$A$526=RefCapacityProj!$D132)*(RefCapacity!$B$2:$B$526=2019)*(RefCapacity!$C$2:$C$526=AH$1),0))/SUMIFS(RefCapacity!$D$2:$D$526,RefCapacity!$A$2:$A$526,RefCapacityProj!$D132,RefCapacity!$B$2:$B$526,2019)</f>
        <v>529.55333464370483</v>
      </c>
      <c r="AP132" cm="1">
        <f t="array" ref="AP132">$Y132*INDEX(RefCapacity!$D$2:$D$526,MATCH(1,(RefCapacity!$A$2:$A$526=RefCapacityProj!$D132)*(RefCapacity!$B$2:$B$526=2019)*(RefCapacity!$C$2:$C$526=AI$1),0))/SUMIFS(RefCapacity!$D$2:$D$526,RefCapacity!$A$2:$A$526,RefCapacityProj!$D132,RefCapacity!$B$2:$B$526,2019)</f>
        <v>0</v>
      </c>
      <c r="AQ132" cm="1">
        <f t="array" ref="AQ132">$Y132*INDEX(RefCapacity!$D$2:$D$526,MATCH(1,(RefCapacity!$A$2:$A$526=RefCapacityProj!$D132)*(RefCapacity!$B$2:$B$526=2019)*(RefCapacity!$C$2:$C$526=AJ$1),0))/SUMIFS(RefCapacity!$D$2:$D$526,RefCapacity!$A$2:$A$526,RefCapacityProj!$D132,RefCapacity!$B$2:$B$526,2019)</f>
        <v>446.26531862679548</v>
      </c>
      <c r="AR132" cm="1">
        <f t="array" ref="AR132">$Y132*INDEX(RefCapacity!$D$2:$D$526,MATCH(1,(RefCapacity!$A$2:$A$526=RefCapacityProj!$D132)*(RefCapacity!$B$2:$B$526=2019)*(RefCapacity!$C$2:$C$526=AK$1),0))/SUMIFS(RefCapacity!$D$2:$D$526,RefCapacity!$A$2:$A$526,RefCapacityProj!$D132,RefCapacity!$B$2:$B$526,2019)</f>
        <v>1379.8907369565554</v>
      </c>
      <c r="AS132" cm="1">
        <f t="array" ref="AS132">$Y132*INDEX(RefCapacity!$D$2:$D$526,MATCH(1,(RefCapacity!$A$2:$A$526=RefCapacityProj!$D132)*(RefCapacity!$B$2:$B$526=2019)*(RefCapacity!$C$2:$C$526=AL$1),0))/SUMIFS(RefCapacity!$D$2:$D$526,RefCapacity!$A$2:$A$526,RefCapacityProj!$D132,RefCapacity!$B$2:$B$526,2019)</f>
        <v>0</v>
      </c>
      <c r="AT132" cm="1">
        <f t="array" ref="AT132">$Y132*INDEX(RefCapacity!$D$2:$D$526,MATCH(1,(RefCapacity!$A$2:$A$526=RefCapacityProj!$D132)*(RefCapacity!$B$2:$B$526=2019)*(RefCapacity!$C$2:$C$526=AM$1),0))/SUMIFS(RefCapacity!$D$2:$D$526,RefCapacity!$A$2:$A$526,RefCapacityProj!$D132,RefCapacity!$B$2:$B$526,2019)</f>
        <v>1125.8154669155449</v>
      </c>
      <c r="AU132" cm="1">
        <f t="array" ref="AU132">INDEX(RefCapacity!$D$2:$D$526,MATCH(1,(RefCapacity!$A$2:$A$526=RefCapacityProj!$D132)*(RefCapacity!$B$2:$B$526=2019)*(RefCapacity!$C$2:$C$526=RefCapacityProj!AG$1),0))*IF($C132=2035,1+VLOOKUP(AG$1,RefCapacity!$H$2:$L$8,2,FALSE),1+VLOOKUP(AG$1,RefCapacity!$H$2:$L$8,4,FALSE))</f>
        <v>69.095643226583363</v>
      </c>
      <c r="AV132" cm="1">
        <f t="array" ref="AV132">INDEX(RefCapacity!$D$2:$D$526,MATCH(1,(RefCapacity!$A$2:$A$526=RefCapacityProj!$D132)*(RefCapacity!$B$2:$B$526=2019)*(RefCapacity!$C$2:$C$526=RefCapacityProj!AH$1),0))*IF($C132=2035,1+VLOOKUP(AH$1,RefCapacity!$H$2:$L$8,2,FALSE),1+VLOOKUP(AH$1,RefCapacity!$H$2:$L$8,4,FALSE))</f>
        <v>829.70092482947541</v>
      </c>
      <c r="AW132" cm="1">
        <f t="array" ref="AW132">INDEX(RefCapacity!$D$2:$D$526,MATCH(1,(RefCapacity!$A$2:$A$526=RefCapacityProj!$D132)*(RefCapacity!$B$2:$B$526=2019)*(RefCapacity!$C$2:$C$526=RefCapacityProj!AI$1),0))*IF($C132=2035,1+VLOOKUP(AI$1,RefCapacity!$H$2:$L$8,2,FALSE),1+VLOOKUP(AI$1,RefCapacity!$H$2:$L$8,4,FALSE))</f>
        <v>0</v>
      </c>
      <c r="AX132" cm="1">
        <f t="array" ref="AX132">INDEX(RefCapacity!$D$2:$D$526,MATCH(1,(RefCapacity!$A$2:$A$526=RefCapacityProj!$D132)*(RefCapacity!$B$2:$B$526=2019)*(RefCapacity!$C$2:$C$526=RefCapacityProj!AJ$1),0))*IF($C132=2035,1+VLOOKUP(AJ$1,RefCapacity!$H$2:$L$8,2,FALSE),1+VLOOKUP(AJ$1,RefCapacity!$H$2:$L$8,4,FALSE))</f>
        <v>993.12500000000011</v>
      </c>
      <c r="AY132" cm="1">
        <f t="array" ref="AY132">INDEX(RefCapacity!$D$2:$D$526,MATCH(1,(RefCapacity!$A$2:$A$526=RefCapacityProj!$D132)*(RefCapacity!$B$2:$B$526=2019)*(RefCapacity!$C$2:$C$526=RefCapacityProj!AK$1),0))*IF($C132=2035,1+VLOOKUP(AK$1,RefCapacity!$H$2:$L$8,2,FALSE),1+VLOOKUP(AK$1,RefCapacity!$H$2:$L$8,4,FALSE))</f>
        <v>1991.4122477464978</v>
      </c>
      <c r="AZ132" cm="1">
        <f t="array" ref="AZ132">INDEX(RefCapacity!$D$2:$D$526,MATCH(1,(RefCapacity!$A$2:$A$526=RefCapacityProj!$D132)*(RefCapacity!$B$2:$B$526=2019)*(RefCapacity!$C$2:$C$526=RefCapacityProj!AL$1),0))*IF($C132=2035,1+VLOOKUP(AL$1,RefCapacity!$H$2:$L$8,2,FALSE),1+VLOOKUP(AL$1,RefCapacity!$H$2:$L$8,4,FALSE))</f>
        <v>0</v>
      </c>
      <c r="BA132" cm="1">
        <f t="array" ref="BA132">INDEX(RefCapacity!$D$2:$D$526,MATCH(1,(RefCapacity!$A$2:$A$526=RefCapacityProj!$D132)*(RefCapacity!$B$2:$B$526=2019)*(RefCapacity!$C$2:$C$526=RefCapacityProj!AM$1),0))*IF($C132=2035,1+VLOOKUP(AM$1,RefCapacity!$H$2:$L$8,2,FALSE),1+VLOOKUP(AM$1,RefCapacity!$H$2:$L$8,4,FALSE))</f>
        <v>1360.1267578285858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f t="shared" si="20"/>
        <v>3535.480217858691</v>
      </c>
      <c r="BJ132">
        <f t="shared" si="21"/>
        <v>32.459430533151135</v>
      </c>
      <c r="BK132">
        <f t="shared" si="22"/>
        <v>1.0000009713115432E-2</v>
      </c>
      <c r="BL132" cm="1">
        <f t="array" ref="BL132">AG132/$BI132*INDEX('GHG Emission'!$C$2:$C$1121,MATCH(1,('GHG Emission'!$D$2:$D$1121=$D132)*('GHG Emission'!$E$2:$E$1121=$C132)*('GHG Emission'!$F$2:$F$1121=$B132)*('GHG Emission'!$I$2:$I$1121=$E132)*('GHG Emission'!$J$2:$J$1121=$F132)*('GHG Emission'!$K$2:$K$1121=AG$1),0))+AH132/$BI132*INDEX('GHG Emission'!$C$2:$C$1121,MATCH(1,('GHG Emission'!$D$2:$D$1121=$D132)*('GHG Emission'!$E$2:$E$1121=$C132)*('GHG Emission'!$F$2:$F$1121=$B132)*('GHG Emission'!$I$2:$I$1121=$E132)*('GHG Emission'!$J$2:$J$1121=$F132)*('GHG Emission'!$K$2:$K$1121=AH$1),0))+AI132/$BI132*INDEX('GHG Emission'!$C$2:$C$1121,MATCH(1,('GHG Emission'!$D$2:$D$1121=$D132)*('GHG Emission'!$E$2:$E$1121=$C132)*('GHG Emission'!$F$2:$F$1121=$B132)*('GHG Emission'!$I$2:$I$1121=$E132)*('GHG Emission'!$J$2:$J$1121=$F132)*('GHG Emission'!$K$2:$K$1121=AI$1),0))+AJ132/$BI132*INDEX('GHG Emission'!$C$2:$C$1121,MATCH(1,('GHG Emission'!$D$2:$D$1121=$D132)*('GHG Emission'!$E$2:$E$1121=$C132)*('GHG Emission'!$F$2:$F$1121=$B132)*('GHG Emission'!$I$2:$I$1121=$E132)*('GHG Emission'!$J$2:$J$1121=$F132)*('GHG Emission'!$K$2:$K$1121=AJ$1),0))+AK132/$BI132*INDEX('GHG Emission'!$C$2:$C$1121,MATCH(1,('GHG Emission'!$D$2:$D$1121=$D132)*('GHG Emission'!$E$2:$E$1121=$C132)*('GHG Emission'!$F$2:$F$1121=$B132)*('GHG Emission'!$I$2:$I$1121=$E132)*('GHG Emission'!$J$2:$J$1121=$F132)*('GHG Emission'!$K$2:$K$1121=AK$1),0))+AL132/$BI132*INDEX('GHG Emission'!$C$2:$C$1121,MATCH(1,('GHG Emission'!$D$2:$D$1121=$D132)*('GHG Emission'!$E$2:$E$1121=$C132)*('GHG Emission'!$F$2:$F$1121=$B132)*('GHG Emission'!$I$2:$I$1121=$E132)*('GHG Emission'!$J$2:$J$1121=$F132)*('GHG Emission'!$K$2:$K$1121=AL$1),0))+AM132/$BI132*INDEX('GHG Emission'!$C$2:$C$1121,MATCH(1,('GHG Emission'!$D$2:$D$1121=$D132)*('GHG Emission'!$E$2:$E$1121=$C132)*('GHG Emission'!$F$2:$F$1121=$B132)*('GHG Emission'!$I$2:$I$1121=$E132)*('GHG Emission'!$J$2:$J$1121=$F132)*('GHG Emission'!$K$2:$K$1121=AM$1),0))</f>
        <v>35.905320888703571</v>
      </c>
      <c r="BM132" t="str">
        <f t="shared" si="23"/>
        <v>LIGHT/SWEET</v>
      </c>
    </row>
    <row r="133" spans="1:65" hidden="1" x14ac:dyDescent="0.25">
      <c r="A133">
        <v>132</v>
      </c>
      <c r="B133" t="s">
        <v>472</v>
      </c>
      <c r="C133">
        <v>2035</v>
      </c>
      <c r="D133">
        <v>2</v>
      </c>
      <c r="E133" t="s">
        <v>469</v>
      </c>
      <c r="F133" t="s">
        <v>468</v>
      </c>
      <c r="G133">
        <v>2334.9472793392815</v>
      </c>
      <c r="H133">
        <v>243.18273200131145</v>
      </c>
      <c r="I133">
        <v>1211.1971507513754</v>
      </c>
      <c r="J133">
        <v>74.484884121821509</v>
      </c>
      <c r="K133">
        <v>41.316115877463915</v>
      </c>
      <c r="L133">
        <v>29.323153592751066</v>
      </c>
      <c r="M133">
        <v>0</v>
      </c>
      <c r="N133">
        <v>0</v>
      </c>
      <c r="O133">
        <v>0</v>
      </c>
      <c r="P133">
        <v>298.48989607922942</v>
      </c>
      <c r="Q133">
        <v>0</v>
      </c>
      <c r="R133">
        <v>0</v>
      </c>
      <c r="S133">
        <v>0</v>
      </c>
      <c r="T133">
        <v>8.9774380545843417</v>
      </c>
      <c r="U133">
        <v>0</v>
      </c>
      <c r="V133">
        <v>0</v>
      </c>
      <c r="W133">
        <v>0</v>
      </c>
      <c r="X133">
        <f t="shared" si="16"/>
        <v>4241.9186498178178</v>
      </c>
      <c r="Y133">
        <f>X133*VLOOKUP($D133,'LinearReg Model'!$S$2:$T$6,2,FALSE)</f>
        <v>3503.0207873255399</v>
      </c>
      <c r="Z133">
        <f t="shared" si="17"/>
        <v>0.55044602975579526</v>
      </c>
      <c r="AA133">
        <f t="shared" si="18"/>
        <v>0.28553049946004833</v>
      </c>
      <c r="AB133">
        <f t="shared" si="19"/>
        <v>5.7328476115815111E-2</v>
      </c>
      <c r="AC133">
        <v>34.957728681668918</v>
      </c>
      <c r="AD133">
        <v>2.3964868933205583</v>
      </c>
      <c r="AE133" s="2">
        <f>VLOOKUP($D133,'MultiReg Model'!$A$5:$F$9,2,FALSE)+AC133*VLOOKUP($D133,'MultiReg Model'!$A$5:$F$9,3,FALSE)+Z133*VLOOKUP($D133,'MultiReg Model'!$A$5:$F$9,4,FALSE)+AA133*VLOOKUP($D133,'MultiReg Model'!$A$5:$F$9,5,FALSE)+AB133*VLOOKUP($D133,'MultiReg Model'!$A$5:$F$9,6,FALSE)</f>
        <v>9.4518774960161842</v>
      </c>
      <c r="AF133" cm="1">
        <f t="array" ref="AF133">MMULT($AG133:$AM133,'Avg CI Index'!$C$2:$C$8)/BI133</f>
        <v>9.4618775057292996</v>
      </c>
      <c r="AG133">
        <v>69.094920865061709</v>
      </c>
      <c r="AH133">
        <v>816.59006309727226</v>
      </c>
      <c r="AI133">
        <v>0</v>
      </c>
      <c r="AJ133">
        <v>426.9999152003702</v>
      </c>
      <c r="AK133">
        <v>1317.2794690949197</v>
      </c>
      <c r="AL133">
        <v>0</v>
      </c>
      <c r="AM133">
        <v>905.51584960106732</v>
      </c>
      <c r="AN133" cm="1">
        <f t="array" ref="AN133">$Y133*INDEX(RefCapacity!$D$2:$D$526,MATCH(1,(RefCapacity!$A$2:$A$526=RefCapacityProj!$D133)*(RefCapacity!$B$2:$B$526=2019)*(RefCapacity!$C$2:$C$526=AG$1),0))/SUMIFS(RefCapacity!$D$2:$D$526,RefCapacity!$A$2:$A$526,RefCapacityProj!$D133,RefCapacity!$B$2:$B$526,2019)</f>
        <v>21.495930182939048</v>
      </c>
      <c r="AO133" cm="1">
        <f t="array" ref="AO133">$Y133*INDEX(RefCapacity!$D$2:$D$526,MATCH(1,(RefCapacity!$A$2:$A$526=RefCapacityProj!$D133)*(RefCapacity!$B$2:$B$526=2019)*(RefCapacity!$C$2:$C$526=AH$1),0))/SUMIFS(RefCapacity!$D$2:$D$526,RefCapacity!$A$2:$A$526,RefCapacityProj!$D133,RefCapacity!$B$2:$B$526,2019)</f>
        <v>529.55333464370483</v>
      </c>
      <c r="AP133" cm="1">
        <f t="array" ref="AP133">$Y133*INDEX(RefCapacity!$D$2:$D$526,MATCH(1,(RefCapacity!$A$2:$A$526=RefCapacityProj!$D133)*(RefCapacity!$B$2:$B$526=2019)*(RefCapacity!$C$2:$C$526=AI$1),0))/SUMIFS(RefCapacity!$D$2:$D$526,RefCapacity!$A$2:$A$526,RefCapacityProj!$D133,RefCapacity!$B$2:$B$526,2019)</f>
        <v>0</v>
      </c>
      <c r="AQ133" cm="1">
        <f t="array" ref="AQ133">$Y133*INDEX(RefCapacity!$D$2:$D$526,MATCH(1,(RefCapacity!$A$2:$A$526=RefCapacityProj!$D133)*(RefCapacity!$B$2:$B$526=2019)*(RefCapacity!$C$2:$C$526=AJ$1),0))/SUMIFS(RefCapacity!$D$2:$D$526,RefCapacity!$A$2:$A$526,RefCapacityProj!$D133,RefCapacity!$B$2:$B$526,2019)</f>
        <v>446.26531862679548</v>
      </c>
      <c r="AR133" cm="1">
        <f t="array" ref="AR133">$Y133*INDEX(RefCapacity!$D$2:$D$526,MATCH(1,(RefCapacity!$A$2:$A$526=RefCapacityProj!$D133)*(RefCapacity!$B$2:$B$526=2019)*(RefCapacity!$C$2:$C$526=AK$1),0))/SUMIFS(RefCapacity!$D$2:$D$526,RefCapacity!$A$2:$A$526,RefCapacityProj!$D133,RefCapacity!$B$2:$B$526,2019)</f>
        <v>1379.8907369565554</v>
      </c>
      <c r="AS133" cm="1">
        <f t="array" ref="AS133">$Y133*INDEX(RefCapacity!$D$2:$D$526,MATCH(1,(RefCapacity!$A$2:$A$526=RefCapacityProj!$D133)*(RefCapacity!$B$2:$B$526=2019)*(RefCapacity!$C$2:$C$526=AL$1),0))/SUMIFS(RefCapacity!$D$2:$D$526,RefCapacity!$A$2:$A$526,RefCapacityProj!$D133,RefCapacity!$B$2:$B$526,2019)</f>
        <v>0</v>
      </c>
      <c r="AT133" cm="1">
        <f t="array" ref="AT133">$Y133*INDEX(RefCapacity!$D$2:$D$526,MATCH(1,(RefCapacity!$A$2:$A$526=RefCapacityProj!$D133)*(RefCapacity!$B$2:$B$526=2019)*(RefCapacity!$C$2:$C$526=AM$1),0))/SUMIFS(RefCapacity!$D$2:$D$526,RefCapacity!$A$2:$A$526,RefCapacityProj!$D133,RefCapacity!$B$2:$B$526,2019)</f>
        <v>1125.8154669155449</v>
      </c>
      <c r="AU133" cm="1">
        <f t="array" ref="AU133">INDEX(RefCapacity!$D$2:$D$526,MATCH(1,(RefCapacity!$A$2:$A$526=RefCapacityProj!$D133)*(RefCapacity!$B$2:$B$526=2019)*(RefCapacity!$C$2:$C$526=RefCapacityProj!AG$1),0))*IF($C133=2035,1+VLOOKUP(AG$1,RefCapacity!$H$2:$L$8,2,FALSE),1+VLOOKUP(AG$1,RefCapacity!$H$2:$L$8,4,FALSE))</f>
        <v>69.095643226583363</v>
      </c>
      <c r="AV133" cm="1">
        <f t="array" ref="AV133">INDEX(RefCapacity!$D$2:$D$526,MATCH(1,(RefCapacity!$A$2:$A$526=RefCapacityProj!$D133)*(RefCapacity!$B$2:$B$526=2019)*(RefCapacity!$C$2:$C$526=RefCapacityProj!AH$1),0))*IF($C133=2035,1+VLOOKUP(AH$1,RefCapacity!$H$2:$L$8,2,FALSE),1+VLOOKUP(AH$1,RefCapacity!$H$2:$L$8,4,FALSE))</f>
        <v>829.70092482947541</v>
      </c>
      <c r="AW133" cm="1">
        <f t="array" ref="AW133">INDEX(RefCapacity!$D$2:$D$526,MATCH(1,(RefCapacity!$A$2:$A$526=RefCapacityProj!$D133)*(RefCapacity!$B$2:$B$526=2019)*(RefCapacity!$C$2:$C$526=RefCapacityProj!AI$1),0))*IF($C133=2035,1+VLOOKUP(AI$1,RefCapacity!$H$2:$L$8,2,FALSE),1+VLOOKUP(AI$1,RefCapacity!$H$2:$L$8,4,FALSE))</f>
        <v>0</v>
      </c>
      <c r="AX133" cm="1">
        <f t="array" ref="AX133">INDEX(RefCapacity!$D$2:$D$526,MATCH(1,(RefCapacity!$A$2:$A$526=RefCapacityProj!$D133)*(RefCapacity!$B$2:$B$526=2019)*(RefCapacity!$C$2:$C$526=RefCapacityProj!AJ$1),0))*IF($C133=2035,1+VLOOKUP(AJ$1,RefCapacity!$H$2:$L$8,2,FALSE),1+VLOOKUP(AJ$1,RefCapacity!$H$2:$L$8,4,FALSE))</f>
        <v>993.12500000000011</v>
      </c>
      <c r="AY133" cm="1">
        <f t="array" ref="AY133">INDEX(RefCapacity!$D$2:$D$526,MATCH(1,(RefCapacity!$A$2:$A$526=RefCapacityProj!$D133)*(RefCapacity!$B$2:$B$526=2019)*(RefCapacity!$C$2:$C$526=RefCapacityProj!AK$1),0))*IF($C133=2035,1+VLOOKUP(AK$1,RefCapacity!$H$2:$L$8,2,FALSE),1+VLOOKUP(AK$1,RefCapacity!$H$2:$L$8,4,FALSE))</f>
        <v>1991.4122477464978</v>
      </c>
      <c r="AZ133" cm="1">
        <f t="array" ref="AZ133">INDEX(RefCapacity!$D$2:$D$526,MATCH(1,(RefCapacity!$A$2:$A$526=RefCapacityProj!$D133)*(RefCapacity!$B$2:$B$526=2019)*(RefCapacity!$C$2:$C$526=RefCapacityProj!AL$1),0))*IF($C133=2035,1+VLOOKUP(AL$1,RefCapacity!$H$2:$L$8,2,FALSE),1+VLOOKUP(AL$1,RefCapacity!$H$2:$L$8,4,FALSE))</f>
        <v>0</v>
      </c>
      <c r="BA133" cm="1">
        <f t="array" ref="BA133">INDEX(RefCapacity!$D$2:$D$526,MATCH(1,(RefCapacity!$A$2:$A$526=RefCapacityProj!$D133)*(RefCapacity!$B$2:$B$526=2019)*(RefCapacity!$C$2:$C$526=RefCapacityProj!AM$1),0))*IF($C133=2035,1+VLOOKUP(AM$1,RefCapacity!$H$2:$L$8,2,FALSE),1+VLOOKUP(AM$1,RefCapacity!$H$2:$L$8,4,FALSE))</f>
        <v>1360.1267578285858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f t="shared" si="20"/>
        <v>3535.480217858691</v>
      </c>
      <c r="BJ133">
        <f t="shared" si="21"/>
        <v>32.459430533151135</v>
      </c>
      <c r="BK133">
        <f t="shared" si="22"/>
        <v>1.0000009713115432E-2</v>
      </c>
      <c r="BL133" cm="1">
        <f t="array" ref="BL133">AG133/$BI133*INDEX('GHG Emission'!$C$2:$C$1121,MATCH(1,('GHG Emission'!$D$2:$D$1121=$D133)*('GHG Emission'!$E$2:$E$1121=$C133)*('GHG Emission'!$F$2:$F$1121=$B133)*('GHG Emission'!$I$2:$I$1121=$E133)*('GHG Emission'!$J$2:$J$1121=$F133)*('GHG Emission'!$K$2:$K$1121=AG$1),0))+AH133/$BI133*INDEX('GHG Emission'!$C$2:$C$1121,MATCH(1,('GHG Emission'!$D$2:$D$1121=$D133)*('GHG Emission'!$E$2:$E$1121=$C133)*('GHG Emission'!$F$2:$F$1121=$B133)*('GHG Emission'!$I$2:$I$1121=$E133)*('GHG Emission'!$J$2:$J$1121=$F133)*('GHG Emission'!$K$2:$K$1121=AH$1),0))+AI133/$BI133*INDEX('GHG Emission'!$C$2:$C$1121,MATCH(1,('GHG Emission'!$D$2:$D$1121=$D133)*('GHG Emission'!$E$2:$E$1121=$C133)*('GHG Emission'!$F$2:$F$1121=$B133)*('GHG Emission'!$I$2:$I$1121=$E133)*('GHG Emission'!$J$2:$J$1121=$F133)*('GHG Emission'!$K$2:$K$1121=AI$1),0))+AJ133/$BI133*INDEX('GHG Emission'!$C$2:$C$1121,MATCH(1,('GHG Emission'!$D$2:$D$1121=$D133)*('GHG Emission'!$E$2:$E$1121=$C133)*('GHG Emission'!$F$2:$F$1121=$B133)*('GHG Emission'!$I$2:$I$1121=$E133)*('GHG Emission'!$J$2:$J$1121=$F133)*('GHG Emission'!$K$2:$K$1121=AJ$1),0))+AK133/$BI133*INDEX('GHG Emission'!$C$2:$C$1121,MATCH(1,('GHG Emission'!$D$2:$D$1121=$D133)*('GHG Emission'!$E$2:$E$1121=$C133)*('GHG Emission'!$F$2:$F$1121=$B133)*('GHG Emission'!$I$2:$I$1121=$E133)*('GHG Emission'!$J$2:$J$1121=$F133)*('GHG Emission'!$K$2:$K$1121=AK$1),0))+AL133/$BI133*INDEX('GHG Emission'!$C$2:$C$1121,MATCH(1,('GHG Emission'!$D$2:$D$1121=$D133)*('GHG Emission'!$E$2:$E$1121=$C133)*('GHG Emission'!$F$2:$F$1121=$B133)*('GHG Emission'!$I$2:$I$1121=$E133)*('GHG Emission'!$J$2:$J$1121=$F133)*('GHG Emission'!$K$2:$K$1121=AL$1),0))+AM133/$BI133*INDEX('GHG Emission'!$C$2:$C$1121,MATCH(1,('GHG Emission'!$D$2:$D$1121=$D133)*('GHG Emission'!$E$2:$E$1121=$C133)*('GHG Emission'!$F$2:$F$1121=$B133)*('GHG Emission'!$I$2:$I$1121=$E133)*('GHG Emission'!$J$2:$J$1121=$F133)*('GHG Emission'!$K$2:$K$1121=AM$1),0))</f>
        <v>34.533989243704696</v>
      </c>
      <c r="BM133" t="str">
        <f t="shared" si="23"/>
        <v>LIGHT/SOUR</v>
      </c>
    </row>
    <row r="134" spans="1:65" hidden="1" x14ac:dyDescent="0.25">
      <c r="A134">
        <v>133</v>
      </c>
      <c r="B134" t="s">
        <v>472</v>
      </c>
      <c r="C134">
        <v>2050</v>
      </c>
      <c r="D134">
        <v>2</v>
      </c>
      <c r="E134" t="s">
        <v>466</v>
      </c>
      <c r="F134" t="s">
        <v>467</v>
      </c>
      <c r="G134">
        <v>2185.1467938308306</v>
      </c>
      <c r="H134">
        <v>299.79012097977647</v>
      </c>
      <c r="I134">
        <v>1276.0262266491197</v>
      </c>
      <c r="J134">
        <v>78.471672072051305</v>
      </c>
      <c r="K134">
        <v>49.225586995672721</v>
      </c>
      <c r="L134">
        <v>34.936717005258899</v>
      </c>
      <c r="M134">
        <v>0</v>
      </c>
      <c r="N134">
        <v>0</v>
      </c>
      <c r="O134">
        <v>0</v>
      </c>
      <c r="P134">
        <v>366.28540801510849</v>
      </c>
      <c r="Q134">
        <v>0</v>
      </c>
      <c r="R134">
        <v>0</v>
      </c>
      <c r="S134">
        <v>0</v>
      </c>
      <c r="T134">
        <v>9.1474490742304866</v>
      </c>
      <c r="U134">
        <v>0</v>
      </c>
      <c r="V134">
        <v>0</v>
      </c>
      <c r="W134">
        <v>0</v>
      </c>
      <c r="X134">
        <f t="shared" si="16"/>
        <v>4299.029974622048</v>
      </c>
      <c r="Y134">
        <f>X134*VLOOKUP($D134,'LinearReg Model'!$S$2:$T$6,2,FALSE)</f>
        <v>3550.1839166772806</v>
      </c>
      <c r="Z134">
        <f t="shared" si="17"/>
        <v>0.50828833637591442</v>
      </c>
      <c r="AA134">
        <f t="shared" si="18"/>
        <v>0.29681724346695265</v>
      </c>
      <c r="AB134">
        <f t="shared" si="19"/>
        <v>6.9734363972684954E-2</v>
      </c>
      <c r="AC134">
        <v>28.354057795771688</v>
      </c>
      <c r="AD134">
        <v>0.49194998451747501</v>
      </c>
      <c r="AE134" s="2">
        <f>VLOOKUP($D134,'MultiReg Model'!$A$5:$F$9,2,FALSE)+AC134*VLOOKUP($D134,'MultiReg Model'!$A$5:$F$9,3,FALSE)+Z134*VLOOKUP($D134,'MultiReg Model'!$A$5:$F$9,4,FALSE)+AA134*VLOOKUP($D134,'MultiReg Model'!$A$5:$F$9,5,FALSE)+AB134*VLOOKUP($D134,'MultiReg Model'!$A$5:$F$9,6,FALSE)</f>
        <v>9.8608082364475855</v>
      </c>
      <c r="AF134" cm="1">
        <f t="array" ref="AF134">MMULT($AG134:$AM134,'Avg CI Index'!$C$2:$C$8)/BI134</f>
        <v>9.8508082364206988</v>
      </c>
      <c r="AG134">
        <v>21.842136163309998</v>
      </c>
      <c r="AH134">
        <v>535.02369333891943</v>
      </c>
      <c r="AI134">
        <v>0</v>
      </c>
      <c r="AJ134">
        <v>452.47374344526207</v>
      </c>
      <c r="AK134">
        <v>1398.5296716605742</v>
      </c>
      <c r="AL134">
        <v>0</v>
      </c>
      <c r="AM134">
        <v>1141.9641550886083</v>
      </c>
      <c r="AN134" cm="1">
        <f t="array" ref="AN134">$Y134*INDEX(RefCapacity!$D$2:$D$526,MATCH(1,(RefCapacity!$A$2:$A$526=RefCapacityProj!$D134)*(RefCapacity!$B$2:$B$526=2019)*(RefCapacity!$C$2:$C$526=AG$1),0))/SUMIFS(RefCapacity!$D$2:$D$526,RefCapacity!$A$2:$A$526,RefCapacityProj!$D134,RefCapacity!$B$2:$B$526,2019)</f>
        <v>21.785341921351243</v>
      </c>
      <c r="AO134" cm="1">
        <f t="array" ref="AO134">$Y134*INDEX(RefCapacity!$D$2:$D$526,MATCH(1,(RefCapacity!$A$2:$A$526=RefCapacityProj!$D134)*(RefCapacity!$B$2:$B$526=2019)*(RefCapacity!$C$2:$C$526=AH$1),0))/SUMIFS(RefCapacity!$D$2:$D$526,RefCapacity!$A$2:$A$526,RefCapacityProj!$D134,RefCapacity!$B$2:$B$526,2019)</f>
        <v>536.68300755652672</v>
      </c>
      <c r="AP134" cm="1">
        <f t="array" ref="AP134">$Y134*INDEX(RefCapacity!$D$2:$D$526,MATCH(1,(RefCapacity!$A$2:$A$526=RefCapacityProj!$D134)*(RefCapacity!$B$2:$B$526=2019)*(RefCapacity!$C$2:$C$526=AI$1),0))/SUMIFS(RefCapacity!$D$2:$D$526,RefCapacity!$A$2:$A$526,RefCapacityProj!$D134,RefCapacity!$B$2:$B$526,2019)</f>
        <v>0</v>
      </c>
      <c r="AQ134" cm="1">
        <f t="array" ref="AQ134">$Y134*INDEX(RefCapacity!$D$2:$D$526,MATCH(1,(RefCapacity!$A$2:$A$526=RefCapacityProj!$D134)*(RefCapacity!$B$2:$B$526=2019)*(RefCapacity!$C$2:$C$526=AJ$1),0))/SUMIFS(RefCapacity!$D$2:$D$526,RefCapacity!$A$2:$A$526,RefCapacityProj!$D134,RefCapacity!$B$2:$B$526,2019)</f>
        <v>452.27363836721594</v>
      </c>
      <c r="AR134" cm="1">
        <f t="array" ref="AR134">$Y134*INDEX(RefCapacity!$D$2:$D$526,MATCH(1,(RefCapacity!$A$2:$A$526=RefCapacityProj!$D134)*(RefCapacity!$B$2:$B$526=2019)*(RefCapacity!$C$2:$C$526=AK$1),0))/SUMIFS(RefCapacity!$D$2:$D$526,RefCapacity!$A$2:$A$526,RefCapacityProj!$D134,RefCapacity!$B$2:$B$526,2019)</f>
        <v>1398.4689782144492</v>
      </c>
      <c r="AS134" cm="1">
        <f t="array" ref="AS134">$Y134*INDEX(RefCapacity!$D$2:$D$526,MATCH(1,(RefCapacity!$A$2:$A$526=RefCapacityProj!$D134)*(RefCapacity!$B$2:$B$526=2019)*(RefCapacity!$C$2:$C$526=AL$1),0))/SUMIFS(RefCapacity!$D$2:$D$526,RefCapacity!$A$2:$A$526,RefCapacityProj!$D134,RefCapacity!$B$2:$B$526,2019)</f>
        <v>0</v>
      </c>
      <c r="AT134" cm="1">
        <f t="array" ref="AT134">$Y134*INDEX(RefCapacity!$D$2:$D$526,MATCH(1,(RefCapacity!$A$2:$A$526=RefCapacityProj!$D134)*(RefCapacity!$B$2:$B$526=2019)*(RefCapacity!$C$2:$C$526=AM$1),0))/SUMIFS(RefCapacity!$D$2:$D$526,RefCapacity!$A$2:$A$526,RefCapacityProj!$D134,RefCapacity!$B$2:$B$526,2019)</f>
        <v>1140.9729506177373</v>
      </c>
      <c r="AU134" cm="1">
        <f t="array" ref="AU134">INDEX(RefCapacity!$D$2:$D$526,MATCH(1,(RefCapacity!$A$2:$A$526=RefCapacityProj!$D134)*(RefCapacity!$B$2:$B$526=2019)*(RefCapacity!$C$2:$C$526=RefCapacityProj!AG$1),0))*IF($C134=2035,1+VLOOKUP(AG$1,RefCapacity!$H$2:$L$8,2,FALSE),1+VLOOKUP(AG$1,RefCapacity!$H$2:$L$8,4,FALSE))</f>
        <v>113.20628645316671</v>
      </c>
      <c r="AV134" cm="1">
        <f t="array" ref="AV134">INDEX(RefCapacity!$D$2:$D$526,MATCH(1,(RefCapacity!$A$2:$A$526=RefCapacityProj!$D134)*(RefCapacity!$B$2:$B$526=2019)*(RefCapacity!$C$2:$C$526=RefCapacityProj!AH$1),0))*IF($C134=2035,1+VLOOKUP(AH$1,RefCapacity!$H$2:$L$8,2,FALSE),1+VLOOKUP(AH$1,RefCapacity!$H$2:$L$8,4,FALSE))</f>
        <v>1043.8951024062037</v>
      </c>
      <c r="AW134" cm="1">
        <f t="array" ref="AW134">INDEX(RefCapacity!$D$2:$D$526,MATCH(1,(RefCapacity!$A$2:$A$526=RefCapacityProj!$D134)*(RefCapacity!$B$2:$B$526=2019)*(RefCapacity!$C$2:$C$526=RefCapacityProj!AI$1),0))*IF($C134=2035,1+VLOOKUP(AI$1,RefCapacity!$H$2:$L$8,2,FALSE),1+VLOOKUP(AI$1,RefCapacity!$H$2:$L$8,4,FALSE))</f>
        <v>0</v>
      </c>
      <c r="AX134" cm="1">
        <f t="array" ref="AX134">INDEX(RefCapacity!$D$2:$D$526,MATCH(1,(RefCapacity!$A$2:$A$526=RefCapacityProj!$D134)*(RefCapacity!$B$2:$B$526=2019)*(RefCapacity!$C$2:$C$526=RefCapacityProj!AJ$1),0))*IF($C134=2035,1+VLOOKUP(AJ$1,RefCapacity!$H$2:$L$8,2,FALSE),1+VLOOKUP(AJ$1,RefCapacity!$H$2:$L$8,4,FALSE))</f>
        <v>1467.5500000000002</v>
      </c>
      <c r="AY134" cm="1">
        <f t="array" ref="AY134">INDEX(RefCapacity!$D$2:$D$526,MATCH(1,(RefCapacity!$A$2:$A$526=RefCapacityProj!$D134)*(RefCapacity!$B$2:$B$526=2019)*(RefCapacity!$C$2:$C$526=RefCapacityProj!AK$1),0))*IF($C134=2035,1+VLOOKUP(AK$1,RefCapacity!$H$2:$L$8,2,FALSE),1+VLOOKUP(AK$1,RefCapacity!$H$2:$L$8,4,FALSE))</f>
        <v>2378.9594954929953</v>
      </c>
      <c r="AZ134" cm="1">
        <f t="array" ref="AZ134">INDEX(RefCapacity!$D$2:$D$526,MATCH(1,(RefCapacity!$A$2:$A$526=RefCapacityProj!$D134)*(RefCapacity!$B$2:$B$526=2019)*(RefCapacity!$C$2:$C$526=RefCapacityProj!AL$1),0))*IF($C134=2035,1+VLOOKUP(AL$1,RefCapacity!$H$2:$L$8,2,FALSE),1+VLOOKUP(AL$1,RefCapacity!$H$2:$L$8,4,FALSE))</f>
        <v>0</v>
      </c>
      <c r="BA134" cm="1">
        <f t="array" ref="BA134">INDEX(RefCapacity!$D$2:$D$526,MATCH(1,(RefCapacity!$A$2:$A$526=RefCapacityProj!$D134)*(RefCapacity!$B$2:$B$526=2019)*(RefCapacity!$C$2:$C$526=RefCapacityProj!AM$1),0))*IF($C134=2035,1+VLOOKUP(AM$1,RefCapacity!$H$2:$L$8,2,FALSE),1+VLOOKUP(AM$1,RefCapacity!$H$2:$L$8,4,FALSE))</f>
        <v>1411.7035156571721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f t="shared" si="20"/>
        <v>3549.833399696674</v>
      </c>
      <c r="BJ134">
        <f t="shared" si="21"/>
        <v>0.35051698060669878</v>
      </c>
      <c r="BK134">
        <f t="shared" si="22"/>
        <v>1.0000000026886724E-2</v>
      </c>
      <c r="BL134" cm="1">
        <f t="array" ref="BL134">AG134/$BI134*INDEX('GHG Emission'!$C$2:$C$1121,MATCH(1,('GHG Emission'!$D$2:$D$1121=$D134)*('GHG Emission'!$E$2:$E$1121=$C134)*('GHG Emission'!$F$2:$F$1121=$B134)*('GHG Emission'!$I$2:$I$1121=$E134)*('GHG Emission'!$J$2:$J$1121=$F134)*('GHG Emission'!$K$2:$K$1121=AG$1),0))+AH134/$BI134*INDEX('GHG Emission'!$C$2:$C$1121,MATCH(1,('GHG Emission'!$D$2:$D$1121=$D134)*('GHG Emission'!$E$2:$E$1121=$C134)*('GHG Emission'!$F$2:$F$1121=$B134)*('GHG Emission'!$I$2:$I$1121=$E134)*('GHG Emission'!$J$2:$J$1121=$F134)*('GHG Emission'!$K$2:$K$1121=AH$1),0))+AI134/$BI134*INDEX('GHG Emission'!$C$2:$C$1121,MATCH(1,('GHG Emission'!$D$2:$D$1121=$D134)*('GHG Emission'!$E$2:$E$1121=$C134)*('GHG Emission'!$F$2:$F$1121=$B134)*('GHG Emission'!$I$2:$I$1121=$E134)*('GHG Emission'!$J$2:$J$1121=$F134)*('GHG Emission'!$K$2:$K$1121=AI$1),0))+AJ134/$BI134*INDEX('GHG Emission'!$C$2:$C$1121,MATCH(1,('GHG Emission'!$D$2:$D$1121=$D134)*('GHG Emission'!$E$2:$E$1121=$C134)*('GHG Emission'!$F$2:$F$1121=$B134)*('GHG Emission'!$I$2:$I$1121=$E134)*('GHG Emission'!$J$2:$J$1121=$F134)*('GHG Emission'!$K$2:$K$1121=AJ$1),0))+AK134/$BI134*INDEX('GHG Emission'!$C$2:$C$1121,MATCH(1,('GHG Emission'!$D$2:$D$1121=$D134)*('GHG Emission'!$E$2:$E$1121=$C134)*('GHG Emission'!$F$2:$F$1121=$B134)*('GHG Emission'!$I$2:$I$1121=$E134)*('GHG Emission'!$J$2:$J$1121=$F134)*('GHG Emission'!$K$2:$K$1121=AK$1),0))+AL134/$BI134*INDEX('GHG Emission'!$C$2:$C$1121,MATCH(1,('GHG Emission'!$D$2:$D$1121=$D134)*('GHG Emission'!$E$2:$E$1121=$C134)*('GHG Emission'!$F$2:$F$1121=$B134)*('GHG Emission'!$I$2:$I$1121=$E134)*('GHG Emission'!$J$2:$J$1121=$F134)*('GHG Emission'!$K$2:$K$1121=AL$1),0))+AM134/$BI134*INDEX('GHG Emission'!$C$2:$C$1121,MATCH(1,('GHG Emission'!$D$2:$D$1121=$D134)*('GHG Emission'!$E$2:$E$1121=$C134)*('GHG Emission'!$F$2:$F$1121=$B134)*('GHG Emission'!$I$2:$I$1121=$E134)*('GHG Emission'!$J$2:$J$1121=$F134)*('GHG Emission'!$K$2:$K$1121=AM$1),0))</f>
        <v>34.665992526134971</v>
      </c>
      <c r="BM134" t="str">
        <f t="shared" si="23"/>
        <v>HEAVY/SWEET</v>
      </c>
    </row>
    <row r="135" spans="1:65" hidden="1" x14ac:dyDescent="0.25">
      <c r="A135">
        <v>134</v>
      </c>
      <c r="B135" t="s">
        <v>472</v>
      </c>
      <c r="C135">
        <v>2050</v>
      </c>
      <c r="D135">
        <v>2</v>
      </c>
      <c r="E135" t="s">
        <v>466</v>
      </c>
      <c r="F135" t="s">
        <v>468</v>
      </c>
      <c r="G135">
        <v>2185.1467938308306</v>
      </c>
      <c r="H135">
        <v>299.79012097977647</v>
      </c>
      <c r="I135">
        <v>1276.0262266491197</v>
      </c>
      <c r="J135">
        <v>78.471672072051305</v>
      </c>
      <c r="K135">
        <v>49.225586995672721</v>
      </c>
      <c r="L135">
        <v>34.936717005258899</v>
      </c>
      <c r="M135">
        <v>0</v>
      </c>
      <c r="N135">
        <v>0</v>
      </c>
      <c r="O135">
        <v>0</v>
      </c>
      <c r="P135">
        <v>366.28540801510849</v>
      </c>
      <c r="Q135">
        <v>0</v>
      </c>
      <c r="R135">
        <v>0</v>
      </c>
      <c r="S135">
        <v>0</v>
      </c>
      <c r="T135">
        <v>9.1474490742304866</v>
      </c>
      <c r="U135">
        <v>0</v>
      </c>
      <c r="V135">
        <v>0</v>
      </c>
      <c r="W135">
        <v>0</v>
      </c>
      <c r="X135">
        <f t="shared" si="16"/>
        <v>4299.029974622048</v>
      </c>
      <c r="Y135">
        <f>X135*VLOOKUP($D135,'LinearReg Model'!$S$2:$T$6,2,FALSE)</f>
        <v>3550.1839166772806</v>
      </c>
      <c r="Z135">
        <f t="shared" si="17"/>
        <v>0.50828833637591442</v>
      </c>
      <c r="AA135">
        <f t="shared" si="18"/>
        <v>0.29681724346695265</v>
      </c>
      <c r="AB135">
        <f t="shared" si="19"/>
        <v>6.9734363972684954E-2</v>
      </c>
      <c r="AC135">
        <v>28.354057795771688</v>
      </c>
      <c r="AD135">
        <v>4.4723269444483442</v>
      </c>
      <c r="AE135" s="2">
        <f>VLOOKUP($D135,'MultiReg Model'!$A$5:$F$9,2,FALSE)+AC135*VLOOKUP($D135,'MultiReg Model'!$A$5:$F$9,3,FALSE)+Z135*VLOOKUP($D135,'MultiReg Model'!$A$5:$F$9,4,FALSE)+AA135*VLOOKUP($D135,'MultiReg Model'!$A$5:$F$9,5,FALSE)+AB135*VLOOKUP($D135,'MultiReg Model'!$A$5:$F$9,6,FALSE)</f>
        <v>9.8608082364475855</v>
      </c>
      <c r="AF135" cm="1">
        <f t="array" ref="AF135">MMULT($AG135:$AM135,'Avg CI Index'!$C$2:$C$8)/BI135</f>
        <v>9.8508082364206988</v>
      </c>
      <c r="AG135">
        <v>21.842136163309998</v>
      </c>
      <c r="AH135">
        <v>535.02369333891943</v>
      </c>
      <c r="AI135">
        <v>0</v>
      </c>
      <c r="AJ135">
        <v>452.47374344526207</v>
      </c>
      <c r="AK135">
        <v>1398.5296716605742</v>
      </c>
      <c r="AL135">
        <v>0</v>
      </c>
      <c r="AM135">
        <v>1141.9641550886083</v>
      </c>
      <c r="AN135" cm="1">
        <f t="array" ref="AN135">$Y135*INDEX(RefCapacity!$D$2:$D$526,MATCH(1,(RefCapacity!$A$2:$A$526=RefCapacityProj!$D135)*(RefCapacity!$B$2:$B$526=2019)*(RefCapacity!$C$2:$C$526=AG$1),0))/SUMIFS(RefCapacity!$D$2:$D$526,RefCapacity!$A$2:$A$526,RefCapacityProj!$D135,RefCapacity!$B$2:$B$526,2019)</f>
        <v>21.785341921351243</v>
      </c>
      <c r="AO135" cm="1">
        <f t="array" ref="AO135">$Y135*INDEX(RefCapacity!$D$2:$D$526,MATCH(1,(RefCapacity!$A$2:$A$526=RefCapacityProj!$D135)*(RefCapacity!$B$2:$B$526=2019)*(RefCapacity!$C$2:$C$526=AH$1),0))/SUMIFS(RefCapacity!$D$2:$D$526,RefCapacity!$A$2:$A$526,RefCapacityProj!$D135,RefCapacity!$B$2:$B$526,2019)</f>
        <v>536.68300755652672</v>
      </c>
      <c r="AP135" cm="1">
        <f t="array" ref="AP135">$Y135*INDEX(RefCapacity!$D$2:$D$526,MATCH(1,(RefCapacity!$A$2:$A$526=RefCapacityProj!$D135)*(RefCapacity!$B$2:$B$526=2019)*(RefCapacity!$C$2:$C$526=AI$1),0))/SUMIFS(RefCapacity!$D$2:$D$526,RefCapacity!$A$2:$A$526,RefCapacityProj!$D135,RefCapacity!$B$2:$B$526,2019)</f>
        <v>0</v>
      </c>
      <c r="AQ135" cm="1">
        <f t="array" ref="AQ135">$Y135*INDEX(RefCapacity!$D$2:$D$526,MATCH(1,(RefCapacity!$A$2:$A$526=RefCapacityProj!$D135)*(RefCapacity!$B$2:$B$526=2019)*(RefCapacity!$C$2:$C$526=AJ$1),0))/SUMIFS(RefCapacity!$D$2:$D$526,RefCapacity!$A$2:$A$526,RefCapacityProj!$D135,RefCapacity!$B$2:$B$526,2019)</f>
        <v>452.27363836721594</v>
      </c>
      <c r="AR135" cm="1">
        <f t="array" ref="AR135">$Y135*INDEX(RefCapacity!$D$2:$D$526,MATCH(1,(RefCapacity!$A$2:$A$526=RefCapacityProj!$D135)*(RefCapacity!$B$2:$B$526=2019)*(RefCapacity!$C$2:$C$526=AK$1),0))/SUMIFS(RefCapacity!$D$2:$D$526,RefCapacity!$A$2:$A$526,RefCapacityProj!$D135,RefCapacity!$B$2:$B$526,2019)</f>
        <v>1398.4689782144492</v>
      </c>
      <c r="AS135" cm="1">
        <f t="array" ref="AS135">$Y135*INDEX(RefCapacity!$D$2:$D$526,MATCH(1,(RefCapacity!$A$2:$A$526=RefCapacityProj!$D135)*(RefCapacity!$B$2:$B$526=2019)*(RefCapacity!$C$2:$C$526=AL$1),0))/SUMIFS(RefCapacity!$D$2:$D$526,RefCapacity!$A$2:$A$526,RefCapacityProj!$D135,RefCapacity!$B$2:$B$526,2019)</f>
        <v>0</v>
      </c>
      <c r="AT135" cm="1">
        <f t="array" ref="AT135">$Y135*INDEX(RefCapacity!$D$2:$D$526,MATCH(1,(RefCapacity!$A$2:$A$526=RefCapacityProj!$D135)*(RefCapacity!$B$2:$B$526=2019)*(RefCapacity!$C$2:$C$526=AM$1),0))/SUMIFS(RefCapacity!$D$2:$D$526,RefCapacity!$A$2:$A$526,RefCapacityProj!$D135,RefCapacity!$B$2:$B$526,2019)</f>
        <v>1140.9729506177373</v>
      </c>
      <c r="AU135" cm="1">
        <f t="array" ref="AU135">INDEX(RefCapacity!$D$2:$D$526,MATCH(1,(RefCapacity!$A$2:$A$526=RefCapacityProj!$D135)*(RefCapacity!$B$2:$B$526=2019)*(RefCapacity!$C$2:$C$526=RefCapacityProj!AG$1),0))*IF($C135=2035,1+VLOOKUP(AG$1,RefCapacity!$H$2:$L$8,2,FALSE),1+VLOOKUP(AG$1,RefCapacity!$H$2:$L$8,4,FALSE))</f>
        <v>113.20628645316671</v>
      </c>
      <c r="AV135" cm="1">
        <f t="array" ref="AV135">INDEX(RefCapacity!$D$2:$D$526,MATCH(1,(RefCapacity!$A$2:$A$526=RefCapacityProj!$D135)*(RefCapacity!$B$2:$B$526=2019)*(RefCapacity!$C$2:$C$526=RefCapacityProj!AH$1),0))*IF($C135=2035,1+VLOOKUP(AH$1,RefCapacity!$H$2:$L$8,2,FALSE),1+VLOOKUP(AH$1,RefCapacity!$H$2:$L$8,4,FALSE))</f>
        <v>1043.8951024062037</v>
      </c>
      <c r="AW135" cm="1">
        <f t="array" ref="AW135">INDEX(RefCapacity!$D$2:$D$526,MATCH(1,(RefCapacity!$A$2:$A$526=RefCapacityProj!$D135)*(RefCapacity!$B$2:$B$526=2019)*(RefCapacity!$C$2:$C$526=RefCapacityProj!AI$1),0))*IF($C135=2035,1+VLOOKUP(AI$1,RefCapacity!$H$2:$L$8,2,FALSE),1+VLOOKUP(AI$1,RefCapacity!$H$2:$L$8,4,FALSE))</f>
        <v>0</v>
      </c>
      <c r="AX135" cm="1">
        <f t="array" ref="AX135">INDEX(RefCapacity!$D$2:$D$526,MATCH(1,(RefCapacity!$A$2:$A$526=RefCapacityProj!$D135)*(RefCapacity!$B$2:$B$526=2019)*(RefCapacity!$C$2:$C$526=RefCapacityProj!AJ$1),0))*IF($C135=2035,1+VLOOKUP(AJ$1,RefCapacity!$H$2:$L$8,2,FALSE),1+VLOOKUP(AJ$1,RefCapacity!$H$2:$L$8,4,FALSE))</f>
        <v>1467.5500000000002</v>
      </c>
      <c r="AY135" cm="1">
        <f t="array" ref="AY135">INDEX(RefCapacity!$D$2:$D$526,MATCH(1,(RefCapacity!$A$2:$A$526=RefCapacityProj!$D135)*(RefCapacity!$B$2:$B$526=2019)*(RefCapacity!$C$2:$C$526=RefCapacityProj!AK$1),0))*IF($C135=2035,1+VLOOKUP(AK$1,RefCapacity!$H$2:$L$8,2,FALSE),1+VLOOKUP(AK$1,RefCapacity!$H$2:$L$8,4,FALSE))</f>
        <v>2378.9594954929953</v>
      </c>
      <c r="AZ135" cm="1">
        <f t="array" ref="AZ135">INDEX(RefCapacity!$D$2:$D$526,MATCH(1,(RefCapacity!$A$2:$A$526=RefCapacityProj!$D135)*(RefCapacity!$B$2:$B$526=2019)*(RefCapacity!$C$2:$C$526=RefCapacityProj!AL$1),0))*IF($C135=2035,1+VLOOKUP(AL$1,RefCapacity!$H$2:$L$8,2,FALSE),1+VLOOKUP(AL$1,RefCapacity!$H$2:$L$8,4,FALSE))</f>
        <v>0</v>
      </c>
      <c r="BA135" cm="1">
        <f t="array" ref="BA135">INDEX(RefCapacity!$D$2:$D$526,MATCH(1,(RefCapacity!$A$2:$A$526=RefCapacityProj!$D135)*(RefCapacity!$B$2:$B$526=2019)*(RefCapacity!$C$2:$C$526=RefCapacityProj!AM$1),0))*IF($C135=2035,1+VLOOKUP(AM$1,RefCapacity!$H$2:$L$8,2,FALSE),1+VLOOKUP(AM$1,RefCapacity!$H$2:$L$8,4,FALSE))</f>
        <v>1411.7035156571721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f t="shared" si="20"/>
        <v>3549.833399696674</v>
      </c>
      <c r="BJ135">
        <f t="shared" si="21"/>
        <v>0.35051698060669878</v>
      </c>
      <c r="BK135">
        <f t="shared" si="22"/>
        <v>1.0000000026886724E-2</v>
      </c>
      <c r="BL135" cm="1">
        <f t="array" ref="BL135">AG135/$BI135*INDEX('GHG Emission'!$C$2:$C$1121,MATCH(1,('GHG Emission'!$D$2:$D$1121=$D135)*('GHG Emission'!$E$2:$E$1121=$C135)*('GHG Emission'!$F$2:$F$1121=$B135)*('GHG Emission'!$I$2:$I$1121=$E135)*('GHG Emission'!$J$2:$J$1121=$F135)*('GHG Emission'!$K$2:$K$1121=AG$1),0))+AH135/$BI135*INDEX('GHG Emission'!$C$2:$C$1121,MATCH(1,('GHG Emission'!$D$2:$D$1121=$D135)*('GHG Emission'!$E$2:$E$1121=$C135)*('GHG Emission'!$F$2:$F$1121=$B135)*('GHG Emission'!$I$2:$I$1121=$E135)*('GHG Emission'!$J$2:$J$1121=$F135)*('GHG Emission'!$K$2:$K$1121=AH$1),0))+AI135/$BI135*INDEX('GHG Emission'!$C$2:$C$1121,MATCH(1,('GHG Emission'!$D$2:$D$1121=$D135)*('GHG Emission'!$E$2:$E$1121=$C135)*('GHG Emission'!$F$2:$F$1121=$B135)*('GHG Emission'!$I$2:$I$1121=$E135)*('GHG Emission'!$J$2:$J$1121=$F135)*('GHG Emission'!$K$2:$K$1121=AI$1),0))+AJ135/$BI135*INDEX('GHG Emission'!$C$2:$C$1121,MATCH(1,('GHG Emission'!$D$2:$D$1121=$D135)*('GHG Emission'!$E$2:$E$1121=$C135)*('GHG Emission'!$F$2:$F$1121=$B135)*('GHG Emission'!$I$2:$I$1121=$E135)*('GHG Emission'!$J$2:$J$1121=$F135)*('GHG Emission'!$K$2:$K$1121=AJ$1),0))+AK135/$BI135*INDEX('GHG Emission'!$C$2:$C$1121,MATCH(1,('GHG Emission'!$D$2:$D$1121=$D135)*('GHG Emission'!$E$2:$E$1121=$C135)*('GHG Emission'!$F$2:$F$1121=$B135)*('GHG Emission'!$I$2:$I$1121=$E135)*('GHG Emission'!$J$2:$J$1121=$F135)*('GHG Emission'!$K$2:$K$1121=AK$1),0))+AL135/$BI135*INDEX('GHG Emission'!$C$2:$C$1121,MATCH(1,('GHG Emission'!$D$2:$D$1121=$D135)*('GHG Emission'!$E$2:$E$1121=$C135)*('GHG Emission'!$F$2:$F$1121=$B135)*('GHG Emission'!$I$2:$I$1121=$E135)*('GHG Emission'!$J$2:$J$1121=$F135)*('GHG Emission'!$K$2:$K$1121=AL$1),0))+AM135/$BI135*INDEX('GHG Emission'!$C$2:$C$1121,MATCH(1,('GHG Emission'!$D$2:$D$1121=$D135)*('GHG Emission'!$E$2:$E$1121=$C135)*('GHG Emission'!$F$2:$F$1121=$B135)*('GHG Emission'!$I$2:$I$1121=$E135)*('GHG Emission'!$J$2:$J$1121=$F135)*('GHG Emission'!$K$2:$K$1121=AM$1),0))</f>
        <v>34.64655463973093</v>
      </c>
      <c r="BM135" t="str">
        <f t="shared" si="23"/>
        <v>HEAVY/SOUR</v>
      </c>
    </row>
    <row r="136" spans="1:65" hidden="1" x14ac:dyDescent="0.25">
      <c r="A136">
        <v>135</v>
      </c>
      <c r="B136" t="s">
        <v>472</v>
      </c>
      <c r="C136">
        <v>2050</v>
      </c>
      <c r="D136">
        <v>2</v>
      </c>
      <c r="E136" t="s">
        <v>469</v>
      </c>
      <c r="F136" t="s">
        <v>467</v>
      </c>
      <c r="G136">
        <v>2185.1467938308306</v>
      </c>
      <c r="H136">
        <v>299.79012097977647</v>
      </c>
      <c r="I136">
        <v>1276.0262266491197</v>
      </c>
      <c r="J136">
        <v>78.471672072051305</v>
      </c>
      <c r="K136">
        <v>49.225586995672721</v>
      </c>
      <c r="L136">
        <v>34.936717005258899</v>
      </c>
      <c r="M136">
        <v>0</v>
      </c>
      <c r="N136">
        <v>0</v>
      </c>
      <c r="O136">
        <v>0</v>
      </c>
      <c r="P136">
        <v>366.28540801510849</v>
      </c>
      <c r="Q136">
        <v>0</v>
      </c>
      <c r="R136">
        <v>0</v>
      </c>
      <c r="S136">
        <v>0</v>
      </c>
      <c r="T136">
        <v>9.1474490742304866</v>
      </c>
      <c r="U136">
        <v>0</v>
      </c>
      <c r="V136">
        <v>0</v>
      </c>
      <c r="W136">
        <v>0</v>
      </c>
      <c r="X136">
        <f t="shared" si="16"/>
        <v>4299.029974622048</v>
      </c>
      <c r="Y136">
        <f>X136*VLOOKUP($D136,'LinearReg Model'!$S$2:$T$6,2,FALSE)</f>
        <v>3550.1839166772806</v>
      </c>
      <c r="Z136">
        <f t="shared" si="17"/>
        <v>0.50828833637591442</v>
      </c>
      <c r="AA136">
        <f t="shared" si="18"/>
        <v>0.29681724346695265</v>
      </c>
      <c r="AB136">
        <f t="shared" si="19"/>
        <v>6.9734363972684954E-2</v>
      </c>
      <c r="AC136">
        <v>34.957728681668918</v>
      </c>
      <c r="AD136">
        <v>0.49194998451747501</v>
      </c>
      <c r="AE136" s="2">
        <f>VLOOKUP($D136,'MultiReg Model'!$A$5:$F$9,2,FALSE)+AC136*VLOOKUP($D136,'MultiReg Model'!$A$5:$F$9,3,FALSE)+Z136*VLOOKUP($D136,'MultiReg Model'!$A$5:$F$9,4,FALSE)+AA136*VLOOKUP($D136,'MultiReg Model'!$A$5:$F$9,5,FALSE)+AB136*VLOOKUP($D136,'MultiReg Model'!$A$5:$F$9,6,FALSE)</f>
        <v>9.4523263655054333</v>
      </c>
      <c r="AF136" cm="1">
        <f t="array" ref="AF136">MMULT($AG136:$AM136,'Avg CI Index'!$C$2:$C$8)/BI136</f>
        <v>9.4623263760730474</v>
      </c>
      <c r="AG136">
        <v>113.20489197273511</v>
      </c>
      <c r="AH136">
        <v>733.50216494027768</v>
      </c>
      <c r="AI136">
        <v>0</v>
      </c>
      <c r="AJ136">
        <v>426.30506638108415</v>
      </c>
      <c r="AK136">
        <v>1340.970067077604</v>
      </c>
      <c r="AL136">
        <v>0</v>
      </c>
      <c r="AM136">
        <v>968.78462164151574</v>
      </c>
      <c r="AN136" cm="1">
        <f t="array" ref="AN136">$Y136*INDEX(RefCapacity!$D$2:$D$526,MATCH(1,(RefCapacity!$A$2:$A$526=RefCapacityProj!$D136)*(RefCapacity!$B$2:$B$526=2019)*(RefCapacity!$C$2:$C$526=AG$1),0))/SUMIFS(RefCapacity!$D$2:$D$526,RefCapacity!$A$2:$A$526,RefCapacityProj!$D136,RefCapacity!$B$2:$B$526,2019)</f>
        <v>21.785341921351243</v>
      </c>
      <c r="AO136" cm="1">
        <f t="array" ref="AO136">$Y136*INDEX(RefCapacity!$D$2:$D$526,MATCH(1,(RefCapacity!$A$2:$A$526=RefCapacityProj!$D136)*(RefCapacity!$B$2:$B$526=2019)*(RefCapacity!$C$2:$C$526=AH$1),0))/SUMIFS(RefCapacity!$D$2:$D$526,RefCapacity!$A$2:$A$526,RefCapacityProj!$D136,RefCapacity!$B$2:$B$526,2019)</f>
        <v>536.68300755652672</v>
      </c>
      <c r="AP136" cm="1">
        <f t="array" ref="AP136">$Y136*INDEX(RefCapacity!$D$2:$D$526,MATCH(1,(RefCapacity!$A$2:$A$526=RefCapacityProj!$D136)*(RefCapacity!$B$2:$B$526=2019)*(RefCapacity!$C$2:$C$526=AI$1),0))/SUMIFS(RefCapacity!$D$2:$D$526,RefCapacity!$A$2:$A$526,RefCapacityProj!$D136,RefCapacity!$B$2:$B$526,2019)</f>
        <v>0</v>
      </c>
      <c r="AQ136" cm="1">
        <f t="array" ref="AQ136">$Y136*INDEX(RefCapacity!$D$2:$D$526,MATCH(1,(RefCapacity!$A$2:$A$526=RefCapacityProj!$D136)*(RefCapacity!$B$2:$B$526=2019)*(RefCapacity!$C$2:$C$526=AJ$1),0))/SUMIFS(RefCapacity!$D$2:$D$526,RefCapacity!$A$2:$A$526,RefCapacityProj!$D136,RefCapacity!$B$2:$B$526,2019)</f>
        <v>452.27363836721594</v>
      </c>
      <c r="AR136" cm="1">
        <f t="array" ref="AR136">$Y136*INDEX(RefCapacity!$D$2:$D$526,MATCH(1,(RefCapacity!$A$2:$A$526=RefCapacityProj!$D136)*(RefCapacity!$B$2:$B$526=2019)*(RefCapacity!$C$2:$C$526=AK$1),0))/SUMIFS(RefCapacity!$D$2:$D$526,RefCapacity!$A$2:$A$526,RefCapacityProj!$D136,RefCapacity!$B$2:$B$526,2019)</f>
        <v>1398.4689782144492</v>
      </c>
      <c r="AS136" cm="1">
        <f t="array" ref="AS136">$Y136*INDEX(RefCapacity!$D$2:$D$526,MATCH(1,(RefCapacity!$A$2:$A$526=RefCapacityProj!$D136)*(RefCapacity!$B$2:$B$526=2019)*(RefCapacity!$C$2:$C$526=AL$1),0))/SUMIFS(RefCapacity!$D$2:$D$526,RefCapacity!$A$2:$A$526,RefCapacityProj!$D136,RefCapacity!$B$2:$B$526,2019)</f>
        <v>0</v>
      </c>
      <c r="AT136" cm="1">
        <f t="array" ref="AT136">$Y136*INDEX(RefCapacity!$D$2:$D$526,MATCH(1,(RefCapacity!$A$2:$A$526=RefCapacityProj!$D136)*(RefCapacity!$B$2:$B$526=2019)*(RefCapacity!$C$2:$C$526=AM$1),0))/SUMIFS(RefCapacity!$D$2:$D$526,RefCapacity!$A$2:$A$526,RefCapacityProj!$D136,RefCapacity!$B$2:$B$526,2019)</f>
        <v>1140.9729506177373</v>
      </c>
      <c r="AU136" cm="1">
        <f t="array" ref="AU136">INDEX(RefCapacity!$D$2:$D$526,MATCH(1,(RefCapacity!$A$2:$A$526=RefCapacityProj!$D136)*(RefCapacity!$B$2:$B$526=2019)*(RefCapacity!$C$2:$C$526=RefCapacityProj!AG$1),0))*IF($C136=2035,1+VLOOKUP(AG$1,RefCapacity!$H$2:$L$8,2,FALSE),1+VLOOKUP(AG$1,RefCapacity!$H$2:$L$8,4,FALSE))</f>
        <v>113.20628645316671</v>
      </c>
      <c r="AV136" cm="1">
        <f t="array" ref="AV136">INDEX(RefCapacity!$D$2:$D$526,MATCH(1,(RefCapacity!$A$2:$A$526=RefCapacityProj!$D136)*(RefCapacity!$B$2:$B$526=2019)*(RefCapacity!$C$2:$C$526=RefCapacityProj!AH$1),0))*IF($C136=2035,1+VLOOKUP(AH$1,RefCapacity!$H$2:$L$8,2,FALSE),1+VLOOKUP(AH$1,RefCapacity!$H$2:$L$8,4,FALSE))</f>
        <v>1043.8951024062037</v>
      </c>
      <c r="AW136" cm="1">
        <f t="array" ref="AW136">INDEX(RefCapacity!$D$2:$D$526,MATCH(1,(RefCapacity!$A$2:$A$526=RefCapacityProj!$D136)*(RefCapacity!$B$2:$B$526=2019)*(RefCapacity!$C$2:$C$526=RefCapacityProj!AI$1),0))*IF($C136=2035,1+VLOOKUP(AI$1,RefCapacity!$H$2:$L$8,2,FALSE),1+VLOOKUP(AI$1,RefCapacity!$H$2:$L$8,4,FALSE))</f>
        <v>0</v>
      </c>
      <c r="AX136" cm="1">
        <f t="array" ref="AX136">INDEX(RefCapacity!$D$2:$D$526,MATCH(1,(RefCapacity!$A$2:$A$526=RefCapacityProj!$D136)*(RefCapacity!$B$2:$B$526=2019)*(RefCapacity!$C$2:$C$526=RefCapacityProj!AJ$1),0))*IF($C136=2035,1+VLOOKUP(AJ$1,RefCapacity!$H$2:$L$8,2,FALSE),1+VLOOKUP(AJ$1,RefCapacity!$H$2:$L$8,4,FALSE))</f>
        <v>1467.5500000000002</v>
      </c>
      <c r="AY136" cm="1">
        <f t="array" ref="AY136">INDEX(RefCapacity!$D$2:$D$526,MATCH(1,(RefCapacity!$A$2:$A$526=RefCapacityProj!$D136)*(RefCapacity!$B$2:$B$526=2019)*(RefCapacity!$C$2:$C$526=RefCapacityProj!AK$1),0))*IF($C136=2035,1+VLOOKUP(AK$1,RefCapacity!$H$2:$L$8,2,FALSE),1+VLOOKUP(AK$1,RefCapacity!$H$2:$L$8,4,FALSE))</f>
        <v>2378.9594954929953</v>
      </c>
      <c r="AZ136" cm="1">
        <f t="array" ref="AZ136">INDEX(RefCapacity!$D$2:$D$526,MATCH(1,(RefCapacity!$A$2:$A$526=RefCapacityProj!$D136)*(RefCapacity!$B$2:$B$526=2019)*(RefCapacity!$C$2:$C$526=RefCapacityProj!AL$1),0))*IF($C136=2035,1+VLOOKUP(AL$1,RefCapacity!$H$2:$L$8,2,FALSE),1+VLOOKUP(AL$1,RefCapacity!$H$2:$L$8,4,FALSE))</f>
        <v>0</v>
      </c>
      <c r="BA136" cm="1">
        <f t="array" ref="BA136">INDEX(RefCapacity!$D$2:$D$526,MATCH(1,(RefCapacity!$A$2:$A$526=RefCapacityProj!$D136)*(RefCapacity!$B$2:$B$526=2019)*(RefCapacity!$C$2:$C$526=RefCapacityProj!AM$1),0))*IF($C136=2035,1+VLOOKUP(AM$1,RefCapacity!$H$2:$L$8,2,FALSE),1+VLOOKUP(AM$1,RefCapacity!$H$2:$L$8,4,FALSE))</f>
        <v>1411.7035156571721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f t="shared" si="20"/>
        <v>3582.7668120132166</v>
      </c>
      <c r="BJ136">
        <f t="shared" si="21"/>
        <v>32.582895335935973</v>
      </c>
      <c r="BK136">
        <f t="shared" si="22"/>
        <v>1.0000010567614126E-2</v>
      </c>
      <c r="BL136" cm="1">
        <f t="array" ref="BL136">AG136/$BI136*INDEX('GHG Emission'!$C$2:$C$1121,MATCH(1,('GHG Emission'!$D$2:$D$1121=$D136)*('GHG Emission'!$E$2:$E$1121=$C136)*('GHG Emission'!$F$2:$F$1121=$B136)*('GHG Emission'!$I$2:$I$1121=$E136)*('GHG Emission'!$J$2:$J$1121=$F136)*('GHG Emission'!$K$2:$K$1121=AG$1),0))+AH136/$BI136*INDEX('GHG Emission'!$C$2:$C$1121,MATCH(1,('GHG Emission'!$D$2:$D$1121=$D136)*('GHG Emission'!$E$2:$E$1121=$C136)*('GHG Emission'!$F$2:$F$1121=$B136)*('GHG Emission'!$I$2:$I$1121=$E136)*('GHG Emission'!$J$2:$J$1121=$F136)*('GHG Emission'!$K$2:$K$1121=AH$1),0))+AI136/$BI136*INDEX('GHG Emission'!$C$2:$C$1121,MATCH(1,('GHG Emission'!$D$2:$D$1121=$D136)*('GHG Emission'!$E$2:$E$1121=$C136)*('GHG Emission'!$F$2:$F$1121=$B136)*('GHG Emission'!$I$2:$I$1121=$E136)*('GHG Emission'!$J$2:$J$1121=$F136)*('GHG Emission'!$K$2:$K$1121=AI$1),0))+AJ136/$BI136*INDEX('GHG Emission'!$C$2:$C$1121,MATCH(1,('GHG Emission'!$D$2:$D$1121=$D136)*('GHG Emission'!$E$2:$E$1121=$C136)*('GHG Emission'!$F$2:$F$1121=$B136)*('GHG Emission'!$I$2:$I$1121=$E136)*('GHG Emission'!$J$2:$J$1121=$F136)*('GHG Emission'!$K$2:$K$1121=AJ$1),0))+AK136/$BI136*INDEX('GHG Emission'!$C$2:$C$1121,MATCH(1,('GHG Emission'!$D$2:$D$1121=$D136)*('GHG Emission'!$E$2:$E$1121=$C136)*('GHG Emission'!$F$2:$F$1121=$B136)*('GHG Emission'!$I$2:$I$1121=$E136)*('GHG Emission'!$J$2:$J$1121=$F136)*('GHG Emission'!$K$2:$K$1121=AK$1),0))+AL136/$BI136*INDEX('GHG Emission'!$C$2:$C$1121,MATCH(1,('GHG Emission'!$D$2:$D$1121=$D136)*('GHG Emission'!$E$2:$E$1121=$C136)*('GHG Emission'!$F$2:$F$1121=$B136)*('GHG Emission'!$I$2:$I$1121=$E136)*('GHG Emission'!$J$2:$J$1121=$F136)*('GHG Emission'!$K$2:$K$1121=AL$1),0))+AM136/$BI136*INDEX('GHG Emission'!$C$2:$C$1121,MATCH(1,('GHG Emission'!$D$2:$D$1121=$D136)*('GHG Emission'!$E$2:$E$1121=$C136)*('GHG Emission'!$F$2:$F$1121=$B136)*('GHG Emission'!$I$2:$I$1121=$E136)*('GHG Emission'!$J$2:$J$1121=$F136)*('GHG Emission'!$K$2:$K$1121=AM$1),0))</f>
        <v>34.159564673488021</v>
      </c>
      <c r="BM136" t="str">
        <f t="shared" si="23"/>
        <v>LIGHT/SWEET</v>
      </c>
    </row>
    <row r="137" spans="1:65" hidden="1" x14ac:dyDescent="0.25">
      <c r="A137">
        <v>136</v>
      </c>
      <c r="B137" t="s">
        <v>472</v>
      </c>
      <c r="C137">
        <v>2050</v>
      </c>
      <c r="D137">
        <v>2</v>
      </c>
      <c r="E137" t="s">
        <v>469</v>
      </c>
      <c r="F137" t="s">
        <v>468</v>
      </c>
      <c r="G137">
        <v>2185.1467938308306</v>
      </c>
      <c r="H137">
        <v>299.79012097977647</v>
      </c>
      <c r="I137">
        <v>1276.0262266491197</v>
      </c>
      <c r="J137">
        <v>78.471672072051305</v>
      </c>
      <c r="K137">
        <v>49.225586995672721</v>
      </c>
      <c r="L137">
        <v>34.936717005258899</v>
      </c>
      <c r="M137">
        <v>0</v>
      </c>
      <c r="N137">
        <v>0</v>
      </c>
      <c r="O137">
        <v>0</v>
      </c>
      <c r="P137">
        <v>366.28540801510849</v>
      </c>
      <c r="Q137">
        <v>0</v>
      </c>
      <c r="R137">
        <v>0</v>
      </c>
      <c r="S137">
        <v>0</v>
      </c>
      <c r="T137">
        <v>9.1474490742304866</v>
      </c>
      <c r="U137">
        <v>0</v>
      </c>
      <c r="V137">
        <v>0</v>
      </c>
      <c r="W137">
        <v>0</v>
      </c>
      <c r="X137">
        <f t="shared" si="16"/>
        <v>4299.029974622048</v>
      </c>
      <c r="Y137">
        <f>X137*VLOOKUP($D137,'LinearReg Model'!$S$2:$T$6,2,FALSE)</f>
        <v>3550.1839166772806</v>
      </c>
      <c r="Z137">
        <f t="shared" si="17"/>
        <v>0.50828833637591442</v>
      </c>
      <c r="AA137">
        <f t="shared" si="18"/>
        <v>0.29681724346695265</v>
      </c>
      <c r="AB137">
        <f t="shared" si="19"/>
        <v>6.9734363972684954E-2</v>
      </c>
      <c r="AC137">
        <v>34.957728681668918</v>
      </c>
      <c r="AD137">
        <v>4.4723269444483442</v>
      </c>
      <c r="AE137" s="2">
        <f>VLOOKUP($D137,'MultiReg Model'!$A$5:$F$9,2,FALSE)+AC137*VLOOKUP($D137,'MultiReg Model'!$A$5:$F$9,3,FALSE)+Z137*VLOOKUP($D137,'MultiReg Model'!$A$5:$F$9,4,FALSE)+AA137*VLOOKUP($D137,'MultiReg Model'!$A$5:$F$9,5,FALSE)+AB137*VLOOKUP($D137,'MultiReg Model'!$A$5:$F$9,6,FALSE)</f>
        <v>9.4523263655054333</v>
      </c>
      <c r="AF137" cm="1">
        <f t="array" ref="AF137">MMULT($AG137:$AM137,'Avg CI Index'!$C$2:$C$8)/BI137</f>
        <v>9.4623263760730474</v>
      </c>
      <c r="AG137">
        <v>113.20489197273511</v>
      </c>
      <c r="AH137">
        <v>733.50216494027768</v>
      </c>
      <c r="AI137">
        <v>0</v>
      </c>
      <c r="AJ137">
        <v>426.30506638108415</v>
      </c>
      <c r="AK137">
        <v>1340.970067077604</v>
      </c>
      <c r="AL137">
        <v>0</v>
      </c>
      <c r="AM137">
        <v>968.78462164151574</v>
      </c>
      <c r="AN137" cm="1">
        <f t="array" ref="AN137">$Y137*INDEX(RefCapacity!$D$2:$D$526,MATCH(1,(RefCapacity!$A$2:$A$526=RefCapacityProj!$D137)*(RefCapacity!$B$2:$B$526=2019)*(RefCapacity!$C$2:$C$526=AG$1),0))/SUMIFS(RefCapacity!$D$2:$D$526,RefCapacity!$A$2:$A$526,RefCapacityProj!$D137,RefCapacity!$B$2:$B$526,2019)</f>
        <v>21.785341921351243</v>
      </c>
      <c r="AO137" cm="1">
        <f t="array" ref="AO137">$Y137*INDEX(RefCapacity!$D$2:$D$526,MATCH(1,(RefCapacity!$A$2:$A$526=RefCapacityProj!$D137)*(RefCapacity!$B$2:$B$526=2019)*(RefCapacity!$C$2:$C$526=AH$1),0))/SUMIFS(RefCapacity!$D$2:$D$526,RefCapacity!$A$2:$A$526,RefCapacityProj!$D137,RefCapacity!$B$2:$B$526,2019)</f>
        <v>536.68300755652672</v>
      </c>
      <c r="AP137" cm="1">
        <f t="array" ref="AP137">$Y137*INDEX(RefCapacity!$D$2:$D$526,MATCH(1,(RefCapacity!$A$2:$A$526=RefCapacityProj!$D137)*(RefCapacity!$B$2:$B$526=2019)*(RefCapacity!$C$2:$C$526=AI$1),0))/SUMIFS(RefCapacity!$D$2:$D$526,RefCapacity!$A$2:$A$526,RefCapacityProj!$D137,RefCapacity!$B$2:$B$526,2019)</f>
        <v>0</v>
      </c>
      <c r="AQ137" cm="1">
        <f t="array" ref="AQ137">$Y137*INDEX(RefCapacity!$D$2:$D$526,MATCH(1,(RefCapacity!$A$2:$A$526=RefCapacityProj!$D137)*(RefCapacity!$B$2:$B$526=2019)*(RefCapacity!$C$2:$C$526=AJ$1),0))/SUMIFS(RefCapacity!$D$2:$D$526,RefCapacity!$A$2:$A$526,RefCapacityProj!$D137,RefCapacity!$B$2:$B$526,2019)</f>
        <v>452.27363836721594</v>
      </c>
      <c r="AR137" cm="1">
        <f t="array" ref="AR137">$Y137*INDEX(RefCapacity!$D$2:$D$526,MATCH(1,(RefCapacity!$A$2:$A$526=RefCapacityProj!$D137)*(RefCapacity!$B$2:$B$526=2019)*(RefCapacity!$C$2:$C$526=AK$1),0))/SUMIFS(RefCapacity!$D$2:$D$526,RefCapacity!$A$2:$A$526,RefCapacityProj!$D137,RefCapacity!$B$2:$B$526,2019)</f>
        <v>1398.4689782144492</v>
      </c>
      <c r="AS137" cm="1">
        <f t="array" ref="AS137">$Y137*INDEX(RefCapacity!$D$2:$D$526,MATCH(1,(RefCapacity!$A$2:$A$526=RefCapacityProj!$D137)*(RefCapacity!$B$2:$B$526=2019)*(RefCapacity!$C$2:$C$526=AL$1),0))/SUMIFS(RefCapacity!$D$2:$D$526,RefCapacity!$A$2:$A$526,RefCapacityProj!$D137,RefCapacity!$B$2:$B$526,2019)</f>
        <v>0</v>
      </c>
      <c r="AT137" cm="1">
        <f t="array" ref="AT137">$Y137*INDEX(RefCapacity!$D$2:$D$526,MATCH(1,(RefCapacity!$A$2:$A$526=RefCapacityProj!$D137)*(RefCapacity!$B$2:$B$526=2019)*(RefCapacity!$C$2:$C$526=AM$1),0))/SUMIFS(RefCapacity!$D$2:$D$526,RefCapacity!$A$2:$A$526,RefCapacityProj!$D137,RefCapacity!$B$2:$B$526,2019)</f>
        <v>1140.9729506177373</v>
      </c>
      <c r="AU137" cm="1">
        <f t="array" ref="AU137">INDEX(RefCapacity!$D$2:$D$526,MATCH(1,(RefCapacity!$A$2:$A$526=RefCapacityProj!$D137)*(RefCapacity!$B$2:$B$526=2019)*(RefCapacity!$C$2:$C$526=RefCapacityProj!AG$1),0))*IF($C137=2035,1+VLOOKUP(AG$1,RefCapacity!$H$2:$L$8,2,FALSE),1+VLOOKUP(AG$1,RefCapacity!$H$2:$L$8,4,FALSE))</f>
        <v>113.20628645316671</v>
      </c>
      <c r="AV137" cm="1">
        <f t="array" ref="AV137">INDEX(RefCapacity!$D$2:$D$526,MATCH(1,(RefCapacity!$A$2:$A$526=RefCapacityProj!$D137)*(RefCapacity!$B$2:$B$526=2019)*(RefCapacity!$C$2:$C$526=RefCapacityProj!AH$1),0))*IF($C137=2035,1+VLOOKUP(AH$1,RefCapacity!$H$2:$L$8,2,FALSE),1+VLOOKUP(AH$1,RefCapacity!$H$2:$L$8,4,FALSE))</f>
        <v>1043.8951024062037</v>
      </c>
      <c r="AW137" cm="1">
        <f t="array" ref="AW137">INDEX(RefCapacity!$D$2:$D$526,MATCH(1,(RefCapacity!$A$2:$A$526=RefCapacityProj!$D137)*(RefCapacity!$B$2:$B$526=2019)*(RefCapacity!$C$2:$C$526=RefCapacityProj!AI$1),0))*IF($C137=2035,1+VLOOKUP(AI$1,RefCapacity!$H$2:$L$8,2,FALSE),1+VLOOKUP(AI$1,RefCapacity!$H$2:$L$8,4,FALSE))</f>
        <v>0</v>
      </c>
      <c r="AX137" cm="1">
        <f t="array" ref="AX137">INDEX(RefCapacity!$D$2:$D$526,MATCH(1,(RefCapacity!$A$2:$A$526=RefCapacityProj!$D137)*(RefCapacity!$B$2:$B$526=2019)*(RefCapacity!$C$2:$C$526=RefCapacityProj!AJ$1),0))*IF($C137=2035,1+VLOOKUP(AJ$1,RefCapacity!$H$2:$L$8,2,FALSE),1+VLOOKUP(AJ$1,RefCapacity!$H$2:$L$8,4,FALSE))</f>
        <v>1467.5500000000002</v>
      </c>
      <c r="AY137" cm="1">
        <f t="array" ref="AY137">INDEX(RefCapacity!$D$2:$D$526,MATCH(1,(RefCapacity!$A$2:$A$526=RefCapacityProj!$D137)*(RefCapacity!$B$2:$B$526=2019)*(RefCapacity!$C$2:$C$526=RefCapacityProj!AK$1),0))*IF($C137=2035,1+VLOOKUP(AK$1,RefCapacity!$H$2:$L$8,2,FALSE),1+VLOOKUP(AK$1,RefCapacity!$H$2:$L$8,4,FALSE))</f>
        <v>2378.9594954929953</v>
      </c>
      <c r="AZ137" cm="1">
        <f t="array" ref="AZ137">INDEX(RefCapacity!$D$2:$D$526,MATCH(1,(RefCapacity!$A$2:$A$526=RefCapacityProj!$D137)*(RefCapacity!$B$2:$B$526=2019)*(RefCapacity!$C$2:$C$526=RefCapacityProj!AL$1),0))*IF($C137=2035,1+VLOOKUP(AL$1,RefCapacity!$H$2:$L$8,2,FALSE),1+VLOOKUP(AL$1,RefCapacity!$H$2:$L$8,4,FALSE))</f>
        <v>0</v>
      </c>
      <c r="BA137" cm="1">
        <f t="array" ref="BA137">INDEX(RefCapacity!$D$2:$D$526,MATCH(1,(RefCapacity!$A$2:$A$526=RefCapacityProj!$D137)*(RefCapacity!$B$2:$B$526=2019)*(RefCapacity!$C$2:$C$526=RefCapacityProj!AM$1),0))*IF($C137=2035,1+VLOOKUP(AM$1,RefCapacity!$H$2:$L$8,2,FALSE),1+VLOOKUP(AM$1,RefCapacity!$H$2:$L$8,4,FALSE))</f>
        <v>1411.7035156571721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f t="shared" si="20"/>
        <v>3582.7668120132166</v>
      </c>
      <c r="BJ137">
        <f t="shared" si="21"/>
        <v>32.582895335935973</v>
      </c>
      <c r="BK137">
        <f t="shared" si="22"/>
        <v>1.0000010567614126E-2</v>
      </c>
      <c r="BL137" cm="1">
        <f t="array" ref="BL137">AG137/$BI137*INDEX('GHG Emission'!$C$2:$C$1121,MATCH(1,('GHG Emission'!$D$2:$D$1121=$D137)*('GHG Emission'!$E$2:$E$1121=$C137)*('GHG Emission'!$F$2:$F$1121=$B137)*('GHG Emission'!$I$2:$I$1121=$E137)*('GHG Emission'!$J$2:$J$1121=$F137)*('GHG Emission'!$K$2:$K$1121=AG$1),0))+AH137/$BI137*INDEX('GHG Emission'!$C$2:$C$1121,MATCH(1,('GHG Emission'!$D$2:$D$1121=$D137)*('GHG Emission'!$E$2:$E$1121=$C137)*('GHG Emission'!$F$2:$F$1121=$B137)*('GHG Emission'!$I$2:$I$1121=$E137)*('GHG Emission'!$J$2:$J$1121=$F137)*('GHG Emission'!$K$2:$K$1121=AH$1),0))+AI137/$BI137*INDEX('GHG Emission'!$C$2:$C$1121,MATCH(1,('GHG Emission'!$D$2:$D$1121=$D137)*('GHG Emission'!$E$2:$E$1121=$C137)*('GHG Emission'!$F$2:$F$1121=$B137)*('GHG Emission'!$I$2:$I$1121=$E137)*('GHG Emission'!$J$2:$J$1121=$F137)*('GHG Emission'!$K$2:$K$1121=AI$1),0))+AJ137/$BI137*INDEX('GHG Emission'!$C$2:$C$1121,MATCH(1,('GHG Emission'!$D$2:$D$1121=$D137)*('GHG Emission'!$E$2:$E$1121=$C137)*('GHG Emission'!$F$2:$F$1121=$B137)*('GHG Emission'!$I$2:$I$1121=$E137)*('GHG Emission'!$J$2:$J$1121=$F137)*('GHG Emission'!$K$2:$K$1121=AJ$1),0))+AK137/$BI137*INDEX('GHG Emission'!$C$2:$C$1121,MATCH(1,('GHG Emission'!$D$2:$D$1121=$D137)*('GHG Emission'!$E$2:$E$1121=$C137)*('GHG Emission'!$F$2:$F$1121=$B137)*('GHG Emission'!$I$2:$I$1121=$E137)*('GHG Emission'!$J$2:$J$1121=$F137)*('GHG Emission'!$K$2:$K$1121=AK$1),0))+AL137/$BI137*INDEX('GHG Emission'!$C$2:$C$1121,MATCH(1,('GHG Emission'!$D$2:$D$1121=$D137)*('GHG Emission'!$E$2:$E$1121=$C137)*('GHG Emission'!$F$2:$F$1121=$B137)*('GHG Emission'!$I$2:$I$1121=$E137)*('GHG Emission'!$J$2:$J$1121=$F137)*('GHG Emission'!$K$2:$K$1121=AL$1),0))+AM137/$BI137*INDEX('GHG Emission'!$C$2:$C$1121,MATCH(1,('GHG Emission'!$D$2:$D$1121=$D137)*('GHG Emission'!$E$2:$E$1121=$C137)*('GHG Emission'!$F$2:$F$1121=$B137)*('GHG Emission'!$I$2:$I$1121=$E137)*('GHG Emission'!$J$2:$J$1121=$F137)*('GHG Emission'!$K$2:$K$1121=AM$1),0))</f>
        <v>36.918225492877738</v>
      </c>
      <c r="BM137" t="str">
        <f t="shared" si="23"/>
        <v>LIGHT/SOUR</v>
      </c>
    </row>
    <row r="138" spans="1:65" hidden="1" x14ac:dyDescent="0.25">
      <c r="A138">
        <v>137</v>
      </c>
      <c r="B138" t="s">
        <v>472</v>
      </c>
      <c r="C138">
        <v>2035</v>
      </c>
      <c r="D138">
        <v>3</v>
      </c>
      <c r="E138" t="s">
        <v>466</v>
      </c>
      <c r="F138" t="s">
        <v>467</v>
      </c>
      <c r="G138">
        <v>3183.1099711418956</v>
      </c>
      <c r="H138">
        <v>873.5420138934935</v>
      </c>
      <c r="I138">
        <v>2397.4657885687948</v>
      </c>
      <c r="J138">
        <v>1700.6793855468002</v>
      </c>
      <c r="K138">
        <v>227.03245314490249</v>
      </c>
      <c r="L138">
        <v>42.104798242288538</v>
      </c>
      <c r="M138">
        <v>0</v>
      </c>
      <c r="N138">
        <v>0</v>
      </c>
      <c r="O138">
        <v>0</v>
      </c>
      <c r="P138">
        <v>101.2831980294727</v>
      </c>
      <c r="Q138">
        <v>0</v>
      </c>
      <c r="R138">
        <v>0</v>
      </c>
      <c r="S138">
        <v>0</v>
      </c>
      <c r="T138">
        <v>12.728894991386792</v>
      </c>
      <c r="U138">
        <v>0</v>
      </c>
      <c r="V138">
        <v>0</v>
      </c>
      <c r="W138">
        <v>0</v>
      </c>
      <c r="X138">
        <f t="shared" si="16"/>
        <v>8537.9465035590347</v>
      </c>
      <c r="Y138">
        <f>X138*VLOOKUP($D138,'LinearReg Model'!$S$2:$T$6,2,FALSE)</f>
        <v>8581.1455108145146</v>
      </c>
      <c r="Z138">
        <f t="shared" si="17"/>
        <v>0.37281915151553352</v>
      </c>
      <c r="AA138">
        <f t="shared" si="18"/>
        <v>0.28080121930600216</v>
      </c>
      <c r="AB138">
        <f t="shared" si="19"/>
        <v>0.10231289380055947</v>
      </c>
      <c r="AC138">
        <v>30.30214176476078</v>
      </c>
      <c r="AD138">
        <v>1.0500146884775321</v>
      </c>
      <c r="AE138" s="2">
        <f>VLOOKUP($D138,'MultiReg Model'!$A$5:$F$9,2,FALSE)+AC138*VLOOKUP($D138,'MultiReg Model'!$A$5:$F$9,3,FALSE)+Z138*VLOOKUP($D138,'MultiReg Model'!$A$5:$F$9,4,FALSE)+AA138*VLOOKUP($D138,'MultiReg Model'!$A$5:$F$9,5,FALSE)+AB138*VLOOKUP($D138,'MultiReg Model'!$A$5:$F$9,6,FALSE)</f>
        <v>9.582212802151286</v>
      </c>
      <c r="AF138" cm="1">
        <f t="array" ref="AF138">MMULT($AG138:$AM138,'Avg CI Index'!$C$2:$C$8)/BI138</f>
        <v>9.592212537832129</v>
      </c>
      <c r="AG138">
        <v>726.12738940484292</v>
      </c>
      <c r="AH138">
        <v>692.06144448113525</v>
      </c>
      <c r="AI138">
        <v>305.16439419050681</v>
      </c>
      <c r="AJ138">
        <v>781.86926461767462</v>
      </c>
      <c r="AK138">
        <v>1683.9383799639343</v>
      </c>
      <c r="AL138">
        <v>1.5202501503043322E-3</v>
      </c>
      <c r="AM138">
        <v>4477.7806980528258</v>
      </c>
      <c r="AN138" cm="1">
        <f t="array" ref="AN138">$Y138*INDEX(RefCapacity!$D$2:$D$526,MATCH(1,(RefCapacity!$A$2:$A$526=RefCapacityProj!$D138)*(RefCapacity!$B$2:$B$526=2019)*(RefCapacity!$C$2:$C$526=AG$1),0))/SUMIFS(RefCapacity!$D$2:$D$526,RefCapacity!$A$2:$A$526,RefCapacityProj!$D138,RefCapacity!$B$2:$B$526,2019)</f>
        <v>260.73721279183849</v>
      </c>
      <c r="AO138" cm="1">
        <f t="array" ref="AO138">$Y138*INDEX(RefCapacity!$D$2:$D$526,MATCH(1,(RefCapacity!$A$2:$A$526=RefCapacityProj!$D138)*(RefCapacity!$B$2:$B$526=2019)*(RefCapacity!$C$2:$C$526=AH$1),0))/SUMIFS(RefCapacity!$D$2:$D$526,RefCapacity!$A$2:$A$526,RefCapacityProj!$D138,RefCapacity!$B$2:$B$526,2019)</f>
        <v>605.85971774349946</v>
      </c>
      <c r="AP138" cm="1">
        <f t="array" ref="AP138">$Y138*INDEX(RefCapacity!$D$2:$D$526,MATCH(1,(RefCapacity!$A$2:$A$526=RefCapacityProj!$D138)*(RefCapacity!$B$2:$B$526=2019)*(RefCapacity!$C$2:$C$526=AI$1),0))/SUMIFS(RefCapacity!$D$2:$D$526,RefCapacity!$A$2:$A$526,RefCapacityProj!$D138,RefCapacity!$B$2:$B$526,2019)</f>
        <v>260.47921842023283</v>
      </c>
      <c r="AQ138" cm="1">
        <f t="array" ref="AQ138">$Y138*INDEX(RefCapacity!$D$2:$D$526,MATCH(1,(RefCapacity!$A$2:$A$526=RefCapacityProj!$D138)*(RefCapacity!$B$2:$B$526=2019)*(RefCapacity!$C$2:$C$526=AJ$1),0))/SUMIFS(RefCapacity!$D$2:$D$526,RefCapacity!$A$2:$A$526,RefCapacityProj!$D138,RefCapacity!$B$2:$B$526,2019)</f>
        <v>889.35414737543408</v>
      </c>
      <c r="AR138" cm="1">
        <f t="array" ref="AR138">$Y138*INDEX(RefCapacity!$D$2:$D$526,MATCH(1,(RefCapacity!$A$2:$A$526=RefCapacityProj!$D138)*(RefCapacity!$B$2:$B$526=2019)*(RefCapacity!$C$2:$C$526=AK$1),0))/SUMIFS(RefCapacity!$D$2:$D$526,RefCapacity!$A$2:$A$526,RefCapacityProj!$D138,RefCapacity!$B$2:$B$526,2019)</f>
        <v>1818.8250987452493</v>
      </c>
      <c r="AS138" cm="1">
        <f t="array" ref="AS138">$Y138*INDEX(RefCapacity!$D$2:$D$526,MATCH(1,(RefCapacity!$A$2:$A$526=RefCapacityProj!$D138)*(RefCapacity!$B$2:$B$526=2019)*(RefCapacity!$C$2:$C$526=AL$1),0))/SUMIFS(RefCapacity!$D$2:$D$526,RefCapacity!$A$2:$A$526,RefCapacityProj!$D138,RefCapacity!$B$2:$B$526,2019)</f>
        <v>33.460020890835864</v>
      </c>
      <c r="AT138" cm="1">
        <f t="array" ref="AT138">$Y138*INDEX(RefCapacity!$D$2:$D$526,MATCH(1,(RefCapacity!$A$2:$A$526=RefCapacityProj!$D138)*(RefCapacity!$B$2:$B$526=2019)*(RefCapacity!$C$2:$C$526=AM$1),0))/SUMIFS(RefCapacity!$D$2:$D$526,RefCapacity!$A$2:$A$526,RefCapacityProj!$D138,RefCapacity!$B$2:$B$526,2019)</f>
        <v>4712.4300948474238</v>
      </c>
      <c r="AU138" cm="1">
        <f t="array" ref="AU138">INDEX(RefCapacity!$D$2:$D$526,MATCH(1,(RefCapacity!$A$2:$A$526=RefCapacityProj!$D138)*(RefCapacity!$B$2:$B$526=2019)*(RefCapacity!$C$2:$C$526=RefCapacityProj!AG$1),0))*IF($C138=2035,1+VLOOKUP(AG$1,RefCapacity!$H$2:$L$8,2,FALSE),1+VLOOKUP(AG$1,RefCapacity!$H$2:$L$8,4,FALSE))</f>
        <v>818.90159671962101</v>
      </c>
      <c r="AV138" cm="1">
        <f t="array" ref="AV138">INDEX(RefCapacity!$D$2:$D$526,MATCH(1,(RefCapacity!$A$2:$A$526=RefCapacityProj!$D138)*(RefCapacity!$B$2:$B$526=2019)*(RefCapacity!$C$2:$C$526=RefCapacityProj!AH$1),0))*IF($C138=2035,1+VLOOKUP(AH$1,RefCapacity!$H$2:$L$8,2,FALSE),1+VLOOKUP(AH$1,RefCapacity!$H$2:$L$8,4,FALSE))</f>
        <v>927.50919366992355</v>
      </c>
      <c r="AW138" cm="1">
        <f t="array" ref="AW138">INDEX(RefCapacity!$D$2:$D$526,MATCH(1,(RefCapacity!$A$2:$A$526=RefCapacityProj!$D138)*(RefCapacity!$B$2:$B$526=2019)*(RefCapacity!$C$2:$C$526=RefCapacityProj!AI$1),0))*IF($C138=2035,1+VLOOKUP(AI$1,RefCapacity!$H$2:$L$8,2,FALSE),1+VLOOKUP(AI$1,RefCapacity!$H$2:$L$8,4,FALSE))</f>
        <v>305.85558861538459</v>
      </c>
      <c r="AX138" cm="1">
        <f t="array" ref="AX138">INDEX(RefCapacity!$D$2:$D$526,MATCH(1,(RefCapacity!$A$2:$A$526=RefCapacityProj!$D138)*(RefCapacity!$B$2:$B$526=2019)*(RefCapacity!$C$2:$C$526=RefCapacityProj!AJ$1),0))*IF($C138=2035,1+VLOOKUP(AJ$1,RefCapacity!$H$2:$L$8,2,FALSE),1+VLOOKUP(AJ$1,RefCapacity!$H$2:$L$8,4,FALSE))</f>
        <v>1933.836664979757</v>
      </c>
      <c r="AY138" cm="1">
        <f t="array" ref="AY138">INDEX(RefCapacity!$D$2:$D$526,MATCH(1,(RefCapacity!$A$2:$A$526=RefCapacityProj!$D138)*(RefCapacity!$B$2:$B$526=2019)*(RefCapacity!$C$2:$C$526=RefCapacityProj!AK$1),0))*IF($C138=2035,1+VLOOKUP(AK$1,RefCapacity!$H$2:$L$8,2,FALSE),1+VLOOKUP(AK$1,RefCapacity!$H$2:$L$8,4,FALSE))</f>
        <v>2564.7302317013236</v>
      </c>
      <c r="AZ138" cm="1">
        <f t="array" ref="AZ138">INDEX(RefCapacity!$D$2:$D$526,MATCH(1,(RefCapacity!$A$2:$A$526=RefCapacityProj!$D138)*(RefCapacity!$B$2:$B$526=2019)*(RefCapacity!$C$2:$C$526=RefCapacityProj!AL$1),0))*IF($C138=2035,1+VLOOKUP(AL$1,RefCapacity!$H$2:$L$8,2,FALSE),1+VLOOKUP(AL$1,RefCapacity!$H$2:$L$8,4,FALSE))</f>
        <v>53.6302514614692</v>
      </c>
      <c r="BA138" cm="1">
        <f t="array" ref="BA138">INDEX(RefCapacity!$D$2:$D$526,MATCH(1,(RefCapacity!$A$2:$A$526=RefCapacityProj!$D138)*(RefCapacity!$B$2:$B$526=2019)*(RefCapacity!$C$2:$C$526=RefCapacityProj!AM$1),0))*IF($C138=2035,1+VLOOKUP(AM$1,RefCapacity!$H$2:$L$8,2,FALSE),1+VLOOKUP(AM$1,RefCapacity!$H$2:$L$8,4,FALSE))</f>
        <v>5562.7734410987441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f t="shared" si="20"/>
        <v>8666.9430909610692</v>
      </c>
      <c r="BJ138">
        <f t="shared" si="21"/>
        <v>85.797580146554537</v>
      </c>
      <c r="BK138">
        <f t="shared" si="22"/>
        <v>9.9997356808430027E-3</v>
      </c>
      <c r="BL138" cm="1">
        <f t="array" ref="BL138">AG138/$BI138*INDEX('GHG Emission'!$C$2:$C$1121,MATCH(1,('GHG Emission'!$D$2:$D$1121=$D138)*('GHG Emission'!$E$2:$E$1121=$C138)*('GHG Emission'!$F$2:$F$1121=$B138)*('GHG Emission'!$I$2:$I$1121=$E138)*('GHG Emission'!$J$2:$J$1121=$F138)*('GHG Emission'!$K$2:$K$1121=AG$1),0))+AH138/$BI138*INDEX('GHG Emission'!$C$2:$C$1121,MATCH(1,('GHG Emission'!$D$2:$D$1121=$D138)*('GHG Emission'!$E$2:$E$1121=$C138)*('GHG Emission'!$F$2:$F$1121=$B138)*('GHG Emission'!$I$2:$I$1121=$E138)*('GHG Emission'!$J$2:$J$1121=$F138)*('GHG Emission'!$K$2:$K$1121=AH$1),0))+AI138/$BI138*INDEX('GHG Emission'!$C$2:$C$1121,MATCH(1,('GHG Emission'!$D$2:$D$1121=$D138)*('GHG Emission'!$E$2:$E$1121=$C138)*('GHG Emission'!$F$2:$F$1121=$B138)*('GHG Emission'!$I$2:$I$1121=$E138)*('GHG Emission'!$J$2:$J$1121=$F138)*('GHG Emission'!$K$2:$K$1121=AI$1),0))+AJ138/$BI138*INDEX('GHG Emission'!$C$2:$C$1121,MATCH(1,('GHG Emission'!$D$2:$D$1121=$D138)*('GHG Emission'!$E$2:$E$1121=$C138)*('GHG Emission'!$F$2:$F$1121=$B138)*('GHG Emission'!$I$2:$I$1121=$E138)*('GHG Emission'!$J$2:$J$1121=$F138)*('GHG Emission'!$K$2:$K$1121=AJ$1),0))+AK138/$BI138*INDEX('GHG Emission'!$C$2:$C$1121,MATCH(1,('GHG Emission'!$D$2:$D$1121=$D138)*('GHG Emission'!$E$2:$E$1121=$C138)*('GHG Emission'!$F$2:$F$1121=$B138)*('GHG Emission'!$I$2:$I$1121=$E138)*('GHG Emission'!$J$2:$J$1121=$F138)*('GHG Emission'!$K$2:$K$1121=AK$1),0))+AL138/$BI138*INDEX('GHG Emission'!$C$2:$C$1121,MATCH(1,('GHG Emission'!$D$2:$D$1121=$D138)*('GHG Emission'!$E$2:$E$1121=$C138)*('GHG Emission'!$F$2:$F$1121=$B138)*('GHG Emission'!$I$2:$I$1121=$E138)*('GHG Emission'!$J$2:$J$1121=$F138)*('GHG Emission'!$K$2:$K$1121=AL$1),0))+AM138/$BI138*INDEX('GHG Emission'!$C$2:$C$1121,MATCH(1,('GHG Emission'!$D$2:$D$1121=$D138)*('GHG Emission'!$E$2:$E$1121=$C138)*('GHG Emission'!$F$2:$F$1121=$B138)*('GHG Emission'!$I$2:$I$1121=$E138)*('GHG Emission'!$J$2:$J$1121=$F138)*('GHG Emission'!$K$2:$K$1121=AM$1),0))</f>
        <v>37.367750268182157</v>
      </c>
      <c r="BM138" t="str">
        <f t="shared" si="23"/>
        <v>HEAVY/SWEET</v>
      </c>
    </row>
    <row r="139" spans="1:65" hidden="1" x14ac:dyDescent="0.25">
      <c r="A139">
        <v>138</v>
      </c>
      <c r="B139" t="s">
        <v>472</v>
      </c>
      <c r="C139">
        <v>2035</v>
      </c>
      <c r="D139">
        <v>3</v>
      </c>
      <c r="E139" t="s">
        <v>466</v>
      </c>
      <c r="F139" t="s">
        <v>468</v>
      </c>
      <c r="G139">
        <v>3183.1099711418956</v>
      </c>
      <c r="H139">
        <v>873.5420138934935</v>
      </c>
      <c r="I139">
        <v>2397.4657885687948</v>
      </c>
      <c r="J139">
        <v>1700.6793855468002</v>
      </c>
      <c r="K139">
        <v>227.03245314490249</v>
      </c>
      <c r="L139">
        <v>42.104798242288538</v>
      </c>
      <c r="M139">
        <v>0</v>
      </c>
      <c r="N139">
        <v>0</v>
      </c>
      <c r="O139">
        <v>0</v>
      </c>
      <c r="P139">
        <v>101.2831980294727</v>
      </c>
      <c r="Q139">
        <v>0</v>
      </c>
      <c r="R139">
        <v>0</v>
      </c>
      <c r="S139">
        <v>0</v>
      </c>
      <c r="T139">
        <v>12.728894991386792</v>
      </c>
      <c r="U139">
        <v>0</v>
      </c>
      <c r="V139">
        <v>0</v>
      </c>
      <c r="W139">
        <v>0</v>
      </c>
      <c r="X139">
        <f t="shared" si="16"/>
        <v>8537.9465035590347</v>
      </c>
      <c r="Y139">
        <f>X139*VLOOKUP($D139,'LinearReg Model'!$S$2:$T$6,2,FALSE)</f>
        <v>8581.1455108145146</v>
      </c>
      <c r="Z139">
        <f t="shared" si="17"/>
        <v>0.37281915151553352</v>
      </c>
      <c r="AA139">
        <f t="shared" si="18"/>
        <v>0.28080121930600216</v>
      </c>
      <c r="AB139">
        <f t="shared" si="19"/>
        <v>0.10231289380055947</v>
      </c>
      <c r="AC139">
        <v>30.30214176476078</v>
      </c>
      <c r="AD139">
        <v>1.975455919496689</v>
      </c>
      <c r="AE139" s="2">
        <f>VLOOKUP($D139,'MultiReg Model'!$A$5:$F$9,2,FALSE)+AC139*VLOOKUP($D139,'MultiReg Model'!$A$5:$F$9,3,FALSE)+Z139*VLOOKUP($D139,'MultiReg Model'!$A$5:$F$9,4,FALSE)+AA139*VLOOKUP($D139,'MultiReg Model'!$A$5:$F$9,5,FALSE)+AB139*VLOOKUP($D139,'MultiReg Model'!$A$5:$F$9,6,FALSE)</f>
        <v>9.582212802151286</v>
      </c>
      <c r="AF139" cm="1">
        <f t="array" ref="AF139">MMULT($AG139:$AM139,'Avg CI Index'!$C$2:$C$8)/BI139</f>
        <v>9.592212537832129</v>
      </c>
      <c r="AG139">
        <v>726.12738940484292</v>
      </c>
      <c r="AH139">
        <v>692.06144448113525</v>
      </c>
      <c r="AI139">
        <v>305.16439419050681</v>
      </c>
      <c r="AJ139">
        <v>781.86926461767462</v>
      </c>
      <c r="AK139">
        <v>1683.9383799639343</v>
      </c>
      <c r="AL139">
        <v>1.5202501503043322E-3</v>
      </c>
      <c r="AM139">
        <v>4477.7806980528258</v>
      </c>
      <c r="AN139" cm="1">
        <f t="array" ref="AN139">$Y139*INDEX(RefCapacity!$D$2:$D$526,MATCH(1,(RefCapacity!$A$2:$A$526=RefCapacityProj!$D139)*(RefCapacity!$B$2:$B$526=2019)*(RefCapacity!$C$2:$C$526=AG$1),0))/SUMIFS(RefCapacity!$D$2:$D$526,RefCapacity!$A$2:$A$526,RefCapacityProj!$D139,RefCapacity!$B$2:$B$526,2019)</f>
        <v>260.73721279183849</v>
      </c>
      <c r="AO139" cm="1">
        <f t="array" ref="AO139">$Y139*INDEX(RefCapacity!$D$2:$D$526,MATCH(1,(RefCapacity!$A$2:$A$526=RefCapacityProj!$D139)*(RefCapacity!$B$2:$B$526=2019)*(RefCapacity!$C$2:$C$526=AH$1),0))/SUMIFS(RefCapacity!$D$2:$D$526,RefCapacity!$A$2:$A$526,RefCapacityProj!$D139,RefCapacity!$B$2:$B$526,2019)</f>
        <v>605.85971774349946</v>
      </c>
      <c r="AP139" cm="1">
        <f t="array" ref="AP139">$Y139*INDEX(RefCapacity!$D$2:$D$526,MATCH(1,(RefCapacity!$A$2:$A$526=RefCapacityProj!$D139)*(RefCapacity!$B$2:$B$526=2019)*(RefCapacity!$C$2:$C$526=AI$1),0))/SUMIFS(RefCapacity!$D$2:$D$526,RefCapacity!$A$2:$A$526,RefCapacityProj!$D139,RefCapacity!$B$2:$B$526,2019)</f>
        <v>260.47921842023283</v>
      </c>
      <c r="AQ139" cm="1">
        <f t="array" ref="AQ139">$Y139*INDEX(RefCapacity!$D$2:$D$526,MATCH(1,(RefCapacity!$A$2:$A$526=RefCapacityProj!$D139)*(RefCapacity!$B$2:$B$526=2019)*(RefCapacity!$C$2:$C$526=AJ$1),0))/SUMIFS(RefCapacity!$D$2:$D$526,RefCapacity!$A$2:$A$526,RefCapacityProj!$D139,RefCapacity!$B$2:$B$526,2019)</f>
        <v>889.35414737543408</v>
      </c>
      <c r="AR139" cm="1">
        <f t="array" ref="AR139">$Y139*INDEX(RefCapacity!$D$2:$D$526,MATCH(1,(RefCapacity!$A$2:$A$526=RefCapacityProj!$D139)*(RefCapacity!$B$2:$B$526=2019)*(RefCapacity!$C$2:$C$526=AK$1),0))/SUMIFS(RefCapacity!$D$2:$D$526,RefCapacity!$A$2:$A$526,RefCapacityProj!$D139,RefCapacity!$B$2:$B$526,2019)</f>
        <v>1818.8250987452493</v>
      </c>
      <c r="AS139" cm="1">
        <f t="array" ref="AS139">$Y139*INDEX(RefCapacity!$D$2:$D$526,MATCH(1,(RefCapacity!$A$2:$A$526=RefCapacityProj!$D139)*(RefCapacity!$B$2:$B$526=2019)*(RefCapacity!$C$2:$C$526=AL$1),0))/SUMIFS(RefCapacity!$D$2:$D$526,RefCapacity!$A$2:$A$526,RefCapacityProj!$D139,RefCapacity!$B$2:$B$526,2019)</f>
        <v>33.460020890835864</v>
      </c>
      <c r="AT139" cm="1">
        <f t="array" ref="AT139">$Y139*INDEX(RefCapacity!$D$2:$D$526,MATCH(1,(RefCapacity!$A$2:$A$526=RefCapacityProj!$D139)*(RefCapacity!$B$2:$B$526=2019)*(RefCapacity!$C$2:$C$526=AM$1),0))/SUMIFS(RefCapacity!$D$2:$D$526,RefCapacity!$A$2:$A$526,RefCapacityProj!$D139,RefCapacity!$B$2:$B$526,2019)</f>
        <v>4712.4300948474238</v>
      </c>
      <c r="AU139" cm="1">
        <f t="array" ref="AU139">INDEX(RefCapacity!$D$2:$D$526,MATCH(1,(RefCapacity!$A$2:$A$526=RefCapacityProj!$D139)*(RefCapacity!$B$2:$B$526=2019)*(RefCapacity!$C$2:$C$526=RefCapacityProj!AG$1),0))*IF($C139=2035,1+VLOOKUP(AG$1,RefCapacity!$H$2:$L$8,2,FALSE),1+VLOOKUP(AG$1,RefCapacity!$H$2:$L$8,4,FALSE))</f>
        <v>818.90159671962101</v>
      </c>
      <c r="AV139" cm="1">
        <f t="array" ref="AV139">INDEX(RefCapacity!$D$2:$D$526,MATCH(1,(RefCapacity!$A$2:$A$526=RefCapacityProj!$D139)*(RefCapacity!$B$2:$B$526=2019)*(RefCapacity!$C$2:$C$526=RefCapacityProj!AH$1),0))*IF($C139=2035,1+VLOOKUP(AH$1,RefCapacity!$H$2:$L$8,2,FALSE),1+VLOOKUP(AH$1,RefCapacity!$H$2:$L$8,4,FALSE))</f>
        <v>927.50919366992355</v>
      </c>
      <c r="AW139" cm="1">
        <f t="array" ref="AW139">INDEX(RefCapacity!$D$2:$D$526,MATCH(1,(RefCapacity!$A$2:$A$526=RefCapacityProj!$D139)*(RefCapacity!$B$2:$B$526=2019)*(RefCapacity!$C$2:$C$526=RefCapacityProj!AI$1),0))*IF($C139=2035,1+VLOOKUP(AI$1,RefCapacity!$H$2:$L$8,2,FALSE),1+VLOOKUP(AI$1,RefCapacity!$H$2:$L$8,4,FALSE))</f>
        <v>305.85558861538459</v>
      </c>
      <c r="AX139" cm="1">
        <f t="array" ref="AX139">INDEX(RefCapacity!$D$2:$D$526,MATCH(1,(RefCapacity!$A$2:$A$526=RefCapacityProj!$D139)*(RefCapacity!$B$2:$B$526=2019)*(RefCapacity!$C$2:$C$526=RefCapacityProj!AJ$1),0))*IF($C139=2035,1+VLOOKUP(AJ$1,RefCapacity!$H$2:$L$8,2,FALSE),1+VLOOKUP(AJ$1,RefCapacity!$H$2:$L$8,4,FALSE))</f>
        <v>1933.836664979757</v>
      </c>
      <c r="AY139" cm="1">
        <f t="array" ref="AY139">INDEX(RefCapacity!$D$2:$D$526,MATCH(1,(RefCapacity!$A$2:$A$526=RefCapacityProj!$D139)*(RefCapacity!$B$2:$B$526=2019)*(RefCapacity!$C$2:$C$526=RefCapacityProj!AK$1),0))*IF($C139=2035,1+VLOOKUP(AK$1,RefCapacity!$H$2:$L$8,2,FALSE),1+VLOOKUP(AK$1,RefCapacity!$H$2:$L$8,4,FALSE))</f>
        <v>2564.7302317013236</v>
      </c>
      <c r="AZ139" cm="1">
        <f t="array" ref="AZ139">INDEX(RefCapacity!$D$2:$D$526,MATCH(1,(RefCapacity!$A$2:$A$526=RefCapacityProj!$D139)*(RefCapacity!$B$2:$B$526=2019)*(RefCapacity!$C$2:$C$526=RefCapacityProj!AL$1),0))*IF($C139=2035,1+VLOOKUP(AL$1,RefCapacity!$H$2:$L$8,2,FALSE),1+VLOOKUP(AL$1,RefCapacity!$H$2:$L$8,4,FALSE))</f>
        <v>53.6302514614692</v>
      </c>
      <c r="BA139" cm="1">
        <f t="array" ref="BA139">INDEX(RefCapacity!$D$2:$D$526,MATCH(1,(RefCapacity!$A$2:$A$526=RefCapacityProj!$D139)*(RefCapacity!$B$2:$B$526=2019)*(RefCapacity!$C$2:$C$526=RefCapacityProj!AM$1),0))*IF($C139=2035,1+VLOOKUP(AM$1,RefCapacity!$H$2:$L$8,2,FALSE),1+VLOOKUP(AM$1,RefCapacity!$H$2:$L$8,4,FALSE))</f>
        <v>5562.7734410987441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f t="shared" si="20"/>
        <v>8666.9430909610692</v>
      </c>
      <c r="BJ139">
        <f t="shared" si="21"/>
        <v>85.797580146554537</v>
      </c>
      <c r="BK139">
        <f t="shared" si="22"/>
        <v>9.9997356808430027E-3</v>
      </c>
      <c r="BL139" cm="1">
        <f t="array" ref="BL139">AG139/$BI139*INDEX('GHG Emission'!$C$2:$C$1121,MATCH(1,('GHG Emission'!$D$2:$D$1121=$D139)*('GHG Emission'!$E$2:$E$1121=$C139)*('GHG Emission'!$F$2:$F$1121=$B139)*('GHG Emission'!$I$2:$I$1121=$E139)*('GHG Emission'!$J$2:$J$1121=$F139)*('GHG Emission'!$K$2:$K$1121=AG$1),0))+AH139/$BI139*INDEX('GHG Emission'!$C$2:$C$1121,MATCH(1,('GHG Emission'!$D$2:$D$1121=$D139)*('GHG Emission'!$E$2:$E$1121=$C139)*('GHG Emission'!$F$2:$F$1121=$B139)*('GHG Emission'!$I$2:$I$1121=$E139)*('GHG Emission'!$J$2:$J$1121=$F139)*('GHG Emission'!$K$2:$K$1121=AH$1),0))+AI139/$BI139*INDEX('GHG Emission'!$C$2:$C$1121,MATCH(1,('GHG Emission'!$D$2:$D$1121=$D139)*('GHG Emission'!$E$2:$E$1121=$C139)*('GHG Emission'!$F$2:$F$1121=$B139)*('GHG Emission'!$I$2:$I$1121=$E139)*('GHG Emission'!$J$2:$J$1121=$F139)*('GHG Emission'!$K$2:$K$1121=AI$1),0))+AJ139/$BI139*INDEX('GHG Emission'!$C$2:$C$1121,MATCH(1,('GHG Emission'!$D$2:$D$1121=$D139)*('GHG Emission'!$E$2:$E$1121=$C139)*('GHG Emission'!$F$2:$F$1121=$B139)*('GHG Emission'!$I$2:$I$1121=$E139)*('GHG Emission'!$J$2:$J$1121=$F139)*('GHG Emission'!$K$2:$K$1121=AJ$1),0))+AK139/$BI139*INDEX('GHG Emission'!$C$2:$C$1121,MATCH(1,('GHG Emission'!$D$2:$D$1121=$D139)*('GHG Emission'!$E$2:$E$1121=$C139)*('GHG Emission'!$F$2:$F$1121=$B139)*('GHG Emission'!$I$2:$I$1121=$E139)*('GHG Emission'!$J$2:$J$1121=$F139)*('GHG Emission'!$K$2:$K$1121=AK$1),0))+AL139/$BI139*INDEX('GHG Emission'!$C$2:$C$1121,MATCH(1,('GHG Emission'!$D$2:$D$1121=$D139)*('GHG Emission'!$E$2:$E$1121=$C139)*('GHG Emission'!$F$2:$F$1121=$B139)*('GHG Emission'!$I$2:$I$1121=$E139)*('GHG Emission'!$J$2:$J$1121=$F139)*('GHG Emission'!$K$2:$K$1121=AL$1),0))+AM139/$BI139*INDEX('GHG Emission'!$C$2:$C$1121,MATCH(1,('GHG Emission'!$D$2:$D$1121=$D139)*('GHG Emission'!$E$2:$E$1121=$C139)*('GHG Emission'!$F$2:$F$1121=$B139)*('GHG Emission'!$I$2:$I$1121=$E139)*('GHG Emission'!$J$2:$J$1121=$F139)*('GHG Emission'!$K$2:$K$1121=AM$1),0))</f>
        <v>36.72359955842191</v>
      </c>
      <c r="BM139" t="str">
        <f t="shared" si="23"/>
        <v>HEAVY/SOUR</v>
      </c>
    </row>
    <row r="140" spans="1:65" hidden="1" x14ac:dyDescent="0.25">
      <c r="A140">
        <v>139</v>
      </c>
      <c r="B140" t="s">
        <v>472</v>
      </c>
      <c r="C140">
        <v>2035</v>
      </c>
      <c r="D140">
        <v>3</v>
      </c>
      <c r="E140" t="s">
        <v>469</v>
      </c>
      <c r="F140" t="s">
        <v>467</v>
      </c>
      <c r="G140">
        <v>3183.1099711418956</v>
      </c>
      <c r="H140">
        <v>873.5420138934935</v>
      </c>
      <c r="I140">
        <v>2397.4657885687948</v>
      </c>
      <c r="J140">
        <v>1700.6793855468002</v>
      </c>
      <c r="K140">
        <v>227.03245314490249</v>
      </c>
      <c r="L140">
        <v>42.104798242288538</v>
      </c>
      <c r="M140">
        <v>0</v>
      </c>
      <c r="N140">
        <v>0</v>
      </c>
      <c r="O140">
        <v>0</v>
      </c>
      <c r="P140">
        <v>101.2831980294727</v>
      </c>
      <c r="Q140">
        <v>0</v>
      </c>
      <c r="R140">
        <v>0</v>
      </c>
      <c r="S140">
        <v>0</v>
      </c>
      <c r="T140">
        <v>12.728894991386792</v>
      </c>
      <c r="U140">
        <v>0</v>
      </c>
      <c r="V140">
        <v>0</v>
      </c>
      <c r="W140">
        <v>0</v>
      </c>
      <c r="X140">
        <f t="shared" si="16"/>
        <v>8537.9465035590347</v>
      </c>
      <c r="Y140">
        <f>X140*VLOOKUP($D140,'LinearReg Model'!$S$2:$T$6,2,FALSE)</f>
        <v>8581.1455108145146</v>
      </c>
      <c r="Z140">
        <f t="shared" si="17"/>
        <v>0.37281915151553352</v>
      </c>
      <c r="AA140">
        <f t="shared" si="18"/>
        <v>0.28080121930600216</v>
      </c>
      <c r="AB140">
        <f t="shared" si="19"/>
        <v>0.10231289380055947</v>
      </c>
      <c r="AC140">
        <v>36.614652924665549</v>
      </c>
      <c r="AD140">
        <v>1.0500146884775321</v>
      </c>
      <c r="AE140" s="2">
        <f>VLOOKUP($D140,'MultiReg Model'!$A$5:$F$9,2,FALSE)+AC140*VLOOKUP($D140,'MultiReg Model'!$A$5:$F$9,3,FALSE)+Z140*VLOOKUP($D140,'MultiReg Model'!$A$5:$F$9,4,FALSE)+AA140*VLOOKUP($D140,'MultiReg Model'!$A$5:$F$9,5,FALSE)+AB140*VLOOKUP($D140,'MultiReg Model'!$A$5:$F$9,6,FALSE)</f>
        <v>9.119675892082677</v>
      </c>
      <c r="AF140" cm="1">
        <f t="array" ref="AF140">MMULT($AG140:$AM140,'Avg CI Index'!$C$2:$C$8)/BI140</f>
        <v>9.1296760388028702</v>
      </c>
      <c r="AG140">
        <v>818.9013510241092</v>
      </c>
      <c r="AH140">
        <v>927.5088968347618</v>
      </c>
      <c r="AI140">
        <v>305.85522143619306</v>
      </c>
      <c r="AJ140">
        <v>1744.3924081867713</v>
      </c>
      <c r="AK140">
        <v>2037.140916158407</v>
      </c>
      <c r="AL140">
        <v>53.629860155475498</v>
      </c>
      <c r="AM140">
        <v>2607.9061610677609</v>
      </c>
      <c r="AN140" cm="1">
        <f t="array" ref="AN140">$Y140*INDEX(RefCapacity!$D$2:$D$526,MATCH(1,(RefCapacity!$A$2:$A$526=RefCapacityProj!$D140)*(RefCapacity!$B$2:$B$526=2019)*(RefCapacity!$C$2:$C$526=AG$1),0))/SUMIFS(RefCapacity!$D$2:$D$526,RefCapacity!$A$2:$A$526,RefCapacityProj!$D140,RefCapacity!$B$2:$B$526,2019)</f>
        <v>260.73721279183849</v>
      </c>
      <c r="AO140" cm="1">
        <f t="array" ref="AO140">$Y140*INDEX(RefCapacity!$D$2:$D$526,MATCH(1,(RefCapacity!$A$2:$A$526=RefCapacityProj!$D140)*(RefCapacity!$B$2:$B$526=2019)*(RefCapacity!$C$2:$C$526=AH$1),0))/SUMIFS(RefCapacity!$D$2:$D$526,RefCapacity!$A$2:$A$526,RefCapacityProj!$D140,RefCapacity!$B$2:$B$526,2019)</f>
        <v>605.85971774349946</v>
      </c>
      <c r="AP140" cm="1">
        <f t="array" ref="AP140">$Y140*INDEX(RefCapacity!$D$2:$D$526,MATCH(1,(RefCapacity!$A$2:$A$526=RefCapacityProj!$D140)*(RefCapacity!$B$2:$B$526=2019)*(RefCapacity!$C$2:$C$526=AI$1),0))/SUMIFS(RefCapacity!$D$2:$D$526,RefCapacity!$A$2:$A$526,RefCapacityProj!$D140,RefCapacity!$B$2:$B$526,2019)</f>
        <v>260.47921842023283</v>
      </c>
      <c r="AQ140" cm="1">
        <f t="array" ref="AQ140">$Y140*INDEX(RefCapacity!$D$2:$D$526,MATCH(1,(RefCapacity!$A$2:$A$526=RefCapacityProj!$D140)*(RefCapacity!$B$2:$B$526=2019)*(RefCapacity!$C$2:$C$526=AJ$1),0))/SUMIFS(RefCapacity!$D$2:$D$526,RefCapacity!$A$2:$A$526,RefCapacityProj!$D140,RefCapacity!$B$2:$B$526,2019)</f>
        <v>889.35414737543408</v>
      </c>
      <c r="AR140" cm="1">
        <f t="array" ref="AR140">$Y140*INDEX(RefCapacity!$D$2:$D$526,MATCH(1,(RefCapacity!$A$2:$A$526=RefCapacityProj!$D140)*(RefCapacity!$B$2:$B$526=2019)*(RefCapacity!$C$2:$C$526=AK$1),0))/SUMIFS(RefCapacity!$D$2:$D$526,RefCapacity!$A$2:$A$526,RefCapacityProj!$D140,RefCapacity!$B$2:$B$526,2019)</f>
        <v>1818.8250987452493</v>
      </c>
      <c r="AS140" cm="1">
        <f t="array" ref="AS140">$Y140*INDEX(RefCapacity!$D$2:$D$526,MATCH(1,(RefCapacity!$A$2:$A$526=RefCapacityProj!$D140)*(RefCapacity!$B$2:$B$526=2019)*(RefCapacity!$C$2:$C$526=AL$1),0))/SUMIFS(RefCapacity!$D$2:$D$526,RefCapacity!$A$2:$A$526,RefCapacityProj!$D140,RefCapacity!$B$2:$B$526,2019)</f>
        <v>33.460020890835864</v>
      </c>
      <c r="AT140" cm="1">
        <f t="array" ref="AT140">$Y140*INDEX(RefCapacity!$D$2:$D$526,MATCH(1,(RefCapacity!$A$2:$A$526=RefCapacityProj!$D140)*(RefCapacity!$B$2:$B$526=2019)*(RefCapacity!$C$2:$C$526=AM$1),0))/SUMIFS(RefCapacity!$D$2:$D$526,RefCapacity!$A$2:$A$526,RefCapacityProj!$D140,RefCapacity!$B$2:$B$526,2019)</f>
        <v>4712.4300948474238</v>
      </c>
      <c r="AU140" cm="1">
        <f t="array" ref="AU140">INDEX(RefCapacity!$D$2:$D$526,MATCH(1,(RefCapacity!$A$2:$A$526=RefCapacityProj!$D140)*(RefCapacity!$B$2:$B$526=2019)*(RefCapacity!$C$2:$C$526=RefCapacityProj!AG$1),0))*IF($C140=2035,1+VLOOKUP(AG$1,RefCapacity!$H$2:$L$8,2,FALSE),1+VLOOKUP(AG$1,RefCapacity!$H$2:$L$8,4,FALSE))</f>
        <v>818.90159671962101</v>
      </c>
      <c r="AV140" cm="1">
        <f t="array" ref="AV140">INDEX(RefCapacity!$D$2:$D$526,MATCH(1,(RefCapacity!$A$2:$A$526=RefCapacityProj!$D140)*(RefCapacity!$B$2:$B$526=2019)*(RefCapacity!$C$2:$C$526=RefCapacityProj!AH$1),0))*IF($C140=2035,1+VLOOKUP(AH$1,RefCapacity!$H$2:$L$8,2,FALSE),1+VLOOKUP(AH$1,RefCapacity!$H$2:$L$8,4,FALSE))</f>
        <v>927.50919366992355</v>
      </c>
      <c r="AW140" cm="1">
        <f t="array" ref="AW140">INDEX(RefCapacity!$D$2:$D$526,MATCH(1,(RefCapacity!$A$2:$A$526=RefCapacityProj!$D140)*(RefCapacity!$B$2:$B$526=2019)*(RefCapacity!$C$2:$C$526=RefCapacityProj!AI$1),0))*IF($C140=2035,1+VLOOKUP(AI$1,RefCapacity!$H$2:$L$8,2,FALSE),1+VLOOKUP(AI$1,RefCapacity!$H$2:$L$8,4,FALSE))</f>
        <v>305.85558861538459</v>
      </c>
      <c r="AX140" cm="1">
        <f t="array" ref="AX140">INDEX(RefCapacity!$D$2:$D$526,MATCH(1,(RefCapacity!$A$2:$A$526=RefCapacityProj!$D140)*(RefCapacity!$B$2:$B$526=2019)*(RefCapacity!$C$2:$C$526=RefCapacityProj!AJ$1),0))*IF($C140=2035,1+VLOOKUP(AJ$1,RefCapacity!$H$2:$L$8,2,FALSE),1+VLOOKUP(AJ$1,RefCapacity!$H$2:$L$8,4,FALSE))</f>
        <v>1933.836664979757</v>
      </c>
      <c r="AY140" cm="1">
        <f t="array" ref="AY140">INDEX(RefCapacity!$D$2:$D$526,MATCH(1,(RefCapacity!$A$2:$A$526=RefCapacityProj!$D140)*(RefCapacity!$B$2:$B$526=2019)*(RefCapacity!$C$2:$C$526=RefCapacityProj!AK$1),0))*IF($C140=2035,1+VLOOKUP(AK$1,RefCapacity!$H$2:$L$8,2,FALSE),1+VLOOKUP(AK$1,RefCapacity!$H$2:$L$8,4,FALSE))</f>
        <v>2564.7302317013236</v>
      </c>
      <c r="AZ140" cm="1">
        <f t="array" ref="AZ140">INDEX(RefCapacity!$D$2:$D$526,MATCH(1,(RefCapacity!$A$2:$A$526=RefCapacityProj!$D140)*(RefCapacity!$B$2:$B$526=2019)*(RefCapacity!$C$2:$C$526=RefCapacityProj!AL$1),0))*IF($C140=2035,1+VLOOKUP(AL$1,RefCapacity!$H$2:$L$8,2,FALSE),1+VLOOKUP(AL$1,RefCapacity!$H$2:$L$8,4,FALSE))</f>
        <v>53.6302514614692</v>
      </c>
      <c r="BA140" cm="1">
        <f t="array" ref="BA140">INDEX(RefCapacity!$D$2:$D$526,MATCH(1,(RefCapacity!$A$2:$A$526=RefCapacityProj!$D140)*(RefCapacity!$B$2:$B$526=2019)*(RefCapacity!$C$2:$C$526=RefCapacityProj!AM$1),0))*IF($C140=2035,1+VLOOKUP(AM$1,RefCapacity!$H$2:$L$8,2,FALSE),1+VLOOKUP(AM$1,RefCapacity!$H$2:$L$8,4,FALSE))</f>
        <v>5562.7734410987441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f t="shared" si="20"/>
        <v>8495.3348148634796</v>
      </c>
      <c r="BJ140">
        <f t="shared" si="21"/>
        <v>85.810695951035086</v>
      </c>
      <c r="BK140">
        <f t="shared" si="22"/>
        <v>1.0000146720193115E-2</v>
      </c>
      <c r="BL140" cm="1">
        <f t="array" ref="BL140">AG140/$BI140*INDEX('GHG Emission'!$C$2:$C$1121,MATCH(1,('GHG Emission'!$D$2:$D$1121=$D140)*('GHG Emission'!$E$2:$E$1121=$C140)*('GHG Emission'!$F$2:$F$1121=$B140)*('GHG Emission'!$I$2:$I$1121=$E140)*('GHG Emission'!$J$2:$J$1121=$F140)*('GHG Emission'!$K$2:$K$1121=AG$1),0))+AH140/$BI140*INDEX('GHG Emission'!$C$2:$C$1121,MATCH(1,('GHG Emission'!$D$2:$D$1121=$D140)*('GHG Emission'!$E$2:$E$1121=$C140)*('GHG Emission'!$F$2:$F$1121=$B140)*('GHG Emission'!$I$2:$I$1121=$E140)*('GHG Emission'!$J$2:$J$1121=$F140)*('GHG Emission'!$K$2:$K$1121=AH$1),0))+AI140/$BI140*INDEX('GHG Emission'!$C$2:$C$1121,MATCH(1,('GHG Emission'!$D$2:$D$1121=$D140)*('GHG Emission'!$E$2:$E$1121=$C140)*('GHG Emission'!$F$2:$F$1121=$B140)*('GHG Emission'!$I$2:$I$1121=$E140)*('GHG Emission'!$J$2:$J$1121=$F140)*('GHG Emission'!$K$2:$K$1121=AI$1),0))+AJ140/$BI140*INDEX('GHG Emission'!$C$2:$C$1121,MATCH(1,('GHG Emission'!$D$2:$D$1121=$D140)*('GHG Emission'!$E$2:$E$1121=$C140)*('GHG Emission'!$F$2:$F$1121=$B140)*('GHG Emission'!$I$2:$I$1121=$E140)*('GHG Emission'!$J$2:$J$1121=$F140)*('GHG Emission'!$K$2:$K$1121=AJ$1),0))+AK140/$BI140*INDEX('GHG Emission'!$C$2:$C$1121,MATCH(1,('GHG Emission'!$D$2:$D$1121=$D140)*('GHG Emission'!$E$2:$E$1121=$C140)*('GHG Emission'!$F$2:$F$1121=$B140)*('GHG Emission'!$I$2:$I$1121=$E140)*('GHG Emission'!$J$2:$J$1121=$F140)*('GHG Emission'!$K$2:$K$1121=AK$1),0))+AL140/$BI140*INDEX('GHG Emission'!$C$2:$C$1121,MATCH(1,('GHG Emission'!$D$2:$D$1121=$D140)*('GHG Emission'!$E$2:$E$1121=$C140)*('GHG Emission'!$F$2:$F$1121=$B140)*('GHG Emission'!$I$2:$I$1121=$E140)*('GHG Emission'!$J$2:$J$1121=$F140)*('GHG Emission'!$K$2:$K$1121=AL$1),0))+AM140/$BI140*INDEX('GHG Emission'!$C$2:$C$1121,MATCH(1,('GHG Emission'!$D$2:$D$1121=$D140)*('GHG Emission'!$E$2:$E$1121=$C140)*('GHG Emission'!$F$2:$F$1121=$B140)*('GHG Emission'!$I$2:$I$1121=$E140)*('GHG Emission'!$J$2:$J$1121=$F140)*('GHG Emission'!$K$2:$K$1121=AM$1),0))</f>
        <v>35.897182061403321</v>
      </c>
      <c r="BM140" t="str">
        <f t="shared" si="23"/>
        <v>LIGHT/SWEET</v>
      </c>
    </row>
    <row r="141" spans="1:65" hidden="1" x14ac:dyDescent="0.25">
      <c r="A141">
        <v>140</v>
      </c>
      <c r="B141" t="s">
        <v>472</v>
      </c>
      <c r="C141">
        <v>2035</v>
      </c>
      <c r="D141">
        <v>3</v>
      </c>
      <c r="E141" t="s">
        <v>469</v>
      </c>
      <c r="F141" t="s">
        <v>468</v>
      </c>
      <c r="G141">
        <v>3183.1099711418956</v>
      </c>
      <c r="H141">
        <v>873.5420138934935</v>
      </c>
      <c r="I141">
        <v>2397.4657885687948</v>
      </c>
      <c r="J141">
        <v>1700.6793855468002</v>
      </c>
      <c r="K141">
        <v>227.03245314490249</v>
      </c>
      <c r="L141">
        <v>42.104798242288538</v>
      </c>
      <c r="M141">
        <v>0</v>
      </c>
      <c r="N141">
        <v>0</v>
      </c>
      <c r="O141">
        <v>0</v>
      </c>
      <c r="P141">
        <v>101.2831980294727</v>
      </c>
      <c r="Q141">
        <v>0</v>
      </c>
      <c r="R141">
        <v>0</v>
      </c>
      <c r="S141">
        <v>0</v>
      </c>
      <c r="T141">
        <v>12.728894991386792</v>
      </c>
      <c r="U141">
        <v>0</v>
      </c>
      <c r="V141">
        <v>0</v>
      </c>
      <c r="W141">
        <v>0</v>
      </c>
      <c r="X141">
        <f t="shared" si="16"/>
        <v>8537.9465035590347</v>
      </c>
      <c r="Y141">
        <f>X141*VLOOKUP($D141,'LinearReg Model'!$S$2:$T$6,2,FALSE)</f>
        <v>8581.1455108145146</v>
      </c>
      <c r="Z141">
        <f t="shared" si="17"/>
        <v>0.37281915151553352</v>
      </c>
      <c r="AA141">
        <f t="shared" si="18"/>
        <v>0.28080121930600216</v>
      </c>
      <c r="AB141">
        <f t="shared" si="19"/>
        <v>0.10231289380055947</v>
      </c>
      <c r="AC141">
        <v>36.614652924665549</v>
      </c>
      <c r="AD141">
        <v>1.975455919496689</v>
      </c>
      <c r="AE141" s="2">
        <f>VLOOKUP($D141,'MultiReg Model'!$A$5:$F$9,2,FALSE)+AC141*VLOOKUP($D141,'MultiReg Model'!$A$5:$F$9,3,FALSE)+Z141*VLOOKUP($D141,'MultiReg Model'!$A$5:$F$9,4,FALSE)+AA141*VLOOKUP($D141,'MultiReg Model'!$A$5:$F$9,5,FALSE)+AB141*VLOOKUP($D141,'MultiReg Model'!$A$5:$F$9,6,FALSE)</f>
        <v>9.119675892082677</v>
      </c>
      <c r="AF141" cm="1">
        <f t="array" ref="AF141">MMULT($AG141:$AM141,'Avg CI Index'!$C$2:$C$8)/BI141</f>
        <v>9.1296760388028702</v>
      </c>
      <c r="AG141">
        <v>818.9013510241092</v>
      </c>
      <c r="AH141">
        <v>927.5088968347618</v>
      </c>
      <c r="AI141">
        <v>305.85522143619306</v>
      </c>
      <c r="AJ141">
        <v>1744.3924081867713</v>
      </c>
      <c r="AK141">
        <v>2037.140916158407</v>
      </c>
      <c r="AL141">
        <v>53.629860155475498</v>
      </c>
      <c r="AM141">
        <v>2607.9061610677609</v>
      </c>
      <c r="AN141" cm="1">
        <f t="array" ref="AN141">$Y141*INDEX(RefCapacity!$D$2:$D$526,MATCH(1,(RefCapacity!$A$2:$A$526=RefCapacityProj!$D141)*(RefCapacity!$B$2:$B$526=2019)*(RefCapacity!$C$2:$C$526=AG$1),0))/SUMIFS(RefCapacity!$D$2:$D$526,RefCapacity!$A$2:$A$526,RefCapacityProj!$D141,RefCapacity!$B$2:$B$526,2019)</f>
        <v>260.73721279183849</v>
      </c>
      <c r="AO141" cm="1">
        <f t="array" ref="AO141">$Y141*INDEX(RefCapacity!$D$2:$D$526,MATCH(1,(RefCapacity!$A$2:$A$526=RefCapacityProj!$D141)*(RefCapacity!$B$2:$B$526=2019)*(RefCapacity!$C$2:$C$526=AH$1),0))/SUMIFS(RefCapacity!$D$2:$D$526,RefCapacity!$A$2:$A$526,RefCapacityProj!$D141,RefCapacity!$B$2:$B$526,2019)</f>
        <v>605.85971774349946</v>
      </c>
      <c r="AP141" cm="1">
        <f t="array" ref="AP141">$Y141*INDEX(RefCapacity!$D$2:$D$526,MATCH(1,(RefCapacity!$A$2:$A$526=RefCapacityProj!$D141)*(RefCapacity!$B$2:$B$526=2019)*(RefCapacity!$C$2:$C$526=AI$1),0))/SUMIFS(RefCapacity!$D$2:$D$526,RefCapacity!$A$2:$A$526,RefCapacityProj!$D141,RefCapacity!$B$2:$B$526,2019)</f>
        <v>260.47921842023283</v>
      </c>
      <c r="AQ141" cm="1">
        <f t="array" ref="AQ141">$Y141*INDEX(RefCapacity!$D$2:$D$526,MATCH(1,(RefCapacity!$A$2:$A$526=RefCapacityProj!$D141)*(RefCapacity!$B$2:$B$526=2019)*(RefCapacity!$C$2:$C$526=AJ$1),0))/SUMIFS(RefCapacity!$D$2:$D$526,RefCapacity!$A$2:$A$526,RefCapacityProj!$D141,RefCapacity!$B$2:$B$526,2019)</f>
        <v>889.35414737543408</v>
      </c>
      <c r="AR141" cm="1">
        <f t="array" ref="AR141">$Y141*INDEX(RefCapacity!$D$2:$D$526,MATCH(1,(RefCapacity!$A$2:$A$526=RefCapacityProj!$D141)*(RefCapacity!$B$2:$B$526=2019)*(RefCapacity!$C$2:$C$526=AK$1),0))/SUMIFS(RefCapacity!$D$2:$D$526,RefCapacity!$A$2:$A$526,RefCapacityProj!$D141,RefCapacity!$B$2:$B$526,2019)</f>
        <v>1818.8250987452493</v>
      </c>
      <c r="AS141" cm="1">
        <f t="array" ref="AS141">$Y141*INDEX(RefCapacity!$D$2:$D$526,MATCH(1,(RefCapacity!$A$2:$A$526=RefCapacityProj!$D141)*(RefCapacity!$B$2:$B$526=2019)*(RefCapacity!$C$2:$C$526=AL$1),0))/SUMIFS(RefCapacity!$D$2:$D$526,RefCapacity!$A$2:$A$526,RefCapacityProj!$D141,RefCapacity!$B$2:$B$526,2019)</f>
        <v>33.460020890835864</v>
      </c>
      <c r="AT141" cm="1">
        <f t="array" ref="AT141">$Y141*INDEX(RefCapacity!$D$2:$D$526,MATCH(1,(RefCapacity!$A$2:$A$526=RefCapacityProj!$D141)*(RefCapacity!$B$2:$B$526=2019)*(RefCapacity!$C$2:$C$526=AM$1),0))/SUMIFS(RefCapacity!$D$2:$D$526,RefCapacity!$A$2:$A$526,RefCapacityProj!$D141,RefCapacity!$B$2:$B$526,2019)</f>
        <v>4712.4300948474238</v>
      </c>
      <c r="AU141" cm="1">
        <f t="array" ref="AU141">INDEX(RefCapacity!$D$2:$D$526,MATCH(1,(RefCapacity!$A$2:$A$526=RefCapacityProj!$D141)*(RefCapacity!$B$2:$B$526=2019)*(RefCapacity!$C$2:$C$526=RefCapacityProj!AG$1),0))*IF($C141=2035,1+VLOOKUP(AG$1,RefCapacity!$H$2:$L$8,2,FALSE),1+VLOOKUP(AG$1,RefCapacity!$H$2:$L$8,4,FALSE))</f>
        <v>818.90159671962101</v>
      </c>
      <c r="AV141" cm="1">
        <f t="array" ref="AV141">INDEX(RefCapacity!$D$2:$D$526,MATCH(1,(RefCapacity!$A$2:$A$526=RefCapacityProj!$D141)*(RefCapacity!$B$2:$B$526=2019)*(RefCapacity!$C$2:$C$526=RefCapacityProj!AH$1),0))*IF($C141=2035,1+VLOOKUP(AH$1,RefCapacity!$H$2:$L$8,2,FALSE),1+VLOOKUP(AH$1,RefCapacity!$H$2:$L$8,4,FALSE))</f>
        <v>927.50919366992355</v>
      </c>
      <c r="AW141" cm="1">
        <f t="array" ref="AW141">INDEX(RefCapacity!$D$2:$D$526,MATCH(1,(RefCapacity!$A$2:$A$526=RefCapacityProj!$D141)*(RefCapacity!$B$2:$B$526=2019)*(RefCapacity!$C$2:$C$526=RefCapacityProj!AI$1),0))*IF($C141=2035,1+VLOOKUP(AI$1,RefCapacity!$H$2:$L$8,2,FALSE),1+VLOOKUP(AI$1,RefCapacity!$H$2:$L$8,4,FALSE))</f>
        <v>305.85558861538459</v>
      </c>
      <c r="AX141" cm="1">
        <f t="array" ref="AX141">INDEX(RefCapacity!$D$2:$D$526,MATCH(1,(RefCapacity!$A$2:$A$526=RefCapacityProj!$D141)*(RefCapacity!$B$2:$B$526=2019)*(RefCapacity!$C$2:$C$526=RefCapacityProj!AJ$1),0))*IF($C141=2035,1+VLOOKUP(AJ$1,RefCapacity!$H$2:$L$8,2,FALSE),1+VLOOKUP(AJ$1,RefCapacity!$H$2:$L$8,4,FALSE))</f>
        <v>1933.836664979757</v>
      </c>
      <c r="AY141" cm="1">
        <f t="array" ref="AY141">INDEX(RefCapacity!$D$2:$D$526,MATCH(1,(RefCapacity!$A$2:$A$526=RefCapacityProj!$D141)*(RefCapacity!$B$2:$B$526=2019)*(RefCapacity!$C$2:$C$526=RefCapacityProj!AK$1),0))*IF($C141=2035,1+VLOOKUP(AK$1,RefCapacity!$H$2:$L$8,2,FALSE),1+VLOOKUP(AK$1,RefCapacity!$H$2:$L$8,4,FALSE))</f>
        <v>2564.7302317013236</v>
      </c>
      <c r="AZ141" cm="1">
        <f t="array" ref="AZ141">INDEX(RefCapacity!$D$2:$D$526,MATCH(1,(RefCapacity!$A$2:$A$526=RefCapacityProj!$D141)*(RefCapacity!$B$2:$B$526=2019)*(RefCapacity!$C$2:$C$526=RefCapacityProj!AL$1),0))*IF($C141=2035,1+VLOOKUP(AL$1,RefCapacity!$H$2:$L$8,2,FALSE),1+VLOOKUP(AL$1,RefCapacity!$H$2:$L$8,4,FALSE))</f>
        <v>53.6302514614692</v>
      </c>
      <c r="BA141" cm="1">
        <f t="array" ref="BA141">INDEX(RefCapacity!$D$2:$D$526,MATCH(1,(RefCapacity!$A$2:$A$526=RefCapacityProj!$D141)*(RefCapacity!$B$2:$B$526=2019)*(RefCapacity!$C$2:$C$526=RefCapacityProj!AM$1),0))*IF($C141=2035,1+VLOOKUP(AM$1,RefCapacity!$H$2:$L$8,2,FALSE),1+VLOOKUP(AM$1,RefCapacity!$H$2:$L$8,4,FALSE))</f>
        <v>5562.7734410987441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f t="shared" si="20"/>
        <v>8495.3348148634796</v>
      </c>
      <c r="BJ141">
        <f t="shared" si="21"/>
        <v>85.810695951035086</v>
      </c>
      <c r="BK141">
        <f t="shared" si="22"/>
        <v>1.0000146720193115E-2</v>
      </c>
      <c r="BL141" cm="1">
        <f t="array" ref="BL141">AG141/$BI141*INDEX('GHG Emission'!$C$2:$C$1121,MATCH(1,('GHG Emission'!$D$2:$D$1121=$D141)*('GHG Emission'!$E$2:$E$1121=$C141)*('GHG Emission'!$F$2:$F$1121=$B141)*('GHG Emission'!$I$2:$I$1121=$E141)*('GHG Emission'!$J$2:$J$1121=$F141)*('GHG Emission'!$K$2:$K$1121=AG$1),0))+AH141/$BI141*INDEX('GHG Emission'!$C$2:$C$1121,MATCH(1,('GHG Emission'!$D$2:$D$1121=$D141)*('GHG Emission'!$E$2:$E$1121=$C141)*('GHG Emission'!$F$2:$F$1121=$B141)*('GHG Emission'!$I$2:$I$1121=$E141)*('GHG Emission'!$J$2:$J$1121=$F141)*('GHG Emission'!$K$2:$K$1121=AH$1),0))+AI141/$BI141*INDEX('GHG Emission'!$C$2:$C$1121,MATCH(1,('GHG Emission'!$D$2:$D$1121=$D141)*('GHG Emission'!$E$2:$E$1121=$C141)*('GHG Emission'!$F$2:$F$1121=$B141)*('GHG Emission'!$I$2:$I$1121=$E141)*('GHG Emission'!$J$2:$J$1121=$F141)*('GHG Emission'!$K$2:$K$1121=AI$1),0))+AJ141/$BI141*INDEX('GHG Emission'!$C$2:$C$1121,MATCH(1,('GHG Emission'!$D$2:$D$1121=$D141)*('GHG Emission'!$E$2:$E$1121=$C141)*('GHG Emission'!$F$2:$F$1121=$B141)*('GHG Emission'!$I$2:$I$1121=$E141)*('GHG Emission'!$J$2:$J$1121=$F141)*('GHG Emission'!$K$2:$K$1121=AJ$1),0))+AK141/$BI141*INDEX('GHG Emission'!$C$2:$C$1121,MATCH(1,('GHG Emission'!$D$2:$D$1121=$D141)*('GHG Emission'!$E$2:$E$1121=$C141)*('GHG Emission'!$F$2:$F$1121=$B141)*('GHG Emission'!$I$2:$I$1121=$E141)*('GHG Emission'!$J$2:$J$1121=$F141)*('GHG Emission'!$K$2:$K$1121=AK$1),0))+AL141/$BI141*INDEX('GHG Emission'!$C$2:$C$1121,MATCH(1,('GHG Emission'!$D$2:$D$1121=$D141)*('GHG Emission'!$E$2:$E$1121=$C141)*('GHG Emission'!$F$2:$F$1121=$B141)*('GHG Emission'!$I$2:$I$1121=$E141)*('GHG Emission'!$J$2:$J$1121=$F141)*('GHG Emission'!$K$2:$K$1121=AL$1),0))+AM141/$BI141*INDEX('GHG Emission'!$C$2:$C$1121,MATCH(1,('GHG Emission'!$D$2:$D$1121=$D141)*('GHG Emission'!$E$2:$E$1121=$C141)*('GHG Emission'!$F$2:$F$1121=$B141)*('GHG Emission'!$I$2:$I$1121=$E141)*('GHG Emission'!$J$2:$J$1121=$F141)*('GHG Emission'!$K$2:$K$1121=AM$1),0))</f>
        <v>35.81686004853541</v>
      </c>
      <c r="BM141" t="str">
        <f t="shared" si="23"/>
        <v>LIGHT/SOUR</v>
      </c>
    </row>
    <row r="142" spans="1:65" hidden="1" x14ac:dyDescent="0.25">
      <c r="A142">
        <v>141</v>
      </c>
      <c r="B142" t="s">
        <v>472</v>
      </c>
      <c r="C142">
        <v>2050</v>
      </c>
      <c r="D142">
        <v>3</v>
      </c>
      <c r="E142" t="s">
        <v>466</v>
      </c>
      <c r="F142" t="s">
        <v>467</v>
      </c>
      <c r="G142">
        <v>3001.470395855767</v>
      </c>
      <c r="H142">
        <v>1077.1561660460204</v>
      </c>
      <c r="I142">
        <v>2542.3070187512535</v>
      </c>
      <c r="J142">
        <v>1803.4247492233335</v>
      </c>
      <c r="K142">
        <v>269.32588574164436</v>
      </c>
      <c r="L142">
        <v>49.948418930838677</v>
      </c>
      <c r="M142">
        <v>0</v>
      </c>
      <c r="N142">
        <v>0</v>
      </c>
      <c r="O142">
        <v>0</v>
      </c>
      <c r="P142">
        <v>124.2815058048555</v>
      </c>
      <c r="Q142">
        <v>0</v>
      </c>
      <c r="R142">
        <v>0</v>
      </c>
      <c r="S142">
        <v>0</v>
      </c>
      <c r="T142">
        <v>12.969949555427933</v>
      </c>
      <c r="U142">
        <v>0</v>
      </c>
      <c r="V142">
        <v>0</v>
      </c>
      <c r="W142">
        <v>0</v>
      </c>
      <c r="X142">
        <f t="shared" si="16"/>
        <v>8880.8840899091429</v>
      </c>
      <c r="Y142">
        <f>X142*VLOOKUP($D142,'LinearReg Model'!$S$2:$T$6,2,FALSE)</f>
        <v>8925.8182407702589</v>
      </c>
      <c r="Z142">
        <f t="shared" si="17"/>
        <v>0.3379697747959769</v>
      </c>
      <c r="AA142">
        <f t="shared" si="18"/>
        <v>0.28626733476230554</v>
      </c>
      <c r="AB142">
        <f t="shared" si="19"/>
        <v>0.12128929452754972</v>
      </c>
      <c r="AC142">
        <v>28.267512206646213</v>
      </c>
      <c r="AD142">
        <v>1.0693086579627853</v>
      </c>
      <c r="AE142" s="2">
        <f>VLOOKUP($D142,'MultiReg Model'!$A$5:$F$9,2,FALSE)+AC142*VLOOKUP($D142,'MultiReg Model'!$A$5:$F$9,3,FALSE)+Z142*VLOOKUP($D142,'MultiReg Model'!$A$5:$F$9,4,FALSE)+AA142*VLOOKUP($D142,'MultiReg Model'!$A$5:$F$9,5,FALSE)+AB142*VLOOKUP($D142,'MultiReg Model'!$A$5:$F$9,6,FALSE)</f>
        <v>9.647562657439277</v>
      </c>
      <c r="AF142" cm="1">
        <f t="array" ref="AF142">MMULT($AG142:$AM142,'Avg CI Index'!$C$2:$C$8)/BI142</f>
        <v>9.6575624010437533</v>
      </c>
      <c r="AG142">
        <v>684.90764536492156</v>
      </c>
      <c r="AH142">
        <v>709.02078852593843</v>
      </c>
      <c r="AI142">
        <v>315.44720364417634</v>
      </c>
      <c r="AJ142">
        <v>832.89746652572751</v>
      </c>
      <c r="AK142">
        <v>1775.4925923068965</v>
      </c>
      <c r="AL142">
        <v>3.6931062777274787E-2</v>
      </c>
      <c r="AM142">
        <v>4697.2649911185863</v>
      </c>
      <c r="AN142" cm="1">
        <f t="array" ref="AN142">$Y142*INDEX(RefCapacity!$D$2:$D$526,MATCH(1,(RefCapacity!$A$2:$A$526=RefCapacityProj!$D142)*(RefCapacity!$B$2:$B$526=2019)*(RefCapacity!$C$2:$C$526=AG$1),0))/SUMIFS(RefCapacity!$D$2:$D$526,RefCapacity!$A$2:$A$526,RefCapacityProj!$D142,RefCapacity!$B$2:$B$526,2019)</f>
        <v>271.21005780078934</v>
      </c>
      <c r="AO142" cm="1">
        <f t="array" ref="AO142">$Y142*INDEX(RefCapacity!$D$2:$D$526,MATCH(1,(RefCapacity!$A$2:$A$526=RefCapacityProj!$D142)*(RefCapacity!$B$2:$B$526=2019)*(RefCapacity!$C$2:$C$526=AH$1),0))/SUMIFS(RefCapacity!$D$2:$D$526,RefCapacity!$A$2:$A$526,RefCapacityProj!$D142,RefCapacity!$B$2:$B$526,2019)</f>
        <v>630.19485139455992</v>
      </c>
      <c r="AP142" cm="1">
        <f t="array" ref="AP142">$Y142*INDEX(RefCapacity!$D$2:$D$526,MATCH(1,(RefCapacity!$A$2:$A$526=RefCapacityProj!$D142)*(RefCapacity!$B$2:$B$526=2019)*(RefCapacity!$C$2:$C$526=AI$1),0))/SUMIFS(RefCapacity!$D$2:$D$526,RefCapacity!$A$2:$A$526,RefCapacityProj!$D142,RefCapacity!$B$2:$B$526,2019)</f>
        <v>270.94170075391349</v>
      </c>
      <c r="AQ142" cm="1">
        <f t="array" ref="AQ142">$Y142*INDEX(RefCapacity!$D$2:$D$526,MATCH(1,(RefCapacity!$A$2:$A$526=RefCapacityProj!$D142)*(RefCapacity!$B$2:$B$526=2019)*(RefCapacity!$C$2:$C$526=AJ$1),0))/SUMIFS(RefCapacity!$D$2:$D$526,RefCapacity!$A$2:$A$526,RefCapacityProj!$D142,RefCapacity!$B$2:$B$526,2019)</f>
        <v>925.07619887625503</v>
      </c>
      <c r="AR142" cm="1">
        <f t="array" ref="AR142">$Y142*INDEX(RefCapacity!$D$2:$D$526,MATCH(1,(RefCapacity!$A$2:$A$526=RefCapacityProj!$D142)*(RefCapacity!$B$2:$B$526=2019)*(RefCapacity!$C$2:$C$526=AK$1),0))/SUMIFS(RefCapacity!$D$2:$D$526,RefCapacity!$A$2:$A$526,RefCapacityProj!$D142,RefCapacity!$B$2:$B$526,2019)</f>
        <v>1891.8805447001621</v>
      </c>
      <c r="AS142" cm="1">
        <f t="array" ref="AS142">$Y142*INDEX(RefCapacity!$D$2:$D$526,MATCH(1,(RefCapacity!$A$2:$A$526=RefCapacityProj!$D142)*(RefCapacity!$B$2:$B$526=2019)*(RefCapacity!$C$2:$C$526=AL$1),0))/SUMIFS(RefCapacity!$D$2:$D$526,RefCapacity!$A$2:$A$526,RefCapacityProj!$D142,RefCapacity!$B$2:$B$526,2019)</f>
        <v>34.803985601641237</v>
      </c>
      <c r="AT142" cm="1">
        <f t="array" ref="AT142">$Y142*INDEX(RefCapacity!$D$2:$D$526,MATCH(1,(RefCapacity!$A$2:$A$526=RefCapacityProj!$D142)*(RefCapacity!$B$2:$B$526=2019)*(RefCapacity!$C$2:$C$526=AM$1),0))/SUMIFS(RefCapacity!$D$2:$D$526,RefCapacity!$A$2:$A$526,RefCapacityProj!$D142,RefCapacity!$B$2:$B$526,2019)</f>
        <v>4901.7109016429367</v>
      </c>
      <c r="AU142" cm="1">
        <f t="array" ref="AU142">INDEX(RefCapacity!$D$2:$D$526,MATCH(1,(RefCapacity!$A$2:$A$526=RefCapacityProj!$D142)*(RefCapacity!$B$2:$B$526=2019)*(RefCapacity!$C$2:$C$526=RefCapacityProj!AG$1),0))*IF($C142=2035,1+VLOOKUP(AG$1,RefCapacity!$H$2:$L$8,2,FALSE),1+VLOOKUP(AG$1,RefCapacity!$H$2:$L$8,4,FALSE))</f>
        <v>1341.688193439242</v>
      </c>
      <c r="AV142" cm="1">
        <f t="array" ref="AV142">INDEX(RefCapacity!$D$2:$D$526,MATCH(1,(RefCapacity!$A$2:$A$526=RefCapacityProj!$D142)*(RefCapacity!$B$2:$B$526=2019)*(RefCapacity!$C$2:$C$526=RefCapacityProj!AH$1),0))*IF($C142=2035,1+VLOOKUP(AH$1,RefCapacity!$H$2:$L$8,2,FALSE),1+VLOOKUP(AH$1,RefCapacity!$H$2:$L$8,4,FALSE))</f>
        <v>1166.9533873398473</v>
      </c>
      <c r="AW142" cm="1">
        <f t="array" ref="AW142">INDEX(RefCapacity!$D$2:$D$526,MATCH(1,(RefCapacity!$A$2:$A$526=RefCapacityProj!$D142)*(RefCapacity!$B$2:$B$526=2019)*(RefCapacity!$C$2:$C$526=RefCapacityProj!AI$1),0))*IF($C142=2035,1+VLOOKUP(AI$1,RefCapacity!$H$2:$L$8,2,FALSE),1+VLOOKUP(AI$1,RefCapacity!$H$2:$L$8,4,FALSE))</f>
        <v>315.88917723076923</v>
      </c>
      <c r="AX142" cm="1">
        <f t="array" ref="AX142">INDEX(RefCapacity!$D$2:$D$526,MATCH(1,(RefCapacity!$A$2:$A$526=RefCapacityProj!$D142)*(RefCapacity!$B$2:$B$526=2019)*(RefCapacity!$C$2:$C$526=RefCapacityProj!AJ$1),0))*IF($C142=2035,1+VLOOKUP(AJ$1,RefCapacity!$H$2:$L$8,2,FALSE),1+VLOOKUP(AJ$1,RefCapacity!$H$2:$L$8,4,FALSE))</f>
        <v>2857.6483299595143</v>
      </c>
      <c r="AY142" cm="1">
        <f t="array" ref="AY142">INDEX(RefCapacity!$D$2:$D$526,MATCH(1,(RefCapacity!$A$2:$A$526=RefCapacityProj!$D142)*(RefCapacity!$B$2:$B$526=2019)*(RefCapacity!$C$2:$C$526=RefCapacityProj!AK$1),0))*IF($C142=2035,1+VLOOKUP(AK$1,RefCapacity!$H$2:$L$8,2,FALSE),1+VLOOKUP(AK$1,RefCapacity!$H$2:$L$8,4,FALSE))</f>
        <v>3063.8504634026467</v>
      </c>
      <c r="AZ142" cm="1">
        <f t="array" ref="AZ142">INDEX(RefCapacity!$D$2:$D$526,MATCH(1,(RefCapacity!$A$2:$A$526=RefCapacityProj!$D142)*(RefCapacity!$B$2:$B$526=2019)*(RefCapacity!$C$2:$C$526=RefCapacityProj!AL$1),0))*IF($C142=2035,1+VLOOKUP(AL$1,RefCapacity!$H$2:$L$8,2,FALSE),1+VLOOKUP(AL$1,RefCapacity!$H$2:$L$8,4,FALSE))</f>
        <v>69.2605029229384</v>
      </c>
      <c r="BA142" cm="1">
        <f t="array" ref="BA142">INDEX(RefCapacity!$D$2:$D$526,MATCH(1,(RefCapacity!$A$2:$A$526=RefCapacityProj!$D142)*(RefCapacity!$B$2:$B$526=2019)*(RefCapacity!$C$2:$C$526=RefCapacityProj!AM$1),0))*IF($C142=2035,1+VLOOKUP(AM$1,RefCapacity!$H$2:$L$8,2,FALSE),1+VLOOKUP(AM$1,RefCapacity!$H$2:$L$8,4,FALSE))</f>
        <v>5773.7168821974883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f t="shared" si="20"/>
        <v>9015.0676185490247</v>
      </c>
      <c r="BJ142">
        <f t="shared" si="21"/>
        <v>89.249377778765847</v>
      </c>
      <c r="BK142">
        <f t="shared" si="22"/>
        <v>9.9997436044763077E-3</v>
      </c>
      <c r="BL142" cm="1">
        <f t="array" ref="BL142">AG142/$BI142*INDEX('GHG Emission'!$C$2:$C$1121,MATCH(1,('GHG Emission'!$D$2:$D$1121=$D142)*('GHG Emission'!$E$2:$E$1121=$C142)*('GHG Emission'!$F$2:$F$1121=$B142)*('GHG Emission'!$I$2:$I$1121=$E142)*('GHG Emission'!$J$2:$J$1121=$F142)*('GHG Emission'!$K$2:$K$1121=AG$1),0))+AH142/$BI142*INDEX('GHG Emission'!$C$2:$C$1121,MATCH(1,('GHG Emission'!$D$2:$D$1121=$D142)*('GHG Emission'!$E$2:$E$1121=$C142)*('GHG Emission'!$F$2:$F$1121=$B142)*('GHG Emission'!$I$2:$I$1121=$E142)*('GHG Emission'!$J$2:$J$1121=$F142)*('GHG Emission'!$K$2:$K$1121=AH$1),0))+AI142/$BI142*INDEX('GHG Emission'!$C$2:$C$1121,MATCH(1,('GHG Emission'!$D$2:$D$1121=$D142)*('GHG Emission'!$E$2:$E$1121=$C142)*('GHG Emission'!$F$2:$F$1121=$B142)*('GHG Emission'!$I$2:$I$1121=$E142)*('GHG Emission'!$J$2:$J$1121=$F142)*('GHG Emission'!$K$2:$K$1121=AI$1),0))+AJ142/$BI142*INDEX('GHG Emission'!$C$2:$C$1121,MATCH(1,('GHG Emission'!$D$2:$D$1121=$D142)*('GHG Emission'!$E$2:$E$1121=$C142)*('GHG Emission'!$F$2:$F$1121=$B142)*('GHG Emission'!$I$2:$I$1121=$E142)*('GHG Emission'!$J$2:$J$1121=$F142)*('GHG Emission'!$K$2:$K$1121=AJ$1),0))+AK142/$BI142*INDEX('GHG Emission'!$C$2:$C$1121,MATCH(1,('GHG Emission'!$D$2:$D$1121=$D142)*('GHG Emission'!$E$2:$E$1121=$C142)*('GHG Emission'!$F$2:$F$1121=$B142)*('GHG Emission'!$I$2:$I$1121=$E142)*('GHG Emission'!$J$2:$J$1121=$F142)*('GHG Emission'!$K$2:$K$1121=AK$1),0))+AL142/$BI142*INDEX('GHG Emission'!$C$2:$C$1121,MATCH(1,('GHG Emission'!$D$2:$D$1121=$D142)*('GHG Emission'!$E$2:$E$1121=$C142)*('GHG Emission'!$F$2:$F$1121=$B142)*('GHG Emission'!$I$2:$I$1121=$E142)*('GHG Emission'!$J$2:$J$1121=$F142)*('GHG Emission'!$K$2:$K$1121=AL$1),0))+AM142/$BI142*INDEX('GHG Emission'!$C$2:$C$1121,MATCH(1,('GHG Emission'!$D$2:$D$1121=$D142)*('GHG Emission'!$E$2:$E$1121=$C142)*('GHG Emission'!$F$2:$F$1121=$B142)*('GHG Emission'!$I$2:$I$1121=$E142)*('GHG Emission'!$J$2:$J$1121=$F142)*('GHG Emission'!$K$2:$K$1121=AM$1),0))</f>
        <v>36.117112431818043</v>
      </c>
      <c r="BM142" t="str">
        <f t="shared" si="23"/>
        <v>HEAVY/SWEET</v>
      </c>
    </row>
    <row r="143" spans="1:65" hidden="1" x14ac:dyDescent="0.25">
      <c r="A143">
        <v>142</v>
      </c>
      <c r="B143" t="s">
        <v>472</v>
      </c>
      <c r="C143">
        <v>2050</v>
      </c>
      <c r="D143">
        <v>3</v>
      </c>
      <c r="E143" t="s">
        <v>466</v>
      </c>
      <c r="F143" t="s">
        <v>468</v>
      </c>
      <c r="G143">
        <v>3001.470395855767</v>
      </c>
      <c r="H143">
        <v>1077.1561660460204</v>
      </c>
      <c r="I143">
        <v>2542.3070187512535</v>
      </c>
      <c r="J143">
        <v>1803.4247492233335</v>
      </c>
      <c r="K143">
        <v>269.32588574164436</v>
      </c>
      <c r="L143">
        <v>49.948418930838677</v>
      </c>
      <c r="M143">
        <v>0</v>
      </c>
      <c r="N143">
        <v>0</v>
      </c>
      <c r="O143">
        <v>0</v>
      </c>
      <c r="P143">
        <v>124.2815058048555</v>
      </c>
      <c r="Q143">
        <v>0</v>
      </c>
      <c r="R143">
        <v>0</v>
      </c>
      <c r="S143">
        <v>0</v>
      </c>
      <c r="T143">
        <v>12.969949555427933</v>
      </c>
      <c r="U143">
        <v>0</v>
      </c>
      <c r="V143">
        <v>0</v>
      </c>
      <c r="W143">
        <v>0</v>
      </c>
      <c r="X143">
        <f t="shared" si="16"/>
        <v>8880.8840899091429</v>
      </c>
      <c r="Y143">
        <f>X143*VLOOKUP($D143,'LinearReg Model'!$S$2:$T$6,2,FALSE)</f>
        <v>8925.8182407702589</v>
      </c>
      <c r="Z143">
        <f t="shared" si="17"/>
        <v>0.3379697747959769</v>
      </c>
      <c r="AA143">
        <f t="shared" si="18"/>
        <v>0.28626733476230554</v>
      </c>
      <c r="AB143">
        <f t="shared" si="19"/>
        <v>0.12128929452754972</v>
      </c>
      <c r="AC143">
        <v>28.267512206646213</v>
      </c>
      <c r="AD143">
        <v>2.673413137685352</v>
      </c>
      <c r="AE143" s="2">
        <f>VLOOKUP($D143,'MultiReg Model'!$A$5:$F$9,2,FALSE)+AC143*VLOOKUP($D143,'MultiReg Model'!$A$5:$F$9,3,FALSE)+Z143*VLOOKUP($D143,'MultiReg Model'!$A$5:$F$9,4,FALSE)+AA143*VLOOKUP($D143,'MultiReg Model'!$A$5:$F$9,5,FALSE)+AB143*VLOOKUP($D143,'MultiReg Model'!$A$5:$F$9,6,FALSE)</f>
        <v>9.647562657439277</v>
      </c>
      <c r="AF143" cm="1">
        <f t="array" ref="AF143">MMULT($AG143:$AM143,'Avg CI Index'!$C$2:$C$8)/BI143</f>
        <v>9.6575624010437533</v>
      </c>
      <c r="AG143">
        <v>684.90764536492156</v>
      </c>
      <c r="AH143">
        <v>709.02078852593843</v>
      </c>
      <c r="AI143">
        <v>315.44720364417634</v>
      </c>
      <c r="AJ143">
        <v>832.89746652572751</v>
      </c>
      <c r="AK143">
        <v>1775.4925923068965</v>
      </c>
      <c r="AL143">
        <v>3.6931062777274787E-2</v>
      </c>
      <c r="AM143">
        <v>4697.2649911185863</v>
      </c>
      <c r="AN143" cm="1">
        <f t="array" ref="AN143">$Y143*INDEX(RefCapacity!$D$2:$D$526,MATCH(1,(RefCapacity!$A$2:$A$526=RefCapacityProj!$D143)*(RefCapacity!$B$2:$B$526=2019)*(RefCapacity!$C$2:$C$526=AG$1),0))/SUMIFS(RefCapacity!$D$2:$D$526,RefCapacity!$A$2:$A$526,RefCapacityProj!$D143,RefCapacity!$B$2:$B$526,2019)</f>
        <v>271.21005780078934</v>
      </c>
      <c r="AO143" cm="1">
        <f t="array" ref="AO143">$Y143*INDEX(RefCapacity!$D$2:$D$526,MATCH(1,(RefCapacity!$A$2:$A$526=RefCapacityProj!$D143)*(RefCapacity!$B$2:$B$526=2019)*(RefCapacity!$C$2:$C$526=AH$1),0))/SUMIFS(RefCapacity!$D$2:$D$526,RefCapacity!$A$2:$A$526,RefCapacityProj!$D143,RefCapacity!$B$2:$B$526,2019)</f>
        <v>630.19485139455992</v>
      </c>
      <c r="AP143" cm="1">
        <f t="array" ref="AP143">$Y143*INDEX(RefCapacity!$D$2:$D$526,MATCH(1,(RefCapacity!$A$2:$A$526=RefCapacityProj!$D143)*(RefCapacity!$B$2:$B$526=2019)*(RefCapacity!$C$2:$C$526=AI$1),0))/SUMIFS(RefCapacity!$D$2:$D$526,RefCapacity!$A$2:$A$526,RefCapacityProj!$D143,RefCapacity!$B$2:$B$526,2019)</f>
        <v>270.94170075391349</v>
      </c>
      <c r="AQ143" cm="1">
        <f t="array" ref="AQ143">$Y143*INDEX(RefCapacity!$D$2:$D$526,MATCH(1,(RefCapacity!$A$2:$A$526=RefCapacityProj!$D143)*(RefCapacity!$B$2:$B$526=2019)*(RefCapacity!$C$2:$C$526=AJ$1),0))/SUMIFS(RefCapacity!$D$2:$D$526,RefCapacity!$A$2:$A$526,RefCapacityProj!$D143,RefCapacity!$B$2:$B$526,2019)</f>
        <v>925.07619887625503</v>
      </c>
      <c r="AR143" cm="1">
        <f t="array" ref="AR143">$Y143*INDEX(RefCapacity!$D$2:$D$526,MATCH(1,(RefCapacity!$A$2:$A$526=RefCapacityProj!$D143)*(RefCapacity!$B$2:$B$526=2019)*(RefCapacity!$C$2:$C$526=AK$1),0))/SUMIFS(RefCapacity!$D$2:$D$526,RefCapacity!$A$2:$A$526,RefCapacityProj!$D143,RefCapacity!$B$2:$B$526,2019)</f>
        <v>1891.8805447001621</v>
      </c>
      <c r="AS143" cm="1">
        <f t="array" ref="AS143">$Y143*INDEX(RefCapacity!$D$2:$D$526,MATCH(1,(RefCapacity!$A$2:$A$526=RefCapacityProj!$D143)*(RefCapacity!$B$2:$B$526=2019)*(RefCapacity!$C$2:$C$526=AL$1),0))/SUMIFS(RefCapacity!$D$2:$D$526,RefCapacity!$A$2:$A$526,RefCapacityProj!$D143,RefCapacity!$B$2:$B$526,2019)</f>
        <v>34.803985601641237</v>
      </c>
      <c r="AT143" cm="1">
        <f t="array" ref="AT143">$Y143*INDEX(RefCapacity!$D$2:$D$526,MATCH(1,(RefCapacity!$A$2:$A$526=RefCapacityProj!$D143)*(RefCapacity!$B$2:$B$526=2019)*(RefCapacity!$C$2:$C$526=AM$1),0))/SUMIFS(RefCapacity!$D$2:$D$526,RefCapacity!$A$2:$A$526,RefCapacityProj!$D143,RefCapacity!$B$2:$B$526,2019)</f>
        <v>4901.7109016429367</v>
      </c>
      <c r="AU143" cm="1">
        <f t="array" ref="AU143">INDEX(RefCapacity!$D$2:$D$526,MATCH(1,(RefCapacity!$A$2:$A$526=RefCapacityProj!$D143)*(RefCapacity!$B$2:$B$526=2019)*(RefCapacity!$C$2:$C$526=RefCapacityProj!AG$1),0))*IF($C143=2035,1+VLOOKUP(AG$1,RefCapacity!$H$2:$L$8,2,FALSE),1+VLOOKUP(AG$1,RefCapacity!$H$2:$L$8,4,FALSE))</f>
        <v>1341.688193439242</v>
      </c>
      <c r="AV143" cm="1">
        <f t="array" ref="AV143">INDEX(RefCapacity!$D$2:$D$526,MATCH(1,(RefCapacity!$A$2:$A$526=RefCapacityProj!$D143)*(RefCapacity!$B$2:$B$526=2019)*(RefCapacity!$C$2:$C$526=RefCapacityProj!AH$1),0))*IF($C143=2035,1+VLOOKUP(AH$1,RefCapacity!$H$2:$L$8,2,FALSE),1+VLOOKUP(AH$1,RefCapacity!$H$2:$L$8,4,FALSE))</f>
        <v>1166.9533873398473</v>
      </c>
      <c r="AW143" cm="1">
        <f t="array" ref="AW143">INDEX(RefCapacity!$D$2:$D$526,MATCH(1,(RefCapacity!$A$2:$A$526=RefCapacityProj!$D143)*(RefCapacity!$B$2:$B$526=2019)*(RefCapacity!$C$2:$C$526=RefCapacityProj!AI$1),0))*IF($C143=2035,1+VLOOKUP(AI$1,RefCapacity!$H$2:$L$8,2,FALSE),1+VLOOKUP(AI$1,RefCapacity!$H$2:$L$8,4,FALSE))</f>
        <v>315.88917723076923</v>
      </c>
      <c r="AX143" cm="1">
        <f t="array" ref="AX143">INDEX(RefCapacity!$D$2:$D$526,MATCH(1,(RefCapacity!$A$2:$A$526=RefCapacityProj!$D143)*(RefCapacity!$B$2:$B$526=2019)*(RefCapacity!$C$2:$C$526=RefCapacityProj!AJ$1),0))*IF($C143=2035,1+VLOOKUP(AJ$1,RefCapacity!$H$2:$L$8,2,FALSE),1+VLOOKUP(AJ$1,RefCapacity!$H$2:$L$8,4,FALSE))</f>
        <v>2857.6483299595143</v>
      </c>
      <c r="AY143" cm="1">
        <f t="array" ref="AY143">INDEX(RefCapacity!$D$2:$D$526,MATCH(1,(RefCapacity!$A$2:$A$526=RefCapacityProj!$D143)*(RefCapacity!$B$2:$B$526=2019)*(RefCapacity!$C$2:$C$526=RefCapacityProj!AK$1),0))*IF($C143=2035,1+VLOOKUP(AK$1,RefCapacity!$H$2:$L$8,2,FALSE),1+VLOOKUP(AK$1,RefCapacity!$H$2:$L$8,4,FALSE))</f>
        <v>3063.8504634026467</v>
      </c>
      <c r="AZ143" cm="1">
        <f t="array" ref="AZ143">INDEX(RefCapacity!$D$2:$D$526,MATCH(1,(RefCapacity!$A$2:$A$526=RefCapacityProj!$D143)*(RefCapacity!$B$2:$B$526=2019)*(RefCapacity!$C$2:$C$526=RefCapacityProj!AL$1),0))*IF($C143=2035,1+VLOOKUP(AL$1,RefCapacity!$H$2:$L$8,2,FALSE),1+VLOOKUP(AL$1,RefCapacity!$H$2:$L$8,4,FALSE))</f>
        <v>69.2605029229384</v>
      </c>
      <c r="BA143" cm="1">
        <f t="array" ref="BA143">INDEX(RefCapacity!$D$2:$D$526,MATCH(1,(RefCapacity!$A$2:$A$526=RefCapacityProj!$D143)*(RefCapacity!$B$2:$B$526=2019)*(RefCapacity!$C$2:$C$526=RefCapacityProj!AM$1),0))*IF($C143=2035,1+VLOOKUP(AM$1,RefCapacity!$H$2:$L$8,2,FALSE),1+VLOOKUP(AM$1,RefCapacity!$H$2:$L$8,4,FALSE))</f>
        <v>5773.7168821974883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f t="shared" si="20"/>
        <v>9015.0676185490247</v>
      </c>
      <c r="BJ143">
        <f t="shared" si="21"/>
        <v>89.249377778765847</v>
      </c>
      <c r="BK143">
        <f t="shared" si="22"/>
        <v>9.9997436044763077E-3</v>
      </c>
      <c r="BL143" cm="1">
        <f t="array" ref="BL143">AG143/$BI143*INDEX('GHG Emission'!$C$2:$C$1121,MATCH(1,('GHG Emission'!$D$2:$D$1121=$D143)*('GHG Emission'!$E$2:$E$1121=$C143)*('GHG Emission'!$F$2:$F$1121=$B143)*('GHG Emission'!$I$2:$I$1121=$E143)*('GHG Emission'!$J$2:$J$1121=$F143)*('GHG Emission'!$K$2:$K$1121=AG$1),0))+AH143/$BI143*INDEX('GHG Emission'!$C$2:$C$1121,MATCH(1,('GHG Emission'!$D$2:$D$1121=$D143)*('GHG Emission'!$E$2:$E$1121=$C143)*('GHG Emission'!$F$2:$F$1121=$B143)*('GHG Emission'!$I$2:$I$1121=$E143)*('GHG Emission'!$J$2:$J$1121=$F143)*('GHG Emission'!$K$2:$K$1121=AH$1),0))+AI143/$BI143*INDEX('GHG Emission'!$C$2:$C$1121,MATCH(1,('GHG Emission'!$D$2:$D$1121=$D143)*('GHG Emission'!$E$2:$E$1121=$C143)*('GHG Emission'!$F$2:$F$1121=$B143)*('GHG Emission'!$I$2:$I$1121=$E143)*('GHG Emission'!$J$2:$J$1121=$F143)*('GHG Emission'!$K$2:$K$1121=AI$1),0))+AJ143/$BI143*INDEX('GHG Emission'!$C$2:$C$1121,MATCH(1,('GHG Emission'!$D$2:$D$1121=$D143)*('GHG Emission'!$E$2:$E$1121=$C143)*('GHG Emission'!$F$2:$F$1121=$B143)*('GHG Emission'!$I$2:$I$1121=$E143)*('GHG Emission'!$J$2:$J$1121=$F143)*('GHG Emission'!$K$2:$K$1121=AJ$1),0))+AK143/$BI143*INDEX('GHG Emission'!$C$2:$C$1121,MATCH(1,('GHG Emission'!$D$2:$D$1121=$D143)*('GHG Emission'!$E$2:$E$1121=$C143)*('GHG Emission'!$F$2:$F$1121=$B143)*('GHG Emission'!$I$2:$I$1121=$E143)*('GHG Emission'!$J$2:$J$1121=$F143)*('GHG Emission'!$K$2:$K$1121=AK$1),0))+AL143/$BI143*INDEX('GHG Emission'!$C$2:$C$1121,MATCH(1,('GHG Emission'!$D$2:$D$1121=$D143)*('GHG Emission'!$E$2:$E$1121=$C143)*('GHG Emission'!$F$2:$F$1121=$B143)*('GHG Emission'!$I$2:$I$1121=$E143)*('GHG Emission'!$J$2:$J$1121=$F143)*('GHG Emission'!$K$2:$K$1121=AL$1),0))+AM143/$BI143*INDEX('GHG Emission'!$C$2:$C$1121,MATCH(1,('GHG Emission'!$D$2:$D$1121=$D143)*('GHG Emission'!$E$2:$E$1121=$C143)*('GHG Emission'!$F$2:$F$1121=$B143)*('GHG Emission'!$I$2:$I$1121=$E143)*('GHG Emission'!$J$2:$J$1121=$F143)*('GHG Emission'!$K$2:$K$1121=AM$1),0))</f>
        <v>37.882941174445833</v>
      </c>
      <c r="BM143" t="str">
        <f t="shared" si="23"/>
        <v>HEAVY/SOUR</v>
      </c>
    </row>
    <row r="144" spans="1:65" hidden="1" x14ac:dyDescent="0.25">
      <c r="A144">
        <v>143</v>
      </c>
      <c r="B144" t="s">
        <v>472</v>
      </c>
      <c r="C144">
        <v>2050</v>
      </c>
      <c r="D144">
        <v>3</v>
      </c>
      <c r="E144" t="s">
        <v>469</v>
      </c>
      <c r="F144" t="s">
        <v>467</v>
      </c>
      <c r="G144">
        <v>3001.470395855767</v>
      </c>
      <c r="H144">
        <v>1077.1561660460204</v>
      </c>
      <c r="I144">
        <v>2542.3070187512535</v>
      </c>
      <c r="J144">
        <v>1803.4247492233335</v>
      </c>
      <c r="K144">
        <v>269.32588574164436</v>
      </c>
      <c r="L144">
        <v>49.948418930838677</v>
      </c>
      <c r="M144">
        <v>0</v>
      </c>
      <c r="N144">
        <v>0</v>
      </c>
      <c r="O144">
        <v>0</v>
      </c>
      <c r="P144">
        <v>124.2815058048555</v>
      </c>
      <c r="Q144">
        <v>0</v>
      </c>
      <c r="R144">
        <v>0</v>
      </c>
      <c r="S144">
        <v>0</v>
      </c>
      <c r="T144">
        <v>12.969949555427933</v>
      </c>
      <c r="U144">
        <v>0</v>
      </c>
      <c r="V144">
        <v>0</v>
      </c>
      <c r="W144">
        <v>0</v>
      </c>
      <c r="X144">
        <f t="shared" si="16"/>
        <v>8880.8840899091429</v>
      </c>
      <c r="Y144">
        <f>X144*VLOOKUP($D144,'LinearReg Model'!$S$2:$T$6,2,FALSE)</f>
        <v>8925.8182407702589</v>
      </c>
      <c r="Z144">
        <f t="shared" si="17"/>
        <v>0.3379697747959769</v>
      </c>
      <c r="AA144">
        <f t="shared" si="18"/>
        <v>0.28626733476230554</v>
      </c>
      <c r="AB144">
        <f t="shared" si="19"/>
        <v>0.12128929452754972</v>
      </c>
      <c r="AC144">
        <v>37.317276792879753</v>
      </c>
      <c r="AD144">
        <v>1.0693086579627853</v>
      </c>
      <c r="AE144" s="2">
        <f>VLOOKUP($D144,'MultiReg Model'!$A$5:$F$9,2,FALSE)+AC144*VLOOKUP($D144,'MultiReg Model'!$A$5:$F$9,3,FALSE)+Z144*VLOOKUP($D144,'MultiReg Model'!$A$5:$F$9,4,FALSE)+AA144*VLOOKUP($D144,'MultiReg Model'!$A$5:$F$9,5,FALSE)+AB144*VLOOKUP($D144,'MultiReg Model'!$A$5:$F$9,6,FALSE)</f>
        <v>8.9844588557142089</v>
      </c>
      <c r="AF144" cm="1">
        <f t="array" ref="AF144">MMULT($AG144:$AM144,'Avg CI Index'!$C$2:$C$8)/BI144</f>
        <v>8.994458853245801</v>
      </c>
      <c r="AG144">
        <v>1341.6855515100883</v>
      </c>
      <c r="AH144">
        <v>959.2028748244943</v>
      </c>
      <c r="AI144">
        <v>315.8823737558148</v>
      </c>
      <c r="AJ144">
        <v>641.67960137582475</v>
      </c>
      <c r="AK144">
        <v>1521.8089264352661</v>
      </c>
      <c r="AL144">
        <v>7.9701702835490662E-2</v>
      </c>
      <c r="AM144">
        <v>4216.2366450240352</v>
      </c>
      <c r="AN144" cm="1">
        <f t="array" ref="AN144">$Y144*INDEX(RefCapacity!$D$2:$D$526,MATCH(1,(RefCapacity!$A$2:$A$526=RefCapacityProj!$D144)*(RefCapacity!$B$2:$B$526=2019)*(RefCapacity!$C$2:$C$526=AG$1),0))/SUMIFS(RefCapacity!$D$2:$D$526,RefCapacity!$A$2:$A$526,RefCapacityProj!$D144,RefCapacity!$B$2:$B$526,2019)</f>
        <v>271.21005780078934</v>
      </c>
      <c r="AO144" cm="1">
        <f t="array" ref="AO144">$Y144*INDEX(RefCapacity!$D$2:$D$526,MATCH(1,(RefCapacity!$A$2:$A$526=RefCapacityProj!$D144)*(RefCapacity!$B$2:$B$526=2019)*(RefCapacity!$C$2:$C$526=AH$1),0))/SUMIFS(RefCapacity!$D$2:$D$526,RefCapacity!$A$2:$A$526,RefCapacityProj!$D144,RefCapacity!$B$2:$B$526,2019)</f>
        <v>630.19485139455992</v>
      </c>
      <c r="AP144" cm="1">
        <f t="array" ref="AP144">$Y144*INDEX(RefCapacity!$D$2:$D$526,MATCH(1,(RefCapacity!$A$2:$A$526=RefCapacityProj!$D144)*(RefCapacity!$B$2:$B$526=2019)*(RefCapacity!$C$2:$C$526=AI$1),0))/SUMIFS(RefCapacity!$D$2:$D$526,RefCapacity!$A$2:$A$526,RefCapacityProj!$D144,RefCapacity!$B$2:$B$526,2019)</f>
        <v>270.94170075391349</v>
      </c>
      <c r="AQ144" cm="1">
        <f t="array" ref="AQ144">$Y144*INDEX(RefCapacity!$D$2:$D$526,MATCH(1,(RefCapacity!$A$2:$A$526=RefCapacityProj!$D144)*(RefCapacity!$B$2:$B$526=2019)*(RefCapacity!$C$2:$C$526=AJ$1),0))/SUMIFS(RefCapacity!$D$2:$D$526,RefCapacity!$A$2:$A$526,RefCapacityProj!$D144,RefCapacity!$B$2:$B$526,2019)</f>
        <v>925.07619887625503</v>
      </c>
      <c r="AR144" cm="1">
        <f t="array" ref="AR144">$Y144*INDEX(RefCapacity!$D$2:$D$526,MATCH(1,(RefCapacity!$A$2:$A$526=RefCapacityProj!$D144)*(RefCapacity!$B$2:$B$526=2019)*(RefCapacity!$C$2:$C$526=AK$1),0))/SUMIFS(RefCapacity!$D$2:$D$526,RefCapacity!$A$2:$A$526,RefCapacityProj!$D144,RefCapacity!$B$2:$B$526,2019)</f>
        <v>1891.8805447001621</v>
      </c>
      <c r="AS144" cm="1">
        <f t="array" ref="AS144">$Y144*INDEX(RefCapacity!$D$2:$D$526,MATCH(1,(RefCapacity!$A$2:$A$526=RefCapacityProj!$D144)*(RefCapacity!$B$2:$B$526=2019)*(RefCapacity!$C$2:$C$526=AL$1),0))/SUMIFS(RefCapacity!$D$2:$D$526,RefCapacity!$A$2:$A$526,RefCapacityProj!$D144,RefCapacity!$B$2:$B$526,2019)</f>
        <v>34.803985601641237</v>
      </c>
      <c r="AT144" cm="1">
        <f t="array" ref="AT144">$Y144*INDEX(RefCapacity!$D$2:$D$526,MATCH(1,(RefCapacity!$A$2:$A$526=RefCapacityProj!$D144)*(RefCapacity!$B$2:$B$526=2019)*(RefCapacity!$C$2:$C$526=AM$1),0))/SUMIFS(RefCapacity!$D$2:$D$526,RefCapacity!$A$2:$A$526,RefCapacityProj!$D144,RefCapacity!$B$2:$B$526,2019)</f>
        <v>4901.7109016429367</v>
      </c>
      <c r="AU144" cm="1">
        <f t="array" ref="AU144">INDEX(RefCapacity!$D$2:$D$526,MATCH(1,(RefCapacity!$A$2:$A$526=RefCapacityProj!$D144)*(RefCapacity!$B$2:$B$526=2019)*(RefCapacity!$C$2:$C$526=RefCapacityProj!AG$1),0))*IF($C144=2035,1+VLOOKUP(AG$1,RefCapacity!$H$2:$L$8,2,FALSE),1+VLOOKUP(AG$1,RefCapacity!$H$2:$L$8,4,FALSE))</f>
        <v>1341.688193439242</v>
      </c>
      <c r="AV144" cm="1">
        <f t="array" ref="AV144">INDEX(RefCapacity!$D$2:$D$526,MATCH(1,(RefCapacity!$A$2:$A$526=RefCapacityProj!$D144)*(RefCapacity!$B$2:$B$526=2019)*(RefCapacity!$C$2:$C$526=RefCapacityProj!AH$1),0))*IF($C144=2035,1+VLOOKUP(AH$1,RefCapacity!$H$2:$L$8,2,FALSE),1+VLOOKUP(AH$1,RefCapacity!$H$2:$L$8,4,FALSE))</f>
        <v>1166.9533873398473</v>
      </c>
      <c r="AW144" cm="1">
        <f t="array" ref="AW144">INDEX(RefCapacity!$D$2:$D$526,MATCH(1,(RefCapacity!$A$2:$A$526=RefCapacityProj!$D144)*(RefCapacity!$B$2:$B$526=2019)*(RefCapacity!$C$2:$C$526=RefCapacityProj!AI$1),0))*IF($C144=2035,1+VLOOKUP(AI$1,RefCapacity!$H$2:$L$8,2,FALSE),1+VLOOKUP(AI$1,RefCapacity!$H$2:$L$8,4,FALSE))</f>
        <v>315.88917723076923</v>
      </c>
      <c r="AX144" cm="1">
        <f t="array" ref="AX144">INDEX(RefCapacity!$D$2:$D$526,MATCH(1,(RefCapacity!$A$2:$A$526=RefCapacityProj!$D144)*(RefCapacity!$B$2:$B$526=2019)*(RefCapacity!$C$2:$C$526=RefCapacityProj!AJ$1),0))*IF($C144=2035,1+VLOOKUP(AJ$1,RefCapacity!$H$2:$L$8,2,FALSE),1+VLOOKUP(AJ$1,RefCapacity!$H$2:$L$8,4,FALSE))</f>
        <v>2857.6483299595143</v>
      </c>
      <c r="AY144" cm="1">
        <f t="array" ref="AY144">INDEX(RefCapacity!$D$2:$D$526,MATCH(1,(RefCapacity!$A$2:$A$526=RefCapacityProj!$D144)*(RefCapacity!$B$2:$B$526=2019)*(RefCapacity!$C$2:$C$526=RefCapacityProj!AK$1),0))*IF($C144=2035,1+VLOOKUP(AK$1,RefCapacity!$H$2:$L$8,2,FALSE),1+VLOOKUP(AK$1,RefCapacity!$H$2:$L$8,4,FALSE))</f>
        <v>3063.8504634026467</v>
      </c>
      <c r="AZ144" cm="1">
        <f t="array" ref="AZ144">INDEX(RefCapacity!$D$2:$D$526,MATCH(1,(RefCapacity!$A$2:$A$526=RefCapacityProj!$D144)*(RefCapacity!$B$2:$B$526=2019)*(RefCapacity!$C$2:$C$526=RefCapacityProj!AL$1),0))*IF($C144=2035,1+VLOOKUP(AL$1,RefCapacity!$H$2:$L$8,2,FALSE),1+VLOOKUP(AL$1,RefCapacity!$H$2:$L$8,4,FALSE))</f>
        <v>69.2605029229384</v>
      </c>
      <c r="BA144" cm="1">
        <f t="array" ref="BA144">INDEX(RefCapacity!$D$2:$D$526,MATCH(1,(RefCapacity!$A$2:$A$526=RefCapacityProj!$D144)*(RefCapacity!$B$2:$B$526=2019)*(RefCapacity!$C$2:$C$526=RefCapacityProj!AM$1),0))*IF($C144=2035,1+VLOOKUP(AM$1,RefCapacity!$H$2:$L$8,2,FALSE),1+VLOOKUP(AM$1,RefCapacity!$H$2:$L$8,4,FALSE))</f>
        <v>5773.7168821974883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f t="shared" si="20"/>
        <v>8996.5756746283587</v>
      </c>
      <c r="BJ144">
        <f t="shared" si="21"/>
        <v>70.75743385809983</v>
      </c>
      <c r="BK144">
        <f t="shared" si="22"/>
        <v>9.9999975315920864E-3</v>
      </c>
      <c r="BL144" cm="1">
        <f t="array" ref="BL144">AG144/$BI144*INDEX('GHG Emission'!$C$2:$C$1121,MATCH(1,('GHG Emission'!$D$2:$D$1121=$D144)*('GHG Emission'!$E$2:$E$1121=$C144)*('GHG Emission'!$F$2:$F$1121=$B144)*('GHG Emission'!$I$2:$I$1121=$E144)*('GHG Emission'!$J$2:$J$1121=$F144)*('GHG Emission'!$K$2:$K$1121=AG$1),0))+AH144/$BI144*INDEX('GHG Emission'!$C$2:$C$1121,MATCH(1,('GHG Emission'!$D$2:$D$1121=$D144)*('GHG Emission'!$E$2:$E$1121=$C144)*('GHG Emission'!$F$2:$F$1121=$B144)*('GHG Emission'!$I$2:$I$1121=$E144)*('GHG Emission'!$J$2:$J$1121=$F144)*('GHG Emission'!$K$2:$K$1121=AH$1),0))+AI144/$BI144*INDEX('GHG Emission'!$C$2:$C$1121,MATCH(1,('GHG Emission'!$D$2:$D$1121=$D144)*('GHG Emission'!$E$2:$E$1121=$C144)*('GHG Emission'!$F$2:$F$1121=$B144)*('GHG Emission'!$I$2:$I$1121=$E144)*('GHG Emission'!$J$2:$J$1121=$F144)*('GHG Emission'!$K$2:$K$1121=AI$1),0))+AJ144/$BI144*INDEX('GHG Emission'!$C$2:$C$1121,MATCH(1,('GHG Emission'!$D$2:$D$1121=$D144)*('GHG Emission'!$E$2:$E$1121=$C144)*('GHG Emission'!$F$2:$F$1121=$B144)*('GHG Emission'!$I$2:$I$1121=$E144)*('GHG Emission'!$J$2:$J$1121=$F144)*('GHG Emission'!$K$2:$K$1121=AJ$1),0))+AK144/$BI144*INDEX('GHG Emission'!$C$2:$C$1121,MATCH(1,('GHG Emission'!$D$2:$D$1121=$D144)*('GHG Emission'!$E$2:$E$1121=$C144)*('GHG Emission'!$F$2:$F$1121=$B144)*('GHG Emission'!$I$2:$I$1121=$E144)*('GHG Emission'!$J$2:$J$1121=$F144)*('GHG Emission'!$K$2:$K$1121=AK$1),0))+AL144/$BI144*INDEX('GHG Emission'!$C$2:$C$1121,MATCH(1,('GHG Emission'!$D$2:$D$1121=$D144)*('GHG Emission'!$E$2:$E$1121=$C144)*('GHG Emission'!$F$2:$F$1121=$B144)*('GHG Emission'!$I$2:$I$1121=$E144)*('GHG Emission'!$J$2:$J$1121=$F144)*('GHG Emission'!$K$2:$K$1121=AL$1),0))+AM144/$BI144*INDEX('GHG Emission'!$C$2:$C$1121,MATCH(1,('GHG Emission'!$D$2:$D$1121=$D144)*('GHG Emission'!$E$2:$E$1121=$C144)*('GHG Emission'!$F$2:$F$1121=$B144)*('GHG Emission'!$I$2:$I$1121=$E144)*('GHG Emission'!$J$2:$J$1121=$F144)*('GHG Emission'!$K$2:$K$1121=AM$1),0))</f>
        <v>35.900060223201145</v>
      </c>
      <c r="BM144" t="str">
        <f t="shared" si="23"/>
        <v>LIGHT/SWEET</v>
      </c>
    </row>
    <row r="145" spans="1:65" hidden="1" x14ac:dyDescent="0.25">
      <c r="A145">
        <v>144</v>
      </c>
      <c r="B145" t="s">
        <v>472</v>
      </c>
      <c r="C145">
        <v>2050</v>
      </c>
      <c r="D145">
        <v>3</v>
      </c>
      <c r="E145" t="s">
        <v>469</v>
      </c>
      <c r="F145" t="s">
        <v>468</v>
      </c>
      <c r="G145">
        <v>3001.470395855767</v>
      </c>
      <c r="H145">
        <v>1077.1561660460204</v>
      </c>
      <c r="I145">
        <v>2542.3070187512535</v>
      </c>
      <c r="J145">
        <v>1803.4247492233335</v>
      </c>
      <c r="K145">
        <v>269.32588574164436</v>
      </c>
      <c r="L145">
        <v>49.948418930838677</v>
      </c>
      <c r="M145">
        <v>0</v>
      </c>
      <c r="N145">
        <v>0</v>
      </c>
      <c r="O145">
        <v>0</v>
      </c>
      <c r="P145">
        <v>124.2815058048555</v>
      </c>
      <c r="Q145">
        <v>0</v>
      </c>
      <c r="R145">
        <v>0</v>
      </c>
      <c r="S145">
        <v>0</v>
      </c>
      <c r="T145">
        <v>12.969949555427933</v>
      </c>
      <c r="U145">
        <v>0</v>
      </c>
      <c r="V145">
        <v>0</v>
      </c>
      <c r="W145">
        <v>0</v>
      </c>
      <c r="X145">
        <f t="shared" si="16"/>
        <v>8880.8840899091429</v>
      </c>
      <c r="Y145">
        <f>X145*VLOOKUP($D145,'LinearReg Model'!$S$2:$T$6,2,FALSE)</f>
        <v>8925.8182407702589</v>
      </c>
      <c r="Z145">
        <f t="shared" si="17"/>
        <v>0.3379697747959769</v>
      </c>
      <c r="AA145">
        <f t="shared" si="18"/>
        <v>0.28626733476230554</v>
      </c>
      <c r="AB145">
        <f t="shared" si="19"/>
        <v>0.12128929452754972</v>
      </c>
      <c r="AC145">
        <v>37.317276792879753</v>
      </c>
      <c r="AD145">
        <v>2.673413137685352</v>
      </c>
      <c r="AE145" s="2">
        <f>VLOOKUP($D145,'MultiReg Model'!$A$5:$F$9,2,FALSE)+AC145*VLOOKUP($D145,'MultiReg Model'!$A$5:$F$9,3,FALSE)+Z145*VLOOKUP($D145,'MultiReg Model'!$A$5:$F$9,4,FALSE)+AA145*VLOOKUP($D145,'MultiReg Model'!$A$5:$F$9,5,FALSE)+AB145*VLOOKUP($D145,'MultiReg Model'!$A$5:$F$9,6,FALSE)</f>
        <v>8.9844588557142089</v>
      </c>
      <c r="AF145" cm="1">
        <f t="array" ref="AF145">MMULT($AG145:$AM145,'Avg CI Index'!$C$2:$C$8)/BI145</f>
        <v>8.994458853245801</v>
      </c>
      <c r="AG145">
        <v>1341.6855515100883</v>
      </c>
      <c r="AH145">
        <v>959.2028748244943</v>
      </c>
      <c r="AI145">
        <v>315.8823737558148</v>
      </c>
      <c r="AJ145">
        <v>641.67960137582475</v>
      </c>
      <c r="AK145">
        <v>1521.8089264352661</v>
      </c>
      <c r="AL145">
        <v>7.9701702835490662E-2</v>
      </c>
      <c r="AM145">
        <v>4216.2366450240352</v>
      </c>
      <c r="AN145" cm="1">
        <f t="array" ref="AN145">$Y145*INDEX(RefCapacity!$D$2:$D$526,MATCH(1,(RefCapacity!$A$2:$A$526=RefCapacityProj!$D145)*(RefCapacity!$B$2:$B$526=2019)*(RefCapacity!$C$2:$C$526=AG$1),0))/SUMIFS(RefCapacity!$D$2:$D$526,RefCapacity!$A$2:$A$526,RefCapacityProj!$D145,RefCapacity!$B$2:$B$526,2019)</f>
        <v>271.21005780078934</v>
      </c>
      <c r="AO145" cm="1">
        <f t="array" ref="AO145">$Y145*INDEX(RefCapacity!$D$2:$D$526,MATCH(1,(RefCapacity!$A$2:$A$526=RefCapacityProj!$D145)*(RefCapacity!$B$2:$B$526=2019)*(RefCapacity!$C$2:$C$526=AH$1),0))/SUMIFS(RefCapacity!$D$2:$D$526,RefCapacity!$A$2:$A$526,RefCapacityProj!$D145,RefCapacity!$B$2:$B$526,2019)</f>
        <v>630.19485139455992</v>
      </c>
      <c r="AP145" cm="1">
        <f t="array" ref="AP145">$Y145*INDEX(RefCapacity!$D$2:$D$526,MATCH(1,(RefCapacity!$A$2:$A$526=RefCapacityProj!$D145)*(RefCapacity!$B$2:$B$526=2019)*(RefCapacity!$C$2:$C$526=AI$1),0))/SUMIFS(RefCapacity!$D$2:$D$526,RefCapacity!$A$2:$A$526,RefCapacityProj!$D145,RefCapacity!$B$2:$B$526,2019)</f>
        <v>270.94170075391349</v>
      </c>
      <c r="AQ145" cm="1">
        <f t="array" ref="AQ145">$Y145*INDEX(RefCapacity!$D$2:$D$526,MATCH(1,(RefCapacity!$A$2:$A$526=RefCapacityProj!$D145)*(RefCapacity!$B$2:$B$526=2019)*(RefCapacity!$C$2:$C$526=AJ$1),0))/SUMIFS(RefCapacity!$D$2:$D$526,RefCapacity!$A$2:$A$526,RefCapacityProj!$D145,RefCapacity!$B$2:$B$526,2019)</f>
        <v>925.07619887625503</v>
      </c>
      <c r="AR145" cm="1">
        <f t="array" ref="AR145">$Y145*INDEX(RefCapacity!$D$2:$D$526,MATCH(1,(RefCapacity!$A$2:$A$526=RefCapacityProj!$D145)*(RefCapacity!$B$2:$B$526=2019)*(RefCapacity!$C$2:$C$526=AK$1),0))/SUMIFS(RefCapacity!$D$2:$D$526,RefCapacity!$A$2:$A$526,RefCapacityProj!$D145,RefCapacity!$B$2:$B$526,2019)</f>
        <v>1891.8805447001621</v>
      </c>
      <c r="AS145" cm="1">
        <f t="array" ref="AS145">$Y145*INDEX(RefCapacity!$D$2:$D$526,MATCH(1,(RefCapacity!$A$2:$A$526=RefCapacityProj!$D145)*(RefCapacity!$B$2:$B$526=2019)*(RefCapacity!$C$2:$C$526=AL$1),0))/SUMIFS(RefCapacity!$D$2:$D$526,RefCapacity!$A$2:$A$526,RefCapacityProj!$D145,RefCapacity!$B$2:$B$526,2019)</f>
        <v>34.803985601641237</v>
      </c>
      <c r="AT145" cm="1">
        <f t="array" ref="AT145">$Y145*INDEX(RefCapacity!$D$2:$D$526,MATCH(1,(RefCapacity!$A$2:$A$526=RefCapacityProj!$D145)*(RefCapacity!$B$2:$B$526=2019)*(RefCapacity!$C$2:$C$526=AM$1),0))/SUMIFS(RefCapacity!$D$2:$D$526,RefCapacity!$A$2:$A$526,RefCapacityProj!$D145,RefCapacity!$B$2:$B$526,2019)</f>
        <v>4901.7109016429367</v>
      </c>
      <c r="AU145" cm="1">
        <f t="array" ref="AU145">INDEX(RefCapacity!$D$2:$D$526,MATCH(1,(RefCapacity!$A$2:$A$526=RefCapacityProj!$D145)*(RefCapacity!$B$2:$B$526=2019)*(RefCapacity!$C$2:$C$526=RefCapacityProj!AG$1),0))*IF($C145=2035,1+VLOOKUP(AG$1,RefCapacity!$H$2:$L$8,2,FALSE),1+VLOOKUP(AG$1,RefCapacity!$H$2:$L$8,4,FALSE))</f>
        <v>1341.688193439242</v>
      </c>
      <c r="AV145" cm="1">
        <f t="array" ref="AV145">INDEX(RefCapacity!$D$2:$D$526,MATCH(1,(RefCapacity!$A$2:$A$526=RefCapacityProj!$D145)*(RefCapacity!$B$2:$B$526=2019)*(RefCapacity!$C$2:$C$526=RefCapacityProj!AH$1),0))*IF($C145=2035,1+VLOOKUP(AH$1,RefCapacity!$H$2:$L$8,2,FALSE),1+VLOOKUP(AH$1,RefCapacity!$H$2:$L$8,4,FALSE))</f>
        <v>1166.9533873398473</v>
      </c>
      <c r="AW145" cm="1">
        <f t="array" ref="AW145">INDEX(RefCapacity!$D$2:$D$526,MATCH(1,(RefCapacity!$A$2:$A$526=RefCapacityProj!$D145)*(RefCapacity!$B$2:$B$526=2019)*(RefCapacity!$C$2:$C$526=RefCapacityProj!AI$1),0))*IF($C145=2035,1+VLOOKUP(AI$1,RefCapacity!$H$2:$L$8,2,FALSE),1+VLOOKUP(AI$1,RefCapacity!$H$2:$L$8,4,FALSE))</f>
        <v>315.88917723076923</v>
      </c>
      <c r="AX145" cm="1">
        <f t="array" ref="AX145">INDEX(RefCapacity!$D$2:$D$526,MATCH(1,(RefCapacity!$A$2:$A$526=RefCapacityProj!$D145)*(RefCapacity!$B$2:$B$526=2019)*(RefCapacity!$C$2:$C$526=RefCapacityProj!AJ$1),0))*IF($C145=2035,1+VLOOKUP(AJ$1,RefCapacity!$H$2:$L$8,2,FALSE),1+VLOOKUP(AJ$1,RefCapacity!$H$2:$L$8,4,FALSE))</f>
        <v>2857.6483299595143</v>
      </c>
      <c r="AY145" cm="1">
        <f t="array" ref="AY145">INDEX(RefCapacity!$D$2:$D$526,MATCH(1,(RefCapacity!$A$2:$A$526=RefCapacityProj!$D145)*(RefCapacity!$B$2:$B$526=2019)*(RefCapacity!$C$2:$C$526=RefCapacityProj!AK$1),0))*IF($C145=2035,1+VLOOKUP(AK$1,RefCapacity!$H$2:$L$8,2,FALSE),1+VLOOKUP(AK$1,RefCapacity!$H$2:$L$8,4,FALSE))</f>
        <v>3063.8504634026467</v>
      </c>
      <c r="AZ145" cm="1">
        <f t="array" ref="AZ145">INDEX(RefCapacity!$D$2:$D$526,MATCH(1,(RefCapacity!$A$2:$A$526=RefCapacityProj!$D145)*(RefCapacity!$B$2:$B$526=2019)*(RefCapacity!$C$2:$C$526=RefCapacityProj!AL$1),0))*IF($C145=2035,1+VLOOKUP(AL$1,RefCapacity!$H$2:$L$8,2,FALSE),1+VLOOKUP(AL$1,RefCapacity!$H$2:$L$8,4,FALSE))</f>
        <v>69.2605029229384</v>
      </c>
      <c r="BA145" cm="1">
        <f t="array" ref="BA145">INDEX(RefCapacity!$D$2:$D$526,MATCH(1,(RefCapacity!$A$2:$A$526=RefCapacityProj!$D145)*(RefCapacity!$B$2:$B$526=2019)*(RefCapacity!$C$2:$C$526=RefCapacityProj!AM$1),0))*IF($C145=2035,1+VLOOKUP(AM$1,RefCapacity!$H$2:$L$8,2,FALSE),1+VLOOKUP(AM$1,RefCapacity!$H$2:$L$8,4,FALSE))</f>
        <v>5773.7168821974883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f t="shared" si="20"/>
        <v>8996.5756746283587</v>
      </c>
      <c r="BJ145">
        <f t="shared" si="21"/>
        <v>70.75743385809983</v>
      </c>
      <c r="BK145">
        <f t="shared" si="22"/>
        <v>9.9999975315920864E-3</v>
      </c>
      <c r="BL145" cm="1">
        <f t="array" ref="BL145">AG145/$BI145*INDEX('GHG Emission'!$C$2:$C$1121,MATCH(1,('GHG Emission'!$D$2:$D$1121=$D145)*('GHG Emission'!$E$2:$E$1121=$C145)*('GHG Emission'!$F$2:$F$1121=$B145)*('GHG Emission'!$I$2:$I$1121=$E145)*('GHG Emission'!$J$2:$J$1121=$F145)*('GHG Emission'!$K$2:$K$1121=AG$1),0))+AH145/$BI145*INDEX('GHG Emission'!$C$2:$C$1121,MATCH(1,('GHG Emission'!$D$2:$D$1121=$D145)*('GHG Emission'!$E$2:$E$1121=$C145)*('GHG Emission'!$F$2:$F$1121=$B145)*('GHG Emission'!$I$2:$I$1121=$E145)*('GHG Emission'!$J$2:$J$1121=$F145)*('GHG Emission'!$K$2:$K$1121=AH$1),0))+AI145/$BI145*INDEX('GHG Emission'!$C$2:$C$1121,MATCH(1,('GHG Emission'!$D$2:$D$1121=$D145)*('GHG Emission'!$E$2:$E$1121=$C145)*('GHG Emission'!$F$2:$F$1121=$B145)*('GHG Emission'!$I$2:$I$1121=$E145)*('GHG Emission'!$J$2:$J$1121=$F145)*('GHG Emission'!$K$2:$K$1121=AI$1),0))+AJ145/$BI145*INDEX('GHG Emission'!$C$2:$C$1121,MATCH(1,('GHG Emission'!$D$2:$D$1121=$D145)*('GHG Emission'!$E$2:$E$1121=$C145)*('GHG Emission'!$F$2:$F$1121=$B145)*('GHG Emission'!$I$2:$I$1121=$E145)*('GHG Emission'!$J$2:$J$1121=$F145)*('GHG Emission'!$K$2:$K$1121=AJ$1),0))+AK145/$BI145*INDEX('GHG Emission'!$C$2:$C$1121,MATCH(1,('GHG Emission'!$D$2:$D$1121=$D145)*('GHG Emission'!$E$2:$E$1121=$C145)*('GHG Emission'!$F$2:$F$1121=$B145)*('GHG Emission'!$I$2:$I$1121=$E145)*('GHG Emission'!$J$2:$J$1121=$F145)*('GHG Emission'!$K$2:$K$1121=AK$1),0))+AL145/$BI145*INDEX('GHG Emission'!$C$2:$C$1121,MATCH(1,('GHG Emission'!$D$2:$D$1121=$D145)*('GHG Emission'!$E$2:$E$1121=$C145)*('GHG Emission'!$F$2:$F$1121=$B145)*('GHG Emission'!$I$2:$I$1121=$E145)*('GHG Emission'!$J$2:$J$1121=$F145)*('GHG Emission'!$K$2:$K$1121=AL$1),0))+AM145/$BI145*INDEX('GHG Emission'!$C$2:$C$1121,MATCH(1,('GHG Emission'!$D$2:$D$1121=$D145)*('GHG Emission'!$E$2:$E$1121=$C145)*('GHG Emission'!$F$2:$F$1121=$B145)*('GHG Emission'!$I$2:$I$1121=$E145)*('GHG Emission'!$J$2:$J$1121=$F145)*('GHG Emission'!$K$2:$K$1121=AM$1),0))</f>
        <v>35.877881660171951</v>
      </c>
      <c r="BM145" t="str">
        <f t="shared" si="23"/>
        <v>LIGHT/SOUR</v>
      </c>
    </row>
    <row r="146" spans="1:65" hidden="1" x14ac:dyDescent="0.25">
      <c r="A146">
        <v>145</v>
      </c>
      <c r="B146" t="s">
        <v>472</v>
      </c>
      <c r="C146">
        <v>2035</v>
      </c>
      <c r="D146">
        <v>4</v>
      </c>
      <c r="E146" t="s">
        <v>466</v>
      </c>
      <c r="F146" t="s">
        <v>467</v>
      </c>
      <c r="G146">
        <v>335.76119925999257</v>
      </c>
      <c r="H146">
        <v>25.722246412711044</v>
      </c>
      <c r="I146">
        <v>170.00639635193204</v>
      </c>
      <c r="J146">
        <v>41.069540670068839</v>
      </c>
      <c r="K146">
        <v>4.5959626645722889</v>
      </c>
      <c r="L146">
        <v>2.1462026217592438</v>
      </c>
      <c r="M146">
        <v>0</v>
      </c>
      <c r="N146">
        <v>0</v>
      </c>
      <c r="O146">
        <v>0</v>
      </c>
      <c r="P146">
        <v>153.51055198997955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f t="shared" si="16"/>
        <v>732.81209997101564</v>
      </c>
      <c r="Y146">
        <f>X146*VLOOKUP($D146,'LinearReg Model'!$S$2:$T$6,2,FALSE)</f>
        <v>665.63345708752206</v>
      </c>
      <c r="Z146">
        <f t="shared" si="17"/>
        <v>0.45818184398602679</v>
      </c>
      <c r="AA146">
        <f t="shared" si="18"/>
        <v>0.23199179756810262</v>
      </c>
      <c r="AB146">
        <f t="shared" si="19"/>
        <v>3.5100739212314339E-2</v>
      </c>
      <c r="AC146">
        <v>29.333484298143549</v>
      </c>
      <c r="AD146">
        <v>1.1317892699899461</v>
      </c>
      <c r="AE146" s="2">
        <f>VLOOKUP($D146,'MultiReg Model'!$A$5:$F$9,2,FALSE)+AC146*VLOOKUP($D146,'MultiReg Model'!$A$5:$F$9,3,FALSE)+Z146*VLOOKUP($D146,'MultiReg Model'!$A$5:$F$9,4,FALSE)+AA146*VLOOKUP($D146,'MultiReg Model'!$A$5:$F$9,5,FALSE)+AB146*VLOOKUP($D146,'MultiReg Model'!$A$5:$F$9,6,FALSE)</f>
        <v>6.9067266987998188</v>
      </c>
      <c r="AF146" cm="1">
        <f t="array" ref="AF146">MMULT($AG146:$AM146,'Avg CI Index'!$C$2:$C$8)/BI146</f>
        <v>8.1626953428551605</v>
      </c>
      <c r="AG146">
        <v>41.24720907441354</v>
      </c>
      <c r="AH146">
        <v>311.65678471723726</v>
      </c>
      <c r="AI146">
        <v>0</v>
      </c>
      <c r="AJ146">
        <v>138.96474358951389</v>
      </c>
      <c r="AK146">
        <v>167.10736510010722</v>
      </c>
      <c r="AL146">
        <v>0</v>
      </c>
      <c r="AM146">
        <v>6.6674307805092085E-11</v>
      </c>
      <c r="AN146" cm="1">
        <f t="array" ref="AN146">$Y146*INDEX(RefCapacity!$D$2:$D$526,MATCH(1,(RefCapacity!$A$2:$A$526=RefCapacityProj!$D146)*(RefCapacity!$B$2:$B$526=2019)*(RefCapacity!$C$2:$C$526=AG$1),0))/SUMIFS(RefCapacity!$D$2:$D$526,RefCapacity!$A$2:$A$526,RefCapacityProj!$D146,RefCapacity!$B$2:$B$526,2019)</f>
        <v>14.50613025001701</v>
      </c>
      <c r="AO146" cm="1">
        <f t="array" ref="AO146">$Y146*INDEX(RefCapacity!$D$2:$D$526,MATCH(1,(RefCapacity!$A$2:$A$526=RefCapacityProj!$D146)*(RefCapacity!$B$2:$B$526=2019)*(RefCapacity!$C$2:$C$526=AH$1),0))/SUMIFS(RefCapacity!$D$2:$D$526,RefCapacity!$A$2:$A$526,RefCapacityProj!$D146,RefCapacity!$B$2:$B$526,2019)</f>
        <v>224.8620391420672</v>
      </c>
      <c r="AP146" cm="1">
        <f t="array" ref="AP146">$Y146*INDEX(RefCapacity!$D$2:$D$526,MATCH(1,(RefCapacity!$A$2:$A$526=RefCapacityProj!$D146)*(RefCapacity!$B$2:$B$526=2019)*(RefCapacity!$C$2:$C$526=AI$1),0))/SUMIFS(RefCapacity!$D$2:$D$526,RefCapacity!$A$2:$A$526,RefCapacityProj!$D146,RefCapacity!$B$2:$B$526,2019)</f>
        <v>0</v>
      </c>
      <c r="AQ146" cm="1">
        <f t="array" ref="AQ146">$Y146*INDEX(RefCapacity!$D$2:$D$526,MATCH(1,(RefCapacity!$A$2:$A$526=RefCapacityProj!$D146)*(RefCapacity!$B$2:$B$526=2019)*(RefCapacity!$C$2:$C$526=AJ$1),0))/SUMIFS(RefCapacity!$D$2:$D$526,RefCapacity!$A$2:$A$526,RefCapacityProj!$D146,RefCapacity!$B$2:$B$526,2019)</f>
        <v>70.590340834477672</v>
      </c>
      <c r="AR146" cm="1">
        <f t="array" ref="AR146">$Y146*INDEX(RefCapacity!$D$2:$D$526,MATCH(1,(RefCapacity!$A$2:$A$526=RefCapacityProj!$D146)*(RefCapacity!$B$2:$B$526=2019)*(RefCapacity!$C$2:$C$526=AK$1),0))/SUMIFS(RefCapacity!$D$2:$D$526,RefCapacity!$A$2:$A$526,RefCapacityProj!$D146,RefCapacity!$B$2:$B$526,2019)</f>
        <v>214.40186945792826</v>
      </c>
      <c r="AS146" cm="1">
        <f t="array" ref="AS146">$Y146*INDEX(RefCapacity!$D$2:$D$526,MATCH(1,(RefCapacity!$A$2:$A$526=RefCapacityProj!$D146)*(RefCapacity!$B$2:$B$526=2019)*(RefCapacity!$C$2:$C$526=AL$1),0))/SUMIFS(RefCapacity!$D$2:$D$526,RefCapacity!$A$2:$A$526,RefCapacityProj!$D146,RefCapacity!$B$2:$B$526,2019)</f>
        <v>0</v>
      </c>
      <c r="AT146" cm="1">
        <f t="array" ref="AT146">$Y146*INDEX(RefCapacity!$D$2:$D$526,MATCH(1,(RefCapacity!$A$2:$A$526=RefCapacityProj!$D146)*(RefCapacity!$B$2:$B$526=2019)*(RefCapacity!$C$2:$C$526=AM$1),0))/SUMIFS(RefCapacity!$D$2:$D$526,RefCapacity!$A$2:$A$526,RefCapacityProj!$D146,RefCapacity!$B$2:$B$526,2019)</f>
        <v>141.27307740303189</v>
      </c>
      <c r="AU146" cm="1">
        <f t="array" ref="AU146">INDEX(RefCapacity!$D$2:$D$526,MATCH(1,(RefCapacity!$A$2:$A$526=RefCapacityProj!$D146)*(RefCapacity!$B$2:$B$526=2019)*(RefCapacity!$C$2:$C$526=RefCapacityProj!AG$1),0))*IF($C146=2035,1+VLOOKUP(AG$1,RefCapacity!$H$2:$L$8,2,FALSE),1+VLOOKUP(AG$1,RefCapacity!$H$2:$L$8,4,FALSE))</f>
        <v>41.247209074424283</v>
      </c>
      <c r="AV146" cm="1">
        <f t="array" ref="AV146">INDEX(RefCapacity!$D$2:$D$526,MATCH(1,(RefCapacity!$A$2:$A$526=RefCapacityProj!$D146)*(RefCapacity!$B$2:$B$526=2019)*(RefCapacity!$C$2:$C$526=RefCapacityProj!AH$1),0))*IF($C146=2035,1+VLOOKUP(AH$1,RefCapacity!$H$2:$L$8,2,FALSE),1+VLOOKUP(AH$1,RefCapacity!$H$2:$L$8,4,FALSE))</f>
        <v>311.65678471726699</v>
      </c>
      <c r="AW146" cm="1">
        <f t="array" ref="AW146">INDEX(RefCapacity!$D$2:$D$526,MATCH(1,(RefCapacity!$A$2:$A$526=RefCapacityProj!$D146)*(RefCapacity!$B$2:$B$526=2019)*(RefCapacity!$C$2:$C$526=RefCapacityProj!AI$1),0))*IF($C146=2035,1+VLOOKUP(AI$1,RefCapacity!$H$2:$L$8,2,FALSE),1+VLOOKUP(AI$1,RefCapacity!$H$2:$L$8,4,FALSE))</f>
        <v>0</v>
      </c>
      <c r="AX146" cm="1">
        <f t="array" ref="AX146">INDEX(RefCapacity!$D$2:$D$526,MATCH(1,(RefCapacity!$A$2:$A$526=RefCapacityProj!$D146)*(RefCapacity!$B$2:$B$526=2019)*(RefCapacity!$C$2:$C$526=RefCapacityProj!AJ$1),0))*IF($C146=2035,1+VLOOKUP(AJ$1,RefCapacity!$H$2:$L$8,2,FALSE),1+VLOOKUP(AJ$1,RefCapacity!$H$2:$L$8,4,FALSE))</f>
        <v>138.96474358974359</v>
      </c>
      <c r="AY146" cm="1">
        <f t="array" ref="AY146">INDEX(RefCapacity!$D$2:$D$526,MATCH(1,(RefCapacity!$A$2:$A$526=RefCapacityProj!$D146)*(RefCapacity!$B$2:$B$526=2019)*(RefCapacity!$C$2:$C$526=RefCapacityProj!AK$1),0))*IF($C146=2035,1+VLOOKUP(AK$1,RefCapacity!$H$2:$L$8,2,FALSE),1+VLOOKUP(AK$1,RefCapacity!$H$2:$L$8,4,FALSE))</f>
        <v>273.7118603838083</v>
      </c>
      <c r="AZ146" cm="1">
        <f t="array" ref="AZ146">INDEX(RefCapacity!$D$2:$D$526,MATCH(1,(RefCapacity!$A$2:$A$526=RefCapacityProj!$D146)*(RefCapacity!$B$2:$B$526=2019)*(RefCapacity!$C$2:$C$526=RefCapacityProj!AL$1),0))*IF($C146=2035,1+VLOOKUP(AL$1,RefCapacity!$H$2:$L$8,2,FALSE),1+VLOOKUP(AL$1,RefCapacity!$H$2:$L$8,4,FALSE))</f>
        <v>0</v>
      </c>
      <c r="BA146" cm="1">
        <f t="array" ref="BA146">INDEX(RefCapacity!$D$2:$D$526,MATCH(1,(RefCapacity!$A$2:$A$526=RefCapacityProj!$D146)*(RefCapacity!$B$2:$B$526=2019)*(RefCapacity!$C$2:$C$526=RefCapacityProj!AM$1),0))*IF($C146=2035,1+VLOOKUP(AM$1,RefCapacity!$H$2:$L$8,2,FALSE),1+VLOOKUP(AM$1,RefCapacity!$H$2:$L$8,4,FALSE))</f>
        <v>150.98025463940334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f t="shared" si="20"/>
        <v>658.97610248133856</v>
      </c>
      <c r="BJ146">
        <f t="shared" si="21"/>
        <v>6.6573546061835032</v>
      </c>
      <c r="BK146">
        <f t="shared" si="22"/>
        <v>1.2559686440553417</v>
      </c>
      <c r="BL146" cm="1">
        <f t="array" ref="BL146">AG146/$BI146*INDEX('GHG Emission'!$C$2:$C$1121,MATCH(1,('GHG Emission'!$D$2:$D$1121=$D146)*('GHG Emission'!$E$2:$E$1121=$C146)*('GHG Emission'!$F$2:$F$1121=$B146)*('GHG Emission'!$I$2:$I$1121=$E146)*('GHG Emission'!$J$2:$J$1121=$F146)*('GHG Emission'!$K$2:$K$1121=AG$1),0))+AH146/$BI146*INDEX('GHG Emission'!$C$2:$C$1121,MATCH(1,('GHG Emission'!$D$2:$D$1121=$D146)*('GHG Emission'!$E$2:$E$1121=$C146)*('GHG Emission'!$F$2:$F$1121=$B146)*('GHG Emission'!$I$2:$I$1121=$E146)*('GHG Emission'!$J$2:$J$1121=$F146)*('GHG Emission'!$K$2:$K$1121=AH$1),0))+AI146/$BI146*INDEX('GHG Emission'!$C$2:$C$1121,MATCH(1,('GHG Emission'!$D$2:$D$1121=$D146)*('GHG Emission'!$E$2:$E$1121=$C146)*('GHG Emission'!$F$2:$F$1121=$B146)*('GHG Emission'!$I$2:$I$1121=$E146)*('GHG Emission'!$J$2:$J$1121=$F146)*('GHG Emission'!$K$2:$K$1121=AI$1),0))+AJ146/$BI146*INDEX('GHG Emission'!$C$2:$C$1121,MATCH(1,('GHG Emission'!$D$2:$D$1121=$D146)*('GHG Emission'!$E$2:$E$1121=$C146)*('GHG Emission'!$F$2:$F$1121=$B146)*('GHG Emission'!$I$2:$I$1121=$E146)*('GHG Emission'!$J$2:$J$1121=$F146)*('GHG Emission'!$K$2:$K$1121=AJ$1),0))+AK146/$BI146*INDEX('GHG Emission'!$C$2:$C$1121,MATCH(1,('GHG Emission'!$D$2:$D$1121=$D146)*('GHG Emission'!$E$2:$E$1121=$C146)*('GHG Emission'!$F$2:$F$1121=$B146)*('GHG Emission'!$I$2:$I$1121=$E146)*('GHG Emission'!$J$2:$J$1121=$F146)*('GHG Emission'!$K$2:$K$1121=AK$1),0))+AL146/$BI146*INDEX('GHG Emission'!$C$2:$C$1121,MATCH(1,('GHG Emission'!$D$2:$D$1121=$D146)*('GHG Emission'!$E$2:$E$1121=$C146)*('GHG Emission'!$F$2:$F$1121=$B146)*('GHG Emission'!$I$2:$I$1121=$E146)*('GHG Emission'!$J$2:$J$1121=$F146)*('GHG Emission'!$K$2:$K$1121=AL$1),0))+AM146/$BI146*INDEX('GHG Emission'!$C$2:$C$1121,MATCH(1,('GHG Emission'!$D$2:$D$1121=$D146)*('GHG Emission'!$E$2:$E$1121=$C146)*('GHG Emission'!$F$2:$F$1121=$B146)*('GHG Emission'!$I$2:$I$1121=$E146)*('GHG Emission'!$J$2:$J$1121=$F146)*('GHG Emission'!$K$2:$K$1121=AM$1),0))</f>
        <v>35.032625852945657</v>
      </c>
      <c r="BM146" t="str">
        <f t="shared" si="23"/>
        <v>HEAVY/SWEET</v>
      </c>
    </row>
    <row r="147" spans="1:65" hidden="1" x14ac:dyDescent="0.25">
      <c r="A147">
        <v>146</v>
      </c>
      <c r="B147" t="s">
        <v>472</v>
      </c>
      <c r="C147">
        <v>2035</v>
      </c>
      <c r="D147">
        <v>4</v>
      </c>
      <c r="E147" t="s">
        <v>466</v>
      </c>
      <c r="F147" t="s">
        <v>468</v>
      </c>
      <c r="G147">
        <v>335.76119925999257</v>
      </c>
      <c r="H147">
        <v>25.722246412711044</v>
      </c>
      <c r="I147">
        <v>170.00639635193204</v>
      </c>
      <c r="J147">
        <v>41.069540670068839</v>
      </c>
      <c r="K147">
        <v>4.5959626645722889</v>
      </c>
      <c r="L147">
        <v>2.1462026217592438</v>
      </c>
      <c r="M147">
        <v>0</v>
      </c>
      <c r="N147">
        <v>0</v>
      </c>
      <c r="O147">
        <v>0</v>
      </c>
      <c r="P147">
        <v>153.51055198997955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f t="shared" si="16"/>
        <v>732.81209997101564</v>
      </c>
      <c r="Y147">
        <f>X147*VLOOKUP($D147,'LinearReg Model'!$S$2:$T$6,2,FALSE)</f>
        <v>665.63345708752206</v>
      </c>
      <c r="Z147">
        <f t="shared" si="17"/>
        <v>0.45818184398602679</v>
      </c>
      <c r="AA147">
        <f t="shared" si="18"/>
        <v>0.23199179756810262</v>
      </c>
      <c r="AB147">
        <f t="shared" si="19"/>
        <v>3.5100739212314339E-2</v>
      </c>
      <c r="AC147">
        <v>29.333484298143549</v>
      </c>
      <c r="AD147">
        <v>2.5473042893453721</v>
      </c>
      <c r="AE147" s="2">
        <f>VLOOKUP($D147,'MultiReg Model'!$A$5:$F$9,2,FALSE)+AC147*VLOOKUP($D147,'MultiReg Model'!$A$5:$F$9,3,FALSE)+Z147*VLOOKUP($D147,'MultiReg Model'!$A$5:$F$9,4,FALSE)+AA147*VLOOKUP($D147,'MultiReg Model'!$A$5:$F$9,5,FALSE)+AB147*VLOOKUP($D147,'MultiReg Model'!$A$5:$F$9,6,FALSE)</f>
        <v>6.9067266987998188</v>
      </c>
      <c r="AF147" cm="1">
        <f t="array" ref="AF147">MMULT($AG147:$AM147,'Avg CI Index'!$C$2:$C$8)/BI147</f>
        <v>8.1626953428551605</v>
      </c>
      <c r="AG147">
        <v>41.24720907441354</v>
      </c>
      <c r="AH147">
        <v>311.65678471723726</v>
      </c>
      <c r="AI147">
        <v>0</v>
      </c>
      <c r="AJ147">
        <v>138.96474358951389</v>
      </c>
      <c r="AK147">
        <v>167.10736510010722</v>
      </c>
      <c r="AL147">
        <v>0</v>
      </c>
      <c r="AM147">
        <v>6.6674307805092085E-11</v>
      </c>
      <c r="AN147" cm="1">
        <f t="array" ref="AN147">$Y147*INDEX(RefCapacity!$D$2:$D$526,MATCH(1,(RefCapacity!$A$2:$A$526=RefCapacityProj!$D147)*(RefCapacity!$B$2:$B$526=2019)*(RefCapacity!$C$2:$C$526=AG$1),0))/SUMIFS(RefCapacity!$D$2:$D$526,RefCapacity!$A$2:$A$526,RefCapacityProj!$D147,RefCapacity!$B$2:$B$526,2019)</f>
        <v>14.50613025001701</v>
      </c>
      <c r="AO147" cm="1">
        <f t="array" ref="AO147">$Y147*INDEX(RefCapacity!$D$2:$D$526,MATCH(1,(RefCapacity!$A$2:$A$526=RefCapacityProj!$D147)*(RefCapacity!$B$2:$B$526=2019)*(RefCapacity!$C$2:$C$526=AH$1),0))/SUMIFS(RefCapacity!$D$2:$D$526,RefCapacity!$A$2:$A$526,RefCapacityProj!$D147,RefCapacity!$B$2:$B$526,2019)</f>
        <v>224.8620391420672</v>
      </c>
      <c r="AP147" cm="1">
        <f t="array" ref="AP147">$Y147*INDEX(RefCapacity!$D$2:$D$526,MATCH(1,(RefCapacity!$A$2:$A$526=RefCapacityProj!$D147)*(RefCapacity!$B$2:$B$526=2019)*(RefCapacity!$C$2:$C$526=AI$1),0))/SUMIFS(RefCapacity!$D$2:$D$526,RefCapacity!$A$2:$A$526,RefCapacityProj!$D147,RefCapacity!$B$2:$B$526,2019)</f>
        <v>0</v>
      </c>
      <c r="AQ147" cm="1">
        <f t="array" ref="AQ147">$Y147*INDEX(RefCapacity!$D$2:$D$526,MATCH(1,(RefCapacity!$A$2:$A$526=RefCapacityProj!$D147)*(RefCapacity!$B$2:$B$526=2019)*(RefCapacity!$C$2:$C$526=AJ$1),0))/SUMIFS(RefCapacity!$D$2:$D$526,RefCapacity!$A$2:$A$526,RefCapacityProj!$D147,RefCapacity!$B$2:$B$526,2019)</f>
        <v>70.590340834477672</v>
      </c>
      <c r="AR147" cm="1">
        <f t="array" ref="AR147">$Y147*INDEX(RefCapacity!$D$2:$D$526,MATCH(1,(RefCapacity!$A$2:$A$526=RefCapacityProj!$D147)*(RefCapacity!$B$2:$B$526=2019)*(RefCapacity!$C$2:$C$526=AK$1),0))/SUMIFS(RefCapacity!$D$2:$D$526,RefCapacity!$A$2:$A$526,RefCapacityProj!$D147,RefCapacity!$B$2:$B$526,2019)</f>
        <v>214.40186945792826</v>
      </c>
      <c r="AS147" cm="1">
        <f t="array" ref="AS147">$Y147*INDEX(RefCapacity!$D$2:$D$526,MATCH(1,(RefCapacity!$A$2:$A$526=RefCapacityProj!$D147)*(RefCapacity!$B$2:$B$526=2019)*(RefCapacity!$C$2:$C$526=AL$1),0))/SUMIFS(RefCapacity!$D$2:$D$526,RefCapacity!$A$2:$A$526,RefCapacityProj!$D147,RefCapacity!$B$2:$B$526,2019)</f>
        <v>0</v>
      </c>
      <c r="AT147" cm="1">
        <f t="array" ref="AT147">$Y147*INDEX(RefCapacity!$D$2:$D$526,MATCH(1,(RefCapacity!$A$2:$A$526=RefCapacityProj!$D147)*(RefCapacity!$B$2:$B$526=2019)*(RefCapacity!$C$2:$C$526=AM$1),0))/SUMIFS(RefCapacity!$D$2:$D$526,RefCapacity!$A$2:$A$526,RefCapacityProj!$D147,RefCapacity!$B$2:$B$526,2019)</f>
        <v>141.27307740303189</v>
      </c>
      <c r="AU147" cm="1">
        <f t="array" ref="AU147">INDEX(RefCapacity!$D$2:$D$526,MATCH(1,(RefCapacity!$A$2:$A$526=RefCapacityProj!$D147)*(RefCapacity!$B$2:$B$526=2019)*(RefCapacity!$C$2:$C$526=RefCapacityProj!AG$1),0))*IF($C147=2035,1+VLOOKUP(AG$1,RefCapacity!$H$2:$L$8,2,FALSE),1+VLOOKUP(AG$1,RefCapacity!$H$2:$L$8,4,FALSE))</f>
        <v>41.247209074424283</v>
      </c>
      <c r="AV147" cm="1">
        <f t="array" ref="AV147">INDEX(RefCapacity!$D$2:$D$526,MATCH(1,(RefCapacity!$A$2:$A$526=RefCapacityProj!$D147)*(RefCapacity!$B$2:$B$526=2019)*(RefCapacity!$C$2:$C$526=RefCapacityProj!AH$1),0))*IF($C147=2035,1+VLOOKUP(AH$1,RefCapacity!$H$2:$L$8,2,FALSE),1+VLOOKUP(AH$1,RefCapacity!$H$2:$L$8,4,FALSE))</f>
        <v>311.65678471726699</v>
      </c>
      <c r="AW147" cm="1">
        <f t="array" ref="AW147">INDEX(RefCapacity!$D$2:$D$526,MATCH(1,(RefCapacity!$A$2:$A$526=RefCapacityProj!$D147)*(RefCapacity!$B$2:$B$526=2019)*(RefCapacity!$C$2:$C$526=RefCapacityProj!AI$1),0))*IF($C147=2035,1+VLOOKUP(AI$1,RefCapacity!$H$2:$L$8,2,FALSE),1+VLOOKUP(AI$1,RefCapacity!$H$2:$L$8,4,FALSE))</f>
        <v>0</v>
      </c>
      <c r="AX147" cm="1">
        <f t="array" ref="AX147">INDEX(RefCapacity!$D$2:$D$526,MATCH(1,(RefCapacity!$A$2:$A$526=RefCapacityProj!$D147)*(RefCapacity!$B$2:$B$526=2019)*(RefCapacity!$C$2:$C$526=RefCapacityProj!AJ$1),0))*IF($C147=2035,1+VLOOKUP(AJ$1,RefCapacity!$H$2:$L$8,2,FALSE),1+VLOOKUP(AJ$1,RefCapacity!$H$2:$L$8,4,FALSE))</f>
        <v>138.96474358974359</v>
      </c>
      <c r="AY147" cm="1">
        <f t="array" ref="AY147">INDEX(RefCapacity!$D$2:$D$526,MATCH(1,(RefCapacity!$A$2:$A$526=RefCapacityProj!$D147)*(RefCapacity!$B$2:$B$526=2019)*(RefCapacity!$C$2:$C$526=RefCapacityProj!AK$1),0))*IF($C147=2035,1+VLOOKUP(AK$1,RefCapacity!$H$2:$L$8,2,FALSE),1+VLOOKUP(AK$1,RefCapacity!$H$2:$L$8,4,FALSE))</f>
        <v>273.7118603838083</v>
      </c>
      <c r="AZ147" cm="1">
        <f t="array" ref="AZ147">INDEX(RefCapacity!$D$2:$D$526,MATCH(1,(RefCapacity!$A$2:$A$526=RefCapacityProj!$D147)*(RefCapacity!$B$2:$B$526=2019)*(RefCapacity!$C$2:$C$526=RefCapacityProj!AL$1),0))*IF($C147=2035,1+VLOOKUP(AL$1,RefCapacity!$H$2:$L$8,2,FALSE),1+VLOOKUP(AL$1,RefCapacity!$H$2:$L$8,4,FALSE))</f>
        <v>0</v>
      </c>
      <c r="BA147" cm="1">
        <f t="array" ref="BA147">INDEX(RefCapacity!$D$2:$D$526,MATCH(1,(RefCapacity!$A$2:$A$526=RefCapacityProj!$D147)*(RefCapacity!$B$2:$B$526=2019)*(RefCapacity!$C$2:$C$526=RefCapacityProj!AM$1),0))*IF($C147=2035,1+VLOOKUP(AM$1,RefCapacity!$H$2:$L$8,2,FALSE),1+VLOOKUP(AM$1,RefCapacity!$H$2:$L$8,4,FALSE))</f>
        <v>150.98025463940334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f t="shared" si="20"/>
        <v>658.97610248133856</v>
      </c>
      <c r="BJ147">
        <f t="shared" si="21"/>
        <v>6.6573546061835032</v>
      </c>
      <c r="BK147">
        <f t="shared" si="22"/>
        <v>1.2559686440553417</v>
      </c>
      <c r="BL147" cm="1">
        <f t="array" ref="BL147">AG147/$BI147*INDEX('GHG Emission'!$C$2:$C$1121,MATCH(1,('GHG Emission'!$D$2:$D$1121=$D147)*('GHG Emission'!$E$2:$E$1121=$C147)*('GHG Emission'!$F$2:$F$1121=$B147)*('GHG Emission'!$I$2:$I$1121=$E147)*('GHG Emission'!$J$2:$J$1121=$F147)*('GHG Emission'!$K$2:$K$1121=AG$1),0))+AH147/$BI147*INDEX('GHG Emission'!$C$2:$C$1121,MATCH(1,('GHG Emission'!$D$2:$D$1121=$D147)*('GHG Emission'!$E$2:$E$1121=$C147)*('GHG Emission'!$F$2:$F$1121=$B147)*('GHG Emission'!$I$2:$I$1121=$E147)*('GHG Emission'!$J$2:$J$1121=$F147)*('GHG Emission'!$K$2:$K$1121=AH$1),0))+AI147/$BI147*INDEX('GHG Emission'!$C$2:$C$1121,MATCH(1,('GHG Emission'!$D$2:$D$1121=$D147)*('GHG Emission'!$E$2:$E$1121=$C147)*('GHG Emission'!$F$2:$F$1121=$B147)*('GHG Emission'!$I$2:$I$1121=$E147)*('GHG Emission'!$J$2:$J$1121=$F147)*('GHG Emission'!$K$2:$K$1121=AI$1),0))+AJ147/$BI147*INDEX('GHG Emission'!$C$2:$C$1121,MATCH(1,('GHG Emission'!$D$2:$D$1121=$D147)*('GHG Emission'!$E$2:$E$1121=$C147)*('GHG Emission'!$F$2:$F$1121=$B147)*('GHG Emission'!$I$2:$I$1121=$E147)*('GHG Emission'!$J$2:$J$1121=$F147)*('GHG Emission'!$K$2:$K$1121=AJ$1),0))+AK147/$BI147*INDEX('GHG Emission'!$C$2:$C$1121,MATCH(1,('GHG Emission'!$D$2:$D$1121=$D147)*('GHG Emission'!$E$2:$E$1121=$C147)*('GHG Emission'!$F$2:$F$1121=$B147)*('GHG Emission'!$I$2:$I$1121=$E147)*('GHG Emission'!$J$2:$J$1121=$F147)*('GHG Emission'!$K$2:$K$1121=AK$1),0))+AL147/$BI147*INDEX('GHG Emission'!$C$2:$C$1121,MATCH(1,('GHG Emission'!$D$2:$D$1121=$D147)*('GHG Emission'!$E$2:$E$1121=$C147)*('GHG Emission'!$F$2:$F$1121=$B147)*('GHG Emission'!$I$2:$I$1121=$E147)*('GHG Emission'!$J$2:$J$1121=$F147)*('GHG Emission'!$K$2:$K$1121=AL$1),0))+AM147/$BI147*INDEX('GHG Emission'!$C$2:$C$1121,MATCH(1,('GHG Emission'!$D$2:$D$1121=$D147)*('GHG Emission'!$E$2:$E$1121=$C147)*('GHG Emission'!$F$2:$F$1121=$B147)*('GHG Emission'!$I$2:$I$1121=$E147)*('GHG Emission'!$J$2:$J$1121=$F147)*('GHG Emission'!$K$2:$K$1121=AM$1),0))</f>
        <v>34.939946761822412</v>
      </c>
      <c r="BM147" t="str">
        <f t="shared" si="23"/>
        <v>HEAVY/SOUR</v>
      </c>
    </row>
    <row r="148" spans="1:65" hidden="1" x14ac:dyDescent="0.25">
      <c r="A148">
        <v>147</v>
      </c>
      <c r="B148" t="s">
        <v>472</v>
      </c>
      <c r="C148">
        <v>2035</v>
      </c>
      <c r="D148">
        <v>4</v>
      </c>
      <c r="E148" t="s">
        <v>469</v>
      </c>
      <c r="F148" t="s">
        <v>467</v>
      </c>
      <c r="G148">
        <v>335.76119925999257</v>
      </c>
      <c r="H148">
        <v>25.722246412711044</v>
      </c>
      <c r="I148">
        <v>170.00639635193204</v>
      </c>
      <c r="J148">
        <v>41.069540670068839</v>
      </c>
      <c r="K148">
        <v>4.5959626645722889</v>
      </c>
      <c r="L148">
        <v>2.1462026217592438</v>
      </c>
      <c r="M148">
        <v>0</v>
      </c>
      <c r="N148">
        <v>0</v>
      </c>
      <c r="O148">
        <v>0</v>
      </c>
      <c r="P148">
        <v>153.51055198997955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f t="shared" si="16"/>
        <v>732.81209997101564</v>
      </c>
      <c r="Y148">
        <f>X148*VLOOKUP($D148,'LinearReg Model'!$S$2:$T$6,2,FALSE)</f>
        <v>665.63345708752206</v>
      </c>
      <c r="Z148">
        <f t="shared" si="17"/>
        <v>0.45818184398602679</v>
      </c>
      <c r="AA148">
        <f t="shared" si="18"/>
        <v>0.23199179756810262</v>
      </c>
      <c r="AB148">
        <f t="shared" si="19"/>
        <v>3.5100739212314339E-2</v>
      </c>
      <c r="AC148">
        <v>34.027824378954648</v>
      </c>
      <c r="AD148">
        <v>1.1317892699899461</v>
      </c>
      <c r="AE148" s="2">
        <f>VLOOKUP($D148,'MultiReg Model'!$A$5:$F$9,2,FALSE)+AC148*VLOOKUP($D148,'MultiReg Model'!$A$5:$F$9,3,FALSE)+Z148*VLOOKUP($D148,'MultiReg Model'!$A$5:$F$9,4,FALSE)+AA148*VLOOKUP($D148,'MultiReg Model'!$A$5:$F$9,5,FALSE)+AB148*VLOOKUP($D148,'MultiReg Model'!$A$5:$F$9,6,FALSE)</f>
        <v>6.7458611988928894</v>
      </c>
      <c r="AF148" cm="1">
        <f t="array" ref="AF148">MMULT($AG148:$AM148,'Avg CI Index'!$C$2:$C$8)/BI148</f>
        <v>8.1626925824170655</v>
      </c>
      <c r="AG148">
        <v>41.247209074411444</v>
      </c>
      <c r="AH148">
        <v>311.65678471723089</v>
      </c>
      <c r="AI148">
        <v>0</v>
      </c>
      <c r="AJ148">
        <v>138.96474358945034</v>
      </c>
      <c r="AK148">
        <v>167.10634895767373</v>
      </c>
      <c r="AL148">
        <v>0</v>
      </c>
      <c r="AM148">
        <v>7.9348345412476647E-11</v>
      </c>
      <c r="AN148" cm="1">
        <f t="array" ref="AN148">$Y148*INDEX(RefCapacity!$D$2:$D$526,MATCH(1,(RefCapacity!$A$2:$A$526=RefCapacityProj!$D148)*(RefCapacity!$B$2:$B$526=2019)*(RefCapacity!$C$2:$C$526=AG$1),0))/SUMIFS(RefCapacity!$D$2:$D$526,RefCapacity!$A$2:$A$526,RefCapacityProj!$D148,RefCapacity!$B$2:$B$526,2019)</f>
        <v>14.50613025001701</v>
      </c>
      <c r="AO148" cm="1">
        <f t="array" ref="AO148">$Y148*INDEX(RefCapacity!$D$2:$D$526,MATCH(1,(RefCapacity!$A$2:$A$526=RefCapacityProj!$D148)*(RefCapacity!$B$2:$B$526=2019)*(RefCapacity!$C$2:$C$526=AH$1),0))/SUMIFS(RefCapacity!$D$2:$D$526,RefCapacity!$A$2:$A$526,RefCapacityProj!$D148,RefCapacity!$B$2:$B$526,2019)</f>
        <v>224.8620391420672</v>
      </c>
      <c r="AP148" cm="1">
        <f t="array" ref="AP148">$Y148*INDEX(RefCapacity!$D$2:$D$526,MATCH(1,(RefCapacity!$A$2:$A$526=RefCapacityProj!$D148)*(RefCapacity!$B$2:$B$526=2019)*(RefCapacity!$C$2:$C$526=AI$1),0))/SUMIFS(RefCapacity!$D$2:$D$526,RefCapacity!$A$2:$A$526,RefCapacityProj!$D148,RefCapacity!$B$2:$B$526,2019)</f>
        <v>0</v>
      </c>
      <c r="AQ148" cm="1">
        <f t="array" ref="AQ148">$Y148*INDEX(RefCapacity!$D$2:$D$526,MATCH(1,(RefCapacity!$A$2:$A$526=RefCapacityProj!$D148)*(RefCapacity!$B$2:$B$526=2019)*(RefCapacity!$C$2:$C$526=AJ$1),0))/SUMIFS(RefCapacity!$D$2:$D$526,RefCapacity!$A$2:$A$526,RefCapacityProj!$D148,RefCapacity!$B$2:$B$526,2019)</f>
        <v>70.590340834477672</v>
      </c>
      <c r="AR148" cm="1">
        <f t="array" ref="AR148">$Y148*INDEX(RefCapacity!$D$2:$D$526,MATCH(1,(RefCapacity!$A$2:$A$526=RefCapacityProj!$D148)*(RefCapacity!$B$2:$B$526=2019)*(RefCapacity!$C$2:$C$526=AK$1),0))/SUMIFS(RefCapacity!$D$2:$D$526,RefCapacity!$A$2:$A$526,RefCapacityProj!$D148,RefCapacity!$B$2:$B$526,2019)</f>
        <v>214.40186945792826</v>
      </c>
      <c r="AS148" cm="1">
        <f t="array" ref="AS148">$Y148*INDEX(RefCapacity!$D$2:$D$526,MATCH(1,(RefCapacity!$A$2:$A$526=RefCapacityProj!$D148)*(RefCapacity!$B$2:$B$526=2019)*(RefCapacity!$C$2:$C$526=AL$1),0))/SUMIFS(RefCapacity!$D$2:$D$526,RefCapacity!$A$2:$A$526,RefCapacityProj!$D148,RefCapacity!$B$2:$B$526,2019)</f>
        <v>0</v>
      </c>
      <c r="AT148" cm="1">
        <f t="array" ref="AT148">$Y148*INDEX(RefCapacity!$D$2:$D$526,MATCH(1,(RefCapacity!$A$2:$A$526=RefCapacityProj!$D148)*(RefCapacity!$B$2:$B$526=2019)*(RefCapacity!$C$2:$C$526=AM$1),0))/SUMIFS(RefCapacity!$D$2:$D$526,RefCapacity!$A$2:$A$526,RefCapacityProj!$D148,RefCapacity!$B$2:$B$526,2019)</f>
        <v>141.27307740303189</v>
      </c>
      <c r="AU148" cm="1">
        <f t="array" ref="AU148">INDEX(RefCapacity!$D$2:$D$526,MATCH(1,(RefCapacity!$A$2:$A$526=RefCapacityProj!$D148)*(RefCapacity!$B$2:$B$526=2019)*(RefCapacity!$C$2:$C$526=RefCapacityProj!AG$1),0))*IF($C148=2035,1+VLOOKUP(AG$1,RefCapacity!$H$2:$L$8,2,FALSE),1+VLOOKUP(AG$1,RefCapacity!$H$2:$L$8,4,FALSE))</f>
        <v>41.247209074424283</v>
      </c>
      <c r="AV148" cm="1">
        <f t="array" ref="AV148">INDEX(RefCapacity!$D$2:$D$526,MATCH(1,(RefCapacity!$A$2:$A$526=RefCapacityProj!$D148)*(RefCapacity!$B$2:$B$526=2019)*(RefCapacity!$C$2:$C$526=RefCapacityProj!AH$1),0))*IF($C148=2035,1+VLOOKUP(AH$1,RefCapacity!$H$2:$L$8,2,FALSE),1+VLOOKUP(AH$1,RefCapacity!$H$2:$L$8,4,FALSE))</f>
        <v>311.65678471726699</v>
      </c>
      <c r="AW148" cm="1">
        <f t="array" ref="AW148">INDEX(RefCapacity!$D$2:$D$526,MATCH(1,(RefCapacity!$A$2:$A$526=RefCapacityProj!$D148)*(RefCapacity!$B$2:$B$526=2019)*(RefCapacity!$C$2:$C$526=RefCapacityProj!AI$1),0))*IF($C148=2035,1+VLOOKUP(AI$1,RefCapacity!$H$2:$L$8,2,FALSE),1+VLOOKUP(AI$1,RefCapacity!$H$2:$L$8,4,FALSE))</f>
        <v>0</v>
      </c>
      <c r="AX148" cm="1">
        <f t="array" ref="AX148">INDEX(RefCapacity!$D$2:$D$526,MATCH(1,(RefCapacity!$A$2:$A$526=RefCapacityProj!$D148)*(RefCapacity!$B$2:$B$526=2019)*(RefCapacity!$C$2:$C$526=RefCapacityProj!AJ$1),0))*IF($C148=2035,1+VLOOKUP(AJ$1,RefCapacity!$H$2:$L$8,2,FALSE),1+VLOOKUP(AJ$1,RefCapacity!$H$2:$L$8,4,FALSE))</f>
        <v>138.96474358974359</v>
      </c>
      <c r="AY148" cm="1">
        <f t="array" ref="AY148">INDEX(RefCapacity!$D$2:$D$526,MATCH(1,(RefCapacity!$A$2:$A$526=RefCapacityProj!$D148)*(RefCapacity!$B$2:$B$526=2019)*(RefCapacity!$C$2:$C$526=RefCapacityProj!AK$1),0))*IF($C148=2035,1+VLOOKUP(AK$1,RefCapacity!$H$2:$L$8,2,FALSE),1+VLOOKUP(AK$1,RefCapacity!$H$2:$L$8,4,FALSE))</f>
        <v>273.7118603838083</v>
      </c>
      <c r="AZ148" cm="1">
        <f t="array" ref="AZ148">INDEX(RefCapacity!$D$2:$D$526,MATCH(1,(RefCapacity!$A$2:$A$526=RefCapacityProj!$D148)*(RefCapacity!$B$2:$B$526=2019)*(RefCapacity!$C$2:$C$526=RefCapacityProj!AL$1),0))*IF($C148=2035,1+VLOOKUP(AL$1,RefCapacity!$H$2:$L$8,2,FALSE),1+VLOOKUP(AL$1,RefCapacity!$H$2:$L$8,4,FALSE))</f>
        <v>0</v>
      </c>
      <c r="BA148" cm="1">
        <f t="array" ref="BA148">INDEX(RefCapacity!$D$2:$D$526,MATCH(1,(RefCapacity!$A$2:$A$526=RefCapacityProj!$D148)*(RefCapacity!$B$2:$B$526=2019)*(RefCapacity!$C$2:$C$526=RefCapacityProj!AM$1),0))*IF($C148=2035,1+VLOOKUP(AM$1,RefCapacity!$H$2:$L$8,2,FALSE),1+VLOOKUP(AM$1,RefCapacity!$H$2:$L$8,4,FALSE))</f>
        <v>150.98025463940334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f t="shared" si="20"/>
        <v>658.97508633884581</v>
      </c>
      <c r="BJ148">
        <f t="shared" si="21"/>
        <v>6.6583707486762478</v>
      </c>
      <c r="BK148">
        <f t="shared" si="22"/>
        <v>1.4168313835241761</v>
      </c>
      <c r="BL148" cm="1">
        <f t="array" ref="BL148">AG148/$BI148*INDEX('GHG Emission'!$C$2:$C$1121,MATCH(1,('GHG Emission'!$D$2:$D$1121=$D148)*('GHG Emission'!$E$2:$E$1121=$C148)*('GHG Emission'!$F$2:$F$1121=$B148)*('GHG Emission'!$I$2:$I$1121=$E148)*('GHG Emission'!$J$2:$J$1121=$F148)*('GHG Emission'!$K$2:$K$1121=AG$1),0))+AH148/$BI148*INDEX('GHG Emission'!$C$2:$C$1121,MATCH(1,('GHG Emission'!$D$2:$D$1121=$D148)*('GHG Emission'!$E$2:$E$1121=$C148)*('GHG Emission'!$F$2:$F$1121=$B148)*('GHG Emission'!$I$2:$I$1121=$E148)*('GHG Emission'!$J$2:$J$1121=$F148)*('GHG Emission'!$K$2:$K$1121=AH$1),0))+AI148/$BI148*INDEX('GHG Emission'!$C$2:$C$1121,MATCH(1,('GHG Emission'!$D$2:$D$1121=$D148)*('GHG Emission'!$E$2:$E$1121=$C148)*('GHG Emission'!$F$2:$F$1121=$B148)*('GHG Emission'!$I$2:$I$1121=$E148)*('GHG Emission'!$J$2:$J$1121=$F148)*('GHG Emission'!$K$2:$K$1121=AI$1),0))+AJ148/$BI148*INDEX('GHG Emission'!$C$2:$C$1121,MATCH(1,('GHG Emission'!$D$2:$D$1121=$D148)*('GHG Emission'!$E$2:$E$1121=$C148)*('GHG Emission'!$F$2:$F$1121=$B148)*('GHG Emission'!$I$2:$I$1121=$E148)*('GHG Emission'!$J$2:$J$1121=$F148)*('GHG Emission'!$K$2:$K$1121=AJ$1),0))+AK148/$BI148*INDEX('GHG Emission'!$C$2:$C$1121,MATCH(1,('GHG Emission'!$D$2:$D$1121=$D148)*('GHG Emission'!$E$2:$E$1121=$C148)*('GHG Emission'!$F$2:$F$1121=$B148)*('GHG Emission'!$I$2:$I$1121=$E148)*('GHG Emission'!$J$2:$J$1121=$F148)*('GHG Emission'!$K$2:$K$1121=AK$1),0))+AL148/$BI148*INDEX('GHG Emission'!$C$2:$C$1121,MATCH(1,('GHG Emission'!$D$2:$D$1121=$D148)*('GHG Emission'!$E$2:$E$1121=$C148)*('GHG Emission'!$F$2:$F$1121=$B148)*('GHG Emission'!$I$2:$I$1121=$E148)*('GHG Emission'!$J$2:$J$1121=$F148)*('GHG Emission'!$K$2:$K$1121=AL$1),0))+AM148/$BI148*INDEX('GHG Emission'!$C$2:$C$1121,MATCH(1,('GHG Emission'!$D$2:$D$1121=$D148)*('GHG Emission'!$E$2:$E$1121=$C148)*('GHG Emission'!$F$2:$F$1121=$B148)*('GHG Emission'!$I$2:$I$1121=$E148)*('GHG Emission'!$J$2:$J$1121=$F148)*('GHG Emission'!$K$2:$K$1121=AM$1),0))</f>
        <v>37.647349619835126</v>
      </c>
      <c r="BM148" t="str">
        <f t="shared" si="23"/>
        <v>LIGHT/SWEET</v>
      </c>
    </row>
    <row r="149" spans="1:65" hidden="1" x14ac:dyDescent="0.25">
      <c r="A149">
        <v>148</v>
      </c>
      <c r="B149" t="s">
        <v>472</v>
      </c>
      <c r="C149">
        <v>2035</v>
      </c>
      <c r="D149">
        <v>4</v>
      </c>
      <c r="E149" t="s">
        <v>469</v>
      </c>
      <c r="F149" t="s">
        <v>468</v>
      </c>
      <c r="G149">
        <v>335.76119925999257</v>
      </c>
      <c r="H149">
        <v>25.722246412711044</v>
      </c>
      <c r="I149">
        <v>170.00639635193204</v>
      </c>
      <c r="J149">
        <v>41.069540670068839</v>
      </c>
      <c r="K149">
        <v>4.5959626645722889</v>
      </c>
      <c r="L149">
        <v>2.1462026217592438</v>
      </c>
      <c r="M149">
        <v>0</v>
      </c>
      <c r="N149">
        <v>0</v>
      </c>
      <c r="O149">
        <v>0</v>
      </c>
      <c r="P149">
        <v>153.51055198997955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f t="shared" si="16"/>
        <v>732.81209997101564</v>
      </c>
      <c r="Y149">
        <f>X149*VLOOKUP($D149,'LinearReg Model'!$S$2:$T$6,2,FALSE)</f>
        <v>665.63345708752206</v>
      </c>
      <c r="Z149">
        <f t="shared" si="17"/>
        <v>0.45818184398602679</v>
      </c>
      <c r="AA149">
        <f t="shared" si="18"/>
        <v>0.23199179756810262</v>
      </c>
      <c r="AB149">
        <f t="shared" si="19"/>
        <v>3.5100739212314339E-2</v>
      </c>
      <c r="AC149">
        <v>34.027824378954648</v>
      </c>
      <c r="AD149">
        <v>2.5473042893453721</v>
      </c>
      <c r="AE149" s="2">
        <f>VLOOKUP($D149,'MultiReg Model'!$A$5:$F$9,2,FALSE)+AC149*VLOOKUP($D149,'MultiReg Model'!$A$5:$F$9,3,FALSE)+Z149*VLOOKUP($D149,'MultiReg Model'!$A$5:$F$9,4,FALSE)+AA149*VLOOKUP($D149,'MultiReg Model'!$A$5:$F$9,5,FALSE)+AB149*VLOOKUP($D149,'MultiReg Model'!$A$5:$F$9,6,FALSE)</f>
        <v>6.7458611988928894</v>
      </c>
      <c r="AF149" cm="1">
        <f t="array" ref="AF149">MMULT($AG149:$AM149,'Avg CI Index'!$C$2:$C$8)/BI149</f>
        <v>8.1626925824170655</v>
      </c>
      <c r="AG149">
        <v>41.247209074411444</v>
      </c>
      <c r="AH149">
        <v>311.65678471723089</v>
      </c>
      <c r="AI149">
        <v>0</v>
      </c>
      <c r="AJ149">
        <v>138.96474358945034</v>
      </c>
      <c r="AK149">
        <v>167.10634895767373</v>
      </c>
      <c r="AL149">
        <v>0</v>
      </c>
      <c r="AM149">
        <v>7.9348345412476647E-11</v>
      </c>
      <c r="AN149" cm="1">
        <f t="array" ref="AN149">$Y149*INDEX(RefCapacity!$D$2:$D$526,MATCH(1,(RefCapacity!$A$2:$A$526=RefCapacityProj!$D149)*(RefCapacity!$B$2:$B$526=2019)*(RefCapacity!$C$2:$C$526=AG$1),0))/SUMIFS(RefCapacity!$D$2:$D$526,RefCapacity!$A$2:$A$526,RefCapacityProj!$D149,RefCapacity!$B$2:$B$526,2019)</f>
        <v>14.50613025001701</v>
      </c>
      <c r="AO149" cm="1">
        <f t="array" ref="AO149">$Y149*INDEX(RefCapacity!$D$2:$D$526,MATCH(1,(RefCapacity!$A$2:$A$526=RefCapacityProj!$D149)*(RefCapacity!$B$2:$B$526=2019)*(RefCapacity!$C$2:$C$526=AH$1),0))/SUMIFS(RefCapacity!$D$2:$D$526,RefCapacity!$A$2:$A$526,RefCapacityProj!$D149,RefCapacity!$B$2:$B$526,2019)</f>
        <v>224.8620391420672</v>
      </c>
      <c r="AP149" cm="1">
        <f t="array" ref="AP149">$Y149*INDEX(RefCapacity!$D$2:$D$526,MATCH(1,(RefCapacity!$A$2:$A$526=RefCapacityProj!$D149)*(RefCapacity!$B$2:$B$526=2019)*(RefCapacity!$C$2:$C$526=AI$1),0))/SUMIFS(RefCapacity!$D$2:$D$526,RefCapacity!$A$2:$A$526,RefCapacityProj!$D149,RefCapacity!$B$2:$B$526,2019)</f>
        <v>0</v>
      </c>
      <c r="AQ149" cm="1">
        <f t="array" ref="AQ149">$Y149*INDEX(RefCapacity!$D$2:$D$526,MATCH(1,(RefCapacity!$A$2:$A$526=RefCapacityProj!$D149)*(RefCapacity!$B$2:$B$526=2019)*(RefCapacity!$C$2:$C$526=AJ$1),0))/SUMIFS(RefCapacity!$D$2:$D$526,RefCapacity!$A$2:$A$526,RefCapacityProj!$D149,RefCapacity!$B$2:$B$526,2019)</f>
        <v>70.590340834477672</v>
      </c>
      <c r="AR149" cm="1">
        <f t="array" ref="AR149">$Y149*INDEX(RefCapacity!$D$2:$D$526,MATCH(1,(RefCapacity!$A$2:$A$526=RefCapacityProj!$D149)*(RefCapacity!$B$2:$B$526=2019)*(RefCapacity!$C$2:$C$526=AK$1),0))/SUMIFS(RefCapacity!$D$2:$D$526,RefCapacity!$A$2:$A$526,RefCapacityProj!$D149,RefCapacity!$B$2:$B$526,2019)</f>
        <v>214.40186945792826</v>
      </c>
      <c r="AS149" cm="1">
        <f t="array" ref="AS149">$Y149*INDEX(RefCapacity!$D$2:$D$526,MATCH(1,(RefCapacity!$A$2:$A$526=RefCapacityProj!$D149)*(RefCapacity!$B$2:$B$526=2019)*(RefCapacity!$C$2:$C$526=AL$1),0))/SUMIFS(RefCapacity!$D$2:$D$526,RefCapacity!$A$2:$A$526,RefCapacityProj!$D149,RefCapacity!$B$2:$B$526,2019)</f>
        <v>0</v>
      </c>
      <c r="AT149" cm="1">
        <f t="array" ref="AT149">$Y149*INDEX(RefCapacity!$D$2:$D$526,MATCH(1,(RefCapacity!$A$2:$A$526=RefCapacityProj!$D149)*(RefCapacity!$B$2:$B$526=2019)*(RefCapacity!$C$2:$C$526=AM$1),0))/SUMIFS(RefCapacity!$D$2:$D$526,RefCapacity!$A$2:$A$526,RefCapacityProj!$D149,RefCapacity!$B$2:$B$526,2019)</f>
        <v>141.27307740303189</v>
      </c>
      <c r="AU149" cm="1">
        <f t="array" ref="AU149">INDEX(RefCapacity!$D$2:$D$526,MATCH(1,(RefCapacity!$A$2:$A$526=RefCapacityProj!$D149)*(RefCapacity!$B$2:$B$526=2019)*(RefCapacity!$C$2:$C$526=RefCapacityProj!AG$1),0))*IF($C149=2035,1+VLOOKUP(AG$1,RefCapacity!$H$2:$L$8,2,FALSE),1+VLOOKUP(AG$1,RefCapacity!$H$2:$L$8,4,FALSE))</f>
        <v>41.247209074424283</v>
      </c>
      <c r="AV149" cm="1">
        <f t="array" ref="AV149">INDEX(RefCapacity!$D$2:$D$526,MATCH(1,(RefCapacity!$A$2:$A$526=RefCapacityProj!$D149)*(RefCapacity!$B$2:$B$526=2019)*(RefCapacity!$C$2:$C$526=RefCapacityProj!AH$1),0))*IF($C149=2035,1+VLOOKUP(AH$1,RefCapacity!$H$2:$L$8,2,FALSE),1+VLOOKUP(AH$1,RefCapacity!$H$2:$L$8,4,FALSE))</f>
        <v>311.65678471726699</v>
      </c>
      <c r="AW149" cm="1">
        <f t="array" ref="AW149">INDEX(RefCapacity!$D$2:$D$526,MATCH(1,(RefCapacity!$A$2:$A$526=RefCapacityProj!$D149)*(RefCapacity!$B$2:$B$526=2019)*(RefCapacity!$C$2:$C$526=RefCapacityProj!AI$1),0))*IF($C149=2035,1+VLOOKUP(AI$1,RefCapacity!$H$2:$L$8,2,FALSE),1+VLOOKUP(AI$1,RefCapacity!$H$2:$L$8,4,FALSE))</f>
        <v>0</v>
      </c>
      <c r="AX149" cm="1">
        <f t="array" ref="AX149">INDEX(RefCapacity!$D$2:$D$526,MATCH(1,(RefCapacity!$A$2:$A$526=RefCapacityProj!$D149)*(RefCapacity!$B$2:$B$526=2019)*(RefCapacity!$C$2:$C$526=RefCapacityProj!AJ$1),0))*IF($C149=2035,1+VLOOKUP(AJ$1,RefCapacity!$H$2:$L$8,2,FALSE),1+VLOOKUP(AJ$1,RefCapacity!$H$2:$L$8,4,FALSE))</f>
        <v>138.96474358974359</v>
      </c>
      <c r="AY149" cm="1">
        <f t="array" ref="AY149">INDEX(RefCapacity!$D$2:$D$526,MATCH(1,(RefCapacity!$A$2:$A$526=RefCapacityProj!$D149)*(RefCapacity!$B$2:$B$526=2019)*(RefCapacity!$C$2:$C$526=RefCapacityProj!AK$1),0))*IF($C149=2035,1+VLOOKUP(AK$1,RefCapacity!$H$2:$L$8,2,FALSE),1+VLOOKUP(AK$1,RefCapacity!$H$2:$L$8,4,FALSE))</f>
        <v>273.7118603838083</v>
      </c>
      <c r="AZ149" cm="1">
        <f t="array" ref="AZ149">INDEX(RefCapacity!$D$2:$D$526,MATCH(1,(RefCapacity!$A$2:$A$526=RefCapacityProj!$D149)*(RefCapacity!$B$2:$B$526=2019)*(RefCapacity!$C$2:$C$526=RefCapacityProj!AL$1),0))*IF($C149=2035,1+VLOOKUP(AL$1,RefCapacity!$H$2:$L$8,2,FALSE),1+VLOOKUP(AL$1,RefCapacity!$H$2:$L$8,4,FALSE))</f>
        <v>0</v>
      </c>
      <c r="BA149" cm="1">
        <f t="array" ref="BA149">INDEX(RefCapacity!$D$2:$D$526,MATCH(1,(RefCapacity!$A$2:$A$526=RefCapacityProj!$D149)*(RefCapacity!$B$2:$B$526=2019)*(RefCapacity!$C$2:$C$526=RefCapacityProj!AM$1),0))*IF($C149=2035,1+VLOOKUP(AM$1,RefCapacity!$H$2:$L$8,2,FALSE),1+VLOOKUP(AM$1,RefCapacity!$H$2:$L$8,4,FALSE))</f>
        <v>150.98025463940334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f t="shared" si="20"/>
        <v>658.97508633884581</v>
      </c>
      <c r="BJ149">
        <f t="shared" si="21"/>
        <v>6.6583707486762478</v>
      </c>
      <c r="BK149">
        <f t="shared" si="22"/>
        <v>1.4168313835241761</v>
      </c>
      <c r="BL149" cm="1">
        <f t="array" ref="BL149">AG149/$BI149*INDEX('GHG Emission'!$C$2:$C$1121,MATCH(1,('GHG Emission'!$D$2:$D$1121=$D149)*('GHG Emission'!$E$2:$E$1121=$C149)*('GHG Emission'!$F$2:$F$1121=$B149)*('GHG Emission'!$I$2:$I$1121=$E149)*('GHG Emission'!$J$2:$J$1121=$F149)*('GHG Emission'!$K$2:$K$1121=AG$1),0))+AH149/$BI149*INDEX('GHG Emission'!$C$2:$C$1121,MATCH(1,('GHG Emission'!$D$2:$D$1121=$D149)*('GHG Emission'!$E$2:$E$1121=$C149)*('GHG Emission'!$F$2:$F$1121=$B149)*('GHG Emission'!$I$2:$I$1121=$E149)*('GHG Emission'!$J$2:$J$1121=$F149)*('GHG Emission'!$K$2:$K$1121=AH$1),0))+AI149/$BI149*INDEX('GHG Emission'!$C$2:$C$1121,MATCH(1,('GHG Emission'!$D$2:$D$1121=$D149)*('GHG Emission'!$E$2:$E$1121=$C149)*('GHG Emission'!$F$2:$F$1121=$B149)*('GHG Emission'!$I$2:$I$1121=$E149)*('GHG Emission'!$J$2:$J$1121=$F149)*('GHG Emission'!$K$2:$K$1121=AI$1),0))+AJ149/$BI149*INDEX('GHG Emission'!$C$2:$C$1121,MATCH(1,('GHG Emission'!$D$2:$D$1121=$D149)*('GHG Emission'!$E$2:$E$1121=$C149)*('GHG Emission'!$F$2:$F$1121=$B149)*('GHG Emission'!$I$2:$I$1121=$E149)*('GHG Emission'!$J$2:$J$1121=$F149)*('GHG Emission'!$K$2:$K$1121=AJ$1),0))+AK149/$BI149*INDEX('GHG Emission'!$C$2:$C$1121,MATCH(1,('GHG Emission'!$D$2:$D$1121=$D149)*('GHG Emission'!$E$2:$E$1121=$C149)*('GHG Emission'!$F$2:$F$1121=$B149)*('GHG Emission'!$I$2:$I$1121=$E149)*('GHG Emission'!$J$2:$J$1121=$F149)*('GHG Emission'!$K$2:$K$1121=AK$1),0))+AL149/$BI149*INDEX('GHG Emission'!$C$2:$C$1121,MATCH(1,('GHG Emission'!$D$2:$D$1121=$D149)*('GHG Emission'!$E$2:$E$1121=$C149)*('GHG Emission'!$F$2:$F$1121=$B149)*('GHG Emission'!$I$2:$I$1121=$E149)*('GHG Emission'!$J$2:$J$1121=$F149)*('GHG Emission'!$K$2:$K$1121=AL$1),0))+AM149/$BI149*INDEX('GHG Emission'!$C$2:$C$1121,MATCH(1,('GHG Emission'!$D$2:$D$1121=$D149)*('GHG Emission'!$E$2:$E$1121=$C149)*('GHG Emission'!$F$2:$F$1121=$B149)*('GHG Emission'!$I$2:$I$1121=$E149)*('GHG Emission'!$J$2:$J$1121=$F149)*('GHG Emission'!$K$2:$K$1121=AM$1),0))</f>
        <v>33.633227822042421</v>
      </c>
      <c r="BM149" t="str">
        <f t="shared" si="23"/>
        <v>LIGHT/SOUR</v>
      </c>
    </row>
    <row r="150" spans="1:65" hidden="1" x14ac:dyDescent="0.25">
      <c r="A150">
        <v>149</v>
      </c>
      <c r="B150" t="s">
        <v>472</v>
      </c>
      <c r="C150">
        <v>2050</v>
      </c>
      <c r="D150">
        <v>4</v>
      </c>
      <c r="E150" t="s">
        <v>466</v>
      </c>
      <c r="F150" t="s">
        <v>467</v>
      </c>
      <c r="G150">
        <v>316.52366436777658</v>
      </c>
      <c r="H150">
        <v>31.714904585976345</v>
      </c>
      <c r="I150">
        <v>179.05965176001402</v>
      </c>
      <c r="J150">
        <v>43.256593917224599</v>
      </c>
      <c r="K150">
        <v>5.489384803663925</v>
      </c>
      <c r="L150">
        <v>2.5634089998782152</v>
      </c>
      <c r="M150">
        <v>0</v>
      </c>
      <c r="N150">
        <v>0</v>
      </c>
      <c r="O150">
        <v>0</v>
      </c>
      <c r="P150">
        <v>187.83978707366825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f t="shared" si="16"/>
        <v>766.44739550820191</v>
      </c>
      <c r="Y150">
        <f>X150*VLOOKUP($D150,'LinearReg Model'!$S$2:$T$6,2,FALSE)</f>
        <v>696.18532440721197</v>
      </c>
      <c r="Z150">
        <f t="shared" si="17"/>
        <v>0.41297506681186108</v>
      </c>
      <c r="AA150">
        <f t="shared" si="18"/>
        <v>0.23362288502694489</v>
      </c>
      <c r="AB150">
        <f t="shared" si="19"/>
        <v>4.1379101516741935E-2</v>
      </c>
      <c r="AC150">
        <v>26.924463078862729</v>
      </c>
      <c r="AD150">
        <v>1.1684886308416846</v>
      </c>
      <c r="AE150" s="2">
        <f>VLOOKUP($D150,'MultiReg Model'!$A$5:$F$9,2,FALSE)+AC150*VLOOKUP($D150,'MultiReg Model'!$A$5:$F$9,3,FALSE)+Z150*VLOOKUP($D150,'MultiReg Model'!$A$5:$F$9,4,FALSE)+AA150*VLOOKUP($D150,'MultiReg Model'!$A$5:$F$9,5,FALSE)+AB150*VLOOKUP($D150,'MultiReg Model'!$A$5:$F$9,6,FALSE)</f>
        <v>6.6568186783345498</v>
      </c>
      <c r="AF150" cm="1">
        <f t="array" ref="AF150">MMULT($AG150:$AM150,'Avg CI Index'!$C$2:$C$8)/BI150</f>
        <v>7.6193444547340272</v>
      </c>
      <c r="AG150">
        <v>67.579418148792087</v>
      </c>
      <c r="AH150">
        <v>392.11356943438057</v>
      </c>
      <c r="AI150">
        <v>0</v>
      </c>
      <c r="AJ150">
        <v>205.34948717824963</v>
      </c>
      <c r="AK150">
        <v>24.173461141935817</v>
      </c>
      <c r="AL150">
        <v>0</v>
      </c>
      <c r="AM150">
        <v>3.4010786799325068E-10</v>
      </c>
      <c r="AN150" cm="1">
        <f t="array" ref="AN150">$Y150*INDEX(RefCapacity!$D$2:$D$526,MATCH(1,(RefCapacity!$A$2:$A$526=RefCapacityProj!$D150)*(RefCapacity!$B$2:$B$526=2019)*(RefCapacity!$C$2:$C$526=AG$1),0))/SUMIFS(RefCapacity!$D$2:$D$526,RefCapacity!$A$2:$A$526,RefCapacityProj!$D150,RefCapacity!$B$2:$B$526,2019)</f>
        <v>15.171946191210582</v>
      </c>
      <c r="AO150" cm="1">
        <f t="array" ref="AO150">$Y150*INDEX(RefCapacity!$D$2:$D$526,MATCH(1,(RefCapacity!$A$2:$A$526=RefCapacityProj!$D150)*(RefCapacity!$B$2:$B$526=2019)*(RefCapacity!$C$2:$C$526=AH$1),0))/SUMIFS(RefCapacity!$D$2:$D$526,RefCapacity!$A$2:$A$526,RefCapacityProj!$D150,RefCapacity!$B$2:$B$526,2019)</f>
        <v>235.18296744270106</v>
      </c>
      <c r="AP150" cm="1">
        <f t="array" ref="AP150">$Y150*INDEX(RefCapacity!$D$2:$D$526,MATCH(1,(RefCapacity!$A$2:$A$526=RefCapacityProj!$D150)*(RefCapacity!$B$2:$B$526=2019)*(RefCapacity!$C$2:$C$526=AI$1),0))/SUMIFS(RefCapacity!$D$2:$D$526,RefCapacity!$A$2:$A$526,RefCapacityProj!$D150,RefCapacity!$B$2:$B$526,2019)</f>
        <v>0</v>
      </c>
      <c r="AQ150" cm="1">
        <f t="array" ref="AQ150">$Y150*INDEX(RefCapacity!$D$2:$D$526,MATCH(1,(RefCapacity!$A$2:$A$526=RefCapacityProj!$D150)*(RefCapacity!$B$2:$B$526=2019)*(RefCapacity!$C$2:$C$526=AJ$1),0))/SUMIFS(RefCapacity!$D$2:$D$526,RefCapacity!$A$2:$A$526,RefCapacityProj!$D150,RefCapacity!$B$2:$B$526,2019)</f>
        <v>73.830362357228566</v>
      </c>
      <c r="AR150" cm="1">
        <f t="array" ref="AR150">$Y150*INDEX(RefCapacity!$D$2:$D$526,MATCH(1,(RefCapacity!$A$2:$A$526=RefCapacityProj!$D150)*(RefCapacity!$B$2:$B$526=2019)*(RefCapacity!$C$2:$C$526=AK$1),0))/SUMIFS(RefCapacity!$D$2:$D$526,RefCapacity!$A$2:$A$526,RefCapacityProj!$D150,RefCapacity!$B$2:$B$526,2019)</f>
        <v>224.24268710167058</v>
      </c>
      <c r="AS150" cm="1">
        <f t="array" ref="AS150">$Y150*INDEX(RefCapacity!$D$2:$D$526,MATCH(1,(RefCapacity!$A$2:$A$526=RefCapacityProj!$D150)*(RefCapacity!$B$2:$B$526=2019)*(RefCapacity!$C$2:$C$526=AL$1),0))/SUMIFS(RefCapacity!$D$2:$D$526,RefCapacity!$A$2:$A$526,RefCapacityProj!$D150,RefCapacity!$B$2:$B$526,2019)</f>
        <v>0</v>
      </c>
      <c r="AT150" cm="1">
        <f t="array" ref="AT150">$Y150*INDEX(RefCapacity!$D$2:$D$526,MATCH(1,(RefCapacity!$A$2:$A$526=RefCapacityProj!$D150)*(RefCapacity!$B$2:$B$526=2019)*(RefCapacity!$C$2:$C$526=AM$1),0))/SUMIFS(RefCapacity!$D$2:$D$526,RefCapacity!$A$2:$A$526,RefCapacityProj!$D150,RefCapacity!$B$2:$B$526,2019)</f>
        <v>147.75736131440115</v>
      </c>
      <c r="AU150" cm="1">
        <f t="array" ref="AU150">INDEX(RefCapacity!$D$2:$D$526,MATCH(1,(RefCapacity!$A$2:$A$526=RefCapacityProj!$D150)*(RefCapacity!$B$2:$B$526=2019)*(RefCapacity!$C$2:$C$526=RefCapacityProj!AG$1),0))*IF($C150=2035,1+VLOOKUP(AG$1,RefCapacity!$H$2:$L$8,2,FALSE),1+VLOOKUP(AG$1,RefCapacity!$H$2:$L$8,4,FALSE))</f>
        <v>67.579418148848575</v>
      </c>
      <c r="AV150" cm="1">
        <f t="array" ref="AV150">INDEX(RefCapacity!$D$2:$D$526,MATCH(1,(RefCapacity!$A$2:$A$526=RefCapacityProj!$D150)*(RefCapacity!$B$2:$B$526=2019)*(RefCapacity!$C$2:$C$526=RefCapacityProj!AH$1),0))*IF($C150=2035,1+VLOOKUP(AH$1,RefCapacity!$H$2:$L$8,2,FALSE),1+VLOOKUP(AH$1,RefCapacity!$H$2:$L$8,4,FALSE))</f>
        <v>392.11356943453399</v>
      </c>
      <c r="AW150" cm="1">
        <f t="array" ref="AW150">INDEX(RefCapacity!$D$2:$D$526,MATCH(1,(RefCapacity!$A$2:$A$526=RefCapacityProj!$D150)*(RefCapacity!$B$2:$B$526=2019)*(RefCapacity!$C$2:$C$526=RefCapacityProj!AI$1),0))*IF($C150=2035,1+VLOOKUP(AI$1,RefCapacity!$H$2:$L$8,2,FALSE),1+VLOOKUP(AI$1,RefCapacity!$H$2:$L$8,4,FALSE))</f>
        <v>0</v>
      </c>
      <c r="AX150" cm="1">
        <f t="array" ref="AX150">INDEX(RefCapacity!$D$2:$D$526,MATCH(1,(RefCapacity!$A$2:$A$526=RefCapacityProj!$D150)*(RefCapacity!$B$2:$B$526=2019)*(RefCapacity!$C$2:$C$526=RefCapacityProj!AJ$1),0))*IF($C150=2035,1+VLOOKUP(AJ$1,RefCapacity!$H$2:$L$8,2,FALSE),1+VLOOKUP(AJ$1,RefCapacity!$H$2:$L$8,4,FALSE))</f>
        <v>205.34948717948717</v>
      </c>
      <c r="AY150" cm="1">
        <f t="array" ref="AY150">INDEX(RefCapacity!$D$2:$D$526,MATCH(1,(RefCapacity!$A$2:$A$526=RefCapacityProj!$D150)*(RefCapacity!$B$2:$B$526=2019)*(RefCapacity!$C$2:$C$526=RefCapacityProj!AK$1),0))*IF($C150=2035,1+VLOOKUP(AK$1,RefCapacity!$H$2:$L$8,2,FALSE),1+VLOOKUP(AK$1,RefCapacity!$H$2:$L$8,4,FALSE))</f>
        <v>326.97872076761655</v>
      </c>
      <c r="AZ150" cm="1">
        <f t="array" ref="AZ150">INDEX(RefCapacity!$D$2:$D$526,MATCH(1,(RefCapacity!$A$2:$A$526=RefCapacityProj!$D150)*(RefCapacity!$B$2:$B$526=2019)*(RefCapacity!$C$2:$C$526=RefCapacityProj!AL$1),0))*IF($C150=2035,1+VLOOKUP(AL$1,RefCapacity!$H$2:$L$8,2,FALSE),1+VLOOKUP(AL$1,RefCapacity!$H$2:$L$8,4,FALSE))</f>
        <v>0</v>
      </c>
      <c r="BA150" cm="1">
        <f t="array" ref="BA150">INDEX(RefCapacity!$D$2:$D$526,MATCH(1,(RefCapacity!$A$2:$A$526=RefCapacityProj!$D150)*(RefCapacity!$B$2:$B$526=2019)*(RefCapacity!$C$2:$C$526=RefCapacityProj!AM$1),0))*IF($C150=2035,1+VLOOKUP(AM$1,RefCapacity!$H$2:$L$8,2,FALSE),1+VLOOKUP(AM$1,RefCapacity!$H$2:$L$8,4,FALSE))</f>
        <v>156.70550927880672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f t="shared" si="20"/>
        <v>689.21593590369832</v>
      </c>
      <c r="BJ150">
        <f t="shared" si="21"/>
        <v>6.9693885035136418</v>
      </c>
      <c r="BK150">
        <f t="shared" si="22"/>
        <v>0.96252577639947745</v>
      </c>
      <c r="BL150" cm="1">
        <f t="array" ref="BL150">AG150/$BI150*INDEX('GHG Emission'!$C$2:$C$1121,MATCH(1,('GHG Emission'!$D$2:$D$1121=$D150)*('GHG Emission'!$E$2:$E$1121=$C150)*('GHG Emission'!$F$2:$F$1121=$B150)*('GHG Emission'!$I$2:$I$1121=$E150)*('GHG Emission'!$J$2:$J$1121=$F150)*('GHG Emission'!$K$2:$K$1121=AG$1),0))+AH150/$BI150*INDEX('GHG Emission'!$C$2:$C$1121,MATCH(1,('GHG Emission'!$D$2:$D$1121=$D150)*('GHG Emission'!$E$2:$E$1121=$C150)*('GHG Emission'!$F$2:$F$1121=$B150)*('GHG Emission'!$I$2:$I$1121=$E150)*('GHG Emission'!$J$2:$J$1121=$F150)*('GHG Emission'!$K$2:$K$1121=AH$1),0))+AI150/$BI150*INDEX('GHG Emission'!$C$2:$C$1121,MATCH(1,('GHG Emission'!$D$2:$D$1121=$D150)*('GHG Emission'!$E$2:$E$1121=$C150)*('GHG Emission'!$F$2:$F$1121=$B150)*('GHG Emission'!$I$2:$I$1121=$E150)*('GHG Emission'!$J$2:$J$1121=$F150)*('GHG Emission'!$K$2:$K$1121=AI$1),0))+AJ150/$BI150*INDEX('GHG Emission'!$C$2:$C$1121,MATCH(1,('GHG Emission'!$D$2:$D$1121=$D150)*('GHG Emission'!$E$2:$E$1121=$C150)*('GHG Emission'!$F$2:$F$1121=$B150)*('GHG Emission'!$I$2:$I$1121=$E150)*('GHG Emission'!$J$2:$J$1121=$F150)*('GHG Emission'!$K$2:$K$1121=AJ$1),0))+AK150/$BI150*INDEX('GHG Emission'!$C$2:$C$1121,MATCH(1,('GHG Emission'!$D$2:$D$1121=$D150)*('GHG Emission'!$E$2:$E$1121=$C150)*('GHG Emission'!$F$2:$F$1121=$B150)*('GHG Emission'!$I$2:$I$1121=$E150)*('GHG Emission'!$J$2:$J$1121=$F150)*('GHG Emission'!$K$2:$K$1121=AK$1),0))+AL150/$BI150*INDEX('GHG Emission'!$C$2:$C$1121,MATCH(1,('GHG Emission'!$D$2:$D$1121=$D150)*('GHG Emission'!$E$2:$E$1121=$C150)*('GHG Emission'!$F$2:$F$1121=$B150)*('GHG Emission'!$I$2:$I$1121=$E150)*('GHG Emission'!$J$2:$J$1121=$F150)*('GHG Emission'!$K$2:$K$1121=AL$1),0))+AM150/$BI150*INDEX('GHG Emission'!$C$2:$C$1121,MATCH(1,('GHG Emission'!$D$2:$D$1121=$D150)*('GHG Emission'!$E$2:$E$1121=$C150)*('GHG Emission'!$F$2:$F$1121=$B150)*('GHG Emission'!$I$2:$I$1121=$E150)*('GHG Emission'!$J$2:$J$1121=$F150)*('GHG Emission'!$K$2:$K$1121=AM$1),0))</f>
        <v>33.955576723226933</v>
      </c>
      <c r="BM150" t="str">
        <f t="shared" si="23"/>
        <v>HEAVY/SWEET</v>
      </c>
    </row>
    <row r="151" spans="1:65" hidden="1" x14ac:dyDescent="0.25">
      <c r="A151">
        <v>150</v>
      </c>
      <c r="B151" t="s">
        <v>472</v>
      </c>
      <c r="C151">
        <v>2050</v>
      </c>
      <c r="D151">
        <v>4</v>
      </c>
      <c r="E151" t="s">
        <v>466</v>
      </c>
      <c r="F151" t="s">
        <v>468</v>
      </c>
      <c r="G151">
        <v>316.52366436777658</v>
      </c>
      <c r="H151">
        <v>31.714904585976345</v>
      </c>
      <c r="I151">
        <v>179.05965176001402</v>
      </c>
      <c r="J151">
        <v>43.256593917224599</v>
      </c>
      <c r="K151">
        <v>5.489384803663925</v>
      </c>
      <c r="L151">
        <v>2.5634089998782152</v>
      </c>
      <c r="M151">
        <v>0</v>
      </c>
      <c r="N151">
        <v>0</v>
      </c>
      <c r="O151">
        <v>0</v>
      </c>
      <c r="P151">
        <v>187.83978707366825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f t="shared" si="16"/>
        <v>766.44739550820191</v>
      </c>
      <c r="Y151">
        <f>X151*VLOOKUP($D151,'LinearReg Model'!$S$2:$T$6,2,FALSE)</f>
        <v>696.18532440721197</v>
      </c>
      <c r="Z151">
        <f t="shared" si="17"/>
        <v>0.41297506681186108</v>
      </c>
      <c r="AA151">
        <f t="shared" si="18"/>
        <v>0.23362288502694489</v>
      </c>
      <c r="AB151">
        <f t="shared" si="19"/>
        <v>4.1379101516741935E-2</v>
      </c>
      <c r="AC151">
        <v>26.924463078862729</v>
      </c>
      <c r="AD151">
        <v>3.7883857319296892</v>
      </c>
      <c r="AE151" s="2">
        <f>VLOOKUP($D151,'MultiReg Model'!$A$5:$F$9,2,FALSE)+AC151*VLOOKUP($D151,'MultiReg Model'!$A$5:$F$9,3,FALSE)+Z151*VLOOKUP($D151,'MultiReg Model'!$A$5:$F$9,4,FALSE)+AA151*VLOOKUP($D151,'MultiReg Model'!$A$5:$F$9,5,FALSE)+AB151*VLOOKUP($D151,'MultiReg Model'!$A$5:$F$9,6,FALSE)</f>
        <v>6.6568186783345498</v>
      </c>
      <c r="AF151" cm="1">
        <f t="array" ref="AF151">MMULT($AG151:$AM151,'Avg CI Index'!$C$2:$C$8)/BI151</f>
        <v>7.6193444547340272</v>
      </c>
      <c r="AG151">
        <v>67.579418148792087</v>
      </c>
      <c r="AH151">
        <v>392.11356943438057</v>
      </c>
      <c r="AI151">
        <v>0</v>
      </c>
      <c r="AJ151">
        <v>205.34948717824963</v>
      </c>
      <c r="AK151">
        <v>24.173461141935817</v>
      </c>
      <c r="AL151">
        <v>0</v>
      </c>
      <c r="AM151">
        <v>3.4010786799325068E-10</v>
      </c>
      <c r="AN151" cm="1">
        <f t="array" ref="AN151">$Y151*INDEX(RefCapacity!$D$2:$D$526,MATCH(1,(RefCapacity!$A$2:$A$526=RefCapacityProj!$D151)*(RefCapacity!$B$2:$B$526=2019)*(RefCapacity!$C$2:$C$526=AG$1),0))/SUMIFS(RefCapacity!$D$2:$D$526,RefCapacity!$A$2:$A$526,RefCapacityProj!$D151,RefCapacity!$B$2:$B$526,2019)</f>
        <v>15.171946191210582</v>
      </c>
      <c r="AO151" cm="1">
        <f t="array" ref="AO151">$Y151*INDEX(RefCapacity!$D$2:$D$526,MATCH(1,(RefCapacity!$A$2:$A$526=RefCapacityProj!$D151)*(RefCapacity!$B$2:$B$526=2019)*(RefCapacity!$C$2:$C$526=AH$1),0))/SUMIFS(RefCapacity!$D$2:$D$526,RefCapacity!$A$2:$A$526,RefCapacityProj!$D151,RefCapacity!$B$2:$B$526,2019)</f>
        <v>235.18296744270106</v>
      </c>
      <c r="AP151" cm="1">
        <f t="array" ref="AP151">$Y151*INDEX(RefCapacity!$D$2:$D$526,MATCH(1,(RefCapacity!$A$2:$A$526=RefCapacityProj!$D151)*(RefCapacity!$B$2:$B$526=2019)*(RefCapacity!$C$2:$C$526=AI$1),0))/SUMIFS(RefCapacity!$D$2:$D$526,RefCapacity!$A$2:$A$526,RefCapacityProj!$D151,RefCapacity!$B$2:$B$526,2019)</f>
        <v>0</v>
      </c>
      <c r="AQ151" cm="1">
        <f t="array" ref="AQ151">$Y151*INDEX(RefCapacity!$D$2:$D$526,MATCH(1,(RefCapacity!$A$2:$A$526=RefCapacityProj!$D151)*(RefCapacity!$B$2:$B$526=2019)*(RefCapacity!$C$2:$C$526=AJ$1),0))/SUMIFS(RefCapacity!$D$2:$D$526,RefCapacity!$A$2:$A$526,RefCapacityProj!$D151,RefCapacity!$B$2:$B$526,2019)</f>
        <v>73.830362357228566</v>
      </c>
      <c r="AR151" cm="1">
        <f t="array" ref="AR151">$Y151*INDEX(RefCapacity!$D$2:$D$526,MATCH(1,(RefCapacity!$A$2:$A$526=RefCapacityProj!$D151)*(RefCapacity!$B$2:$B$526=2019)*(RefCapacity!$C$2:$C$526=AK$1),0))/SUMIFS(RefCapacity!$D$2:$D$526,RefCapacity!$A$2:$A$526,RefCapacityProj!$D151,RefCapacity!$B$2:$B$526,2019)</f>
        <v>224.24268710167058</v>
      </c>
      <c r="AS151" cm="1">
        <f t="array" ref="AS151">$Y151*INDEX(RefCapacity!$D$2:$D$526,MATCH(1,(RefCapacity!$A$2:$A$526=RefCapacityProj!$D151)*(RefCapacity!$B$2:$B$526=2019)*(RefCapacity!$C$2:$C$526=AL$1),0))/SUMIFS(RefCapacity!$D$2:$D$526,RefCapacity!$A$2:$A$526,RefCapacityProj!$D151,RefCapacity!$B$2:$B$526,2019)</f>
        <v>0</v>
      </c>
      <c r="AT151" cm="1">
        <f t="array" ref="AT151">$Y151*INDEX(RefCapacity!$D$2:$D$526,MATCH(1,(RefCapacity!$A$2:$A$526=RefCapacityProj!$D151)*(RefCapacity!$B$2:$B$526=2019)*(RefCapacity!$C$2:$C$526=AM$1),0))/SUMIFS(RefCapacity!$D$2:$D$526,RefCapacity!$A$2:$A$526,RefCapacityProj!$D151,RefCapacity!$B$2:$B$526,2019)</f>
        <v>147.75736131440115</v>
      </c>
      <c r="AU151" cm="1">
        <f t="array" ref="AU151">INDEX(RefCapacity!$D$2:$D$526,MATCH(1,(RefCapacity!$A$2:$A$526=RefCapacityProj!$D151)*(RefCapacity!$B$2:$B$526=2019)*(RefCapacity!$C$2:$C$526=RefCapacityProj!AG$1),0))*IF($C151=2035,1+VLOOKUP(AG$1,RefCapacity!$H$2:$L$8,2,FALSE),1+VLOOKUP(AG$1,RefCapacity!$H$2:$L$8,4,FALSE))</f>
        <v>67.579418148848575</v>
      </c>
      <c r="AV151" cm="1">
        <f t="array" ref="AV151">INDEX(RefCapacity!$D$2:$D$526,MATCH(1,(RefCapacity!$A$2:$A$526=RefCapacityProj!$D151)*(RefCapacity!$B$2:$B$526=2019)*(RefCapacity!$C$2:$C$526=RefCapacityProj!AH$1),0))*IF($C151=2035,1+VLOOKUP(AH$1,RefCapacity!$H$2:$L$8,2,FALSE),1+VLOOKUP(AH$1,RefCapacity!$H$2:$L$8,4,FALSE))</f>
        <v>392.11356943453399</v>
      </c>
      <c r="AW151" cm="1">
        <f t="array" ref="AW151">INDEX(RefCapacity!$D$2:$D$526,MATCH(1,(RefCapacity!$A$2:$A$526=RefCapacityProj!$D151)*(RefCapacity!$B$2:$B$526=2019)*(RefCapacity!$C$2:$C$526=RefCapacityProj!AI$1),0))*IF($C151=2035,1+VLOOKUP(AI$1,RefCapacity!$H$2:$L$8,2,FALSE),1+VLOOKUP(AI$1,RefCapacity!$H$2:$L$8,4,FALSE))</f>
        <v>0</v>
      </c>
      <c r="AX151" cm="1">
        <f t="array" ref="AX151">INDEX(RefCapacity!$D$2:$D$526,MATCH(1,(RefCapacity!$A$2:$A$526=RefCapacityProj!$D151)*(RefCapacity!$B$2:$B$526=2019)*(RefCapacity!$C$2:$C$526=RefCapacityProj!AJ$1),0))*IF($C151=2035,1+VLOOKUP(AJ$1,RefCapacity!$H$2:$L$8,2,FALSE),1+VLOOKUP(AJ$1,RefCapacity!$H$2:$L$8,4,FALSE))</f>
        <v>205.34948717948717</v>
      </c>
      <c r="AY151" cm="1">
        <f t="array" ref="AY151">INDEX(RefCapacity!$D$2:$D$526,MATCH(1,(RefCapacity!$A$2:$A$526=RefCapacityProj!$D151)*(RefCapacity!$B$2:$B$526=2019)*(RefCapacity!$C$2:$C$526=RefCapacityProj!AK$1),0))*IF($C151=2035,1+VLOOKUP(AK$1,RefCapacity!$H$2:$L$8,2,FALSE),1+VLOOKUP(AK$1,RefCapacity!$H$2:$L$8,4,FALSE))</f>
        <v>326.97872076761655</v>
      </c>
      <c r="AZ151" cm="1">
        <f t="array" ref="AZ151">INDEX(RefCapacity!$D$2:$D$526,MATCH(1,(RefCapacity!$A$2:$A$526=RefCapacityProj!$D151)*(RefCapacity!$B$2:$B$526=2019)*(RefCapacity!$C$2:$C$526=RefCapacityProj!AL$1),0))*IF($C151=2035,1+VLOOKUP(AL$1,RefCapacity!$H$2:$L$8,2,FALSE),1+VLOOKUP(AL$1,RefCapacity!$H$2:$L$8,4,FALSE))</f>
        <v>0</v>
      </c>
      <c r="BA151" cm="1">
        <f t="array" ref="BA151">INDEX(RefCapacity!$D$2:$D$526,MATCH(1,(RefCapacity!$A$2:$A$526=RefCapacityProj!$D151)*(RefCapacity!$B$2:$B$526=2019)*(RefCapacity!$C$2:$C$526=RefCapacityProj!AM$1),0))*IF($C151=2035,1+VLOOKUP(AM$1,RefCapacity!$H$2:$L$8,2,FALSE),1+VLOOKUP(AM$1,RefCapacity!$H$2:$L$8,4,FALSE))</f>
        <v>156.70550927880672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f t="shared" si="20"/>
        <v>689.21593590369832</v>
      </c>
      <c r="BJ151">
        <f t="shared" si="21"/>
        <v>6.9693885035136418</v>
      </c>
      <c r="BK151">
        <f t="shared" si="22"/>
        <v>0.96252577639947745</v>
      </c>
      <c r="BL151" cm="1">
        <f t="array" ref="BL151">AG151/$BI151*INDEX('GHG Emission'!$C$2:$C$1121,MATCH(1,('GHG Emission'!$D$2:$D$1121=$D151)*('GHG Emission'!$E$2:$E$1121=$C151)*('GHG Emission'!$F$2:$F$1121=$B151)*('GHG Emission'!$I$2:$I$1121=$E151)*('GHG Emission'!$J$2:$J$1121=$F151)*('GHG Emission'!$K$2:$K$1121=AG$1),0))+AH151/$BI151*INDEX('GHG Emission'!$C$2:$C$1121,MATCH(1,('GHG Emission'!$D$2:$D$1121=$D151)*('GHG Emission'!$E$2:$E$1121=$C151)*('GHG Emission'!$F$2:$F$1121=$B151)*('GHG Emission'!$I$2:$I$1121=$E151)*('GHG Emission'!$J$2:$J$1121=$F151)*('GHG Emission'!$K$2:$K$1121=AH$1),0))+AI151/$BI151*INDEX('GHG Emission'!$C$2:$C$1121,MATCH(1,('GHG Emission'!$D$2:$D$1121=$D151)*('GHG Emission'!$E$2:$E$1121=$C151)*('GHG Emission'!$F$2:$F$1121=$B151)*('GHG Emission'!$I$2:$I$1121=$E151)*('GHG Emission'!$J$2:$J$1121=$F151)*('GHG Emission'!$K$2:$K$1121=AI$1),0))+AJ151/$BI151*INDEX('GHG Emission'!$C$2:$C$1121,MATCH(1,('GHG Emission'!$D$2:$D$1121=$D151)*('GHG Emission'!$E$2:$E$1121=$C151)*('GHG Emission'!$F$2:$F$1121=$B151)*('GHG Emission'!$I$2:$I$1121=$E151)*('GHG Emission'!$J$2:$J$1121=$F151)*('GHG Emission'!$K$2:$K$1121=AJ$1),0))+AK151/$BI151*INDEX('GHG Emission'!$C$2:$C$1121,MATCH(1,('GHG Emission'!$D$2:$D$1121=$D151)*('GHG Emission'!$E$2:$E$1121=$C151)*('GHG Emission'!$F$2:$F$1121=$B151)*('GHG Emission'!$I$2:$I$1121=$E151)*('GHG Emission'!$J$2:$J$1121=$F151)*('GHG Emission'!$K$2:$K$1121=AK$1),0))+AL151/$BI151*INDEX('GHG Emission'!$C$2:$C$1121,MATCH(1,('GHG Emission'!$D$2:$D$1121=$D151)*('GHG Emission'!$E$2:$E$1121=$C151)*('GHG Emission'!$F$2:$F$1121=$B151)*('GHG Emission'!$I$2:$I$1121=$E151)*('GHG Emission'!$J$2:$J$1121=$F151)*('GHG Emission'!$K$2:$K$1121=AL$1),0))+AM151/$BI151*INDEX('GHG Emission'!$C$2:$C$1121,MATCH(1,('GHG Emission'!$D$2:$D$1121=$D151)*('GHG Emission'!$E$2:$E$1121=$C151)*('GHG Emission'!$F$2:$F$1121=$B151)*('GHG Emission'!$I$2:$I$1121=$E151)*('GHG Emission'!$J$2:$J$1121=$F151)*('GHG Emission'!$K$2:$K$1121=AM$1),0))</f>
        <v>33.386765084423537</v>
      </c>
      <c r="BM151" t="str">
        <f t="shared" si="23"/>
        <v>HEAVY/SOUR</v>
      </c>
    </row>
    <row r="152" spans="1:65" hidden="1" x14ac:dyDescent="0.25">
      <c r="A152">
        <v>151</v>
      </c>
      <c r="B152" t="s">
        <v>472</v>
      </c>
      <c r="C152">
        <v>2050</v>
      </c>
      <c r="D152">
        <v>4</v>
      </c>
      <c r="E152" t="s">
        <v>469</v>
      </c>
      <c r="F152" t="s">
        <v>467</v>
      </c>
      <c r="G152">
        <v>316.52366436777658</v>
      </c>
      <c r="H152">
        <v>31.714904585976345</v>
      </c>
      <c r="I152">
        <v>179.05965176001402</v>
      </c>
      <c r="J152">
        <v>43.256593917224599</v>
      </c>
      <c r="K152">
        <v>5.489384803663925</v>
      </c>
      <c r="L152">
        <v>2.5634089998782152</v>
      </c>
      <c r="M152">
        <v>0</v>
      </c>
      <c r="N152">
        <v>0</v>
      </c>
      <c r="O152">
        <v>0</v>
      </c>
      <c r="P152">
        <v>187.83978707366825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f t="shared" si="16"/>
        <v>766.44739550820191</v>
      </c>
      <c r="Y152">
        <f>X152*VLOOKUP($D152,'LinearReg Model'!$S$2:$T$6,2,FALSE)</f>
        <v>696.18532440721197</v>
      </c>
      <c r="Z152">
        <f t="shared" si="17"/>
        <v>0.41297506681186108</v>
      </c>
      <c r="AA152">
        <f t="shared" si="18"/>
        <v>0.23362288502694489</v>
      </c>
      <c r="AB152">
        <f t="shared" si="19"/>
        <v>4.1379101516741935E-2</v>
      </c>
      <c r="AC152">
        <v>33.609676323697812</v>
      </c>
      <c r="AD152">
        <v>1.1684886308416846</v>
      </c>
      <c r="AE152" s="2">
        <f>VLOOKUP($D152,'MultiReg Model'!$A$5:$F$9,2,FALSE)+AC152*VLOOKUP($D152,'MultiReg Model'!$A$5:$F$9,3,FALSE)+Z152*VLOOKUP($D152,'MultiReg Model'!$A$5:$F$9,4,FALSE)+AA152*VLOOKUP($D152,'MultiReg Model'!$A$5:$F$9,5,FALSE)+AB152*VLOOKUP($D152,'MultiReg Model'!$A$5:$F$9,6,FALSE)</f>
        <v>6.427729998754053</v>
      </c>
      <c r="AF152" cm="1">
        <f t="array" ref="AF152">MMULT($AG152:$AM152,'Avg CI Index'!$C$2:$C$8)/BI152</f>
        <v>7.6187788986663394</v>
      </c>
      <c r="AG152">
        <v>67.579418148802631</v>
      </c>
      <c r="AH152">
        <v>392.11356943440921</v>
      </c>
      <c r="AI152">
        <v>0</v>
      </c>
      <c r="AJ152">
        <v>205.34948717848067</v>
      </c>
      <c r="AK152">
        <v>24.006461526885428</v>
      </c>
      <c r="AL152">
        <v>0</v>
      </c>
      <c r="AM152">
        <v>2.7660921527374504E-10</v>
      </c>
      <c r="AN152" cm="1">
        <f t="array" ref="AN152">$Y152*INDEX(RefCapacity!$D$2:$D$526,MATCH(1,(RefCapacity!$A$2:$A$526=RefCapacityProj!$D152)*(RefCapacity!$B$2:$B$526=2019)*(RefCapacity!$C$2:$C$526=AG$1),0))/SUMIFS(RefCapacity!$D$2:$D$526,RefCapacity!$A$2:$A$526,RefCapacityProj!$D152,RefCapacity!$B$2:$B$526,2019)</f>
        <v>15.171946191210582</v>
      </c>
      <c r="AO152" cm="1">
        <f t="array" ref="AO152">$Y152*INDEX(RefCapacity!$D$2:$D$526,MATCH(1,(RefCapacity!$A$2:$A$526=RefCapacityProj!$D152)*(RefCapacity!$B$2:$B$526=2019)*(RefCapacity!$C$2:$C$526=AH$1),0))/SUMIFS(RefCapacity!$D$2:$D$526,RefCapacity!$A$2:$A$526,RefCapacityProj!$D152,RefCapacity!$B$2:$B$526,2019)</f>
        <v>235.18296744270106</v>
      </c>
      <c r="AP152" cm="1">
        <f t="array" ref="AP152">$Y152*INDEX(RefCapacity!$D$2:$D$526,MATCH(1,(RefCapacity!$A$2:$A$526=RefCapacityProj!$D152)*(RefCapacity!$B$2:$B$526=2019)*(RefCapacity!$C$2:$C$526=AI$1),0))/SUMIFS(RefCapacity!$D$2:$D$526,RefCapacity!$A$2:$A$526,RefCapacityProj!$D152,RefCapacity!$B$2:$B$526,2019)</f>
        <v>0</v>
      </c>
      <c r="AQ152" cm="1">
        <f t="array" ref="AQ152">$Y152*INDEX(RefCapacity!$D$2:$D$526,MATCH(1,(RefCapacity!$A$2:$A$526=RefCapacityProj!$D152)*(RefCapacity!$B$2:$B$526=2019)*(RefCapacity!$C$2:$C$526=AJ$1),0))/SUMIFS(RefCapacity!$D$2:$D$526,RefCapacity!$A$2:$A$526,RefCapacityProj!$D152,RefCapacity!$B$2:$B$526,2019)</f>
        <v>73.830362357228566</v>
      </c>
      <c r="AR152" cm="1">
        <f t="array" ref="AR152">$Y152*INDEX(RefCapacity!$D$2:$D$526,MATCH(1,(RefCapacity!$A$2:$A$526=RefCapacityProj!$D152)*(RefCapacity!$B$2:$B$526=2019)*(RefCapacity!$C$2:$C$526=AK$1),0))/SUMIFS(RefCapacity!$D$2:$D$526,RefCapacity!$A$2:$A$526,RefCapacityProj!$D152,RefCapacity!$B$2:$B$526,2019)</f>
        <v>224.24268710167058</v>
      </c>
      <c r="AS152" cm="1">
        <f t="array" ref="AS152">$Y152*INDEX(RefCapacity!$D$2:$D$526,MATCH(1,(RefCapacity!$A$2:$A$526=RefCapacityProj!$D152)*(RefCapacity!$B$2:$B$526=2019)*(RefCapacity!$C$2:$C$526=AL$1),0))/SUMIFS(RefCapacity!$D$2:$D$526,RefCapacity!$A$2:$A$526,RefCapacityProj!$D152,RefCapacity!$B$2:$B$526,2019)</f>
        <v>0</v>
      </c>
      <c r="AT152" cm="1">
        <f t="array" ref="AT152">$Y152*INDEX(RefCapacity!$D$2:$D$526,MATCH(1,(RefCapacity!$A$2:$A$526=RefCapacityProj!$D152)*(RefCapacity!$B$2:$B$526=2019)*(RefCapacity!$C$2:$C$526=AM$1),0))/SUMIFS(RefCapacity!$D$2:$D$526,RefCapacity!$A$2:$A$526,RefCapacityProj!$D152,RefCapacity!$B$2:$B$526,2019)</f>
        <v>147.75736131440115</v>
      </c>
      <c r="AU152" cm="1">
        <f t="array" ref="AU152">INDEX(RefCapacity!$D$2:$D$526,MATCH(1,(RefCapacity!$A$2:$A$526=RefCapacityProj!$D152)*(RefCapacity!$B$2:$B$526=2019)*(RefCapacity!$C$2:$C$526=RefCapacityProj!AG$1),0))*IF($C152=2035,1+VLOOKUP(AG$1,RefCapacity!$H$2:$L$8,2,FALSE),1+VLOOKUP(AG$1,RefCapacity!$H$2:$L$8,4,FALSE))</f>
        <v>67.579418148848575</v>
      </c>
      <c r="AV152" cm="1">
        <f t="array" ref="AV152">INDEX(RefCapacity!$D$2:$D$526,MATCH(1,(RefCapacity!$A$2:$A$526=RefCapacityProj!$D152)*(RefCapacity!$B$2:$B$526=2019)*(RefCapacity!$C$2:$C$526=RefCapacityProj!AH$1),0))*IF($C152=2035,1+VLOOKUP(AH$1,RefCapacity!$H$2:$L$8,2,FALSE),1+VLOOKUP(AH$1,RefCapacity!$H$2:$L$8,4,FALSE))</f>
        <v>392.11356943453399</v>
      </c>
      <c r="AW152" cm="1">
        <f t="array" ref="AW152">INDEX(RefCapacity!$D$2:$D$526,MATCH(1,(RefCapacity!$A$2:$A$526=RefCapacityProj!$D152)*(RefCapacity!$B$2:$B$526=2019)*(RefCapacity!$C$2:$C$526=RefCapacityProj!AI$1),0))*IF($C152=2035,1+VLOOKUP(AI$1,RefCapacity!$H$2:$L$8,2,FALSE),1+VLOOKUP(AI$1,RefCapacity!$H$2:$L$8,4,FALSE))</f>
        <v>0</v>
      </c>
      <c r="AX152" cm="1">
        <f t="array" ref="AX152">INDEX(RefCapacity!$D$2:$D$526,MATCH(1,(RefCapacity!$A$2:$A$526=RefCapacityProj!$D152)*(RefCapacity!$B$2:$B$526=2019)*(RefCapacity!$C$2:$C$526=RefCapacityProj!AJ$1),0))*IF($C152=2035,1+VLOOKUP(AJ$1,RefCapacity!$H$2:$L$8,2,FALSE),1+VLOOKUP(AJ$1,RefCapacity!$H$2:$L$8,4,FALSE))</f>
        <v>205.34948717948717</v>
      </c>
      <c r="AY152" cm="1">
        <f t="array" ref="AY152">INDEX(RefCapacity!$D$2:$D$526,MATCH(1,(RefCapacity!$A$2:$A$526=RefCapacityProj!$D152)*(RefCapacity!$B$2:$B$526=2019)*(RefCapacity!$C$2:$C$526=RefCapacityProj!AK$1),0))*IF($C152=2035,1+VLOOKUP(AK$1,RefCapacity!$H$2:$L$8,2,FALSE),1+VLOOKUP(AK$1,RefCapacity!$H$2:$L$8,4,FALSE))</f>
        <v>326.97872076761655</v>
      </c>
      <c r="AZ152" cm="1">
        <f t="array" ref="AZ152">INDEX(RefCapacity!$D$2:$D$526,MATCH(1,(RefCapacity!$A$2:$A$526=RefCapacityProj!$D152)*(RefCapacity!$B$2:$B$526=2019)*(RefCapacity!$C$2:$C$526=RefCapacityProj!AL$1),0))*IF($C152=2035,1+VLOOKUP(AL$1,RefCapacity!$H$2:$L$8,2,FALSE),1+VLOOKUP(AL$1,RefCapacity!$H$2:$L$8,4,FALSE))</f>
        <v>0</v>
      </c>
      <c r="BA152" cm="1">
        <f t="array" ref="BA152">INDEX(RefCapacity!$D$2:$D$526,MATCH(1,(RefCapacity!$A$2:$A$526=RefCapacityProj!$D152)*(RefCapacity!$B$2:$B$526=2019)*(RefCapacity!$C$2:$C$526=RefCapacityProj!AM$1),0))*IF($C152=2035,1+VLOOKUP(AM$1,RefCapacity!$H$2:$L$8,2,FALSE),1+VLOOKUP(AM$1,RefCapacity!$H$2:$L$8,4,FALSE))</f>
        <v>156.70550927880672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f t="shared" si="20"/>
        <v>689.04893628885463</v>
      </c>
      <c r="BJ152">
        <f t="shared" si="21"/>
        <v>7.1363881183573312</v>
      </c>
      <c r="BK152">
        <f t="shared" si="22"/>
        <v>1.1910488999122864</v>
      </c>
      <c r="BL152" cm="1">
        <f t="array" ref="BL152">AG152/$BI152*INDEX('GHG Emission'!$C$2:$C$1121,MATCH(1,('GHG Emission'!$D$2:$D$1121=$D152)*('GHG Emission'!$E$2:$E$1121=$C152)*('GHG Emission'!$F$2:$F$1121=$B152)*('GHG Emission'!$I$2:$I$1121=$E152)*('GHG Emission'!$J$2:$J$1121=$F152)*('GHG Emission'!$K$2:$K$1121=AG$1),0))+AH152/$BI152*INDEX('GHG Emission'!$C$2:$C$1121,MATCH(1,('GHG Emission'!$D$2:$D$1121=$D152)*('GHG Emission'!$E$2:$E$1121=$C152)*('GHG Emission'!$F$2:$F$1121=$B152)*('GHG Emission'!$I$2:$I$1121=$E152)*('GHG Emission'!$J$2:$J$1121=$F152)*('GHG Emission'!$K$2:$K$1121=AH$1),0))+AI152/$BI152*INDEX('GHG Emission'!$C$2:$C$1121,MATCH(1,('GHG Emission'!$D$2:$D$1121=$D152)*('GHG Emission'!$E$2:$E$1121=$C152)*('GHG Emission'!$F$2:$F$1121=$B152)*('GHG Emission'!$I$2:$I$1121=$E152)*('GHG Emission'!$J$2:$J$1121=$F152)*('GHG Emission'!$K$2:$K$1121=AI$1),0))+AJ152/$BI152*INDEX('GHG Emission'!$C$2:$C$1121,MATCH(1,('GHG Emission'!$D$2:$D$1121=$D152)*('GHG Emission'!$E$2:$E$1121=$C152)*('GHG Emission'!$F$2:$F$1121=$B152)*('GHG Emission'!$I$2:$I$1121=$E152)*('GHG Emission'!$J$2:$J$1121=$F152)*('GHG Emission'!$K$2:$K$1121=AJ$1),0))+AK152/$BI152*INDEX('GHG Emission'!$C$2:$C$1121,MATCH(1,('GHG Emission'!$D$2:$D$1121=$D152)*('GHG Emission'!$E$2:$E$1121=$C152)*('GHG Emission'!$F$2:$F$1121=$B152)*('GHG Emission'!$I$2:$I$1121=$E152)*('GHG Emission'!$J$2:$J$1121=$F152)*('GHG Emission'!$K$2:$K$1121=AK$1),0))+AL152/$BI152*INDEX('GHG Emission'!$C$2:$C$1121,MATCH(1,('GHG Emission'!$D$2:$D$1121=$D152)*('GHG Emission'!$E$2:$E$1121=$C152)*('GHG Emission'!$F$2:$F$1121=$B152)*('GHG Emission'!$I$2:$I$1121=$E152)*('GHG Emission'!$J$2:$J$1121=$F152)*('GHG Emission'!$K$2:$K$1121=AL$1),0))+AM152/$BI152*INDEX('GHG Emission'!$C$2:$C$1121,MATCH(1,('GHG Emission'!$D$2:$D$1121=$D152)*('GHG Emission'!$E$2:$E$1121=$C152)*('GHG Emission'!$F$2:$F$1121=$B152)*('GHG Emission'!$I$2:$I$1121=$E152)*('GHG Emission'!$J$2:$J$1121=$F152)*('GHG Emission'!$K$2:$K$1121=AM$1),0))</f>
        <v>35.011029351325469</v>
      </c>
      <c r="BM152" t="str">
        <f t="shared" si="23"/>
        <v>LIGHT/SWEET</v>
      </c>
    </row>
    <row r="153" spans="1:65" hidden="1" x14ac:dyDescent="0.25">
      <c r="A153">
        <v>152</v>
      </c>
      <c r="B153" t="s">
        <v>472</v>
      </c>
      <c r="C153">
        <v>2050</v>
      </c>
      <c r="D153">
        <v>4</v>
      </c>
      <c r="E153" t="s">
        <v>469</v>
      </c>
      <c r="F153" t="s">
        <v>468</v>
      </c>
      <c r="G153">
        <v>316.52366436777658</v>
      </c>
      <c r="H153">
        <v>31.714904585976345</v>
      </c>
      <c r="I153">
        <v>179.05965176001402</v>
      </c>
      <c r="J153">
        <v>43.256593917224599</v>
      </c>
      <c r="K153">
        <v>5.489384803663925</v>
      </c>
      <c r="L153">
        <v>2.5634089998782152</v>
      </c>
      <c r="M153">
        <v>0</v>
      </c>
      <c r="N153">
        <v>0</v>
      </c>
      <c r="O153">
        <v>0</v>
      </c>
      <c r="P153">
        <v>187.83978707366825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f t="shared" si="16"/>
        <v>766.44739550820191</v>
      </c>
      <c r="Y153">
        <f>X153*VLOOKUP($D153,'LinearReg Model'!$S$2:$T$6,2,FALSE)</f>
        <v>696.18532440721197</v>
      </c>
      <c r="Z153">
        <f t="shared" si="17"/>
        <v>0.41297506681186108</v>
      </c>
      <c r="AA153">
        <f t="shared" si="18"/>
        <v>0.23362288502694489</v>
      </c>
      <c r="AB153">
        <f t="shared" si="19"/>
        <v>4.1379101516741935E-2</v>
      </c>
      <c r="AC153">
        <v>33.609676323697812</v>
      </c>
      <c r="AD153">
        <v>3.7883857319296892</v>
      </c>
      <c r="AE153" s="2">
        <f>VLOOKUP($D153,'MultiReg Model'!$A$5:$F$9,2,FALSE)+AC153*VLOOKUP($D153,'MultiReg Model'!$A$5:$F$9,3,FALSE)+Z153*VLOOKUP($D153,'MultiReg Model'!$A$5:$F$9,4,FALSE)+AA153*VLOOKUP($D153,'MultiReg Model'!$A$5:$F$9,5,FALSE)+AB153*VLOOKUP($D153,'MultiReg Model'!$A$5:$F$9,6,FALSE)</f>
        <v>6.427729998754053</v>
      </c>
      <c r="AF153" cm="1">
        <f t="array" ref="AF153">MMULT($AG153:$AM153,'Avg CI Index'!$C$2:$C$8)/BI153</f>
        <v>7.6187788986663394</v>
      </c>
      <c r="AG153">
        <v>67.579418148802631</v>
      </c>
      <c r="AH153">
        <v>392.11356943440921</v>
      </c>
      <c r="AI153">
        <v>0</v>
      </c>
      <c r="AJ153">
        <v>205.34948717848067</v>
      </c>
      <c r="AK153">
        <v>24.006461526885428</v>
      </c>
      <c r="AL153">
        <v>0</v>
      </c>
      <c r="AM153">
        <v>2.7660921527374504E-10</v>
      </c>
      <c r="AN153" cm="1">
        <f t="array" ref="AN153">$Y153*INDEX(RefCapacity!$D$2:$D$526,MATCH(1,(RefCapacity!$A$2:$A$526=RefCapacityProj!$D153)*(RefCapacity!$B$2:$B$526=2019)*(RefCapacity!$C$2:$C$526=AG$1),0))/SUMIFS(RefCapacity!$D$2:$D$526,RefCapacity!$A$2:$A$526,RefCapacityProj!$D153,RefCapacity!$B$2:$B$526,2019)</f>
        <v>15.171946191210582</v>
      </c>
      <c r="AO153" cm="1">
        <f t="array" ref="AO153">$Y153*INDEX(RefCapacity!$D$2:$D$526,MATCH(1,(RefCapacity!$A$2:$A$526=RefCapacityProj!$D153)*(RefCapacity!$B$2:$B$526=2019)*(RefCapacity!$C$2:$C$526=AH$1),0))/SUMIFS(RefCapacity!$D$2:$D$526,RefCapacity!$A$2:$A$526,RefCapacityProj!$D153,RefCapacity!$B$2:$B$526,2019)</f>
        <v>235.18296744270106</v>
      </c>
      <c r="AP153" cm="1">
        <f t="array" ref="AP153">$Y153*INDEX(RefCapacity!$D$2:$D$526,MATCH(1,(RefCapacity!$A$2:$A$526=RefCapacityProj!$D153)*(RefCapacity!$B$2:$B$526=2019)*(RefCapacity!$C$2:$C$526=AI$1),0))/SUMIFS(RefCapacity!$D$2:$D$526,RefCapacity!$A$2:$A$526,RefCapacityProj!$D153,RefCapacity!$B$2:$B$526,2019)</f>
        <v>0</v>
      </c>
      <c r="AQ153" cm="1">
        <f t="array" ref="AQ153">$Y153*INDEX(RefCapacity!$D$2:$D$526,MATCH(1,(RefCapacity!$A$2:$A$526=RefCapacityProj!$D153)*(RefCapacity!$B$2:$B$526=2019)*(RefCapacity!$C$2:$C$526=AJ$1),0))/SUMIFS(RefCapacity!$D$2:$D$526,RefCapacity!$A$2:$A$526,RefCapacityProj!$D153,RefCapacity!$B$2:$B$526,2019)</f>
        <v>73.830362357228566</v>
      </c>
      <c r="AR153" cm="1">
        <f t="array" ref="AR153">$Y153*INDEX(RefCapacity!$D$2:$D$526,MATCH(1,(RefCapacity!$A$2:$A$526=RefCapacityProj!$D153)*(RefCapacity!$B$2:$B$526=2019)*(RefCapacity!$C$2:$C$526=AK$1),0))/SUMIFS(RefCapacity!$D$2:$D$526,RefCapacity!$A$2:$A$526,RefCapacityProj!$D153,RefCapacity!$B$2:$B$526,2019)</f>
        <v>224.24268710167058</v>
      </c>
      <c r="AS153" cm="1">
        <f t="array" ref="AS153">$Y153*INDEX(RefCapacity!$D$2:$D$526,MATCH(1,(RefCapacity!$A$2:$A$526=RefCapacityProj!$D153)*(RefCapacity!$B$2:$B$526=2019)*(RefCapacity!$C$2:$C$526=AL$1),0))/SUMIFS(RefCapacity!$D$2:$D$526,RefCapacity!$A$2:$A$526,RefCapacityProj!$D153,RefCapacity!$B$2:$B$526,2019)</f>
        <v>0</v>
      </c>
      <c r="AT153" cm="1">
        <f t="array" ref="AT153">$Y153*INDEX(RefCapacity!$D$2:$D$526,MATCH(1,(RefCapacity!$A$2:$A$526=RefCapacityProj!$D153)*(RefCapacity!$B$2:$B$526=2019)*(RefCapacity!$C$2:$C$526=AM$1),0))/SUMIFS(RefCapacity!$D$2:$D$526,RefCapacity!$A$2:$A$526,RefCapacityProj!$D153,RefCapacity!$B$2:$B$526,2019)</f>
        <v>147.75736131440115</v>
      </c>
      <c r="AU153" cm="1">
        <f t="array" ref="AU153">INDEX(RefCapacity!$D$2:$D$526,MATCH(1,(RefCapacity!$A$2:$A$526=RefCapacityProj!$D153)*(RefCapacity!$B$2:$B$526=2019)*(RefCapacity!$C$2:$C$526=RefCapacityProj!AG$1),0))*IF($C153=2035,1+VLOOKUP(AG$1,RefCapacity!$H$2:$L$8,2,FALSE),1+VLOOKUP(AG$1,RefCapacity!$H$2:$L$8,4,FALSE))</f>
        <v>67.579418148848575</v>
      </c>
      <c r="AV153" cm="1">
        <f t="array" ref="AV153">INDEX(RefCapacity!$D$2:$D$526,MATCH(1,(RefCapacity!$A$2:$A$526=RefCapacityProj!$D153)*(RefCapacity!$B$2:$B$526=2019)*(RefCapacity!$C$2:$C$526=RefCapacityProj!AH$1),0))*IF($C153=2035,1+VLOOKUP(AH$1,RefCapacity!$H$2:$L$8,2,FALSE),1+VLOOKUP(AH$1,RefCapacity!$H$2:$L$8,4,FALSE))</f>
        <v>392.11356943453399</v>
      </c>
      <c r="AW153" cm="1">
        <f t="array" ref="AW153">INDEX(RefCapacity!$D$2:$D$526,MATCH(1,(RefCapacity!$A$2:$A$526=RefCapacityProj!$D153)*(RefCapacity!$B$2:$B$526=2019)*(RefCapacity!$C$2:$C$526=RefCapacityProj!AI$1),0))*IF($C153=2035,1+VLOOKUP(AI$1,RefCapacity!$H$2:$L$8,2,FALSE),1+VLOOKUP(AI$1,RefCapacity!$H$2:$L$8,4,FALSE))</f>
        <v>0</v>
      </c>
      <c r="AX153" cm="1">
        <f t="array" ref="AX153">INDEX(RefCapacity!$D$2:$D$526,MATCH(1,(RefCapacity!$A$2:$A$526=RefCapacityProj!$D153)*(RefCapacity!$B$2:$B$526=2019)*(RefCapacity!$C$2:$C$526=RefCapacityProj!AJ$1),0))*IF($C153=2035,1+VLOOKUP(AJ$1,RefCapacity!$H$2:$L$8,2,FALSE),1+VLOOKUP(AJ$1,RefCapacity!$H$2:$L$8,4,FALSE))</f>
        <v>205.34948717948717</v>
      </c>
      <c r="AY153" cm="1">
        <f t="array" ref="AY153">INDEX(RefCapacity!$D$2:$D$526,MATCH(1,(RefCapacity!$A$2:$A$526=RefCapacityProj!$D153)*(RefCapacity!$B$2:$B$526=2019)*(RefCapacity!$C$2:$C$526=RefCapacityProj!AK$1),0))*IF($C153=2035,1+VLOOKUP(AK$1,RefCapacity!$H$2:$L$8,2,FALSE),1+VLOOKUP(AK$1,RefCapacity!$H$2:$L$8,4,FALSE))</f>
        <v>326.97872076761655</v>
      </c>
      <c r="AZ153" cm="1">
        <f t="array" ref="AZ153">INDEX(RefCapacity!$D$2:$D$526,MATCH(1,(RefCapacity!$A$2:$A$526=RefCapacityProj!$D153)*(RefCapacity!$B$2:$B$526=2019)*(RefCapacity!$C$2:$C$526=RefCapacityProj!AL$1),0))*IF($C153=2035,1+VLOOKUP(AL$1,RefCapacity!$H$2:$L$8,2,FALSE),1+VLOOKUP(AL$1,RefCapacity!$H$2:$L$8,4,FALSE))</f>
        <v>0</v>
      </c>
      <c r="BA153" cm="1">
        <f t="array" ref="BA153">INDEX(RefCapacity!$D$2:$D$526,MATCH(1,(RefCapacity!$A$2:$A$526=RefCapacityProj!$D153)*(RefCapacity!$B$2:$B$526=2019)*(RefCapacity!$C$2:$C$526=RefCapacityProj!AM$1),0))*IF($C153=2035,1+VLOOKUP(AM$1,RefCapacity!$H$2:$L$8,2,FALSE),1+VLOOKUP(AM$1,RefCapacity!$H$2:$L$8,4,FALSE))</f>
        <v>156.70550927880672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f t="shared" si="20"/>
        <v>689.04893628885463</v>
      </c>
      <c r="BJ153">
        <f t="shared" si="21"/>
        <v>7.1363881183573312</v>
      </c>
      <c r="BK153">
        <f t="shared" si="22"/>
        <v>1.1910488999122864</v>
      </c>
      <c r="BL153" cm="1">
        <f t="array" ref="BL153">AG153/$BI153*INDEX('GHG Emission'!$C$2:$C$1121,MATCH(1,('GHG Emission'!$D$2:$D$1121=$D153)*('GHG Emission'!$E$2:$E$1121=$C153)*('GHG Emission'!$F$2:$F$1121=$B153)*('GHG Emission'!$I$2:$I$1121=$E153)*('GHG Emission'!$J$2:$J$1121=$F153)*('GHG Emission'!$K$2:$K$1121=AG$1),0))+AH153/$BI153*INDEX('GHG Emission'!$C$2:$C$1121,MATCH(1,('GHG Emission'!$D$2:$D$1121=$D153)*('GHG Emission'!$E$2:$E$1121=$C153)*('GHG Emission'!$F$2:$F$1121=$B153)*('GHG Emission'!$I$2:$I$1121=$E153)*('GHG Emission'!$J$2:$J$1121=$F153)*('GHG Emission'!$K$2:$K$1121=AH$1),0))+AI153/$BI153*INDEX('GHG Emission'!$C$2:$C$1121,MATCH(1,('GHG Emission'!$D$2:$D$1121=$D153)*('GHG Emission'!$E$2:$E$1121=$C153)*('GHG Emission'!$F$2:$F$1121=$B153)*('GHG Emission'!$I$2:$I$1121=$E153)*('GHG Emission'!$J$2:$J$1121=$F153)*('GHG Emission'!$K$2:$K$1121=AI$1),0))+AJ153/$BI153*INDEX('GHG Emission'!$C$2:$C$1121,MATCH(1,('GHG Emission'!$D$2:$D$1121=$D153)*('GHG Emission'!$E$2:$E$1121=$C153)*('GHG Emission'!$F$2:$F$1121=$B153)*('GHG Emission'!$I$2:$I$1121=$E153)*('GHG Emission'!$J$2:$J$1121=$F153)*('GHG Emission'!$K$2:$K$1121=AJ$1),0))+AK153/$BI153*INDEX('GHG Emission'!$C$2:$C$1121,MATCH(1,('GHG Emission'!$D$2:$D$1121=$D153)*('GHG Emission'!$E$2:$E$1121=$C153)*('GHG Emission'!$F$2:$F$1121=$B153)*('GHG Emission'!$I$2:$I$1121=$E153)*('GHG Emission'!$J$2:$J$1121=$F153)*('GHG Emission'!$K$2:$K$1121=AK$1),0))+AL153/$BI153*INDEX('GHG Emission'!$C$2:$C$1121,MATCH(1,('GHG Emission'!$D$2:$D$1121=$D153)*('GHG Emission'!$E$2:$E$1121=$C153)*('GHG Emission'!$F$2:$F$1121=$B153)*('GHG Emission'!$I$2:$I$1121=$E153)*('GHG Emission'!$J$2:$J$1121=$F153)*('GHG Emission'!$K$2:$K$1121=AL$1),0))+AM153/$BI153*INDEX('GHG Emission'!$C$2:$C$1121,MATCH(1,('GHG Emission'!$D$2:$D$1121=$D153)*('GHG Emission'!$E$2:$E$1121=$C153)*('GHG Emission'!$F$2:$F$1121=$B153)*('GHG Emission'!$I$2:$I$1121=$E153)*('GHG Emission'!$J$2:$J$1121=$F153)*('GHG Emission'!$K$2:$K$1121=AM$1),0))</f>
        <v>32.968822945178751</v>
      </c>
      <c r="BM153" t="str">
        <f t="shared" si="23"/>
        <v>LIGHT/SOUR</v>
      </c>
    </row>
    <row r="154" spans="1:65" hidden="1" x14ac:dyDescent="0.25">
      <c r="A154">
        <v>153</v>
      </c>
      <c r="B154" t="s">
        <v>472</v>
      </c>
      <c r="C154">
        <v>2035</v>
      </c>
      <c r="D154">
        <v>5</v>
      </c>
      <c r="E154" t="s">
        <v>466</v>
      </c>
      <c r="F154" t="s">
        <v>467</v>
      </c>
      <c r="G154">
        <v>1507.8047452737985</v>
      </c>
      <c r="H154">
        <v>327.19561581463148</v>
      </c>
      <c r="I154">
        <v>810.70324467831176</v>
      </c>
      <c r="J154">
        <v>428.53933155506098</v>
      </c>
      <c r="K154">
        <v>353.56901161648807</v>
      </c>
      <c r="L154">
        <v>26.363897406863835</v>
      </c>
      <c r="M154">
        <v>0</v>
      </c>
      <c r="N154">
        <v>0</v>
      </c>
      <c r="O154">
        <v>0</v>
      </c>
      <c r="P154">
        <v>58.343300938698711</v>
      </c>
      <c r="Q154">
        <v>0</v>
      </c>
      <c r="R154">
        <v>0</v>
      </c>
      <c r="S154">
        <v>0</v>
      </c>
      <c r="T154">
        <v>25.186204195093957</v>
      </c>
      <c r="U154">
        <v>0</v>
      </c>
      <c r="V154">
        <v>0</v>
      </c>
      <c r="W154">
        <v>0</v>
      </c>
      <c r="X154">
        <f t="shared" si="16"/>
        <v>3537.7053514789473</v>
      </c>
      <c r="Y154">
        <f>X154*VLOOKUP($D154,'LinearReg Model'!$S$2:$T$6,2,FALSE)</f>
        <v>2821.6410502664344</v>
      </c>
      <c r="Z154">
        <f t="shared" si="17"/>
        <v>0.42620981553578413</v>
      </c>
      <c r="AA154">
        <f t="shared" si="18"/>
        <v>0.2291607593434527</v>
      </c>
      <c r="AB154">
        <f t="shared" si="19"/>
        <v>9.2488091377606246E-2</v>
      </c>
      <c r="AC154">
        <v>28.769370330956527</v>
      </c>
      <c r="AD154">
        <v>1.439026873673878</v>
      </c>
      <c r="AE154" s="2">
        <f>VLOOKUP($D154,'MultiReg Model'!$A$5:$F$9,2,FALSE)+AC154*VLOOKUP($D154,'MultiReg Model'!$A$5:$F$9,3,FALSE)+Z154*VLOOKUP($D154,'MultiReg Model'!$A$5:$F$9,4,FALSE)+AA154*VLOOKUP($D154,'MultiReg Model'!$A$5:$F$9,5,FALSE)+AB154*VLOOKUP($D154,'MultiReg Model'!$A$5:$F$9,6,FALSE)</f>
        <v>7.7970413786426862</v>
      </c>
      <c r="AF154" cm="1">
        <f t="array" ref="AF154">MMULT($AG154:$AM154,'Avg CI Index'!$C$2:$C$8)/BI154</f>
        <v>8.0961045089719015</v>
      </c>
      <c r="AG154">
        <v>539.89181304325245</v>
      </c>
      <c r="AH154">
        <v>301.95121010455534</v>
      </c>
      <c r="AI154">
        <v>252.01742846889371</v>
      </c>
      <c r="AJ154">
        <v>492.0630904132376</v>
      </c>
      <c r="AK154">
        <v>278.37419354749989</v>
      </c>
      <c r="AL154">
        <v>505.88851673747013</v>
      </c>
      <c r="AM154">
        <v>423.23835525837274</v>
      </c>
      <c r="AN154" cm="1">
        <f t="array" ref="AN154">$Y154*INDEX(RefCapacity!$D$2:$D$526,MATCH(1,(RefCapacity!$A$2:$A$526=RefCapacityProj!$D154)*(RefCapacity!$B$2:$B$526=2019)*(RefCapacity!$C$2:$C$526=AG$1),0))/SUMIFS(RefCapacity!$D$2:$D$526,RefCapacity!$A$2:$A$526,RefCapacityProj!$D154,RefCapacity!$B$2:$B$526,2019)</f>
        <v>191.54273346752899</v>
      </c>
      <c r="AO154" cm="1">
        <f t="array" ref="AO154">$Y154*INDEX(RefCapacity!$D$2:$D$526,MATCH(1,(RefCapacity!$A$2:$A$526=RefCapacityProj!$D154)*(RefCapacity!$B$2:$B$526=2019)*(RefCapacity!$C$2:$C$526=AH$1),0))/SUMIFS(RefCapacity!$D$2:$D$526,RefCapacity!$A$2:$A$526,RefCapacityProj!$D154,RefCapacity!$B$2:$B$526,2019)</f>
        <v>219.77498935447048</v>
      </c>
      <c r="AP154" cm="1">
        <f t="array" ref="AP154">$Y154*INDEX(RefCapacity!$D$2:$D$526,MATCH(1,(RefCapacity!$A$2:$A$526=RefCapacityProj!$D154)*(RefCapacity!$B$2:$B$526=2019)*(RefCapacity!$C$2:$C$526=AI$1),0))/SUMIFS(RefCapacity!$D$2:$D$526,RefCapacity!$A$2:$A$526,RefCapacityProj!$D154,RefCapacity!$B$2:$B$526,2019)</f>
        <v>239.15247167478648</v>
      </c>
      <c r="AQ154" cm="1">
        <f t="array" ref="AQ154">$Y154*INDEX(RefCapacity!$D$2:$D$526,MATCH(1,(RefCapacity!$A$2:$A$526=RefCapacityProj!$D154)*(RefCapacity!$B$2:$B$526=2019)*(RefCapacity!$C$2:$C$526=AJ$1),0))/SUMIFS(RefCapacity!$D$2:$D$526,RefCapacity!$A$2:$A$526,RefCapacityProj!$D154,RefCapacity!$B$2:$B$526,2019)</f>
        <v>252.15255475044154</v>
      </c>
      <c r="AR154" cm="1">
        <f t="array" ref="AR154">$Y154*INDEX(RefCapacity!$D$2:$D$526,MATCH(1,(RefCapacity!$A$2:$A$526=RefCapacityProj!$D154)*(RefCapacity!$B$2:$B$526=2019)*(RefCapacity!$C$2:$C$526=AK$1),0))/SUMIFS(RefCapacity!$D$2:$D$526,RefCapacity!$A$2:$A$526,RefCapacityProj!$D154,RefCapacity!$B$2:$B$526,2019)</f>
        <v>219.97121702353695</v>
      </c>
      <c r="AS154" cm="1">
        <f t="array" ref="AS154">$Y154*INDEX(RefCapacity!$D$2:$D$526,MATCH(1,(RefCapacity!$A$2:$A$526=RefCapacityProj!$D154)*(RefCapacity!$B$2:$B$526=2019)*(RefCapacity!$C$2:$C$526=AL$1),0))/SUMIFS(RefCapacity!$D$2:$D$526,RefCapacity!$A$2:$A$526,RefCapacityProj!$D154,RefCapacity!$B$2:$B$526,2019)</f>
        <v>351.68903988441934</v>
      </c>
      <c r="AT154" cm="1">
        <f t="array" ref="AT154">$Y154*INDEX(RefCapacity!$D$2:$D$526,MATCH(1,(RefCapacity!$A$2:$A$526=RefCapacityProj!$D154)*(RefCapacity!$B$2:$B$526=2019)*(RefCapacity!$C$2:$C$526=AM$1),0))/SUMIFS(RefCapacity!$D$2:$D$526,RefCapacity!$A$2:$A$526,RefCapacityProj!$D154,RefCapacity!$B$2:$B$526,2019)</f>
        <v>1347.3580441112504</v>
      </c>
      <c r="AU154" cm="1">
        <f t="array" ref="AU154">INDEX(RefCapacity!$D$2:$D$526,MATCH(1,(RefCapacity!$A$2:$A$526=RefCapacityProj!$D154)*(RefCapacity!$B$2:$B$526=2019)*(RefCapacity!$C$2:$C$526=RefCapacityProj!AG$1),0))*IF($C154=2035,1+VLOOKUP(AG$1,RefCapacity!$H$2:$L$8,2,FALSE),1+VLOOKUP(AG$1,RefCapacity!$H$2:$L$8,4,FALSE))</f>
        <v>539.89181304421595</v>
      </c>
      <c r="AV154" cm="1">
        <f t="array" ref="AV154">INDEX(RefCapacity!$D$2:$D$526,MATCH(1,(RefCapacity!$A$2:$A$526=RefCapacityProj!$D154)*(RefCapacity!$B$2:$B$526=2019)*(RefCapacity!$C$2:$C$526=RefCapacityProj!AH$1),0))*IF($C154=2035,1+VLOOKUP(AH$1,RefCapacity!$H$2:$L$8,2,FALSE),1+VLOOKUP(AH$1,RefCapacity!$H$2:$L$8,4,FALSE))</f>
        <v>301.95121010669465</v>
      </c>
      <c r="AW154" cm="1">
        <f t="array" ref="AW154">INDEX(RefCapacity!$D$2:$D$526,MATCH(1,(RefCapacity!$A$2:$A$526=RefCapacityProj!$D154)*(RefCapacity!$B$2:$B$526=2019)*(RefCapacity!$C$2:$C$526=RefCapacityProj!AI$1),0))*IF($C154=2035,1+VLOOKUP(AI$1,RefCapacity!$H$2:$L$8,2,FALSE),1+VLOOKUP(AI$1,RefCapacity!$H$2:$L$8,4,FALSE))</f>
        <v>252.01742847049914</v>
      </c>
      <c r="AX154" cm="1">
        <f t="array" ref="AX154">INDEX(RefCapacity!$D$2:$D$526,MATCH(1,(RefCapacity!$A$2:$A$526=RefCapacityProj!$D154)*(RefCapacity!$B$2:$B$526=2019)*(RefCapacity!$C$2:$C$526=RefCapacityProj!AJ$1),0))*IF($C154=2035,1+VLOOKUP(AJ$1,RefCapacity!$H$2:$L$8,2,FALSE),1+VLOOKUP(AJ$1,RefCapacity!$H$2:$L$8,4,FALSE))</f>
        <v>492.06309041835357</v>
      </c>
      <c r="AY154" cm="1">
        <f t="array" ref="AY154">INDEX(RefCapacity!$D$2:$D$526,MATCH(1,(RefCapacity!$A$2:$A$526=RefCapacityProj!$D154)*(RefCapacity!$B$2:$B$526=2019)*(RefCapacity!$C$2:$C$526=RefCapacityProj!AK$1),0))*IF($C154=2035,1+VLOOKUP(AK$1,RefCapacity!$H$2:$L$8,2,FALSE),1+VLOOKUP(AK$1,RefCapacity!$H$2:$L$8,4,FALSE))</f>
        <v>278.3741935541737</v>
      </c>
      <c r="AZ154" cm="1">
        <f t="array" ref="AZ154">INDEX(RefCapacity!$D$2:$D$526,MATCH(1,(RefCapacity!$A$2:$A$526=RefCapacityProj!$D154)*(RefCapacity!$B$2:$B$526=2019)*(RefCapacity!$C$2:$C$526=RefCapacityProj!AL$1),0))*IF($C154=2035,1+VLOOKUP(AL$1,RefCapacity!$H$2:$L$8,2,FALSE),1+VLOOKUP(AL$1,RefCapacity!$H$2:$L$8,4,FALSE))</f>
        <v>505.88851674641143</v>
      </c>
      <c r="BA154" cm="1">
        <f t="array" ref="BA154">INDEX(RefCapacity!$D$2:$D$526,MATCH(1,(RefCapacity!$A$2:$A$526=RefCapacityProj!$D154)*(RefCapacity!$B$2:$B$526=2019)*(RefCapacity!$C$2:$C$526=RefCapacityProj!AM$1),0))*IF($C154=2035,1+VLOOKUP(AM$1,RefCapacity!$H$2:$L$8,2,FALSE),1+VLOOKUP(AM$1,RefCapacity!$H$2:$L$8,4,FALSE))</f>
        <v>1427.387315315184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f t="shared" si="20"/>
        <v>2793.4246075732822</v>
      </c>
      <c r="BJ154">
        <f t="shared" si="21"/>
        <v>28.216442693152203</v>
      </c>
      <c r="BK154">
        <f t="shared" si="22"/>
        <v>0.29906313032921528</v>
      </c>
      <c r="BL154" cm="1">
        <f t="array" ref="BL154">AG154/$BI154*INDEX('GHG Emission'!$C$2:$C$1121,MATCH(1,('GHG Emission'!$D$2:$D$1121=$D154)*('GHG Emission'!$E$2:$E$1121=$C154)*('GHG Emission'!$F$2:$F$1121=$B154)*('GHG Emission'!$I$2:$I$1121=$E154)*('GHG Emission'!$J$2:$J$1121=$F154)*('GHG Emission'!$K$2:$K$1121=AG$1),0))+AH154/$BI154*INDEX('GHG Emission'!$C$2:$C$1121,MATCH(1,('GHG Emission'!$D$2:$D$1121=$D154)*('GHG Emission'!$E$2:$E$1121=$C154)*('GHG Emission'!$F$2:$F$1121=$B154)*('GHG Emission'!$I$2:$I$1121=$E154)*('GHG Emission'!$J$2:$J$1121=$F154)*('GHG Emission'!$K$2:$K$1121=AH$1),0))+AI154/$BI154*INDEX('GHG Emission'!$C$2:$C$1121,MATCH(1,('GHG Emission'!$D$2:$D$1121=$D154)*('GHG Emission'!$E$2:$E$1121=$C154)*('GHG Emission'!$F$2:$F$1121=$B154)*('GHG Emission'!$I$2:$I$1121=$E154)*('GHG Emission'!$J$2:$J$1121=$F154)*('GHG Emission'!$K$2:$K$1121=AI$1),0))+AJ154/$BI154*INDEX('GHG Emission'!$C$2:$C$1121,MATCH(1,('GHG Emission'!$D$2:$D$1121=$D154)*('GHG Emission'!$E$2:$E$1121=$C154)*('GHG Emission'!$F$2:$F$1121=$B154)*('GHG Emission'!$I$2:$I$1121=$E154)*('GHG Emission'!$J$2:$J$1121=$F154)*('GHG Emission'!$K$2:$K$1121=AJ$1),0))+AK154/$BI154*INDEX('GHG Emission'!$C$2:$C$1121,MATCH(1,('GHG Emission'!$D$2:$D$1121=$D154)*('GHG Emission'!$E$2:$E$1121=$C154)*('GHG Emission'!$F$2:$F$1121=$B154)*('GHG Emission'!$I$2:$I$1121=$E154)*('GHG Emission'!$J$2:$J$1121=$F154)*('GHG Emission'!$K$2:$K$1121=AK$1),0))+AL154/$BI154*INDEX('GHG Emission'!$C$2:$C$1121,MATCH(1,('GHG Emission'!$D$2:$D$1121=$D154)*('GHG Emission'!$E$2:$E$1121=$C154)*('GHG Emission'!$F$2:$F$1121=$B154)*('GHG Emission'!$I$2:$I$1121=$E154)*('GHG Emission'!$J$2:$J$1121=$F154)*('GHG Emission'!$K$2:$K$1121=AL$1),0))+AM154/$BI154*INDEX('GHG Emission'!$C$2:$C$1121,MATCH(1,('GHG Emission'!$D$2:$D$1121=$D154)*('GHG Emission'!$E$2:$E$1121=$C154)*('GHG Emission'!$F$2:$F$1121=$B154)*('GHG Emission'!$I$2:$I$1121=$E154)*('GHG Emission'!$J$2:$J$1121=$F154)*('GHG Emission'!$K$2:$K$1121=AM$1),0))</f>
        <v>35.424214896450522</v>
      </c>
      <c r="BM154" t="str">
        <f t="shared" si="23"/>
        <v>HEAVY/SWEET</v>
      </c>
    </row>
    <row r="155" spans="1:65" hidden="1" x14ac:dyDescent="0.25">
      <c r="A155">
        <v>154</v>
      </c>
      <c r="B155" t="s">
        <v>472</v>
      </c>
      <c r="C155">
        <v>2035</v>
      </c>
      <c r="D155">
        <v>5</v>
      </c>
      <c r="E155" t="s">
        <v>466</v>
      </c>
      <c r="F155" t="s">
        <v>468</v>
      </c>
      <c r="G155">
        <v>1507.8047452737985</v>
      </c>
      <c r="H155">
        <v>327.19561581463148</v>
      </c>
      <c r="I155">
        <v>810.70324467831176</v>
      </c>
      <c r="J155">
        <v>428.53933155506098</v>
      </c>
      <c r="K155">
        <v>353.56901161648807</v>
      </c>
      <c r="L155">
        <v>26.363897406863835</v>
      </c>
      <c r="M155">
        <v>0</v>
      </c>
      <c r="N155">
        <v>0</v>
      </c>
      <c r="O155">
        <v>0</v>
      </c>
      <c r="P155">
        <v>58.343300938698711</v>
      </c>
      <c r="Q155">
        <v>0</v>
      </c>
      <c r="R155">
        <v>0</v>
      </c>
      <c r="S155">
        <v>0</v>
      </c>
      <c r="T155">
        <v>25.186204195093957</v>
      </c>
      <c r="U155">
        <v>0</v>
      </c>
      <c r="V155">
        <v>0</v>
      </c>
      <c r="W155">
        <v>0</v>
      </c>
      <c r="X155">
        <f t="shared" si="16"/>
        <v>3537.7053514789473</v>
      </c>
      <c r="Y155">
        <f>X155*VLOOKUP($D155,'LinearReg Model'!$S$2:$T$6,2,FALSE)</f>
        <v>2821.6410502664344</v>
      </c>
      <c r="Z155">
        <f t="shared" si="17"/>
        <v>0.42620981553578413</v>
      </c>
      <c r="AA155">
        <f t="shared" si="18"/>
        <v>0.2291607593434527</v>
      </c>
      <c r="AB155">
        <f t="shared" si="19"/>
        <v>9.2488091377606246E-2</v>
      </c>
      <c r="AC155">
        <v>28.769370330956527</v>
      </c>
      <c r="AD155">
        <v>1.664030724437416</v>
      </c>
      <c r="AE155" s="2">
        <f>VLOOKUP($D155,'MultiReg Model'!$A$5:$F$9,2,FALSE)+AC155*VLOOKUP($D155,'MultiReg Model'!$A$5:$F$9,3,FALSE)+Z155*VLOOKUP($D155,'MultiReg Model'!$A$5:$F$9,4,FALSE)+AA155*VLOOKUP($D155,'MultiReg Model'!$A$5:$F$9,5,FALSE)+AB155*VLOOKUP($D155,'MultiReg Model'!$A$5:$F$9,6,FALSE)</f>
        <v>7.7970413786426862</v>
      </c>
      <c r="AF155" cm="1">
        <f t="array" ref="AF155">MMULT($AG155:$AM155,'Avg CI Index'!$C$2:$C$8)/BI155</f>
        <v>8.0961045089719015</v>
      </c>
      <c r="AG155">
        <v>539.89181304325245</v>
      </c>
      <c r="AH155">
        <v>301.95121010455534</v>
      </c>
      <c r="AI155">
        <v>252.01742846889371</v>
      </c>
      <c r="AJ155">
        <v>492.0630904132376</v>
      </c>
      <c r="AK155">
        <v>278.37419354749989</v>
      </c>
      <c r="AL155">
        <v>505.88851673747013</v>
      </c>
      <c r="AM155">
        <v>423.23835525837274</v>
      </c>
      <c r="AN155" cm="1">
        <f t="array" ref="AN155">$Y155*INDEX(RefCapacity!$D$2:$D$526,MATCH(1,(RefCapacity!$A$2:$A$526=RefCapacityProj!$D155)*(RefCapacity!$B$2:$B$526=2019)*(RefCapacity!$C$2:$C$526=AG$1),0))/SUMIFS(RefCapacity!$D$2:$D$526,RefCapacity!$A$2:$A$526,RefCapacityProj!$D155,RefCapacity!$B$2:$B$526,2019)</f>
        <v>191.54273346752899</v>
      </c>
      <c r="AO155" cm="1">
        <f t="array" ref="AO155">$Y155*INDEX(RefCapacity!$D$2:$D$526,MATCH(1,(RefCapacity!$A$2:$A$526=RefCapacityProj!$D155)*(RefCapacity!$B$2:$B$526=2019)*(RefCapacity!$C$2:$C$526=AH$1),0))/SUMIFS(RefCapacity!$D$2:$D$526,RefCapacity!$A$2:$A$526,RefCapacityProj!$D155,RefCapacity!$B$2:$B$526,2019)</f>
        <v>219.77498935447048</v>
      </c>
      <c r="AP155" cm="1">
        <f t="array" ref="AP155">$Y155*INDEX(RefCapacity!$D$2:$D$526,MATCH(1,(RefCapacity!$A$2:$A$526=RefCapacityProj!$D155)*(RefCapacity!$B$2:$B$526=2019)*(RefCapacity!$C$2:$C$526=AI$1),0))/SUMIFS(RefCapacity!$D$2:$D$526,RefCapacity!$A$2:$A$526,RefCapacityProj!$D155,RefCapacity!$B$2:$B$526,2019)</f>
        <v>239.15247167478648</v>
      </c>
      <c r="AQ155" cm="1">
        <f t="array" ref="AQ155">$Y155*INDEX(RefCapacity!$D$2:$D$526,MATCH(1,(RefCapacity!$A$2:$A$526=RefCapacityProj!$D155)*(RefCapacity!$B$2:$B$526=2019)*(RefCapacity!$C$2:$C$526=AJ$1),0))/SUMIFS(RefCapacity!$D$2:$D$526,RefCapacity!$A$2:$A$526,RefCapacityProj!$D155,RefCapacity!$B$2:$B$526,2019)</f>
        <v>252.15255475044154</v>
      </c>
      <c r="AR155" cm="1">
        <f t="array" ref="AR155">$Y155*INDEX(RefCapacity!$D$2:$D$526,MATCH(1,(RefCapacity!$A$2:$A$526=RefCapacityProj!$D155)*(RefCapacity!$B$2:$B$526=2019)*(RefCapacity!$C$2:$C$526=AK$1),0))/SUMIFS(RefCapacity!$D$2:$D$526,RefCapacity!$A$2:$A$526,RefCapacityProj!$D155,RefCapacity!$B$2:$B$526,2019)</f>
        <v>219.97121702353695</v>
      </c>
      <c r="AS155" cm="1">
        <f t="array" ref="AS155">$Y155*INDEX(RefCapacity!$D$2:$D$526,MATCH(1,(RefCapacity!$A$2:$A$526=RefCapacityProj!$D155)*(RefCapacity!$B$2:$B$526=2019)*(RefCapacity!$C$2:$C$526=AL$1),0))/SUMIFS(RefCapacity!$D$2:$D$526,RefCapacity!$A$2:$A$526,RefCapacityProj!$D155,RefCapacity!$B$2:$B$526,2019)</f>
        <v>351.68903988441934</v>
      </c>
      <c r="AT155" cm="1">
        <f t="array" ref="AT155">$Y155*INDEX(RefCapacity!$D$2:$D$526,MATCH(1,(RefCapacity!$A$2:$A$526=RefCapacityProj!$D155)*(RefCapacity!$B$2:$B$526=2019)*(RefCapacity!$C$2:$C$526=AM$1),0))/SUMIFS(RefCapacity!$D$2:$D$526,RefCapacity!$A$2:$A$526,RefCapacityProj!$D155,RefCapacity!$B$2:$B$526,2019)</f>
        <v>1347.3580441112504</v>
      </c>
      <c r="AU155" cm="1">
        <f t="array" ref="AU155">INDEX(RefCapacity!$D$2:$D$526,MATCH(1,(RefCapacity!$A$2:$A$526=RefCapacityProj!$D155)*(RefCapacity!$B$2:$B$526=2019)*(RefCapacity!$C$2:$C$526=RefCapacityProj!AG$1),0))*IF($C155=2035,1+VLOOKUP(AG$1,RefCapacity!$H$2:$L$8,2,FALSE),1+VLOOKUP(AG$1,RefCapacity!$H$2:$L$8,4,FALSE))</f>
        <v>539.89181304421595</v>
      </c>
      <c r="AV155" cm="1">
        <f t="array" ref="AV155">INDEX(RefCapacity!$D$2:$D$526,MATCH(1,(RefCapacity!$A$2:$A$526=RefCapacityProj!$D155)*(RefCapacity!$B$2:$B$526=2019)*(RefCapacity!$C$2:$C$526=RefCapacityProj!AH$1),0))*IF($C155=2035,1+VLOOKUP(AH$1,RefCapacity!$H$2:$L$8,2,FALSE),1+VLOOKUP(AH$1,RefCapacity!$H$2:$L$8,4,FALSE))</f>
        <v>301.95121010669465</v>
      </c>
      <c r="AW155" cm="1">
        <f t="array" ref="AW155">INDEX(RefCapacity!$D$2:$D$526,MATCH(1,(RefCapacity!$A$2:$A$526=RefCapacityProj!$D155)*(RefCapacity!$B$2:$B$526=2019)*(RefCapacity!$C$2:$C$526=RefCapacityProj!AI$1),0))*IF($C155=2035,1+VLOOKUP(AI$1,RefCapacity!$H$2:$L$8,2,FALSE),1+VLOOKUP(AI$1,RefCapacity!$H$2:$L$8,4,FALSE))</f>
        <v>252.01742847049914</v>
      </c>
      <c r="AX155" cm="1">
        <f t="array" ref="AX155">INDEX(RefCapacity!$D$2:$D$526,MATCH(1,(RefCapacity!$A$2:$A$526=RefCapacityProj!$D155)*(RefCapacity!$B$2:$B$526=2019)*(RefCapacity!$C$2:$C$526=RefCapacityProj!AJ$1),0))*IF($C155=2035,1+VLOOKUP(AJ$1,RefCapacity!$H$2:$L$8,2,FALSE),1+VLOOKUP(AJ$1,RefCapacity!$H$2:$L$8,4,FALSE))</f>
        <v>492.06309041835357</v>
      </c>
      <c r="AY155" cm="1">
        <f t="array" ref="AY155">INDEX(RefCapacity!$D$2:$D$526,MATCH(1,(RefCapacity!$A$2:$A$526=RefCapacityProj!$D155)*(RefCapacity!$B$2:$B$526=2019)*(RefCapacity!$C$2:$C$526=RefCapacityProj!AK$1),0))*IF($C155=2035,1+VLOOKUP(AK$1,RefCapacity!$H$2:$L$8,2,FALSE),1+VLOOKUP(AK$1,RefCapacity!$H$2:$L$8,4,FALSE))</f>
        <v>278.3741935541737</v>
      </c>
      <c r="AZ155" cm="1">
        <f t="array" ref="AZ155">INDEX(RefCapacity!$D$2:$D$526,MATCH(1,(RefCapacity!$A$2:$A$526=RefCapacityProj!$D155)*(RefCapacity!$B$2:$B$526=2019)*(RefCapacity!$C$2:$C$526=RefCapacityProj!AL$1),0))*IF($C155=2035,1+VLOOKUP(AL$1,RefCapacity!$H$2:$L$8,2,FALSE),1+VLOOKUP(AL$1,RefCapacity!$H$2:$L$8,4,FALSE))</f>
        <v>505.88851674641143</v>
      </c>
      <c r="BA155" cm="1">
        <f t="array" ref="BA155">INDEX(RefCapacity!$D$2:$D$526,MATCH(1,(RefCapacity!$A$2:$A$526=RefCapacityProj!$D155)*(RefCapacity!$B$2:$B$526=2019)*(RefCapacity!$C$2:$C$526=RefCapacityProj!AM$1),0))*IF($C155=2035,1+VLOOKUP(AM$1,RefCapacity!$H$2:$L$8,2,FALSE),1+VLOOKUP(AM$1,RefCapacity!$H$2:$L$8,4,FALSE))</f>
        <v>1427.387315315184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f t="shared" si="20"/>
        <v>2793.4246075732822</v>
      </c>
      <c r="BJ155">
        <f t="shared" si="21"/>
        <v>28.216442693152203</v>
      </c>
      <c r="BK155">
        <f t="shared" si="22"/>
        <v>0.29906313032921528</v>
      </c>
      <c r="BL155" cm="1">
        <f t="array" ref="BL155">AG155/$BI155*INDEX('GHG Emission'!$C$2:$C$1121,MATCH(1,('GHG Emission'!$D$2:$D$1121=$D155)*('GHG Emission'!$E$2:$E$1121=$C155)*('GHG Emission'!$F$2:$F$1121=$B155)*('GHG Emission'!$I$2:$I$1121=$E155)*('GHG Emission'!$J$2:$J$1121=$F155)*('GHG Emission'!$K$2:$K$1121=AG$1),0))+AH155/$BI155*INDEX('GHG Emission'!$C$2:$C$1121,MATCH(1,('GHG Emission'!$D$2:$D$1121=$D155)*('GHG Emission'!$E$2:$E$1121=$C155)*('GHG Emission'!$F$2:$F$1121=$B155)*('GHG Emission'!$I$2:$I$1121=$E155)*('GHG Emission'!$J$2:$J$1121=$F155)*('GHG Emission'!$K$2:$K$1121=AH$1),0))+AI155/$BI155*INDEX('GHG Emission'!$C$2:$C$1121,MATCH(1,('GHG Emission'!$D$2:$D$1121=$D155)*('GHG Emission'!$E$2:$E$1121=$C155)*('GHG Emission'!$F$2:$F$1121=$B155)*('GHG Emission'!$I$2:$I$1121=$E155)*('GHG Emission'!$J$2:$J$1121=$F155)*('GHG Emission'!$K$2:$K$1121=AI$1),0))+AJ155/$BI155*INDEX('GHG Emission'!$C$2:$C$1121,MATCH(1,('GHG Emission'!$D$2:$D$1121=$D155)*('GHG Emission'!$E$2:$E$1121=$C155)*('GHG Emission'!$F$2:$F$1121=$B155)*('GHG Emission'!$I$2:$I$1121=$E155)*('GHG Emission'!$J$2:$J$1121=$F155)*('GHG Emission'!$K$2:$K$1121=AJ$1),0))+AK155/$BI155*INDEX('GHG Emission'!$C$2:$C$1121,MATCH(1,('GHG Emission'!$D$2:$D$1121=$D155)*('GHG Emission'!$E$2:$E$1121=$C155)*('GHG Emission'!$F$2:$F$1121=$B155)*('GHG Emission'!$I$2:$I$1121=$E155)*('GHG Emission'!$J$2:$J$1121=$F155)*('GHG Emission'!$K$2:$K$1121=AK$1),0))+AL155/$BI155*INDEX('GHG Emission'!$C$2:$C$1121,MATCH(1,('GHG Emission'!$D$2:$D$1121=$D155)*('GHG Emission'!$E$2:$E$1121=$C155)*('GHG Emission'!$F$2:$F$1121=$B155)*('GHG Emission'!$I$2:$I$1121=$E155)*('GHG Emission'!$J$2:$J$1121=$F155)*('GHG Emission'!$K$2:$K$1121=AL$1),0))+AM155/$BI155*INDEX('GHG Emission'!$C$2:$C$1121,MATCH(1,('GHG Emission'!$D$2:$D$1121=$D155)*('GHG Emission'!$E$2:$E$1121=$C155)*('GHG Emission'!$F$2:$F$1121=$B155)*('GHG Emission'!$I$2:$I$1121=$E155)*('GHG Emission'!$J$2:$J$1121=$F155)*('GHG Emission'!$K$2:$K$1121=AM$1),0))</f>
        <v>36.132944550757131</v>
      </c>
      <c r="BM155" t="str">
        <f t="shared" si="23"/>
        <v>HEAVY/SOUR</v>
      </c>
    </row>
    <row r="156" spans="1:65" hidden="1" x14ac:dyDescent="0.25">
      <c r="A156">
        <v>155</v>
      </c>
      <c r="B156" t="s">
        <v>472</v>
      </c>
      <c r="C156">
        <v>2035</v>
      </c>
      <c r="D156">
        <v>5</v>
      </c>
      <c r="E156" t="s">
        <v>469</v>
      </c>
      <c r="F156" t="s">
        <v>467</v>
      </c>
      <c r="G156">
        <v>1507.8047452737985</v>
      </c>
      <c r="H156">
        <v>327.19561581463148</v>
      </c>
      <c r="I156">
        <v>810.70324467831176</v>
      </c>
      <c r="J156">
        <v>428.53933155506098</v>
      </c>
      <c r="K156">
        <v>353.56901161648807</v>
      </c>
      <c r="L156">
        <v>26.363897406863835</v>
      </c>
      <c r="M156">
        <v>0</v>
      </c>
      <c r="N156">
        <v>0</v>
      </c>
      <c r="O156">
        <v>0</v>
      </c>
      <c r="P156">
        <v>58.343300938698711</v>
      </c>
      <c r="Q156">
        <v>0</v>
      </c>
      <c r="R156">
        <v>0</v>
      </c>
      <c r="S156">
        <v>0</v>
      </c>
      <c r="T156">
        <v>25.186204195093957</v>
      </c>
      <c r="U156">
        <v>0</v>
      </c>
      <c r="V156">
        <v>0</v>
      </c>
      <c r="W156">
        <v>0</v>
      </c>
      <c r="X156">
        <f t="shared" si="16"/>
        <v>3537.7053514789473</v>
      </c>
      <c r="Y156">
        <f>X156*VLOOKUP($D156,'LinearReg Model'!$S$2:$T$6,2,FALSE)</f>
        <v>2821.6410502664344</v>
      </c>
      <c r="Z156">
        <f t="shared" si="17"/>
        <v>0.42620981553578413</v>
      </c>
      <c r="AA156">
        <f t="shared" si="18"/>
        <v>0.2291607593434527</v>
      </c>
      <c r="AB156">
        <f t="shared" si="19"/>
        <v>9.2488091377606246E-2</v>
      </c>
      <c r="AC156">
        <v>31.950804958677317</v>
      </c>
      <c r="AD156">
        <v>1.439026873673878</v>
      </c>
      <c r="AE156" s="2">
        <f>VLOOKUP($D156,'MultiReg Model'!$A$5:$F$9,2,FALSE)+AC156*VLOOKUP($D156,'MultiReg Model'!$A$5:$F$9,3,FALSE)+Z156*VLOOKUP($D156,'MultiReg Model'!$A$5:$F$9,4,FALSE)+AA156*VLOOKUP($D156,'MultiReg Model'!$A$5:$F$9,5,FALSE)+AB156*VLOOKUP($D156,'MultiReg Model'!$A$5:$F$9,6,FALSE)</f>
        <v>8.4586897354293651</v>
      </c>
      <c r="AF156" cm="1">
        <f t="array" ref="AF156">MMULT($AG156:$AM156,'Avg CI Index'!$C$2:$C$8)/BI156</f>
        <v>8.4686897368091589</v>
      </c>
      <c r="AG156">
        <v>539.78000386455187</v>
      </c>
      <c r="AH156">
        <v>297.22237936162469</v>
      </c>
      <c r="AI156">
        <v>251.5647209315598</v>
      </c>
      <c r="AJ156">
        <v>186.04872400515933</v>
      </c>
      <c r="AK156">
        <v>133.57820025577783</v>
      </c>
      <c r="AL156">
        <v>248.2667695656265</v>
      </c>
      <c r="AM156">
        <v>1186.7691858585601</v>
      </c>
      <c r="AN156" cm="1">
        <f t="array" ref="AN156">$Y156*INDEX(RefCapacity!$D$2:$D$526,MATCH(1,(RefCapacity!$A$2:$A$526=RefCapacityProj!$D156)*(RefCapacity!$B$2:$B$526=2019)*(RefCapacity!$C$2:$C$526=AG$1),0))/SUMIFS(RefCapacity!$D$2:$D$526,RefCapacity!$A$2:$A$526,RefCapacityProj!$D156,RefCapacity!$B$2:$B$526,2019)</f>
        <v>191.54273346752899</v>
      </c>
      <c r="AO156" cm="1">
        <f t="array" ref="AO156">$Y156*INDEX(RefCapacity!$D$2:$D$526,MATCH(1,(RefCapacity!$A$2:$A$526=RefCapacityProj!$D156)*(RefCapacity!$B$2:$B$526=2019)*(RefCapacity!$C$2:$C$526=AH$1),0))/SUMIFS(RefCapacity!$D$2:$D$526,RefCapacity!$A$2:$A$526,RefCapacityProj!$D156,RefCapacity!$B$2:$B$526,2019)</f>
        <v>219.77498935447048</v>
      </c>
      <c r="AP156" cm="1">
        <f t="array" ref="AP156">$Y156*INDEX(RefCapacity!$D$2:$D$526,MATCH(1,(RefCapacity!$A$2:$A$526=RefCapacityProj!$D156)*(RefCapacity!$B$2:$B$526=2019)*(RefCapacity!$C$2:$C$526=AI$1),0))/SUMIFS(RefCapacity!$D$2:$D$526,RefCapacity!$A$2:$A$526,RefCapacityProj!$D156,RefCapacity!$B$2:$B$526,2019)</f>
        <v>239.15247167478648</v>
      </c>
      <c r="AQ156" cm="1">
        <f t="array" ref="AQ156">$Y156*INDEX(RefCapacity!$D$2:$D$526,MATCH(1,(RefCapacity!$A$2:$A$526=RefCapacityProj!$D156)*(RefCapacity!$B$2:$B$526=2019)*(RefCapacity!$C$2:$C$526=AJ$1),0))/SUMIFS(RefCapacity!$D$2:$D$526,RefCapacity!$A$2:$A$526,RefCapacityProj!$D156,RefCapacity!$B$2:$B$526,2019)</f>
        <v>252.15255475044154</v>
      </c>
      <c r="AR156" cm="1">
        <f t="array" ref="AR156">$Y156*INDEX(RefCapacity!$D$2:$D$526,MATCH(1,(RefCapacity!$A$2:$A$526=RefCapacityProj!$D156)*(RefCapacity!$B$2:$B$526=2019)*(RefCapacity!$C$2:$C$526=AK$1),0))/SUMIFS(RefCapacity!$D$2:$D$526,RefCapacity!$A$2:$A$526,RefCapacityProj!$D156,RefCapacity!$B$2:$B$526,2019)</f>
        <v>219.97121702353695</v>
      </c>
      <c r="AS156" cm="1">
        <f t="array" ref="AS156">$Y156*INDEX(RefCapacity!$D$2:$D$526,MATCH(1,(RefCapacity!$A$2:$A$526=RefCapacityProj!$D156)*(RefCapacity!$B$2:$B$526=2019)*(RefCapacity!$C$2:$C$526=AL$1),0))/SUMIFS(RefCapacity!$D$2:$D$526,RefCapacity!$A$2:$A$526,RefCapacityProj!$D156,RefCapacity!$B$2:$B$526,2019)</f>
        <v>351.68903988441934</v>
      </c>
      <c r="AT156" cm="1">
        <f t="array" ref="AT156">$Y156*INDEX(RefCapacity!$D$2:$D$526,MATCH(1,(RefCapacity!$A$2:$A$526=RefCapacityProj!$D156)*(RefCapacity!$B$2:$B$526=2019)*(RefCapacity!$C$2:$C$526=AM$1),0))/SUMIFS(RefCapacity!$D$2:$D$526,RefCapacity!$A$2:$A$526,RefCapacityProj!$D156,RefCapacity!$B$2:$B$526,2019)</f>
        <v>1347.3580441112504</v>
      </c>
      <c r="AU156" cm="1">
        <f t="array" ref="AU156">INDEX(RefCapacity!$D$2:$D$526,MATCH(1,(RefCapacity!$A$2:$A$526=RefCapacityProj!$D156)*(RefCapacity!$B$2:$B$526=2019)*(RefCapacity!$C$2:$C$526=RefCapacityProj!AG$1),0))*IF($C156=2035,1+VLOOKUP(AG$1,RefCapacity!$H$2:$L$8,2,FALSE),1+VLOOKUP(AG$1,RefCapacity!$H$2:$L$8,4,FALSE))</f>
        <v>539.89181304421595</v>
      </c>
      <c r="AV156" cm="1">
        <f t="array" ref="AV156">INDEX(RefCapacity!$D$2:$D$526,MATCH(1,(RefCapacity!$A$2:$A$526=RefCapacityProj!$D156)*(RefCapacity!$B$2:$B$526=2019)*(RefCapacity!$C$2:$C$526=RefCapacityProj!AH$1),0))*IF($C156=2035,1+VLOOKUP(AH$1,RefCapacity!$H$2:$L$8,2,FALSE),1+VLOOKUP(AH$1,RefCapacity!$H$2:$L$8,4,FALSE))</f>
        <v>301.95121010669465</v>
      </c>
      <c r="AW156" cm="1">
        <f t="array" ref="AW156">INDEX(RefCapacity!$D$2:$D$526,MATCH(1,(RefCapacity!$A$2:$A$526=RefCapacityProj!$D156)*(RefCapacity!$B$2:$B$526=2019)*(RefCapacity!$C$2:$C$526=RefCapacityProj!AI$1),0))*IF($C156=2035,1+VLOOKUP(AI$1,RefCapacity!$H$2:$L$8,2,FALSE),1+VLOOKUP(AI$1,RefCapacity!$H$2:$L$8,4,FALSE))</f>
        <v>252.01742847049914</v>
      </c>
      <c r="AX156" cm="1">
        <f t="array" ref="AX156">INDEX(RefCapacity!$D$2:$D$526,MATCH(1,(RefCapacity!$A$2:$A$526=RefCapacityProj!$D156)*(RefCapacity!$B$2:$B$526=2019)*(RefCapacity!$C$2:$C$526=RefCapacityProj!AJ$1),0))*IF($C156=2035,1+VLOOKUP(AJ$1,RefCapacity!$H$2:$L$8,2,FALSE),1+VLOOKUP(AJ$1,RefCapacity!$H$2:$L$8,4,FALSE))</f>
        <v>492.06309041835357</v>
      </c>
      <c r="AY156" cm="1">
        <f t="array" ref="AY156">INDEX(RefCapacity!$D$2:$D$526,MATCH(1,(RefCapacity!$A$2:$A$526=RefCapacityProj!$D156)*(RefCapacity!$B$2:$B$526=2019)*(RefCapacity!$C$2:$C$526=RefCapacityProj!AK$1),0))*IF($C156=2035,1+VLOOKUP(AK$1,RefCapacity!$H$2:$L$8,2,FALSE),1+VLOOKUP(AK$1,RefCapacity!$H$2:$L$8,4,FALSE))</f>
        <v>278.3741935541737</v>
      </c>
      <c r="AZ156" cm="1">
        <f t="array" ref="AZ156">INDEX(RefCapacity!$D$2:$D$526,MATCH(1,(RefCapacity!$A$2:$A$526=RefCapacityProj!$D156)*(RefCapacity!$B$2:$B$526=2019)*(RefCapacity!$C$2:$C$526=RefCapacityProj!AL$1),0))*IF($C156=2035,1+VLOOKUP(AL$1,RefCapacity!$H$2:$L$8,2,FALSE),1+VLOOKUP(AL$1,RefCapacity!$H$2:$L$8,4,FALSE))</f>
        <v>505.88851674641143</v>
      </c>
      <c r="BA156" cm="1">
        <f t="array" ref="BA156">INDEX(RefCapacity!$D$2:$D$526,MATCH(1,(RefCapacity!$A$2:$A$526=RefCapacityProj!$D156)*(RefCapacity!$B$2:$B$526=2019)*(RefCapacity!$C$2:$C$526=RefCapacityProj!AM$1),0))*IF($C156=2035,1+VLOOKUP(AM$1,RefCapacity!$H$2:$L$8,2,FALSE),1+VLOOKUP(AM$1,RefCapacity!$H$2:$L$8,4,FALSE))</f>
        <v>1427.387315315184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f t="shared" si="20"/>
        <v>2843.2299838428598</v>
      </c>
      <c r="BJ156">
        <f t="shared" si="21"/>
        <v>21.588933576425461</v>
      </c>
      <c r="BK156">
        <f t="shared" si="22"/>
        <v>1.0000001379793844E-2</v>
      </c>
      <c r="BL156" cm="1">
        <f t="array" ref="BL156">AG156/$BI156*INDEX('GHG Emission'!$C$2:$C$1121,MATCH(1,('GHG Emission'!$D$2:$D$1121=$D156)*('GHG Emission'!$E$2:$E$1121=$C156)*('GHG Emission'!$F$2:$F$1121=$B156)*('GHG Emission'!$I$2:$I$1121=$E156)*('GHG Emission'!$J$2:$J$1121=$F156)*('GHG Emission'!$K$2:$K$1121=AG$1),0))+AH156/$BI156*INDEX('GHG Emission'!$C$2:$C$1121,MATCH(1,('GHG Emission'!$D$2:$D$1121=$D156)*('GHG Emission'!$E$2:$E$1121=$C156)*('GHG Emission'!$F$2:$F$1121=$B156)*('GHG Emission'!$I$2:$I$1121=$E156)*('GHG Emission'!$J$2:$J$1121=$F156)*('GHG Emission'!$K$2:$K$1121=AH$1),0))+AI156/$BI156*INDEX('GHG Emission'!$C$2:$C$1121,MATCH(1,('GHG Emission'!$D$2:$D$1121=$D156)*('GHG Emission'!$E$2:$E$1121=$C156)*('GHG Emission'!$F$2:$F$1121=$B156)*('GHG Emission'!$I$2:$I$1121=$E156)*('GHG Emission'!$J$2:$J$1121=$F156)*('GHG Emission'!$K$2:$K$1121=AI$1),0))+AJ156/$BI156*INDEX('GHG Emission'!$C$2:$C$1121,MATCH(1,('GHG Emission'!$D$2:$D$1121=$D156)*('GHG Emission'!$E$2:$E$1121=$C156)*('GHG Emission'!$F$2:$F$1121=$B156)*('GHG Emission'!$I$2:$I$1121=$E156)*('GHG Emission'!$J$2:$J$1121=$F156)*('GHG Emission'!$K$2:$K$1121=AJ$1),0))+AK156/$BI156*INDEX('GHG Emission'!$C$2:$C$1121,MATCH(1,('GHG Emission'!$D$2:$D$1121=$D156)*('GHG Emission'!$E$2:$E$1121=$C156)*('GHG Emission'!$F$2:$F$1121=$B156)*('GHG Emission'!$I$2:$I$1121=$E156)*('GHG Emission'!$J$2:$J$1121=$F156)*('GHG Emission'!$K$2:$K$1121=AK$1),0))+AL156/$BI156*INDEX('GHG Emission'!$C$2:$C$1121,MATCH(1,('GHG Emission'!$D$2:$D$1121=$D156)*('GHG Emission'!$E$2:$E$1121=$C156)*('GHG Emission'!$F$2:$F$1121=$B156)*('GHG Emission'!$I$2:$I$1121=$E156)*('GHG Emission'!$J$2:$J$1121=$F156)*('GHG Emission'!$K$2:$K$1121=AL$1),0))+AM156/$BI156*INDEX('GHG Emission'!$C$2:$C$1121,MATCH(1,('GHG Emission'!$D$2:$D$1121=$D156)*('GHG Emission'!$E$2:$E$1121=$C156)*('GHG Emission'!$F$2:$F$1121=$B156)*('GHG Emission'!$I$2:$I$1121=$E156)*('GHG Emission'!$J$2:$J$1121=$F156)*('GHG Emission'!$K$2:$K$1121=AM$1),0))</f>
        <v>35.151415366950907</v>
      </c>
      <c r="BM156" t="str">
        <f t="shared" si="23"/>
        <v>LIGHT/SWEET</v>
      </c>
    </row>
    <row r="157" spans="1:65" hidden="1" x14ac:dyDescent="0.25">
      <c r="A157">
        <v>156</v>
      </c>
      <c r="B157" t="s">
        <v>472</v>
      </c>
      <c r="C157">
        <v>2035</v>
      </c>
      <c r="D157">
        <v>5</v>
      </c>
      <c r="E157" t="s">
        <v>469</v>
      </c>
      <c r="F157" t="s">
        <v>468</v>
      </c>
      <c r="G157">
        <v>1507.8047452737985</v>
      </c>
      <c r="H157">
        <v>327.19561581463148</v>
      </c>
      <c r="I157">
        <v>810.70324467831176</v>
      </c>
      <c r="J157">
        <v>428.53933155506098</v>
      </c>
      <c r="K157">
        <v>353.56901161648807</v>
      </c>
      <c r="L157">
        <v>26.363897406863835</v>
      </c>
      <c r="M157">
        <v>0</v>
      </c>
      <c r="N157">
        <v>0</v>
      </c>
      <c r="O157">
        <v>0</v>
      </c>
      <c r="P157">
        <v>58.343300938698711</v>
      </c>
      <c r="Q157">
        <v>0</v>
      </c>
      <c r="R157">
        <v>0</v>
      </c>
      <c r="S157">
        <v>0</v>
      </c>
      <c r="T157">
        <v>25.186204195093957</v>
      </c>
      <c r="U157">
        <v>0</v>
      </c>
      <c r="V157">
        <v>0</v>
      </c>
      <c r="W157">
        <v>0</v>
      </c>
      <c r="X157">
        <f t="shared" si="16"/>
        <v>3537.7053514789473</v>
      </c>
      <c r="Y157">
        <f>X157*VLOOKUP($D157,'LinearReg Model'!$S$2:$T$6,2,FALSE)</f>
        <v>2821.6410502664344</v>
      </c>
      <c r="Z157">
        <f t="shared" si="17"/>
        <v>0.42620981553578413</v>
      </c>
      <c r="AA157">
        <f t="shared" si="18"/>
        <v>0.2291607593434527</v>
      </c>
      <c r="AB157">
        <f t="shared" si="19"/>
        <v>9.2488091377606246E-2</v>
      </c>
      <c r="AC157">
        <v>31.950804958677317</v>
      </c>
      <c r="AD157">
        <v>1.664030724437416</v>
      </c>
      <c r="AE157" s="2">
        <f>VLOOKUP($D157,'MultiReg Model'!$A$5:$F$9,2,FALSE)+AC157*VLOOKUP($D157,'MultiReg Model'!$A$5:$F$9,3,FALSE)+Z157*VLOOKUP($D157,'MultiReg Model'!$A$5:$F$9,4,FALSE)+AA157*VLOOKUP($D157,'MultiReg Model'!$A$5:$F$9,5,FALSE)+AB157*VLOOKUP($D157,'MultiReg Model'!$A$5:$F$9,6,FALSE)</f>
        <v>8.4586897354293651</v>
      </c>
      <c r="AF157" cm="1">
        <f t="array" ref="AF157">MMULT($AG157:$AM157,'Avg CI Index'!$C$2:$C$8)/BI157</f>
        <v>8.4686897368091589</v>
      </c>
      <c r="AG157">
        <v>539.78000386455187</v>
      </c>
      <c r="AH157">
        <v>297.22237936162469</v>
      </c>
      <c r="AI157">
        <v>251.5647209315598</v>
      </c>
      <c r="AJ157">
        <v>186.04872400515933</v>
      </c>
      <c r="AK157">
        <v>133.57820025577783</v>
      </c>
      <c r="AL157">
        <v>248.2667695656265</v>
      </c>
      <c r="AM157">
        <v>1186.7691858585601</v>
      </c>
      <c r="AN157" cm="1">
        <f t="array" ref="AN157">$Y157*INDEX(RefCapacity!$D$2:$D$526,MATCH(1,(RefCapacity!$A$2:$A$526=RefCapacityProj!$D157)*(RefCapacity!$B$2:$B$526=2019)*(RefCapacity!$C$2:$C$526=AG$1),0))/SUMIFS(RefCapacity!$D$2:$D$526,RefCapacity!$A$2:$A$526,RefCapacityProj!$D157,RefCapacity!$B$2:$B$526,2019)</f>
        <v>191.54273346752899</v>
      </c>
      <c r="AO157" cm="1">
        <f t="array" ref="AO157">$Y157*INDEX(RefCapacity!$D$2:$D$526,MATCH(1,(RefCapacity!$A$2:$A$526=RefCapacityProj!$D157)*(RefCapacity!$B$2:$B$526=2019)*(RefCapacity!$C$2:$C$526=AH$1),0))/SUMIFS(RefCapacity!$D$2:$D$526,RefCapacity!$A$2:$A$526,RefCapacityProj!$D157,RefCapacity!$B$2:$B$526,2019)</f>
        <v>219.77498935447048</v>
      </c>
      <c r="AP157" cm="1">
        <f t="array" ref="AP157">$Y157*INDEX(RefCapacity!$D$2:$D$526,MATCH(1,(RefCapacity!$A$2:$A$526=RefCapacityProj!$D157)*(RefCapacity!$B$2:$B$526=2019)*(RefCapacity!$C$2:$C$526=AI$1),0))/SUMIFS(RefCapacity!$D$2:$D$526,RefCapacity!$A$2:$A$526,RefCapacityProj!$D157,RefCapacity!$B$2:$B$526,2019)</f>
        <v>239.15247167478648</v>
      </c>
      <c r="AQ157" cm="1">
        <f t="array" ref="AQ157">$Y157*INDEX(RefCapacity!$D$2:$D$526,MATCH(1,(RefCapacity!$A$2:$A$526=RefCapacityProj!$D157)*(RefCapacity!$B$2:$B$526=2019)*(RefCapacity!$C$2:$C$526=AJ$1),0))/SUMIFS(RefCapacity!$D$2:$D$526,RefCapacity!$A$2:$A$526,RefCapacityProj!$D157,RefCapacity!$B$2:$B$526,2019)</f>
        <v>252.15255475044154</v>
      </c>
      <c r="AR157" cm="1">
        <f t="array" ref="AR157">$Y157*INDEX(RefCapacity!$D$2:$D$526,MATCH(1,(RefCapacity!$A$2:$A$526=RefCapacityProj!$D157)*(RefCapacity!$B$2:$B$526=2019)*(RefCapacity!$C$2:$C$526=AK$1),0))/SUMIFS(RefCapacity!$D$2:$D$526,RefCapacity!$A$2:$A$526,RefCapacityProj!$D157,RefCapacity!$B$2:$B$526,2019)</f>
        <v>219.97121702353695</v>
      </c>
      <c r="AS157" cm="1">
        <f t="array" ref="AS157">$Y157*INDEX(RefCapacity!$D$2:$D$526,MATCH(1,(RefCapacity!$A$2:$A$526=RefCapacityProj!$D157)*(RefCapacity!$B$2:$B$526=2019)*(RefCapacity!$C$2:$C$526=AL$1),0))/SUMIFS(RefCapacity!$D$2:$D$526,RefCapacity!$A$2:$A$526,RefCapacityProj!$D157,RefCapacity!$B$2:$B$526,2019)</f>
        <v>351.68903988441934</v>
      </c>
      <c r="AT157" cm="1">
        <f t="array" ref="AT157">$Y157*INDEX(RefCapacity!$D$2:$D$526,MATCH(1,(RefCapacity!$A$2:$A$526=RefCapacityProj!$D157)*(RefCapacity!$B$2:$B$526=2019)*(RefCapacity!$C$2:$C$526=AM$1),0))/SUMIFS(RefCapacity!$D$2:$D$526,RefCapacity!$A$2:$A$526,RefCapacityProj!$D157,RefCapacity!$B$2:$B$526,2019)</f>
        <v>1347.3580441112504</v>
      </c>
      <c r="AU157" cm="1">
        <f t="array" ref="AU157">INDEX(RefCapacity!$D$2:$D$526,MATCH(1,(RefCapacity!$A$2:$A$526=RefCapacityProj!$D157)*(RefCapacity!$B$2:$B$526=2019)*(RefCapacity!$C$2:$C$526=RefCapacityProj!AG$1),0))*IF($C157=2035,1+VLOOKUP(AG$1,RefCapacity!$H$2:$L$8,2,FALSE),1+VLOOKUP(AG$1,RefCapacity!$H$2:$L$8,4,FALSE))</f>
        <v>539.89181304421595</v>
      </c>
      <c r="AV157" cm="1">
        <f t="array" ref="AV157">INDEX(RefCapacity!$D$2:$D$526,MATCH(1,(RefCapacity!$A$2:$A$526=RefCapacityProj!$D157)*(RefCapacity!$B$2:$B$526=2019)*(RefCapacity!$C$2:$C$526=RefCapacityProj!AH$1),0))*IF($C157=2035,1+VLOOKUP(AH$1,RefCapacity!$H$2:$L$8,2,FALSE),1+VLOOKUP(AH$1,RefCapacity!$H$2:$L$8,4,FALSE))</f>
        <v>301.95121010669465</v>
      </c>
      <c r="AW157" cm="1">
        <f t="array" ref="AW157">INDEX(RefCapacity!$D$2:$D$526,MATCH(1,(RefCapacity!$A$2:$A$526=RefCapacityProj!$D157)*(RefCapacity!$B$2:$B$526=2019)*(RefCapacity!$C$2:$C$526=RefCapacityProj!AI$1),0))*IF($C157=2035,1+VLOOKUP(AI$1,RefCapacity!$H$2:$L$8,2,FALSE),1+VLOOKUP(AI$1,RefCapacity!$H$2:$L$8,4,FALSE))</f>
        <v>252.01742847049914</v>
      </c>
      <c r="AX157" cm="1">
        <f t="array" ref="AX157">INDEX(RefCapacity!$D$2:$D$526,MATCH(1,(RefCapacity!$A$2:$A$526=RefCapacityProj!$D157)*(RefCapacity!$B$2:$B$526=2019)*(RefCapacity!$C$2:$C$526=RefCapacityProj!AJ$1),0))*IF($C157=2035,1+VLOOKUP(AJ$1,RefCapacity!$H$2:$L$8,2,FALSE),1+VLOOKUP(AJ$1,RefCapacity!$H$2:$L$8,4,FALSE))</f>
        <v>492.06309041835357</v>
      </c>
      <c r="AY157" cm="1">
        <f t="array" ref="AY157">INDEX(RefCapacity!$D$2:$D$526,MATCH(1,(RefCapacity!$A$2:$A$526=RefCapacityProj!$D157)*(RefCapacity!$B$2:$B$526=2019)*(RefCapacity!$C$2:$C$526=RefCapacityProj!AK$1),0))*IF($C157=2035,1+VLOOKUP(AK$1,RefCapacity!$H$2:$L$8,2,FALSE),1+VLOOKUP(AK$1,RefCapacity!$H$2:$L$8,4,FALSE))</f>
        <v>278.3741935541737</v>
      </c>
      <c r="AZ157" cm="1">
        <f t="array" ref="AZ157">INDEX(RefCapacity!$D$2:$D$526,MATCH(1,(RefCapacity!$A$2:$A$526=RefCapacityProj!$D157)*(RefCapacity!$B$2:$B$526=2019)*(RefCapacity!$C$2:$C$526=RefCapacityProj!AL$1),0))*IF($C157=2035,1+VLOOKUP(AL$1,RefCapacity!$H$2:$L$8,2,FALSE),1+VLOOKUP(AL$1,RefCapacity!$H$2:$L$8,4,FALSE))</f>
        <v>505.88851674641143</v>
      </c>
      <c r="BA157" cm="1">
        <f t="array" ref="BA157">INDEX(RefCapacity!$D$2:$D$526,MATCH(1,(RefCapacity!$A$2:$A$526=RefCapacityProj!$D157)*(RefCapacity!$B$2:$B$526=2019)*(RefCapacity!$C$2:$C$526=RefCapacityProj!AM$1),0))*IF($C157=2035,1+VLOOKUP(AM$1,RefCapacity!$H$2:$L$8,2,FALSE),1+VLOOKUP(AM$1,RefCapacity!$H$2:$L$8,4,FALSE))</f>
        <v>1427.387315315184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f t="shared" si="20"/>
        <v>2843.2299838428598</v>
      </c>
      <c r="BJ157">
        <f t="shared" si="21"/>
        <v>21.588933576425461</v>
      </c>
      <c r="BK157">
        <f t="shared" si="22"/>
        <v>1.0000001379793844E-2</v>
      </c>
      <c r="BL157" cm="1">
        <f t="array" ref="BL157">AG157/$BI157*INDEX('GHG Emission'!$C$2:$C$1121,MATCH(1,('GHG Emission'!$D$2:$D$1121=$D157)*('GHG Emission'!$E$2:$E$1121=$C157)*('GHG Emission'!$F$2:$F$1121=$B157)*('GHG Emission'!$I$2:$I$1121=$E157)*('GHG Emission'!$J$2:$J$1121=$F157)*('GHG Emission'!$K$2:$K$1121=AG$1),0))+AH157/$BI157*INDEX('GHG Emission'!$C$2:$C$1121,MATCH(1,('GHG Emission'!$D$2:$D$1121=$D157)*('GHG Emission'!$E$2:$E$1121=$C157)*('GHG Emission'!$F$2:$F$1121=$B157)*('GHG Emission'!$I$2:$I$1121=$E157)*('GHG Emission'!$J$2:$J$1121=$F157)*('GHG Emission'!$K$2:$K$1121=AH$1),0))+AI157/$BI157*INDEX('GHG Emission'!$C$2:$C$1121,MATCH(1,('GHG Emission'!$D$2:$D$1121=$D157)*('GHG Emission'!$E$2:$E$1121=$C157)*('GHG Emission'!$F$2:$F$1121=$B157)*('GHG Emission'!$I$2:$I$1121=$E157)*('GHG Emission'!$J$2:$J$1121=$F157)*('GHG Emission'!$K$2:$K$1121=AI$1),0))+AJ157/$BI157*INDEX('GHG Emission'!$C$2:$C$1121,MATCH(1,('GHG Emission'!$D$2:$D$1121=$D157)*('GHG Emission'!$E$2:$E$1121=$C157)*('GHG Emission'!$F$2:$F$1121=$B157)*('GHG Emission'!$I$2:$I$1121=$E157)*('GHG Emission'!$J$2:$J$1121=$F157)*('GHG Emission'!$K$2:$K$1121=AJ$1),0))+AK157/$BI157*INDEX('GHG Emission'!$C$2:$C$1121,MATCH(1,('GHG Emission'!$D$2:$D$1121=$D157)*('GHG Emission'!$E$2:$E$1121=$C157)*('GHG Emission'!$F$2:$F$1121=$B157)*('GHG Emission'!$I$2:$I$1121=$E157)*('GHG Emission'!$J$2:$J$1121=$F157)*('GHG Emission'!$K$2:$K$1121=AK$1),0))+AL157/$BI157*INDEX('GHG Emission'!$C$2:$C$1121,MATCH(1,('GHG Emission'!$D$2:$D$1121=$D157)*('GHG Emission'!$E$2:$E$1121=$C157)*('GHG Emission'!$F$2:$F$1121=$B157)*('GHG Emission'!$I$2:$I$1121=$E157)*('GHG Emission'!$J$2:$J$1121=$F157)*('GHG Emission'!$K$2:$K$1121=AL$1),0))+AM157/$BI157*INDEX('GHG Emission'!$C$2:$C$1121,MATCH(1,('GHG Emission'!$D$2:$D$1121=$D157)*('GHG Emission'!$E$2:$E$1121=$C157)*('GHG Emission'!$F$2:$F$1121=$B157)*('GHG Emission'!$I$2:$I$1121=$E157)*('GHG Emission'!$J$2:$J$1121=$F157)*('GHG Emission'!$K$2:$K$1121=AM$1),0))</f>
        <v>35.617830275898982</v>
      </c>
      <c r="BM157" t="str">
        <f t="shared" si="23"/>
        <v>LIGHT/SOUR</v>
      </c>
    </row>
    <row r="158" spans="1:65" hidden="1" x14ac:dyDescent="0.25">
      <c r="A158">
        <v>157</v>
      </c>
      <c r="B158" t="s">
        <v>472</v>
      </c>
      <c r="C158">
        <v>2050</v>
      </c>
      <c r="D158">
        <v>5</v>
      </c>
      <c r="E158" t="s">
        <v>466</v>
      </c>
      <c r="F158" t="s">
        <v>467</v>
      </c>
      <c r="G158">
        <v>1412.9393897020007</v>
      </c>
      <c r="H158">
        <v>403.48138243067109</v>
      </c>
      <c r="I158">
        <v>866.70238170255902</v>
      </c>
      <c r="J158">
        <v>458.14058565828554</v>
      </c>
      <c r="K158">
        <v>419.50029200983431</v>
      </c>
      <c r="L158">
        <v>31.280067815142612</v>
      </c>
      <c r="M158">
        <v>0</v>
      </c>
      <c r="N158">
        <v>0</v>
      </c>
      <c r="O158">
        <v>0</v>
      </c>
      <c r="P158">
        <v>71.446358970493918</v>
      </c>
      <c r="Q158">
        <v>0</v>
      </c>
      <c r="R158">
        <v>0</v>
      </c>
      <c r="S158">
        <v>0</v>
      </c>
      <c r="T158">
        <v>25.663170143529239</v>
      </c>
      <c r="U158">
        <v>0</v>
      </c>
      <c r="V158">
        <v>0</v>
      </c>
      <c r="W158">
        <v>0</v>
      </c>
      <c r="X158">
        <f t="shared" si="16"/>
        <v>3689.1536284325161</v>
      </c>
      <c r="Y158">
        <f>X158*VLOOKUP($D158,'LinearReg Model'!$S$2:$T$6,2,FALSE)</f>
        <v>2942.4347944559167</v>
      </c>
      <c r="Z158">
        <f t="shared" si="17"/>
        <v>0.38299825163484563</v>
      </c>
      <c r="AA158">
        <f t="shared" si="18"/>
        <v>0.23493258047668025</v>
      </c>
      <c r="AB158">
        <f t="shared" si="19"/>
        <v>0.10936963408653334</v>
      </c>
      <c r="AC158">
        <v>29.834929643303958</v>
      </c>
      <c r="AD158">
        <v>1.5923770961611641</v>
      </c>
      <c r="AE158" s="2">
        <f>VLOOKUP($D158,'MultiReg Model'!$A$5:$F$9,2,FALSE)+AC158*VLOOKUP($D158,'MultiReg Model'!$A$5:$F$9,3,FALSE)+Z158*VLOOKUP($D158,'MultiReg Model'!$A$5:$F$9,4,FALSE)+AA158*VLOOKUP($D158,'MultiReg Model'!$A$5:$F$9,5,FALSE)+AB158*VLOOKUP($D158,'MultiReg Model'!$A$5:$F$9,6,FALSE)</f>
        <v>8.3064140766335299</v>
      </c>
      <c r="AF158" cm="1">
        <f t="array" ref="AF158">MMULT($AG158:$AM158,'Avg CI Index'!$C$2:$C$8)/BI158</f>
        <v>8.3164140798909028</v>
      </c>
      <c r="AG158">
        <v>619.5369846082416</v>
      </c>
      <c r="AH158">
        <v>318.39234409546407</v>
      </c>
      <c r="AI158">
        <v>260.28138749644381</v>
      </c>
      <c r="AJ158">
        <v>183.62288817831916</v>
      </c>
      <c r="AK158">
        <v>126.27844786109597</v>
      </c>
      <c r="AL158">
        <v>243.67257591491133</v>
      </c>
      <c r="AM158">
        <v>1215.0111384940972</v>
      </c>
      <c r="AN158" cm="1">
        <f t="array" ref="AN158">$Y158*INDEX(RefCapacity!$D$2:$D$526,MATCH(1,(RefCapacity!$A$2:$A$526=RefCapacityProj!$D158)*(RefCapacity!$B$2:$B$526=2019)*(RefCapacity!$C$2:$C$526=AG$1),0))/SUMIFS(RefCapacity!$D$2:$D$526,RefCapacity!$A$2:$A$526,RefCapacityProj!$D158,RefCapacity!$B$2:$B$526,2019)</f>
        <v>199.74262974620208</v>
      </c>
      <c r="AO158" cm="1">
        <f t="array" ref="AO158">$Y158*INDEX(RefCapacity!$D$2:$D$526,MATCH(1,(RefCapacity!$A$2:$A$526=RefCapacityProj!$D158)*(RefCapacity!$B$2:$B$526=2019)*(RefCapacity!$C$2:$C$526=AH$1),0))/SUMIFS(RefCapacity!$D$2:$D$526,RefCapacity!$A$2:$A$526,RefCapacityProj!$D158,RefCapacity!$B$2:$B$526,2019)</f>
        <v>229.18350141195677</v>
      </c>
      <c r="AP158" cm="1">
        <f t="array" ref="AP158">$Y158*INDEX(RefCapacity!$D$2:$D$526,MATCH(1,(RefCapacity!$A$2:$A$526=RefCapacityProj!$D158)*(RefCapacity!$B$2:$B$526=2019)*(RefCapacity!$C$2:$C$526=AI$1),0))/SUMIFS(RefCapacity!$D$2:$D$526,RefCapacity!$A$2:$A$526,RefCapacityProj!$D158,RefCapacity!$B$2:$B$526,2019)</f>
        <v>249.39052888019847</v>
      </c>
      <c r="AQ158" cm="1">
        <f t="array" ref="AQ158">$Y158*INDEX(RefCapacity!$D$2:$D$526,MATCH(1,(RefCapacity!$A$2:$A$526=RefCapacityProj!$D158)*(RefCapacity!$B$2:$B$526=2019)*(RefCapacity!$C$2:$C$526=AJ$1),0))/SUMIFS(RefCapacity!$D$2:$D$526,RefCapacity!$A$2:$A$526,RefCapacityProj!$D158,RefCapacity!$B$2:$B$526,2019)</f>
        <v>262.94714224496823</v>
      </c>
      <c r="AR158" cm="1">
        <f t="array" ref="AR158">$Y158*INDEX(RefCapacity!$D$2:$D$526,MATCH(1,(RefCapacity!$A$2:$A$526=RefCapacityProj!$D158)*(RefCapacity!$B$2:$B$526=2019)*(RefCapacity!$C$2:$C$526=AK$1),0))/SUMIFS(RefCapacity!$D$2:$D$526,RefCapacity!$A$2:$A$526,RefCapacityProj!$D158,RefCapacity!$B$2:$B$526,2019)</f>
        <v>229.38812953821744</v>
      </c>
      <c r="AS158" cm="1">
        <f t="array" ref="AS158">$Y158*INDEX(RefCapacity!$D$2:$D$526,MATCH(1,(RefCapacity!$A$2:$A$526=RefCapacityProj!$D158)*(RefCapacity!$B$2:$B$526=2019)*(RefCapacity!$C$2:$C$526=AL$1),0))/SUMIFS(RefCapacity!$D$2:$D$526,RefCapacity!$A$2:$A$526,RefCapacityProj!$D158,RefCapacity!$B$2:$B$526,2019)</f>
        <v>366.74475929069598</v>
      </c>
      <c r="AT158" cm="1">
        <f t="array" ref="AT158">$Y158*INDEX(RefCapacity!$D$2:$D$526,MATCH(1,(RefCapacity!$A$2:$A$526=RefCapacityProj!$D158)*(RefCapacity!$B$2:$B$526=2019)*(RefCapacity!$C$2:$C$526=AM$1),0))/SUMIFS(RefCapacity!$D$2:$D$526,RefCapacity!$A$2:$A$526,RefCapacityProj!$D158,RefCapacity!$B$2:$B$526,2019)</f>
        <v>1405.0381033436774</v>
      </c>
      <c r="AU158" cm="1">
        <f t="array" ref="AU158">INDEX(RefCapacity!$D$2:$D$526,MATCH(1,(RefCapacity!$A$2:$A$526=RefCapacityProj!$D158)*(RefCapacity!$B$2:$B$526=2019)*(RefCapacity!$C$2:$C$526=RefCapacityProj!AG$1),0))*IF($C158=2035,1+VLOOKUP(AG$1,RefCapacity!$H$2:$L$8,2,FALSE),1+VLOOKUP(AG$1,RefCapacity!$H$2:$L$8,4,FALSE))</f>
        <v>884.55862608843188</v>
      </c>
      <c r="AV158" cm="1">
        <f t="array" ref="AV158">INDEX(RefCapacity!$D$2:$D$526,MATCH(1,(RefCapacity!$A$2:$A$526=RefCapacityProj!$D158)*(RefCapacity!$B$2:$B$526=2019)*(RefCapacity!$C$2:$C$526=RefCapacityProj!AH$1),0))*IF($C158=2035,1+VLOOKUP(AH$1,RefCapacity!$H$2:$L$8,2,FALSE),1+VLOOKUP(AH$1,RefCapacity!$H$2:$L$8,4,FALSE))</f>
        <v>379.90242021338935</v>
      </c>
      <c r="AW158" cm="1">
        <f t="array" ref="AW158">INDEX(RefCapacity!$D$2:$D$526,MATCH(1,(RefCapacity!$A$2:$A$526=RefCapacityProj!$D158)*(RefCapacity!$B$2:$B$526=2019)*(RefCapacity!$C$2:$C$526=RefCapacityProj!AI$1),0))*IF($C158=2035,1+VLOOKUP(AI$1,RefCapacity!$H$2:$L$8,2,FALSE),1+VLOOKUP(AI$1,RefCapacity!$H$2:$L$8,4,FALSE))</f>
        <v>260.28485694099828</v>
      </c>
      <c r="AX158" cm="1">
        <f t="array" ref="AX158">INDEX(RefCapacity!$D$2:$D$526,MATCH(1,(RefCapacity!$A$2:$A$526=RefCapacityProj!$D158)*(RefCapacity!$B$2:$B$526=2019)*(RefCapacity!$C$2:$C$526=RefCapacityProj!AJ$1),0))*IF($C158=2035,1+VLOOKUP(AJ$1,RefCapacity!$H$2:$L$8,2,FALSE),1+VLOOKUP(AJ$1,RefCapacity!$H$2:$L$8,4,FALSE))</f>
        <v>727.12618083670714</v>
      </c>
      <c r="AY158" cm="1">
        <f t="array" ref="AY158">INDEX(RefCapacity!$D$2:$D$526,MATCH(1,(RefCapacity!$A$2:$A$526=RefCapacityProj!$D158)*(RefCapacity!$B$2:$B$526=2019)*(RefCapacity!$C$2:$C$526=RefCapacityProj!AK$1),0))*IF($C158=2035,1+VLOOKUP(AK$1,RefCapacity!$H$2:$L$8,2,FALSE),1+VLOOKUP(AK$1,RefCapacity!$H$2:$L$8,4,FALSE))</f>
        <v>332.5483871083473</v>
      </c>
      <c r="AZ158" cm="1">
        <f t="array" ref="AZ158">INDEX(RefCapacity!$D$2:$D$526,MATCH(1,(RefCapacity!$A$2:$A$526=RefCapacityProj!$D158)*(RefCapacity!$B$2:$B$526=2019)*(RefCapacity!$C$2:$C$526=RefCapacityProj!AL$1),0))*IF($C158=2035,1+VLOOKUP(AL$1,RefCapacity!$H$2:$L$8,2,FALSE),1+VLOOKUP(AL$1,RefCapacity!$H$2:$L$8,4,FALSE))</f>
        <v>653.32703349282281</v>
      </c>
      <c r="BA158" cm="1">
        <f t="array" ref="BA158">INDEX(RefCapacity!$D$2:$D$526,MATCH(1,(RefCapacity!$A$2:$A$526=RefCapacityProj!$D158)*(RefCapacity!$B$2:$B$526=2019)*(RefCapacity!$C$2:$C$526=RefCapacityProj!AM$1),0))*IF($C158=2035,1+VLOOKUP(AM$1,RefCapacity!$H$2:$L$8,2,FALSE),1+VLOOKUP(AM$1,RefCapacity!$H$2:$L$8,4,FALSE))</f>
        <v>1481.5146306303682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f t="shared" si="20"/>
        <v>2966.7957666485727</v>
      </c>
      <c r="BJ158">
        <f t="shared" si="21"/>
        <v>24.360972192655936</v>
      </c>
      <c r="BK158">
        <f t="shared" si="22"/>
        <v>1.0000003257372825E-2</v>
      </c>
      <c r="BL158" cm="1">
        <f t="array" ref="BL158">AG158/$BI158*INDEX('GHG Emission'!$C$2:$C$1121,MATCH(1,('GHG Emission'!$D$2:$D$1121=$D158)*('GHG Emission'!$E$2:$E$1121=$C158)*('GHG Emission'!$F$2:$F$1121=$B158)*('GHG Emission'!$I$2:$I$1121=$E158)*('GHG Emission'!$J$2:$J$1121=$F158)*('GHG Emission'!$K$2:$K$1121=AG$1),0))+AH158/$BI158*INDEX('GHG Emission'!$C$2:$C$1121,MATCH(1,('GHG Emission'!$D$2:$D$1121=$D158)*('GHG Emission'!$E$2:$E$1121=$C158)*('GHG Emission'!$F$2:$F$1121=$B158)*('GHG Emission'!$I$2:$I$1121=$E158)*('GHG Emission'!$J$2:$J$1121=$F158)*('GHG Emission'!$K$2:$K$1121=AH$1),0))+AI158/$BI158*INDEX('GHG Emission'!$C$2:$C$1121,MATCH(1,('GHG Emission'!$D$2:$D$1121=$D158)*('GHG Emission'!$E$2:$E$1121=$C158)*('GHG Emission'!$F$2:$F$1121=$B158)*('GHG Emission'!$I$2:$I$1121=$E158)*('GHG Emission'!$J$2:$J$1121=$F158)*('GHG Emission'!$K$2:$K$1121=AI$1),0))+AJ158/$BI158*INDEX('GHG Emission'!$C$2:$C$1121,MATCH(1,('GHG Emission'!$D$2:$D$1121=$D158)*('GHG Emission'!$E$2:$E$1121=$C158)*('GHG Emission'!$F$2:$F$1121=$B158)*('GHG Emission'!$I$2:$I$1121=$E158)*('GHG Emission'!$J$2:$J$1121=$F158)*('GHG Emission'!$K$2:$K$1121=AJ$1),0))+AK158/$BI158*INDEX('GHG Emission'!$C$2:$C$1121,MATCH(1,('GHG Emission'!$D$2:$D$1121=$D158)*('GHG Emission'!$E$2:$E$1121=$C158)*('GHG Emission'!$F$2:$F$1121=$B158)*('GHG Emission'!$I$2:$I$1121=$E158)*('GHG Emission'!$J$2:$J$1121=$F158)*('GHG Emission'!$K$2:$K$1121=AK$1),0))+AL158/$BI158*INDEX('GHG Emission'!$C$2:$C$1121,MATCH(1,('GHG Emission'!$D$2:$D$1121=$D158)*('GHG Emission'!$E$2:$E$1121=$C158)*('GHG Emission'!$F$2:$F$1121=$B158)*('GHG Emission'!$I$2:$I$1121=$E158)*('GHG Emission'!$J$2:$J$1121=$F158)*('GHG Emission'!$K$2:$K$1121=AL$1),0))+AM158/$BI158*INDEX('GHG Emission'!$C$2:$C$1121,MATCH(1,('GHG Emission'!$D$2:$D$1121=$D158)*('GHG Emission'!$E$2:$E$1121=$C158)*('GHG Emission'!$F$2:$F$1121=$B158)*('GHG Emission'!$I$2:$I$1121=$E158)*('GHG Emission'!$J$2:$J$1121=$F158)*('GHG Emission'!$K$2:$K$1121=AM$1),0))</f>
        <v>34.773727169052897</v>
      </c>
      <c r="BM158" t="str">
        <f t="shared" si="23"/>
        <v>HEAVY/SWEET</v>
      </c>
    </row>
    <row r="159" spans="1:65" hidden="1" x14ac:dyDescent="0.25">
      <c r="A159">
        <v>158</v>
      </c>
      <c r="B159" t="s">
        <v>472</v>
      </c>
      <c r="C159">
        <v>2050</v>
      </c>
      <c r="D159">
        <v>5</v>
      </c>
      <c r="E159" t="s">
        <v>466</v>
      </c>
      <c r="F159" t="s">
        <v>468</v>
      </c>
      <c r="G159">
        <v>1412.9393897020007</v>
      </c>
      <c r="H159">
        <v>403.48138243067109</v>
      </c>
      <c r="I159">
        <v>866.70238170255902</v>
      </c>
      <c r="J159">
        <v>458.14058565828554</v>
      </c>
      <c r="K159">
        <v>419.50029200983431</v>
      </c>
      <c r="L159">
        <v>31.280067815142612</v>
      </c>
      <c r="M159">
        <v>0</v>
      </c>
      <c r="N159">
        <v>0</v>
      </c>
      <c r="O159">
        <v>0</v>
      </c>
      <c r="P159">
        <v>71.446358970493918</v>
      </c>
      <c r="Q159">
        <v>0</v>
      </c>
      <c r="R159">
        <v>0</v>
      </c>
      <c r="S159">
        <v>0</v>
      </c>
      <c r="T159">
        <v>25.663170143529239</v>
      </c>
      <c r="U159">
        <v>0</v>
      </c>
      <c r="V159">
        <v>0</v>
      </c>
      <c r="W159">
        <v>0</v>
      </c>
      <c r="X159">
        <f t="shared" si="16"/>
        <v>3689.1536284325161</v>
      </c>
      <c r="Y159">
        <f>X159*VLOOKUP($D159,'LinearReg Model'!$S$2:$T$6,2,FALSE)</f>
        <v>2942.4347944559167</v>
      </c>
      <c r="Z159">
        <f t="shared" si="17"/>
        <v>0.38299825163484563</v>
      </c>
      <c r="AA159">
        <f t="shared" si="18"/>
        <v>0.23493258047668025</v>
      </c>
      <c r="AB159">
        <f t="shared" si="19"/>
        <v>0.10936963408653334</v>
      </c>
      <c r="AC159">
        <v>29.834929643303958</v>
      </c>
      <c r="AD159">
        <v>1.8659991154487672</v>
      </c>
      <c r="AE159" s="2">
        <f>VLOOKUP($D159,'MultiReg Model'!$A$5:$F$9,2,FALSE)+AC159*VLOOKUP($D159,'MultiReg Model'!$A$5:$F$9,3,FALSE)+Z159*VLOOKUP($D159,'MultiReg Model'!$A$5:$F$9,4,FALSE)+AA159*VLOOKUP($D159,'MultiReg Model'!$A$5:$F$9,5,FALSE)+AB159*VLOOKUP($D159,'MultiReg Model'!$A$5:$F$9,6,FALSE)</f>
        <v>8.3064140766335299</v>
      </c>
      <c r="AF159" cm="1">
        <f t="array" ref="AF159">MMULT($AG159:$AM159,'Avg CI Index'!$C$2:$C$8)/BI159</f>
        <v>8.3164140798909028</v>
      </c>
      <c r="AG159">
        <v>619.5369846082416</v>
      </c>
      <c r="AH159">
        <v>318.39234409546407</v>
      </c>
      <c r="AI159">
        <v>260.28138749644381</v>
      </c>
      <c r="AJ159">
        <v>183.62288817831916</v>
      </c>
      <c r="AK159">
        <v>126.27844786109597</v>
      </c>
      <c r="AL159">
        <v>243.67257591491133</v>
      </c>
      <c r="AM159">
        <v>1215.0111384940972</v>
      </c>
      <c r="AN159" cm="1">
        <f t="array" ref="AN159">$Y159*INDEX(RefCapacity!$D$2:$D$526,MATCH(1,(RefCapacity!$A$2:$A$526=RefCapacityProj!$D159)*(RefCapacity!$B$2:$B$526=2019)*(RefCapacity!$C$2:$C$526=AG$1),0))/SUMIFS(RefCapacity!$D$2:$D$526,RefCapacity!$A$2:$A$526,RefCapacityProj!$D159,RefCapacity!$B$2:$B$526,2019)</f>
        <v>199.74262974620208</v>
      </c>
      <c r="AO159" cm="1">
        <f t="array" ref="AO159">$Y159*INDEX(RefCapacity!$D$2:$D$526,MATCH(1,(RefCapacity!$A$2:$A$526=RefCapacityProj!$D159)*(RefCapacity!$B$2:$B$526=2019)*(RefCapacity!$C$2:$C$526=AH$1),0))/SUMIFS(RefCapacity!$D$2:$D$526,RefCapacity!$A$2:$A$526,RefCapacityProj!$D159,RefCapacity!$B$2:$B$526,2019)</f>
        <v>229.18350141195677</v>
      </c>
      <c r="AP159" cm="1">
        <f t="array" ref="AP159">$Y159*INDEX(RefCapacity!$D$2:$D$526,MATCH(1,(RefCapacity!$A$2:$A$526=RefCapacityProj!$D159)*(RefCapacity!$B$2:$B$526=2019)*(RefCapacity!$C$2:$C$526=AI$1),0))/SUMIFS(RefCapacity!$D$2:$D$526,RefCapacity!$A$2:$A$526,RefCapacityProj!$D159,RefCapacity!$B$2:$B$526,2019)</f>
        <v>249.39052888019847</v>
      </c>
      <c r="AQ159" cm="1">
        <f t="array" ref="AQ159">$Y159*INDEX(RefCapacity!$D$2:$D$526,MATCH(1,(RefCapacity!$A$2:$A$526=RefCapacityProj!$D159)*(RefCapacity!$B$2:$B$526=2019)*(RefCapacity!$C$2:$C$526=AJ$1),0))/SUMIFS(RefCapacity!$D$2:$D$526,RefCapacity!$A$2:$A$526,RefCapacityProj!$D159,RefCapacity!$B$2:$B$526,2019)</f>
        <v>262.94714224496823</v>
      </c>
      <c r="AR159" cm="1">
        <f t="array" ref="AR159">$Y159*INDEX(RefCapacity!$D$2:$D$526,MATCH(1,(RefCapacity!$A$2:$A$526=RefCapacityProj!$D159)*(RefCapacity!$B$2:$B$526=2019)*(RefCapacity!$C$2:$C$526=AK$1),0))/SUMIFS(RefCapacity!$D$2:$D$526,RefCapacity!$A$2:$A$526,RefCapacityProj!$D159,RefCapacity!$B$2:$B$526,2019)</f>
        <v>229.38812953821744</v>
      </c>
      <c r="AS159" cm="1">
        <f t="array" ref="AS159">$Y159*INDEX(RefCapacity!$D$2:$D$526,MATCH(1,(RefCapacity!$A$2:$A$526=RefCapacityProj!$D159)*(RefCapacity!$B$2:$B$526=2019)*(RefCapacity!$C$2:$C$526=AL$1),0))/SUMIFS(RefCapacity!$D$2:$D$526,RefCapacity!$A$2:$A$526,RefCapacityProj!$D159,RefCapacity!$B$2:$B$526,2019)</f>
        <v>366.74475929069598</v>
      </c>
      <c r="AT159" cm="1">
        <f t="array" ref="AT159">$Y159*INDEX(RefCapacity!$D$2:$D$526,MATCH(1,(RefCapacity!$A$2:$A$526=RefCapacityProj!$D159)*(RefCapacity!$B$2:$B$526=2019)*(RefCapacity!$C$2:$C$526=AM$1),0))/SUMIFS(RefCapacity!$D$2:$D$526,RefCapacity!$A$2:$A$526,RefCapacityProj!$D159,RefCapacity!$B$2:$B$526,2019)</f>
        <v>1405.0381033436774</v>
      </c>
      <c r="AU159" cm="1">
        <f t="array" ref="AU159">INDEX(RefCapacity!$D$2:$D$526,MATCH(1,(RefCapacity!$A$2:$A$526=RefCapacityProj!$D159)*(RefCapacity!$B$2:$B$526=2019)*(RefCapacity!$C$2:$C$526=RefCapacityProj!AG$1),0))*IF($C159=2035,1+VLOOKUP(AG$1,RefCapacity!$H$2:$L$8,2,FALSE),1+VLOOKUP(AG$1,RefCapacity!$H$2:$L$8,4,FALSE))</f>
        <v>884.55862608843188</v>
      </c>
      <c r="AV159" cm="1">
        <f t="array" ref="AV159">INDEX(RefCapacity!$D$2:$D$526,MATCH(1,(RefCapacity!$A$2:$A$526=RefCapacityProj!$D159)*(RefCapacity!$B$2:$B$526=2019)*(RefCapacity!$C$2:$C$526=RefCapacityProj!AH$1),0))*IF($C159=2035,1+VLOOKUP(AH$1,RefCapacity!$H$2:$L$8,2,FALSE),1+VLOOKUP(AH$1,RefCapacity!$H$2:$L$8,4,FALSE))</f>
        <v>379.90242021338935</v>
      </c>
      <c r="AW159" cm="1">
        <f t="array" ref="AW159">INDEX(RefCapacity!$D$2:$D$526,MATCH(1,(RefCapacity!$A$2:$A$526=RefCapacityProj!$D159)*(RefCapacity!$B$2:$B$526=2019)*(RefCapacity!$C$2:$C$526=RefCapacityProj!AI$1),0))*IF($C159=2035,1+VLOOKUP(AI$1,RefCapacity!$H$2:$L$8,2,FALSE),1+VLOOKUP(AI$1,RefCapacity!$H$2:$L$8,4,FALSE))</f>
        <v>260.28485694099828</v>
      </c>
      <c r="AX159" cm="1">
        <f t="array" ref="AX159">INDEX(RefCapacity!$D$2:$D$526,MATCH(1,(RefCapacity!$A$2:$A$526=RefCapacityProj!$D159)*(RefCapacity!$B$2:$B$526=2019)*(RefCapacity!$C$2:$C$526=RefCapacityProj!AJ$1),0))*IF($C159=2035,1+VLOOKUP(AJ$1,RefCapacity!$H$2:$L$8,2,FALSE),1+VLOOKUP(AJ$1,RefCapacity!$H$2:$L$8,4,FALSE))</f>
        <v>727.12618083670714</v>
      </c>
      <c r="AY159" cm="1">
        <f t="array" ref="AY159">INDEX(RefCapacity!$D$2:$D$526,MATCH(1,(RefCapacity!$A$2:$A$526=RefCapacityProj!$D159)*(RefCapacity!$B$2:$B$526=2019)*(RefCapacity!$C$2:$C$526=RefCapacityProj!AK$1),0))*IF($C159=2035,1+VLOOKUP(AK$1,RefCapacity!$H$2:$L$8,2,FALSE),1+VLOOKUP(AK$1,RefCapacity!$H$2:$L$8,4,FALSE))</f>
        <v>332.5483871083473</v>
      </c>
      <c r="AZ159" cm="1">
        <f t="array" ref="AZ159">INDEX(RefCapacity!$D$2:$D$526,MATCH(1,(RefCapacity!$A$2:$A$526=RefCapacityProj!$D159)*(RefCapacity!$B$2:$B$526=2019)*(RefCapacity!$C$2:$C$526=RefCapacityProj!AL$1),0))*IF($C159=2035,1+VLOOKUP(AL$1,RefCapacity!$H$2:$L$8,2,FALSE),1+VLOOKUP(AL$1,RefCapacity!$H$2:$L$8,4,FALSE))</f>
        <v>653.32703349282281</v>
      </c>
      <c r="BA159" cm="1">
        <f t="array" ref="BA159">INDEX(RefCapacity!$D$2:$D$526,MATCH(1,(RefCapacity!$A$2:$A$526=RefCapacityProj!$D159)*(RefCapacity!$B$2:$B$526=2019)*(RefCapacity!$C$2:$C$526=RefCapacityProj!AM$1),0))*IF($C159=2035,1+VLOOKUP(AM$1,RefCapacity!$H$2:$L$8,2,FALSE),1+VLOOKUP(AM$1,RefCapacity!$H$2:$L$8,4,FALSE))</f>
        <v>1481.5146306303682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f t="shared" si="20"/>
        <v>2966.7957666485727</v>
      </c>
      <c r="BJ159">
        <f t="shared" si="21"/>
        <v>24.360972192655936</v>
      </c>
      <c r="BK159">
        <f t="shared" si="22"/>
        <v>1.0000003257372825E-2</v>
      </c>
      <c r="BL159" cm="1">
        <f t="array" ref="BL159">AG159/$BI159*INDEX('GHG Emission'!$C$2:$C$1121,MATCH(1,('GHG Emission'!$D$2:$D$1121=$D159)*('GHG Emission'!$E$2:$E$1121=$C159)*('GHG Emission'!$F$2:$F$1121=$B159)*('GHG Emission'!$I$2:$I$1121=$E159)*('GHG Emission'!$J$2:$J$1121=$F159)*('GHG Emission'!$K$2:$K$1121=AG$1),0))+AH159/$BI159*INDEX('GHG Emission'!$C$2:$C$1121,MATCH(1,('GHG Emission'!$D$2:$D$1121=$D159)*('GHG Emission'!$E$2:$E$1121=$C159)*('GHG Emission'!$F$2:$F$1121=$B159)*('GHG Emission'!$I$2:$I$1121=$E159)*('GHG Emission'!$J$2:$J$1121=$F159)*('GHG Emission'!$K$2:$K$1121=AH$1),0))+AI159/$BI159*INDEX('GHG Emission'!$C$2:$C$1121,MATCH(1,('GHG Emission'!$D$2:$D$1121=$D159)*('GHG Emission'!$E$2:$E$1121=$C159)*('GHG Emission'!$F$2:$F$1121=$B159)*('GHG Emission'!$I$2:$I$1121=$E159)*('GHG Emission'!$J$2:$J$1121=$F159)*('GHG Emission'!$K$2:$K$1121=AI$1),0))+AJ159/$BI159*INDEX('GHG Emission'!$C$2:$C$1121,MATCH(1,('GHG Emission'!$D$2:$D$1121=$D159)*('GHG Emission'!$E$2:$E$1121=$C159)*('GHG Emission'!$F$2:$F$1121=$B159)*('GHG Emission'!$I$2:$I$1121=$E159)*('GHG Emission'!$J$2:$J$1121=$F159)*('GHG Emission'!$K$2:$K$1121=AJ$1),0))+AK159/$BI159*INDEX('GHG Emission'!$C$2:$C$1121,MATCH(1,('GHG Emission'!$D$2:$D$1121=$D159)*('GHG Emission'!$E$2:$E$1121=$C159)*('GHG Emission'!$F$2:$F$1121=$B159)*('GHG Emission'!$I$2:$I$1121=$E159)*('GHG Emission'!$J$2:$J$1121=$F159)*('GHG Emission'!$K$2:$K$1121=AK$1),0))+AL159/$BI159*INDEX('GHG Emission'!$C$2:$C$1121,MATCH(1,('GHG Emission'!$D$2:$D$1121=$D159)*('GHG Emission'!$E$2:$E$1121=$C159)*('GHG Emission'!$F$2:$F$1121=$B159)*('GHG Emission'!$I$2:$I$1121=$E159)*('GHG Emission'!$J$2:$J$1121=$F159)*('GHG Emission'!$K$2:$K$1121=AL$1),0))+AM159/$BI159*INDEX('GHG Emission'!$C$2:$C$1121,MATCH(1,('GHG Emission'!$D$2:$D$1121=$D159)*('GHG Emission'!$E$2:$E$1121=$C159)*('GHG Emission'!$F$2:$F$1121=$B159)*('GHG Emission'!$I$2:$I$1121=$E159)*('GHG Emission'!$J$2:$J$1121=$F159)*('GHG Emission'!$K$2:$K$1121=AM$1),0))</f>
        <v>34.939605340314799</v>
      </c>
      <c r="BM159" t="str">
        <f t="shared" si="23"/>
        <v>HEAVY/SOUR</v>
      </c>
    </row>
    <row r="160" spans="1:65" hidden="1" x14ac:dyDescent="0.25">
      <c r="A160">
        <v>159</v>
      </c>
      <c r="B160" t="s">
        <v>472</v>
      </c>
      <c r="C160">
        <v>2050</v>
      </c>
      <c r="D160">
        <v>5</v>
      </c>
      <c r="E160" t="s">
        <v>469</v>
      </c>
      <c r="F160" t="s">
        <v>467</v>
      </c>
      <c r="G160">
        <v>1412.9393897020007</v>
      </c>
      <c r="H160">
        <v>403.48138243067109</v>
      </c>
      <c r="I160">
        <v>866.70238170255902</v>
      </c>
      <c r="J160">
        <v>458.14058565828554</v>
      </c>
      <c r="K160">
        <v>419.50029200983431</v>
      </c>
      <c r="L160">
        <v>31.280067815142612</v>
      </c>
      <c r="M160">
        <v>0</v>
      </c>
      <c r="N160">
        <v>0</v>
      </c>
      <c r="O160">
        <v>0</v>
      </c>
      <c r="P160">
        <v>71.446358970493918</v>
      </c>
      <c r="Q160">
        <v>0</v>
      </c>
      <c r="R160">
        <v>0</v>
      </c>
      <c r="S160">
        <v>0</v>
      </c>
      <c r="T160">
        <v>25.663170143529239</v>
      </c>
      <c r="U160">
        <v>0</v>
      </c>
      <c r="V160">
        <v>0</v>
      </c>
      <c r="W160">
        <v>0</v>
      </c>
      <c r="X160">
        <f t="shared" si="16"/>
        <v>3689.1536284325161</v>
      </c>
      <c r="Y160">
        <f>X160*VLOOKUP($D160,'LinearReg Model'!$S$2:$T$6,2,FALSE)</f>
        <v>2942.4347944559167</v>
      </c>
      <c r="Z160">
        <f t="shared" si="17"/>
        <v>0.38299825163484563</v>
      </c>
      <c r="AA160">
        <f t="shared" si="18"/>
        <v>0.23493258047668025</v>
      </c>
      <c r="AB160">
        <f t="shared" si="19"/>
        <v>0.10936963408653334</v>
      </c>
      <c r="AC160">
        <v>34.263678151264266</v>
      </c>
      <c r="AD160">
        <v>1.5923770961611641</v>
      </c>
      <c r="AE160" s="2">
        <f>VLOOKUP($D160,'MultiReg Model'!$A$5:$F$9,2,FALSE)+AC160*VLOOKUP($D160,'MultiReg Model'!$A$5:$F$9,3,FALSE)+Z160*VLOOKUP($D160,'MultiReg Model'!$A$5:$F$9,4,FALSE)+AA160*VLOOKUP($D160,'MultiReg Model'!$A$5:$F$9,5,FALSE)+AB160*VLOOKUP($D160,'MultiReg Model'!$A$5:$F$9,6,FALSE)</f>
        <v>9.2274684171442658</v>
      </c>
      <c r="AF160" cm="1">
        <f t="array" ref="AF160">MMULT($AG160:$AM160,'Avg CI Index'!$C$2:$C$8)/BI160</f>
        <v>9.2374684305265369</v>
      </c>
      <c r="AG160">
        <v>294.31939397848396</v>
      </c>
      <c r="AH160">
        <v>251.01254312484252</v>
      </c>
      <c r="AI160">
        <v>260.24031271882109</v>
      </c>
      <c r="AJ160">
        <v>247.65867525283127</v>
      </c>
      <c r="AK160">
        <v>208.85074236634455</v>
      </c>
      <c r="AL160">
        <v>341.82467807266289</v>
      </c>
      <c r="AM160">
        <v>1365.3844583741363</v>
      </c>
      <c r="AN160" cm="1">
        <f t="array" ref="AN160">$Y160*INDEX(RefCapacity!$D$2:$D$526,MATCH(1,(RefCapacity!$A$2:$A$526=RefCapacityProj!$D160)*(RefCapacity!$B$2:$B$526=2019)*(RefCapacity!$C$2:$C$526=AG$1),0))/SUMIFS(RefCapacity!$D$2:$D$526,RefCapacity!$A$2:$A$526,RefCapacityProj!$D160,RefCapacity!$B$2:$B$526,2019)</f>
        <v>199.74262974620208</v>
      </c>
      <c r="AO160" cm="1">
        <f t="array" ref="AO160">$Y160*INDEX(RefCapacity!$D$2:$D$526,MATCH(1,(RefCapacity!$A$2:$A$526=RefCapacityProj!$D160)*(RefCapacity!$B$2:$B$526=2019)*(RefCapacity!$C$2:$C$526=AH$1),0))/SUMIFS(RefCapacity!$D$2:$D$526,RefCapacity!$A$2:$A$526,RefCapacityProj!$D160,RefCapacity!$B$2:$B$526,2019)</f>
        <v>229.18350141195677</v>
      </c>
      <c r="AP160" cm="1">
        <f t="array" ref="AP160">$Y160*INDEX(RefCapacity!$D$2:$D$526,MATCH(1,(RefCapacity!$A$2:$A$526=RefCapacityProj!$D160)*(RefCapacity!$B$2:$B$526=2019)*(RefCapacity!$C$2:$C$526=AI$1),0))/SUMIFS(RefCapacity!$D$2:$D$526,RefCapacity!$A$2:$A$526,RefCapacityProj!$D160,RefCapacity!$B$2:$B$526,2019)</f>
        <v>249.39052888019847</v>
      </c>
      <c r="AQ160" cm="1">
        <f t="array" ref="AQ160">$Y160*INDEX(RefCapacity!$D$2:$D$526,MATCH(1,(RefCapacity!$A$2:$A$526=RefCapacityProj!$D160)*(RefCapacity!$B$2:$B$526=2019)*(RefCapacity!$C$2:$C$526=AJ$1),0))/SUMIFS(RefCapacity!$D$2:$D$526,RefCapacity!$A$2:$A$526,RefCapacityProj!$D160,RefCapacity!$B$2:$B$526,2019)</f>
        <v>262.94714224496823</v>
      </c>
      <c r="AR160" cm="1">
        <f t="array" ref="AR160">$Y160*INDEX(RefCapacity!$D$2:$D$526,MATCH(1,(RefCapacity!$A$2:$A$526=RefCapacityProj!$D160)*(RefCapacity!$B$2:$B$526=2019)*(RefCapacity!$C$2:$C$526=AK$1),0))/SUMIFS(RefCapacity!$D$2:$D$526,RefCapacity!$A$2:$A$526,RefCapacityProj!$D160,RefCapacity!$B$2:$B$526,2019)</f>
        <v>229.38812953821744</v>
      </c>
      <c r="AS160" cm="1">
        <f t="array" ref="AS160">$Y160*INDEX(RefCapacity!$D$2:$D$526,MATCH(1,(RefCapacity!$A$2:$A$526=RefCapacityProj!$D160)*(RefCapacity!$B$2:$B$526=2019)*(RefCapacity!$C$2:$C$526=AL$1),0))/SUMIFS(RefCapacity!$D$2:$D$526,RefCapacity!$A$2:$A$526,RefCapacityProj!$D160,RefCapacity!$B$2:$B$526,2019)</f>
        <v>366.74475929069598</v>
      </c>
      <c r="AT160" cm="1">
        <f t="array" ref="AT160">$Y160*INDEX(RefCapacity!$D$2:$D$526,MATCH(1,(RefCapacity!$A$2:$A$526=RefCapacityProj!$D160)*(RefCapacity!$B$2:$B$526=2019)*(RefCapacity!$C$2:$C$526=AM$1),0))/SUMIFS(RefCapacity!$D$2:$D$526,RefCapacity!$A$2:$A$526,RefCapacityProj!$D160,RefCapacity!$B$2:$B$526,2019)</f>
        <v>1405.0381033436774</v>
      </c>
      <c r="AU160" cm="1">
        <f t="array" ref="AU160">INDEX(RefCapacity!$D$2:$D$526,MATCH(1,(RefCapacity!$A$2:$A$526=RefCapacityProj!$D160)*(RefCapacity!$B$2:$B$526=2019)*(RefCapacity!$C$2:$C$526=RefCapacityProj!AG$1),0))*IF($C160=2035,1+VLOOKUP(AG$1,RefCapacity!$H$2:$L$8,2,FALSE),1+VLOOKUP(AG$1,RefCapacity!$H$2:$L$8,4,FALSE))</f>
        <v>884.55862608843188</v>
      </c>
      <c r="AV160" cm="1">
        <f t="array" ref="AV160">INDEX(RefCapacity!$D$2:$D$526,MATCH(1,(RefCapacity!$A$2:$A$526=RefCapacityProj!$D160)*(RefCapacity!$B$2:$B$526=2019)*(RefCapacity!$C$2:$C$526=RefCapacityProj!AH$1),0))*IF($C160=2035,1+VLOOKUP(AH$1,RefCapacity!$H$2:$L$8,2,FALSE),1+VLOOKUP(AH$1,RefCapacity!$H$2:$L$8,4,FALSE))</f>
        <v>379.90242021338935</v>
      </c>
      <c r="AW160" cm="1">
        <f t="array" ref="AW160">INDEX(RefCapacity!$D$2:$D$526,MATCH(1,(RefCapacity!$A$2:$A$526=RefCapacityProj!$D160)*(RefCapacity!$B$2:$B$526=2019)*(RefCapacity!$C$2:$C$526=RefCapacityProj!AI$1),0))*IF($C160=2035,1+VLOOKUP(AI$1,RefCapacity!$H$2:$L$8,2,FALSE),1+VLOOKUP(AI$1,RefCapacity!$H$2:$L$8,4,FALSE))</f>
        <v>260.28485694099828</v>
      </c>
      <c r="AX160" cm="1">
        <f t="array" ref="AX160">INDEX(RefCapacity!$D$2:$D$526,MATCH(1,(RefCapacity!$A$2:$A$526=RefCapacityProj!$D160)*(RefCapacity!$B$2:$B$526=2019)*(RefCapacity!$C$2:$C$526=RefCapacityProj!AJ$1),0))*IF($C160=2035,1+VLOOKUP(AJ$1,RefCapacity!$H$2:$L$8,2,FALSE),1+VLOOKUP(AJ$1,RefCapacity!$H$2:$L$8,4,FALSE))</f>
        <v>727.12618083670714</v>
      </c>
      <c r="AY160" cm="1">
        <f t="array" ref="AY160">INDEX(RefCapacity!$D$2:$D$526,MATCH(1,(RefCapacity!$A$2:$A$526=RefCapacityProj!$D160)*(RefCapacity!$B$2:$B$526=2019)*(RefCapacity!$C$2:$C$526=RefCapacityProj!AK$1),0))*IF($C160=2035,1+VLOOKUP(AK$1,RefCapacity!$H$2:$L$8,2,FALSE),1+VLOOKUP(AK$1,RefCapacity!$H$2:$L$8,4,FALSE))</f>
        <v>332.5483871083473</v>
      </c>
      <c r="AZ160" cm="1">
        <f t="array" ref="AZ160">INDEX(RefCapacity!$D$2:$D$526,MATCH(1,(RefCapacity!$A$2:$A$526=RefCapacityProj!$D160)*(RefCapacity!$B$2:$B$526=2019)*(RefCapacity!$C$2:$C$526=RefCapacityProj!AL$1),0))*IF($C160=2035,1+VLOOKUP(AL$1,RefCapacity!$H$2:$L$8,2,FALSE),1+VLOOKUP(AL$1,RefCapacity!$H$2:$L$8,4,FALSE))</f>
        <v>653.32703349282281</v>
      </c>
      <c r="BA160" cm="1">
        <f t="array" ref="BA160">INDEX(RefCapacity!$D$2:$D$526,MATCH(1,(RefCapacity!$A$2:$A$526=RefCapacityProj!$D160)*(RefCapacity!$B$2:$B$526=2019)*(RefCapacity!$C$2:$C$526=RefCapacityProj!AM$1),0))*IF($C160=2035,1+VLOOKUP(AM$1,RefCapacity!$H$2:$L$8,2,FALSE),1+VLOOKUP(AM$1,RefCapacity!$H$2:$L$8,4,FALSE))</f>
        <v>1481.5146306303682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f t="shared" si="20"/>
        <v>2969.2908038881224</v>
      </c>
      <c r="BJ160">
        <f t="shared" si="21"/>
        <v>26.85600943220561</v>
      </c>
      <c r="BK160">
        <f t="shared" si="22"/>
        <v>1.0000013382271078E-2</v>
      </c>
      <c r="BL160" cm="1">
        <f t="array" ref="BL160">AG160/$BI160*INDEX('GHG Emission'!$C$2:$C$1121,MATCH(1,('GHG Emission'!$D$2:$D$1121=$D160)*('GHG Emission'!$E$2:$E$1121=$C160)*('GHG Emission'!$F$2:$F$1121=$B160)*('GHG Emission'!$I$2:$I$1121=$E160)*('GHG Emission'!$J$2:$J$1121=$F160)*('GHG Emission'!$K$2:$K$1121=AG$1),0))+AH160/$BI160*INDEX('GHG Emission'!$C$2:$C$1121,MATCH(1,('GHG Emission'!$D$2:$D$1121=$D160)*('GHG Emission'!$E$2:$E$1121=$C160)*('GHG Emission'!$F$2:$F$1121=$B160)*('GHG Emission'!$I$2:$I$1121=$E160)*('GHG Emission'!$J$2:$J$1121=$F160)*('GHG Emission'!$K$2:$K$1121=AH$1),0))+AI160/$BI160*INDEX('GHG Emission'!$C$2:$C$1121,MATCH(1,('GHG Emission'!$D$2:$D$1121=$D160)*('GHG Emission'!$E$2:$E$1121=$C160)*('GHG Emission'!$F$2:$F$1121=$B160)*('GHG Emission'!$I$2:$I$1121=$E160)*('GHG Emission'!$J$2:$J$1121=$F160)*('GHG Emission'!$K$2:$K$1121=AI$1),0))+AJ160/$BI160*INDEX('GHG Emission'!$C$2:$C$1121,MATCH(1,('GHG Emission'!$D$2:$D$1121=$D160)*('GHG Emission'!$E$2:$E$1121=$C160)*('GHG Emission'!$F$2:$F$1121=$B160)*('GHG Emission'!$I$2:$I$1121=$E160)*('GHG Emission'!$J$2:$J$1121=$F160)*('GHG Emission'!$K$2:$K$1121=AJ$1),0))+AK160/$BI160*INDEX('GHG Emission'!$C$2:$C$1121,MATCH(1,('GHG Emission'!$D$2:$D$1121=$D160)*('GHG Emission'!$E$2:$E$1121=$C160)*('GHG Emission'!$F$2:$F$1121=$B160)*('GHG Emission'!$I$2:$I$1121=$E160)*('GHG Emission'!$J$2:$J$1121=$F160)*('GHG Emission'!$K$2:$K$1121=AK$1),0))+AL160/$BI160*INDEX('GHG Emission'!$C$2:$C$1121,MATCH(1,('GHG Emission'!$D$2:$D$1121=$D160)*('GHG Emission'!$E$2:$E$1121=$C160)*('GHG Emission'!$F$2:$F$1121=$B160)*('GHG Emission'!$I$2:$I$1121=$E160)*('GHG Emission'!$J$2:$J$1121=$F160)*('GHG Emission'!$K$2:$K$1121=AL$1),0))+AM160/$BI160*INDEX('GHG Emission'!$C$2:$C$1121,MATCH(1,('GHG Emission'!$D$2:$D$1121=$D160)*('GHG Emission'!$E$2:$E$1121=$C160)*('GHG Emission'!$F$2:$F$1121=$B160)*('GHG Emission'!$I$2:$I$1121=$E160)*('GHG Emission'!$J$2:$J$1121=$F160)*('GHG Emission'!$K$2:$K$1121=AM$1),0))</f>
        <v>35.678764757194848</v>
      </c>
      <c r="BM160" t="str">
        <f t="shared" si="23"/>
        <v>LIGHT/SWEET</v>
      </c>
    </row>
    <row r="161" spans="1:65" hidden="1" x14ac:dyDescent="0.25">
      <c r="A161">
        <v>160</v>
      </c>
      <c r="B161" t="s">
        <v>472</v>
      </c>
      <c r="C161">
        <v>2050</v>
      </c>
      <c r="D161">
        <v>5</v>
      </c>
      <c r="E161" t="s">
        <v>469</v>
      </c>
      <c r="F161" t="s">
        <v>468</v>
      </c>
      <c r="G161">
        <v>1412.9393897020007</v>
      </c>
      <c r="H161">
        <v>403.48138243067109</v>
      </c>
      <c r="I161">
        <v>866.70238170255902</v>
      </c>
      <c r="J161">
        <v>458.14058565828554</v>
      </c>
      <c r="K161">
        <v>419.50029200983431</v>
      </c>
      <c r="L161">
        <v>31.280067815142612</v>
      </c>
      <c r="M161">
        <v>0</v>
      </c>
      <c r="N161">
        <v>0</v>
      </c>
      <c r="O161">
        <v>0</v>
      </c>
      <c r="P161">
        <v>71.446358970493918</v>
      </c>
      <c r="Q161">
        <v>0</v>
      </c>
      <c r="R161">
        <v>0</v>
      </c>
      <c r="S161">
        <v>0</v>
      </c>
      <c r="T161">
        <v>25.663170143529239</v>
      </c>
      <c r="U161">
        <v>0</v>
      </c>
      <c r="V161">
        <v>0</v>
      </c>
      <c r="W161">
        <v>0</v>
      </c>
      <c r="X161">
        <f t="shared" si="16"/>
        <v>3689.1536284325161</v>
      </c>
      <c r="Y161">
        <f>X161*VLOOKUP($D161,'LinearReg Model'!$S$2:$T$6,2,FALSE)</f>
        <v>2942.4347944559167</v>
      </c>
      <c r="Z161">
        <f t="shared" si="17"/>
        <v>0.38299825163484563</v>
      </c>
      <c r="AA161">
        <f t="shared" si="18"/>
        <v>0.23493258047668025</v>
      </c>
      <c r="AB161">
        <f t="shared" si="19"/>
        <v>0.10936963408653334</v>
      </c>
      <c r="AC161">
        <v>34.263678151264266</v>
      </c>
      <c r="AD161">
        <v>1.8659991154487672</v>
      </c>
      <c r="AE161" s="2">
        <f>VLOOKUP($D161,'MultiReg Model'!$A$5:$F$9,2,FALSE)+AC161*VLOOKUP($D161,'MultiReg Model'!$A$5:$F$9,3,FALSE)+Z161*VLOOKUP($D161,'MultiReg Model'!$A$5:$F$9,4,FALSE)+AA161*VLOOKUP($D161,'MultiReg Model'!$A$5:$F$9,5,FALSE)+AB161*VLOOKUP($D161,'MultiReg Model'!$A$5:$F$9,6,FALSE)</f>
        <v>9.2274684171442658</v>
      </c>
      <c r="AF161" cm="1">
        <f t="array" ref="AF161">MMULT($AG161:$AM161,'Avg CI Index'!$C$2:$C$8)/BI161</f>
        <v>9.2374684305265369</v>
      </c>
      <c r="AG161">
        <v>294.31939397848396</v>
      </c>
      <c r="AH161">
        <v>251.01254312484252</v>
      </c>
      <c r="AI161">
        <v>260.24031271882109</v>
      </c>
      <c r="AJ161">
        <v>247.65867525283127</v>
      </c>
      <c r="AK161">
        <v>208.85074236634455</v>
      </c>
      <c r="AL161">
        <v>341.82467807266289</v>
      </c>
      <c r="AM161">
        <v>1365.3844583741363</v>
      </c>
      <c r="AN161" cm="1">
        <f t="array" ref="AN161">$Y161*INDEX(RefCapacity!$D$2:$D$526,MATCH(1,(RefCapacity!$A$2:$A$526=RefCapacityProj!$D161)*(RefCapacity!$B$2:$B$526=2019)*(RefCapacity!$C$2:$C$526=AG$1),0))/SUMIFS(RefCapacity!$D$2:$D$526,RefCapacity!$A$2:$A$526,RefCapacityProj!$D161,RefCapacity!$B$2:$B$526,2019)</f>
        <v>199.74262974620208</v>
      </c>
      <c r="AO161" cm="1">
        <f t="array" ref="AO161">$Y161*INDEX(RefCapacity!$D$2:$D$526,MATCH(1,(RefCapacity!$A$2:$A$526=RefCapacityProj!$D161)*(RefCapacity!$B$2:$B$526=2019)*(RefCapacity!$C$2:$C$526=AH$1),0))/SUMIFS(RefCapacity!$D$2:$D$526,RefCapacity!$A$2:$A$526,RefCapacityProj!$D161,RefCapacity!$B$2:$B$526,2019)</f>
        <v>229.18350141195677</v>
      </c>
      <c r="AP161" cm="1">
        <f t="array" ref="AP161">$Y161*INDEX(RefCapacity!$D$2:$D$526,MATCH(1,(RefCapacity!$A$2:$A$526=RefCapacityProj!$D161)*(RefCapacity!$B$2:$B$526=2019)*(RefCapacity!$C$2:$C$526=AI$1),0))/SUMIFS(RefCapacity!$D$2:$D$526,RefCapacity!$A$2:$A$526,RefCapacityProj!$D161,RefCapacity!$B$2:$B$526,2019)</f>
        <v>249.39052888019847</v>
      </c>
      <c r="AQ161" cm="1">
        <f t="array" ref="AQ161">$Y161*INDEX(RefCapacity!$D$2:$D$526,MATCH(1,(RefCapacity!$A$2:$A$526=RefCapacityProj!$D161)*(RefCapacity!$B$2:$B$526=2019)*(RefCapacity!$C$2:$C$526=AJ$1),0))/SUMIFS(RefCapacity!$D$2:$D$526,RefCapacity!$A$2:$A$526,RefCapacityProj!$D161,RefCapacity!$B$2:$B$526,2019)</f>
        <v>262.94714224496823</v>
      </c>
      <c r="AR161" cm="1">
        <f t="array" ref="AR161">$Y161*INDEX(RefCapacity!$D$2:$D$526,MATCH(1,(RefCapacity!$A$2:$A$526=RefCapacityProj!$D161)*(RefCapacity!$B$2:$B$526=2019)*(RefCapacity!$C$2:$C$526=AK$1),0))/SUMIFS(RefCapacity!$D$2:$D$526,RefCapacity!$A$2:$A$526,RefCapacityProj!$D161,RefCapacity!$B$2:$B$526,2019)</f>
        <v>229.38812953821744</v>
      </c>
      <c r="AS161" cm="1">
        <f t="array" ref="AS161">$Y161*INDEX(RefCapacity!$D$2:$D$526,MATCH(1,(RefCapacity!$A$2:$A$526=RefCapacityProj!$D161)*(RefCapacity!$B$2:$B$526=2019)*(RefCapacity!$C$2:$C$526=AL$1),0))/SUMIFS(RefCapacity!$D$2:$D$526,RefCapacity!$A$2:$A$526,RefCapacityProj!$D161,RefCapacity!$B$2:$B$526,2019)</f>
        <v>366.74475929069598</v>
      </c>
      <c r="AT161" cm="1">
        <f t="array" ref="AT161">$Y161*INDEX(RefCapacity!$D$2:$D$526,MATCH(1,(RefCapacity!$A$2:$A$526=RefCapacityProj!$D161)*(RefCapacity!$B$2:$B$526=2019)*(RefCapacity!$C$2:$C$526=AM$1),0))/SUMIFS(RefCapacity!$D$2:$D$526,RefCapacity!$A$2:$A$526,RefCapacityProj!$D161,RefCapacity!$B$2:$B$526,2019)</f>
        <v>1405.0381033436774</v>
      </c>
      <c r="AU161" cm="1">
        <f t="array" ref="AU161">INDEX(RefCapacity!$D$2:$D$526,MATCH(1,(RefCapacity!$A$2:$A$526=RefCapacityProj!$D161)*(RefCapacity!$B$2:$B$526=2019)*(RefCapacity!$C$2:$C$526=RefCapacityProj!AG$1),0))*IF($C161=2035,1+VLOOKUP(AG$1,RefCapacity!$H$2:$L$8,2,FALSE),1+VLOOKUP(AG$1,RefCapacity!$H$2:$L$8,4,FALSE))</f>
        <v>884.55862608843188</v>
      </c>
      <c r="AV161" cm="1">
        <f t="array" ref="AV161">INDEX(RefCapacity!$D$2:$D$526,MATCH(1,(RefCapacity!$A$2:$A$526=RefCapacityProj!$D161)*(RefCapacity!$B$2:$B$526=2019)*(RefCapacity!$C$2:$C$526=RefCapacityProj!AH$1),0))*IF($C161=2035,1+VLOOKUP(AH$1,RefCapacity!$H$2:$L$8,2,FALSE),1+VLOOKUP(AH$1,RefCapacity!$H$2:$L$8,4,FALSE))</f>
        <v>379.90242021338935</v>
      </c>
      <c r="AW161" cm="1">
        <f t="array" ref="AW161">INDEX(RefCapacity!$D$2:$D$526,MATCH(1,(RefCapacity!$A$2:$A$526=RefCapacityProj!$D161)*(RefCapacity!$B$2:$B$526=2019)*(RefCapacity!$C$2:$C$526=RefCapacityProj!AI$1),0))*IF($C161=2035,1+VLOOKUP(AI$1,RefCapacity!$H$2:$L$8,2,FALSE),1+VLOOKUP(AI$1,RefCapacity!$H$2:$L$8,4,FALSE))</f>
        <v>260.28485694099828</v>
      </c>
      <c r="AX161" cm="1">
        <f t="array" ref="AX161">INDEX(RefCapacity!$D$2:$D$526,MATCH(1,(RefCapacity!$A$2:$A$526=RefCapacityProj!$D161)*(RefCapacity!$B$2:$B$526=2019)*(RefCapacity!$C$2:$C$526=RefCapacityProj!AJ$1),0))*IF($C161=2035,1+VLOOKUP(AJ$1,RefCapacity!$H$2:$L$8,2,FALSE),1+VLOOKUP(AJ$1,RefCapacity!$H$2:$L$8,4,FALSE))</f>
        <v>727.12618083670714</v>
      </c>
      <c r="AY161" cm="1">
        <f t="array" ref="AY161">INDEX(RefCapacity!$D$2:$D$526,MATCH(1,(RefCapacity!$A$2:$A$526=RefCapacityProj!$D161)*(RefCapacity!$B$2:$B$526=2019)*(RefCapacity!$C$2:$C$526=RefCapacityProj!AK$1),0))*IF($C161=2035,1+VLOOKUP(AK$1,RefCapacity!$H$2:$L$8,2,FALSE),1+VLOOKUP(AK$1,RefCapacity!$H$2:$L$8,4,FALSE))</f>
        <v>332.5483871083473</v>
      </c>
      <c r="AZ161" cm="1">
        <f t="array" ref="AZ161">INDEX(RefCapacity!$D$2:$D$526,MATCH(1,(RefCapacity!$A$2:$A$526=RefCapacityProj!$D161)*(RefCapacity!$B$2:$B$526=2019)*(RefCapacity!$C$2:$C$526=RefCapacityProj!AL$1),0))*IF($C161=2035,1+VLOOKUP(AL$1,RefCapacity!$H$2:$L$8,2,FALSE),1+VLOOKUP(AL$1,RefCapacity!$H$2:$L$8,4,FALSE))</f>
        <v>653.32703349282281</v>
      </c>
      <c r="BA161" cm="1">
        <f t="array" ref="BA161">INDEX(RefCapacity!$D$2:$D$526,MATCH(1,(RefCapacity!$A$2:$A$526=RefCapacityProj!$D161)*(RefCapacity!$B$2:$B$526=2019)*(RefCapacity!$C$2:$C$526=RefCapacityProj!AM$1),0))*IF($C161=2035,1+VLOOKUP(AM$1,RefCapacity!$H$2:$L$8,2,FALSE),1+VLOOKUP(AM$1,RefCapacity!$H$2:$L$8,4,FALSE))</f>
        <v>1481.5146306303682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f t="shared" si="20"/>
        <v>2969.2908038881224</v>
      </c>
      <c r="BJ161">
        <f t="shared" si="21"/>
        <v>26.85600943220561</v>
      </c>
      <c r="BK161">
        <f t="shared" si="22"/>
        <v>1.0000013382271078E-2</v>
      </c>
      <c r="BL161" cm="1">
        <f t="array" ref="BL161">AG161/$BI161*INDEX('GHG Emission'!$C$2:$C$1121,MATCH(1,('GHG Emission'!$D$2:$D$1121=$D161)*('GHG Emission'!$E$2:$E$1121=$C161)*('GHG Emission'!$F$2:$F$1121=$B161)*('GHG Emission'!$I$2:$I$1121=$E161)*('GHG Emission'!$J$2:$J$1121=$F161)*('GHG Emission'!$K$2:$K$1121=AG$1),0))+AH161/$BI161*INDEX('GHG Emission'!$C$2:$C$1121,MATCH(1,('GHG Emission'!$D$2:$D$1121=$D161)*('GHG Emission'!$E$2:$E$1121=$C161)*('GHG Emission'!$F$2:$F$1121=$B161)*('GHG Emission'!$I$2:$I$1121=$E161)*('GHG Emission'!$J$2:$J$1121=$F161)*('GHG Emission'!$K$2:$K$1121=AH$1),0))+AI161/$BI161*INDEX('GHG Emission'!$C$2:$C$1121,MATCH(1,('GHG Emission'!$D$2:$D$1121=$D161)*('GHG Emission'!$E$2:$E$1121=$C161)*('GHG Emission'!$F$2:$F$1121=$B161)*('GHG Emission'!$I$2:$I$1121=$E161)*('GHG Emission'!$J$2:$J$1121=$F161)*('GHG Emission'!$K$2:$K$1121=AI$1),0))+AJ161/$BI161*INDEX('GHG Emission'!$C$2:$C$1121,MATCH(1,('GHG Emission'!$D$2:$D$1121=$D161)*('GHG Emission'!$E$2:$E$1121=$C161)*('GHG Emission'!$F$2:$F$1121=$B161)*('GHG Emission'!$I$2:$I$1121=$E161)*('GHG Emission'!$J$2:$J$1121=$F161)*('GHG Emission'!$K$2:$K$1121=AJ$1),0))+AK161/$BI161*INDEX('GHG Emission'!$C$2:$C$1121,MATCH(1,('GHG Emission'!$D$2:$D$1121=$D161)*('GHG Emission'!$E$2:$E$1121=$C161)*('GHG Emission'!$F$2:$F$1121=$B161)*('GHG Emission'!$I$2:$I$1121=$E161)*('GHG Emission'!$J$2:$J$1121=$F161)*('GHG Emission'!$K$2:$K$1121=AK$1),0))+AL161/$BI161*INDEX('GHG Emission'!$C$2:$C$1121,MATCH(1,('GHG Emission'!$D$2:$D$1121=$D161)*('GHG Emission'!$E$2:$E$1121=$C161)*('GHG Emission'!$F$2:$F$1121=$B161)*('GHG Emission'!$I$2:$I$1121=$E161)*('GHG Emission'!$J$2:$J$1121=$F161)*('GHG Emission'!$K$2:$K$1121=AL$1),0))+AM161/$BI161*INDEX('GHG Emission'!$C$2:$C$1121,MATCH(1,('GHG Emission'!$D$2:$D$1121=$D161)*('GHG Emission'!$E$2:$E$1121=$C161)*('GHG Emission'!$F$2:$F$1121=$B161)*('GHG Emission'!$I$2:$I$1121=$E161)*('GHG Emission'!$J$2:$J$1121=$F161)*('GHG Emission'!$K$2:$K$1121=AM$1),0))</f>
        <v>35.73948685540168</v>
      </c>
      <c r="BM161" t="str">
        <f t="shared" si="23"/>
        <v>LIGHT/SOUR</v>
      </c>
    </row>
    <row r="162" spans="1:65" hidden="1" x14ac:dyDescent="0.25">
      <c r="B162" t="s">
        <v>536</v>
      </c>
      <c r="C162">
        <v>2019</v>
      </c>
      <c r="D162">
        <v>1</v>
      </c>
      <c r="E162" t="s">
        <v>537</v>
      </c>
      <c r="F162" t="s">
        <v>537</v>
      </c>
      <c r="G162">
        <v>35.450000000000003</v>
      </c>
      <c r="H162">
        <v>0.84</v>
      </c>
      <c r="Y162">
        <f>SUM($AG162:$AM162)</f>
        <v>905.00549999999987</v>
      </c>
      <c r="AE162" s="2"/>
      <c r="AF162" cm="1">
        <f t="array" ref="AF162">MMULT($AG162:$AM162,'Avg CI Index'!$C$2:$C$8)/BI162</f>
        <v>8.4425412885800153</v>
      </c>
      <c r="AG162">
        <v>24.299100000000003</v>
      </c>
      <c r="AH162">
        <v>486.75374999999997</v>
      </c>
      <c r="AI162">
        <v>0</v>
      </c>
      <c r="AJ162">
        <v>145.23599999999999</v>
      </c>
      <c r="AK162">
        <v>115.90949999999999</v>
      </c>
      <c r="AL162">
        <v>0</v>
      </c>
      <c r="AM162">
        <v>132.80715000000001</v>
      </c>
      <c r="AN162" cm="1">
        <f t="array" ref="AN162">$Y162*INDEX(RefCapacity!$D$2:$D$526,MATCH(1,(RefCapacity!$A$2:$A$526=RefCapacityProj!$D162)*(RefCapacity!$B$2:$B$526=2019)*(RefCapacity!$C$2:$C$526=AG$1),0))/SUMIFS(RefCapacity!$D$2:$D$526,RefCapacity!$A$2:$A$526,RefCapacityProj!$D162,RefCapacity!$B$2:$B$526,2019)</f>
        <v>24.299099999999999</v>
      </c>
      <c r="AO162" cm="1">
        <f t="array" ref="AO162">$Y162*INDEX(RefCapacity!$D$2:$D$526,MATCH(1,(RefCapacity!$A$2:$A$526=RefCapacityProj!$D162)*(RefCapacity!$B$2:$B$526=2019)*(RefCapacity!$C$2:$C$526=AH$1),0))/SUMIFS(RefCapacity!$D$2:$D$526,RefCapacity!$A$2:$A$526,RefCapacityProj!$D162,RefCapacity!$B$2:$B$526,2019)</f>
        <v>486.75374999999997</v>
      </c>
      <c r="AP162" cm="1">
        <f t="array" ref="AP162">$Y162*INDEX(RefCapacity!$D$2:$D$526,MATCH(1,(RefCapacity!$A$2:$A$526=RefCapacityProj!$D162)*(RefCapacity!$B$2:$B$526=2019)*(RefCapacity!$C$2:$C$526=AI$1),0))/SUMIFS(RefCapacity!$D$2:$D$526,RefCapacity!$A$2:$A$526,RefCapacityProj!$D162,RefCapacity!$B$2:$B$526,2019)</f>
        <v>0</v>
      </c>
      <c r="AQ162" cm="1">
        <f t="array" ref="AQ162">$Y162*INDEX(RefCapacity!$D$2:$D$526,MATCH(1,(RefCapacity!$A$2:$A$526=RefCapacityProj!$D162)*(RefCapacity!$B$2:$B$526=2019)*(RefCapacity!$C$2:$C$526=AJ$1),0))/SUMIFS(RefCapacity!$D$2:$D$526,RefCapacity!$A$2:$A$526,RefCapacityProj!$D162,RefCapacity!$B$2:$B$526,2019)</f>
        <v>145.23599999999996</v>
      </c>
      <c r="AR162" cm="1">
        <f t="array" ref="AR162">$Y162*INDEX(RefCapacity!$D$2:$D$526,MATCH(1,(RefCapacity!$A$2:$A$526=RefCapacityProj!$D162)*(RefCapacity!$B$2:$B$526=2019)*(RefCapacity!$C$2:$C$526=AK$1),0))/SUMIFS(RefCapacity!$D$2:$D$526,RefCapacity!$A$2:$A$526,RefCapacityProj!$D162,RefCapacity!$B$2:$B$526,2019)</f>
        <v>115.90949999999997</v>
      </c>
      <c r="AS162" cm="1">
        <f t="array" ref="AS162">$Y162*INDEX(RefCapacity!$D$2:$D$526,MATCH(1,(RefCapacity!$A$2:$A$526=RefCapacityProj!$D162)*(RefCapacity!$B$2:$B$526=2019)*(RefCapacity!$C$2:$C$526=AL$1),0))/SUMIFS(RefCapacity!$D$2:$D$526,RefCapacity!$A$2:$A$526,RefCapacityProj!$D162,RefCapacity!$B$2:$B$526,2019)</f>
        <v>0</v>
      </c>
      <c r="AT162" cm="1">
        <f t="array" ref="AT162">$Y162*INDEX(RefCapacity!$D$2:$D$526,MATCH(1,(RefCapacity!$A$2:$A$526=RefCapacityProj!$D162)*(RefCapacity!$B$2:$B$526=2019)*(RefCapacity!$C$2:$C$526=AM$1),0))/SUMIFS(RefCapacity!$D$2:$D$526,RefCapacity!$A$2:$A$526,RefCapacityProj!$D162,RefCapacity!$B$2:$B$526,2019)</f>
        <v>132.80714999999998</v>
      </c>
      <c r="AU162" cm="1">
        <f t="array" ref="AU162">INDEX(RefCapacity!$D$2:$D$526,MATCH(1,(RefCapacity!$A$2:$A$526=RefCapacityProj!$D162)*(RefCapacity!$B$2:$B$526=2019)*(RefCapacity!$C$2:$C$526=RefCapacityProj!AG$1),0))*IF($C162=2035,1+VLOOKUP(AG$1,RefCapacity!$H$2:$L$8,2,FALSE),1+VLOOKUP(AG$1,RefCapacity!$H$2:$L$8,4,FALSE))</f>
        <v>149.79386952738412</v>
      </c>
      <c r="AV162" cm="1">
        <f t="array" ref="AV162">INDEX(RefCapacity!$D$2:$D$526,MATCH(1,(RefCapacity!$A$2:$A$526=RefCapacityProj!$D162)*(RefCapacity!$B$2:$B$526=2019)*(RefCapacity!$C$2:$C$526=RefCapacityProj!AH$1),0))*IF($C162=2035,1+VLOOKUP(AH$1,RefCapacity!$H$2:$L$8,2,FALSE),1+VLOOKUP(AH$1,RefCapacity!$H$2:$L$8,4,FALSE))</f>
        <v>1123.1713294032013</v>
      </c>
      <c r="AW162" cm="1">
        <f t="array" ref="AW162">INDEX(RefCapacity!$D$2:$D$526,MATCH(1,(RefCapacity!$A$2:$A$526=RefCapacityProj!$D162)*(RefCapacity!$B$2:$B$526=2019)*(RefCapacity!$C$2:$C$526=RefCapacityProj!AI$1),0))*IF($C162=2035,1+VLOOKUP(AI$1,RefCapacity!$H$2:$L$8,2,FALSE),1+VLOOKUP(AI$1,RefCapacity!$H$2:$L$8,4,FALSE))</f>
        <v>0</v>
      </c>
      <c r="AX162" cm="1">
        <f t="array" ref="AX162">INDEX(RefCapacity!$D$2:$D$526,MATCH(1,(RefCapacity!$A$2:$A$526=RefCapacityProj!$D162)*(RefCapacity!$B$2:$B$526=2019)*(RefCapacity!$C$2:$C$526=RefCapacityProj!AJ$1),0))*IF($C162=2035,1+VLOOKUP(AJ$1,RefCapacity!$H$2:$L$8,2,FALSE),1+VLOOKUP(AJ$1,RefCapacity!$H$2:$L$8,4,FALSE))</f>
        <v>559.06666666666661</v>
      </c>
      <c r="AY162" cm="1">
        <f t="array" ref="AY162">INDEX(RefCapacity!$D$2:$D$526,MATCH(1,(RefCapacity!$A$2:$A$526=RefCapacityProj!$D162)*(RefCapacity!$B$2:$B$526=2019)*(RefCapacity!$C$2:$C$526=RefCapacityProj!AK$1),0))*IF($C162=2035,1+VLOOKUP(AK$1,RefCapacity!$H$2:$L$8,2,FALSE),1+VLOOKUP(AK$1,RefCapacity!$H$2:$L$8,4,FALSE))</f>
        <v>233.91115364400702</v>
      </c>
      <c r="AZ162" cm="1">
        <f t="array" ref="AZ162">INDEX(RefCapacity!$D$2:$D$526,MATCH(1,(RefCapacity!$A$2:$A$526=RefCapacityProj!$D162)*(RefCapacity!$B$2:$B$526=2019)*(RefCapacity!$C$2:$C$526=RefCapacityProj!AL$1),0))*IF($C162=2035,1+VLOOKUP(AL$1,RefCapacity!$H$2:$L$8,2,FALSE),1+VLOOKUP(AL$1,RefCapacity!$H$2:$L$8,4,FALSE))</f>
        <v>0</v>
      </c>
      <c r="BA162" cm="1">
        <f t="array" ref="BA162">INDEX(RefCapacity!$D$2:$D$526,MATCH(1,(RefCapacity!$A$2:$A$526=RefCapacityProj!$D162)*(RefCapacity!$B$2:$B$526=2019)*(RefCapacity!$C$2:$C$526=RefCapacityProj!AM$1),0))*IF($C162=2035,1+VLOOKUP(AM$1,RefCapacity!$H$2:$L$8,2,FALSE),1+VLOOKUP(AM$1,RefCapacity!$H$2:$L$8,4,FALSE))</f>
        <v>194.9338643873711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f t="shared" si="20"/>
        <v>905.00549999999987</v>
      </c>
      <c r="BJ162">
        <f t="shared" si="21"/>
        <v>0</v>
      </c>
      <c r="BK162">
        <f t="shared" si="22"/>
        <v>8.4425412885800153</v>
      </c>
      <c r="BL162" t="e" cm="1">
        <f t="array" ref="BL162">AG162/$BI162*INDEX('GHG Emission'!$C$2:$C$1121,MATCH(1,('GHG Emission'!$D$2:$D$1121=$D162)*('GHG Emission'!$E$2:$E$1121=$C162)*('GHG Emission'!$F$2:$F$1121=$B162)*('GHG Emission'!$I$2:$I$1121=$E162)*('GHG Emission'!$J$2:$J$1121=$F162)*('GHG Emission'!$K$2:$K$1121=AG$1),0))+AH162/$BI162*INDEX('GHG Emission'!$C$2:$C$1121,MATCH(1,('GHG Emission'!$D$2:$D$1121=$D162)*('GHG Emission'!$E$2:$E$1121=$C162)*('GHG Emission'!$F$2:$F$1121=$B162)*('GHG Emission'!$I$2:$I$1121=$E162)*('GHG Emission'!$J$2:$J$1121=$F162)*('GHG Emission'!$K$2:$K$1121=AH$1),0))+AI162/$BI162*INDEX('GHG Emission'!$C$2:$C$1121,MATCH(1,('GHG Emission'!$D$2:$D$1121=$D162)*('GHG Emission'!$E$2:$E$1121=$C162)*('GHG Emission'!$F$2:$F$1121=$B162)*('GHG Emission'!$I$2:$I$1121=$E162)*('GHG Emission'!$J$2:$J$1121=$F162)*('GHG Emission'!$K$2:$K$1121=AI$1),0))+AJ162/$BI162*INDEX('GHG Emission'!$C$2:$C$1121,MATCH(1,('GHG Emission'!$D$2:$D$1121=$D162)*('GHG Emission'!$E$2:$E$1121=$C162)*('GHG Emission'!$F$2:$F$1121=$B162)*('GHG Emission'!$I$2:$I$1121=$E162)*('GHG Emission'!$J$2:$J$1121=$F162)*('GHG Emission'!$K$2:$K$1121=AJ$1),0))+AK162/$BI162*INDEX('GHG Emission'!$C$2:$C$1121,MATCH(1,('GHG Emission'!$D$2:$D$1121=$D162)*('GHG Emission'!$E$2:$E$1121=$C162)*('GHG Emission'!$F$2:$F$1121=$B162)*('GHG Emission'!$I$2:$I$1121=$E162)*('GHG Emission'!$J$2:$J$1121=$F162)*('GHG Emission'!$K$2:$K$1121=AK$1),0))+AL162/$BI162*INDEX('GHG Emission'!$C$2:$C$1121,MATCH(1,('GHG Emission'!$D$2:$D$1121=$D162)*('GHG Emission'!$E$2:$E$1121=$C162)*('GHG Emission'!$F$2:$F$1121=$B162)*('GHG Emission'!$I$2:$I$1121=$E162)*('GHG Emission'!$J$2:$J$1121=$F162)*('GHG Emission'!$K$2:$K$1121=AL$1),0))+AM162/$BI162*INDEX('GHG Emission'!$C$2:$C$1121,MATCH(1,('GHG Emission'!$D$2:$D$1121=$D162)*('GHG Emission'!$E$2:$E$1121=$C162)*('GHG Emission'!$F$2:$F$1121=$B162)*('GHG Emission'!$I$2:$I$1121=$E162)*('GHG Emission'!$J$2:$J$1121=$F162)*('GHG Emission'!$K$2:$K$1121=AM$1),0))</f>
        <v>#N/A</v>
      </c>
      <c r="BM162" t="str">
        <f t="shared" si="23"/>
        <v>REF/REF</v>
      </c>
    </row>
    <row r="163" spans="1:65" hidden="1" x14ac:dyDescent="0.25">
      <c r="B163" t="s">
        <v>536</v>
      </c>
      <c r="C163">
        <v>2019</v>
      </c>
      <c r="D163">
        <v>2</v>
      </c>
      <c r="E163" t="s">
        <v>537</v>
      </c>
      <c r="F163" t="s">
        <v>537</v>
      </c>
      <c r="G163">
        <v>33.78</v>
      </c>
      <c r="H163">
        <v>1.35</v>
      </c>
      <c r="Y163">
        <f t="shared" ref="Y163:Y166" si="24">SUM($AG163:$AM163)</f>
        <v>3749.9498142197799</v>
      </c>
      <c r="AE163" s="2"/>
      <c r="AF163" cm="1">
        <f t="array" ref="AF163">MMULT($AG163:$AM163,'Avg CI Index'!$C$2:$C$8)/BI163</f>
        <v>9.8493657583241951</v>
      </c>
      <c r="AG163">
        <v>23.011184999999998</v>
      </c>
      <c r="AH163">
        <v>566.88171421978018</v>
      </c>
      <c r="AI163">
        <v>0</v>
      </c>
      <c r="AJ163">
        <v>477.72270000000003</v>
      </c>
      <c r="AK163">
        <v>1477.1596649999999</v>
      </c>
      <c r="AL163">
        <v>0</v>
      </c>
      <c r="AM163">
        <v>1205.17455</v>
      </c>
      <c r="AN163" cm="1">
        <f t="array" ref="AN163">$Y163*INDEX(RefCapacity!$D$2:$D$526,MATCH(1,(RefCapacity!$A$2:$A$526=RefCapacityProj!$D163)*(RefCapacity!$B$2:$B$526=2019)*(RefCapacity!$C$2:$C$526=AG$1),0))/SUMIFS(RefCapacity!$D$2:$D$526,RefCapacity!$A$2:$A$526,RefCapacityProj!$D163,RefCapacity!$B$2:$B$526,2019)</f>
        <v>23.011184999999994</v>
      </c>
      <c r="AO163" cm="1">
        <f t="array" ref="AO163">$Y163*INDEX(RefCapacity!$D$2:$D$526,MATCH(1,(RefCapacity!$A$2:$A$526=RefCapacityProj!$D163)*(RefCapacity!$B$2:$B$526=2019)*(RefCapacity!$C$2:$C$526=AH$1),0))/SUMIFS(RefCapacity!$D$2:$D$526,RefCapacity!$A$2:$A$526,RefCapacityProj!$D163,RefCapacity!$B$2:$B$526,2019)</f>
        <v>566.88171421978006</v>
      </c>
      <c r="AP163" cm="1">
        <f t="array" ref="AP163">$Y163*INDEX(RefCapacity!$D$2:$D$526,MATCH(1,(RefCapacity!$A$2:$A$526=RefCapacityProj!$D163)*(RefCapacity!$B$2:$B$526=2019)*(RefCapacity!$C$2:$C$526=AI$1),0))/SUMIFS(RefCapacity!$D$2:$D$526,RefCapacity!$A$2:$A$526,RefCapacityProj!$D163,RefCapacity!$B$2:$B$526,2019)</f>
        <v>0</v>
      </c>
      <c r="AQ163" cm="1">
        <f t="array" ref="AQ163">$Y163*INDEX(RefCapacity!$D$2:$D$526,MATCH(1,(RefCapacity!$A$2:$A$526=RefCapacityProj!$D163)*(RefCapacity!$B$2:$B$526=2019)*(RefCapacity!$C$2:$C$526=AJ$1),0))/SUMIFS(RefCapacity!$D$2:$D$526,RefCapacity!$A$2:$A$526,RefCapacityProj!$D163,RefCapacity!$B$2:$B$526,2019)</f>
        <v>477.72269999999997</v>
      </c>
      <c r="AR163" cm="1">
        <f t="array" ref="AR163">$Y163*INDEX(RefCapacity!$D$2:$D$526,MATCH(1,(RefCapacity!$A$2:$A$526=RefCapacityProj!$D163)*(RefCapacity!$B$2:$B$526=2019)*(RefCapacity!$C$2:$C$526=AK$1),0))/SUMIFS(RefCapacity!$D$2:$D$526,RefCapacity!$A$2:$A$526,RefCapacityProj!$D163,RefCapacity!$B$2:$B$526,2019)</f>
        <v>1477.1596649999999</v>
      </c>
      <c r="AS163" cm="1">
        <f t="array" ref="AS163">$Y163*INDEX(RefCapacity!$D$2:$D$526,MATCH(1,(RefCapacity!$A$2:$A$526=RefCapacityProj!$D163)*(RefCapacity!$B$2:$B$526=2019)*(RefCapacity!$C$2:$C$526=AL$1),0))/SUMIFS(RefCapacity!$D$2:$D$526,RefCapacity!$A$2:$A$526,RefCapacityProj!$D163,RefCapacity!$B$2:$B$526,2019)</f>
        <v>0</v>
      </c>
      <c r="AT163" cm="1">
        <f t="array" ref="AT163">$Y163*INDEX(RefCapacity!$D$2:$D$526,MATCH(1,(RefCapacity!$A$2:$A$526=RefCapacityProj!$D163)*(RefCapacity!$B$2:$B$526=2019)*(RefCapacity!$C$2:$C$526=AM$1),0))/SUMIFS(RefCapacity!$D$2:$D$526,RefCapacity!$A$2:$A$526,RefCapacityProj!$D163,RefCapacity!$B$2:$B$526,2019)</f>
        <v>1205.1745499999997</v>
      </c>
      <c r="AU163" cm="1">
        <f t="array" ref="AU163">INDEX(RefCapacity!$D$2:$D$526,MATCH(1,(RefCapacity!$A$2:$A$526=RefCapacityProj!$D163)*(RefCapacity!$B$2:$B$526=2019)*(RefCapacity!$C$2:$C$526=RefCapacityProj!AG$1),0))*IF($C163=2035,1+VLOOKUP(AG$1,RefCapacity!$H$2:$L$8,2,FALSE),1+VLOOKUP(AG$1,RefCapacity!$H$2:$L$8,4,FALSE))</f>
        <v>113.20628645316671</v>
      </c>
      <c r="AV163" cm="1">
        <f t="array" ref="AV163">INDEX(RefCapacity!$D$2:$D$526,MATCH(1,(RefCapacity!$A$2:$A$526=RefCapacityProj!$D163)*(RefCapacity!$B$2:$B$526=2019)*(RefCapacity!$C$2:$C$526=RefCapacityProj!AH$1),0))*IF($C163=2035,1+VLOOKUP(AH$1,RefCapacity!$H$2:$L$8,2,FALSE),1+VLOOKUP(AH$1,RefCapacity!$H$2:$L$8,4,FALSE))</f>
        <v>1043.8951024062037</v>
      </c>
      <c r="AW163" cm="1">
        <f t="array" ref="AW163">INDEX(RefCapacity!$D$2:$D$526,MATCH(1,(RefCapacity!$A$2:$A$526=RefCapacityProj!$D163)*(RefCapacity!$B$2:$B$526=2019)*(RefCapacity!$C$2:$C$526=RefCapacityProj!AI$1),0))*IF($C163=2035,1+VLOOKUP(AI$1,RefCapacity!$H$2:$L$8,2,FALSE),1+VLOOKUP(AI$1,RefCapacity!$H$2:$L$8,4,FALSE))</f>
        <v>0</v>
      </c>
      <c r="AX163" cm="1">
        <f t="array" ref="AX163">INDEX(RefCapacity!$D$2:$D$526,MATCH(1,(RefCapacity!$A$2:$A$526=RefCapacityProj!$D163)*(RefCapacity!$B$2:$B$526=2019)*(RefCapacity!$C$2:$C$526=RefCapacityProj!AJ$1),0))*IF($C163=2035,1+VLOOKUP(AJ$1,RefCapacity!$H$2:$L$8,2,FALSE),1+VLOOKUP(AJ$1,RefCapacity!$H$2:$L$8,4,FALSE))</f>
        <v>1467.5500000000002</v>
      </c>
      <c r="AY163" cm="1">
        <f t="array" ref="AY163">INDEX(RefCapacity!$D$2:$D$526,MATCH(1,(RefCapacity!$A$2:$A$526=RefCapacityProj!$D163)*(RefCapacity!$B$2:$B$526=2019)*(RefCapacity!$C$2:$C$526=RefCapacityProj!AK$1),0))*IF($C163=2035,1+VLOOKUP(AK$1,RefCapacity!$H$2:$L$8,2,FALSE),1+VLOOKUP(AK$1,RefCapacity!$H$2:$L$8,4,FALSE))</f>
        <v>2378.9594954929953</v>
      </c>
      <c r="AZ163" cm="1">
        <f t="array" ref="AZ163">INDEX(RefCapacity!$D$2:$D$526,MATCH(1,(RefCapacity!$A$2:$A$526=RefCapacityProj!$D163)*(RefCapacity!$B$2:$B$526=2019)*(RefCapacity!$C$2:$C$526=RefCapacityProj!AL$1),0))*IF($C163=2035,1+VLOOKUP(AL$1,RefCapacity!$H$2:$L$8,2,FALSE),1+VLOOKUP(AL$1,RefCapacity!$H$2:$L$8,4,FALSE))</f>
        <v>0</v>
      </c>
      <c r="BA163" cm="1">
        <f t="array" ref="BA163">INDEX(RefCapacity!$D$2:$D$526,MATCH(1,(RefCapacity!$A$2:$A$526=RefCapacityProj!$D163)*(RefCapacity!$B$2:$B$526=2019)*(RefCapacity!$C$2:$C$526=RefCapacityProj!AM$1),0))*IF($C163=2035,1+VLOOKUP(AM$1,RefCapacity!$H$2:$L$8,2,FALSE),1+VLOOKUP(AM$1,RefCapacity!$H$2:$L$8,4,FALSE))</f>
        <v>1411.7035156571721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f t="shared" si="20"/>
        <v>3749.9498142197799</v>
      </c>
      <c r="BJ163">
        <f t="shared" si="21"/>
        <v>0</v>
      </c>
      <c r="BK163">
        <f t="shared" si="22"/>
        <v>9.8493657583241951</v>
      </c>
      <c r="BL163" t="e" cm="1">
        <f t="array" ref="BL163">AG163/$BI163*INDEX('GHG Emission'!$C$2:$C$1121,MATCH(1,('GHG Emission'!$D$2:$D$1121=$D163)*('GHG Emission'!$E$2:$E$1121=$C163)*('GHG Emission'!$F$2:$F$1121=$B163)*('GHG Emission'!$I$2:$I$1121=$E163)*('GHG Emission'!$J$2:$J$1121=$F163)*('GHG Emission'!$K$2:$K$1121=AG$1),0))+AH163/$BI163*INDEX('GHG Emission'!$C$2:$C$1121,MATCH(1,('GHG Emission'!$D$2:$D$1121=$D163)*('GHG Emission'!$E$2:$E$1121=$C163)*('GHG Emission'!$F$2:$F$1121=$B163)*('GHG Emission'!$I$2:$I$1121=$E163)*('GHG Emission'!$J$2:$J$1121=$F163)*('GHG Emission'!$K$2:$K$1121=AH$1),0))+AI163/$BI163*INDEX('GHG Emission'!$C$2:$C$1121,MATCH(1,('GHG Emission'!$D$2:$D$1121=$D163)*('GHG Emission'!$E$2:$E$1121=$C163)*('GHG Emission'!$F$2:$F$1121=$B163)*('GHG Emission'!$I$2:$I$1121=$E163)*('GHG Emission'!$J$2:$J$1121=$F163)*('GHG Emission'!$K$2:$K$1121=AI$1),0))+AJ163/$BI163*INDEX('GHG Emission'!$C$2:$C$1121,MATCH(1,('GHG Emission'!$D$2:$D$1121=$D163)*('GHG Emission'!$E$2:$E$1121=$C163)*('GHG Emission'!$F$2:$F$1121=$B163)*('GHG Emission'!$I$2:$I$1121=$E163)*('GHG Emission'!$J$2:$J$1121=$F163)*('GHG Emission'!$K$2:$K$1121=AJ$1),0))+AK163/$BI163*INDEX('GHG Emission'!$C$2:$C$1121,MATCH(1,('GHG Emission'!$D$2:$D$1121=$D163)*('GHG Emission'!$E$2:$E$1121=$C163)*('GHG Emission'!$F$2:$F$1121=$B163)*('GHG Emission'!$I$2:$I$1121=$E163)*('GHG Emission'!$J$2:$J$1121=$F163)*('GHG Emission'!$K$2:$K$1121=AK$1),0))+AL163/$BI163*INDEX('GHG Emission'!$C$2:$C$1121,MATCH(1,('GHG Emission'!$D$2:$D$1121=$D163)*('GHG Emission'!$E$2:$E$1121=$C163)*('GHG Emission'!$F$2:$F$1121=$B163)*('GHG Emission'!$I$2:$I$1121=$E163)*('GHG Emission'!$J$2:$J$1121=$F163)*('GHG Emission'!$K$2:$K$1121=AL$1),0))+AM163/$BI163*INDEX('GHG Emission'!$C$2:$C$1121,MATCH(1,('GHG Emission'!$D$2:$D$1121=$D163)*('GHG Emission'!$E$2:$E$1121=$C163)*('GHG Emission'!$F$2:$F$1121=$B163)*('GHG Emission'!$I$2:$I$1121=$E163)*('GHG Emission'!$J$2:$J$1121=$F163)*('GHG Emission'!$K$2:$K$1121=AM$1),0))</f>
        <v>#N/A</v>
      </c>
      <c r="BM163" t="str">
        <f t="shared" si="23"/>
        <v>REF/REF</v>
      </c>
    </row>
    <row r="164" spans="1:65" hidden="1" x14ac:dyDescent="0.25">
      <c r="B164" t="s">
        <v>536</v>
      </c>
      <c r="C164">
        <v>2019</v>
      </c>
      <c r="D164">
        <v>3</v>
      </c>
      <c r="E164" t="s">
        <v>537</v>
      </c>
      <c r="F164" t="s">
        <v>537</v>
      </c>
      <c r="G164">
        <v>33.54</v>
      </c>
      <c r="H164">
        <v>1.27</v>
      </c>
      <c r="Y164">
        <f t="shared" si="24"/>
        <v>8965.8296399999999</v>
      </c>
      <c r="AE164" s="2"/>
      <c r="AF164" cm="1">
        <f t="array" ref="AF164">MMULT($AG164:$AM164,'Avg CI Index'!$C$2:$C$8)/BI164</f>
        <v>10.058958106663127</v>
      </c>
      <c r="AG164">
        <v>272.42580000000004</v>
      </c>
      <c r="AH164">
        <v>633.01980000000003</v>
      </c>
      <c r="AI164">
        <v>272.15624000000003</v>
      </c>
      <c r="AJ164">
        <v>929.22300000000007</v>
      </c>
      <c r="AK164">
        <v>1900.3612000000003</v>
      </c>
      <c r="AL164">
        <v>34.96</v>
      </c>
      <c r="AM164">
        <v>4923.6836000000003</v>
      </c>
      <c r="AN164" cm="1">
        <f t="array" ref="AN164">$Y164*INDEX(RefCapacity!$D$2:$D$526,MATCH(1,(RefCapacity!$A$2:$A$526=RefCapacityProj!$D164)*(RefCapacity!$B$2:$B$526=2019)*(RefCapacity!$C$2:$C$526=AG$1),0))/SUMIFS(RefCapacity!$D$2:$D$526,RefCapacity!$A$2:$A$526,RefCapacityProj!$D164,RefCapacity!$B$2:$B$526,2019)</f>
        <v>272.42579999999998</v>
      </c>
      <c r="AO164" cm="1">
        <f t="array" ref="AO164">$Y164*INDEX(RefCapacity!$D$2:$D$526,MATCH(1,(RefCapacity!$A$2:$A$526=RefCapacityProj!$D164)*(RefCapacity!$B$2:$B$526=2019)*(RefCapacity!$C$2:$C$526=AH$1),0))/SUMIFS(RefCapacity!$D$2:$D$526,RefCapacity!$A$2:$A$526,RefCapacityProj!$D164,RefCapacity!$B$2:$B$526,2019)</f>
        <v>633.01980000000003</v>
      </c>
      <c r="AP164" cm="1">
        <f t="array" ref="AP164">$Y164*INDEX(RefCapacity!$D$2:$D$526,MATCH(1,(RefCapacity!$A$2:$A$526=RefCapacityProj!$D164)*(RefCapacity!$B$2:$B$526=2019)*(RefCapacity!$C$2:$C$526=AI$1),0))/SUMIFS(RefCapacity!$D$2:$D$526,RefCapacity!$A$2:$A$526,RefCapacityProj!$D164,RefCapacity!$B$2:$B$526,2019)</f>
        <v>272.15623999999997</v>
      </c>
      <c r="AQ164" cm="1">
        <f t="array" ref="AQ164">$Y164*INDEX(RefCapacity!$D$2:$D$526,MATCH(1,(RefCapacity!$A$2:$A$526=RefCapacityProj!$D164)*(RefCapacity!$B$2:$B$526=2019)*(RefCapacity!$C$2:$C$526=AJ$1),0))/SUMIFS(RefCapacity!$D$2:$D$526,RefCapacity!$A$2:$A$526,RefCapacityProj!$D164,RefCapacity!$B$2:$B$526,2019)</f>
        <v>929.22299999999984</v>
      </c>
      <c r="AR164" cm="1">
        <f t="array" ref="AR164">$Y164*INDEX(RefCapacity!$D$2:$D$526,MATCH(1,(RefCapacity!$A$2:$A$526=RefCapacityProj!$D164)*(RefCapacity!$B$2:$B$526=2019)*(RefCapacity!$C$2:$C$526=AK$1),0))/SUMIFS(RefCapacity!$D$2:$D$526,RefCapacity!$A$2:$A$526,RefCapacityProj!$D164,RefCapacity!$B$2:$B$526,2019)</f>
        <v>1900.3612000000001</v>
      </c>
      <c r="AS164" cm="1">
        <f t="array" ref="AS164">$Y164*INDEX(RefCapacity!$D$2:$D$526,MATCH(1,(RefCapacity!$A$2:$A$526=RefCapacityProj!$D164)*(RefCapacity!$B$2:$B$526=2019)*(RefCapacity!$C$2:$C$526=AL$1),0))/SUMIFS(RefCapacity!$D$2:$D$526,RefCapacity!$A$2:$A$526,RefCapacityProj!$D164,RefCapacity!$B$2:$B$526,2019)</f>
        <v>34.96</v>
      </c>
      <c r="AT164" cm="1">
        <f t="array" ref="AT164">$Y164*INDEX(RefCapacity!$D$2:$D$526,MATCH(1,(RefCapacity!$A$2:$A$526=RefCapacityProj!$D164)*(RefCapacity!$B$2:$B$526=2019)*(RefCapacity!$C$2:$C$526=AM$1),0))/SUMIFS(RefCapacity!$D$2:$D$526,RefCapacity!$A$2:$A$526,RefCapacityProj!$D164,RefCapacity!$B$2:$B$526,2019)</f>
        <v>4923.6835999999994</v>
      </c>
      <c r="AU164" cm="1">
        <f t="array" ref="AU164">INDEX(RefCapacity!$D$2:$D$526,MATCH(1,(RefCapacity!$A$2:$A$526=RefCapacityProj!$D164)*(RefCapacity!$B$2:$B$526=2019)*(RefCapacity!$C$2:$C$526=RefCapacityProj!AG$1),0))*IF($C164=2035,1+VLOOKUP(AG$1,RefCapacity!$H$2:$L$8,2,FALSE),1+VLOOKUP(AG$1,RefCapacity!$H$2:$L$8,4,FALSE))</f>
        <v>1341.688193439242</v>
      </c>
      <c r="AV164" cm="1">
        <f t="array" ref="AV164">INDEX(RefCapacity!$D$2:$D$526,MATCH(1,(RefCapacity!$A$2:$A$526=RefCapacityProj!$D164)*(RefCapacity!$B$2:$B$526=2019)*(RefCapacity!$C$2:$C$526=RefCapacityProj!AH$1),0))*IF($C164=2035,1+VLOOKUP(AH$1,RefCapacity!$H$2:$L$8,2,FALSE),1+VLOOKUP(AH$1,RefCapacity!$H$2:$L$8,4,FALSE))</f>
        <v>1166.9533873398473</v>
      </c>
      <c r="AW164" cm="1">
        <f t="array" ref="AW164">INDEX(RefCapacity!$D$2:$D$526,MATCH(1,(RefCapacity!$A$2:$A$526=RefCapacityProj!$D164)*(RefCapacity!$B$2:$B$526=2019)*(RefCapacity!$C$2:$C$526=RefCapacityProj!AI$1),0))*IF($C164=2035,1+VLOOKUP(AI$1,RefCapacity!$H$2:$L$8,2,FALSE),1+VLOOKUP(AI$1,RefCapacity!$H$2:$L$8,4,FALSE))</f>
        <v>315.88917723076923</v>
      </c>
      <c r="AX164" cm="1">
        <f t="array" ref="AX164">INDEX(RefCapacity!$D$2:$D$526,MATCH(1,(RefCapacity!$A$2:$A$526=RefCapacityProj!$D164)*(RefCapacity!$B$2:$B$526=2019)*(RefCapacity!$C$2:$C$526=RefCapacityProj!AJ$1),0))*IF($C164=2035,1+VLOOKUP(AJ$1,RefCapacity!$H$2:$L$8,2,FALSE),1+VLOOKUP(AJ$1,RefCapacity!$H$2:$L$8,4,FALSE))</f>
        <v>2857.6483299595143</v>
      </c>
      <c r="AY164" cm="1">
        <f t="array" ref="AY164">INDEX(RefCapacity!$D$2:$D$526,MATCH(1,(RefCapacity!$A$2:$A$526=RefCapacityProj!$D164)*(RefCapacity!$B$2:$B$526=2019)*(RefCapacity!$C$2:$C$526=RefCapacityProj!AK$1),0))*IF($C164=2035,1+VLOOKUP(AK$1,RefCapacity!$H$2:$L$8,2,FALSE),1+VLOOKUP(AK$1,RefCapacity!$H$2:$L$8,4,FALSE))</f>
        <v>3063.8504634026467</v>
      </c>
      <c r="AZ164" cm="1">
        <f t="array" ref="AZ164">INDEX(RefCapacity!$D$2:$D$526,MATCH(1,(RefCapacity!$A$2:$A$526=RefCapacityProj!$D164)*(RefCapacity!$B$2:$B$526=2019)*(RefCapacity!$C$2:$C$526=RefCapacityProj!AL$1),0))*IF($C164=2035,1+VLOOKUP(AL$1,RefCapacity!$H$2:$L$8,2,FALSE),1+VLOOKUP(AL$1,RefCapacity!$H$2:$L$8,4,FALSE))</f>
        <v>69.2605029229384</v>
      </c>
      <c r="BA164" cm="1">
        <f t="array" ref="BA164">INDEX(RefCapacity!$D$2:$D$526,MATCH(1,(RefCapacity!$A$2:$A$526=RefCapacityProj!$D164)*(RefCapacity!$B$2:$B$526=2019)*(RefCapacity!$C$2:$C$526=RefCapacityProj!AM$1),0))*IF($C164=2035,1+VLOOKUP(AM$1,RefCapacity!$H$2:$L$8,2,FALSE),1+VLOOKUP(AM$1,RefCapacity!$H$2:$L$8,4,FALSE))</f>
        <v>5773.7168821974883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f t="shared" si="20"/>
        <v>8965.8296399999999</v>
      </c>
      <c r="BJ164">
        <f t="shared" si="21"/>
        <v>0</v>
      </c>
      <c r="BK164">
        <f t="shared" si="22"/>
        <v>10.058958106663127</v>
      </c>
      <c r="BL164" t="e" cm="1">
        <f t="array" ref="BL164">AG164/$BI164*INDEX('GHG Emission'!$C$2:$C$1121,MATCH(1,('GHG Emission'!$D$2:$D$1121=$D164)*('GHG Emission'!$E$2:$E$1121=$C164)*('GHG Emission'!$F$2:$F$1121=$B164)*('GHG Emission'!$I$2:$I$1121=$E164)*('GHG Emission'!$J$2:$J$1121=$F164)*('GHG Emission'!$K$2:$K$1121=AG$1),0))+AH164/$BI164*INDEX('GHG Emission'!$C$2:$C$1121,MATCH(1,('GHG Emission'!$D$2:$D$1121=$D164)*('GHG Emission'!$E$2:$E$1121=$C164)*('GHG Emission'!$F$2:$F$1121=$B164)*('GHG Emission'!$I$2:$I$1121=$E164)*('GHG Emission'!$J$2:$J$1121=$F164)*('GHG Emission'!$K$2:$K$1121=AH$1),0))+AI164/$BI164*INDEX('GHG Emission'!$C$2:$C$1121,MATCH(1,('GHG Emission'!$D$2:$D$1121=$D164)*('GHG Emission'!$E$2:$E$1121=$C164)*('GHG Emission'!$F$2:$F$1121=$B164)*('GHG Emission'!$I$2:$I$1121=$E164)*('GHG Emission'!$J$2:$J$1121=$F164)*('GHG Emission'!$K$2:$K$1121=AI$1),0))+AJ164/$BI164*INDEX('GHG Emission'!$C$2:$C$1121,MATCH(1,('GHG Emission'!$D$2:$D$1121=$D164)*('GHG Emission'!$E$2:$E$1121=$C164)*('GHG Emission'!$F$2:$F$1121=$B164)*('GHG Emission'!$I$2:$I$1121=$E164)*('GHG Emission'!$J$2:$J$1121=$F164)*('GHG Emission'!$K$2:$K$1121=AJ$1),0))+AK164/$BI164*INDEX('GHG Emission'!$C$2:$C$1121,MATCH(1,('GHG Emission'!$D$2:$D$1121=$D164)*('GHG Emission'!$E$2:$E$1121=$C164)*('GHG Emission'!$F$2:$F$1121=$B164)*('GHG Emission'!$I$2:$I$1121=$E164)*('GHG Emission'!$J$2:$J$1121=$F164)*('GHG Emission'!$K$2:$K$1121=AK$1),0))+AL164/$BI164*INDEX('GHG Emission'!$C$2:$C$1121,MATCH(1,('GHG Emission'!$D$2:$D$1121=$D164)*('GHG Emission'!$E$2:$E$1121=$C164)*('GHG Emission'!$F$2:$F$1121=$B164)*('GHG Emission'!$I$2:$I$1121=$E164)*('GHG Emission'!$J$2:$J$1121=$F164)*('GHG Emission'!$K$2:$K$1121=AL$1),0))+AM164/$BI164*INDEX('GHG Emission'!$C$2:$C$1121,MATCH(1,('GHG Emission'!$D$2:$D$1121=$D164)*('GHG Emission'!$E$2:$E$1121=$C164)*('GHG Emission'!$F$2:$F$1121=$B164)*('GHG Emission'!$I$2:$I$1121=$E164)*('GHG Emission'!$J$2:$J$1121=$F164)*('GHG Emission'!$K$2:$K$1121=AM$1),0))</f>
        <v>#N/A</v>
      </c>
      <c r="BM164" t="str">
        <f t="shared" si="23"/>
        <v>REF/REF</v>
      </c>
    </row>
    <row r="165" spans="1:65" hidden="1" x14ac:dyDescent="0.25">
      <c r="B165" t="s">
        <v>536</v>
      </c>
      <c r="C165">
        <v>2019</v>
      </c>
      <c r="D165">
        <v>4</v>
      </c>
      <c r="E165" t="s">
        <v>537</v>
      </c>
      <c r="F165" t="s">
        <v>537</v>
      </c>
      <c r="G165">
        <v>33.04</v>
      </c>
      <c r="H165">
        <v>1.41</v>
      </c>
      <c r="Y165">
        <f t="shared" si="24"/>
        <v>628.27460999999994</v>
      </c>
      <c r="AE165" s="2"/>
      <c r="AF165" cm="1">
        <f t="array" ref="AF165">MMULT($AG165:$AM165,'Avg CI Index'!$C$2:$C$8)/BI165</f>
        <v>9.1115751621795695</v>
      </c>
      <c r="AG165">
        <v>13.691969999999998</v>
      </c>
      <c r="AH165">
        <v>212.24159999999998</v>
      </c>
      <c r="AI165">
        <v>0</v>
      </c>
      <c r="AJ165">
        <v>66.628439999999998</v>
      </c>
      <c r="AK165">
        <v>202.36850999999999</v>
      </c>
      <c r="AL165">
        <v>0</v>
      </c>
      <c r="AM165">
        <v>133.34408999999999</v>
      </c>
      <c r="AN165" cm="1">
        <f t="array" ref="AN165">$Y165*INDEX(RefCapacity!$D$2:$D$526,MATCH(1,(RefCapacity!$A$2:$A$526=RefCapacityProj!$D165)*(RefCapacity!$B$2:$B$526=2019)*(RefCapacity!$C$2:$C$526=AG$1),0))/SUMIFS(RefCapacity!$D$2:$D$526,RefCapacity!$A$2:$A$526,RefCapacityProj!$D165,RefCapacity!$B$2:$B$526,2019)</f>
        <v>13.691969999999998</v>
      </c>
      <c r="AO165" cm="1">
        <f t="array" ref="AO165">$Y165*INDEX(RefCapacity!$D$2:$D$526,MATCH(1,(RefCapacity!$A$2:$A$526=RefCapacityProj!$D165)*(RefCapacity!$B$2:$B$526=2019)*(RefCapacity!$C$2:$C$526=AH$1),0))/SUMIFS(RefCapacity!$D$2:$D$526,RefCapacity!$A$2:$A$526,RefCapacityProj!$D165,RefCapacity!$B$2:$B$526,2019)</f>
        <v>212.24159999999995</v>
      </c>
      <c r="AP165" cm="1">
        <f t="array" ref="AP165">$Y165*INDEX(RefCapacity!$D$2:$D$526,MATCH(1,(RefCapacity!$A$2:$A$526=RefCapacityProj!$D165)*(RefCapacity!$B$2:$B$526=2019)*(RefCapacity!$C$2:$C$526=AI$1),0))/SUMIFS(RefCapacity!$D$2:$D$526,RefCapacity!$A$2:$A$526,RefCapacityProj!$D165,RefCapacity!$B$2:$B$526,2019)</f>
        <v>0</v>
      </c>
      <c r="AQ165" cm="1">
        <f t="array" ref="AQ165">$Y165*INDEX(RefCapacity!$D$2:$D$526,MATCH(1,(RefCapacity!$A$2:$A$526=RefCapacityProj!$D165)*(RefCapacity!$B$2:$B$526=2019)*(RefCapacity!$C$2:$C$526=AJ$1),0))/SUMIFS(RefCapacity!$D$2:$D$526,RefCapacity!$A$2:$A$526,RefCapacityProj!$D165,RefCapacity!$B$2:$B$526,2019)</f>
        <v>66.628439999999998</v>
      </c>
      <c r="AR165" cm="1">
        <f t="array" ref="AR165">$Y165*INDEX(RefCapacity!$D$2:$D$526,MATCH(1,(RefCapacity!$A$2:$A$526=RefCapacityProj!$D165)*(RefCapacity!$B$2:$B$526=2019)*(RefCapacity!$C$2:$C$526=AK$1),0))/SUMIFS(RefCapacity!$D$2:$D$526,RefCapacity!$A$2:$A$526,RefCapacityProj!$D165,RefCapacity!$B$2:$B$526,2019)</f>
        <v>202.36850999999999</v>
      </c>
      <c r="AS165" cm="1">
        <f t="array" ref="AS165">$Y165*INDEX(RefCapacity!$D$2:$D$526,MATCH(1,(RefCapacity!$A$2:$A$526=RefCapacityProj!$D165)*(RefCapacity!$B$2:$B$526=2019)*(RefCapacity!$C$2:$C$526=AL$1),0))/SUMIFS(RefCapacity!$D$2:$D$526,RefCapacity!$A$2:$A$526,RefCapacityProj!$D165,RefCapacity!$B$2:$B$526,2019)</f>
        <v>0</v>
      </c>
      <c r="AT165" cm="1">
        <f t="array" ref="AT165">$Y165*INDEX(RefCapacity!$D$2:$D$526,MATCH(1,(RefCapacity!$A$2:$A$526=RefCapacityProj!$D165)*(RefCapacity!$B$2:$B$526=2019)*(RefCapacity!$C$2:$C$526=AM$1),0))/SUMIFS(RefCapacity!$D$2:$D$526,RefCapacity!$A$2:$A$526,RefCapacityProj!$D165,RefCapacity!$B$2:$B$526,2019)</f>
        <v>133.34408999999999</v>
      </c>
      <c r="AU165" cm="1">
        <f t="array" ref="AU165">INDEX(RefCapacity!$D$2:$D$526,MATCH(1,(RefCapacity!$A$2:$A$526=RefCapacityProj!$D165)*(RefCapacity!$B$2:$B$526=2019)*(RefCapacity!$C$2:$C$526=RefCapacityProj!AG$1),0))*IF($C165=2035,1+VLOOKUP(AG$1,RefCapacity!$H$2:$L$8,2,FALSE),1+VLOOKUP(AG$1,RefCapacity!$H$2:$L$8,4,FALSE))</f>
        <v>67.579418148848575</v>
      </c>
      <c r="AV165" cm="1">
        <f t="array" ref="AV165">INDEX(RefCapacity!$D$2:$D$526,MATCH(1,(RefCapacity!$A$2:$A$526=RefCapacityProj!$D165)*(RefCapacity!$B$2:$B$526=2019)*(RefCapacity!$C$2:$C$526=RefCapacityProj!AH$1),0))*IF($C165=2035,1+VLOOKUP(AH$1,RefCapacity!$H$2:$L$8,2,FALSE),1+VLOOKUP(AH$1,RefCapacity!$H$2:$L$8,4,FALSE))</f>
        <v>392.11356943453399</v>
      </c>
      <c r="AW165" cm="1">
        <f t="array" ref="AW165">INDEX(RefCapacity!$D$2:$D$526,MATCH(1,(RefCapacity!$A$2:$A$526=RefCapacityProj!$D165)*(RefCapacity!$B$2:$B$526=2019)*(RefCapacity!$C$2:$C$526=RefCapacityProj!AI$1),0))*IF($C165=2035,1+VLOOKUP(AI$1,RefCapacity!$H$2:$L$8,2,FALSE),1+VLOOKUP(AI$1,RefCapacity!$H$2:$L$8,4,FALSE))</f>
        <v>0</v>
      </c>
      <c r="AX165" cm="1">
        <f t="array" ref="AX165">INDEX(RefCapacity!$D$2:$D$526,MATCH(1,(RefCapacity!$A$2:$A$526=RefCapacityProj!$D165)*(RefCapacity!$B$2:$B$526=2019)*(RefCapacity!$C$2:$C$526=RefCapacityProj!AJ$1),0))*IF($C165=2035,1+VLOOKUP(AJ$1,RefCapacity!$H$2:$L$8,2,FALSE),1+VLOOKUP(AJ$1,RefCapacity!$H$2:$L$8,4,FALSE))</f>
        <v>205.34948717948717</v>
      </c>
      <c r="AY165" cm="1">
        <f t="array" ref="AY165">INDEX(RefCapacity!$D$2:$D$526,MATCH(1,(RefCapacity!$A$2:$A$526=RefCapacityProj!$D165)*(RefCapacity!$B$2:$B$526=2019)*(RefCapacity!$C$2:$C$526=RefCapacityProj!AK$1),0))*IF($C165=2035,1+VLOOKUP(AK$1,RefCapacity!$H$2:$L$8,2,FALSE),1+VLOOKUP(AK$1,RefCapacity!$H$2:$L$8,4,FALSE))</f>
        <v>326.97872076761655</v>
      </c>
      <c r="AZ165" cm="1">
        <f t="array" ref="AZ165">INDEX(RefCapacity!$D$2:$D$526,MATCH(1,(RefCapacity!$A$2:$A$526=RefCapacityProj!$D165)*(RefCapacity!$B$2:$B$526=2019)*(RefCapacity!$C$2:$C$526=RefCapacityProj!AL$1),0))*IF($C165=2035,1+VLOOKUP(AL$1,RefCapacity!$H$2:$L$8,2,FALSE),1+VLOOKUP(AL$1,RefCapacity!$H$2:$L$8,4,FALSE))</f>
        <v>0</v>
      </c>
      <c r="BA165" cm="1">
        <f t="array" ref="BA165">INDEX(RefCapacity!$D$2:$D$526,MATCH(1,(RefCapacity!$A$2:$A$526=RefCapacityProj!$D165)*(RefCapacity!$B$2:$B$526=2019)*(RefCapacity!$C$2:$C$526=RefCapacityProj!AM$1),0))*IF($C165=2035,1+VLOOKUP(AM$1,RefCapacity!$H$2:$L$8,2,FALSE),1+VLOOKUP(AM$1,RefCapacity!$H$2:$L$8,4,FALSE))</f>
        <v>156.70550927880672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f t="shared" si="20"/>
        <v>628.27460999999994</v>
      </c>
      <c r="BJ165">
        <f t="shared" si="21"/>
        <v>0</v>
      </c>
      <c r="BK165">
        <f t="shared" si="22"/>
        <v>9.1115751621795695</v>
      </c>
      <c r="BL165" t="e" cm="1">
        <f t="array" ref="BL165">AG165/$BI165*INDEX('GHG Emission'!$C$2:$C$1121,MATCH(1,('GHG Emission'!$D$2:$D$1121=$D165)*('GHG Emission'!$E$2:$E$1121=$C165)*('GHG Emission'!$F$2:$F$1121=$B165)*('GHG Emission'!$I$2:$I$1121=$E165)*('GHG Emission'!$J$2:$J$1121=$F165)*('GHG Emission'!$K$2:$K$1121=AG$1),0))+AH165/$BI165*INDEX('GHG Emission'!$C$2:$C$1121,MATCH(1,('GHG Emission'!$D$2:$D$1121=$D165)*('GHG Emission'!$E$2:$E$1121=$C165)*('GHG Emission'!$F$2:$F$1121=$B165)*('GHG Emission'!$I$2:$I$1121=$E165)*('GHG Emission'!$J$2:$J$1121=$F165)*('GHG Emission'!$K$2:$K$1121=AH$1),0))+AI165/$BI165*INDEX('GHG Emission'!$C$2:$C$1121,MATCH(1,('GHG Emission'!$D$2:$D$1121=$D165)*('GHG Emission'!$E$2:$E$1121=$C165)*('GHG Emission'!$F$2:$F$1121=$B165)*('GHG Emission'!$I$2:$I$1121=$E165)*('GHG Emission'!$J$2:$J$1121=$F165)*('GHG Emission'!$K$2:$K$1121=AI$1),0))+AJ165/$BI165*INDEX('GHG Emission'!$C$2:$C$1121,MATCH(1,('GHG Emission'!$D$2:$D$1121=$D165)*('GHG Emission'!$E$2:$E$1121=$C165)*('GHG Emission'!$F$2:$F$1121=$B165)*('GHG Emission'!$I$2:$I$1121=$E165)*('GHG Emission'!$J$2:$J$1121=$F165)*('GHG Emission'!$K$2:$K$1121=AJ$1),0))+AK165/$BI165*INDEX('GHG Emission'!$C$2:$C$1121,MATCH(1,('GHG Emission'!$D$2:$D$1121=$D165)*('GHG Emission'!$E$2:$E$1121=$C165)*('GHG Emission'!$F$2:$F$1121=$B165)*('GHG Emission'!$I$2:$I$1121=$E165)*('GHG Emission'!$J$2:$J$1121=$F165)*('GHG Emission'!$K$2:$K$1121=AK$1),0))+AL165/$BI165*INDEX('GHG Emission'!$C$2:$C$1121,MATCH(1,('GHG Emission'!$D$2:$D$1121=$D165)*('GHG Emission'!$E$2:$E$1121=$C165)*('GHG Emission'!$F$2:$F$1121=$B165)*('GHG Emission'!$I$2:$I$1121=$E165)*('GHG Emission'!$J$2:$J$1121=$F165)*('GHG Emission'!$K$2:$K$1121=AL$1),0))+AM165/$BI165*INDEX('GHG Emission'!$C$2:$C$1121,MATCH(1,('GHG Emission'!$D$2:$D$1121=$D165)*('GHG Emission'!$E$2:$E$1121=$C165)*('GHG Emission'!$F$2:$F$1121=$B165)*('GHG Emission'!$I$2:$I$1121=$E165)*('GHG Emission'!$J$2:$J$1121=$F165)*('GHG Emission'!$K$2:$K$1121=AM$1),0))</f>
        <v>#N/A</v>
      </c>
      <c r="BM165" t="str">
        <f t="shared" si="23"/>
        <v>REF/REF</v>
      </c>
    </row>
    <row r="166" spans="1:65" hidden="1" x14ac:dyDescent="0.25">
      <c r="B166" t="s">
        <v>536</v>
      </c>
      <c r="C166">
        <v>2019</v>
      </c>
      <c r="D166">
        <v>5</v>
      </c>
      <c r="E166" t="s">
        <v>537</v>
      </c>
      <c r="F166" t="s">
        <v>537</v>
      </c>
      <c r="G166">
        <v>28.61</v>
      </c>
      <c r="H166">
        <v>1.4</v>
      </c>
      <c r="Y166">
        <f t="shared" si="24"/>
        <v>2553.7858800000004</v>
      </c>
      <c r="AE166" s="2"/>
      <c r="AF166" cm="1">
        <f t="array" ref="AF166">MMULT($AG166:$AM166,'Avg CI Index'!$C$2:$C$8)/BI166</f>
        <v>9.5150135572737913</v>
      </c>
      <c r="AG166">
        <v>173.35980000000001</v>
      </c>
      <c r="AH166">
        <v>198.91200000000001</v>
      </c>
      <c r="AI166">
        <v>216.45</v>
      </c>
      <c r="AJ166">
        <v>228.21600000000001</v>
      </c>
      <c r="AK166">
        <v>199.08959999999999</v>
      </c>
      <c r="AL166">
        <v>318.30360000000002</v>
      </c>
      <c r="AM166">
        <v>1219.45488</v>
      </c>
      <c r="AN166" cm="1">
        <f t="array" ref="AN166">$Y166*INDEX(RefCapacity!$D$2:$D$526,MATCH(1,(RefCapacity!$A$2:$A$526=RefCapacityProj!$D166)*(RefCapacity!$B$2:$B$526=2019)*(RefCapacity!$C$2:$C$526=AG$1),0))/SUMIFS(RefCapacity!$D$2:$D$526,RefCapacity!$A$2:$A$526,RefCapacityProj!$D166,RefCapacity!$B$2:$B$526,2019)</f>
        <v>173.35980000000001</v>
      </c>
      <c r="AO166" cm="1">
        <f t="array" ref="AO166">$Y166*INDEX(RefCapacity!$D$2:$D$526,MATCH(1,(RefCapacity!$A$2:$A$526=RefCapacityProj!$D166)*(RefCapacity!$B$2:$B$526=2019)*(RefCapacity!$C$2:$C$526=AH$1),0))/SUMIFS(RefCapacity!$D$2:$D$526,RefCapacity!$A$2:$A$526,RefCapacityProj!$D166,RefCapacity!$B$2:$B$526,2019)</f>
        <v>198.91200000000003</v>
      </c>
      <c r="AP166" cm="1">
        <f t="array" ref="AP166">$Y166*INDEX(RefCapacity!$D$2:$D$526,MATCH(1,(RefCapacity!$A$2:$A$526=RefCapacityProj!$D166)*(RefCapacity!$B$2:$B$526=2019)*(RefCapacity!$C$2:$C$526=AI$1),0))/SUMIFS(RefCapacity!$D$2:$D$526,RefCapacity!$A$2:$A$526,RefCapacityProj!$D166,RefCapacity!$B$2:$B$526,2019)</f>
        <v>216.45000000000002</v>
      </c>
      <c r="AQ166" cm="1">
        <f t="array" ref="AQ166">$Y166*INDEX(RefCapacity!$D$2:$D$526,MATCH(1,(RefCapacity!$A$2:$A$526=RefCapacityProj!$D166)*(RefCapacity!$B$2:$B$526=2019)*(RefCapacity!$C$2:$C$526=AJ$1),0))/SUMIFS(RefCapacity!$D$2:$D$526,RefCapacity!$A$2:$A$526,RefCapacityProj!$D166,RefCapacity!$B$2:$B$526,2019)</f>
        <v>228.21600000000001</v>
      </c>
      <c r="AR166" cm="1">
        <f t="array" ref="AR166">$Y166*INDEX(RefCapacity!$D$2:$D$526,MATCH(1,(RefCapacity!$A$2:$A$526=RefCapacityProj!$D166)*(RefCapacity!$B$2:$B$526=2019)*(RefCapacity!$C$2:$C$526=AK$1),0))/SUMIFS(RefCapacity!$D$2:$D$526,RefCapacity!$A$2:$A$526,RefCapacityProj!$D166,RefCapacity!$B$2:$B$526,2019)</f>
        <v>199.08959999999999</v>
      </c>
      <c r="AS166" cm="1">
        <f t="array" ref="AS166">$Y166*INDEX(RefCapacity!$D$2:$D$526,MATCH(1,(RefCapacity!$A$2:$A$526=RefCapacityProj!$D166)*(RefCapacity!$B$2:$B$526=2019)*(RefCapacity!$C$2:$C$526=AL$1),0))/SUMIFS(RefCapacity!$D$2:$D$526,RefCapacity!$A$2:$A$526,RefCapacityProj!$D166,RefCapacity!$B$2:$B$526,2019)</f>
        <v>318.30360000000002</v>
      </c>
      <c r="AT166" cm="1">
        <f t="array" ref="AT166">$Y166*INDEX(RefCapacity!$D$2:$D$526,MATCH(1,(RefCapacity!$A$2:$A$526=RefCapacityProj!$D166)*(RefCapacity!$B$2:$B$526=2019)*(RefCapacity!$C$2:$C$526=AM$1),0))/SUMIFS(RefCapacity!$D$2:$D$526,RefCapacity!$A$2:$A$526,RefCapacityProj!$D166,RefCapacity!$B$2:$B$526,2019)</f>
        <v>1219.45488</v>
      </c>
      <c r="AU166" cm="1">
        <f t="array" ref="AU166">INDEX(RefCapacity!$D$2:$D$526,MATCH(1,(RefCapacity!$A$2:$A$526=RefCapacityProj!$D166)*(RefCapacity!$B$2:$B$526=2019)*(RefCapacity!$C$2:$C$526=RefCapacityProj!AG$1),0))*IF($C166=2035,1+VLOOKUP(AG$1,RefCapacity!$H$2:$L$8,2,FALSE),1+VLOOKUP(AG$1,RefCapacity!$H$2:$L$8,4,FALSE))</f>
        <v>884.55862608843188</v>
      </c>
      <c r="AV166" cm="1">
        <f t="array" ref="AV166">INDEX(RefCapacity!$D$2:$D$526,MATCH(1,(RefCapacity!$A$2:$A$526=RefCapacityProj!$D166)*(RefCapacity!$B$2:$B$526=2019)*(RefCapacity!$C$2:$C$526=RefCapacityProj!AH$1),0))*IF($C166=2035,1+VLOOKUP(AH$1,RefCapacity!$H$2:$L$8,2,FALSE),1+VLOOKUP(AH$1,RefCapacity!$H$2:$L$8,4,FALSE))</f>
        <v>379.90242021338935</v>
      </c>
      <c r="AW166" cm="1">
        <f t="array" ref="AW166">INDEX(RefCapacity!$D$2:$D$526,MATCH(1,(RefCapacity!$A$2:$A$526=RefCapacityProj!$D166)*(RefCapacity!$B$2:$B$526=2019)*(RefCapacity!$C$2:$C$526=RefCapacityProj!AI$1),0))*IF($C166=2035,1+VLOOKUP(AI$1,RefCapacity!$H$2:$L$8,2,FALSE),1+VLOOKUP(AI$1,RefCapacity!$H$2:$L$8,4,FALSE))</f>
        <v>260.28485694099828</v>
      </c>
      <c r="AX166" cm="1">
        <f t="array" ref="AX166">INDEX(RefCapacity!$D$2:$D$526,MATCH(1,(RefCapacity!$A$2:$A$526=RefCapacityProj!$D166)*(RefCapacity!$B$2:$B$526=2019)*(RefCapacity!$C$2:$C$526=RefCapacityProj!AJ$1),0))*IF($C166=2035,1+VLOOKUP(AJ$1,RefCapacity!$H$2:$L$8,2,FALSE),1+VLOOKUP(AJ$1,RefCapacity!$H$2:$L$8,4,FALSE))</f>
        <v>727.12618083670714</v>
      </c>
      <c r="AY166" cm="1">
        <f t="array" ref="AY166">INDEX(RefCapacity!$D$2:$D$526,MATCH(1,(RefCapacity!$A$2:$A$526=RefCapacityProj!$D166)*(RefCapacity!$B$2:$B$526=2019)*(RefCapacity!$C$2:$C$526=RefCapacityProj!AK$1),0))*IF($C166=2035,1+VLOOKUP(AK$1,RefCapacity!$H$2:$L$8,2,FALSE),1+VLOOKUP(AK$1,RefCapacity!$H$2:$L$8,4,FALSE))</f>
        <v>332.5483871083473</v>
      </c>
      <c r="AZ166" cm="1">
        <f t="array" ref="AZ166">INDEX(RefCapacity!$D$2:$D$526,MATCH(1,(RefCapacity!$A$2:$A$526=RefCapacityProj!$D166)*(RefCapacity!$B$2:$B$526=2019)*(RefCapacity!$C$2:$C$526=RefCapacityProj!AL$1),0))*IF($C166=2035,1+VLOOKUP(AL$1,RefCapacity!$H$2:$L$8,2,FALSE),1+VLOOKUP(AL$1,RefCapacity!$H$2:$L$8,4,FALSE))</f>
        <v>653.32703349282281</v>
      </c>
      <c r="BA166" cm="1">
        <f t="array" ref="BA166">INDEX(RefCapacity!$D$2:$D$526,MATCH(1,(RefCapacity!$A$2:$A$526=RefCapacityProj!$D166)*(RefCapacity!$B$2:$B$526=2019)*(RefCapacity!$C$2:$C$526=RefCapacityProj!AM$1),0))*IF($C166=2035,1+VLOOKUP(AM$1,RefCapacity!$H$2:$L$8,2,FALSE),1+VLOOKUP(AM$1,RefCapacity!$H$2:$L$8,4,FALSE))</f>
        <v>1481.5146306303682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f t="shared" si="20"/>
        <v>2553.7858800000004</v>
      </c>
      <c r="BJ166">
        <f t="shared" si="21"/>
        <v>0</v>
      </c>
      <c r="BK166">
        <f t="shared" si="22"/>
        <v>9.5150135572737913</v>
      </c>
      <c r="BL166" t="e" cm="1">
        <f t="array" ref="BL166">AG166/$BI166*INDEX('GHG Emission'!$C$2:$C$1121,MATCH(1,('GHG Emission'!$D$2:$D$1121=$D166)*('GHG Emission'!$E$2:$E$1121=$C166)*('GHG Emission'!$F$2:$F$1121=$B166)*('GHG Emission'!$I$2:$I$1121=$E166)*('GHG Emission'!$J$2:$J$1121=$F166)*('GHG Emission'!$K$2:$K$1121=AG$1),0))+AH166/$BI166*INDEX('GHG Emission'!$C$2:$C$1121,MATCH(1,('GHG Emission'!$D$2:$D$1121=$D166)*('GHG Emission'!$E$2:$E$1121=$C166)*('GHG Emission'!$F$2:$F$1121=$B166)*('GHG Emission'!$I$2:$I$1121=$E166)*('GHG Emission'!$J$2:$J$1121=$F166)*('GHG Emission'!$K$2:$K$1121=AH$1),0))+AI166/$BI166*INDEX('GHG Emission'!$C$2:$C$1121,MATCH(1,('GHG Emission'!$D$2:$D$1121=$D166)*('GHG Emission'!$E$2:$E$1121=$C166)*('GHG Emission'!$F$2:$F$1121=$B166)*('GHG Emission'!$I$2:$I$1121=$E166)*('GHG Emission'!$J$2:$J$1121=$F166)*('GHG Emission'!$K$2:$K$1121=AI$1),0))+AJ166/$BI166*INDEX('GHG Emission'!$C$2:$C$1121,MATCH(1,('GHG Emission'!$D$2:$D$1121=$D166)*('GHG Emission'!$E$2:$E$1121=$C166)*('GHG Emission'!$F$2:$F$1121=$B166)*('GHG Emission'!$I$2:$I$1121=$E166)*('GHG Emission'!$J$2:$J$1121=$F166)*('GHG Emission'!$K$2:$K$1121=AJ$1),0))+AK166/$BI166*INDEX('GHG Emission'!$C$2:$C$1121,MATCH(1,('GHG Emission'!$D$2:$D$1121=$D166)*('GHG Emission'!$E$2:$E$1121=$C166)*('GHG Emission'!$F$2:$F$1121=$B166)*('GHG Emission'!$I$2:$I$1121=$E166)*('GHG Emission'!$J$2:$J$1121=$F166)*('GHG Emission'!$K$2:$K$1121=AK$1),0))+AL166/$BI166*INDEX('GHG Emission'!$C$2:$C$1121,MATCH(1,('GHG Emission'!$D$2:$D$1121=$D166)*('GHG Emission'!$E$2:$E$1121=$C166)*('GHG Emission'!$F$2:$F$1121=$B166)*('GHG Emission'!$I$2:$I$1121=$E166)*('GHG Emission'!$J$2:$J$1121=$F166)*('GHG Emission'!$K$2:$K$1121=AL$1),0))+AM166/$BI166*INDEX('GHG Emission'!$C$2:$C$1121,MATCH(1,('GHG Emission'!$D$2:$D$1121=$D166)*('GHG Emission'!$E$2:$E$1121=$C166)*('GHG Emission'!$F$2:$F$1121=$B166)*('GHG Emission'!$I$2:$I$1121=$E166)*('GHG Emission'!$J$2:$J$1121=$F166)*('GHG Emission'!$K$2:$K$1121=AM$1),0))</f>
        <v>#N/A</v>
      </c>
      <c r="BM166" t="str">
        <f t="shared" si="23"/>
        <v>REF/REF</v>
      </c>
    </row>
  </sheetData>
  <autoFilter ref="A1:BM166" xr:uid="{894B5DC5-2E54-4F3C-B8EC-129671723558}">
    <filterColumn colId="1">
      <filters>
        <filter val="LOW"/>
      </filters>
    </filterColumn>
    <filterColumn colId="2">
      <filters>
        <filter val="2035"/>
        <filter val="2050"/>
      </filters>
    </filterColumn>
    <filterColumn colId="4">
      <filters>
        <filter val="HEAVY"/>
      </filters>
    </filterColumn>
    <filterColumn colId="5">
      <filters>
        <filter val="SOUR"/>
      </filters>
    </filterColumn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onfigGenerator">
                <anchor moveWithCells="1" sizeWithCells="1">
                  <from>
                    <xdr:col>28</xdr:col>
                    <xdr:colOff>47625</xdr:colOff>
                    <xdr:row>174</xdr:row>
                    <xdr:rowOff>85725</xdr:rowOff>
                  </from>
                  <to>
                    <xdr:col>32</xdr:col>
                    <xdr:colOff>447675</xdr:colOff>
                    <xdr:row>176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CE87B-0A59-4115-B8F7-55665096DE8D}">
  <dimension ref="A1:V1156"/>
  <sheetViews>
    <sheetView workbookViewId="0">
      <selection activeCell="C3" sqref="C3"/>
    </sheetView>
  </sheetViews>
  <sheetFormatPr defaultRowHeight="15" x14ac:dyDescent="0.25"/>
  <cols>
    <col min="2" max="2" width="24.28515625" customWidth="1"/>
    <col min="5" max="5" width="11.28515625" customWidth="1"/>
    <col min="6" max="6" width="11" customWidth="1"/>
    <col min="16" max="16" width="24.85546875" bestFit="1" customWidth="1"/>
    <col min="17" max="17" width="7.28515625" bestFit="1" customWidth="1"/>
    <col min="18" max="18" width="8.28515625" bestFit="1" customWidth="1"/>
    <col min="19" max="19" width="11.42578125" bestFit="1" customWidth="1"/>
    <col min="20" max="20" width="11.140625" bestFit="1" customWidth="1"/>
    <col min="21" max="21" width="11.42578125" bestFit="1" customWidth="1"/>
    <col min="22" max="22" width="12.140625" bestFit="1" customWidth="1"/>
  </cols>
  <sheetData>
    <row r="1" spans="1:22" x14ac:dyDescent="0.25">
      <c r="A1" t="s">
        <v>461</v>
      </c>
      <c r="B1" t="s">
        <v>462</v>
      </c>
      <c r="C1" t="s">
        <v>0</v>
      </c>
      <c r="D1" t="s">
        <v>1</v>
      </c>
      <c r="E1" t="s">
        <v>463</v>
      </c>
      <c r="F1" t="s">
        <v>464</v>
      </c>
      <c r="G1" t="s">
        <v>592</v>
      </c>
      <c r="H1" t="s">
        <v>593</v>
      </c>
      <c r="I1" t="s">
        <v>594</v>
      </c>
      <c r="J1" t="s">
        <v>595</v>
      </c>
      <c r="K1" t="s">
        <v>596</v>
      </c>
      <c r="L1" t="s">
        <v>597</v>
      </c>
      <c r="M1" t="s">
        <v>598</v>
      </c>
      <c r="P1" t="s">
        <v>462</v>
      </c>
      <c r="Q1" t="s">
        <v>0</v>
      </c>
      <c r="R1" t="s">
        <v>1</v>
      </c>
      <c r="S1" t="s">
        <v>463</v>
      </c>
      <c r="T1" t="s">
        <v>464</v>
      </c>
      <c r="U1" t="s">
        <v>599</v>
      </c>
      <c r="V1" t="s">
        <v>428</v>
      </c>
    </row>
    <row r="2" spans="1:22" x14ac:dyDescent="0.25">
      <c r="A2">
        <v>1</v>
      </c>
      <c r="B2" t="str">
        <f>RefCapacityProj!B2</f>
        <v>LOW</v>
      </c>
      <c r="C2">
        <f>RefCapacityProj!C2</f>
        <v>2035</v>
      </c>
      <c r="D2">
        <f>RefCapacityProj!D2</f>
        <v>1</v>
      </c>
      <c r="E2" t="str">
        <f>RefCapacityProj!E2</f>
        <v>HEAVY</v>
      </c>
      <c r="F2" t="str">
        <f>RefCapacityProj!F2</f>
        <v>SWEET</v>
      </c>
      <c r="G2">
        <f>RefCapacityProj!AG2</f>
        <v>32.309516377966695</v>
      </c>
      <c r="H2">
        <f>RefCapacityProj!AH2</f>
        <v>344.81274364011273</v>
      </c>
      <c r="I2">
        <f>RefCapacityProj!AI2</f>
        <v>0</v>
      </c>
      <c r="J2">
        <f>RefCapacityProj!AJ2</f>
        <v>98.716145919736363</v>
      </c>
      <c r="K2">
        <f>RefCapacityProj!AK2</f>
        <v>77.236694709424071</v>
      </c>
      <c r="L2">
        <f>RefCapacityProj!AL2</f>
        <v>0</v>
      </c>
      <c r="M2">
        <f>RefCapacityProj!AM2</f>
        <v>85.86750458883381</v>
      </c>
      <c r="P2" t="s">
        <v>465</v>
      </c>
      <c r="Q2">
        <v>2035</v>
      </c>
      <c r="R2">
        <v>1</v>
      </c>
      <c r="S2" t="s">
        <v>466</v>
      </c>
      <c r="T2" t="s">
        <v>467</v>
      </c>
      <c r="U2" t="s">
        <v>592</v>
      </c>
      <c r="V2">
        <v>32.309516377966695</v>
      </c>
    </row>
    <row r="3" spans="1:22" x14ac:dyDescent="0.25">
      <c r="A3">
        <v>2</v>
      </c>
      <c r="B3" t="str">
        <f>RefCapacityProj!B3</f>
        <v>LOW</v>
      </c>
      <c r="C3">
        <f>RefCapacityProj!C3</f>
        <v>2035</v>
      </c>
      <c r="D3">
        <f>RefCapacityProj!D3</f>
        <v>1</v>
      </c>
      <c r="E3" t="str">
        <f>RefCapacityProj!E3</f>
        <v>HEAVY</v>
      </c>
      <c r="F3" t="str">
        <f>RefCapacityProj!F3</f>
        <v>SOUR</v>
      </c>
      <c r="G3">
        <f>RefCapacityProj!AG3</f>
        <v>32.309516377966695</v>
      </c>
      <c r="H3">
        <f>RefCapacityProj!AH3</f>
        <v>344.81274364011273</v>
      </c>
      <c r="I3">
        <f>RefCapacityProj!AI3</f>
        <v>0</v>
      </c>
      <c r="J3">
        <f>RefCapacityProj!AJ3</f>
        <v>98.716145919736363</v>
      </c>
      <c r="K3">
        <f>RefCapacityProj!AK3</f>
        <v>77.236694709424071</v>
      </c>
      <c r="L3">
        <f>RefCapacityProj!AL3</f>
        <v>0</v>
      </c>
      <c r="M3">
        <f>RefCapacityProj!AM3</f>
        <v>85.86750458883381</v>
      </c>
      <c r="P3" t="s">
        <v>465</v>
      </c>
      <c r="Q3">
        <v>2035</v>
      </c>
      <c r="R3">
        <v>1</v>
      </c>
      <c r="S3" t="s">
        <v>466</v>
      </c>
      <c r="T3" t="s">
        <v>467</v>
      </c>
      <c r="U3" t="s">
        <v>593</v>
      </c>
      <c r="V3">
        <v>344.81274364011273</v>
      </c>
    </row>
    <row r="4" spans="1:22" x14ac:dyDescent="0.25">
      <c r="A4">
        <v>3</v>
      </c>
      <c r="B4" t="str">
        <f>RefCapacityProj!B4</f>
        <v>LOW</v>
      </c>
      <c r="C4">
        <f>RefCapacityProj!C4</f>
        <v>2035</v>
      </c>
      <c r="D4">
        <f>RefCapacityProj!D4</f>
        <v>1</v>
      </c>
      <c r="E4" t="str">
        <f>RefCapacityProj!E4</f>
        <v>LIGHT</v>
      </c>
      <c r="F4" t="str">
        <f>RefCapacityProj!F4</f>
        <v>SWEET</v>
      </c>
      <c r="G4">
        <f>RefCapacityProj!AG4</f>
        <v>90.959073204587185</v>
      </c>
      <c r="H4">
        <f>RefCapacityProj!AH4</f>
        <v>354.64842055298772</v>
      </c>
      <c r="I4">
        <f>RefCapacityProj!AI4</f>
        <v>0</v>
      </c>
      <c r="J4">
        <f>RefCapacityProj!AJ4</f>
        <v>83.29732181429867</v>
      </c>
      <c r="K4">
        <f>RefCapacityProj!AK4</f>
        <v>58.267495958416603</v>
      </c>
      <c r="L4">
        <f>RefCapacityProj!AL4</f>
        <v>0</v>
      </c>
      <c r="M4">
        <f>RefCapacityProj!AM4</f>
        <v>53.919786961497309</v>
      </c>
      <c r="P4" t="s">
        <v>465</v>
      </c>
      <c r="Q4">
        <v>2035</v>
      </c>
      <c r="R4">
        <v>1</v>
      </c>
      <c r="S4" t="s">
        <v>466</v>
      </c>
      <c r="T4" t="s">
        <v>467</v>
      </c>
      <c r="U4" t="s">
        <v>594</v>
      </c>
      <c r="V4">
        <v>0</v>
      </c>
    </row>
    <row r="5" spans="1:22" x14ac:dyDescent="0.25">
      <c r="A5">
        <v>4</v>
      </c>
      <c r="B5" t="str">
        <f>RefCapacityProj!B5</f>
        <v>LOW</v>
      </c>
      <c r="C5">
        <f>RefCapacityProj!C5</f>
        <v>2035</v>
      </c>
      <c r="D5">
        <f>RefCapacityProj!D5</f>
        <v>1</v>
      </c>
      <c r="E5" t="str">
        <f>RefCapacityProj!E5</f>
        <v>LIGHT</v>
      </c>
      <c r="F5" t="str">
        <f>RefCapacityProj!F5</f>
        <v>SOUR</v>
      </c>
      <c r="G5">
        <f>RefCapacityProj!AG5</f>
        <v>90.959073204587185</v>
      </c>
      <c r="H5">
        <f>RefCapacityProj!AH5</f>
        <v>354.64842055298772</v>
      </c>
      <c r="I5">
        <f>RefCapacityProj!AI5</f>
        <v>0</v>
      </c>
      <c r="J5">
        <f>RefCapacityProj!AJ5</f>
        <v>83.29732181429867</v>
      </c>
      <c r="K5">
        <f>RefCapacityProj!AK5</f>
        <v>58.267495958416603</v>
      </c>
      <c r="L5">
        <f>RefCapacityProj!AL5</f>
        <v>0</v>
      </c>
      <c r="M5">
        <f>RefCapacityProj!AM5</f>
        <v>53.919786961497309</v>
      </c>
      <c r="P5" t="s">
        <v>465</v>
      </c>
      <c r="Q5">
        <v>2035</v>
      </c>
      <c r="R5">
        <v>1</v>
      </c>
      <c r="S5" t="s">
        <v>466</v>
      </c>
      <c r="T5" t="s">
        <v>467</v>
      </c>
      <c r="U5" t="s">
        <v>595</v>
      </c>
      <c r="V5">
        <v>98.716145919736363</v>
      </c>
    </row>
    <row r="6" spans="1:22" x14ac:dyDescent="0.25">
      <c r="A6">
        <v>5</v>
      </c>
      <c r="B6" t="str">
        <f>RefCapacityProj!B6</f>
        <v>LOW</v>
      </c>
      <c r="C6">
        <f>RefCapacityProj!C6</f>
        <v>2050</v>
      </c>
      <c r="D6">
        <f>RefCapacityProj!D6</f>
        <v>1</v>
      </c>
      <c r="E6" t="str">
        <f>RefCapacityProj!E6</f>
        <v>HEAVY</v>
      </c>
      <c r="F6" t="str">
        <f>RefCapacityProj!F6</f>
        <v>SWEET</v>
      </c>
      <c r="G6">
        <f>RefCapacityProj!AG6</f>
        <v>25.741691901825451</v>
      </c>
      <c r="H6">
        <f>RefCapacityProj!AH6</f>
        <v>345.50279782437843</v>
      </c>
      <c r="I6">
        <f>RefCapacityProj!AI6</f>
        <v>0</v>
      </c>
      <c r="J6">
        <f>RefCapacityProj!AJ6</f>
        <v>100.73939415161627</v>
      </c>
      <c r="K6">
        <f>RefCapacityProj!AK6</f>
        <v>79.525802009743614</v>
      </c>
      <c r="L6">
        <f>RefCapacityProj!AL6</f>
        <v>0</v>
      </c>
      <c r="M6">
        <f>RefCapacityProj!AM6</f>
        <v>89.641283699212025</v>
      </c>
      <c r="P6" t="s">
        <v>465</v>
      </c>
      <c r="Q6">
        <v>2035</v>
      </c>
      <c r="R6">
        <v>1</v>
      </c>
      <c r="S6" t="s">
        <v>466</v>
      </c>
      <c r="T6" t="s">
        <v>467</v>
      </c>
      <c r="U6" t="s">
        <v>596</v>
      </c>
      <c r="V6">
        <v>77.236694709424071</v>
      </c>
    </row>
    <row r="7" spans="1:22" x14ac:dyDescent="0.25">
      <c r="A7">
        <v>6</v>
      </c>
      <c r="B7" t="str">
        <f>RefCapacityProj!B7</f>
        <v>LOW</v>
      </c>
      <c r="C7">
        <f>RefCapacityProj!C7</f>
        <v>2050</v>
      </c>
      <c r="D7">
        <f>RefCapacityProj!D7</f>
        <v>1</v>
      </c>
      <c r="E7" t="str">
        <f>RefCapacityProj!E7</f>
        <v>HEAVY</v>
      </c>
      <c r="F7" t="str">
        <f>RefCapacityProj!F7</f>
        <v>SOUR</v>
      </c>
      <c r="G7">
        <f>RefCapacityProj!AG7</f>
        <v>25.741691901825451</v>
      </c>
      <c r="H7">
        <f>RefCapacityProj!AH7</f>
        <v>345.50279782437843</v>
      </c>
      <c r="I7">
        <f>RefCapacityProj!AI7</f>
        <v>0</v>
      </c>
      <c r="J7">
        <f>RefCapacityProj!AJ7</f>
        <v>100.73939415161627</v>
      </c>
      <c r="K7">
        <f>RefCapacityProj!AK7</f>
        <v>79.525802009743614</v>
      </c>
      <c r="L7">
        <f>RefCapacityProj!AL7</f>
        <v>0</v>
      </c>
      <c r="M7">
        <f>RefCapacityProj!AM7</f>
        <v>89.641283699212025</v>
      </c>
      <c r="P7" t="s">
        <v>465</v>
      </c>
      <c r="Q7">
        <v>2035</v>
      </c>
      <c r="R7">
        <v>1</v>
      </c>
      <c r="S7" t="s">
        <v>466</v>
      </c>
      <c r="T7" t="s">
        <v>467</v>
      </c>
      <c r="U7" t="s">
        <v>597</v>
      </c>
      <c r="V7">
        <v>0</v>
      </c>
    </row>
    <row r="8" spans="1:22" x14ac:dyDescent="0.25">
      <c r="A8">
        <v>7</v>
      </c>
      <c r="B8" t="str">
        <f>RefCapacityProj!B8</f>
        <v>LOW</v>
      </c>
      <c r="C8">
        <f>RefCapacityProj!C8</f>
        <v>2050</v>
      </c>
      <c r="D8">
        <f>RefCapacityProj!D8</f>
        <v>1</v>
      </c>
      <c r="E8" t="str">
        <f>RefCapacityProj!E8</f>
        <v>LIGHT</v>
      </c>
      <c r="F8" t="str">
        <f>RefCapacityProj!F8</f>
        <v>SWEET</v>
      </c>
      <c r="G8">
        <f>RefCapacityProj!AG8</f>
        <v>110.51248037603982</v>
      </c>
      <c r="H8">
        <f>RefCapacityProj!AH8</f>
        <v>359.69138747853333</v>
      </c>
      <c r="I8">
        <f>RefCapacityProj!AI8</f>
        <v>0</v>
      </c>
      <c r="J8">
        <f>RefCapacityProj!AJ8</f>
        <v>78.656780792349181</v>
      </c>
      <c r="K8">
        <f>RefCapacityProj!AK8</f>
        <v>52.341828632143496</v>
      </c>
      <c r="L8">
        <f>RefCapacityProj!AL8</f>
        <v>0</v>
      </c>
      <c r="M8">
        <f>RefCapacityProj!AM8</f>
        <v>43.824450547309198</v>
      </c>
      <c r="P8" t="s">
        <v>465</v>
      </c>
      <c r="Q8">
        <v>2035</v>
      </c>
      <c r="R8">
        <v>1</v>
      </c>
      <c r="S8" t="s">
        <v>466</v>
      </c>
      <c r="T8" t="s">
        <v>467</v>
      </c>
      <c r="U8" t="s">
        <v>598</v>
      </c>
      <c r="V8">
        <v>85.86750458883381</v>
      </c>
    </row>
    <row r="9" spans="1:22" x14ac:dyDescent="0.25">
      <c r="A9">
        <v>8</v>
      </c>
      <c r="B9" t="str">
        <f>RefCapacityProj!B9</f>
        <v>LOW</v>
      </c>
      <c r="C9">
        <f>RefCapacityProj!C9</f>
        <v>2050</v>
      </c>
      <c r="D9">
        <f>RefCapacityProj!D9</f>
        <v>1</v>
      </c>
      <c r="E9" t="str">
        <f>RefCapacityProj!E9</f>
        <v>LIGHT</v>
      </c>
      <c r="F9" t="str">
        <f>RefCapacityProj!F9</f>
        <v>SOUR</v>
      </c>
      <c r="G9">
        <f>RefCapacityProj!AG9</f>
        <v>110.51248037603982</v>
      </c>
      <c r="H9">
        <f>RefCapacityProj!AH9</f>
        <v>359.69138747853333</v>
      </c>
      <c r="I9">
        <f>RefCapacityProj!AI9</f>
        <v>0</v>
      </c>
      <c r="J9">
        <f>RefCapacityProj!AJ9</f>
        <v>78.656780792349181</v>
      </c>
      <c r="K9">
        <f>RefCapacityProj!AK9</f>
        <v>52.341828632143496</v>
      </c>
      <c r="L9">
        <f>RefCapacityProj!AL9</f>
        <v>0</v>
      </c>
      <c r="M9">
        <f>RefCapacityProj!AM9</f>
        <v>43.824450547309198</v>
      </c>
      <c r="P9" t="s">
        <v>465</v>
      </c>
      <c r="Q9">
        <v>2035</v>
      </c>
      <c r="R9">
        <v>1</v>
      </c>
      <c r="S9" t="s">
        <v>466</v>
      </c>
      <c r="T9" t="s">
        <v>468</v>
      </c>
      <c r="U9" t="s">
        <v>592</v>
      </c>
      <c r="V9">
        <v>32.309516377966695</v>
      </c>
    </row>
    <row r="10" spans="1:22" x14ac:dyDescent="0.25">
      <c r="A10">
        <v>9</v>
      </c>
      <c r="B10" t="str">
        <f>RefCapacityProj!B10</f>
        <v>LOW</v>
      </c>
      <c r="C10">
        <f>RefCapacityProj!C10</f>
        <v>2035</v>
      </c>
      <c r="D10">
        <f>RefCapacityProj!D10</f>
        <v>2</v>
      </c>
      <c r="E10" t="str">
        <f>RefCapacityProj!E10</f>
        <v>HEAVY</v>
      </c>
      <c r="F10" t="str">
        <f>RefCapacityProj!F10</f>
        <v>SWEET</v>
      </c>
      <c r="G10">
        <f>RefCapacityProj!AG10</f>
        <v>69.093112296540269</v>
      </c>
      <c r="H10">
        <f>RefCapacityProj!AH10</f>
        <v>599.03305953025574</v>
      </c>
      <c r="I10">
        <f>RefCapacityProj!AI10</f>
        <v>0</v>
      </c>
      <c r="J10">
        <f>RefCapacityProj!AJ10</f>
        <v>432.53681249447618</v>
      </c>
      <c r="K10">
        <f>RefCapacityProj!AK10</f>
        <v>1344.3428935448717</v>
      </c>
      <c r="L10">
        <f>RefCapacityProj!AL10</f>
        <v>0</v>
      </c>
      <c r="M10">
        <f>RefCapacityProj!AM10</f>
        <v>1049.676546229616</v>
      </c>
      <c r="P10" t="s">
        <v>465</v>
      </c>
      <c r="Q10">
        <v>2035</v>
      </c>
      <c r="R10">
        <v>1</v>
      </c>
      <c r="S10" t="s">
        <v>466</v>
      </c>
      <c r="T10" t="s">
        <v>468</v>
      </c>
      <c r="U10" t="s">
        <v>593</v>
      </c>
      <c r="V10">
        <v>344.81274364011273</v>
      </c>
    </row>
    <row r="11" spans="1:22" x14ac:dyDescent="0.25">
      <c r="A11">
        <v>10</v>
      </c>
      <c r="B11" t="str">
        <f>RefCapacityProj!B11</f>
        <v>LOW</v>
      </c>
      <c r="C11">
        <f>RefCapacityProj!C11</f>
        <v>2035</v>
      </c>
      <c r="D11">
        <f>RefCapacityProj!D11</f>
        <v>2</v>
      </c>
      <c r="E11" t="str">
        <f>RefCapacityProj!E11</f>
        <v>HEAVY</v>
      </c>
      <c r="F11" t="str">
        <f>RefCapacityProj!F11</f>
        <v>SOUR</v>
      </c>
      <c r="G11">
        <f>RefCapacityProj!AG11</f>
        <v>69.093112296540269</v>
      </c>
      <c r="H11">
        <f>RefCapacityProj!AH11</f>
        <v>599.03305953025574</v>
      </c>
      <c r="I11">
        <f>RefCapacityProj!AI11</f>
        <v>0</v>
      </c>
      <c r="J11">
        <f>RefCapacityProj!AJ11</f>
        <v>432.53681249447618</v>
      </c>
      <c r="K11">
        <f>RefCapacityProj!AK11</f>
        <v>1344.3428935448717</v>
      </c>
      <c r="L11">
        <f>RefCapacityProj!AL11</f>
        <v>0</v>
      </c>
      <c r="M11">
        <f>RefCapacityProj!AM11</f>
        <v>1049.676546229616</v>
      </c>
      <c r="P11" t="s">
        <v>465</v>
      </c>
      <c r="Q11">
        <v>2035</v>
      </c>
      <c r="R11">
        <v>1</v>
      </c>
      <c r="S11" t="s">
        <v>466</v>
      </c>
      <c r="T11" t="s">
        <v>468</v>
      </c>
      <c r="U11" t="s">
        <v>594</v>
      </c>
      <c r="V11">
        <v>0</v>
      </c>
    </row>
    <row r="12" spans="1:22" x14ac:dyDescent="0.25">
      <c r="A12">
        <v>11</v>
      </c>
      <c r="B12" t="str">
        <f>RefCapacityProj!B12</f>
        <v>LOW</v>
      </c>
      <c r="C12">
        <f>RefCapacityProj!C12</f>
        <v>2035</v>
      </c>
      <c r="D12">
        <f>RefCapacityProj!D12</f>
        <v>2</v>
      </c>
      <c r="E12" t="str">
        <f>RefCapacityProj!E12</f>
        <v>LIGHT</v>
      </c>
      <c r="F12" t="str">
        <f>RefCapacityProj!F12</f>
        <v>SWEET</v>
      </c>
      <c r="G12">
        <f>RefCapacityProj!AG12</f>
        <v>69.094409156970343</v>
      </c>
      <c r="H12">
        <f>RefCapacityProj!AH12</f>
        <v>829.69674757506368</v>
      </c>
      <c r="I12">
        <f>RefCapacityProj!AI12</f>
        <v>0</v>
      </c>
      <c r="J12">
        <f>RefCapacityProj!AJ12</f>
        <v>463.43746656245816</v>
      </c>
      <c r="K12">
        <f>RefCapacityProj!AK12</f>
        <v>1306.6174475700918</v>
      </c>
      <c r="L12">
        <f>RefCapacityProj!AL12</f>
        <v>0</v>
      </c>
      <c r="M12">
        <f>RefCapacityProj!AM12</f>
        <v>762.305134057788</v>
      </c>
      <c r="P12" t="s">
        <v>465</v>
      </c>
      <c r="Q12">
        <v>2035</v>
      </c>
      <c r="R12">
        <v>1</v>
      </c>
      <c r="S12" t="s">
        <v>466</v>
      </c>
      <c r="T12" t="s">
        <v>468</v>
      </c>
      <c r="U12" t="s">
        <v>595</v>
      </c>
      <c r="V12">
        <v>98.716145919736363</v>
      </c>
    </row>
    <row r="13" spans="1:22" x14ac:dyDescent="0.25">
      <c r="A13">
        <v>12</v>
      </c>
      <c r="B13" t="str">
        <f>RefCapacityProj!B13</f>
        <v>LOW</v>
      </c>
      <c r="C13">
        <f>RefCapacityProj!C13</f>
        <v>2035</v>
      </c>
      <c r="D13">
        <f>RefCapacityProj!D13</f>
        <v>2</v>
      </c>
      <c r="E13" t="str">
        <f>RefCapacityProj!E13</f>
        <v>LIGHT</v>
      </c>
      <c r="F13" t="str">
        <f>RefCapacityProj!F13</f>
        <v>SOUR</v>
      </c>
      <c r="G13">
        <f>RefCapacityProj!AG13</f>
        <v>69.094409156970343</v>
      </c>
      <c r="H13">
        <f>RefCapacityProj!AH13</f>
        <v>829.69674757506368</v>
      </c>
      <c r="I13">
        <f>RefCapacityProj!AI13</f>
        <v>0</v>
      </c>
      <c r="J13">
        <f>RefCapacityProj!AJ13</f>
        <v>463.43746656245816</v>
      </c>
      <c r="K13">
        <f>RefCapacityProj!AK13</f>
        <v>1306.6174475700918</v>
      </c>
      <c r="L13">
        <f>RefCapacityProj!AL13</f>
        <v>0</v>
      </c>
      <c r="M13">
        <f>RefCapacityProj!AM13</f>
        <v>762.305134057788</v>
      </c>
      <c r="P13" t="s">
        <v>465</v>
      </c>
      <c r="Q13">
        <v>2035</v>
      </c>
      <c r="R13">
        <v>1</v>
      </c>
      <c r="S13" t="s">
        <v>466</v>
      </c>
      <c r="T13" t="s">
        <v>468</v>
      </c>
      <c r="U13" t="s">
        <v>596</v>
      </c>
      <c r="V13">
        <v>77.236694709424071</v>
      </c>
    </row>
    <row r="14" spans="1:22" x14ac:dyDescent="0.25">
      <c r="A14">
        <v>13</v>
      </c>
      <c r="B14" t="str">
        <f>RefCapacityProj!B14</f>
        <v>LOW</v>
      </c>
      <c r="C14">
        <f>RefCapacityProj!C14</f>
        <v>2050</v>
      </c>
      <c r="D14">
        <f>RefCapacityProj!D14</f>
        <v>2</v>
      </c>
      <c r="E14" t="str">
        <f>RefCapacityProj!E14</f>
        <v>HEAVY</v>
      </c>
      <c r="F14" t="str">
        <f>RefCapacityProj!F14</f>
        <v>SWEET</v>
      </c>
      <c r="G14">
        <f>RefCapacityProj!AG14</f>
        <v>89.583978716782511</v>
      </c>
      <c r="H14">
        <f>RefCapacityProj!AH14</f>
        <v>540.39022219050958</v>
      </c>
      <c r="I14">
        <f>RefCapacityProj!AI14</f>
        <v>0</v>
      </c>
      <c r="J14">
        <f>RefCapacityProj!AJ14</f>
        <v>431.49921869606715</v>
      </c>
      <c r="K14">
        <f>RefCapacityProj!AK14</f>
        <v>1350.9083430698274</v>
      </c>
      <c r="L14">
        <f>RefCapacityProj!AL14</f>
        <v>0</v>
      </c>
      <c r="M14">
        <f>RefCapacityProj!AM14</f>
        <v>1086.0199787939096</v>
      </c>
      <c r="P14" t="s">
        <v>465</v>
      </c>
      <c r="Q14">
        <v>2035</v>
      </c>
      <c r="R14">
        <v>1</v>
      </c>
      <c r="S14" t="s">
        <v>466</v>
      </c>
      <c r="T14" t="s">
        <v>468</v>
      </c>
      <c r="U14" t="s">
        <v>597</v>
      </c>
      <c r="V14">
        <v>0</v>
      </c>
    </row>
    <row r="15" spans="1:22" x14ac:dyDescent="0.25">
      <c r="A15">
        <v>14</v>
      </c>
      <c r="B15" t="str">
        <f>RefCapacityProj!B15</f>
        <v>LOW</v>
      </c>
      <c r="C15">
        <f>RefCapacityProj!C15</f>
        <v>2050</v>
      </c>
      <c r="D15">
        <f>RefCapacityProj!D15</f>
        <v>2</v>
      </c>
      <c r="E15" t="str">
        <f>RefCapacityProj!E15</f>
        <v>HEAVY</v>
      </c>
      <c r="F15" t="str">
        <f>RefCapacityProj!F15</f>
        <v>SOUR</v>
      </c>
      <c r="G15">
        <f>RefCapacityProj!AG15</f>
        <v>89.583978716782511</v>
      </c>
      <c r="H15">
        <f>RefCapacityProj!AH15</f>
        <v>540.39022219050958</v>
      </c>
      <c r="I15">
        <f>RefCapacityProj!AI15</f>
        <v>0</v>
      </c>
      <c r="J15">
        <f>RefCapacityProj!AJ15</f>
        <v>431.49921869606715</v>
      </c>
      <c r="K15">
        <f>RefCapacityProj!AK15</f>
        <v>1350.9083430698274</v>
      </c>
      <c r="L15">
        <f>RefCapacityProj!AL15</f>
        <v>0</v>
      </c>
      <c r="M15">
        <f>RefCapacityProj!AM15</f>
        <v>1086.0199787939096</v>
      </c>
      <c r="P15" t="s">
        <v>465</v>
      </c>
      <c r="Q15">
        <v>2035</v>
      </c>
      <c r="R15">
        <v>1</v>
      </c>
      <c r="S15" t="s">
        <v>466</v>
      </c>
      <c r="T15" t="s">
        <v>468</v>
      </c>
      <c r="U15" t="s">
        <v>598</v>
      </c>
      <c r="V15">
        <v>85.86750458883381</v>
      </c>
    </row>
    <row r="16" spans="1:22" x14ac:dyDescent="0.25">
      <c r="A16">
        <v>15</v>
      </c>
      <c r="B16" t="str">
        <f>RefCapacityProj!B16</f>
        <v>LOW</v>
      </c>
      <c r="C16">
        <f>RefCapacityProj!C16</f>
        <v>2050</v>
      </c>
      <c r="D16">
        <f>RefCapacityProj!D16</f>
        <v>2</v>
      </c>
      <c r="E16" t="str">
        <f>RefCapacityProj!E16</f>
        <v>LIGHT</v>
      </c>
      <c r="F16" t="str">
        <f>RefCapacityProj!F16</f>
        <v>SWEET</v>
      </c>
      <c r="G16">
        <f>RefCapacityProj!AG16</f>
        <v>113.20539615678824</v>
      </c>
      <c r="H16">
        <f>RefCapacityProj!AH16</f>
        <v>890.28287429312343</v>
      </c>
      <c r="I16">
        <f>RefCapacityProj!AI16</f>
        <v>0</v>
      </c>
      <c r="J16">
        <f>RefCapacityProj!AJ16</f>
        <v>406.02400955810873</v>
      </c>
      <c r="K16">
        <f>RefCapacityProj!AK16</f>
        <v>1272.3102283693113</v>
      </c>
      <c r="L16">
        <f>RefCapacityProj!AL16</f>
        <v>0</v>
      </c>
      <c r="M16">
        <f>RefCapacityProj!AM16</f>
        <v>814.17859708895844</v>
      </c>
      <c r="P16" t="s">
        <v>465</v>
      </c>
      <c r="Q16">
        <v>2035</v>
      </c>
      <c r="R16">
        <v>1</v>
      </c>
      <c r="S16" t="s">
        <v>469</v>
      </c>
      <c r="T16" t="s">
        <v>467</v>
      </c>
      <c r="U16" t="s">
        <v>592</v>
      </c>
      <c r="V16">
        <v>90.959073204587185</v>
      </c>
    </row>
    <row r="17" spans="1:22" x14ac:dyDescent="0.25">
      <c r="A17">
        <v>16</v>
      </c>
      <c r="B17" t="str">
        <f>RefCapacityProj!B17</f>
        <v>LOW</v>
      </c>
      <c r="C17">
        <f>RefCapacityProj!C17</f>
        <v>2050</v>
      </c>
      <c r="D17">
        <f>RefCapacityProj!D17</f>
        <v>2</v>
      </c>
      <c r="E17" t="str">
        <f>RefCapacityProj!E17</f>
        <v>LIGHT</v>
      </c>
      <c r="F17" t="str">
        <f>RefCapacityProj!F17</f>
        <v>SOUR</v>
      </c>
      <c r="G17">
        <f>RefCapacityProj!AG17</f>
        <v>113.20539615678824</v>
      </c>
      <c r="H17">
        <f>RefCapacityProj!AH17</f>
        <v>890.28287429312343</v>
      </c>
      <c r="I17">
        <f>RefCapacityProj!AI17</f>
        <v>0</v>
      </c>
      <c r="J17">
        <f>RefCapacityProj!AJ17</f>
        <v>406.02400955810873</v>
      </c>
      <c r="K17">
        <f>RefCapacityProj!AK17</f>
        <v>1272.3102283693113</v>
      </c>
      <c r="L17">
        <f>RefCapacityProj!AL17</f>
        <v>0</v>
      </c>
      <c r="M17">
        <f>RefCapacityProj!AM17</f>
        <v>814.17859708895844</v>
      </c>
      <c r="P17" t="s">
        <v>465</v>
      </c>
      <c r="Q17">
        <v>2035</v>
      </c>
      <c r="R17">
        <v>1</v>
      </c>
      <c r="S17" t="s">
        <v>469</v>
      </c>
      <c r="T17" t="s">
        <v>467</v>
      </c>
      <c r="U17" t="s">
        <v>593</v>
      </c>
      <c r="V17">
        <v>354.64842055298772</v>
      </c>
    </row>
    <row r="18" spans="1:22" x14ac:dyDescent="0.25">
      <c r="A18">
        <v>17</v>
      </c>
      <c r="B18" t="str">
        <f>RefCapacityProj!B18</f>
        <v>LOW</v>
      </c>
      <c r="C18">
        <f>RefCapacityProj!C18</f>
        <v>2035</v>
      </c>
      <c r="D18">
        <f>RefCapacityProj!D18</f>
        <v>3</v>
      </c>
      <c r="E18" t="str">
        <f>RefCapacityProj!E18</f>
        <v>HEAVY</v>
      </c>
      <c r="F18" t="str">
        <f>RefCapacityProj!F18</f>
        <v>SWEET</v>
      </c>
      <c r="G18">
        <f>RefCapacityProj!AG18</f>
        <v>653.57720075431212</v>
      </c>
      <c r="H18">
        <f>RefCapacityProj!AH18</f>
        <v>666.5137214314617</v>
      </c>
      <c r="I18">
        <f>RefCapacityProj!AI18</f>
        <v>305.84922712588525</v>
      </c>
      <c r="J18">
        <f>RefCapacityProj!AJ18</f>
        <v>777.98687259593373</v>
      </c>
      <c r="K18">
        <f>RefCapacityProj!AK18</f>
        <v>1663.3948481400043</v>
      </c>
      <c r="L18">
        <f>RefCapacityProj!AL18</f>
        <v>6.6099425128713918E-3</v>
      </c>
      <c r="M18">
        <f>RefCapacityProj!AM18</f>
        <v>4407.4818920318639</v>
      </c>
      <c r="P18" t="s">
        <v>465</v>
      </c>
      <c r="Q18">
        <v>2035</v>
      </c>
      <c r="R18">
        <v>1</v>
      </c>
      <c r="S18" t="s">
        <v>469</v>
      </c>
      <c r="T18" t="s">
        <v>467</v>
      </c>
      <c r="U18" t="s">
        <v>594</v>
      </c>
      <c r="V18">
        <v>0</v>
      </c>
    </row>
    <row r="19" spans="1:22" x14ac:dyDescent="0.25">
      <c r="A19">
        <v>18</v>
      </c>
      <c r="B19" t="str">
        <f>RefCapacityProj!B19</f>
        <v>LOW</v>
      </c>
      <c r="C19">
        <f>RefCapacityProj!C19</f>
        <v>2035</v>
      </c>
      <c r="D19">
        <f>RefCapacityProj!D19</f>
        <v>3</v>
      </c>
      <c r="E19" t="str">
        <f>RefCapacityProj!E19</f>
        <v>HEAVY</v>
      </c>
      <c r="F19" t="str">
        <f>RefCapacityProj!F19</f>
        <v>SOUR</v>
      </c>
      <c r="G19">
        <f>RefCapacityProj!AG19</f>
        <v>653.57720075431212</v>
      </c>
      <c r="H19">
        <f>RefCapacityProj!AH19</f>
        <v>666.5137214314617</v>
      </c>
      <c r="I19">
        <f>RefCapacityProj!AI19</f>
        <v>305.84922712588525</v>
      </c>
      <c r="J19">
        <f>RefCapacityProj!AJ19</f>
        <v>777.98687259593373</v>
      </c>
      <c r="K19">
        <f>RefCapacityProj!AK19</f>
        <v>1663.3948481400043</v>
      </c>
      <c r="L19">
        <f>RefCapacityProj!AL19</f>
        <v>6.6099425128713918E-3</v>
      </c>
      <c r="M19">
        <f>RefCapacityProj!AM19</f>
        <v>4407.4818920318639</v>
      </c>
      <c r="P19" t="s">
        <v>465</v>
      </c>
      <c r="Q19">
        <v>2035</v>
      </c>
      <c r="R19">
        <v>1</v>
      </c>
      <c r="S19" t="s">
        <v>469</v>
      </c>
      <c r="T19" t="s">
        <v>467</v>
      </c>
      <c r="U19" t="s">
        <v>595</v>
      </c>
      <c r="V19">
        <v>83.29732181429867</v>
      </c>
    </row>
    <row r="20" spans="1:22" x14ac:dyDescent="0.25">
      <c r="A20">
        <v>19</v>
      </c>
      <c r="B20" t="str">
        <f>RefCapacityProj!B20</f>
        <v>LOW</v>
      </c>
      <c r="C20">
        <f>RefCapacityProj!C20</f>
        <v>2035</v>
      </c>
      <c r="D20">
        <f>RefCapacityProj!D20</f>
        <v>3</v>
      </c>
      <c r="E20" t="str">
        <f>RefCapacityProj!E20</f>
        <v>LIGHT</v>
      </c>
      <c r="F20" t="str">
        <f>RefCapacityProj!F20</f>
        <v>SWEET</v>
      </c>
      <c r="G20">
        <f>RefCapacityProj!AG20</f>
        <v>818.90133857978287</v>
      </c>
      <c r="H20">
        <f>RefCapacityProj!AH20</f>
        <v>927.5088238876989</v>
      </c>
      <c r="I20">
        <f>RefCapacityProj!AI20</f>
        <v>305.85516035670582</v>
      </c>
      <c r="J20">
        <f>RefCapacityProj!AJ20</f>
        <v>1379.0242050532147</v>
      </c>
      <c r="K20">
        <f>RefCapacityProj!AK20</f>
        <v>1828.6437956180544</v>
      </c>
      <c r="L20">
        <f>RefCapacityProj!AL20</f>
        <v>53.629988209043283</v>
      </c>
      <c r="M20">
        <f>RefCapacityProj!AM20</f>
        <v>2993.4424935979669</v>
      </c>
      <c r="P20" t="s">
        <v>465</v>
      </c>
      <c r="Q20">
        <v>2035</v>
      </c>
      <c r="R20">
        <v>1</v>
      </c>
      <c r="S20" t="s">
        <v>469</v>
      </c>
      <c r="T20" t="s">
        <v>467</v>
      </c>
      <c r="U20" t="s">
        <v>596</v>
      </c>
      <c r="V20">
        <v>58.267495958416603</v>
      </c>
    </row>
    <row r="21" spans="1:22" x14ac:dyDescent="0.25">
      <c r="A21">
        <v>20</v>
      </c>
      <c r="B21" t="str">
        <f>RefCapacityProj!B21</f>
        <v>LOW</v>
      </c>
      <c r="C21">
        <f>RefCapacityProj!C21</f>
        <v>2035</v>
      </c>
      <c r="D21">
        <f>RefCapacityProj!D21</f>
        <v>3</v>
      </c>
      <c r="E21" t="str">
        <f>RefCapacityProj!E21</f>
        <v>LIGHT</v>
      </c>
      <c r="F21" t="str">
        <f>RefCapacityProj!F21</f>
        <v>SOUR</v>
      </c>
      <c r="G21">
        <f>RefCapacityProj!AG21</f>
        <v>818.90133857978287</v>
      </c>
      <c r="H21">
        <f>RefCapacityProj!AH21</f>
        <v>927.5088238876989</v>
      </c>
      <c r="I21">
        <f>RefCapacityProj!AI21</f>
        <v>305.85516035670582</v>
      </c>
      <c r="J21">
        <f>RefCapacityProj!AJ21</f>
        <v>1379.0242050532147</v>
      </c>
      <c r="K21">
        <f>RefCapacityProj!AK21</f>
        <v>1828.6437956180544</v>
      </c>
      <c r="L21">
        <f>RefCapacityProj!AL21</f>
        <v>53.629988209043283</v>
      </c>
      <c r="M21">
        <f>RefCapacityProj!AM21</f>
        <v>2993.4424935979669</v>
      </c>
      <c r="P21" t="s">
        <v>465</v>
      </c>
      <c r="Q21">
        <v>2035</v>
      </c>
      <c r="R21">
        <v>1</v>
      </c>
      <c r="S21" t="s">
        <v>469</v>
      </c>
      <c r="T21" t="s">
        <v>467</v>
      </c>
      <c r="U21" t="s">
        <v>597</v>
      </c>
      <c r="V21">
        <v>0</v>
      </c>
    </row>
    <row r="22" spans="1:22" x14ac:dyDescent="0.25">
      <c r="A22">
        <v>21</v>
      </c>
      <c r="B22" t="str">
        <f>RefCapacityProj!B22</f>
        <v>LOW</v>
      </c>
      <c r="C22">
        <f>RefCapacityProj!C22</f>
        <v>2050</v>
      </c>
      <c r="D22">
        <f>RefCapacityProj!D22</f>
        <v>3</v>
      </c>
      <c r="E22" t="str">
        <f>RefCapacityProj!E22</f>
        <v>HEAVY</v>
      </c>
      <c r="F22" t="str">
        <f>RefCapacityProj!F22</f>
        <v>SWEET</v>
      </c>
      <c r="G22">
        <f>RefCapacityProj!AG22</f>
        <v>524.98586005351535</v>
      </c>
      <c r="H22">
        <f>RefCapacityProj!AH22</f>
        <v>651.28165208421024</v>
      </c>
      <c r="I22">
        <f>RefCapacityProj!AI22</f>
        <v>315.8815829100223</v>
      </c>
      <c r="J22">
        <f>RefCapacityProj!AJ22</f>
        <v>821.83186125789837</v>
      </c>
      <c r="K22">
        <f>RefCapacityProj!AK22</f>
        <v>1725.2652108193568</v>
      </c>
      <c r="L22">
        <f>RefCapacityProj!AL22</f>
        <v>7.2177124606499334E-3</v>
      </c>
      <c r="M22">
        <f>RefCapacityProj!AM22</f>
        <v>4529.6423745205293</v>
      </c>
      <c r="P22" t="s">
        <v>465</v>
      </c>
      <c r="Q22">
        <v>2035</v>
      </c>
      <c r="R22">
        <v>1</v>
      </c>
      <c r="S22" t="s">
        <v>469</v>
      </c>
      <c r="T22" t="s">
        <v>467</v>
      </c>
      <c r="U22" t="s">
        <v>598</v>
      </c>
      <c r="V22">
        <v>53.919786961497309</v>
      </c>
    </row>
    <row r="23" spans="1:22" x14ac:dyDescent="0.25">
      <c r="A23">
        <v>22</v>
      </c>
      <c r="B23" t="str">
        <f>RefCapacityProj!B23</f>
        <v>LOW</v>
      </c>
      <c r="C23">
        <f>RefCapacityProj!C23</f>
        <v>2050</v>
      </c>
      <c r="D23">
        <f>RefCapacityProj!D23</f>
        <v>3</v>
      </c>
      <c r="E23" t="str">
        <f>RefCapacityProj!E23</f>
        <v>HEAVY</v>
      </c>
      <c r="F23" t="str">
        <f>RefCapacityProj!F23</f>
        <v>SOUR</v>
      </c>
      <c r="G23">
        <f>RefCapacityProj!AG23</f>
        <v>524.98586005351535</v>
      </c>
      <c r="H23">
        <f>RefCapacityProj!AH23</f>
        <v>651.28165208421024</v>
      </c>
      <c r="I23">
        <f>RefCapacityProj!AI23</f>
        <v>315.8815829100223</v>
      </c>
      <c r="J23">
        <f>RefCapacityProj!AJ23</f>
        <v>821.83186125789837</v>
      </c>
      <c r="K23">
        <f>RefCapacityProj!AK23</f>
        <v>1725.2652108193568</v>
      </c>
      <c r="L23">
        <f>RefCapacityProj!AL23</f>
        <v>7.2177124606499334E-3</v>
      </c>
      <c r="M23">
        <f>RefCapacityProj!AM23</f>
        <v>4529.6423745205293</v>
      </c>
      <c r="P23" t="s">
        <v>465</v>
      </c>
      <c r="Q23">
        <v>2035</v>
      </c>
      <c r="R23">
        <v>1</v>
      </c>
      <c r="S23" t="s">
        <v>469</v>
      </c>
      <c r="T23" t="s">
        <v>468</v>
      </c>
      <c r="U23" t="s">
        <v>592</v>
      </c>
      <c r="V23">
        <v>90.959073204587185</v>
      </c>
    </row>
    <row r="24" spans="1:22" x14ac:dyDescent="0.25">
      <c r="A24">
        <v>23</v>
      </c>
      <c r="B24" t="str">
        <f>RefCapacityProj!B24</f>
        <v>LOW</v>
      </c>
      <c r="C24">
        <f>RefCapacityProj!C24</f>
        <v>2050</v>
      </c>
      <c r="D24">
        <f>RefCapacityProj!D24</f>
        <v>3</v>
      </c>
      <c r="E24" t="str">
        <f>RefCapacityProj!E24</f>
        <v>LIGHT</v>
      </c>
      <c r="F24" t="str">
        <f>RefCapacityProj!F24</f>
        <v>SWEET</v>
      </c>
      <c r="G24">
        <f>RefCapacityProj!AG24</f>
        <v>1212.1346752428269</v>
      </c>
      <c r="H24">
        <f>RefCapacityProj!AH24</f>
        <v>759.72797575357652</v>
      </c>
      <c r="I24">
        <f>RefCapacityProj!AI24</f>
        <v>315.87415017675528</v>
      </c>
      <c r="J24">
        <f>RefCapacityProj!AJ24</f>
        <v>634.78468860485441</v>
      </c>
      <c r="K24">
        <f>RefCapacityProj!AK24</f>
        <v>1496.3607368823516</v>
      </c>
      <c r="L24">
        <f>RefCapacityProj!AL24</f>
        <v>3.2539849613758397E-3</v>
      </c>
      <c r="M24">
        <f>RefCapacityProj!AM24</f>
        <v>4148.5279065860686</v>
      </c>
      <c r="P24" t="s">
        <v>465</v>
      </c>
      <c r="Q24">
        <v>2035</v>
      </c>
      <c r="R24">
        <v>1</v>
      </c>
      <c r="S24" t="s">
        <v>469</v>
      </c>
      <c r="T24" t="s">
        <v>468</v>
      </c>
      <c r="U24" t="s">
        <v>593</v>
      </c>
      <c r="V24">
        <v>354.64842055298772</v>
      </c>
    </row>
    <row r="25" spans="1:22" x14ac:dyDescent="0.25">
      <c r="A25">
        <v>24</v>
      </c>
      <c r="B25" t="str">
        <f>RefCapacityProj!B25</f>
        <v>LOW</v>
      </c>
      <c r="C25">
        <f>RefCapacityProj!C25</f>
        <v>2050</v>
      </c>
      <c r="D25">
        <f>RefCapacityProj!D25</f>
        <v>3</v>
      </c>
      <c r="E25" t="str">
        <f>RefCapacityProj!E25</f>
        <v>LIGHT</v>
      </c>
      <c r="F25" t="str">
        <f>RefCapacityProj!F25</f>
        <v>SOUR</v>
      </c>
      <c r="G25">
        <f>RefCapacityProj!AG25</f>
        <v>1212.1346752428269</v>
      </c>
      <c r="H25">
        <f>RefCapacityProj!AH25</f>
        <v>759.72797575357652</v>
      </c>
      <c r="I25">
        <f>RefCapacityProj!AI25</f>
        <v>315.87415017675528</v>
      </c>
      <c r="J25">
        <f>RefCapacityProj!AJ25</f>
        <v>634.78468860485441</v>
      </c>
      <c r="K25">
        <f>RefCapacityProj!AK25</f>
        <v>1496.3607368823516</v>
      </c>
      <c r="L25">
        <f>RefCapacityProj!AL25</f>
        <v>3.2539849613758397E-3</v>
      </c>
      <c r="M25">
        <f>RefCapacityProj!AM25</f>
        <v>4148.5279065860686</v>
      </c>
      <c r="P25" t="s">
        <v>465</v>
      </c>
      <c r="Q25">
        <v>2035</v>
      </c>
      <c r="R25">
        <v>1</v>
      </c>
      <c r="S25" t="s">
        <v>469</v>
      </c>
      <c r="T25" t="s">
        <v>468</v>
      </c>
      <c r="U25" t="s">
        <v>594</v>
      </c>
      <c r="V25">
        <v>0</v>
      </c>
    </row>
    <row r="26" spans="1:22" x14ac:dyDescent="0.25">
      <c r="A26">
        <v>25</v>
      </c>
      <c r="B26" t="str">
        <f>RefCapacityProj!B26</f>
        <v>LOW</v>
      </c>
      <c r="C26">
        <f>RefCapacityProj!C26</f>
        <v>2035</v>
      </c>
      <c r="D26">
        <f>RefCapacityProj!D26</f>
        <v>4</v>
      </c>
      <c r="E26" t="str">
        <f>RefCapacityProj!E26</f>
        <v>HEAVY</v>
      </c>
      <c r="F26" t="str">
        <f>RefCapacityProj!F26</f>
        <v>SWEET</v>
      </c>
      <c r="G26">
        <f>RefCapacityProj!AG26</f>
        <v>41.247209074374091</v>
      </c>
      <c r="H26">
        <f>RefCapacityProj!AH26</f>
        <v>311.65678471726608</v>
      </c>
      <c r="I26">
        <f>RefCapacityProj!AI26</f>
        <v>0</v>
      </c>
      <c r="J26">
        <f>RefCapacityProj!AJ26</f>
        <v>138.96474358920781</v>
      </c>
      <c r="K26">
        <f>RefCapacityProj!AK26</f>
        <v>162.30854184767787</v>
      </c>
      <c r="L26">
        <f>RefCapacityProj!AL26</f>
        <v>0</v>
      </c>
      <c r="M26">
        <f>RefCapacityProj!AM26</f>
        <v>7.3428630665131843E-11</v>
      </c>
      <c r="P26" t="s">
        <v>465</v>
      </c>
      <c r="Q26">
        <v>2035</v>
      </c>
      <c r="R26">
        <v>1</v>
      </c>
      <c r="S26" t="s">
        <v>469</v>
      </c>
      <c r="T26" t="s">
        <v>468</v>
      </c>
      <c r="U26" t="s">
        <v>595</v>
      </c>
      <c r="V26">
        <v>83.29732181429867</v>
      </c>
    </row>
    <row r="27" spans="1:22" x14ac:dyDescent="0.25">
      <c r="A27">
        <v>26</v>
      </c>
      <c r="B27" t="str">
        <f>RefCapacityProj!B27</f>
        <v>LOW</v>
      </c>
      <c r="C27">
        <f>RefCapacityProj!C27</f>
        <v>2035</v>
      </c>
      <c r="D27">
        <f>RefCapacityProj!D27</f>
        <v>4</v>
      </c>
      <c r="E27" t="str">
        <f>RefCapacityProj!E27</f>
        <v>HEAVY</v>
      </c>
      <c r="F27" t="str">
        <f>RefCapacityProj!F27</f>
        <v>SOUR</v>
      </c>
      <c r="G27">
        <f>RefCapacityProj!AG27</f>
        <v>41.247209074374091</v>
      </c>
      <c r="H27">
        <f>RefCapacityProj!AH27</f>
        <v>311.65678471726608</v>
      </c>
      <c r="I27">
        <f>RefCapacityProj!AI27</f>
        <v>0</v>
      </c>
      <c r="J27">
        <f>RefCapacityProj!AJ27</f>
        <v>138.96474358920781</v>
      </c>
      <c r="K27">
        <f>RefCapacityProj!AK27</f>
        <v>162.30854184767787</v>
      </c>
      <c r="L27">
        <f>RefCapacityProj!AL27</f>
        <v>0</v>
      </c>
      <c r="M27">
        <f>RefCapacityProj!AM27</f>
        <v>7.3428630665131843E-11</v>
      </c>
      <c r="P27" t="s">
        <v>465</v>
      </c>
      <c r="Q27">
        <v>2035</v>
      </c>
      <c r="R27">
        <v>1</v>
      </c>
      <c r="S27" t="s">
        <v>469</v>
      </c>
      <c r="T27" t="s">
        <v>468</v>
      </c>
      <c r="U27" t="s">
        <v>596</v>
      </c>
      <c r="V27">
        <v>58.267495958416603</v>
      </c>
    </row>
    <row r="28" spans="1:22" x14ac:dyDescent="0.25">
      <c r="A28">
        <v>27</v>
      </c>
      <c r="B28" t="str">
        <f>RefCapacityProj!B28</f>
        <v>LOW</v>
      </c>
      <c r="C28">
        <f>RefCapacityProj!C28</f>
        <v>2035</v>
      </c>
      <c r="D28">
        <f>RefCapacityProj!D28</f>
        <v>4</v>
      </c>
      <c r="E28" t="str">
        <f>RefCapacityProj!E28</f>
        <v>LIGHT</v>
      </c>
      <c r="F28" t="str">
        <f>RefCapacityProj!F28</f>
        <v>SWEET</v>
      </c>
      <c r="G28">
        <f>RefCapacityProj!AG28</f>
        <v>41.247209074410449</v>
      </c>
      <c r="H28">
        <f>RefCapacityProj!AH28</f>
        <v>311.65678471723101</v>
      </c>
      <c r="I28">
        <f>RefCapacityProj!AI28</f>
        <v>0</v>
      </c>
      <c r="J28">
        <f>RefCapacityProj!AJ28</f>
        <v>138.96474358945324</v>
      </c>
      <c r="K28">
        <f>RefCapacityProj!AK28</f>
        <v>162.3618236670888</v>
      </c>
      <c r="L28">
        <f>RefCapacityProj!AL28</f>
        <v>0</v>
      </c>
      <c r="M28">
        <f>RefCapacityProj!AM28</f>
        <v>7.9800740468368622E-11</v>
      </c>
      <c r="P28" t="s">
        <v>465</v>
      </c>
      <c r="Q28">
        <v>2035</v>
      </c>
      <c r="R28">
        <v>1</v>
      </c>
      <c r="S28" t="s">
        <v>469</v>
      </c>
      <c r="T28" t="s">
        <v>468</v>
      </c>
      <c r="U28" t="s">
        <v>597</v>
      </c>
      <c r="V28">
        <v>0</v>
      </c>
    </row>
    <row r="29" spans="1:22" x14ac:dyDescent="0.25">
      <c r="A29">
        <v>28</v>
      </c>
      <c r="B29" t="str">
        <f>RefCapacityProj!B29</f>
        <v>LOW</v>
      </c>
      <c r="C29">
        <f>RefCapacityProj!C29</f>
        <v>2035</v>
      </c>
      <c r="D29">
        <f>RefCapacityProj!D29</f>
        <v>4</v>
      </c>
      <c r="E29" t="str">
        <f>RefCapacityProj!E29</f>
        <v>LIGHT</v>
      </c>
      <c r="F29" t="str">
        <f>RefCapacityProj!F29</f>
        <v>SOUR</v>
      </c>
      <c r="G29">
        <f>RefCapacityProj!AG29</f>
        <v>41.247209074410449</v>
      </c>
      <c r="H29">
        <f>RefCapacityProj!AH29</f>
        <v>311.65678471723101</v>
      </c>
      <c r="I29">
        <f>RefCapacityProj!AI29</f>
        <v>0</v>
      </c>
      <c r="J29">
        <f>RefCapacityProj!AJ29</f>
        <v>138.96474358945324</v>
      </c>
      <c r="K29">
        <f>RefCapacityProj!AK29</f>
        <v>162.3618236670888</v>
      </c>
      <c r="L29">
        <f>RefCapacityProj!AL29</f>
        <v>0</v>
      </c>
      <c r="M29">
        <f>RefCapacityProj!AM29</f>
        <v>7.9800740468368622E-11</v>
      </c>
      <c r="P29" t="s">
        <v>465</v>
      </c>
      <c r="Q29">
        <v>2035</v>
      </c>
      <c r="R29">
        <v>1</v>
      </c>
      <c r="S29" t="s">
        <v>469</v>
      </c>
      <c r="T29" t="s">
        <v>468</v>
      </c>
      <c r="U29" t="s">
        <v>598</v>
      </c>
      <c r="V29">
        <v>53.919786961497309</v>
      </c>
    </row>
    <row r="30" spans="1:22" x14ac:dyDescent="0.25">
      <c r="A30">
        <v>29</v>
      </c>
      <c r="B30" t="str">
        <f>RefCapacityProj!B30</f>
        <v>LOW</v>
      </c>
      <c r="C30">
        <f>RefCapacityProj!C30</f>
        <v>2050</v>
      </c>
      <c r="D30">
        <f>RefCapacityProj!D30</f>
        <v>4</v>
      </c>
      <c r="E30" t="str">
        <f>RefCapacityProj!E30</f>
        <v>HEAVY</v>
      </c>
      <c r="F30" t="str">
        <f>RefCapacityProj!F30</f>
        <v>SWEET</v>
      </c>
      <c r="G30">
        <f>RefCapacityProj!AG30</f>
        <v>67.579418148747223</v>
      </c>
      <c r="H30">
        <f>RefCapacityProj!AH30</f>
        <v>392.11356943425875</v>
      </c>
      <c r="I30">
        <f>RefCapacityProj!AI30</f>
        <v>0</v>
      </c>
      <c r="J30">
        <f>RefCapacityProj!AJ30</f>
        <v>205.34948717726684</v>
      </c>
      <c r="K30">
        <f>RefCapacityProj!AK30</f>
        <v>13.094856883224784</v>
      </c>
      <c r="L30">
        <f>RefCapacityProj!AL30</f>
        <v>0</v>
      </c>
      <c r="M30">
        <f>RefCapacityProj!AM30</f>
        <v>6.102300632119987E-10</v>
      </c>
      <c r="P30" t="s">
        <v>465</v>
      </c>
      <c r="Q30">
        <v>2050</v>
      </c>
      <c r="R30">
        <v>1</v>
      </c>
      <c r="S30" t="s">
        <v>466</v>
      </c>
      <c r="T30" t="s">
        <v>467</v>
      </c>
      <c r="U30" t="s">
        <v>592</v>
      </c>
      <c r="V30">
        <v>25.741691901825451</v>
      </c>
    </row>
    <row r="31" spans="1:22" x14ac:dyDescent="0.25">
      <c r="A31">
        <v>30</v>
      </c>
      <c r="B31" t="str">
        <f>RefCapacityProj!B31</f>
        <v>LOW</v>
      </c>
      <c r="C31">
        <f>RefCapacityProj!C31</f>
        <v>2050</v>
      </c>
      <c r="D31">
        <f>RefCapacityProj!D31</f>
        <v>4</v>
      </c>
      <c r="E31" t="str">
        <f>RefCapacityProj!E31</f>
        <v>HEAVY</v>
      </c>
      <c r="F31" t="str">
        <f>RefCapacityProj!F31</f>
        <v>SOUR</v>
      </c>
      <c r="G31">
        <f>RefCapacityProj!AG31</f>
        <v>67.579418148747223</v>
      </c>
      <c r="H31">
        <f>RefCapacityProj!AH31</f>
        <v>392.11356943425875</v>
      </c>
      <c r="I31">
        <f>RefCapacityProj!AI31</f>
        <v>0</v>
      </c>
      <c r="J31">
        <f>RefCapacityProj!AJ31</f>
        <v>205.34948717726684</v>
      </c>
      <c r="K31">
        <f>RefCapacityProj!AK31</f>
        <v>13.094856883224784</v>
      </c>
      <c r="L31">
        <f>RefCapacityProj!AL31</f>
        <v>0</v>
      </c>
      <c r="M31">
        <f>RefCapacityProj!AM31</f>
        <v>6.102300632119987E-10</v>
      </c>
      <c r="P31" t="s">
        <v>465</v>
      </c>
      <c r="Q31">
        <v>2050</v>
      </c>
      <c r="R31">
        <v>1</v>
      </c>
      <c r="S31" t="s">
        <v>466</v>
      </c>
      <c r="T31" t="s">
        <v>467</v>
      </c>
      <c r="U31" t="s">
        <v>593</v>
      </c>
      <c r="V31">
        <v>345.50279782437843</v>
      </c>
    </row>
    <row r="32" spans="1:22" x14ac:dyDescent="0.25">
      <c r="A32">
        <v>31</v>
      </c>
      <c r="B32" t="str">
        <f>RefCapacityProj!B32</f>
        <v>LOW</v>
      </c>
      <c r="C32">
        <f>RefCapacityProj!C32</f>
        <v>2050</v>
      </c>
      <c r="D32">
        <f>RefCapacityProj!D32</f>
        <v>4</v>
      </c>
      <c r="E32" t="str">
        <f>RefCapacityProj!E32</f>
        <v>LIGHT</v>
      </c>
      <c r="F32" t="str">
        <f>RefCapacityProj!F32</f>
        <v>SWEET</v>
      </c>
      <c r="G32">
        <f>RefCapacityProj!AG32</f>
        <v>67.579418148754712</v>
      </c>
      <c r="H32">
        <f>RefCapacityProj!AH32</f>
        <v>392.1135694342791</v>
      </c>
      <c r="I32">
        <f>RefCapacityProj!AI32</f>
        <v>0</v>
      </c>
      <c r="J32">
        <f>RefCapacityProj!AJ32</f>
        <v>205.34948717743092</v>
      </c>
      <c r="K32">
        <f>RefCapacityProj!AK32</f>
        <v>13.129103343605934</v>
      </c>
      <c r="L32">
        <f>RefCapacityProj!AL32</f>
        <v>0</v>
      </c>
      <c r="M32">
        <f>RefCapacityProj!AM32</f>
        <v>5.6521976483622757E-10</v>
      </c>
      <c r="P32" t="s">
        <v>465</v>
      </c>
      <c r="Q32">
        <v>2050</v>
      </c>
      <c r="R32">
        <v>1</v>
      </c>
      <c r="S32" t="s">
        <v>466</v>
      </c>
      <c r="T32" t="s">
        <v>467</v>
      </c>
      <c r="U32" t="s">
        <v>594</v>
      </c>
      <c r="V32">
        <v>0</v>
      </c>
    </row>
    <row r="33" spans="1:22" x14ac:dyDescent="0.25">
      <c r="A33">
        <v>32</v>
      </c>
      <c r="B33" t="str">
        <f>RefCapacityProj!B33</f>
        <v>LOW</v>
      </c>
      <c r="C33">
        <f>RefCapacityProj!C33</f>
        <v>2050</v>
      </c>
      <c r="D33">
        <f>RefCapacityProj!D33</f>
        <v>4</v>
      </c>
      <c r="E33" t="str">
        <f>RefCapacityProj!E33</f>
        <v>LIGHT</v>
      </c>
      <c r="F33" t="str">
        <f>RefCapacityProj!F33</f>
        <v>SOUR</v>
      </c>
      <c r="G33">
        <f>RefCapacityProj!AG33</f>
        <v>67.579418148754712</v>
      </c>
      <c r="H33">
        <f>RefCapacityProj!AH33</f>
        <v>392.1135694342791</v>
      </c>
      <c r="I33">
        <f>RefCapacityProj!AI33</f>
        <v>0</v>
      </c>
      <c r="J33">
        <f>RefCapacityProj!AJ33</f>
        <v>205.34948717743092</v>
      </c>
      <c r="K33">
        <f>RefCapacityProj!AK33</f>
        <v>13.129103343605934</v>
      </c>
      <c r="L33">
        <f>RefCapacityProj!AL33</f>
        <v>0</v>
      </c>
      <c r="M33">
        <f>RefCapacityProj!AM33</f>
        <v>5.6521976483622757E-10</v>
      </c>
      <c r="P33" t="s">
        <v>465</v>
      </c>
      <c r="Q33">
        <v>2050</v>
      </c>
      <c r="R33">
        <v>1</v>
      </c>
      <c r="S33" t="s">
        <v>466</v>
      </c>
      <c r="T33" t="s">
        <v>467</v>
      </c>
      <c r="U33" t="s">
        <v>595</v>
      </c>
      <c r="V33">
        <v>100.73939415161627</v>
      </c>
    </row>
    <row r="34" spans="1:22" x14ac:dyDescent="0.25">
      <c r="A34">
        <v>33</v>
      </c>
      <c r="B34" t="str">
        <f>RefCapacityProj!B34</f>
        <v>LOW</v>
      </c>
      <c r="C34">
        <f>RefCapacityProj!C34</f>
        <v>2035</v>
      </c>
      <c r="D34">
        <f>RefCapacityProj!D34</f>
        <v>5</v>
      </c>
      <c r="E34" t="str">
        <f>RefCapacityProj!E34</f>
        <v>HEAVY</v>
      </c>
      <c r="F34" t="str">
        <f>RefCapacityProj!F34</f>
        <v>SWEET</v>
      </c>
      <c r="G34">
        <f>RefCapacityProj!AG34</f>
        <v>539.89181304250531</v>
      </c>
      <c r="H34">
        <f>RefCapacityProj!AH34</f>
        <v>301.95121010662348</v>
      </c>
      <c r="I34">
        <f>RefCapacityProj!AI34</f>
        <v>252.01742846855842</v>
      </c>
      <c r="J34">
        <f>RefCapacityProj!AJ34</f>
        <v>492.06309040250432</v>
      </c>
      <c r="K34">
        <f>RefCapacityProj!AK34</f>
        <v>278.37419353373269</v>
      </c>
      <c r="L34">
        <f>RefCapacityProj!AL34</f>
        <v>505.88851672020553</v>
      </c>
      <c r="M34">
        <f>RefCapacityProj!AM34</f>
        <v>363.79353643404363</v>
      </c>
      <c r="P34" t="s">
        <v>465</v>
      </c>
      <c r="Q34">
        <v>2050</v>
      </c>
      <c r="R34">
        <v>1</v>
      </c>
      <c r="S34" t="s">
        <v>466</v>
      </c>
      <c r="T34" t="s">
        <v>467</v>
      </c>
      <c r="U34" t="s">
        <v>596</v>
      </c>
      <c r="V34">
        <v>79.525802009743614</v>
      </c>
    </row>
    <row r="35" spans="1:22" x14ac:dyDescent="0.25">
      <c r="A35">
        <v>34</v>
      </c>
      <c r="B35" t="str">
        <f>RefCapacityProj!B35</f>
        <v>LOW</v>
      </c>
      <c r="C35">
        <f>RefCapacityProj!C35</f>
        <v>2035</v>
      </c>
      <c r="D35">
        <f>RefCapacityProj!D35</f>
        <v>5</v>
      </c>
      <c r="E35" t="str">
        <f>RefCapacityProj!E35</f>
        <v>HEAVY</v>
      </c>
      <c r="F35" t="str">
        <f>RefCapacityProj!F35</f>
        <v>SOUR</v>
      </c>
      <c r="G35">
        <f>RefCapacityProj!AG35</f>
        <v>539.89181304250531</v>
      </c>
      <c r="H35">
        <f>RefCapacityProj!AH35</f>
        <v>301.95121010662348</v>
      </c>
      <c r="I35">
        <f>RefCapacityProj!AI35</f>
        <v>252.01742846855842</v>
      </c>
      <c r="J35">
        <f>RefCapacityProj!AJ35</f>
        <v>492.06309040250432</v>
      </c>
      <c r="K35">
        <f>RefCapacityProj!AK35</f>
        <v>278.37419353373269</v>
      </c>
      <c r="L35">
        <f>RefCapacityProj!AL35</f>
        <v>505.88851672020553</v>
      </c>
      <c r="M35">
        <f>RefCapacityProj!AM35</f>
        <v>363.79353643404363</v>
      </c>
      <c r="P35" t="s">
        <v>465</v>
      </c>
      <c r="Q35">
        <v>2050</v>
      </c>
      <c r="R35">
        <v>1</v>
      </c>
      <c r="S35" t="s">
        <v>466</v>
      </c>
      <c r="T35" t="s">
        <v>467</v>
      </c>
      <c r="U35" t="s">
        <v>597</v>
      </c>
      <c r="V35">
        <v>0</v>
      </c>
    </row>
    <row r="36" spans="1:22" x14ac:dyDescent="0.25">
      <c r="A36">
        <v>35</v>
      </c>
      <c r="B36" t="str">
        <f>RefCapacityProj!B36</f>
        <v>LOW</v>
      </c>
      <c r="C36">
        <f>RefCapacityProj!C36</f>
        <v>2035</v>
      </c>
      <c r="D36">
        <f>RefCapacityProj!D36</f>
        <v>5</v>
      </c>
      <c r="E36" t="str">
        <f>RefCapacityProj!E36</f>
        <v>LIGHT</v>
      </c>
      <c r="F36" t="str">
        <f>RefCapacityProj!F36</f>
        <v>SWEET</v>
      </c>
      <c r="G36">
        <f>RefCapacityProj!AG36</f>
        <v>539.89180844892269</v>
      </c>
      <c r="H36">
        <f>RefCapacityProj!AH36</f>
        <v>301.95118830941209</v>
      </c>
      <c r="I36">
        <f>RefCapacityProj!AI36</f>
        <v>252.0174178020404</v>
      </c>
      <c r="J36">
        <f>RefCapacityProj!AJ36</f>
        <v>492.06308102903228</v>
      </c>
      <c r="K36">
        <f>RefCapacityProj!AK36</f>
        <v>56.393176359510598</v>
      </c>
      <c r="L36">
        <f>RefCapacityProj!AL36</f>
        <v>505.88849403224742</v>
      </c>
      <c r="M36">
        <f>RefCapacityProj!AM36</f>
        <v>585.77514146880856</v>
      </c>
      <c r="P36" t="s">
        <v>465</v>
      </c>
      <c r="Q36">
        <v>2050</v>
      </c>
      <c r="R36">
        <v>1</v>
      </c>
      <c r="S36" t="s">
        <v>466</v>
      </c>
      <c r="T36" t="s">
        <v>467</v>
      </c>
      <c r="U36" t="s">
        <v>598</v>
      </c>
      <c r="V36">
        <v>89.641283699212025</v>
      </c>
    </row>
    <row r="37" spans="1:22" x14ac:dyDescent="0.25">
      <c r="A37">
        <v>36</v>
      </c>
      <c r="B37" t="str">
        <f>RefCapacityProj!B37</f>
        <v>LOW</v>
      </c>
      <c r="C37">
        <f>RefCapacityProj!C37</f>
        <v>2035</v>
      </c>
      <c r="D37">
        <f>RefCapacityProj!D37</f>
        <v>5</v>
      </c>
      <c r="E37" t="str">
        <f>RefCapacityProj!E37</f>
        <v>LIGHT</v>
      </c>
      <c r="F37" t="str">
        <f>RefCapacityProj!F37</f>
        <v>SOUR</v>
      </c>
      <c r="G37">
        <f>RefCapacityProj!AG37</f>
        <v>539.89180844892269</v>
      </c>
      <c r="H37">
        <f>RefCapacityProj!AH37</f>
        <v>301.95118830941209</v>
      </c>
      <c r="I37">
        <f>RefCapacityProj!AI37</f>
        <v>252.0174178020404</v>
      </c>
      <c r="J37">
        <f>RefCapacityProj!AJ37</f>
        <v>492.06308102903228</v>
      </c>
      <c r="K37">
        <f>RefCapacityProj!AK37</f>
        <v>56.393176359510598</v>
      </c>
      <c r="L37">
        <f>RefCapacityProj!AL37</f>
        <v>505.88849403224742</v>
      </c>
      <c r="M37">
        <f>RefCapacityProj!AM37</f>
        <v>585.77514146880856</v>
      </c>
      <c r="P37" t="s">
        <v>465</v>
      </c>
      <c r="Q37">
        <v>2050</v>
      </c>
      <c r="R37">
        <v>1</v>
      </c>
      <c r="S37" t="s">
        <v>466</v>
      </c>
      <c r="T37" t="s">
        <v>468</v>
      </c>
      <c r="U37" t="s">
        <v>592</v>
      </c>
      <c r="V37">
        <v>25.741691901825451</v>
      </c>
    </row>
    <row r="38" spans="1:22" x14ac:dyDescent="0.25">
      <c r="A38">
        <v>37</v>
      </c>
      <c r="B38" t="str">
        <f>RefCapacityProj!B38</f>
        <v>LOW</v>
      </c>
      <c r="C38">
        <f>RefCapacityProj!C38</f>
        <v>2050</v>
      </c>
      <c r="D38">
        <f>RefCapacityProj!D38</f>
        <v>5</v>
      </c>
      <c r="E38" t="str">
        <f>RefCapacityProj!E38</f>
        <v>HEAVY</v>
      </c>
      <c r="F38" t="str">
        <f>RefCapacityProj!F38</f>
        <v>SWEET</v>
      </c>
      <c r="G38">
        <f>RefCapacityProj!AG38</f>
        <v>843.41276176594806</v>
      </c>
      <c r="H38">
        <f>RefCapacityProj!AH38</f>
        <v>354.93971997336962</v>
      </c>
      <c r="I38">
        <f>RefCapacityProj!AI38</f>
        <v>260.28115428676932</v>
      </c>
      <c r="J38">
        <f>RefCapacityProj!AJ38</f>
        <v>123.87792576805181</v>
      </c>
      <c r="K38">
        <f>RefCapacityProj!AK38</f>
        <v>54.739741647133542</v>
      </c>
      <c r="L38">
        <f>RefCapacityProj!AL38</f>
        <v>154.48625690453457</v>
      </c>
      <c r="M38">
        <f>RefCapacityProj!AM38</f>
        <v>1039.7080345746347</v>
      </c>
      <c r="P38" t="s">
        <v>465</v>
      </c>
      <c r="Q38">
        <v>2050</v>
      </c>
      <c r="R38">
        <v>1</v>
      </c>
      <c r="S38" t="s">
        <v>466</v>
      </c>
      <c r="T38" t="s">
        <v>468</v>
      </c>
      <c r="U38" t="s">
        <v>593</v>
      </c>
      <c r="V38">
        <v>345.50279782437843</v>
      </c>
    </row>
    <row r="39" spans="1:22" x14ac:dyDescent="0.25">
      <c r="A39">
        <v>38</v>
      </c>
      <c r="B39" t="str">
        <f>RefCapacityProj!B39</f>
        <v>LOW</v>
      </c>
      <c r="C39">
        <f>RefCapacityProj!C39</f>
        <v>2050</v>
      </c>
      <c r="D39">
        <f>RefCapacityProj!D39</f>
        <v>5</v>
      </c>
      <c r="E39" t="str">
        <f>RefCapacityProj!E39</f>
        <v>HEAVY</v>
      </c>
      <c r="F39" t="str">
        <f>RefCapacityProj!F39</f>
        <v>SOUR</v>
      </c>
      <c r="G39">
        <f>RefCapacityProj!AG39</f>
        <v>843.41276176594806</v>
      </c>
      <c r="H39">
        <f>RefCapacityProj!AH39</f>
        <v>354.93971997336962</v>
      </c>
      <c r="I39">
        <f>RefCapacityProj!AI39</f>
        <v>260.28115428676932</v>
      </c>
      <c r="J39">
        <f>RefCapacityProj!AJ39</f>
        <v>123.87792576805181</v>
      </c>
      <c r="K39">
        <f>RefCapacityProj!AK39</f>
        <v>54.739741647133542</v>
      </c>
      <c r="L39">
        <f>RefCapacityProj!AL39</f>
        <v>154.48625690453457</v>
      </c>
      <c r="M39">
        <f>RefCapacityProj!AM39</f>
        <v>1039.7080345746347</v>
      </c>
      <c r="P39" t="s">
        <v>465</v>
      </c>
      <c r="Q39">
        <v>2050</v>
      </c>
      <c r="R39">
        <v>1</v>
      </c>
      <c r="S39" t="s">
        <v>466</v>
      </c>
      <c r="T39" t="s">
        <v>468</v>
      </c>
      <c r="U39" t="s">
        <v>594</v>
      </c>
      <c r="V39">
        <v>0</v>
      </c>
    </row>
    <row r="40" spans="1:22" x14ac:dyDescent="0.25">
      <c r="A40">
        <v>39</v>
      </c>
      <c r="B40" t="str">
        <f>RefCapacityProj!B40</f>
        <v>LOW</v>
      </c>
      <c r="C40">
        <f>RefCapacityProj!C40</f>
        <v>2050</v>
      </c>
      <c r="D40">
        <f>RefCapacityProj!D40</f>
        <v>5</v>
      </c>
      <c r="E40" t="str">
        <f>RefCapacityProj!E40</f>
        <v>LIGHT</v>
      </c>
      <c r="F40" t="str">
        <f>RefCapacityProj!F40</f>
        <v>SWEET</v>
      </c>
      <c r="G40">
        <f>RefCapacityProj!AG40</f>
        <v>532.76454242210013</v>
      </c>
      <c r="H40">
        <f>RefCapacityProj!AH40</f>
        <v>290.25307096801936</v>
      </c>
      <c r="I40">
        <f>RefCapacityProj!AI40</f>
        <v>260.27984205068401</v>
      </c>
      <c r="J40">
        <f>RefCapacityProj!AJ40</f>
        <v>184.45435883747342</v>
      </c>
      <c r="K40">
        <f>RefCapacityProj!AK40</f>
        <v>132.97482294251103</v>
      </c>
      <c r="L40">
        <f>RefCapacityProj!AL40</f>
        <v>247.6077300856991</v>
      </c>
      <c r="M40">
        <f>RefCapacityProj!AM40</f>
        <v>1182.7347450469808</v>
      </c>
      <c r="P40" t="s">
        <v>465</v>
      </c>
      <c r="Q40">
        <v>2050</v>
      </c>
      <c r="R40">
        <v>1</v>
      </c>
      <c r="S40" t="s">
        <v>466</v>
      </c>
      <c r="T40" t="s">
        <v>468</v>
      </c>
      <c r="U40" t="s">
        <v>595</v>
      </c>
      <c r="V40">
        <v>100.73939415161627</v>
      </c>
    </row>
    <row r="41" spans="1:22" x14ac:dyDescent="0.25">
      <c r="A41">
        <v>40</v>
      </c>
      <c r="B41" t="str">
        <f>RefCapacityProj!B41</f>
        <v>LOW</v>
      </c>
      <c r="C41">
        <f>RefCapacityProj!C41</f>
        <v>2050</v>
      </c>
      <c r="D41">
        <f>RefCapacityProj!D41</f>
        <v>5</v>
      </c>
      <c r="E41" t="str">
        <f>RefCapacityProj!E41</f>
        <v>LIGHT</v>
      </c>
      <c r="F41" t="str">
        <f>RefCapacityProj!F41</f>
        <v>SOUR</v>
      </c>
      <c r="G41">
        <f>RefCapacityProj!AG41</f>
        <v>532.76454242210013</v>
      </c>
      <c r="H41">
        <f>RefCapacityProj!AH41</f>
        <v>290.25307096801936</v>
      </c>
      <c r="I41">
        <f>RefCapacityProj!AI41</f>
        <v>260.27984205068401</v>
      </c>
      <c r="J41">
        <f>RefCapacityProj!AJ41</f>
        <v>184.45435883747342</v>
      </c>
      <c r="K41">
        <f>RefCapacityProj!AK41</f>
        <v>132.97482294251103</v>
      </c>
      <c r="L41">
        <f>RefCapacityProj!AL41</f>
        <v>247.6077300856991</v>
      </c>
      <c r="M41">
        <f>RefCapacityProj!AM41</f>
        <v>1182.7347450469808</v>
      </c>
      <c r="P41" t="s">
        <v>465</v>
      </c>
      <c r="Q41">
        <v>2050</v>
      </c>
      <c r="R41">
        <v>1</v>
      </c>
      <c r="S41" t="s">
        <v>466</v>
      </c>
      <c r="T41" t="s">
        <v>468</v>
      </c>
      <c r="U41" t="s">
        <v>596</v>
      </c>
      <c r="V41">
        <v>79.525802009743614</v>
      </c>
    </row>
    <row r="42" spans="1:22" x14ac:dyDescent="0.25">
      <c r="A42">
        <v>41</v>
      </c>
      <c r="B42" t="str">
        <f>RefCapacityProj!B42</f>
        <v>MEDIUM</v>
      </c>
      <c r="C42">
        <f>RefCapacityProj!C42</f>
        <v>2035</v>
      </c>
      <c r="D42">
        <f>RefCapacityProj!D42</f>
        <v>1</v>
      </c>
      <c r="E42" t="str">
        <f>RefCapacityProj!E42</f>
        <v>HEAVY</v>
      </c>
      <c r="F42" t="str">
        <f>RefCapacityProj!F42</f>
        <v>SWEET</v>
      </c>
      <c r="G42">
        <f>RefCapacityProj!AG42</f>
        <v>31.797506701249795</v>
      </c>
      <c r="H42">
        <f>RefCapacityProj!AH42</f>
        <v>277.14411541541801</v>
      </c>
      <c r="I42">
        <f>RefCapacityProj!AI42</f>
        <v>0</v>
      </c>
      <c r="J42">
        <f>RefCapacityProj!AJ42</f>
        <v>77.559055484078357</v>
      </c>
      <c r="K42">
        <f>RefCapacityProj!AK42</f>
        <v>60.003679356076788</v>
      </c>
      <c r="L42">
        <f>RefCapacityProj!AL42</f>
        <v>0</v>
      </c>
      <c r="M42">
        <f>RefCapacityProj!AM42</f>
        <v>65.614813113844079</v>
      </c>
      <c r="P42" t="s">
        <v>465</v>
      </c>
      <c r="Q42">
        <v>2050</v>
      </c>
      <c r="R42">
        <v>1</v>
      </c>
      <c r="S42" t="s">
        <v>466</v>
      </c>
      <c r="T42" t="s">
        <v>468</v>
      </c>
      <c r="U42" t="s">
        <v>597</v>
      </c>
      <c r="V42">
        <v>0</v>
      </c>
    </row>
    <row r="43" spans="1:22" x14ac:dyDescent="0.25">
      <c r="A43">
        <v>42</v>
      </c>
      <c r="B43" t="str">
        <f>RefCapacityProj!B43</f>
        <v>MEDIUM</v>
      </c>
      <c r="C43">
        <f>RefCapacityProj!C43</f>
        <v>2035</v>
      </c>
      <c r="D43">
        <f>RefCapacityProj!D43</f>
        <v>1</v>
      </c>
      <c r="E43" t="str">
        <f>RefCapacityProj!E43</f>
        <v>HEAVY</v>
      </c>
      <c r="F43" t="str">
        <f>RefCapacityProj!F43</f>
        <v>SOUR</v>
      </c>
      <c r="G43">
        <f>RefCapacityProj!AG43</f>
        <v>31.797506701249795</v>
      </c>
      <c r="H43">
        <f>RefCapacityProj!AH43</f>
        <v>277.14411541541801</v>
      </c>
      <c r="I43">
        <f>RefCapacityProj!AI43</f>
        <v>0</v>
      </c>
      <c r="J43">
        <f>RefCapacityProj!AJ43</f>
        <v>77.559055484078357</v>
      </c>
      <c r="K43">
        <f>RefCapacityProj!AK43</f>
        <v>60.003679356076788</v>
      </c>
      <c r="L43">
        <f>RefCapacityProj!AL43</f>
        <v>0</v>
      </c>
      <c r="M43">
        <f>RefCapacityProj!AM43</f>
        <v>65.614813113844079</v>
      </c>
      <c r="P43" t="s">
        <v>465</v>
      </c>
      <c r="Q43">
        <v>2050</v>
      </c>
      <c r="R43">
        <v>1</v>
      </c>
      <c r="S43" t="s">
        <v>466</v>
      </c>
      <c r="T43" t="s">
        <v>468</v>
      </c>
      <c r="U43" t="s">
        <v>598</v>
      </c>
      <c r="V43">
        <v>89.641283699212025</v>
      </c>
    </row>
    <row r="44" spans="1:22" x14ac:dyDescent="0.25">
      <c r="A44">
        <v>43</v>
      </c>
      <c r="B44" t="str">
        <f>RefCapacityProj!B44</f>
        <v>MEDIUM</v>
      </c>
      <c r="C44">
        <f>RefCapacityProj!C44</f>
        <v>2035</v>
      </c>
      <c r="D44">
        <f>RefCapacityProj!D44</f>
        <v>1</v>
      </c>
      <c r="E44" t="str">
        <f>RefCapacityProj!E44</f>
        <v>LIGHT</v>
      </c>
      <c r="F44" t="str">
        <f>RefCapacityProj!F44</f>
        <v>SWEET</v>
      </c>
      <c r="G44">
        <f>RefCapacityProj!AG44</f>
        <v>78.662322399776414</v>
      </c>
      <c r="H44">
        <f>RefCapacityProj!AH44</f>
        <v>284.84224581276931</v>
      </c>
      <c r="I44">
        <f>RefCapacityProj!AI44</f>
        <v>0</v>
      </c>
      <c r="J44">
        <f>RefCapacityProj!AJ44</f>
        <v>65.076985304232991</v>
      </c>
      <c r="K44">
        <f>RefCapacityProj!AK44</f>
        <v>44.686741748434663</v>
      </c>
      <c r="L44">
        <f>RefCapacityProj!AL44</f>
        <v>0</v>
      </c>
      <c r="M44">
        <f>RefCapacityProj!AM44</f>
        <v>39.928065339282625</v>
      </c>
      <c r="P44" t="s">
        <v>465</v>
      </c>
      <c r="Q44">
        <v>2050</v>
      </c>
      <c r="R44">
        <v>1</v>
      </c>
      <c r="S44" t="s">
        <v>469</v>
      </c>
      <c r="T44" t="s">
        <v>467</v>
      </c>
      <c r="U44" t="s">
        <v>592</v>
      </c>
      <c r="V44">
        <v>110.51248037603982</v>
      </c>
    </row>
    <row r="45" spans="1:22" x14ac:dyDescent="0.25">
      <c r="A45">
        <v>44</v>
      </c>
      <c r="B45" t="str">
        <f>RefCapacityProj!B45</f>
        <v>MEDIUM</v>
      </c>
      <c r="C45">
        <f>RefCapacityProj!C45</f>
        <v>2035</v>
      </c>
      <c r="D45">
        <f>RefCapacityProj!D45</f>
        <v>1</v>
      </c>
      <c r="E45" t="str">
        <f>RefCapacityProj!E45</f>
        <v>LIGHT</v>
      </c>
      <c r="F45" t="str">
        <f>RefCapacityProj!F45</f>
        <v>SOUR</v>
      </c>
      <c r="G45">
        <f>RefCapacityProj!AG45</f>
        <v>78.662322399776414</v>
      </c>
      <c r="H45">
        <f>RefCapacityProj!AH45</f>
        <v>284.84224581276931</v>
      </c>
      <c r="I45">
        <f>RefCapacityProj!AI45</f>
        <v>0</v>
      </c>
      <c r="J45">
        <f>RefCapacityProj!AJ45</f>
        <v>65.076985304232991</v>
      </c>
      <c r="K45">
        <f>RefCapacityProj!AK45</f>
        <v>44.686741748434663</v>
      </c>
      <c r="L45">
        <f>RefCapacityProj!AL45</f>
        <v>0</v>
      </c>
      <c r="M45">
        <f>RefCapacityProj!AM45</f>
        <v>39.928065339282625</v>
      </c>
      <c r="P45" t="s">
        <v>465</v>
      </c>
      <c r="Q45">
        <v>2050</v>
      </c>
      <c r="R45">
        <v>1</v>
      </c>
      <c r="S45" t="s">
        <v>469</v>
      </c>
      <c r="T45" t="s">
        <v>467</v>
      </c>
      <c r="U45" t="s">
        <v>593</v>
      </c>
      <c r="V45">
        <v>359.69138747853333</v>
      </c>
    </row>
    <row r="46" spans="1:22" x14ac:dyDescent="0.25">
      <c r="A46">
        <v>45</v>
      </c>
      <c r="B46" t="str">
        <f>RefCapacityProj!B46</f>
        <v>MEDIUM</v>
      </c>
      <c r="C46">
        <f>RefCapacityProj!C46</f>
        <v>2050</v>
      </c>
      <c r="D46">
        <f>RefCapacityProj!D46</f>
        <v>1</v>
      </c>
      <c r="E46" t="str">
        <f>RefCapacityProj!E46</f>
        <v>HEAVY</v>
      </c>
      <c r="F46" t="str">
        <f>RefCapacityProj!F46</f>
        <v>SWEET</v>
      </c>
      <c r="G46">
        <f>RefCapacityProj!AG46</f>
        <v>27.006337577694442</v>
      </c>
      <c r="H46">
        <f>RefCapacityProj!AH46</f>
        <v>234.70830464958354</v>
      </c>
      <c r="I46">
        <f>RefCapacityProj!AI46</f>
        <v>0</v>
      </c>
      <c r="J46">
        <f>RefCapacityProj!AJ46</f>
        <v>65.604787544750337</v>
      </c>
      <c r="K46">
        <f>RefCapacityProj!AK46</f>
        <v>50.727911303009996</v>
      </c>
      <c r="L46">
        <f>RefCapacityProj!AL46</f>
        <v>0</v>
      </c>
      <c r="M46">
        <f>RefCapacityProj!AM46</f>
        <v>55.451180806042572</v>
      </c>
      <c r="P46" t="s">
        <v>465</v>
      </c>
      <c r="Q46">
        <v>2050</v>
      </c>
      <c r="R46">
        <v>1</v>
      </c>
      <c r="S46" t="s">
        <v>469</v>
      </c>
      <c r="T46" t="s">
        <v>467</v>
      </c>
      <c r="U46" t="s">
        <v>594</v>
      </c>
      <c r="V46">
        <v>0</v>
      </c>
    </row>
    <row r="47" spans="1:22" x14ac:dyDescent="0.25">
      <c r="A47">
        <v>46</v>
      </c>
      <c r="B47" t="str">
        <f>RefCapacityProj!B47</f>
        <v>MEDIUM</v>
      </c>
      <c r="C47">
        <f>RefCapacityProj!C47</f>
        <v>2050</v>
      </c>
      <c r="D47">
        <f>RefCapacityProj!D47</f>
        <v>1</v>
      </c>
      <c r="E47" t="str">
        <f>RefCapacityProj!E47</f>
        <v>HEAVY</v>
      </c>
      <c r="F47" t="str">
        <f>RefCapacityProj!F47</f>
        <v>SOUR</v>
      </c>
      <c r="G47">
        <f>RefCapacityProj!AG47</f>
        <v>27.006337577694442</v>
      </c>
      <c r="H47">
        <f>RefCapacityProj!AH47</f>
        <v>234.70830464958354</v>
      </c>
      <c r="I47">
        <f>RefCapacityProj!AI47</f>
        <v>0</v>
      </c>
      <c r="J47">
        <f>RefCapacityProj!AJ47</f>
        <v>65.604787544750337</v>
      </c>
      <c r="K47">
        <f>RefCapacityProj!AK47</f>
        <v>50.727911303009996</v>
      </c>
      <c r="L47">
        <f>RefCapacityProj!AL47</f>
        <v>0</v>
      </c>
      <c r="M47">
        <f>RefCapacityProj!AM47</f>
        <v>55.451180806042572</v>
      </c>
      <c r="P47" t="s">
        <v>465</v>
      </c>
      <c r="Q47">
        <v>2050</v>
      </c>
      <c r="R47">
        <v>1</v>
      </c>
      <c r="S47" t="s">
        <v>469</v>
      </c>
      <c r="T47" t="s">
        <v>467</v>
      </c>
      <c r="U47" t="s">
        <v>595</v>
      </c>
      <c r="V47">
        <v>78.656780792349181</v>
      </c>
    </row>
    <row r="48" spans="1:22" x14ac:dyDescent="0.25">
      <c r="A48">
        <v>47</v>
      </c>
      <c r="B48" t="str">
        <f>RefCapacityProj!B48</f>
        <v>MEDIUM</v>
      </c>
      <c r="C48">
        <f>RefCapacityProj!C48</f>
        <v>2050</v>
      </c>
      <c r="D48">
        <f>RefCapacityProj!D48</f>
        <v>1</v>
      </c>
      <c r="E48" t="str">
        <f>RefCapacityProj!E48</f>
        <v>LIGHT</v>
      </c>
      <c r="F48" t="str">
        <f>RefCapacityProj!F48</f>
        <v>SWEET</v>
      </c>
      <c r="G48">
        <f>RefCapacityProj!AG48</f>
        <v>83.861243805622564</v>
      </c>
      <c r="H48">
        <f>RefCapacityProj!AH48</f>
        <v>243.9993645510765</v>
      </c>
      <c r="I48">
        <f>RefCapacityProj!AI48</f>
        <v>0</v>
      </c>
      <c r="J48">
        <f>RefCapacityProj!AJ48</f>
        <v>50.403085343875077</v>
      </c>
      <c r="K48">
        <f>RefCapacityProj!AK48</f>
        <v>32.086865193458195</v>
      </c>
      <c r="L48">
        <f>RefCapacityProj!AL48</f>
        <v>0</v>
      </c>
      <c r="M48">
        <f>RefCapacityProj!AM48</f>
        <v>24.229805363559297</v>
      </c>
      <c r="P48" t="s">
        <v>465</v>
      </c>
      <c r="Q48">
        <v>2050</v>
      </c>
      <c r="R48">
        <v>1</v>
      </c>
      <c r="S48" t="s">
        <v>469</v>
      </c>
      <c r="T48" t="s">
        <v>467</v>
      </c>
      <c r="U48" t="s">
        <v>596</v>
      </c>
      <c r="V48">
        <v>52.341828632143496</v>
      </c>
    </row>
    <row r="49" spans="1:22" x14ac:dyDescent="0.25">
      <c r="A49">
        <v>48</v>
      </c>
      <c r="B49" t="str">
        <f>RefCapacityProj!B49</f>
        <v>MEDIUM</v>
      </c>
      <c r="C49">
        <f>RefCapacityProj!C49</f>
        <v>2050</v>
      </c>
      <c r="D49">
        <f>RefCapacityProj!D49</f>
        <v>1</v>
      </c>
      <c r="E49" t="str">
        <f>RefCapacityProj!E49</f>
        <v>LIGHT</v>
      </c>
      <c r="F49" t="str">
        <f>RefCapacityProj!F49</f>
        <v>SOUR</v>
      </c>
      <c r="G49">
        <f>RefCapacityProj!AG49</f>
        <v>83.861243805622564</v>
      </c>
      <c r="H49">
        <f>RefCapacityProj!AH49</f>
        <v>243.9993645510765</v>
      </c>
      <c r="I49">
        <f>RefCapacityProj!AI49</f>
        <v>0</v>
      </c>
      <c r="J49">
        <f>RefCapacityProj!AJ49</f>
        <v>50.403085343875077</v>
      </c>
      <c r="K49">
        <f>RefCapacityProj!AK49</f>
        <v>32.086865193458195</v>
      </c>
      <c r="L49">
        <f>RefCapacityProj!AL49</f>
        <v>0</v>
      </c>
      <c r="M49">
        <f>RefCapacityProj!AM49</f>
        <v>24.229805363559297</v>
      </c>
      <c r="P49" t="s">
        <v>465</v>
      </c>
      <c r="Q49">
        <v>2050</v>
      </c>
      <c r="R49">
        <v>1</v>
      </c>
      <c r="S49" t="s">
        <v>469</v>
      </c>
      <c r="T49" t="s">
        <v>467</v>
      </c>
      <c r="U49" t="s">
        <v>597</v>
      </c>
      <c r="V49">
        <v>0</v>
      </c>
    </row>
    <row r="50" spans="1:22" x14ac:dyDescent="0.25">
      <c r="A50">
        <v>49</v>
      </c>
      <c r="B50" t="str">
        <f>RefCapacityProj!B50</f>
        <v>MEDIUM</v>
      </c>
      <c r="C50">
        <f>RefCapacityProj!C50</f>
        <v>2035</v>
      </c>
      <c r="D50">
        <f>RefCapacityProj!D50</f>
        <v>2</v>
      </c>
      <c r="E50" t="str">
        <f>RefCapacityProj!E50</f>
        <v>HEAVY</v>
      </c>
      <c r="F50" t="str">
        <f>RefCapacityProj!F50</f>
        <v>SWEET</v>
      </c>
      <c r="G50">
        <f>RefCapacityProj!AG50</f>
        <v>52.891534854121709</v>
      </c>
      <c r="H50">
        <f>RefCapacityProj!AH50</f>
        <v>435.28545140251737</v>
      </c>
      <c r="I50">
        <f>RefCapacityProj!AI50</f>
        <v>0</v>
      </c>
      <c r="J50">
        <f>RefCapacityProj!AJ50</f>
        <v>355.45912010671123</v>
      </c>
      <c r="K50">
        <f>RefCapacityProj!AK50</f>
        <v>1102.6063161531092</v>
      </c>
      <c r="L50">
        <f>RefCapacityProj!AL50</f>
        <v>0</v>
      </c>
      <c r="M50">
        <f>RefCapacityProj!AM50</f>
        <v>892.0788276855169</v>
      </c>
      <c r="P50" t="s">
        <v>465</v>
      </c>
      <c r="Q50">
        <v>2050</v>
      </c>
      <c r="R50">
        <v>1</v>
      </c>
      <c r="S50" t="s">
        <v>469</v>
      </c>
      <c r="T50" t="s">
        <v>467</v>
      </c>
      <c r="U50" t="s">
        <v>598</v>
      </c>
      <c r="V50">
        <v>43.824450547309198</v>
      </c>
    </row>
    <row r="51" spans="1:22" x14ac:dyDescent="0.25">
      <c r="A51">
        <v>50</v>
      </c>
      <c r="B51" t="str">
        <f>RefCapacityProj!B51</f>
        <v>MEDIUM</v>
      </c>
      <c r="C51">
        <f>RefCapacityProj!C51</f>
        <v>2035</v>
      </c>
      <c r="D51">
        <f>RefCapacityProj!D51</f>
        <v>2</v>
      </c>
      <c r="E51" t="str">
        <f>RefCapacityProj!E51</f>
        <v>HEAVY</v>
      </c>
      <c r="F51" t="str">
        <f>RefCapacityProj!F51</f>
        <v>SOUR</v>
      </c>
      <c r="G51">
        <f>RefCapacityProj!AG51</f>
        <v>52.891534854121709</v>
      </c>
      <c r="H51">
        <f>RefCapacityProj!AH51</f>
        <v>435.28545140251737</v>
      </c>
      <c r="I51">
        <f>RefCapacityProj!AI51</f>
        <v>0</v>
      </c>
      <c r="J51">
        <f>RefCapacityProj!AJ51</f>
        <v>355.45912010671123</v>
      </c>
      <c r="K51">
        <f>RefCapacityProj!AK51</f>
        <v>1102.6063161531092</v>
      </c>
      <c r="L51">
        <f>RefCapacityProj!AL51</f>
        <v>0</v>
      </c>
      <c r="M51">
        <f>RefCapacityProj!AM51</f>
        <v>892.0788276855169</v>
      </c>
      <c r="P51" t="s">
        <v>465</v>
      </c>
      <c r="Q51">
        <v>2050</v>
      </c>
      <c r="R51">
        <v>1</v>
      </c>
      <c r="S51" t="s">
        <v>469</v>
      </c>
      <c r="T51" t="s">
        <v>468</v>
      </c>
      <c r="U51" t="s">
        <v>592</v>
      </c>
      <c r="V51">
        <v>110.51248037603982</v>
      </c>
    </row>
    <row r="52" spans="1:22" x14ac:dyDescent="0.25">
      <c r="A52">
        <v>51</v>
      </c>
      <c r="B52" t="str">
        <f>RefCapacityProj!B52</f>
        <v>MEDIUM</v>
      </c>
      <c r="C52">
        <f>RefCapacityProj!C52</f>
        <v>2035</v>
      </c>
      <c r="D52">
        <f>RefCapacityProj!D52</f>
        <v>2</v>
      </c>
      <c r="E52" t="str">
        <f>RefCapacityProj!E52</f>
        <v>LIGHT</v>
      </c>
      <c r="F52" t="str">
        <f>RefCapacityProj!F52</f>
        <v>SWEET</v>
      </c>
      <c r="G52">
        <f>RefCapacityProj!AG52</f>
        <v>69.094488610184683</v>
      </c>
      <c r="H52">
        <f>RefCapacityProj!AH52</f>
        <v>630.29174057553485</v>
      </c>
      <c r="I52">
        <f>RefCapacityProj!AI52</f>
        <v>0</v>
      </c>
      <c r="J52">
        <f>RefCapacityProj!AJ52</f>
        <v>340.17437073860054</v>
      </c>
      <c r="K52">
        <f>RefCapacityProj!AK52</f>
        <v>1057.555840586029</v>
      </c>
      <c r="L52">
        <f>RefCapacityProj!AL52</f>
        <v>0</v>
      </c>
      <c r="M52">
        <f>RefCapacityProj!AM52</f>
        <v>738.76501899637913</v>
      </c>
      <c r="P52" t="s">
        <v>465</v>
      </c>
      <c r="Q52">
        <v>2050</v>
      </c>
      <c r="R52">
        <v>1</v>
      </c>
      <c r="S52" t="s">
        <v>469</v>
      </c>
      <c r="T52" t="s">
        <v>468</v>
      </c>
      <c r="U52" t="s">
        <v>593</v>
      </c>
      <c r="V52">
        <v>359.69138747853333</v>
      </c>
    </row>
    <row r="53" spans="1:22" x14ac:dyDescent="0.25">
      <c r="A53">
        <v>52</v>
      </c>
      <c r="B53" t="str">
        <f>RefCapacityProj!B53</f>
        <v>MEDIUM</v>
      </c>
      <c r="C53">
        <f>RefCapacityProj!C53</f>
        <v>2035</v>
      </c>
      <c r="D53">
        <f>RefCapacityProj!D53</f>
        <v>2</v>
      </c>
      <c r="E53" t="str">
        <f>RefCapacityProj!E53</f>
        <v>LIGHT</v>
      </c>
      <c r="F53" t="str">
        <f>RefCapacityProj!F53</f>
        <v>SOUR</v>
      </c>
      <c r="G53">
        <f>RefCapacityProj!AG53</f>
        <v>69.094488610184683</v>
      </c>
      <c r="H53">
        <f>RefCapacityProj!AH53</f>
        <v>630.29174057553485</v>
      </c>
      <c r="I53">
        <f>RefCapacityProj!AI53</f>
        <v>0</v>
      </c>
      <c r="J53">
        <f>RefCapacityProj!AJ53</f>
        <v>340.17437073860054</v>
      </c>
      <c r="K53">
        <f>RefCapacityProj!AK53</f>
        <v>1057.555840586029</v>
      </c>
      <c r="L53">
        <f>RefCapacityProj!AL53</f>
        <v>0</v>
      </c>
      <c r="M53">
        <f>RefCapacityProj!AM53</f>
        <v>738.76501899637913</v>
      </c>
      <c r="P53" t="s">
        <v>465</v>
      </c>
      <c r="Q53">
        <v>2050</v>
      </c>
      <c r="R53">
        <v>1</v>
      </c>
      <c r="S53" t="s">
        <v>469</v>
      </c>
      <c r="T53" t="s">
        <v>468</v>
      </c>
      <c r="U53" t="s">
        <v>594</v>
      </c>
      <c r="V53">
        <v>0</v>
      </c>
    </row>
    <row r="54" spans="1:22" x14ac:dyDescent="0.25">
      <c r="A54">
        <v>53</v>
      </c>
      <c r="B54" t="str">
        <f>RefCapacityProj!B54</f>
        <v>MEDIUM</v>
      </c>
      <c r="C54">
        <f>RefCapacityProj!C54</f>
        <v>2050</v>
      </c>
      <c r="D54">
        <f>RefCapacityProj!D54</f>
        <v>2</v>
      </c>
      <c r="E54" t="str">
        <f>RefCapacityProj!E54</f>
        <v>HEAVY</v>
      </c>
      <c r="F54" t="str">
        <f>RefCapacityProj!F54</f>
        <v>SWEET</v>
      </c>
      <c r="G54">
        <f>RefCapacityProj!AG54</f>
        <v>2.4582631682981138</v>
      </c>
      <c r="H54">
        <f>RefCapacityProj!AH54</f>
        <v>356.01004588546914</v>
      </c>
      <c r="I54">
        <f>RefCapacityProj!AI54</f>
        <v>0</v>
      </c>
      <c r="J54">
        <f>RefCapacityProj!AJ54</f>
        <v>305.59491603283112</v>
      </c>
      <c r="K54">
        <f>RefCapacityProj!AK54</f>
        <v>939.87744069247333</v>
      </c>
      <c r="L54">
        <f>RefCapacityProj!AL54</f>
        <v>0</v>
      </c>
      <c r="M54">
        <f>RefCapacityProj!AM54</f>
        <v>770.54675969550351</v>
      </c>
      <c r="P54" t="s">
        <v>465</v>
      </c>
      <c r="Q54">
        <v>2050</v>
      </c>
      <c r="R54">
        <v>1</v>
      </c>
      <c r="S54" t="s">
        <v>469</v>
      </c>
      <c r="T54" t="s">
        <v>468</v>
      </c>
      <c r="U54" t="s">
        <v>595</v>
      </c>
      <c r="V54">
        <v>78.656780792349181</v>
      </c>
    </row>
    <row r="55" spans="1:22" x14ac:dyDescent="0.25">
      <c r="A55">
        <v>54</v>
      </c>
      <c r="B55" t="str">
        <f>RefCapacityProj!B55</f>
        <v>MEDIUM</v>
      </c>
      <c r="C55">
        <f>RefCapacityProj!C55</f>
        <v>2050</v>
      </c>
      <c r="D55">
        <f>RefCapacityProj!D55</f>
        <v>2</v>
      </c>
      <c r="E55" t="str">
        <f>RefCapacityProj!E55</f>
        <v>HEAVY</v>
      </c>
      <c r="F55" t="str">
        <f>RefCapacityProj!F55</f>
        <v>SOUR</v>
      </c>
      <c r="G55">
        <f>RefCapacityProj!AG55</f>
        <v>2.4582631682981138</v>
      </c>
      <c r="H55">
        <f>RefCapacityProj!AH55</f>
        <v>356.01004588546914</v>
      </c>
      <c r="I55">
        <f>RefCapacityProj!AI55</f>
        <v>0</v>
      </c>
      <c r="J55">
        <f>RefCapacityProj!AJ55</f>
        <v>305.59491603283112</v>
      </c>
      <c r="K55">
        <f>RefCapacityProj!AK55</f>
        <v>939.87744069247333</v>
      </c>
      <c r="L55">
        <f>RefCapacityProj!AL55</f>
        <v>0</v>
      </c>
      <c r="M55">
        <f>RefCapacityProj!AM55</f>
        <v>770.54675969550351</v>
      </c>
      <c r="P55" t="s">
        <v>465</v>
      </c>
      <c r="Q55">
        <v>2050</v>
      </c>
      <c r="R55">
        <v>1</v>
      </c>
      <c r="S55" t="s">
        <v>469</v>
      </c>
      <c r="T55" t="s">
        <v>468</v>
      </c>
      <c r="U55" t="s">
        <v>596</v>
      </c>
      <c r="V55">
        <v>52.341828632143496</v>
      </c>
    </row>
    <row r="56" spans="1:22" x14ac:dyDescent="0.25">
      <c r="A56">
        <v>55</v>
      </c>
      <c r="B56" t="str">
        <f>RefCapacityProj!B56</f>
        <v>MEDIUM</v>
      </c>
      <c r="C56">
        <f>RefCapacityProj!C56</f>
        <v>2050</v>
      </c>
      <c r="D56">
        <f>RefCapacityProj!D56</f>
        <v>2</v>
      </c>
      <c r="E56" t="str">
        <f>RefCapacityProj!E56</f>
        <v>LIGHT</v>
      </c>
      <c r="F56" t="str">
        <f>RefCapacityProj!F56</f>
        <v>SWEET</v>
      </c>
      <c r="G56">
        <f>RefCapacityProj!AG56</f>
        <v>113.04652047400619</v>
      </c>
      <c r="H56">
        <f>RefCapacityProj!AH56</f>
        <v>381.76541345241344</v>
      </c>
      <c r="I56">
        <f>RefCapacityProj!AI56</f>
        <v>0</v>
      </c>
      <c r="J56">
        <f>RefCapacityProj!AJ56</f>
        <v>281.30720853755304</v>
      </c>
      <c r="K56">
        <f>RefCapacityProj!AK56</f>
        <v>908.6176408598094</v>
      </c>
      <c r="L56">
        <f>RefCapacityProj!AL56</f>
        <v>0</v>
      </c>
      <c r="M56">
        <f>RefCapacityProj!AM56</f>
        <v>713.5830769093244</v>
      </c>
      <c r="P56" t="s">
        <v>465</v>
      </c>
      <c r="Q56">
        <v>2050</v>
      </c>
      <c r="R56">
        <v>1</v>
      </c>
      <c r="S56" t="s">
        <v>469</v>
      </c>
      <c r="T56" t="s">
        <v>468</v>
      </c>
      <c r="U56" t="s">
        <v>597</v>
      </c>
      <c r="V56">
        <v>0</v>
      </c>
    </row>
    <row r="57" spans="1:22" x14ac:dyDescent="0.25">
      <c r="A57">
        <v>56</v>
      </c>
      <c r="B57" t="str">
        <f>RefCapacityProj!B57</f>
        <v>MEDIUM</v>
      </c>
      <c r="C57">
        <f>RefCapacityProj!C57</f>
        <v>2050</v>
      </c>
      <c r="D57">
        <f>RefCapacityProj!D57</f>
        <v>2</v>
      </c>
      <c r="E57" t="str">
        <f>RefCapacityProj!E57</f>
        <v>LIGHT</v>
      </c>
      <c r="F57" t="str">
        <f>RefCapacityProj!F57</f>
        <v>SOUR</v>
      </c>
      <c r="G57">
        <f>RefCapacityProj!AG57</f>
        <v>113.04652047400619</v>
      </c>
      <c r="H57">
        <f>RefCapacityProj!AH57</f>
        <v>381.76541345241344</v>
      </c>
      <c r="I57">
        <f>RefCapacityProj!AI57</f>
        <v>0</v>
      </c>
      <c r="J57">
        <f>RefCapacityProj!AJ57</f>
        <v>281.30720853755304</v>
      </c>
      <c r="K57">
        <f>RefCapacityProj!AK57</f>
        <v>908.6176408598094</v>
      </c>
      <c r="L57">
        <f>RefCapacityProj!AL57</f>
        <v>0</v>
      </c>
      <c r="M57">
        <f>RefCapacityProj!AM57</f>
        <v>713.5830769093244</v>
      </c>
      <c r="P57" t="s">
        <v>465</v>
      </c>
      <c r="Q57">
        <v>2050</v>
      </c>
      <c r="R57">
        <v>1</v>
      </c>
      <c r="S57" t="s">
        <v>469</v>
      </c>
      <c r="T57" t="s">
        <v>468</v>
      </c>
      <c r="U57" t="s">
        <v>598</v>
      </c>
      <c r="V57">
        <v>43.824450547309198</v>
      </c>
    </row>
    <row r="58" spans="1:22" x14ac:dyDescent="0.25">
      <c r="A58">
        <v>57</v>
      </c>
      <c r="B58" t="str">
        <f>RefCapacityProj!B58</f>
        <v>MEDIUM</v>
      </c>
      <c r="C58">
        <f>RefCapacityProj!C58</f>
        <v>2035</v>
      </c>
      <c r="D58">
        <f>RefCapacityProj!D58</f>
        <v>3</v>
      </c>
      <c r="E58" t="str">
        <f>RefCapacityProj!E58</f>
        <v>HEAVY</v>
      </c>
      <c r="F58" t="str">
        <f>RefCapacityProj!F58</f>
        <v>SWEET</v>
      </c>
      <c r="G58">
        <f>RefCapacityProj!AG58</f>
        <v>693.95987825600753</v>
      </c>
      <c r="H58">
        <f>RefCapacityProj!AH58</f>
        <v>594.43793904012409</v>
      </c>
      <c r="I58">
        <f>RefCapacityProj!AI58</f>
        <v>305.84893220391581</v>
      </c>
      <c r="J58">
        <f>RefCapacityProj!AJ58</f>
        <v>635.15926508702057</v>
      </c>
      <c r="K58">
        <f>RefCapacityProj!AK58</f>
        <v>1400.5100847948934</v>
      </c>
      <c r="L58">
        <f>RefCapacityProj!AL58</f>
        <v>9.7498775429940253E-3</v>
      </c>
      <c r="M58">
        <f>RefCapacityProj!AM58</f>
        <v>3768.1880587687106</v>
      </c>
      <c r="P58" t="s">
        <v>465</v>
      </c>
      <c r="Q58">
        <v>2035</v>
      </c>
      <c r="R58">
        <v>2</v>
      </c>
      <c r="S58" t="s">
        <v>466</v>
      </c>
      <c r="T58" t="s">
        <v>467</v>
      </c>
      <c r="U58" t="s">
        <v>592</v>
      </c>
      <c r="V58">
        <v>69.093112296540269</v>
      </c>
    </row>
    <row r="59" spans="1:22" x14ac:dyDescent="0.25">
      <c r="A59">
        <v>58</v>
      </c>
      <c r="B59" t="str">
        <f>RefCapacityProj!B59</f>
        <v>MEDIUM</v>
      </c>
      <c r="C59">
        <f>RefCapacityProj!C59</f>
        <v>2035</v>
      </c>
      <c r="D59">
        <f>RefCapacityProj!D59</f>
        <v>3</v>
      </c>
      <c r="E59" t="str">
        <f>RefCapacityProj!E59</f>
        <v>HEAVY</v>
      </c>
      <c r="F59" t="str">
        <f>RefCapacityProj!F59</f>
        <v>SOUR</v>
      </c>
      <c r="G59">
        <f>RefCapacityProj!AG59</f>
        <v>693.95987825600753</v>
      </c>
      <c r="H59">
        <f>RefCapacityProj!AH59</f>
        <v>594.43793904012409</v>
      </c>
      <c r="I59">
        <f>RefCapacityProj!AI59</f>
        <v>305.84893220391581</v>
      </c>
      <c r="J59">
        <f>RefCapacityProj!AJ59</f>
        <v>635.15926508702057</v>
      </c>
      <c r="K59">
        <f>RefCapacityProj!AK59</f>
        <v>1400.5100847948934</v>
      </c>
      <c r="L59">
        <f>RefCapacityProj!AL59</f>
        <v>9.7498775429940253E-3</v>
      </c>
      <c r="M59">
        <f>RefCapacityProj!AM59</f>
        <v>3768.1880587687106</v>
      </c>
      <c r="P59" t="s">
        <v>465</v>
      </c>
      <c r="Q59">
        <v>2035</v>
      </c>
      <c r="R59">
        <v>2</v>
      </c>
      <c r="S59" t="s">
        <v>466</v>
      </c>
      <c r="T59" t="s">
        <v>467</v>
      </c>
      <c r="U59" t="s">
        <v>593</v>
      </c>
      <c r="V59">
        <v>599.03305953025574</v>
      </c>
    </row>
    <row r="60" spans="1:22" x14ac:dyDescent="0.25">
      <c r="A60">
        <v>59</v>
      </c>
      <c r="B60" t="str">
        <f>RefCapacityProj!B60</f>
        <v>MEDIUM</v>
      </c>
      <c r="C60">
        <f>RefCapacityProj!C60</f>
        <v>2035</v>
      </c>
      <c r="D60">
        <f>RefCapacityProj!D60</f>
        <v>3</v>
      </c>
      <c r="E60" t="str">
        <f>RefCapacityProj!E60</f>
        <v>LIGHT</v>
      </c>
      <c r="F60" t="str">
        <f>RefCapacityProj!F60</f>
        <v>SWEET</v>
      </c>
      <c r="G60">
        <f>RefCapacityProj!AG60</f>
        <v>818.90118910197498</v>
      </c>
      <c r="H60">
        <f>RefCapacityProj!AH60</f>
        <v>927.50795751294345</v>
      </c>
      <c r="I60">
        <f>RefCapacityProj!AI60</f>
        <v>305.85497689399369</v>
      </c>
      <c r="J60">
        <f>RefCapacityProj!AJ60</f>
        <v>1042.4465049574546</v>
      </c>
      <c r="K60">
        <f>RefCapacityProj!AK60</f>
        <v>1475.1651664718361</v>
      </c>
      <c r="L60">
        <f>RefCapacityProj!AL60</f>
        <v>53.628397637799566</v>
      </c>
      <c r="M60">
        <f>RefCapacityProj!AM60</f>
        <v>2632.3560463105177</v>
      </c>
      <c r="P60" t="s">
        <v>465</v>
      </c>
      <c r="Q60">
        <v>2035</v>
      </c>
      <c r="R60">
        <v>2</v>
      </c>
      <c r="S60" t="s">
        <v>466</v>
      </c>
      <c r="T60" t="s">
        <v>467</v>
      </c>
      <c r="U60" t="s">
        <v>594</v>
      </c>
      <c r="V60">
        <v>0</v>
      </c>
    </row>
    <row r="61" spans="1:22" x14ac:dyDescent="0.25">
      <c r="A61">
        <v>60</v>
      </c>
      <c r="B61" t="str">
        <f>RefCapacityProj!B61</f>
        <v>MEDIUM</v>
      </c>
      <c r="C61">
        <f>RefCapacityProj!C61</f>
        <v>2035</v>
      </c>
      <c r="D61">
        <f>RefCapacityProj!D61</f>
        <v>3</v>
      </c>
      <c r="E61" t="str">
        <f>RefCapacityProj!E61</f>
        <v>LIGHT</v>
      </c>
      <c r="F61" t="str">
        <f>RefCapacityProj!F61</f>
        <v>SOUR</v>
      </c>
      <c r="G61">
        <f>RefCapacityProj!AG61</f>
        <v>818.90118910197498</v>
      </c>
      <c r="H61">
        <f>RefCapacityProj!AH61</f>
        <v>927.50795751294345</v>
      </c>
      <c r="I61">
        <f>RefCapacityProj!AI61</f>
        <v>305.85497689399369</v>
      </c>
      <c r="J61">
        <f>RefCapacityProj!AJ61</f>
        <v>1042.4465049574546</v>
      </c>
      <c r="K61">
        <f>RefCapacityProj!AK61</f>
        <v>1475.1651664718361</v>
      </c>
      <c r="L61">
        <f>RefCapacityProj!AL61</f>
        <v>53.628397637799566</v>
      </c>
      <c r="M61">
        <f>RefCapacityProj!AM61</f>
        <v>2632.3560463105177</v>
      </c>
      <c r="P61" t="s">
        <v>465</v>
      </c>
      <c r="Q61">
        <v>2035</v>
      </c>
      <c r="R61">
        <v>2</v>
      </c>
      <c r="S61" t="s">
        <v>466</v>
      </c>
      <c r="T61" t="s">
        <v>467</v>
      </c>
      <c r="U61" t="s">
        <v>595</v>
      </c>
      <c r="V61">
        <v>432.53681249447618</v>
      </c>
    </row>
    <row r="62" spans="1:22" x14ac:dyDescent="0.25">
      <c r="A62">
        <v>61</v>
      </c>
      <c r="B62" t="str">
        <f>RefCapacityProj!B62</f>
        <v>MEDIUM</v>
      </c>
      <c r="C62">
        <f>RefCapacityProj!C62</f>
        <v>2050</v>
      </c>
      <c r="D62">
        <f>RefCapacityProj!D62</f>
        <v>3</v>
      </c>
      <c r="E62" t="str">
        <f>RefCapacityProj!E62</f>
        <v>HEAVY</v>
      </c>
      <c r="F62" t="str">
        <f>RefCapacityProj!F62</f>
        <v>SWEET</v>
      </c>
      <c r="G62">
        <f>RefCapacityProj!AG62</f>
        <v>650.56393677184928</v>
      </c>
      <c r="H62">
        <f>RefCapacityProj!AH62</f>
        <v>539.2841745976167</v>
      </c>
      <c r="I62">
        <f>RefCapacityProj!AI62</f>
        <v>315.87463712705085</v>
      </c>
      <c r="J62">
        <f>RefCapacityProj!AJ62</f>
        <v>566.14908047313031</v>
      </c>
      <c r="K62">
        <f>RefCapacityProj!AK62</f>
        <v>1263.7832760525337</v>
      </c>
      <c r="L62">
        <f>RefCapacityProj!AL62</f>
        <v>1.898154746330788E-2</v>
      </c>
      <c r="M62">
        <f>RefCapacityProj!AM62</f>
        <v>3421.233624096516</v>
      </c>
      <c r="P62" t="s">
        <v>465</v>
      </c>
      <c r="Q62">
        <v>2035</v>
      </c>
      <c r="R62">
        <v>2</v>
      </c>
      <c r="S62" t="s">
        <v>466</v>
      </c>
      <c r="T62" t="s">
        <v>467</v>
      </c>
      <c r="U62" t="s">
        <v>596</v>
      </c>
      <c r="V62">
        <v>1344.3428935448717</v>
      </c>
    </row>
    <row r="63" spans="1:22" x14ac:dyDescent="0.25">
      <c r="A63">
        <v>62</v>
      </c>
      <c r="B63" t="str">
        <f>RefCapacityProj!B63</f>
        <v>MEDIUM</v>
      </c>
      <c r="C63">
        <f>RefCapacityProj!C63</f>
        <v>2050</v>
      </c>
      <c r="D63">
        <f>RefCapacityProj!D63</f>
        <v>3</v>
      </c>
      <c r="E63" t="str">
        <f>RefCapacityProj!E63</f>
        <v>HEAVY</v>
      </c>
      <c r="F63" t="str">
        <f>RefCapacityProj!F63</f>
        <v>SOUR</v>
      </c>
      <c r="G63">
        <f>RefCapacityProj!AG63</f>
        <v>650.56393677184928</v>
      </c>
      <c r="H63">
        <f>RefCapacityProj!AH63</f>
        <v>539.2841745976167</v>
      </c>
      <c r="I63">
        <f>RefCapacityProj!AI63</f>
        <v>315.87463712705085</v>
      </c>
      <c r="J63">
        <f>RefCapacityProj!AJ63</f>
        <v>566.14908047313031</v>
      </c>
      <c r="K63">
        <f>RefCapacityProj!AK63</f>
        <v>1263.7832760525337</v>
      </c>
      <c r="L63">
        <f>RefCapacityProj!AL63</f>
        <v>1.898154746330788E-2</v>
      </c>
      <c r="M63">
        <f>RefCapacityProj!AM63</f>
        <v>3421.233624096516</v>
      </c>
      <c r="P63" t="s">
        <v>465</v>
      </c>
      <c r="Q63">
        <v>2035</v>
      </c>
      <c r="R63">
        <v>2</v>
      </c>
      <c r="S63" t="s">
        <v>466</v>
      </c>
      <c r="T63" t="s">
        <v>467</v>
      </c>
      <c r="U63" t="s">
        <v>597</v>
      </c>
      <c r="V63">
        <v>0</v>
      </c>
    </row>
    <row r="64" spans="1:22" x14ac:dyDescent="0.25">
      <c r="A64">
        <v>63</v>
      </c>
      <c r="B64" t="str">
        <f>RefCapacityProj!B64</f>
        <v>MEDIUM</v>
      </c>
      <c r="C64">
        <f>RefCapacityProj!C64</f>
        <v>2050</v>
      </c>
      <c r="D64">
        <f>RefCapacityProj!D64</f>
        <v>3</v>
      </c>
      <c r="E64" t="str">
        <f>RefCapacityProj!E64</f>
        <v>LIGHT</v>
      </c>
      <c r="F64" t="str">
        <f>RefCapacityProj!F64</f>
        <v>SWEET</v>
      </c>
      <c r="G64">
        <f>RefCapacityProj!AG64</f>
        <v>1192.8167096811103</v>
      </c>
      <c r="H64">
        <f>RefCapacityProj!AH64</f>
        <v>625.58803990845809</v>
      </c>
      <c r="I64">
        <f>RefCapacityProj!AI64</f>
        <v>315.88577463814062</v>
      </c>
      <c r="J64">
        <f>RefCapacityProj!AJ64</f>
        <v>419.55240036057899</v>
      </c>
      <c r="K64">
        <f>RefCapacityProj!AK64</f>
        <v>1084.2023146111464</v>
      </c>
      <c r="L64">
        <f>RefCapacityProj!AL64</f>
        <v>3.3795835552402394E-3</v>
      </c>
      <c r="M64">
        <f>RefCapacityProj!AM64</f>
        <v>3121.6774402132387</v>
      </c>
      <c r="P64" t="s">
        <v>465</v>
      </c>
      <c r="Q64">
        <v>2035</v>
      </c>
      <c r="R64">
        <v>2</v>
      </c>
      <c r="S64" t="s">
        <v>466</v>
      </c>
      <c r="T64" t="s">
        <v>467</v>
      </c>
      <c r="U64" t="s">
        <v>598</v>
      </c>
      <c r="V64">
        <v>1049.676546229616</v>
      </c>
    </row>
    <row r="65" spans="1:22" x14ac:dyDescent="0.25">
      <c r="A65">
        <v>64</v>
      </c>
      <c r="B65" t="str">
        <f>RefCapacityProj!B65</f>
        <v>MEDIUM</v>
      </c>
      <c r="C65">
        <f>RefCapacityProj!C65</f>
        <v>2050</v>
      </c>
      <c r="D65">
        <f>RefCapacityProj!D65</f>
        <v>3</v>
      </c>
      <c r="E65" t="str">
        <f>RefCapacityProj!E65</f>
        <v>LIGHT</v>
      </c>
      <c r="F65" t="str">
        <f>RefCapacityProj!F65</f>
        <v>SOUR</v>
      </c>
      <c r="G65">
        <f>RefCapacityProj!AG65</f>
        <v>1192.8167096811103</v>
      </c>
      <c r="H65">
        <f>RefCapacityProj!AH65</f>
        <v>625.58803990845809</v>
      </c>
      <c r="I65">
        <f>RefCapacityProj!AI65</f>
        <v>315.88577463814062</v>
      </c>
      <c r="J65">
        <f>RefCapacityProj!AJ65</f>
        <v>419.55240036057899</v>
      </c>
      <c r="K65">
        <f>RefCapacityProj!AK65</f>
        <v>1084.2023146111464</v>
      </c>
      <c r="L65">
        <f>RefCapacityProj!AL65</f>
        <v>3.3795835552402394E-3</v>
      </c>
      <c r="M65">
        <f>RefCapacityProj!AM65</f>
        <v>3121.6774402132387</v>
      </c>
      <c r="P65" t="s">
        <v>465</v>
      </c>
      <c r="Q65">
        <v>2035</v>
      </c>
      <c r="R65">
        <v>2</v>
      </c>
      <c r="S65" t="s">
        <v>466</v>
      </c>
      <c r="T65" t="s">
        <v>468</v>
      </c>
      <c r="U65" t="s">
        <v>592</v>
      </c>
      <c r="V65">
        <v>69.093112296540269</v>
      </c>
    </row>
    <row r="66" spans="1:22" x14ac:dyDescent="0.25">
      <c r="A66">
        <v>65</v>
      </c>
      <c r="B66" t="str">
        <f>RefCapacityProj!B66</f>
        <v>MEDIUM</v>
      </c>
      <c r="C66">
        <f>RefCapacityProj!C66</f>
        <v>2035</v>
      </c>
      <c r="D66">
        <f>RefCapacityProj!D66</f>
        <v>4</v>
      </c>
      <c r="E66" t="str">
        <f>RefCapacityProj!E66</f>
        <v>HEAVY</v>
      </c>
      <c r="F66" t="str">
        <f>RefCapacityProj!F66</f>
        <v>SWEET</v>
      </c>
      <c r="G66">
        <f>RefCapacityProj!AG66</f>
        <v>41.247209074210645</v>
      </c>
      <c r="H66">
        <f>RefCapacityProj!AH66</f>
        <v>311.65678471707122</v>
      </c>
      <c r="I66">
        <f>RefCapacityProj!AI66</f>
        <v>0</v>
      </c>
      <c r="J66">
        <f>RefCapacityProj!AJ66</f>
        <v>138.96474358863489</v>
      </c>
      <c r="K66">
        <f>RefCapacityProj!AK66</f>
        <v>50.890440431536689</v>
      </c>
      <c r="L66">
        <f>RefCapacityProj!AL66</f>
        <v>0</v>
      </c>
      <c r="M66">
        <f>RefCapacityProj!AM66</f>
        <v>7.3937196011215188E-11</v>
      </c>
      <c r="P66" t="s">
        <v>465</v>
      </c>
      <c r="Q66">
        <v>2035</v>
      </c>
      <c r="R66">
        <v>2</v>
      </c>
      <c r="S66" t="s">
        <v>466</v>
      </c>
      <c r="T66" t="s">
        <v>468</v>
      </c>
      <c r="U66" t="s">
        <v>593</v>
      </c>
      <c r="V66">
        <v>599.03305953025574</v>
      </c>
    </row>
    <row r="67" spans="1:22" x14ac:dyDescent="0.25">
      <c r="A67">
        <v>66</v>
      </c>
      <c r="B67" t="str">
        <f>RefCapacityProj!B67</f>
        <v>MEDIUM</v>
      </c>
      <c r="C67">
        <f>RefCapacityProj!C67</f>
        <v>2035</v>
      </c>
      <c r="D67">
        <f>RefCapacityProj!D67</f>
        <v>4</v>
      </c>
      <c r="E67" t="str">
        <f>RefCapacityProj!E67</f>
        <v>HEAVY</v>
      </c>
      <c r="F67" t="str">
        <f>RefCapacityProj!F67</f>
        <v>SOUR</v>
      </c>
      <c r="G67">
        <f>RefCapacityProj!AG67</f>
        <v>41.247209074210645</v>
      </c>
      <c r="H67">
        <f>RefCapacityProj!AH67</f>
        <v>311.65678471707122</v>
      </c>
      <c r="I67">
        <f>RefCapacityProj!AI67</f>
        <v>0</v>
      </c>
      <c r="J67">
        <f>RefCapacityProj!AJ67</f>
        <v>138.96474358863489</v>
      </c>
      <c r="K67">
        <f>RefCapacityProj!AK67</f>
        <v>50.890440431536689</v>
      </c>
      <c r="L67">
        <f>RefCapacityProj!AL67</f>
        <v>0</v>
      </c>
      <c r="M67">
        <f>RefCapacityProj!AM67</f>
        <v>7.3937196011215188E-11</v>
      </c>
      <c r="P67" t="s">
        <v>465</v>
      </c>
      <c r="Q67">
        <v>2035</v>
      </c>
      <c r="R67">
        <v>2</v>
      </c>
      <c r="S67" t="s">
        <v>466</v>
      </c>
      <c r="T67" t="s">
        <v>468</v>
      </c>
      <c r="U67" t="s">
        <v>594</v>
      </c>
      <c r="V67">
        <v>0</v>
      </c>
    </row>
    <row r="68" spans="1:22" x14ac:dyDescent="0.25">
      <c r="A68">
        <v>67</v>
      </c>
      <c r="B68" t="str">
        <f>RefCapacityProj!B68</f>
        <v>MEDIUM</v>
      </c>
      <c r="C68">
        <f>RefCapacityProj!C68</f>
        <v>2035</v>
      </c>
      <c r="D68">
        <f>RefCapacityProj!D68</f>
        <v>4</v>
      </c>
      <c r="E68" t="str">
        <f>RefCapacityProj!E68</f>
        <v>LIGHT</v>
      </c>
      <c r="F68" t="str">
        <f>RefCapacityProj!F68</f>
        <v>SWEET</v>
      </c>
      <c r="G68">
        <f>RefCapacityProj!AG68</f>
        <v>41.24720907441997</v>
      </c>
      <c r="H68">
        <f>RefCapacityProj!AH68</f>
        <v>311.65678471678405</v>
      </c>
      <c r="I68">
        <f>RefCapacityProj!AI68</f>
        <v>0</v>
      </c>
      <c r="J68">
        <f>RefCapacityProj!AJ68</f>
        <v>138.96474357729718</v>
      </c>
      <c r="K68">
        <f>RefCapacityProj!AK68</f>
        <v>50.994710143010515</v>
      </c>
      <c r="L68">
        <f>RefCapacityProj!AL68</f>
        <v>0</v>
      </c>
      <c r="M68">
        <f>RefCapacityProj!AM68</f>
        <v>1.0205422238471658E-10</v>
      </c>
      <c r="P68" t="s">
        <v>465</v>
      </c>
      <c r="Q68">
        <v>2035</v>
      </c>
      <c r="R68">
        <v>2</v>
      </c>
      <c r="S68" t="s">
        <v>466</v>
      </c>
      <c r="T68" t="s">
        <v>468</v>
      </c>
      <c r="U68" t="s">
        <v>595</v>
      </c>
      <c r="V68">
        <v>432.53681249447618</v>
      </c>
    </row>
    <row r="69" spans="1:22" x14ac:dyDescent="0.25">
      <c r="A69">
        <v>68</v>
      </c>
      <c r="B69" t="str">
        <f>RefCapacityProj!B69</f>
        <v>MEDIUM</v>
      </c>
      <c r="C69">
        <f>RefCapacityProj!C69</f>
        <v>2035</v>
      </c>
      <c r="D69">
        <f>RefCapacityProj!D69</f>
        <v>4</v>
      </c>
      <c r="E69" t="str">
        <f>RefCapacityProj!E69</f>
        <v>LIGHT</v>
      </c>
      <c r="F69" t="str">
        <f>RefCapacityProj!F69</f>
        <v>SOUR</v>
      </c>
      <c r="G69">
        <f>RefCapacityProj!AG69</f>
        <v>41.24720907441997</v>
      </c>
      <c r="H69">
        <f>RefCapacityProj!AH69</f>
        <v>311.65678471678405</v>
      </c>
      <c r="I69">
        <f>RefCapacityProj!AI69</f>
        <v>0</v>
      </c>
      <c r="J69">
        <f>RefCapacityProj!AJ69</f>
        <v>138.96474357729718</v>
      </c>
      <c r="K69">
        <f>RefCapacityProj!AK69</f>
        <v>50.994710143010515</v>
      </c>
      <c r="L69">
        <f>RefCapacityProj!AL69</f>
        <v>0</v>
      </c>
      <c r="M69">
        <f>RefCapacityProj!AM69</f>
        <v>1.0205422238471658E-10</v>
      </c>
      <c r="P69" t="s">
        <v>465</v>
      </c>
      <c r="Q69">
        <v>2035</v>
      </c>
      <c r="R69">
        <v>2</v>
      </c>
      <c r="S69" t="s">
        <v>466</v>
      </c>
      <c r="T69" t="s">
        <v>468</v>
      </c>
      <c r="U69" t="s">
        <v>596</v>
      </c>
      <c r="V69">
        <v>1344.3428935448717</v>
      </c>
    </row>
    <row r="70" spans="1:22" x14ac:dyDescent="0.25">
      <c r="A70">
        <v>69</v>
      </c>
      <c r="B70" t="str">
        <f>RefCapacityProj!B70</f>
        <v>MEDIUM</v>
      </c>
      <c r="C70">
        <f>RefCapacityProj!C70</f>
        <v>2050</v>
      </c>
      <c r="D70">
        <f>RefCapacityProj!D70</f>
        <v>4</v>
      </c>
      <c r="E70" t="str">
        <f>RefCapacityProj!E70</f>
        <v>HEAVY</v>
      </c>
      <c r="F70" t="str">
        <f>RefCapacityProj!F70</f>
        <v>SWEET</v>
      </c>
      <c r="G70">
        <f>RefCapacityProj!AG70</f>
        <v>67.579418148830513</v>
      </c>
      <c r="H70">
        <f>RefCapacityProj!AH70</f>
        <v>392.11356943448055</v>
      </c>
      <c r="I70">
        <f>RefCapacityProj!AI70</f>
        <v>0</v>
      </c>
      <c r="J70">
        <f>RefCapacityProj!AJ70</f>
        <v>17.600178738034419</v>
      </c>
      <c r="K70">
        <f>RefCapacityProj!AK70</f>
        <v>3.7764703324146759E-10</v>
      </c>
      <c r="L70">
        <f>RefCapacityProj!AL70</f>
        <v>0</v>
      </c>
      <c r="M70">
        <f>RefCapacityProj!AM70</f>
        <v>8.1403624709828754E-11</v>
      </c>
      <c r="P70" t="s">
        <v>465</v>
      </c>
      <c r="Q70">
        <v>2035</v>
      </c>
      <c r="R70">
        <v>2</v>
      </c>
      <c r="S70" t="s">
        <v>466</v>
      </c>
      <c r="T70" t="s">
        <v>468</v>
      </c>
      <c r="U70" t="s">
        <v>597</v>
      </c>
      <c r="V70">
        <v>0</v>
      </c>
    </row>
    <row r="71" spans="1:22" x14ac:dyDescent="0.25">
      <c r="A71">
        <v>70</v>
      </c>
      <c r="B71" t="str">
        <f>RefCapacityProj!B71</f>
        <v>MEDIUM</v>
      </c>
      <c r="C71">
        <f>RefCapacityProj!C71</f>
        <v>2050</v>
      </c>
      <c r="D71">
        <f>RefCapacityProj!D71</f>
        <v>4</v>
      </c>
      <c r="E71" t="str">
        <f>RefCapacityProj!E71</f>
        <v>HEAVY</v>
      </c>
      <c r="F71" t="str">
        <f>RefCapacityProj!F71</f>
        <v>SOUR</v>
      </c>
      <c r="G71">
        <f>RefCapacityProj!AG71</f>
        <v>67.579418148830513</v>
      </c>
      <c r="H71">
        <f>RefCapacityProj!AH71</f>
        <v>392.11356943448055</v>
      </c>
      <c r="I71">
        <f>RefCapacityProj!AI71</f>
        <v>0</v>
      </c>
      <c r="J71">
        <f>RefCapacityProj!AJ71</f>
        <v>17.600178738034419</v>
      </c>
      <c r="K71">
        <f>RefCapacityProj!AK71</f>
        <v>3.7764703324146759E-10</v>
      </c>
      <c r="L71">
        <f>RefCapacityProj!AL71</f>
        <v>0</v>
      </c>
      <c r="M71">
        <f>RefCapacityProj!AM71</f>
        <v>8.1403624709828754E-11</v>
      </c>
      <c r="P71" t="s">
        <v>465</v>
      </c>
      <c r="Q71">
        <v>2035</v>
      </c>
      <c r="R71">
        <v>2</v>
      </c>
      <c r="S71" t="s">
        <v>466</v>
      </c>
      <c r="T71" t="s">
        <v>468</v>
      </c>
      <c r="U71" t="s">
        <v>598</v>
      </c>
      <c r="V71">
        <v>1049.676546229616</v>
      </c>
    </row>
    <row r="72" spans="1:22" x14ac:dyDescent="0.25">
      <c r="A72">
        <v>71</v>
      </c>
      <c r="B72" t="str">
        <f>RefCapacityProj!B72</f>
        <v>MEDIUM</v>
      </c>
      <c r="C72">
        <f>RefCapacityProj!C72</f>
        <v>2050</v>
      </c>
      <c r="D72">
        <f>RefCapacityProj!D72</f>
        <v>4</v>
      </c>
      <c r="E72" t="str">
        <f>RefCapacityProj!E72</f>
        <v>LIGHT</v>
      </c>
      <c r="F72" t="str">
        <f>RefCapacityProj!F72</f>
        <v>SWEET</v>
      </c>
      <c r="G72">
        <f>RefCapacityProj!AG72</f>
        <v>67.579418148827656</v>
      </c>
      <c r="H72">
        <f>RefCapacityProj!AH72</f>
        <v>392.11356943447208</v>
      </c>
      <c r="I72">
        <f>RefCapacityProj!AI72</f>
        <v>0</v>
      </c>
      <c r="J72">
        <f>RefCapacityProj!AJ72</f>
        <v>17.607377569642246</v>
      </c>
      <c r="K72">
        <f>RefCapacityProj!AK72</f>
        <v>4.3751894408463119E-10</v>
      </c>
      <c r="L72">
        <f>RefCapacityProj!AL72</f>
        <v>0</v>
      </c>
      <c r="M72">
        <f>RefCapacityProj!AM72</f>
        <v>9.4324674702181719E-11</v>
      </c>
      <c r="P72" t="s">
        <v>465</v>
      </c>
      <c r="Q72">
        <v>2035</v>
      </c>
      <c r="R72">
        <v>2</v>
      </c>
      <c r="S72" t="s">
        <v>469</v>
      </c>
      <c r="T72" t="s">
        <v>467</v>
      </c>
      <c r="U72" t="s">
        <v>592</v>
      </c>
      <c r="V72">
        <v>69.094409156970343</v>
      </c>
    </row>
    <row r="73" spans="1:22" x14ac:dyDescent="0.25">
      <c r="A73">
        <v>72</v>
      </c>
      <c r="B73" t="str">
        <f>RefCapacityProj!B73</f>
        <v>MEDIUM</v>
      </c>
      <c r="C73">
        <f>RefCapacityProj!C73</f>
        <v>2050</v>
      </c>
      <c r="D73">
        <f>RefCapacityProj!D73</f>
        <v>4</v>
      </c>
      <c r="E73" t="str">
        <f>RefCapacityProj!E73</f>
        <v>LIGHT</v>
      </c>
      <c r="F73" t="str">
        <f>RefCapacityProj!F73</f>
        <v>SOUR</v>
      </c>
      <c r="G73">
        <f>RefCapacityProj!AG73</f>
        <v>67.579418148827656</v>
      </c>
      <c r="H73">
        <f>RefCapacityProj!AH73</f>
        <v>392.11356943447208</v>
      </c>
      <c r="I73">
        <f>RefCapacityProj!AI73</f>
        <v>0</v>
      </c>
      <c r="J73">
        <f>RefCapacityProj!AJ73</f>
        <v>17.607377569642246</v>
      </c>
      <c r="K73">
        <f>RefCapacityProj!AK73</f>
        <v>4.3751894408463119E-10</v>
      </c>
      <c r="L73">
        <f>RefCapacityProj!AL73</f>
        <v>0</v>
      </c>
      <c r="M73">
        <f>RefCapacityProj!AM73</f>
        <v>9.4324674702181719E-11</v>
      </c>
      <c r="P73" t="s">
        <v>465</v>
      </c>
      <c r="Q73">
        <v>2035</v>
      </c>
      <c r="R73">
        <v>2</v>
      </c>
      <c r="S73" t="s">
        <v>469</v>
      </c>
      <c r="T73" t="s">
        <v>467</v>
      </c>
      <c r="U73" t="s">
        <v>593</v>
      </c>
      <c r="V73">
        <v>829.69674757506368</v>
      </c>
    </row>
    <row r="74" spans="1:22" x14ac:dyDescent="0.25">
      <c r="A74">
        <v>73</v>
      </c>
      <c r="B74" t="str">
        <f>RefCapacityProj!B74</f>
        <v>MEDIUM</v>
      </c>
      <c r="C74">
        <f>RefCapacityProj!C74</f>
        <v>2035</v>
      </c>
      <c r="D74">
        <f>RefCapacityProj!D74</f>
        <v>5</v>
      </c>
      <c r="E74" t="str">
        <f>RefCapacityProj!E74</f>
        <v>HEAVY</v>
      </c>
      <c r="F74" t="str">
        <f>RefCapacityProj!F74</f>
        <v>SWEET</v>
      </c>
      <c r="G74">
        <f>RefCapacityProj!AG74</f>
        <v>539.8428057368867</v>
      </c>
      <c r="H74">
        <f>RefCapacityProj!AH74</f>
        <v>268.8553476441582</v>
      </c>
      <c r="I74">
        <f>RefCapacityProj!AI74</f>
        <v>251.89002161493767</v>
      </c>
      <c r="J74">
        <f>RefCapacityProj!AJ74</f>
        <v>124.04656762106337</v>
      </c>
      <c r="K74">
        <f>RefCapacityProj!AK74</f>
        <v>72.814017405571434</v>
      </c>
      <c r="L74">
        <f>RefCapacityProj!AL74</f>
        <v>162.76915423005255</v>
      </c>
      <c r="M74">
        <f>RefCapacityProj!AM74</f>
        <v>928.48496606022729</v>
      </c>
      <c r="P74" t="s">
        <v>465</v>
      </c>
      <c r="Q74">
        <v>2035</v>
      </c>
      <c r="R74">
        <v>2</v>
      </c>
      <c r="S74" t="s">
        <v>469</v>
      </c>
      <c r="T74" t="s">
        <v>467</v>
      </c>
      <c r="U74" t="s">
        <v>594</v>
      </c>
      <c r="V74">
        <v>0</v>
      </c>
    </row>
    <row r="75" spans="1:22" x14ac:dyDescent="0.25">
      <c r="A75">
        <v>74</v>
      </c>
      <c r="B75" t="str">
        <f>RefCapacityProj!B75</f>
        <v>MEDIUM</v>
      </c>
      <c r="C75">
        <f>RefCapacityProj!C75</f>
        <v>2035</v>
      </c>
      <c r="D75">
        <f>RefCapacityProj!D75</f>
        <v>5</v>
      </c>
      <c r="E75" t="str">
        <f>RefCapacityProj!E75</f>
        <v>HEAVY</v>
      </c>
      <c r="F75" t="str">
        <f>RefCapacityProj!F75</f>
        <v>SOUR</v>
      </c>
      <c r="G75">
        <f>RefCapacityProj!AG75</f>
        <v>539.8428057368867</v>
      </c>
      <c r="H75">
        <f>RefCapacityProj!AH75</f>
        <v>268.8553476441582</v>
      </c>
      <c r="I75">
        <f>RefCapacityProj!AI75</f>
        <v>251.89002161493767</v>
      </c>
      <c r="J75">
        <f>RefCapacityProj!AJ75</f>
        <v>124.04656762106337</v>
      </c>
      <c r="K75">
        <f>RefCapacityProj!AK75</f>
        <v>72.814017405571434</v>
      </c>
      <c r="L75">
        <f>RefCapacityProj!AL75</f>
        <v>162.76915423005255</v>
      </c>
      <c r="M75">
        <f>RefCapacityProj!AM75</f>
        <v>928.48496606022729</v>
      </c>
      <c r="P75" t="s">
        <v>465</v>
      </c>
      <c r="Q75">
        <v>2035</v>
      </c>
      <c r="R75">
        <v>2</v>
      </c>
      <c r="S75" t="s">
        <v>469</v>
      </c>
      <c r="T75" t="s">
        <v>467</v>
      </c>
      <c r="U75" t="s">
        <v>595</v>
      </c>
      <c r="V75">
        <v>463.43746656245816</v>
      </c>
    </row>
    <row r="76" spans="1:22" x14ac:dyDescent="0.25">
      <c r="A76">
        <v>75</v>
      </c>
      <c r="B76" t="str">
        <f>RefCapacityProj!B76</f>
        <v>MEDIUM</v>
      </c>
      <c r="C76">
        <f>RefCapacityProj!C76</f>
        <v>2035</v>
      </c>
      <c r="D76">
        <f>RefCapacityProj!D76</f>
        <v>5</v>
      </c>
      <c r="E76" t="str">
        <f>RefCapacityProj!E76</f>
        <v>LIGHT</v>
      </c>
      <c r="F76" t="str">
        <f>RefCapacityProj!F76</f>
        <v>SWEET</v>
      </c>
      <c r="G76">
        <f>RefCapacityProj!AG76</f>
        <v>365.74757489314226</v>
      </c>
      <c r="H76">
        <f>RefCapacityProj!AH76</f>
        <v>222.73722176761726</v>
      </c>
      <c r="I76">
        <f>RefCapacityProj!AI76</f>
        <v>251.99605772234224</v>
      </c>
      <c r="J76">
        <f>RefCapacityProj!AJ76</f>
        <v>164.85959582277493</v>
      </c>
      <c r="K76">
        <f>RefCapacityProj!AK76</f>
        <v>125.88685739413913</v>
      </c>
      <c r="L76">
        <f>RefCapacityProj!AL76</f>
        <v>226.18966694153431</v>
      </c>
      <c r="M76">
        <f>RefCapacityProj!AM76</f>
        <v>1026.5860264724954</v>
      </c>
      <c r="P76" t="s">
        <v>465</v>
      </c>
      <c r="Q76">
        <v>2035</v>
      </c>
      <c r="R76">
        <v>2</v>
      </c>
      <c r="S76" t="s">
        <v>469</v>
      </c>
      <c r="T76" t="s">
        <v>467</v>
      </c>
      <c r="U76" t="s">
        <v>596</v>
      </c>
      <c r="V76">
        <v>1306.6174475700918</v>
      </c>
    </row>
    <row r="77" spans="1:22" x14ac:dyDescent="0.25">
      <c r="A77">
        <v>76</v>
      </c>
      <c r="B77" t="str">
        <f>RefCapacityProj!B77</f>
        <v>MEDIUM</v>
      </c>
      <c r="C77">
        <f>RefCapacityProj!C77</f>
        <v>2035</v>
      </c>
      <c r="D77">
        <f>RefCapacityProj!D77</f>
        <v>5</v>
      </c>
      <c r="E77" t="str">
        <f>RefCapacityProj!E77</f>
        <v>LIGHT</v>
      </c>
      <c r="F77" t="str">
        <f>RefCapacityProj!F77</f>
        <v>SOUR</v>
      </c>
      <c r="G77">
        <f>RefCapacityProj!AG77</f>
        <v>365.74757489314226</v>
      </c>
      <c r="H77">
        <f>RefCapacityProj!AH77</f>
        <v>222.73722176761726</v>
      </c>
      <c r="I77">
        <f>RefCapacityProj!AI77</f>
        <v>251.99605772234224</v>
      </c>
      <c r="J77">
        <f>RefCapacityProj!AJ77</f>
        <v>164.85959582277493</v>
      </c>
      <c r="K77">
        <f>RefCapacityProj!AK77</f>
        <v>125.88685739413913</v>
      </c>
      <c r="L77">
        <f>RefCapacityProj!AL77</f>
        <v>226.18966694153431</v>
      </c>
      <c r="M77">
        <f>RefCapacityProj!AM77</f>
        <v>1026.5860264724954</v>
      </c>
      <c r="P77" t="s">
        <v>465</v>
      </c>
      <c r="Q77">
        <v>2035</v>
      </c>
      <c r="R77">
        <v>2</v>
      </c>
      <c r="S77" t="s">
        <v>469</v>
      </c>
      <c r="T77" t="s">
        <v>467</v>
      </c>
      <c r="U77" t="s">
        <v>597</v>
      </c>
      <c r="V77">
        <v>0</v>
      </c>
    </row>
    <row r="78" spans="1:22" x14ac:dyDescent="0.25">
      <c r="A78">
        <v>77</v>
      </c>
      <c r="B78" t="str">
        <f>RefCapacityProj!B78</f>
        <v>MEDIUM</v>
      </c>
      <c r="C78">
        <f>RefCapacityProj!C78</f>
        <v>2050</v>
      </c>
      <c r="D78">
        <f>RefCapacityProj!D78</f>
        <v>5</v>
      </c>
      <c r="E78" t="str">
        <f>RefCapacityProj!E78</f>
        <v>HEAVY</v>
      </c>
      <c r="F78" t="str">
        <f>RefCapacityProj!F78</f>
        <v>SWEET</v>
      </c>
      <c r="G78">
        <f>RefCapacityProj!AG78</f>
        <v>272.53960529040938</v>
      </c>
      <c r="H78">
        <f>RefCapacityProj!AH78</f>
        <v>190.60571575620398</v>
      </c>
      <c r="I78">
        <f>RefCapacityProj!AI78</f>
        <v>229.30794781081246</v>
      </c>
      <c r="J78">
        <f>RefCapacityProj!AJ78</f>
        <v>162.4968393887327</v>
      </c>
      <c r="K78">
        <f>RefCapacityProj!AK78</f>
        <v>130.49487719873093</v>
      </c>
      <c r="L78">
        <f>RefCapacityProj!AL78</f>
        <v>224.69661313757791</v>
      </c>
      <c r="M78">
        <f>RefCapacityProj!AM78</f>
        <v>962.94210528132885</v>
      </c>
      <c r="P78" t="s">
        <v>465</v>
      </c>
      <c r="Q78">
        <v>2035</v>
      </c>
      <c r="R78">
        <v>2</v>
      </c>
      <c r="S78" t="s">
        <v>469</v>
      </c>
      <c r="T78" t="s">
        <v>467</v>
      </c>
      <c r="U78" t="s">
        <v>598</v>
      </c>
      <c r="V78">
        <v>762.305134057788</v>
      </c>
    </row>
    <row r="79" spans="1:22" x14ac:dyDescent="0.25">
      <c r="A79">
        <v>78</v>
      </c>
      <c r="B79" t="str">
        <f>RefCapacityProj!B79</f>
        <v>MEDIUM</v>
      </c>
      <c r="C79">
        <f>RefCapacityProj!C79</f>
        <v>2050</v>
      </c>
      <c r="D79">
        <f>RefCapacityProj!D79</f>
        <v>5</v>
      </c>
      <c r="E79" t="str">
        <f>RefCapacityProj!E79</f>
        <v>HEAVY</v>
      </c>
      <c r="F79" t="str">
        <f>RefCapacityProj!F79</f>
        <v>SOUR</v>
      </c>
      <c r="G79">
        <f>RefCapacityProj!AG79</f>
        <v>272.53960529040938</v>
      </c>
      <c r="H79">
        <f>RefCapacityProj!AH79</f>
        <v>190.60571575620398</v>
      </c>
      <c r="I79">
        <f>RefCapacityProj!AI79</f>
        <v>229.30794781081246</v>
      </c>
      <c r="J79">
        <f>RefCapacityProj!AJ79</f>
        <v>162.4968393887327</v>
      </c>
      <c r="K79">
        <f>RefCapacityProj!AK79</f>
        <v>130.49487719873093</v>
      </c>
      <c r="L79">
        <f>RefCapacityProj!AL79</f>
        <v>224.69661313757791</v>
      </c>
      <c r="M79">
        <f>RefCapacityProj!AM79</f>
        <v>962.94210528132885</v>
      </c>
      <c r="P79" t="s">
        <v>465</v>
      </c>
      <c r="Q79">
        <v>2035</v>
      </c>
      <c r="R79">
        <v>2</v>
      </c>
      <c r="S79" t="s">
        <v>469</v>
      </c>
      <c r="T79" t="s">
        <v>468</v>
      </c>
      <c r="U79" t="s">
        <v>592</v>
      </c>
      <c r="V79">
        <v>69.094409156970343</v>
      </c>
    </row>
    <row r="80" spans="1:22" x14ac:dyDescent="0.25">
      <c r="A80">
        <v>79</v>
      </c>
      <c r="B80" t="str">
        <f>RefCapacityProj!B80</f>
        <v>MEDIUM</v>
      </c>
      <c r="C80">
        <f>RefCapacityProj!C80</f>
        <v>2050</v>
      </c>
      <c r="D80">
        <f>RefCapacityProj!D80</f>
        <v>5</v>
      </c>
      <c r="E80" t="str">
        <f>RefCapacityProj!E80</f>
        <v>LIGHT</v>
      </c>
      <c r="F80" t="str">
        <f>RefCapacityProj!F80</f>
        <v>SWEET</v>
      </c>
      <c r="G80">
        <f>RefCapacityProj!AG80</f>
        <v>72.532242932198571</v>
      </c>
      <c r="H80">
        <f>RefCapacityProj!AH80</f>
        <v>155.37195571896908</v>
      </c>
      <c r="I80">
        <f>RefCapacityProj!AI80</f>
        <v>153.45361958272849</v>
      </c>
      <c r="J80">
        <f>RefCapacityProj!AJ80</f>
        <v>212.44933076266659</v>
      </c>
      <c r="K80">
        <f>RefCapacityProj!AK80</f>
        <v>191.54142485089093</v>
      </c>
      <c r="L80">
        <f>RefCapacityProj!AL80</f>
        <v>296.05129438836173</v>
      </c>
      <c r="M80">
        <f>RefCapacityProj!AM80</f>
        <v>1067.3315869217076</v>
      </c>
      <c r="P80" t="s">
        <v>465</v>
      </c>
      <c r="Q80">
        <v>2035</v>
      </c>
      <c r="R80">
        <v>2</v>
      </c>
      <c r="S80" t="s">
        <v>469</v>
      </c>
      <c r="T80" t="s">
        <v>468</v>
      </c>
      <c r="U80" t="s">
        <v>593</v>
      </c>
      <c r="V80">
        <v>829.69674757506368</v>
      </c>
    </row>
    <row r="81" spans="1:22" x14ac:dyDescent="0.25">
      <c r="A81">
        <v>80</v>
      </c>
      <c r="B81" t="str">
        <f>RefCapacityProj!B81</f>
        <v>MEDIUM</v>
      </c>
      <c r="C81">
        <f>RefCapacityProj!C81</f>
        <v>2050</v>
      </c>
      <c r="D81">
        <f>RefCapacityProj!D81</f>
        <v>5</v>
      </c>
      <c r="E81" t="str">
        <f>RefCapacityProj!E81</f>
        <v>LIGHT</v>
      </c>
      <c r="F81" t="str">
        <f>RefCapacityProj!F81</f>
        <v>SOUR</v>
      </c>
      <c r="G81">
        <f>RefCapacityProj!AG81</f>
        <v>72.532242932198571</v>
      </c>
      <c r="H81">
        <f>RefCapacityProj!AH81</f>
        <v>155.37195571896908</v>
      </c>
      <c r="I81">
        <f>RefCapacityProj!AI81</f>
        <v>153.45361958272849</v>
      </c>
      <c r="J81">
        <f>RefCapacityProj!AJ81</f>
        <v>212.44933076266659</v>
      </c>
      <c r="K81">
        <f>RefCapacityProj!AK81</f>
        <v>191.54142485089093</v>
      </c>
      <c r="L81">
        <f>RefCapacityProj!AL81</f>
        <v>296.05129438836173</v>
      </c>
      <c r="M81">
        <f>RefCapacityProj!AM81</f>
        <v>1067.3315869217076</v>
      </c>
      <c r="P81" t="s">
        <v>465</v>
      </c>
      <c r="Q81">
        <v>2035</v>
      </c>
      <c r="R81">
        <v>2</v>
      </c>
      <c r="S81" t="s">
        <v>469</v>
      </c>
      <c r="T81" t="s">
        <v>468</v>
      </c>
      <c r="U81" t="s">
        <v>594</v>
      </c>
      <c r="V81">
        <v>0</v>
      </c>
    </row>
    <row r="82" spans="1:22" x14ac:dyDescent="0.25">
      <c r="A82">
        <v>81</v>
      </c>
      <c r="B82" t="str">
        <f>RefCapacityProj!B82</f>
        <v>HIGH</v>
      </c>
      <c r="C82">
        <f>RefCapacityProj!C82</f>
        <v>2035</v>
      </c>
      <c r="D82">
        <f>RefCapacityProj!D82</f>
        <v>1</v>
      </c>
      <c r="E82" t="str">
        <f>RefCapacityProj!E82</f>
        <v>HEAVY</v>
      </c>
      <c r="F82" t="str">
        <f>RefCapacityProj!F82</f>
        <v>SWEET</v>
      </c>
      <c r="G82">
        <f>RefCapacityProj!AG82</f>
        <v>29.846612737622394</v>
      </c>
      <c r="H82">
        <f>RefCapacityProj!AH82</f>
        <v>256.85668773754702</v>
      </c>
      <c r="I82">
        <f>RefCapacityProj!AI82</f>
        <v>0</v>
      </c>
      <c r="J82">
        <f>RefCapacityProj!AJ82</f>
        <v>71.74441699529612</v>
      </c>
      <c r="K82">
        <f>RefCapacityProj!AK82</f>
        <v>55.453024982798475</v>
      </c>
      <c r="L82">
        <f>RefCapacityProj!AL82</f>
        <v>0</v>
      </c>
      <c r="M82">
        <f>RefCapacityProj!AM82</f>
        <v>60.562486045342425</v>
      </c>
      <c r="P82" t="s">
        <v>465</v>
      </c>
      <c r="Q82">
        <v>2035</v>
      </c>
      <c r="R82">
        <v>2</v>
      </c>
      <c r="S82" t="s">
        <v>469</v>
      </c>
      <c r="T82" t="s">
        <v>468</v>
      </c>
      <c r="U82" t="s">
        <v>595</v>
      </c>
      <c r="V82">
        <v>463.43746656245816</v>
      </c>
    </row>
    <row r="83" spans="1:22" x14ac:dyDescent="0.25">
      <c r="A83">
        <v>82</v>
      </c>
      <c r="B83" t="str">
        <f>RefCapacityProj!B83</f>
        <v>HIGH</v>
      </c>
      <c r="C83">
        <f>RefCapacityProj!C83</f>
        <v>2035</v>
      </c>
      <c r="D83">
        <f>RefCapacityProj!D83</f>
        <v>1</v>
      </c>
      <c r="E83" t="str">
        <f>RefCapacityProj!E83</f>
        <v>HEAVY</v>
      </c>
      <c r="F83" t="str">
        <f>RefCapacityProj!F83</f>
        <v>SOUR</v>
      </c>
      <c r="G83">
        <f>RefCapacityProj!AG83</f>
        <v>29.846612737622394</v>
      </c>
      <c r="H83">
        <f>RefCapacityProj!AH83</f>
        <v>256.85668773754702</v>
      </c>
      <c r="I83">
        <f>RefCapacityProj!AI83</f>
        <v>0</v>
      </c>
      <c r="J83">
        <f>RefCapacityProj!AJ83</f>
        <v>71.74441699529612</v>
      </c>
      <c r="K83">
        <f>RefCapacityProj!AK83</f>
        <v>55.453024982798475</v>
      </c>
      <c r="L83">
        <f>RefCapacityProj!AL83</f>
        <v>0</v>
      </c>
      <c r="M83">
        <f>RefCapacityProj!AM83</f>
        <v>60.562486045342425</v>
      </c>
      <c r="P83" t="s">
        <v>465</v>
      </c>
      <c r="Q83">
        <v>2035</v>
      </c>
      <c r="R83">
        <v>2</v>
      </c>
      <c r="S83" t="s">
        <v>469</v>
      </c>
      <c r="T83" t="s">
        <v>468</v>
      </c>
      <c r="U83" t="s">
        <v>596</v>
      </c>
      <c r="V83">
        <v>1306.6174475700918</v>
      </c>
    </row>
    <row r="84" spans="1:22" x14ac:dyDescent="0.25">
      <c r="A84">
        <v>83</v>
      </c>
      <c r="B84" t="str">
        <f>RefCapacityProj!B84</f>
        <v>HIGH</v>
      </c>
      <c r="C84">
        <f>RefCapacityProj!C84</f>
        <v>2035</v>
      </c>
      <c r="D84">
        <f>RefCapacityProj!D84</f>
        <v>1</v>
      </c>
      <c r="E84" t="str">
        <f>RefCapacityProj!E84</f>
        <v>LIGHT</v>
      </c>
      <c r="F84" t="str">
        <f>RefCapacityProj!F84</f>
        <v>SWEET</v>
      </c>
      <c r="G84">
        <f>RefCapacityProj!AG84</f>
        <v>73.263358328750613</v>
      </c>
      <c r="H84">
        <f>RefCapacityProj!AH84</f>
        <v>263.99138403853522</v>
      </c>
      <c r="I84">
        <f>RefCapacityProj!AI84</f>
        <v>0</v>
      </c>
      <c r="J84">
        <f>RefCapacityProj!AJ84</f>
        <v>60.179024156308721</v>
      </c>
      <c r="K84">
        <f>RefCapacityProj!AK84</f>
        <v>41.261160868430416</v>
      </c>
      <c r="L84">
        <f>RefCapacityProj!AL84</f>
        <v>0</v>
      </c>
      <c r="M84">
        <f>RefCapacityProj!AM84</f>
        <v>36.761535327932144</v>
      </c>
      <c r="P84" t="s">
        <v>465</v>
      </c>
      <c r="Q84">
        <v>2035</v>
      </c>
      <c r="R84">
        <v>2</v>
      </c>
      <c r="S84" t="s">
        <v>469</v>
      </c>
      <c r="T84" t="s">
        <v>468</v>
      </c>
      <c r="U84" t="s">
        <v>597</v>
      </c>
      <c r="V84">
        <v>0</v>
      </c>
    </row>
    <row r="85" spans="1:22" x14ac:dyDescent="0.25">
      <c r="A85">
        <v>84</v>
      </c>
      <c r="B85" t="str">
        <f>RefCapacityProj!B85</f>
        <v>HIGH</v>
      </c>
      <c r="C85">
        <f>RefCapacityProj!C85</f>
        <v>2035</v>
      </c>
      <c r="D85">
        <f>RefCapacityProj!D85</f>
        <v>1</v>
      </c>
      <c r="E85" t="str">
        <f>RefCapacityProj!E85</f>
        <v>LIGHT</v>
      </c>
      <c r="F85" t="str">
        <f>RefCapacityProj!F85</f>
        <v>SOUR</v>
      </c>
      <c r="G85">
        <f>RefCapacityProj!AG85</f>
        <v>73.263358328750613</v>
      </c>
      <c r="H85">
        <f>RefCapacityProj!AH85</f>
        <v>263.99138403853522</v>
      </c>
      <c r="I85">
        <f>RefCapacityProj!AI85</f>
        <v>0</v>
      </c>
      <c r="J85">
        <f>RefCapacityProj!AJ85</f>
        <v>60.179024156308721</v>
      </c>
      <c r="K85">
        <f>RefCapacityProj!AK85</f>
        <v>41.261160868430416</v>
      </c>
      <c r="L85">
        <f>RefCapacityProj!AL85</f>
        <v>0</v>
      </c>
      <c r="M85">
        <f>RefCapacityProj!AM85</f>
        <v>36.761535327932144</v>
      </c>
      <c r="P85" t="s">
        <v>465</v>
      </c>
      <c r="Q85">
        <v>2035</v>
      </c>
      <c r="R85">
        <v>2</v>
      </c>
      <c r="S85" t="s">
        <v>469</v>
      </c>
      <c r="T85" t="s">
        <v>468</v>
      </c>
      <c r="U85" t="s">
        <v>598</v>
      </c>
      <c r="V85">
        <v>762.305134057788</v>
      </c>
    </row>
    <row r="86" spans="1:22" x14ac:dyDescent="0.25">
      <c r="A86">
        <v>85</v>
      </c>
      <c r="B86" t="str">
        <f>RefCapacityProj!B86</f>
        <v>HIGH</v>
      </c>
      <c r="C86">
        <f>RefCapacityProj!C86</f>
        <v>2050</v>
      </c>
      <c r="D86">
        <f>RefCapacityProj!D86</f>
        <v>1</v>
      </c>
      <c r="E86" t="str">
        <f>RefCapacityProj!E86</f>
        <v>HEAVY</v>
      </c>
      <c r="F86" t="str">
        <f>RefCapacityProj!F86</f>
        <v>SWEET</v>
      </c>
      <c r="G86">
        <f>RefCapacityProj!AG86</f>
        <v>24.441641175859235</v>
      </c>
      <c r="H86">
        <f>RefCapacityProj!AH86</f>
        <v>165.37425637709649</v>
      </c>
      <c r="I86">
        <f>RefCapacityProj!AI86</f>
        <v>0</v>
      </c>
      <c r="J86">
        <f>RefCapacityProj!AJ86</f>
        <v>44.502242022212954</v>
      </c>
      <c r="K86">
        <f>RefCapacityProj!AK86</f>
        <v>33.743799507007274</v>
      </c>
      <c r="L86">
        <f>RefCapacityProj!AL86</f>
        <v>0</v>
      </c>
      <c r="M86">
        <f>RefCapacityProj!AM86</f>
        <v>35.823830427607803</v>
      </c>
      <c r="P86" t="s">
        <v>465</v>
      </c>
      <c r="Q86">
        <v>2050</v>
      </c>
      <c r="R86">
        <v>2</v>
      </c>
      <c r="S86" t="s">
        <v>466</v>
      </c>
      <c r="T86" t="s">
        <v>467</v>
      </c>
      <c r="U86" t="s">
        <v>592</v>
      </c>
      <c r="V86">
        <v>89.583978716782511</v>
      </c>
    </row>
    <row r="87" spans="1:22" x14ac:dyDescent="0.25">
      <c r="A87">
        <v>86</v>
      </c>
      <c r="B87" t="str">
        <f>RefCapacityProj!B87</f>
        <v>HIGH</v>
      </c>
      <c r="C87">
        <f>RefCapacityProj!C87</f>
        <v>2050</v>
      </c>
      <c r="D87">
        <f>RefCapacityProj!D87</f>
        <v>1</v>
      </c>
      <c r="E87" t="str">
        <f>RefCapacityProj!E87</f>
        <v>HEAVY</v>
      </c>
      <c r="F87" t="str">
        <f>RefCapacityProj!F87</f>
        <v>SOUR</v>
      </c>
      <c r="G87">
        <f>RefCapacityProj!AG87</f>
        <v>24.441641175859235</v>
      </c>
      <c r="H87">
        <f>RefCapacityProj!AH87</f>
        <v>165.37425637709649</v>
      </c>
      <c r="I87">
        <f>RefCapacityProj!AI87</f>
        <v>0</v>
      </c>
      <c r="J87">
        <f>RefCapacityProj!AJ87</f>
        <v>44.502242022212954</v>
      </c>
      <c r="K87">
        <f>RefCapacityProj!AK87</f>
        <v>33.743799507007274</v>
      </c>
      <c r="L87">
        <f>RefCapacityProj!AL87</f>
        <v>0</v>
      </c>
      <c r="M87">
        <f>RefCapacityProj!AM87</f>
        <v>35.823830427607803</v>
      </c>
      <c r="P87" t="s">
        <v>465</v>
      </c>
      <c r="Q87">
        <v>2050</v>
      </c>
      <c r="R87">
        <v>2</v>
      </c>
      <c r="S87" t="s">
        <v>466</v>
      </c>
      <c r="T87" t="s">
        <v>467</v>
      </c>
      <c r="U87" t="s">
        <v>593</v>
      </c>
      <c r="V87">
        <v>540.39022219050958</v>
      </c>
    </row>
    <row r="88" spans="1:22" x14ac:dyDescent="0.25">
      <c r="A88">
        <v>87</v>
      </c>
      <c r="B88" t="str">
        <f>RefCapacityProj!B88</f>
        <v>HIGH</v>
      </c>
      <c r="C88">
        <f>RefCapacityProj!C88</f>
        <v>2050</v>
      </c>
      <c r="D88">
        <f>RefCapacityProj!D88</f>
        <v>1</v>
      </c>
      <c r="E88" t="str">
        <f>RefCapacityProj!E88</f>
        <v>LIGHT</v>
      </c>
      <c r="F88" t="str">
        <f>RefCapacityProj!F88</f>
        <v>SWEET</v>
      </c>
      <c r="G88">
        <f>RefCapacityProj!AG88</f>
        <v>64.139843666176475</v>
      </c>
      <c r="H88">
        <f>RefCapacityProj!AH88</f>
        <v>171.80857891618004</v>
      </c>
      <c r="I88">
        <f>RefCapacityProj!AI88</f>
        <v>0</v>
      </c>
      <c r="J88">
        <f>RefCapacityProj!AJ88</f>
        <v>33.764979964566116</v>
      </c>
      <c r="K88">
        <f>RefCapacityProj!AK88</f>
        <v>20.600964467987716</v>
      </c>
      <c r="L88">
        <f>RefCapacityProj!AL88</f>
        <v>0</v>
      </c>
      <c r="M88">
        <f>RefCapacityProj!AM88</f>
        <v>13.864545204072517</v>
      </c>
      <c r="P88" t="s">
        <v>465</v>
      </c>
      <c r="Q88">
        <v>2050</v>
      </c>
      <c r="R88">
        <v>2</v>
      </c>
      <c r="S88" t="s">
        <v>466</v>
      </c>
      <c r="T88" t="s">
        <v>467</v>
      </c>
      <c r="U88" t="s">
        <v>594</v>
      </c>
      <c r="V88">
        <v>0</v>
      </c>
    </row>
    <row r="89" spans="1:22" x14ac:dyDescent="0.25">
      <c r="A89">
        <v>88</v>
      </c>
      <c r="B89" t="str">
        <f>RefCapacityProj!B89</f>
        <v>HIGH</v>
      </c>
      <c r="C89">
        <f>RefCapacityProj!C89</f>
        <v>2050</v>
      </c>
      <c r="D89">
        <f>RefCapacityProj!D89</f>
        <v>1</v>
      </c>
      <c r="E89" t="str">
        <f>RefCapacityProj!E89</f>
        <v>LIGHT</v>
      </c>
      <c r="F89" t="str">
        <f>RefCapacityProj!F89</f>
        <v>SOUR</v>
      </c>
      <c r="G89">
        <f>RefCapacityProj!AG89</f>
        <v>64.139843666176475</v>
      </c>
      <c r="H89">
        <f>RefCapacityProj!AH89</f>
        <v>171.80857891618004</v>
      </c>
      <c r="I89">
        <f>RefCapacityProj!AI89</f>
        <v>0</v>
      </c>
      <c r="J89">
        <f>RefCapacityProj!AJ89</f>
        <v>33.764979964566116</v>
      </c>
      <c r="K89">
        <f>RefCapacityProj!AK89</f>
        <v>20.600964467987716</v>
      </c>
      <c r="L89">
        <f>RefCapacityProj!AL89</f>
        <v>0</v>
      </c>
      <c r="M89">
        <f>RefCapacityProj!AM89</f>
        <v>13.864545204072517</v>
      </c>
      <c r="P89" t="s">
        <v>465</v>
      </c>
      <c r="Q89">
        <v>2050</v>
      </c>
      <c r="R89">
        <v>2</v>
      </c>
      <c r="S89" t="s">
        <v>466</v>
      </c>
      <c r="T89" t="s">
        <v>467</v>
      </c>
      <c r="U89" t="s">
        <v>595</v>
      </c>
      <c r="V89">
        <v>431.49921869606715</v>
      </c>
    </row>
    <row r="90" spans="1:22" x14ac:dyDescent="0.25">
      <c r="A90">
        <v>89</v>
      </c>
      <c r="B90" t="str">
        <f>RefCapacityProj!B90</f>
        <v>HIGH</v>
      </c>
      <c r="C90">
        <f>RefCapacityProj!C90</f>
        <v>2035</v>
      </c>
      <c r="D90">
        <f>RefCapacityProj!D90</f>
        <v>2</v>
      </c>
      <c r="E90" t="str">
        <f>RefCapacityProj!E90</f>
        <v>HEAVY</v>
      </c>
      <c r="F90" t="str">
        <f>RefCapacityProj!F90</f>
        <v>SWEET</v>
      </c>
      <c r="G90">
        <f>RefCapacityProj!AG90</f>
        <v>31.11138107340858</v>
      </c>
      <c r="H90">
        <f>RefCapacityProj!AH90</f>
        <v>396.40481566115278</v>
      </c>
      <c r="I90">
        <f>RefCapacityProj!AI90</f>
        <v>0</v>
      </c>
      <c r="J90">
        <f>RefCapacityProj!AJ90</f>
        <v>329.86889818033472</v>
      </c>
      <c r="K90">
        <f>RefCapacityProj!AK90</f>
        <v>1018.3887749946243</v>
      </c>
      <c r="L90">
        <f>RefCapacityProj!AL90</f>
        <v>0</v>
      </c>
      <c r="M90">
        <f>RefCapacityProj!AM90</f>
        <v>828.22145545169667</v>
      </c>
      <c r="P90" t="s">
        <v>465</v>
      </c>
      <c r="Q90">
        <v>2050</v>
      </c>
      <c r="R90">
        <v>2</v>
      </c>
      <c r="S90" t="s">
        <v>466</v>
      </c>
      <c r="T90" t="s">
        <v>467</v>
      </c>
      <c r="U90" t="s">
        <v>596</v>
      </c>
      <c r="V90">
        <v>1350.9083430698274</v>
      </c>
    </row>
    <row r="91" spans="1:22" x14ac:dyDescent="0.25">
      <c r="A91">
        <v>90</v>
      </c>
      <c r="B91" t="str">
        <f>RefCapacityProj!B91</f>
        <v>HIGH</v>
      </c>
      <c r="C91">
        <f>RefCapacityProj!C91</f>
        <v>2035</v>
      </c>
      <c r="D91">
        <f>RefCapacityProj!D91</f>
        <v>2</v>
      </c>
      <c r="E91" t="str">
        <f>RefCapacityProj!E91</f>
        <v>HEAVY</v>
      </c>
      <c r="F91" t="str">
        <f>RefCapacityProj!F91</f>
        <v>SOUR</v>
      </c>
      <c r="G91">
        <f>RefCapacityProj!AG91</f>
        <v>31.11138107340858</v>
      </c>
      <c r="H91">
        <f>RefCapacityProj!AH91</f>
        <v>396.40481566115278</v>
      </c>
      <c r="I91">
        <f>RefCapacityProj!AI91</f>
        <v>0</v>
      </c>
      <c r="J91">
        <f>RefCapacityProj!AJ91</f>
        <v>329.86889818033472</v>
      </c>
      <c r="K91">
        <f>RefCapacityProj!AK91</f>
        <v>1018.3887749946243</v>
      </c>
      <c r="L91">
        <f>RefCapacityProj!AL91</f>
        <v>0</v>
      </c>
      <c r="M91">
        <f>RefCapacityProj!AM91</f>
        <v>828.22145545169667</v>
      </c>
      <c r="P91" t="s">
        <v>465</v>
      </c>
      <c r="Q91">
        <v>2050</v>
      </c>
      <c r="R91">
        <v>2</v>
      </c>
      <c r="S91" t="s">
        <v>466</v>
      </c>
      <c r="T91" t="s">
        <v>467</v>
      </c>
      <c r="U91" t="s">
        <v>597</v>
      </c>
      <c r="V91">
        <v>0</v>
      </c>
    </row>
    <row r="92" spans="1:22" x14ac:dyDescent="0.25">
      <c r="A92">
        <v>91</v>
      </c>
      <c r="B92" t="str">
        <f>RefCapacityProj!B92</f>
        <v>HIGH</v>
      </c>
      <c r="C92">
        <f>RefCapacityProj!C92</f>
        <v>2035</v>
      </c>
      <c r="D92">
        <f>RefCapacityProj!D92</f>
        <v>2</v>
      </c>
      <c r="E92" t="str">
        <f>RefCapacityProj!E92</f>
        <v>LIGHT</v>
      </c>
      <c r="F92" t="str">
        <f>RefCapacityProj!F92</f>
        <v>SWEET</v>
      </c>
      <c r="G92">
        <f>RefCapacityProj!AG92</f>
        <v>69.093712131299313</v>
      </c>
      <c r="H92">
        <f>RefCapacityProj!AH92</f>
        <v>527.08292418742781</v>
      </c>
      <c r="I92">
        <f>RefCapacityProj!AI92</f>
        <v>0</v>
      </c>
      <c r="J92">
        <f>RefCapacityProj!AJ92</f>
        <v>314.26366958839816</v>
      </c>
      <c r="K92">
        <f>RefCapacityProj!AK92</f>
        <v>982.07603718161386</v>
      </c>
      <c r="L92">
        <f>RefCapacityProj!AL92</f>
        <v>0</v>
      </c>
      <c r="M92">
        <f>RefCapacityProj!AM92</f>
        <v>716.59230130470542</v>
      </c>
      <c r="P92" t="s">
        <v>465</v>
      </c>
      <c r="Q92">
        <v>2050</v>
      </c>
      <c r="R92">
        <v>2</v>
      </c>
      <c r="S92" t="s">
        <v>466</v>
      </c>
      <c r="T92" t="s">
        <v>467</v>
      </c>
      <c r="U92" t="s">
        <v>598</v>
      </c>
      <c r="V92">
        <v>1086.0199787939096</v>
      </c>
    </row>
    <row r="93" spans="1:22" x14ac:dyDescent="0.25">
      <c r="A93">
        <v>92</v>
      </c>
      <c r="B93" t="str">
        <f>RefCapacityProj!B93</f>
        <v>HIGH</v>
      </c>
      <c r="C93">
        <f>RefCapacityProj!C93</f>
        <v>2035</v>
      </c>
      <c r="D93">
        <f>RefCapacityProj!D93</f>
        <v>2</v>
      </c>
      <c r="E93" t="str">
        <f>RefCapacityProj!E93</f>
        <v>LIGHT</v>
      </c>
      <c r="F93" t="str">
        <f>RefCapacityProj!F93</f>
        <v>SOUR</v>
      </c>
      <c r="G93">
        <f>RefCapacityProj!AG93</f>
        <v>69.093712131299313</v>
      </c>
      <c r="H93">
        <f>RefCapacityProj!AH93</f>
        <v>527.08292418742781</v>
      </c>
      <c r="I93">
        <f>RefCapacityProj!AI93</f>
        <v>0</v>
      </c>
      <c r="J93">
        <f>RefCapacityProj!AJ93</f>
        <v>314.26366958839816</v>
      </c>
      <c r="K93">
        <f>RefCapacityProj!AK93</f>
        <v>982.07603718161386</v>
      </c>
      <c r="L93">
        <f>RefCapacityProj!AL93</f>
        <v>0</v>
      </c>
      <c r="M93">
        <f>RefCapacityProj!AM93</f>
        <v>716.59230130470542</v>
      </c>
      <c r="P93" t="s">
        <v>465</v>
      </c>
      <c r="Q93">
        <v>2050</v>
      </c>
      <c r="R93">
        <v>2</v>
      </c>
      <c r="S93" t="s">
        <v>466</v>
      </c>
      <c r="T93" t="s">
        <v>468</v>
      </c>
      <c r="U93" t="s">
        <v>592</v>
      </c>
      <c r="V93">
        <v>89.583978716782511</v>
      </c>
    </row>
    <row r="94" spans="1:22" x14ac:dyDescent="0.25">
      <c r="A94">
        <v>93</v>
      </c>
      <c r="B94" t="str">
        <f>RefCapacityProj!B94</f>
        <v>HIGH</v>
      </c>
      <c r="C94">
        <f>RefCapacityProj!C94</f>
        <v>2050</v>
      </c>
      <c r="D94">
        <f>RefCapacityProj!D94</f>
        <v>2</v>
      </c>
      <c r="E94" t="str">
        <f>RefCapacityProj!E94</f>
        <v>HEAVY</v>
      </c>
      <c r="F94" t="str">
        <f>RefCapacityProj!F94</f>
        <v>SWEET</v>
      </c>
      <c r="G94">
        <f>RefCapacityProj!AG94</f>
        <v>1.5544844879371439E-3</v>
      </c>
      <c r="H94">
        <f>RefCapacityProj!AH94</f>
        <v>113.83695407572873</v>
      </c>
      <c r="I94">
        <f>RefCapacityProj!AI94</f>
        <v>0</v>
      </c>
      <c r="J94">
        <f>RefCapacityProj!AJ94</f>
        <v>215.47776861229607</v>
      </c>
      <c r="K94">
        <f>RefCapacityProj!AK94</f>
        <v>665.64181724712364</v>
      </c>
      <c r="L94">
        <f>RefCapacityProj!AL94</f>
        <v>0</v>
      </c>
      <c r="M94">
        <f>RefCapacityProj!AM94</f>
        <v>620.1442771648326</v>
      </c>
      <c r="P94" t="s">
        <v>465</v>
      </c>
      <c r="Q94">
        <v>2050</v>
      </c>
      <c r="R94">
        <v>2</v>
      </c>
      <c r="S94" t="s">
        <v>466</v>
      </c>
      <c r="T94" t="s">
        <v>468</v>
      </c>
      <c r="U94" t="s">
        <v>593</v>
      </c>
      <c r="V94">
        <v>540.39022219050958</v>
      </c>
    </row>
    <row r="95" spans="1:22" x14ac:dyDescent="0.25">
      <c r="A95">
        <v>94</v>
      </c>
      <c r="B95" t="str">
        <f>RefCapacityProj!B95</f>
        <v>HIGH</v>
      </c>
      <c r="C95">
        <f>RefCapacityProj!C95</f>
        <v>2050</v>
      </c>
      <c r="D95">
        <f>RefCapacityProj!D95</f>
        <v>2</v>
      </c>
      <c r="E95" t="str">
        <f>RefCapacityProj!E95</f>
        <v>HEAVY</v>
      </c>
      <c r="F95" t="str">
        <f>RefCapacityProj!F95</f>
        <v>SOUR</v>
      </c>
      <c r="G95">
        <f>RefCapacityProj!AG95</f>
        <v>1.5544844879371439E-3</v>
      </c>
      <c r="H95">
        <f>RefCapacityProj!AH95</f>
        <v>113.83695407572873</v>
      </c>
      <c r="I95">
        <f>RefCapacityProj!AI95</f>
        <v>0</v>
      </c>
      <c r="J95">
        <f>RefCapacityProj!AJ95</f>
        <v>215.47776861229607</v>
      </c>
      <c r="K95">
        <f>RefCapacityProj!AK95</f>
        <v>665.64181724712364</v>
      </c>
      <c r="L95">
        <f>RefCapacityProj!AL95</f>
        <v>0</v>
      </c>
      <c r="M95">
        <f>RefCapacityProj!AM95</f>
        <v>620.1442771648326</v>
      </c>
      <c r="P95" t="s">
        <v>465</v>
      </c>
      <c r="Q95">
        <v>2050</v>
      </c>
      <c r="R95">
        <v>2</v>
      </c>
      <c r="S95" t="s">
        <v>466</v>
      </c>
      <c r="T95" t="s">
        <v>468</v>
      </c>
      <c r="U95" t="s">
        <v>594</v>
      </c>
      <c r="V95">
        <v>0</v>
      </c>
    </row>
    <row r="96" spans="1:22" x14ac:dyDescent="0.25">
      <c r="A96">
        <v>95</v>
      </c>
      <c r="B96" t="str">
        <f>RefCapacityProj!B96</f>
        <v>HIGH</v>
      </c>
      <c r="C96">
        <f>RefCapacityProj!C96</f>
        <v>2050</v>
      </c>
      <c r="D96">
        <f>RefCapacityProj!D96</f>
        <v>2</v>
      </c>
      <c r="E96" t="str">
        <f>RefCapacityProj!E96</f>
        <v>LIGHT</v>
      </c>
      <c r="F96" t="str">
        <f>RefCapacityProj!F96</f>
        <v>SWEET</v>
      </c>
      <c r="G96">
        <f>RefCapacityProj!AG96</f>
        <v>20.577497308714069</v>
      </c>
      <c r="H96">
        <f>RefCapacityProj!AH96</f>
        <v>248.4510153950194</v>
      </c>
      <c r="I96">
        <f>RefCapacityProj!AI96</f>
        <v>0</v>
      </c>
      <c r="J96">
        <f>RefCapacityProj!AJ96</f>
        <v>206.42754893132076</v>
      </c>
      <c r="K96">
        <f>RefCapacityProj!AK96</f>
        <v>637.2335572339814</v>
      </c>
      <c r="L96">
        <f>RefCapacityProj!AL96</f>
        <v>0</v>
      </c>
      <c r="M96">
        <f>RefCapacityProj!AM96</f>
        <v>518.031763714112</v>
      </c>
      <c r="P96" t="s">
        <v>465</v>
      </c>
      <c r="Q96">
        <v>2050</v>
      </c>
      <c r="R96">
        <v>2</v>
      </c>
      <c r="S96" t="s">
        <v>466</v>
      </c>
      <c r="T96" t="s">
        <v>468</v>
      </c>
      <c r="U96" t="s">
        <v>595</v>
      </c>
      <c r="V96">
        <v>431.49921869606715</v>
      </c>
    </row>
    <row r="97" spans="1:22" x14ac:dyDescent="0.25">
      <c r="A97">
        <v>96</v>
      </c>
      <c r="B97" t="str">
        <f>RefCapacityProj!B97</f>
        <v>HIGH</v>
      </c>
      <c r="C97">
        <f>RefCapacityProj!C97</f>
        <v>2050</v>
      </c>
      <c r="D97">
        <f>RefCapacityProj!D97</f>
        <v>2</v>
      </c>
      <c r="E97" t="str">
        <f>RefCapacityProj!E97</f>
        <v>LIGHT</v>
      </c>
      <c r="F97" t="str">
        <f>RefCapacityProj!F97</f>
        <v>SOUR</v>
      </c>
      <c r="G97">
        <f>RefCapacityProj!AG97</f>
        <v>20.577497308714069</v>
      </c>
      <c r="H97">
        <f>RefCapacityProj!AH97</f>
        <v>248.4510153950194</v>
      </c>
      <c r="I97">
        <f>RefCapacityProj!AI97</f>
        <v>0</v>
      </c>
      <c r="J97">
        <f>RefCapacityProj!AJ97</f>
        <v>206.42754893132076</v>
      </c>
      <c r="K97">
        <f>RefCapacityProj!AK97</f>
        <v>637.2335572339814</v>
      </c>
      <c r="L97">
        <f>RefCapacityProj!AL97</f>
        <v>0</v>
      </c>
      <c r="M97">
        <f>RefCapacityProj!AM97</f>
        <v>518.031763714112</v>
      </c>
      <c r="P97" t="s">
        <v>465</v>
      </c>
      <c r="Q97">
        <v>2050</v>
      </c>
      <c r="R97">
        <v>2</v>
      </c>
      <c r="S97" t="s">
        <v>466</v>
      </c>
      <c r="T97" t="s">
        <v>468</v>
      </c>
      <c r="U97" t="s">
        <v>596</v>
      </c>
      <c r="V97">
        <v>1350.9083430698274</v>
      </c>
    </row>
    <row r="98" spans="1:22" x14ac:dyDescent="0.25">
      <c r="A98">
        <v>97</v>
      </c>
      <c r="B98" t="str">
        <f>RefCapacityProj!B98</f>
        <v>HIGH</v>
      </c>
      <c r="C98">
        <f>RefCapacityProj!C98</f>
        <v>2035</v>
      </c>
      <c r="D98">
        <f>RefCapacityProj!D98</f>
        <v>3</v>
      </c>
      <c r="E98" t="str">
        <f>RefCapacityProj!E98</f>
        <v>HEAVY</v>
      </c>
      <c r="F98" t="str">
        <f>RefCapacityProj!F98</f>
        <v>SWEET</v>
      </c>
      <c r="G98">
        <f>RefCapacityProj!AG98</f>
        <v>654.99048633637051</v>
      </c>
      <c r="H98">
        <f>RefCapacityProj!AH98</f>
        <v>546.58970379827178</v>
      </c>
      <c r="I98">
        <f>RefCapacityProj!AI98</f>
        <v>305.84544722538271</v>
      </c>
      <c r="J98">
        <f>RefCapacityProj!AJ98</f>
        <v>575.69984114834119</v>
      </c>
      <c r="K98">
        <f>RefCapacityProj!AK98</f>
        <v>1280.5159588136223</v>
      </c>
      <c r="L98">
        <f>RefCapacityProj!AL98</f>
        <v>1.3871638809558644E-2</v>
      </c>
      <c r="M98">
        <f>RefCapacityProj!AM98</f>
        <v>3460.3052713523684</v>
      </c>
      <c r="P98" t="s">
        <v>465</v>
      </c>
      <c r="Q98">
        <v>2050</v>
      </c>
      <c r="R98">
        <v>2</v>
      </c>
      <c r="S98" t="s">
        <v>466</v>
      </c>
      <c r="T98" t="s">
        <v>468</v>
      </c>
      <c r="U98" t="s">
        <v>597</v>
      </c>
      <c r="V98">
        <v>0</v>
      </c>
    </row>
    <row r="99" spans="1:22" x14ac:dyDescent="0.25">
      <c r="A99">
        <v>98</v>
      </c>
      <c r="B99" t="str">
        <f>RefCapacityProj!B99</f>
        <v>HIGH</v>
      </c>
      <c r="C99">
        <f>RefCapacityProj!C99</f>
        <v>2035</v>
      </c>
      <c r="D99">
        <f>RefCapacityProj!D99</f>
        <v>3</v>
      </c>
      <c r="E99" t="str">
        <f>RefCapacityProj!E99</f>
        <v>HEAVY</v>
      </c>
      <c r="F99" t="str">
        <f>RefCapacityProj!F99</f>
        <v>SOUR</v>
      </c>
      <c r="G99">
        <f>RefCapacityProj!AG99</f>
        <v>654.99048633637051</v>
      </c>
      <c r="H99">
        <f>RefCapacityProj!AH99</f>
        <v>546.58970379827178</v>
      </c>
      <c r="I99">
        <f>RefCapacityProj!AI99</f>
        <v>305.84544722538271</v>
      </c>
      <c r="J99">
        <f>RefCapacityProj!AJ99</f>
        <v>575.69984114834119</v>
      </c>
      <c r="K99">
        <f>RefCapacityProj!AK99</f>
        <v>1280.5159588136223</v>
      </c>
      <c r="L99">
        <f>RefCapacityProj!AL99</f>
        <v>1.3871638809558644E-2</v>
      </c>
      <c r="M99">
        <f>RefCapacityProj!AM99</f>
        <v>3460.3052713523684</v>
      </c>
      <c r="P99" t="s">
        <v>465</v>
      </c>
      <c r="Q99">
        <v>2050</v>
      </c>
      <c r="R99">
        <v>2</v>
      </c>
      <c r="S99" t="s">
        <v>466</v>
      </c>
      <c r="T99" t="s">
        <v>468</v>
      </c>
      <c r="U99" t="s">
        <v>598</v>
      </c>
      <c r="V99">
        <v>1086.0199787939096</v>
      </c>
    </row>
    <row r="100" spans="1:22" x14ac:dyDescent="0.25">
      <c r="A100">
        <v>99</v>
      </c>
      <c r="B100" t="str">
        <f>RefCapacityProj!B100</f>
        <v>HIGH</v>
      </c>
      <c r="C100">
        <f>RefCapacityProj!C100</f>
        <v>2035</v>
      </c>
      <c r="D100">
        <f>RefCapacityProj!D100</f>
        <v>3</v>
      </c>
      <c r="E100" t="str">
        <f>RefCapacityProj!E100</f>
        <v>LIGHT</v>
      </c>
      <c r="F100" t="str">
        <f>RefCapacityProj!F100</f>
        <v>SWEET</v>
      </c>
      <c r="G100">
        <f>RefCapacityProj!AG100</f>
        <v>818.89930874557979</v>
      </c>
      <c r="H100">
        <f>RefCapacityProj!AH100</f>
        <v>927.50795488196491</v>
      </c>
      <c r="I100">
        <f>RefCapacityProj!AI100</f>
        <v>305.85107963292057</v>
      </c>
      <c r="J100">
        <f>RefCapacityProj!AJ100</f>
        <v>629.09023697296732</v>
      </c>
      <c r="K100">
        <f>RefCapacityProj!AK100</f>
        <v>1176.1991491937183</v>
      </c>
      <c r="L100">
        <f>RefCapacityProj!AL100</f>
        <v>53.616836517145714</v>
      </c>
      <c r="M100">
        <f>RefCapacityProj!AM100</f>
        <v>2782.2756814007839</v>
      </c>
      <c r="P100" t="s">
        <v>465</v>
      </c>
      <c r="Q100">
        <v>2050</v>
      </c>
      <c r="R100">
        <v>2</v>
      </c>
      <c r="S100" t="s">
        <v>469</v>
      </c>
      <c r="T100" t="s">
        <v>467</v>
      </c>
      <c r="U100" t="s">
        <v>592</v>
      </c>
      <c r="V100">
        <v>113.20539615678824</v>
      </c>
    </row>
    <row r="101" spans="1:22" x14ac:dyDescent="0.25">
      <c r="A101">
        <v>100</v>
      </c>
      <c r="B101" t="str">
        <f>RefCapacityProj!B101</f>
        <v>HIGH</v>
      </c>
      <c r="C101">
        <f>RefCapacityProj!C101</f>
        <v>2035</v>
      </c>
      <c r="D101">
        <f>RefCapacityProj!D101</f>
        <v>3</v>
      </c>
      <c r="E101" t="str">
        <f>RefCapacityProj!E101</f>
        <v>LIGHT</v>
      </c>
      <c r="F101" t="str">
        <f>RefCapacityProj!F101</f>
        <v>SOUR</v>
      </c>
      <c r="G101">
        <f>RefCapacityProj!AG101</f>
        <v>818.89930874557979</v>
      </c>
      <c r="H101">
        <f>RefCapacityProj!AH101</f>
        <v>927.50795488196491</v>
      </c>
      <c r="I101">
        <f>RefCapacityProj!AI101</f>
        <v>305.85107963292057</v>
      </c>
      <c r="J101">
        <f>RefCapacityProj!AJ101</f>
        <v>629.09023697296732</v>
      </c>
      <c r="K101">
        <f>RefCapacityProj!AK101</f>
        <v>1176.1991491937183</v>
      </c>
      <c r="L101">
        <f>RefCapacityProj!AL101</f>
        <v>53.616836517145714</v>
      </c>
      <c r="M101">
        <f>RefCapacityProj!AM101</f>
        <v>2782.2756814007839</v>
      </c>
      <c r="P101" t="s">
        <v>465</v>
      </c>
      <c r="Q101">
        <v>2050</v>
      </c>
      <c r="R101">
        <v>2</v>
      </c>
      <c r="S101" t="s">
        <v>469</v>
      </c>
      <c r="T101" t="s">
        <v>467</v>
      </c>
      <c r="U101" t="s">
        <v>593</v>
      </c>
      <c r="V101">
        <v>890.28287429312343</v>
      </c>
    </row>
    <row r="102" spans="1:22" x14ac:dyDescent="0.25">
      <c r="A102">
        <v>101</v>
      </c>
      <c r="B102" t="str">
        <f>RefCapacityProj!B102</f>
        <v>HIGH</v>
      </c>
      <c r="C102">
        <f>RefCapacityProj!C102</f>
        <v>2050</v>
      </c>
      <c r="D102">
        <f>RefCapacityProj!D102</f>
        <v>3</v>
      </c>
      <c r="E102" t="str">
        <f>RefCapacityProj!E102</f>
        <v>HEAVY</v>
      </c>
      <c r="F102" t="str">
        <f>RefCapacityProj!F102</f>
        <v>SWEET</v>
      </c>
      <c r="G102">
        <f>RefCapacityProj!AG102</f>
        <v>579.7592199702359</v>
      </c>
      <c r="H102">
        <f>RefCapacityProj!AH102</f>
        <v>400.3865446936066</v>
      </c>
      <c r="I102">
        <f>RefCapacityProj!AI102</f>
        <v>290.77856079284686</v>
      </c>
      <c r="J102">
        <f>RefCapacityProj!AJ102</f>
        <v>369.81685152810604</v>
      </c>
      <c r="K102">
        <f>RefCapacityProj!AK102</f>
        <v>871.49089105230644</v>
      </c>
      <c r="L102">
        <f>RefCapacityProj!AL102</f>
        <v>1.058203520278897E-3</v>
      </c>
      <c r="M102">
        <f>RefCapacityProj!AM102</f>
        <v>2419.0398676237351</v>
      </c>
      <c r="P102" t="s">
        <v>465</v>
      </c>
      <c r="Q102">
        <v>2050</v>
      </c>
      <c r="R102">
        <v>2</v>
      </c>
      <c r="S102" t="s">
        <v>469</v>
      </c>
      <c r="T102" t="s">
        <v>467</v>
      </c>
      <c r="U102" t="s">
        <v>594</v>
      </c>
      <c r="V102">
        <v>0</v>
      </c>
    </row>
    <row r="103" spans="1:22" x14ac:dyDescent="0.25">
      <c r="A103">
        <v>102</v>
      </c>
      <c r="B103" t="str">
        <f>RefCapacityProj!B103</f>
        <v>HIGH</v>
      </c>
      <c r="C103">
        <f>RefCapacityProj!C103</f>
        <v>2050</v>
      </c>
      <c r="D103">
        <f>RefCapacityProj!D103</f>
        <v>3</v>
      </c>
      <c r="E103" t="str">
        <f>RefCapacityProj!E103</f>
        <v>HEAVY</v>
      </c>
      <c r="F103" t="str">
        <f>RefCapacityProj!F103</f>
        <v>SOUR</v>
      </c>
      <c r="G103">
        <f>RefCapacityProj!AG103</f>
        <v>579.7592199702359</v>
      </c>
      <c r="H103">
        <f>RefCapacityProj!AH103</f>
        <v>400.3865446936066</v>
      </c>
      <c r="I103">
        <f>RefCapacityProj!AI103</f>
        <v>290.77856079284686</v>
      </c>
      <c r="J103">
        <f>RefCapacityProj!AJ103</f>
        <v>369.81685152810604</v>
      </c>
      <c r="K103">
        <f>RefCapacityProj!AK103</f>
        <v>871.49089105230644</v>
      </c>
      <c r="L103">
        <f>RefCapacityProj!AL103</f>
        <v>1.058203520278897E-3</v>
      </c>
      <c r="M103">
        <f>RefCapacityProj!AM103</f>
        <v>2419.0398676237351</v>
      </c>
      <c r="P103" t="s">
        <v>465</v>
      </c>
      <c r="Q103">
        <v>2050</v>
      </c>
      <c r="R103">
        <v>2</v>
      </c>
      <c r="S103" t="s">
        <v>469</v>
      </c>
      <c r="T103" t="s">
        <v>467</v>
      </c>
      <c r="U103" t="s">
        <v>595</v>
      </c>
      <c r="V103">
        <v>406.02400955810873</v>
      </c>
    </row>
    <row r="104" spans="1:22" x14ac:dyDescent="0.25">
      <c r="A104">
        <v>103</v>
      </c>
      <c r="B104" t="str">
        <f>RefCapacityProj!B104</f>
        <v>HIGH</v>
      </c>
      <c r="C104">
        <f>RefCapacityProj!C104</f>
        <v>2050</v>
      </c>
      <c r="D104">
        <f>RefCapacityProj!D104</f>
        <v>3</v>
      </c>
      <c r="E104" t="str">
        <f>RefCapacityProj!E104</f>
        <v>LIGHT</v>
      </c>
      <c r="F104" t="str">
        <f>RefCapacityProj!F104</f>
        <v>SWEET</v>
      </c>
      <c r="G104">
        <f>RefCapacityProj!AG104</f>
        <v>964.14913463690755</v>
      </c>
      <c r="H104">
        <f>RefCapacityProj!AH104</f>
        <v>456.68303786972717</v>
      </c>
      <c r="I104">
        <f>RefCapacityProj!AI104</f>
        <v>315.88421627417631</v>
      </c>
      <c r="J104">
        <f>RefCapacityProj!AJ104</f>
        <v>258.6292642427585</v>
      </c>
      <c r="K104">
        <f>RefCapacityProj!AK104</f>
        <v>736.54505440286175</v>
      </c>
      <c r="L104">
        <f>RefCapacityProj!AL104</f>
        <v>5.0811922240385334E-3</v>
      </c>
      <c r="M104">
        <f>RefCapacityProj!AM104</f>
        <v>2197.7633659736102</v>
      </c>
      <c r="P104" t="s">
        <v>465</v>
      </c>
      <c r="Q104">
        <v>2050</v>
      </c>
      <c r="R104">
        <v>2</v>
      </c>
      <c r="S104" t="s">
        <v>469</v>
      </c>
      <c r="T104" t="s">
        <v>467</v>
      </c>
      <c r="U104" t="s">
        <v>596</v>
      </c>
      <c r="V104">
        <v>1272.3102283693113</v>
      </c>
    </row>
    <row r="105" spans="1:22" x14ac:dyDescent="0.25">
      <c r="A105">
        <v>104</v>
      </c>
      <c r="B105" t="str">
        <f>RefCapacityProj!B105</f>
        <v>HIGH</v>
      </c>
      <c r="C105">
        <f>RefCapacityProj!C105</f>
        <v>2050</v>
      </c>
      <c r="D105">
        <f>RefCapacityProj!D105</f>
        <v>3</v>
      </c>
      <c r="E105" t="str">
        <f>RefCapacityProj!E105</f>
        <v>LIGHT</v>
      </c>
      <c r="F105" t="str">
        <f>RefCapacityProj!F105</f>
        <v>SOUR</v>
      </c>
      <c r="G105">
        <f>RefCapacityProj!AG105</f>
        <v>964.14913463690755</v>
      </c>
      <c r="H105">
        <f>RefCapacityProj!AH105</f>
        <v>456.68303786972717</v>
      </c>
      <c r="I105">
        <f>RefCapacityProj!AI105</f>
        <v>315.88421627417631</v>
      </c>
      <c r="J105">
        <f>RefCapacityProj!AJ105</f>
        <v>258.6292642427585</v>
      </c>
      <c r="K105">
        <f>RefCapacityProj!AK105</f>
        <v>736.54505440286175</v>
      </c>
      <c r="L105">
        <f>RefCapacityProj!AL105</f>
        <v>5.0811922240385334E-3</v>
      </c>
      <c r="M105">
        <f>RefCapacityProj!AM105</f>
        <v>2197.7633659736102</v>
      </c>
      <c r="P105" t="s">
        <v>465</v>
      </c>
      <c r="Q105">
        <v>2050</v>
      </c>
      <c r="R105">
        <v>2</v>
      </c>
      <c r="S105" t="s">
        <v>469</v>
      </c>
      <c r="T105" t="s">
        <v>467</v>
      </c>
      <c r="U105" t="s">
        <v>597</v>
      </c>
      <c r="V105">
        <v>0</v>
      </c>
    </row>
    <row r="106" spans="1:22" x14ac:dyDescent="0.25">
      <c r="A106">
        <v>105</v>
      </c>
      <c r="B106" t="str">
        <f>RefCapacityProj!B106</f>
        <v>HIGH</v>
      </c>
      <c r="C106">
        <f>RefCapacityProj!C106</f>
        <v>2035</v>
      </c>
      <c r="D106">
        <f>RefCapacityProj!D106</f>
        <v>4</v>
      </c>
      <c r="E106" t="str">
        <f>RefCapacityProj!E106</f>
        <v>HEAVY</v>
      </c>
      <c r="F106" t="str">
        <f>RefCapacityProj!F106</f>
        <v>SWEET</v>
      </c>
      <c r="G106">
        <f>RefCapacityProj!AG106</f>
        <v>41.24720907441128</v>
      </c>
      <c r="H106">
        <f>RefCapacityProj!AH106</f>
        <v>311.6567847172322</v>
      </c>
      <c r="I106">
        <f>RefCapacityProj!AI106</f>
        <v>0</v>
      </c>
      <c r="J106">
        <f>RefCapacityProj!AJ106</f>
        <v>138.96474358943971</v>
      </c>
      <c r="K106">
        <f>RefCapacityProj!AK106</f>
        <v>2.2107750220059335</v>
      </c>
      <c r="L106">
        <f>RefCapacityProj!AL106</f>
        <v>0</v>
      </c>
      <c r="M106">
        <f>RefCapacityProj!AM106</f>
        <v>8.1655699017820402E-11</v>
      </c>
      <c r="P106" t="s">
        <v>465</v>
      </c>
      <c r="Q106">
        <v>2050</v>
      </c>
      <c r="R106">
        <v>2</v>
      </c>
      <c r="S106" t="s">
        <v>469</v>
      </c>
      <c r="T106" t="s">
        <v>467</v>
      </c>
      <c r="U106" t="s">
        <v>598</v>
      </c>
      <c r="V106">
        <v>814.17859708895844</v>
      </c>
    </row>
    <row r="107" spans="1:22" x14ac:dyDescent="0.25">
      <c r="A107">
        <v>106</v>
      </c>
      <c r="B107" t="str">
        <f>RefCapacityProj!B107</f>
        <v>HIGH</v>
      </c>
      <c r="C107">
        <f>RefCapacityProj!C107</f>
        <v>2035</v>
      </c>
      <c r="D107">
        <f>RefCapacityProj!D107</f>
        <v>4</v>
      </c>
      <c r="E107" t="str">
        <f>RefCapacityProj!E107</f>
        <v>HEAVY</v>
      </c>
      <c r="F107" t="str">
        <f>RefCapacityProj!F107</f>
        <v>SOUR</v>
      </c>
      <c r="G107">
        <f>RefCapacityProj!AG107</f>
        <v>41.24720907441128</v>
      </c>
      <c r="H107">
        <f>RefCapacityProj!AH107</f>
        <v>311.6567847172322</v>
      </c>
      <c r="I107">
        <f>RefCapacityProj!AI107</f>
        <v>0</v>
      </c>
      <c r="J107">
        <f>RefCapacityProj!AJ107</f>
        <v>138.96474358943971</v>
      </c>
      <c r="K107">
        <f>RefCapacityProj!AK107</f>
        <v>2.2107750220059335</v>
      </c>
      <c r="L107">
        <f>RefCapacityProj!AL107</f>
        <v>0</v>
      </c>
      <c r="M107">
        <f>RefCapacityProj!AM107</f>
        <v>8.1655699017820402E-11</v>
      </c>
      <c r="P107" t="s">
        <v>465</v>
      </c>
      <c r="Q107">
        <v>2050</v>
      </c>
      <c r="R107">
        <v>2</v>
      </c>
      <c r="S107" t="s">
        <v>469</v>
      </c>
      <c r="T107" t="s">
        <v>468</v>
      </c>
      <c r="U107" t="s">
        <v>592</v>
      </c>
      <c r="V107">
        <v>113.20539615678824</v>
      </c>
    </row>
    <row r="108" spans="1:22" x14ac:dyDescent="0.25">
      <c r="A108">
        <v>107</v>
      </c>
      <c r="B108" t="str">
        <f>RefCapacityProj!B108</f>
        <v>HIGH</v>
      </c>
      <c r="C108">
        <f>RefCapacityProj!C108</f>
        <v>2035</v>
      </c>
      <c r="D108">
        <f>RefCapacityProj!D108</f>
        <v>4</v>
      </c>
      <c r="E108" t="str">
        <f>RefCapacityProj!E108</f>
        <v>LIGHT</v>
      </c>
      <c r="F108" t="str">
        <f>RefCapacityProj!F108</f>
        <v>SWEET</v>
      </c>
      <c r="G108">
        <f>RefCapacityProj!AG108</f>
        <v>41.247209074418777</v>
      </c>
      <c r="H108">
        <f>RefCapacityProj!AH108</f>
        <v>311.65678471725317</v>
      </c>
      <c r="I108">
        <f>RefCapacityProj!AI108</f>
        <v>0</v>
      </c>
      <c r="J108">
        <f>RefCapacityProj!AJ108</f>
        <v>138.96474358962212</v>
      </c>
      <c r="K108">
        <f>RefCapacityProj!AK108</f>
        <v>2.2124850540237637</v>
      </c>
      <c r="L108">
        <f>RefCapacityProj!AL108</f>
        <v>0</v>
      </c>
      <c r="M108">
        <f>RefCapacityProj!AM108</f>
        <v>3.3299505794480879E-11</v>
      </c>
      <c r="P108" t="s">
        <v>465</v>
      </c>
      <c r="Q108">
        <v>2050</v>
      </c>
      <c r="R108">
        <v>2</v>
      </c>
      <c r="S108" t="s">
        <v>469</v>
      </c>
      <c r="T108" t="s">
        <v>468</v>
      </c>
      <c r="U108" t="s">
        <v>593</v>
      </c>
      <c r="V108">
        <v>890.28287429312343</v>
      </c>
    </row>
    <row r="109" spans="1:22" x14ac:dyDescent="0.25">
      <c r="A109">
        <v>108</v>
      </c>
      <c r="B109" t="str">
        <f>RefCapacityProj!B109</f>
        <v>HIGH</v>
      </c>
      <c r="C109">
        <f>RefCapacityProj!C109</f>
        <v>2035</v>
      </c>
      <c r="D109">
        <f>RefCapacityProj!D109</f>
        <v>4</v>
      </c>
      <c r="E109" t="str">
        <f>RefCapacityProj!E109</f>
        <v>LIGHT</v>
      </c>
      <c r="F109" t="str">
        <f>RefCapacityProj!F109</f>
        <v>SOUR</v>
      </c>
      <c r="G109">
        <f>RefCapacityProj!AG109</f>
        <v>41.247209074418777</v>
      </c>
      <c r="H109">
        <f>RefCapacityProj!AH109</f>
        <v>311.65678471725317</v>
      </c>
      <c r="I109">
        <f>RefCapacityProj!AI109</f>
        <v>0</v>
      </c>
      <c r="J109">
        <f>RefCapacityProj!AJ109</f>
        <v>138.96474358962212</v>
      </c>
      <c r="K109">
        <f>RefCapacityProj!AK109</f>
        <v>2.2124850540237637</v>
      </c>
      <c r="L109">
        <f>RefCapacityProj!AL109</f>
        <v>0</v>
      </c>
      <c r="M109">
        <f>RefCapacityProj!AM109</f>
        <v>3.3299505794480879E-11</v>
      </c>
      <c r="P109" t="s">
        <v>465</v>
      </c>
      <c r="Q109">
        <v>2050</v>
      </c>
      <c r="R109">
        <v>2</v>
      </c>
      <c r="S109" t="s">
        <v>469</v>
      </c>
      <c r="T109" t="s">
        <v>468</v>
      </c>
      <c r="U109" t="s">
        <v>594</v>
      </c>
      <c r="V109">
        <v>0</v>
      </c>
    </row>
    <row r="110" spans="1:22" x14ac:dyDescent="0.25">
      <c r="A110">
        <v>109</v>
      </c>
      <c r="B110" t="str">
        <f>RefCapacityProj!B110</f>
        <v>HIGH</v>
      </c>
      <c r="C110">
        <f>RefCapacityProj!C110</f>
        <v>2050</v>
      </c>
      <c r="D110">
        <f>RefCapacityProj!D110</f>
        <v>4</v>
      </c>
      <c r="E110" t="str">
        <f>RefCapacityProj!E110</f>
        <v>HEAVY</v>
      </c>
      <c r="F110" t="str">
        <f>RefCapacityProj!F110</f>
        <v>SWEET</v>
      </c>
      <c r="G110">
        <f>RefCapacityProj!AG110</f>
        <v>67.367271238158281</v>
      </c>
      <c r="H110">
        <f>RefCapacityProj!AH110</f>
        <v>178.21447123844959</v>
      </c>
      <c r="I110">
        <f>RefCapacityProj!AI110</f>
        <v>0</v>
      </c>
      <c r="J110">
        <f>RefCapacityProj!AJ110</f>
        <v>7.6964475279972602</v>
      </c>
      <c r="K110">
        <f>RefCapacityProj!AK110</f>
        <v>62.469180553090382</v>
      </c>
      <c r="L110">
        <f>RefCapacityProj!AL110</f>
        <v>0</v>
      </c>
      <c r="M110">
        <f>RefCapacityProj!AM110</f>
        <v>0.21229974233764759</v>
      </c>
      <c r="P110" t="s">
        <v>465</v>
      </c>
      <c r="Q110">
        <v>2050</v>
      </c>
      <c r="R110">
        <v>2</v>
      </c>
      <c r="S110" t="s">
        <v>469</v>
      </c>
      <c r="T110" t="s">
        <v>468</v>
      </c>
      <c r="U110" t="s">
        <v>595</v>
      </c>
      <c r="V110">
        <v>406.02400955810873</v>
      </c>
    </row>
    <row r="111" spans="1:22" x14ac:dyDescent="0.25">
      <c r="A111">
        <v>110</v>
      </c>
      <c r="B111" t="str">
        <f>RefCapacityProj!B111</f>
        <v>HIGH</v>
      </c>
      <c r="C111">
        <f>RefCapacityProj!C111</f>
        <v>2050</v>
      </c>
      <c r="D111">
        <f>RefCapacityProj!D111</f>
        <v>4</v>
      </c>
      <c r="E111" t="str">
        <f>RefCapacityProj!E111</f>
        <v>HEAVY</v>
      </c>
      <c r="F111" t="str">
        <f>RefCapacityProj!F111</f>
        <v>SOUR</v>
      </c>
      <c r="G111">
        <f>RefCapacityProj!AG111</f>
        <v>67.367271238158281</v>
      </c>
      <c r="H111">
        <f>RefCapacityProj!AH111</f>
        <v>178.21447123844959</v>
      </c>
      <c r="I111">
        <f>RefCapacityProj!AI111</f>
        <v>0</v>
      </c>
      <c r="J111">
        <f>RefCapacityProj!AJ111</f>
        <v>7.6964475279972602</v>
      </c>
      <c r="K111">
        <f>RefCapacityProj!AK111</f>
        <v>62.469180553090382</v>
      </c>
      <c r="L111">
        <f>RefCapacityProj!AL111</f>
        <v>0</v>
      </c>
      <c r="M111">
        <f>RefCapacityProj!AM111</f>
        <v>0.21229974233764759</v>
      </c>
      <c r="P111" t="s">
        <v>465</v>
      </c>
      <c r="Q111">
        <v>2050</v>
      </c>
      <c r="R111">
        <v>2</v>
      </c>
      <c r="S111" t="s">
        <v>469</v>
      </c>
      <c r="T111" t="s">
        <v>468</v>
      </c>
      <c r="U111" t="s">
        <v>596</v>
      </c>
      <c r="V111">
        <v>1272.3102283693113</v>
      </c>
    </row>
    <row r="112" spans="1:22" x14ac:dyDescent="0.25">
      <c r="A112">
        <v>111</v>
      </c>
      <c r="B112" t="str">
        <f>RefCapacityProj!B112</f>
        <v>HIGH</v>
      </c>
      <c r="C112">
        <f>RefCapacityProj!C112</f>
        <v>2050</v>
      </c>
      <c r="D112">
        <f>RefCapacityProj!D112</f>
        <v>4</v>
      </c>
      <c r="E112" t="str">
        <f>RefCapacityProj!E112</f>
        <v>LIGHT</v>
      </c>
      <c r="F112" t="str">
        <f>RefCapacityProj!F112</f>
        <v>SWEET</v>
      </c>
      <c r="G112">
        <f>RefCapacityProj!AG112</f>
        <v>67.347741376179044</v>
      </c>
      <c r="H112">
        <f>RefCapacityProj!AH112</f>
        <v>208.03299570310043</v>
      </c>
      <c r="I112">
        <f>RefCapacityProj!AI112</f>
        <v>0</v>
      </c>
      <c r="J112">
        <f>RefCapacityProj!AJ112</f>
        <v>0.14721016045558455</v>
      </c>
      <c r="K112">
        <f>RefCapacityProj!AK112</f>
        <v>41.677433065274414</v>
      </c>
      <c r="L112">
        <f>RefCapacityProj!AL112</f>
        <v>0</v>
      </c>
      <c r="M112">
        <f>RefCapacityProj!AM112</f>
        <v>0.20156596162119694</v>
      </c>
      <c r="P112" t="s">
        <v>465</v>
      </c>
      <c r="Q112">
        <v>2050</v>
      </c>
      <c r="R112">
        <v>2</v>
      </c>
      <c r="S112" t="s">
        <v>469</v>
      </c>
      <c r="T112" t="s">
        <v>468</v>
      </c>
      <c r="U112" t="s">
        <v>597</v>
      </c>
      <c r="V112">
        <v>0</v>
      </c>
    </row>
    <row r="113" spans="1:22" x14ac:dyDescent="0.25">
      <c r="A113">
        <v>112</v>
      </c>
      <c r="B113" t="str">
        <f>RefCapacityProj!B113</f>
        <v>HIGH</v>
      </c>
      <c r="C113">
        <f>RefCapacityProj!C113</f>
        <v>2050</v>
      </c>
      <c r="D113">
        <f>RefCapacityProj!D113</f>
        <v>4</v>
      </c>
      <c r="E113" t="str">
        <f>RefCapacityProj!E113</f>
        <v>LIGHT</v>
      </c>
      <c r="F113" t="str">
        <f>RefCapacityProj!F113</f>
        <v>SOUR</v>
      </c>
      <c r="G113">
        <f>RefCapacityProj!AG113</f>
        <v>67.347741376179044</v>
      </c>
      <c r="H113">
        <f>RefCapacityProj!AH113</f>
        <v>208.03299570310043</v>
      </c>
      <c r="I113">
        <f>RefCapacityProj!AI113</f>
        <v>0</v>
      </c>
      <c r="J113">
        <f>RefCapacityProj!AJ113</f>
        <v>0.14721016045558455</v>
      </c>
      <c r="K113">
        <f>RefCapacityProj!AK113</f>
        <v>41.677433065274414</v>
      </c>
      <c r="L113">
        <f>RefCapacityProj!AL113</f>
        <v>0</v>
      </c>
      <c r="M113">
        <f>RefCapacityProj!AM113</f>
        <v>0.20156596162119694</v>
      </c>
      <c r="P113" t="s">
        <v>465</v>
      </c>
      <c r="Q113">
        <v>2050</v>
      </c>
      <c r="R113">
        <v>2</v>
      </c>
      <c r="S113" t="s">
        <v>469</v>
      </c>
      <c r="T113" t="s">
        <v>468</v>
      </c>
      <c r="U113" t="s">
        <v>598</v>
      </c>
      <c r="V113">
        <v>814.17859708895844</v>
      </c>
    </row>
    <row r="114" spans="1:22" x14ac:dyDescent="0.25">
      <c r="A114">
        <v>113</v>
      </c>
      <c r="B114" t="str">
        <f>RefCapacityProj!B114</f>
        <v>HIGH</v>
      </c>
      <c r="C114">
        <f>RefCapacityProj!C114</f>
        <v>2035</v>
      </c>
      <c r="D114">
        <f>RefCapacityProj!D114</f>
        <v>5</v>
      </c>
      <c r="E114" t="str">
        <f>RefCapacityProj!E114</f>
        <v>HEAVY</v>
      </c>
      <c r="F114" t="str">
        <f>RefCapacityProj!F114</f>
        <v>SWEET</v>
      </c>
      <c r="G114">
        <f>RefCapacityProj!AG114</f>
        <v>460.53089753752039</v>
      </c>
      <c r="H114">
        <f>RefCapacityProj!AH114</f>
        <v>230.32383304914859</v>
      </c>
      <c r="I114">
        <f>RefCapacityProj!AI114</f>
        <v>252.00298125934944</v>
      </c>
      <c r="J114">
        <f>RefCapacityProj!AJ114</f>
        <v>126.94147992352545</v>
      </c>
      <c r="K114">
        <f>RefCapacityProj!AK114</f>
        <v>83.649053873070486</v>
      </c>
      <c r="L114">
        <f>RefCapacityProj!AL114</f>
        <v>171.2652519992796</v>
      </c>
      <c r="M114">
        <f>RefCapacityProj!AM114</f>
        <v>897.58063646305095</v>
      </c>
      <c r="P114" t="s">
        <v>465</v>
      </c>
      <c r="Q114">
        <v>2035</v>
      </c>
      <c r="R114">
        <v>3</v>
      </c>
      <c r="S114" t="s">
        <v>466</v>
      </c>
      <c r="T114" t="s">
        <v>467</v>
      </c>
      <c r="U114" t="s">
        <v>592</v>
      </c>
      <c r="V114">
        <v>653.57720075431212</v>
      </c>
    </row>
    <row r="115" spans="1:22" x14ac:dyDescent="0.25">
      <c r="A115">
        <v>114</v>
      </c>
      <c r="B115" t="str">
        <f>RefCapacityProj!B115</f>
        <v>HIGH</v>
      </c>
      <c r="C115">
        <f>RefCapacityProj!C115</f>
        <v>2035</v>
      </c>
      <c r="D115">
        <f>RefCapacityProj!D115</f>
        <v>5</v>
      </c>
      <c r="E115" t="str">
        <f>RefCapacityProj!E115</f>
        <v>HEAVY</v>
      </c>
      <c r="F115" t="str">
        <f>RefCapacityProj!F115</f>
        <v>SOUR</v>
      </c>
      <c r="G115">
        <f>RefCapacityProj!AG115</f>
        <v>460.53089753752039</v>
      </c>
      <c r="H115">
        <f>RefCapacityProj!AH115</f>
        <v>230.32383304914859</v>
      </c>
      <c r="I115">
        <f>RefCapacityProj!AI115</f>
        <v>252.00298125934944</v>
      </c>
      <c r="J115">
        <f>RefCapacityProj!AJ115</f>
        <v>126.94147992352545</v>
      </c>
      <c r="K115">
        <f>RefCapacityProj!AK115</f>
        <v>83.649053873070486</v>
      </c>
      <c r="L115">
        <f>RefCapacityProj!AL115</f>
        <v>171.2652519992796</v>
      </c>
      <c r="M115">
        <f>RefCapacityProj!AM115</f>
        <v>897.58063646305095</v>
      </c>
      <c r="P115" t="s">
        <v>465</v>
      </c>
      <c r="Q115">
        <v>2035</v>
      </c>
      <c r="R115">
        <v>3</v>
      </c>
      <c r="S115" t="s">
        <v>466</v>
      </c>
      <c r="T115" t="s">
        <v>467</v>
      </c>
      <c r="U115" t="s">
        <v>593</v>
      </c>
      <c r="V115">
        <v>666.5137214314617</v>
      </c>
    </row>
    <row r="116" spans="1:22" x14ac:dyDescent="0.25">
      <c r="A116">
        <v>115</v>
      </c>
      <c r="B116" t="str">
        <f>RefCapacityProj!B116</f>
        <v>HIGH</v>
      </c>
      <c r="C116">
        <f>RefCapacityProj!C116</f>
        <v>2035</v>
      </c>
      <c r="D116">
        <f>RefCapacityProj!D116</f>
        <v>5</v>
      </c>
      <c r="E116" t="str">
        <f>RefCapacityProj!E116</f>
        <v>LIGHT</v>
      </c>
      <c r="F116" t="str">
        <f>RefCapacityProj!F116</f>
        <v>SWEET</v>
      </c>
      <c r="G116">
        <f>RefCapacityProj!AG116</f>
        <v>291.44018212638889</v>
      </c>
      <c r="H116">
        <f>RefCapacityProj!AH116</f>
        <v>197.19224455891424</v>
      </c>
      <c r="I116">
        <f>RefCapacityProj!AI116</f>
        <v>239.1699009526358</v>
      </c>
      <c r="J116">
        <f>RefCapacityProj!AJ116</f>
        <v>163.14702742374243</v>
      </c>
      <c r="K116">
        <f>RefCapacityProj!AK116</f>
        <v>129.63262005276886</v>
      </c>
      <c r="L116">
        <f>RefCapacityProj!AL116</f>
        <v>225.47910638856581</v>
      </c>
      <c r="M116">
        <f>RefCapacityProj!AM116</f>
        <v>979.41927430376052</v>
      </c>
      <c r="P116" t="s">
        <v>465</v>
      </c>
      <c r="Q116">
        <v>2035</v>
      </c>
      <c r="R116">
        <v>3</v>
      </c>
      <c r="S116" t="s">
        <v>466</v>
      </c>
      <c r="T116" t="s">
        <v>467</v>
      </c>
      <c r="U116" t="s">
        <v>594</v>
      </c>
      <c r="V116">
        <v>305.84922712588525</v>
      </c>
    </row>
    <row r="117" spans="1:22" x14ac:dyDescent="0.25">
      <c r="A117">
        <v>116</v>
      </c>
      <c r="B117" t="str">
        <f>RefCapacityProj!B117</f>
        <v>HIGH</v>
      </c>
      <c r="C117">
        <f>RefCapacityProj!C117</f>
        <v>2035</v>
      </c>
      <c r="D117">
        <f>RefCapacityProj!D117</f>
        <v>5</v>
      </c>
      <c r="E117" t="str">
        <f>RefCapacityProj!E117</f>
        <v>LIGHT</v>
      </c>
      <c r="F117" t="str">
        <f>RefCapacityProj!F117</f>
        <v>SOUR</v>
      </c>
      <c r="G117">
        <f>RefCapacityProj!AG117</f>
        <v>291.44018212638889</v>
      </c>
      <c r="H117">
        <f>RefCapacityProj!AH117</f>
        <v>197.19224455891424</v>
      </c>
      <c r="I117">
        <f>RefCapacityProj!AI117</f>
        <v>239.1699009526358</v>
      </c>
      <c r="J117">
        <f>RefCapacityProj!AJ117</f>
        <v>163.14702742374243</v>
      </c>
      <c r="K117">
        <f>RefCapacityProj!AK117</f>
        <v>129.63262005276886</v>
      </c>
      <c r="L117">
        <f>RefCapacityProj!AL117</f>
        <v>225.47910638856581</v>
      </c>
      <c r="M117">
        <f>RefCapacityProj!AM117</f>
        <v>979.41927430376052</v>
      </c>
      <c r="P117" t="s">
        <v>465</v>
      </c>
      <c r="Q117">
        <v>2035</v>
      </c>
      <c r="R117">
        <v>3</v>
      </c>
      <c r="S117" t="s">
        <v>466</v>
      </c>
      <c r="T117" t="s">
        <v>467</v>
      </c>
      <c r="U117" t="s">
        <v>595</v>
      </c>
      <c r="V117">
        <v>777.98687259593373</v>
      </c>
    </row>
    <row r="118" spans="1:22" x14ac:dyDescent="0.25">
      <c r="A118">
        <v>117</v>
      </c>
      <c r="B118" t="str">
        <f>RefCapacityProj!B118</f>
        <v>HIGH</v>
      </c>
      <c r="C118">
        <f>RefCapacityProj!C118</f>
        <v>2050</v>
      </c>
      <c r="D118">
        <f>RefCapacityProj!D118</f>
        <v>5</v>
      </c>
      <c r="E118" t="str">
        <f>RefCapacityProj!E118</f>
        <v>HEAVY</v>
      </c>
      <c r="F118" t="str">
        <f>RefCapacityProj!F118</f>
        <v>SWEET</v>
      </c>
      <c r="G118">
        <f>RefCapacityProj!AG118</f>
        <v>49.482279308556166</v>
      </c>
      <c r="H118">
        <f>RefCapacityProj!AH118</f>
        <v>116.86779442172569</v>
      </c>
      <c r="I118">
        <f>RefCapacityProj!AI118</f>
        <v>115.22113307438458</v>
      </c>
      <c r="J118">
        <f>RefCapacityProj!AJ118</f>
        <v>162.18882497701671</v>
      </c>
      <c r="K118">
        <f>RefCapacityProj!AK118</f>
        <v>146.97261771549623</v>
      </c>
      <c r="L118">
        <f>RefCapacityProj!AL118</f>
        <v>226.13247119539255</v>
      </c>
      <c r="M118">
        <f>RefCapacityProj!AM118</f>
        <v>811.37589014279979</v>
      </c>
      <c r="P118" t="s">
        <v>465</v>
      </c>
      <c r="Q118">
        <v>2035</v>
      </c>
      <c r="R118">
        <v>3</v>
      </c>
      <c r="S118" t="s">
        <v>466</v>
      </c>
      <c r="T118" t="s">
        <v>467</v>
      </c>
      <c r="U118" t="s">
        <v>596</v>
      </c>
      <c r="V118">
        <v>1663.3948481400043</v>
      </c>
    </row>
    <row r="119" spans="1:22" x14ac:dyDescent="0.25">
      <c r="A119">
        <v>118</v>
      </c>
      <c r="B119" t="str">
        <f>RefCapacityProj!B119</f>
        <v>HIGH</v>
      </c>
      <c r="C119">
        <f>RefCapacityProj!C119</f>
        <v>2050</v>
      </c>
      <c r="D119">
        <f>RefCapacityProj!D119</f>
        <v>5</v>
      </c>
      <c r="E119" t="str">
        <f>RefCapacityProj!E119</f>
        <v>HEAVY</v>
      </c>
      <c r="F119" t="str">
        <f>RefCapacityProj!F119</f>
        <v>SOUR</v>
      </c>
      <c r="G119">
        <f>RefCapacityProj!AG119</f>
        <v>49.482279308556166</v>
      </c>
      <c r="H119">
        <f>RefCapacityProj!AH119</f>
        <v>116.86779442172569</v>
      </c>
      <c r="I119">
        <f>RefCapacityProj!AI119</f>
        <v>115.22113307438458</v>
      </c>
      <c r="J119">
        <f>RefCapacityProj!AJ119</f>
        <v>162.18882497701671</v>
      </c>
      <c r="K119">
        <f>RefCapacityProj!AK119</f>
        <v>146.97261771549623</v>
      </c>
      <c r="L119">
        <f>RefCapacityProj!AL119</f>
        <v>226.13247119539255</v>
      </c>
      <c r="M119">
        <f>RefCapacityProj!AM119</f>
        <v>811.37589014279979</v>
      </c>
      <c r="P119" t="s">
        <v>465</v>
      </c>
      <c r="Q119">
        <v>2035</v>
      </c>
      <c r="R119">
        <v>3</v>
      </c>
      <c r="S119" t="s">
        <v>466</v>
      </c>
      <c r="T119" t="s">
        <v>467</v>
      </c>
      <c r="U119" t="s">
        <v>597</v>
      </c>
      <c r="V119">
        <v>6.6099425128713918E-3</v>
      </c>
    </row>
    <row r="120" spans="1:22" x14ac:dyDescent="0.25">
      <c r="A120">
        <v>119</v>
      </c>
      <c r="B120" t="str">
        <f>RefCapacityProj!B120</f>
        <v>HIGH</v>
      </c>
      <c r="C120">
        <f>RefCapacityProj!C120</f>
        <v>2050</v>
      </c>
      <c r="D120">
        <f>RefCapacityProj!D120</f>
        <v>5</v>
      </c>
      <c r="E120" t="str">
        <f>RefCapacityProj!E120</f>
        <v>LIGHT</v>
      </c>
      <c r="F120" t="str">
        <f>RefCapacityProj!F120</f>
        <v>SWEET</v>
      </c>
      <c r="G120">
        <f>RefCapacityProj!AG120</f>
        <v>5.0469864462120563E-4</v>
      </c>
      <c r="H120">
        <f>RefCapacityProj!AH120</f>
        <v>9.1806163458155513E-4</v>
      </c>
      <c r="I120">
        <f>RefCapacityProj!AI120</f>
        <v>1.0439240297750395E-3</v>
      </c>
      <c r="J120">
        <f>RefCapacityProj!AJ120</f>
        <v>84.084582216496571</v>
      </c>
      <c r="K120">
        <f>RefCapacityProj!AK120</f>
        <v>146.08175755164308</v>
      </c>
      <c r="L120">
        <f>RefCapacityProj!AL120</f>
        <v>290.23468556588517</v>
      </c>
      <c r="M120">
        <f>RefCapacityProj!AM120</f>
        <v>1093.4693207254597</v>
      </c>
      <c r="P120" t="s">
        <v>465</v>
      </c>
      <c r="Q120">
        <v>2035</v>
      </c>
      <c r="R120">
        <v>3</v>
      </c>
      <c r="S120" t="s">
        <v>466</v>
      </c>
      <c r="T120" t="s">
        <v>467</v>
      </c>
      <c r="U120" t="s">
        <v>598</v>
      </c>
      <c r="V120">
        <v>4407.4818920318639</v>
      </c>
    </row>
    <row r="121" spans="1:22" x14ac:dyDescent="0.25">
      <c r="A121">
        <v>120</v>
      </c>
      <c r="B121" t="str">
        <f>RefCapacityProj!B121</f>
        <v>HIGH</v>
      </c>
      <c r="C121">
        <f>RefCapacityProj!C121</f>
        <v>2050</v>
      </c>
      <c r="D121">
        <f>RefCapacityProj!D121</f>
        <v>5</v>
      </c>
      <c r="E121" t="str">
        <f>RefCapacityProj!E121</f>
        <v>LIGHT</v>
      </c>
      <c r="F121" t="str">
        <f>RefCapacityProj!F121</f>
        <v>SOUR</v>
      </c>
      <c r="G121">
        <f>RefCapacityProj!AG121</f>
        <v>5.0469864462120563E-4</v>
      </c>
      <c r="H121">
        <f>RefCapacityProj!AH121</f>
        <v>9.1806163458155513E-4</v>
      </c>
      <c r="I121">
        <f>RefCapacityProj!AI121</f>
        <v>1.0439240297750395E-3</v>
      </c>
      <c r="J121">
        <f>RefCapacityProj!AJ121</f>
        <v>84.084582216496571</v>
      </c>
      <c r="K121">
        <f>RefCapacityProj!AK121</f>
        <v>146.08175755164308</v>
      </c>
      <c r="L121">
        <f>RefCapacityProj!AL121</f>
        <v>290.23468556588517</v>
      </c>
      <c r="M121">
        <f>RefCapacityProj!AM121</f>
        <v>1093.4693207254597</v>
      </c>
      <c r="P121" t="s">
        <v>465</v>
      </c>
      <c r="Q121">
        <v>2035</v>
      </c>
      <c r="R121">
        <v>3</v>
      </c>
      <c r="S121" t="s">
        <v>466</v>
      </c>
      <c r="T121" t="s">
        <v>468</v>
      </c>
      <c r="U121" t="s">
        <v>592</v>
      </c>
      <c r="V121">
        <v>653.57720075431212</v>
      </c>
    </row>
    <row r="122" spans="1:22" x14ac:dyDescent="0.25">
      <c r="A122">
        <v>121</v>
      </c>
      <c r="B122" t="str">
        <f>RefCapacityProj!B122</f>
        <v>REFERENCE</v>
      </c>
      <c r="C122">
        <f>RefCapacityProj!C122</f>
        <v>2035</v>
      </c>
      <c r="D122">
        <f>RefCapacityProj!D122</f>
        <v>1</v>
      </c>
      <c r="E122" t="str">
        <f>RefCapacityProj!E122</f>
        <v>HEAVY</v>
      </c>
      <c r="F122" t="str">
        <f>RefCapacityProj!F122</f>
        <v>SWEET</v>
      </c>
      <c r="G122">
        <f>RefCapacityProj!AG122</f>
        <v>29.907412831345923</v>
      </c>
      <c r="H122">
        <f>RefCapacityProj!AH122</f>
        <v>347.91846682823092</v>
      </c>
      <c r="I122">
        <f>RefCapacityProj!AI122</f>
        <v>0</v>
      </c>
      <c r="J122">
        <f>RefCapacityProj!AJ122</f>
        <v>100.34817351632172</v>
      </c>
      <c r="K122">
        <f>RefCapacityProj!AK122</f>
        <v>78.800831867477655</v>
      </c>
      <c r="L122">
        <f>RefCapacityProj!AL122</f>
        <v>0</v>
      </c>
      <c r="M122">
        <f>RefCapacityProj!AM122</f>
        <v>88.105196258262765</v>
      </c>
      <c r="P122" t="s">
        <v>465</v>
      </c>
      <c r="Q122">
        <v>2035</v>
      </c>
      <c r="R122">
        <v>3</v>
      </c>
      <c r="S122" t="s">
        <v>466</v>
      </c>
      <c r="T122" t="s">
        <v>468</v>
      </c>
      <c r="U122" t="s">
        <v>593</v>
      </c>
      <c r="V122">
        <v>666.5137214314617</v>
      </c>
    </row>
    <row r="123" spans="1:22" x14ac:dyDescent="0.25">
      <c r="A123">
        <v>122</v>
      </c>
      <c r="B123" t="str">
        <f>RefCapacityProj!B123</f>
        <v>REFERENCE</v>
      </c>
      <c r="C123">
        <f>RefCapacityProj!C123</f>
        <v>2035</v>
      </c>
      <c r="D123">
        <f>RefCapacityProj!D123</f>
        <v>1</v>
      </c>
      <c r="E123" t="str">
        <f>RefCapacityProj!E123</f>
        <v>HEAVY</v>
      </c>
      <c r="F123" t="str">
        <f>RefCapacityProj!F123</f>
        <v>SOUR</v>
      </c>
      <c r="G123">
        <f>RefCapacityProj!AG123</f>
        <v>29.907412831345923</v>
      </c>
      <c r="H123">
        <f>RefCapacityProj!AH123</f>
        <v>347.91846682823092</v>
      </c>
      <c r="I123">
        <f>RefCapacityProj!AI123</f>
        <v>0</v>
      </c>
      <c r="J123">
        <f>RefCapacityProj!AJ123</f>
        <v>100.34817351632172</v>
      </c>
      <c r="K123">
        <f>RefCapacityProj!AK123</f>
        <v>78.800831867477655</v>
      </c>
      <c r="L123">
        <f>RefCapacityProj!AL123</f>
        <v>0</v>
      </c>
      <c r="M123">
        <f>RefCapacityProj!AM123</f>
        <v>88.105196258262765</v>
      </c>
      <c r="P123" t="s">
        <v>465</v>
      </c>
      <c r="Q123">
        <v>2035</v>
      </c>
      <c r="R123">
        <v>3</v>
      </c>
      <c r="S123" t="s">
        <v>466</v>
      </c>
      <c r="T123" t="s">
        <v>468</v>
      </c>
      <c r="U123" t="s">
        <v>594</v>
      </c>
      <c r="V123">
        <v>305.84922712588525</v>
      </c>
    </row>
    <row r="124" spans="1:22" x14ac:dyDescent="0.25">
      <c r="A124">
        <v>123</v>
      </c>
      <c r="B124" t="str">
        <f>RefCapacityProj!B124</f>
        <v>REFERENCE</v>
      </c>
      <c r="C124">
        <f>RefCapacityProj!C124</f>
        <v>2035</v>
      </c>
      <c r="D124">
        <f>RefCapacityProj!D124</f>
        <v>1</v>
      </c>
      <c r="E124" t="str">
        <f>RefCapacityProj!E124</f>
        <v>LIGHT</v>
      </c>
      <c r="F124" t="str">
        <f>RefCapacityProj!F124</f>
        <v>SWEET</v>
      </c>
      <c r="G124">
        <f>RefCapacityProj!AG124</f>
        <v>89.324377789495102</v>
      </c>
      <c r="H124">
        <f>RefCapacityProj!AH124</f>
        <v>357.92474438549544</v>
      </c>
      <c r="I124">
        <f>RefCapacityProj!AI124</f>
        <v>0</v>
      </c>
      <c r="J124">
        <f>RefCapacityProj!AJ124</f>
        <v>84.900378803323648</v>
      </c>
      <c r="K124">
        <f>RefCapacityProj!AK124</f>
        <v>59.774122211769537</v>
      </c>
      <c r="L124">
        <f>RefCapacityProj!AL124</f>
        <v>0</v>
      </c>
      <c r="M124">
        <f>RefCapacityProj!AM124</f>
        <v>55.99711956124785</v>
      </c>
      <c r="P124" t="s">
        <v>465</v>
      </c>
      <c r="Q124">
        <v>2035</v>
      </c>
      <c r="R124">
        <v>3</v>
      </c>
      <c r="S124" t="s">
        <v>466</v>
      </c>
      <c r="T124" t="s">
        <v>468</v>
      </c>
      <c r="U124" t="s">
        <v>595</v>
      </c>
      <c r="V124">
        <v>777.98687259593373</v>
      </c>
    </row>
    <row r="125" spans="1:22" x14ac:dyDescent="0.25">
      <c r="A125">
        <v>124</v>
      </c>
      <c r="B125" t="str">
        <f>RefCapacityProj!B125</f>
        <v>REFERENCE</v>
      </c>
      <c r="C125">
        <f>RefCapacityProj!C125</f>
        <v>2035</v>
      </c>
      <c r="D125">
        <f>RefCapacityProj!D125</f>
        <v>1</v>
      </c>
      <c r="E125" t="str">
        <f>RefCapacityProj!E125</f>
        <v>LIGHT</v>
      </c>
      <c r="F125" t="str">
        <f>RefCapacityProj!F125</f>
        <v>SOUR</v>
      </c>
      <c r="G125">
        <f>RefCapacityProj!AG125</f>
        <v>89.324377789495102</v>
      </c>
      <c r="H125">
        <f>RefCapacityProj!AH125</f>
        <v>357.92474438549544</v>
      </c>
      <c r="I125">
        <f>RefCapacityProj!AI125</f>
        <v>0</v>
      </c>
      <c r="J125">
        <f>RefCapacityProj!AJ125</f>
        <v>84.900378803323648</v>
      </c>
      <c r="K125">
        <f>RefCapacityProj!AK125</f>
        <v>59.774122211769537</v>
      </c>
      <c r="L125">
        <f>RefCapacityProj!AL125</f>
        <v>0</v>
      </c>
      <c r="M125">
        <f>RefCapacityProj!AM125</f>
        <v>55.99711956124785</v>
      </c>
      <c r="P125" t="s">
        <v>465</v>
      </c>
      <c r="Q125">
        <v>2035</v>
      </c>
      <c r="R125">
        <v>3</v>
      </c>
      <c r="S125" t="s">
        <v>466</v>
      </c>
      <c r="T125" t="s">
        <v>468</v>
      </c>
      <c r="U125" t="s">
        <v>596</v>
      </c>
      <c r="V125">
        <v>1663.3948481400043</v>
      </c>
    </row>
    <row r="126" spans="1:22" x14ac:dyDescent="0.25">
      <c r="A126">
        <v>125</v>
      </c>
      <c r="B126" t="str">
        <f>RefCapacityProj!B126</f>
        <v>REFERENCE</v>
      </c>
      <c r="C126">
        <f>RefCapacityProj!C126</f>
        <v>2050</v>
      </c>
      <c r="D126">
        <f>RefCapacityProj!D126</f>
        <v>1</v>
      </c>
      <c r="E126" t="str">
        <f>RefCapacityProj!E126</f>
        <v>HEAVY</v>
      </c>
      <c r="F126" t="str">
        <f>RefCapacityProj!F126</f>
        <v>SWEET</v>
      </c>
      <c r="G126">
        <f>RefCapacityProj!AG126</f>
        <v>19.737411841762302</v>
      </c>
      <c r="H126">
        <f>RefCapacityProj!AH126</f>
        <v>352.64677224150063</v>
      </c>
      <c r="I126">
        <f>RefCapacityProj!AI126</f>
        <v>0</v>
      </c>
      <c r="J126">
        <f>RefCapacityProj!AJ126</f>
        <v>104.63912904738407</v>
      </c>
      <c r="K126">
        <f>RefCapacityProj!AK126</f>
        <v>83.293614251777413</v>
      </c>
      <c r="L126">
        <f>RefCapacityProj!AL126</f>
        <v>0</v>
      </c>
      <c r="M126">
        <f>RefCapacityProj!AM126</f>
        <v>95.065406842398261</v>
      </c>
      <c r="P126" t="s">
        <v>465</v>
      </c>
      <c r="Q126">
        <v>2035</v>
      </c>
      <c r="R126">
        <v>3</v>
      </c>
      <c r="S126" t="s">
        <v>466</v>
      </c>
      <c r="T126" t="s">
        <v>468</v>
      </c>
      <c r="U126" t="s">
        <v>597</v>
      </c>
      <c r="V126">
        <v>6.6099425128713918E-3</v>
      </c>
    </row>
    <row r="127" spans="1:22" x14ac:dyDescent="0.25">
      <c r="A127">
        <v>126</v>
      </c>
      <c r="B127" t="str">
        <f>RefCapacityProj!B127</f>
        <v>REFERENCE</v>
      </c>
      <c r="C127">
        <f>RefCapacityProj!C127</f>
        <v>2050</v>
      </c>
      <c r="D127">
        <f>RefCapacityProj!D127</f>
        <v>1</v>
      </c>
      <c r="E127" t="str">
        <f>RefCapacityProj!E127</f>
        <v>HEAVY</v>
      </c>
      <c r="F127" t="str">
        <f>RefCapacityProj!F127</f>
        <v>SOUR</v>
      </c>
      <c r="G127">
        <f>RefCapacityProj!AG127</f>
        <v>19.737411841762302</v>
      </c>
      <c r="H127">
        <f>RefCapacityProj!AH127</f>
        <v>352.64677224150063</v>
      </c>
      <c r="I127">
        <f>RefCapacityProj!AI127</f>
        <v>0</v>
      </c>
      <c r="J127">
        <f>RefCapacityProj!AJ127</f>
        <v>104.63912904738407</v>
      </c>
      <c r="K127">
        <f>RefCapacityProj!AK127</f>
        <v>83.293614251777413</v>
      </c>
      <c r="L127">
        <f>RefCapacityProj!AL127</f>
        <v>0</v>
      </c>
      <c r="M127">
        <f>RefCapacityProj!AM127</f>
        <v>95.065406842398261</v>
      </c>
      <c r="P127" t="s">
        <v>465</v>
      </c>
      <c r="Q127">
        <v>2035</v>
      </c>
      <c r="R127">
        <v>3</v>
      </c>
      <c r="S127" t="s">
        <v>466</v>
      </c>
      <c r="T127" t="s">
        <v>468</v>
      </c>
      <c r="U127" t="s">
        <v>598</v>
      </c>
      <c r="V127">
        <v>4407.4818920318639</v>
      </c>
    </row>
    <row r="128" spans="1:22" x14ac:dyDescent="0.25">
      <c r="A128">
        <v>127</v>
      </c>
      <c r="B128" t="str">
        <f>RefCapacityProj!B128</f>
        <v>REFERENCE</v>
      </c>
      <c r="C128">
        <f>RefCapacityProj!C128</f>
        <v>2050</v>
      </c>
      <c r="D128">
        <f>RefCapacityProj!D128</f>
        <v>1</v>
      </c>
      <c r="E128" t="str">
        <f>RefCapacityProj!E128</f>
        <v>LIGHT</v>
      </c>
      <c r="F128" t="str">
        <f>RefCapacityProj!F128</f>
        <v>SWEET</v>
      </c>
      <c r="G128">
        <f>RefCapacityProj!AG128</f>
        <v>106.78273547267676</v>
      </c>
      <c r="H128">
        <f>RefCapacityProj!AH128</f>
        <v>367.45390746032865</v>
      </c>
      <c r="I128">
        <f>RefCapacityProj!AI128</f>
        <v>0</v>
      </c>
      <c r="J128">
        <f>RefCapacityProj!AJ128</f>
        <v>82.330237224834846</v>
      </c>
      <c r="K128">
        <f>RefCapacityProj!AK128</f>
        <v>55.76254955384568</v>
      </c>
      <c r="L128">
        <f>RefCapacityProj!AL128</f>
        <v>0</v>
      </c>
      <c r="M128">
        <f>RefCapacityProj!AM128</f>
        <v>48.465079047657795</v>
      </c>
      <c r="P128" t="s">
        <v>465</v>
      </c>
      <c r="Q128">
        <v>2035</v>
      </c>
      <c r="R128">
        <v>3</v>
      </c>
      <c r="S128" t="s">
        <v>469</v>
      </c>
      <c r="T128" t="s">
        <v>467</v>
      </c>
      <c r="U128" t="s">
        <v>592</v>
      </c>
      <c r="V128">
        <v>818.90133857978287</v>
      </c>
    </row>
    <row r="129" spans="1:22" x14ac:dyDescent="0.25">
      <c r="A129">
        <v>128</v>
      </c>
      <c r="B129" t="str">
        <f>RefCapacityProj!B129</f>
        <v>REFERENCE</v>
      </c>
      <c r="C129">
        <f>RefCapacityProj!C129</f>
        <v>2050</v>
      </c>
      <c r="D129">
        <f>RefCapacityProj!D129</f>
        <v>1</v>
      </c>
      <c r="E129" t="str">
        <f>RefCapacityProj!E129</f>
        <v>LIGHT</v>
      </c>
      <c r="F129" t="str">
        <f>RefCapacityProj!F129</f>
        <v>SOUR</v>
      </c>
      <c r="G129">
        <f>RefCapacityProj!AG129</f>
        <v>106.78273547267676</v>
      </c>
      <c r="H129">
        <f>RefCapacityProj!AH129</f>
        <v>367.45390746032865</v>
      </c>
      <c r="I129">
        <f>RefCapacityProj!AI129</f>
        <v>0</v>
      </c>
      <c r="J129">
        <f>RefCapacityProj!AJ129</f>
        <v>82.330237224834846</v>
      </c>
      <c r="K129">
        <f>RefCapacityProj!AK129</f>
        <v>55.76254955384568</v>
      </c>
      <c r="L129">
        <f>RefCapacityProj!AL129</f>
        <v>0</v>
      </c>
      <c r="M129">
        <f>RefCapacityProj!AM129</f>
        <v>48.465079047657795</v>
      </c>
      <c r="P129" t="s">
        <v>465</v>
      </c>
      <c r="Q129">
        <v>2035</v>
      </c>
      <c r="R129">
        <v>3</v>
      </c>
      <c r="S129" t="s">
        <v>469</v>
      </c>
      <c r="T129" t="s">
        <v>467</v>
      </c>
      <c r="U129" t="s">
        <v>593</v>
      </c>
      <c r="V129">
        <v>927.5088238876989</v>
      </c>
    </row>
    <row r="130" spans="1:22" x14ac:dyDescent="0.25">
      <c r="A130">
        <v>129</v>
      </c>
      <c r="B130" t="str">
        <f>RefCapacityProj!B130</f>
        <v>REFERENCE</v>
      </c>
      <c r="C130">
        <f>RefCapacityProj!C130</f>
        <v>2035</v>
      </c>
      <c r="D130">
        <f>RefCapacityProj!D130</f>
        <v>2</v>
      </c>
      <c r="E130" t="str">
        <f>RefCapacityProj!E130</f>
        <v>HEAVY</v>
      </c>
      <c r="F130" t="str">
        <f>RefCapacityProj!F130</f>
        <v>SWEET</v>
      </c>
      <c r="G130">
        <f>RefCapacityProj!AG130</f>
        <v>63.299440479860891</v>
      </c>
      <c r="H130">
        <f>RefCapacityProj!AH130</f>
        <v>542.1768701857718</v>
      </c>
      <c r="I130">
        <f>RefCapacityProj!AI130</f>
        <v>0</v>
      </c>
      <c r="J130">
        <f>RefCapacityProj!AJ130</f>
        <v>443.80976462081776</v>
      </c>
      <c r="K130">
        <f>RefCapacityProj!AK130</f>
        <v>1375.3008160666207</v>
      </c>
      <c r="L130">
        <f>RefCapacityProj!AL130</f>
        <v>0</v>
      </c>
      <c r="M130">
        <f>RefCapacityProj!AM130</f>
        <v>1113.463231725081</v>
      </c>
      <c r="P130" t="s">
        <v>465</v>
      </c>
      <c r="Q130">
        <v>2035</v>
      </c>
      <c r="R130">
        <v>3</v>
      </c>
      <c r="S130" t="s">
        <v>469</v>
      </c>
      <c r="T130" t="s">
        <v>467</v>
      </c>
      <c r="U130" t="s">
        <v>594</v>
      </c>
      <c r="V130">
        <v>305.85516035670582</v>
      </c>
    </row>
    <row r="131" spans="1:22" x14ac:dyDescent="0.25">
      <c r="A131">
        <v>130</v>
      </c>
      <c r="B131" t="str">
        <f>RefCapacityProj!B131</f>
        <v>REFERENCE</v>
      </c>
      <c r="C131">
        <f>RefCapacityProj!C131</f>
        <v>2035</v>
      </c>
      <c r="D131">
        <f>RefCapacityProj!D131</f>
        <v>2</v>
      </c>
      <c r="E131" t="str">
        <f>RefCapacityProj!E131</f>
        <v>HEAVY</v>
      </c>
      <c r="F131" t="str">
        <f>RefCapacityProj!F131</f>
        <v>SOUR</v>
      </c>
      <c r="G131">
        <f>RefCapacityProj!AG131</f>
        <v>63.299440479860891</v>
      </c>
      <c r="H131">
        <f>RefCapacityProj!AH131</f>
        <v>542.1768701857718</v>
      </c>
      <c r="I131">
        <f>RefCapacityProj!AI131</f>
        <v>0</v>
      </c>
      <c r="J131">
        <f>RefCapacityProj!AJ131</f>
        <v>443.80976462081776</v>
      </c>
      <c r="K131">
        <f>RefCapacityProj!AK131</f>
        <v>1375.3008160666207</v>
      </c>
      <c r="L131">
        <f>RefCapacityProj!AL131</f>
        <v>0</v>
      </c>
      <c r="M131">
        <f>RefCapacityProj!AM131</f>
        <v>1113.463231725081</v>
      </c>
      <c r="P131" t="s">
        <v>465</v>
      </c>
      <c r="Q131">
        <v>2035</v>
      </c>
      <c r="R131">
        <v>3</v>
      </c>
      <c r="S131" t="s">
        <v>469</v>
      </c>
      <c r="T131" t="s">
        <v>467</v>
      </c>
      <c r="U131" t="s">
        <v>595</v>
      </c>
      <c r="V131">
        <v>1379.0242050532147</v>
      </c>
    </row>
    <row r="132" spans="1:22" x14ac:dyDescent="0.25">
      <c r="A132">
        <v>131</v>
      </c>
      <c r="B132" t="str">
        <f>RefCapacityProj!B132</f>
        <v>REFERENCE</v>
      </c>
      <c r="C132">
        <f>RefCapacityProj!C132</f>
        <v>2035</v>
      </c>
      <c r="D132">
        <f>RefCapacityProj!D132</f>
        <v>2</v>
      </c>
      <c r="E132" t="str">
        <f>RefCapacityProj!E132</f>
        <v>LIGHT</v>
      </c>
      <c r="F132" t="str">
        <f>RefCapacityProj!F132</f>
        <v>SWEET</v>
      </c>
      <c r="G132">
        <f>RefCapacityProj!AG132</f>
        <v>69.094920865061709</v>
      </c>
      <c r="H132">
        <f>RefCapacityProj!AH132</f>
        <v>816.59006309727226</v>
      </c>
      <c r="I132">
        <f>RefCapacityProj!AI132</f>
        <v>0</v>
      </c>
      <c r="J132">
        <f>RefCapacityProj!AJ132</f>
        <v>426.9999152003702</v>
      </c>
      <c r="K132">
        <f>RefCapacityProj!AK132</f>
        <v>1317.2794690949197</v>
      </c>
      <c r="L132">
        <f>RefCapacityProj!AL132</f>
        <v>0</v>
      </c>
      <c r="M132">
        <f>RefCapacityProj!AM132</f>
        <v>905.51584960106732</v>
      </c>
      <c r="P132" t="s">
        <v>465</v>
      </c>
      <c r="Q132">
        <v>2035</v>
      </c>
      <c r="R132">
        <v>3</v>
      </c>
      <c r="S132" t="s">
        <v>469</v>
      </c>
      <c r="T132" t="s">
        <v>467</v>
      </c>
      <c r="U132" t="s">
        <v>596</v>
      </c>
      <c r="V132">
        <v>1828.6437956180544</v>
      </c>
    </row>
    <row r="133" spans="1:22" x14ac:dyDescent="0.25">
      <c r="A133">
        <v>132</v>
      </c>
      <c r="B133" t="str">
        <f>RefCapacityProj!B133</f>
        <v>REFERENCE</v>
      </c>
      <c r="C133">
        <f>RefCapacityProj!C133</f>
        <v>2035</v>
      </c>
      <c r="D133">
        <f>RefCapacityProj!D133</f>
        <v>2</v>
      </c>
      <c r="E133" t="str">
        <f>RefCapacityProj!E133</f>
        <v>LIGHT</v>
      </c>
      <c r="F133" t="str">
        <f>RefCapacityProj!F133</f>
        <v>SOUR</v>
      </c>
      <c r="G133">
        <f>RefCapacityProj!AG133</f>
        <v>69.094920865061709</v>
      </c>
      <c r="H133">
        <f>RefCapacityProj!AH133</f>
        <v>816.59006309727226</v>
      </c>
      <c r="I133">
        <f>RefCapacityProj!AI133</f>
        <v>0</v>
      </c>
      <c r="J133">
        <f>RefCapacityProj!AJ133</f>
        <v>426.9999152003702</v>
      </c>
      <c r="K133">
        <f>RefCapacityProj!AK133</f>
        <v>1317.2794690949197</v>
      </c>
      <c r="L133">
        <f>RefCapacityProj!AL133</f>
        <v>0</v>
      </c>
      <c r="M133">
        <f>RefCapacityProj!AM133</f>
        <v>905.51584960106732</v>
      </c>
      <c r="P133" t="s">
        <v>465</v>
      </c>
      <c r="Q133">
        <v>2035</v>
      </c>
      <c r="R133">
        <v>3</v>
      </c>
      <c r="S133" t="s">
        <v>469</v>
      </c>
      <c r="T133" t="s">
        <v>467</v>
      </c>
      <c r="U133" t="s">
        <v>597</v>
      </c>
      <c r="V133">
        <v>53.629988209043283</v>
      </c>
    </row>
    <row r="134" spans="1:22" x14ac:dyDescent="0.25">
      <c r="A134">
        <v>133</v>
      </c>
      <c r="B134" t="str">
        <f>RefCapacityProj!B134</f>
        <v>REFERENCE</v>
      </c>
      <c r="C134">
        <f>RefCapacityProj!C134</f>
        <v>2050</v>
      </c>
      <c r="D134">
        <f>RefCapacityProj!D134</f>
        <v>2</v>
      </c>
      <c r="E134" t="str">
        <f>RefCapacityProj!E134</f>
        <v>HEAVY</v>
      </c>
      <c r="F134" t="str">
        <f>RefCapacityProj!F134</f>
        <v>SWEET</v>
      </c>
      <c r="G134">
        <f>RefCapacityProj!AG134</f>
        <v>21.842136163309998</v>
      </c>
      <c r="H134">
        <f>RefCapacityProj!AH134</f>
        <v>535.02369333891943</v>
      </c>
      <c r="I134">
        <f>RefCapacityProj!AI134</f>
        <v>0</v>
      </c>
      <c r="J134">
        <f>RefCapacityProj!AJ134</f>
        <v>452.47374344526207</v>
      </c>
      <c r="K134">
        <f>RefCapacityProj!AK134</f>
        <v>1398.5296716605742</v>
      </c>
      <c r="L134">
        <f>RefCapacityProj!AL134</f>
        <v>0</v>
      </c>
      <c r="M134">
        <f>RefCapacityProj!AM134</f>
        <v>1141.9641550886083</v>
      </c>
      <c r="P134" t="s">
        <v>465</v>
      </c>
      <c r="Q134">
        <v>2035</v>
      </c>
      <c r="R134">
        <v>3</v>
      </c>
      <c r="S134" t="s">
        <v>469</v>
      </c>
      <c r="T134" t="s">
        <v>467</v>
      </c>
      <c r="U134" t="s">
        <v>598</v>
      </c>
      <c r="V134">
        <v>2993.4424935979669</v>
      </c>
    </row>
    <row r="135" spans="1:22" x14ac:dyDescent="0.25">
      <c r="A135">
        <v>134</v>
      </c>
      <c r="B135" t="str">
        <f>RefCapacityProj!B135</f>
        <v>REFERENCE</v>
      </c>
      <c r="C135">
        <f>RefCapacityProj!C135</f>
        <v>2050</v>
      </c>
      <c r="D135">
        <f>RefCapacityProj!D135</f>
        <v>2</v>
      </c>
      <c r="E135" t="str">
        <f>RefCapacityProj!E135</f>
        <v>HEAVY</v>
      </c>
      <c r="F135" t="str">
        <f>RefCapacityProj!F135</f>
        <v>SOUR</v>
      </c>
      <c r="G135">
        <f>RefCapacityProj!AG135</f>
        <v>21.842136163309998</v>
      </c>
      <c r="H135">
        <f>RefCapacityProj!AH135</f>
        <v>535.02369333891943</v>
      </c>
      <c r="I135">
        <f>RefCapacityProj!AI135</f>
        <v>0</v>
      </c>
      <c r="J135">
        <f>RefCapacityProj!AJ135</f>
        <v>452.47374344526207</v>
      </c>
      <c r="K135">
        <f>RefCapacityProj!AK135</f>
        <v>1398.5296716605742</v>
      </c>
      <c r="L135">
        <f>RefCapacityProj!AL135</f>
        <v>0</v>
      </c>
      <c r="M135">
        <f>RefCapacityProj!AM135</f>
        <v>1141.9641550886083</v>
      </c>
      <c r="P135" t="s">
        <v>465</v>
      </c>
      <c r="Q135">
        <v>2035</v>
      </c>
      <c r="R135">
        <v>3</v>
      </c>
      <c r="S135" t="s">
        <v>469</v>
      </c>
      <c r="T135" t="s">
        <v>468</v>
      </c>
      <c r="U135" t="s">
        <v>592</v>
      </c>
      <c r="V135">
        <v>818.90133857978287</v>
      </c>
    </row>
    <row r="136" spans="1:22" x14ac:dyDescent="0.25">
      <c r="A136">
        <v>135</v>
      </c>
      <c r="B136" t="str">
        <f>RefCapacityProj!B136</f>
        <v>REFERENCE</v>
      </c>
      <c r="C136">
        <f>RefCapacityProj!C136</f>
        <v>2050</v>
      </c>
      <c r="D136">
        <f>RefCapacityProj!D136</f>
        <v>2</v>
      </c>
      <c r="E136" t="str">
        <f>RefCapacityProj!E136</f>
        <v>LIGHT</v>
      </c>
      <c r="F136" t="str">
        <f>RefCapacityProj!F136</f>
        <v>SWEET</v>
      </c>
      <c r="G136">
        <f>RefCapacityProj!AG136</f>
        <v>113.20489197273511</v>
      </c>
      <c r="H136">
        <f>RefCapacityProj!AH136</f>
        <v>733.50216494027768</v>
      </c>
      <c r="I136">
        <f>RefCapacityProj!AI136</f>
        <v>0</v>
      </c>
      <c r="J136">
        <f>RefCapacityProj!AJ136</f>
        <v>426.30506638108415</v>
      </c>
      <c r="K136">
        <f>RefCapacityProj!AK136</f>
        <v>1340.970067077604</v>
      </c>
      <c r="L136">
        <f>RefCapacityProj!AL136</f>
        <v>0</v>
      </c>
      <c r="M136">
        <f>RefCapacityProj!AM136</f>
        <v>968.78462164151574</v>
      </c>
      <c r="P136" t="s">
        <v>465</v>
      </c>
      <c r="Q136">
        <v>2035</v>
      </c>
      <c r="R136">
        <v>3</v>
      </c>
      <c r="S136" t="s">
        <v>469</v>
      </c>
      <c r="T136" t="s">
        <v>468</v>
      </c>
      <c r="U136" t="s">
        <v>593</v>
      </c>
      <c r="V136">
        <v>927.5088238876989</v>
      </c>
    </row>
    <row r="137" spans="1:22" x14ac:dyDescent="0.25">
      <c r="A137">
        <v>136</v>
      </c>
      <c r="B137" t="str">
        <f>RefCapacityProj!B137</f>
        <v>REFERENCE</v>
      </c>
      <c r="C137">
        <f>RefCapacityProj!C137</f>
        <v>2050</v>
      </c>
      <c r="D137">
        <f>RefCapacityProj!D137</f>
        <v>2</v>
      </c>
      <c r="E137" t="str">
        <f>RefCapacityProj!E137</f>
        <v>LIGHT</v>
      </c>
      <c r="F137" t="str">
        <f>RefCapacityProj!F137</f>
        <v>SOUR</v>
      </c>
      <c r="G137">
        <f>RefCapacityProj!AG137</f>
        <v>113.20489197273511</v>
      </c>
      <c r="H137">
        <f>RefCapacityProj!AH137</f>
        <v>733.50216494027768</v>
      </c>
      <c r="I137">
        <f>RefCapacityProj!AI137</f>
        <v>0</v>
      </c>
      <c r="J137">
        <f>RefCapacityProj!AJ137</f>
        <v>426.30506638108415</v>
      </c>
      <c r="K137">
        <f>RefCapacityProj!AK137</f>
        <v>1340.970067077604</v>
      </c>
      <c r="L137">
        <f>RefCapacityProj!AL137</f>
        <v>0</v>
      </c>
      <c r="M137">
        <f>RefCapacityProj!AM137</f>
        <v>968.78462164151574</v>
      </c>
      <c r="P137" t="s">
        <v>465</v>
      </c>
      <c r="Q137">
        <v>2035</v>
      </c>
      <c r="R137">
        <v>3</v>
      </c>
      <c r="S137" t="s">
        <v>469</v>
      </c>
      <c r="T137" t="s">
        <v>468</v>
      </c>
      <c r="U137" t="s">
        <v>594</v>
      </c>
      <c r="V137">
        <v>305.85516035670582</v>
      </c>
    </row>
    <row r="138" spans="1:22" x14ac:dyDescent="0.25">
      <c r="A138">
        <v>137</v>
      </c>
      <c r="B138" t="str">
        <f>RefCapacityProj!B138</f>
        <v>REFERENCE</v>
      </c>
      <c r="C138">
        <f>RefCapacityProj!C138</f>
        <v>2035</v>
      </c>
      <c r="D138">
        <f>RefCapacityProj!D138</f>
        <v>3</v>
      </c>
      <c r="E138" t="str">
        <f>RefCapacityProj!E138</f>
        <v>HEAVY</v>
      </c>
      <c r="F138" t="str">
        <f>RefCapacityProj!F138</f>
        <v>SWEET</v>
      </c>
      <c r="G138">
        <f>RefCapacityProj!AG138</f>
        <v>726.12738940484292</v>
      </c>
      <c r="H138">
        <f>RefCapacityProj!AH138</f>
        <v>692.06144448113525</v>
      </c>
      <c r="I138">
        <f>RefCapacityProj!AI138</f>
        <v>305.16439419050681</v>
      </c>
      <c r="J138">
        <f>RefCapacityProj!AJ138</f>
        <v>781.86926461767462</v>
      </c>
      <c r="K138">
        <f>RefCapacityProj!AK138</f>
        <v>1683.9383799639343</v>
      </c>
      <c r="L138">
        <f>RefCapacityProj!AL138</f>
        <v>1.5202501503043322E-3</v>
      </c>
      <c r="M138">
        <f>RefCapacityProj!AM138</f>
        <v>4477.7806980528258</v>
      </c>
      <c r="P138" t="s">
        <v>465</v>
      </c>
      <c r="Q138">
        <v>2035</v>
      </c>
      <c r="R138">
        <v>3</v>
      </c>
      <c r="S138" t="s">
        <v>469</v>
      </c>
      <c r="T138" t="s">
        <v>468</v>
      </c>
      <c r="U138" t="s">
        <v>595</v>
      </c>
      <c r="V138">
        <v>1379.0242050532147</v>
      </c>
    </row>
    <row r="139" spans="1:22" x14ac:dyDescent="0.25">
      <c r="A139">
        <v>138</v>
      </c>
      <c r="B139" t="str">
        <f>RefCapacityProj!B139</f>
        <v>REFERENCE</v>
      </c>
      <c r="C139">
        <f>RefCapacityProj!C139</f>
        <v>2035</v>
      </c>
      <c r="D139">
        <f>RefCapacityProj!D139</f>
        <v>3</v>
      </c>
      <c r="E139" t="str">
        <f>RefCapacityProj!E139</f>
        <v>HEAVY</v>
      </c>
      <c r="F139" t="str">
        <f>RefCapacityProj!F139</f>
        <v>SOUR</v>
      </c>
      <c r="G139">
        <f>RefCapacityProj!AG139</f>
        <v>726.12738940484292</v>
      </c>
      <c r="H139">
        <f>RefCapacityProj!AH139</f>
        <v>692.06144448113525</v>
      </c>
      <c r="I139">
        <f>RefCapacityProj!AI139</f>
        <v>305.16439419050681</v>
      </c>
      <c r="J139">
        <f>RefCapacityProj!AJ139</f>
        <v>781.86926461767462</v>
      </c>
      <c r="K139">
        <f>RefCapacityProj!AK139</f>
        <v>1683.9383799639343</v>
      </c>
      <c r="L139">
        <f>RefCapacityProj!AL139</f>
        <v>1.5202501503043322E-3</v>
      </c>
      <c r="M139">
        <f>RefCapacityProj!AM139</f>
        <v>4477.7806980528258</v>
      </c>
      <c r="P139" t="s">
        <v>465</v>
      </c>
      <c r="Q139">
        <v>2035</v>
      </c>
      <c r="R139">
        <v>3</v>
      </c>
      <c r="S139" t="s">
        <v>469</v>
      </c>
      <c r="T139" t="s">
        <v>468</v>
      </c>
      <c r="U139" t="s">
        <v>596</v>
      </c>
      <c r="V139">
        <v>1828.6437956180544</v>
      </c>
    </row>
    <row r="140" spans="1:22" x14ac:dyDescent="0.25">
      <c r="A140">
        <v>139</v>
      </c>
      <c r="B140" t="str">
        <f>RefCapacityProj!B140</f>
        <v>REFERENCE</v>
      </c>
      <c r="C140">
        <f>RefCapacityProj!C140</f>
        <v>2035</v>
      </c>
      <c r="D140">
        <f>RefCapacityProj!D140</f>
        <v>3</v>
      </c>
      <c r="E140" t="str">
        <f>RefCapacityProj!E140</f>
        <v>LIGHT</v>
      </c>
      <c r="F140" t="str">
        <f>RefCapacityProj!F140</f>
        <v>SWEET</v>
      </c>
      <c r="G140">
        <f>RefCapacityProj!AG140</f>
        <v>818.9013510241092</v>
      </c>
      <c r="H140">
        <f>RefCapacityProj!AH140</f>
        <v>927.5088968347618</v>
      </c>
      <c r="I140">
        <f>RefCapacityProj!AI140</f>
        <v>305.85522143619306</v>
      </c>
      <c r="J140">
        <f>RefCapacityProj!AJ140</f>
        <v>1744.3924081867713</v>
      </c>
      <c r="K140">
        <f>RefCapacityProj!AK140</f>
        <v>2037.140916158407</v>
      </c>
      <c r="L140">
        <f>RefCapacityProj!AL140</f>
        <v>53.629860155475498</v>
      </c>
      <c r="M140">
        <f>RefCapacityProj!AM140</f>
        <v>2607.9061610677609</v>
      </c>
      <c r="P140" t="s">
        <v>465</v>
      </c>
      <c r="Q140">
        <v>2035</v>
      </c>
      <c r="R140">
        <v>3</v>
      </c>
      <c r="S140" t="s">
        <v>469</v>
      </c>
      <c r="T140" t="s">
        <v>468</v>
      </c>
      <c r="U140" t="s">
        <v>597</v>
      </c>
      <c r="V140">
        <v>53.629988209043283</v>
      </c>
    </row>
    <row r="141" spans="1:22" x14ac:dyDescent="0.25">
      <c r="A141">
        <v>140</v>
      </c>
      <c r="B141" t="str">
        <f>RefCapacityProj!B141</f>
        <v>REFERENCE</v>
      </c>
      <c r="C141">
        <f>RefCapacityProj!C141</f>
        <v>2035</v>
      </c>
      <c r="D141">
        <f>RefCapacityProj!D141</f>
        <v>3</v>
      </c>
      <c r="E141" t="str">
        <f>RefCapacityProj!E141</f>
        <v>LIGHT</v>
      </c>
      <c r="F141" t="str">
        <f>RefCapacityProj!F141</f>
        <v>SOUR</v>
      </c>
      <c r="G141">
        <f>RefCapacityProj!AG141</f>
        <v>818.9013510241092</v>
      </c>
      <c r="H141">
        <f>RefCapacityProj!AH141</f>
        <v>927.5088968347618</v>
      </c>
      <c r="I141">
        <f>RefCapacityProj!AI141</f>
        <v>305.85522143619306</v>
      </c>
      <c r="J141">
        <f>RefCapacityProj!AJ141</f>
        <v>1744.3924081867713</v>
      </c>
      <c r="K141">
        <f>RefCapacityProj!AK141</f>
        <v>2037.140916158407</v>
      </c>
      <c r="L141">
        <f>RefCapacityProj!AL141</f>
        <v>53.629860155475498</v>
      </c>
      <c r="M141">
        <f>RefCapacityProj!AM141</f>
        <v>2607.9061610677609</v>
      </c>
      <c r="P141" t="s">
        <v>465</v>
      </c>
      <c r="Q141">
        <v>2035</v>
      </c>
      <c r="R141">
        <v>3</v>
      </c>
      <c r="S141" t="s">
        <v>469</v>
      </c>
      <c r="T141" t="s">
        <v>468</v>
      </c>
      <c r="U141" t="s">
        <v>598</v>
      </c>
      <c r="V141">
        <v>2993.4424935979669</v>
      </c>
    </row>
    <row r="142" spans="1:22" x14ac:dyDescent="0.25">
      <c r="A142">
        <v>141</v>
      </c>
      <c r="B142" t="str">
        <f>RefCapacityProj!B142</f>
        <v>REFERENCE</v>
      </c>
      <c r="C142">
        <f>RefCapacityProj!C142</f>
        <v>2050</v>
      </c>
      <c r="D142">
        <f>RefCapacityProj!D142</f>
        <v>3</v>
      </c>
      <c r="E142" t="str">
        <f>RefCapacityProj!E142</f>
        <v>HEAVY</v>
      </c>
      <c r="F142" t="str">
        <f>RefCapacityProj!F142</f>
        <v>SWEET</v>
      </c>
      <c r="G142">
        <f>RefCapacityProj!AG142</f>
        <v>684.90764536492156</v>
      </c>
      <c r="H142">
        <f>RefCapacityProj!AH142</f>
        <v>709.02078852593843</v>
      </c>
      <c r="I142">
        <f>RefCapacityProj!AI142</f>
        <v>315.44720364417634</v>
      </c>
      <c r="J142">
        <f>RefCapacityProj!AJ142</f>
        <v>832.89746652572751</v>
      </c>
      <c r="K142">
        <f>RefCapacityProj!AK142</f>
        <v>1775.4925923068965</v>
      </c>
      <c r="L142">
        <f>RefCapacityProj!AL142</f>
        <v>3.6931062777274787E-2</v>
      </c>
      <c r="M142">
        <f>RefCapacityProj!AM142</f>
        <v>4697.2649911185863</v>
      </c>
      <c r="P142" t="s">
        <v>465</v>
      </c>
      <c r="Q142">
        <v>2050</v>
      </c>
      <c r="R142">
        <v>3</v>
      </c>
      <c r="S142" t="s">
        <v>466</v>
      </c>
      <c r="T142" t="s">
        <v>467</v>
      </c>
      <c r="U142" t="s">
        <v>592</v>
      </c>
      <c r="V142">
        <v>524.98586005351535</v>
      </c>
    </row>
    <row r="143" spans="1:22" x14ac:dyDescent="0.25">
      <c r="A143">
        <v>142</v>
      </c>
      <c r="B143" t="str">
        <f>RefCapacityProj!B143</f>
        <v>REFERENCE</v>
      </c>
      <c r="C143">
        <f>RefCapacityProj!C143</f>
        <v>2050</v>
      </c>
      <c r="D143">
        <f>RefCapacityProj!D143</f>
        <v>3</v>
      </c>
      <c r="E143" t="str">
        <f>RefCapacityProj!E143</f>
        <v>HEAVY</v>
      </c>
      <c r="F143" t="str">
        <f>RefCapacityProj!F143</f>
        <v>SOUR</v>
      </c>
      <c r="G143">
        <f>RefCapacityProj!AG143</f>
        <v>684.90764536492156</v>
      </c>
      <c r="H143">
        <f>RefCapacityProj!AH143</f>
        <v>709.02078852593843</v>
      </c>
      <c r="I143">
        <f>RefCapacityProj!AI143</f>
        <v>315.44720364417634</v>
      </c>
      <c r="J143">
        <f>RefCapacityProj!AJ143</f>
        <v>832.89746652572751</v>
      </c>
      <c r="K143">
        <f>RefCapacityProj!AK143</f>
        <v>1775.4925923068965</v>
      </c>
      <c r="L143">
        <f>RefCapacityProj!AL143</f>
        <v>3.6931062777274787E-2</v>
      </c>
      <c r="M143">
        <f>RefCapacityProj!AM143</f>
        <v>4697.2649911185863</v>
      </c>
      <c r="P143" t="s">
        <v>465</v>
      </c>
      <c r="Q143">
        <v>2050</v>
      </c>
      <c r="R143">
        <v>3</v>
      </c>
      <c r="S143" t="s">
        <v>466</v>
      </c>
      <c r="T143" t="s">
        <v>467</v>
      </c>
      <c r="U143" t="s">
        <v>593</v>
      </c>
      <c r="V143">
        <v>651.28165208421024</v>
      </c>
    </row>
    <row r="144" spans="1:22" x14ac:dyDescent="0.25">
      <c r="A144">
        <v>143</v>
      </c>
      <c r="B144" t="str">
        <f>RefCapacityProj!B144</f>
        <v>REFERENCE</v>
      </c>
      <c r="C144">
        <f>RefCapacityProj!C144</f>
        <v>2050</v>
      </c>
      <c r="D144">
        <f>RefCapacityProj!D144</f>
        <v>3</v>
      </c>
      <c r="E144" t="str">
        <f>RefCapacityProj!E144</f>
        <v>LIGHT</v>
      </c>
      <c r="F144" t="str">
        <f>RefCapacityProj!F144</f>
        <v>SWEET</v>
      </c>
      <c r="G144">
        <f>RefCapacityProj!AG144</f>
        <v>1341.6855515100883</v>
      </c>
      <c r="H144">
        <f>RefCapacityProj!AH144</f>
        <v>959.2028748244943</v>
      </c>
      <c r="I144">
        <f>RefCapacityProj!AI144</f>
        <v>315.8823737558148</v>
      </c>
      <c r="J144">
        <f>RefCapacityProj!AJ144</f>
        <v>641.67960137582475</v>
      </c>
      <c r="K144">
        <f>RefCapacityProj!AK144</f>
        <v>1521.8089264352661</v>
      </c>
      <c r="L144">
        <f>RefCapacityProj!AL144</f>
        <v>7.9701702835490662E-2</v>
      </c>
      <c r="M144">
        <f>RefCapacityProj!AM144</f>
        <v>4216.2366450240352</v>
      </c>
      <c r="P144" t="s">
        <v>465</v>
      </c>
      <c r="Q144">
        <v>2050</v>
      </c>
      <c r="R144">
        <v>3</v>
      </c>
      <c r="S144" t="s">
        <v>466</v>
      </c>
      <c r="T144" t="s">
        <v>467</v>
      </c>
      <c r="U144" t="s">
        <v>594</v>
      </c>
      <c r="V144">
        <v>315.8815829100223</v>
      </c>
    </row>
    <row r="145" spans="1:22" x14ac:dyDescent="0.25">
      <c r="A145">
        <v>144</v>
      </c>
      <c r="B145" t="str">
        <f>RefCapacityProj!B145</f>
        <v>REFERENCE</v>
      </c>
      <c r="C145">
        <f>RefCapacityProj!C145</f>
        <v>2050</v>
      </c>
      <c r="D145">
        <f>RefCapacityProj!D145</f>
        <v>3</v>
      </c>
      <c r="E145" t="str">
        <f>RefCapacityProj!E145</f>
        <v>LIGHT</v>
      </c>
      <c r="F145" t="str">
        <f>RefCapacityProj!F145</f>
        <v>SOUR</v>
      </c>
      <c r="G145">
        <f>RefCapacityProj!AG145</f>
        <v>1341.6855515100883</v>
      </c>
      <c r="H145">
        <f>RefCapacityProj!AH145</f>
        <v>959.2028748244943</v>
      </c>
      <c r="I145">
        <f>RefCapacityProj!AI145</f>
        <v>315.8823737558148</v>
      </c>
      <c r="J145">
        <f>RefCapacityProj!AJ145</f>
        <v>641.67960137582475</v>
      </c>
      <c r="K145">
        <f>RefCapacityProj!AK145</f>
        <v>1521.8089264352661</v>
      </c>
      <c r="L145">
        <f>RefCapacityProj!AL145</f>
        <v>7.9701702835490662E-2</v>
      </c>
      <c r="M145">
        <f>RefCapacityProj!AM145</f>
        <v>4216.2366450240352</v>
      </c>
      <c r="P145" t="s">
        <v>465</v>
      </c>
      <c r="Q145">
        <v>2050</v>
      </c>
      <c r="R145">
        <v>3</v>
      </c>
      <c r="S145" t="s">
        <v>466</v>
      </c>
      <c r="T145" t="s">
        <v>467</v>
      </c>
      <c r="U145" t="s">
        <v>595</v>
      </c>
      <c r="V145">
        <v>821.83186125789837</v>
      </c>
    </row>
    <row r="146" spans="1:22" x14ac:dyDescent="0.25">
      <c r="A146">
        <v>145</v>
      </c>
      <c r="B146" t="str">
        <f>RefCapacityProj!B146</f>
        <v>REFERENCE</v>
      </c>
      <c r="C146">
        <f>RefCapacityProj!C146</f>
        <v>2035</v>
      </c>
      <c r="D146">
        <f>RefCapacityProj!D146</f>
        <v>4</v>
      </c>
      <c r="E146" t="str">
        <f>RefCapacityProj!E146</f>
        <v>HEAVY</v>
      </c>
      <c r="F146" t="str">
        <f>RefCapacityProj!F146</f>
        <v>SWEET</v>
      </c>
      <c r="G146">
        <f>RefCapacityProj!AG146</f>
        <v>41.24720907441354</v>
      </c>
      <c r="H146">
        <f>RefCapacityProj!AH146</f>
        <v>311.65678471723726</v>
      </c>
      <c r="I146">
        <f>RefCapacityProj!AI146</f>
        <v>0</v>
      </c>
      <c r="J146">
        <f>RefCapacityProj!AJ146</f>
        <v>138.96474358951389</v>
      </c>
      <c r="K146">
        <f>RefCapacityProj!AK146</f>
        <v>167.10736510010722</v>
      </c>
      <c r="L146">
        <f>RefCapacityProj!AL146</f>
        <v>0</v>
      </c>
      <c r="M146">
        <f>RefCapacityProj!AM146</f>
        <v>6.6674307805092085E-11</v>
      </c>
      <c r="P146" t="s">
        <v>465</v>
      </c>
      <c r="Q146">
        <v>2050</v>
      </c>
      <c r="R146">
        <v>3</v>
      </c>
      <c r="S146" t="s">
        <v>466</v>
      </c>
      <c r="T146" t="s">
        <v>467</v>
      </c>
      <c r="U146" t="s">
        <v>596</v>
      </c>
      <c r="V146">
        <v>1725.2652108193568</v>
      </c>
    </row>
    <row r="147" spans="1:22" x14ac:dyDescent="0.25">
      <c r="A147">
        <v>146</v>
      </c>
      <c r="B147" t="str">
        <f>RefCapacityProj!B147</f>
        <v>REFERENCE</v>
      </c>
      <c r="C147">
        <f>RefCapacityProj!C147</f>
        <v>2035</v>
      </c>
      <c r="D147">
        <f>RefCapacityProj!D147</f>
        <v>4</v>
      </c>
      <c r="E147" t="str">
        <f>RefCapacityProj!E147</f>
        <v>HEAVY</v>
      </c>
      <c r="F147" t="str">
        <f>RefCapacityProj!F147</f>
        <v>SOUR</v>
      </c>
      <c r="G147">
        <f>RefCapacityProj!AG147</f>
        <v>41.24720907441354</v>
      </c>
      <c r="H147">
        <f>RefCapacityProj!AH147</f>
        <v>311.65678471723726</v>
      </c>
      <c r="I147">
        <f>RefCapacityProj!AI147</f>
        <v>0</v>
      </c>
      <c r="J147">
        <f>RefCapacityProj!AJ147</f>
        <v>138.96474358951389</v>
      </c>
      <c r="K147">
        <f>RefCapacityProj!AK147</f>
        <v>167.10736510010722</v>
      </c>
      <c r="L147">
        <f>RefCapacityProj!AL147</f>
        <v>0</v>
      </c>
      <c r="M147">
        <f>RefCapacityProj!AM147</f>
        <v>6.6674307805092085E-11</v>
      </c>
      <c r="P147" t="s">
        <v>465</v>
      </c>
      <c r="Q147">
        <v>2050</v>
      </c>
      <c r="R147">
        <v>3</v>
      </c>
      <c r="S147" t="s">
        <v>466</v>
      </c>
      <c r="T147" t="s">
        <v>467</v>
      </c>
      <c r="U147" t="s">
        <v>597</v>
      </c>
      <c r="V147">
        <v>7.2177124606499334E-3</v>
      </c>
    </row>
    <row r="148" spans="1:22" x14ac:dyDescent="0.25">
      <c r="A148">
        <v>147</v>
      </c>
      <c r="B148" t="str">
        <f>RefCapacityProj!B148</f>
        <v>REFERENCE</v>
      </c>
      <c r="C148">
        <f>RefCapacityProj!C148</f>
        <v>2035</v>
      </c>
      <c r="D148">
        <f>RefCapacityProj!D148</f>
        <v>4</v>
      </c>
      <c r="E148" t="str">
        <f>RefCapacityProj!E148</f>
        <v>LIGHT</v>
      </c>
      <c r="F148" t="str">
        <f>RefCapacityProj!F148</f>
        <v>SWEET</v>
      </c>
      <c r="G148">
        <f>RefCapacityProj!AG148</f>
        <v>41.247209074411444</v>
      </c>
      <c r="H148">
        <f>RefCapacityProj!AH148</f>
        <v>311.65678471723089</v>
      </c>
      <c r="I148">
        <f>RefCapacityProj!AI148</f>
        <v>0</v>
      </c>
      <c r="J148">
        <f>RefCapacityProj!AJ148</f>
        <v>138.96474358945034</v>
      </c>
      <c r="K148">
        <f>RefCapacityProj!AK148</f>
        <v>167.10634895767373</v>
      </c>
      <c r="L148">
        <f>RefCapacityProj!AL148</f>
        <v>0</v>
      </c>
      <c r="M148">
        <f>RefCapacityProj!AM148</f>
        <v>7.9348345412476647E-11</v>
      </c>
      <c r="P148" t="s">
        <v>465</v>
      </c>
      <c r="Q148">
        <v>2050</v>
      </c>
      <c r="R148">
        <v>3</v>
      </c>
      <c r="S148" t="s">
        <v>466</v>
      </c>
      <c r="T148" t="s">
        <v>467</v>
      </c>
      <c r="U148" t="s">
        <v>598</v>
      </c>
      <c r="V148">
        <v>4529.6423745205293</v>
      </c>
    </row>
    <row r="149" spans="1:22" x14ac:dyDescent="0.25">
      <c r="A149">
        <v>148</v>
      </c>
      <c r="B149" t="str">
        <f>RefCapacityProj!B149</f>
        <v>REFERENCE</v>
      </c>
      <c r="C149">
        <f>RefCapacityProj!C149</f>
        <v>2035</v>
      </c>
      <c r="D149">
        <f>RefCapacityProj!D149</f>
        <v>4</v>
      </c>
      <c r="E149" t="str">
        <f>RefCapacityProj!E149</f>
        <v>LIGHT</v>
      </c>
      <c r="F149" t="str">
        <f>RefCapacityProj!F149</f>
        <v>SOUR</v>
      </c>
      <c r="G149">
        <f>RefCapacityProj!AG149</f>
        <v>41.247209074411444</v>
      </c>
      <c r="H149">
        <f>RefCapacityProj!AH149</f>
        <v>311.65678471723089</v>
      </c>
      <c r="I149">
        <f>RefCapacityProj!AI149</f>
        <v>0</v>
      </c>
      <c r="J149">
        <f>RefCapacityProj!AJ149</f>
        <v>138.96474358945034</v>
      </c>
      <c r="K149">
        <f>RefCapacityProj!AK149</f>
        <v>167.10634895767373</v>
      </c>
      <c r="L149">
        <f>RefCapacityProj!AL149</f>
        <v>0</v>
      </c>
      <c r="M149">
        <f>RefCapacityProj!AM149</f>
        <v>7.9348345412476647E-11</v>
      </c>
      <c r="P149" t="s">
        <v>465</v>
      </c>
      <c r="Q149">
        <v>2050</v>
      </c>
      <c r="R149">
        <v>3</v>
      </c>
      <c r="S149" t="s">
        <v>466</v>
      </c>
      <c r="T149" t="s">
        <v>468</v>
      </c>
      <c r="U149" t="s">
        <v>592</v>
      </c>
      <c r="V149">
        <v>524.98586005351535</v>
      </c>
    </row>
    <row r="150" spans="1:22" x14ac:dyDescent="0.25">
      <c r="A150">
        <v>149</v>
      </c>
      <c r="B150" t="str">
        <f>RefCapacityProj!B150</f>
        <v>REFERENCE</v>
      </c>
      <c r="C150">
        <f>RefCapacityProj!C150</f>
        <v>2050</v>
      </c>
      <c r="D150">
        <f>RefCapacityProj!D150</f>
        <v>4</v>
      </c>
      <c r="E150" t="str">
        <f>RefCapacityProj!E150</f>
        <v>HEAVY</v>
      </c>
      <c r="F150" t="str">
        <f>RefCapacityProj!F150</f>
        <v>SWEET</v>
      </c>
      <c r="G150">
        <f>RefCapacityProj!AG150</f>
        <v>67.579418148792087</v>
      </c>
      <c r="H150">
        <f>RefCapacityProj!AH150</f>
        <v>392.11356943438057</v>
      </c>
      <c r="I150">
        <f>RefCapacityProj!AI150</f>
        <v>0</v>
      </c>
      <c r="J150">
        <f>RefCapacityProj!AJ150</f>
        <v>205.34948717824963</v>
      </c>
      <c r="K150">
        <f>RefCapacityProj!AK150</f>
        <v>24.173461141935817</v>
      </c>
      <c r="L150">
        <f>RefCapacityProj!AL150</f>
        <v>0</v>
      </c>
      <c r="M150">
        <f>RefCapacityProj!AM150</f>
        <v>3.4010786799325068E-10</v>
      </c>
      <c r="P150" t="s">
        <v>465</v>
      </c>
      <c r="Q150">
        <v>2050</v>
      </c>
      <c r="R150">
        <v>3</v>
      </c>
      <c r="S150" t="s">
        <v>466</v>
      </c>
      <c r="T150" t="s">
        <v>468</v>
      </c>
      <c r="U150" t="s">
        <v>593</v>
      </c>
      <c r="V150">
        <v>651.28165208421024</v>
      </c>
    </row>
    <row r="151" spans="1:22" x14ac:dyDescent="0.25">
      <c r="A151">
        <v>150</v>
      </c>
      <c r="B151" t="str">
        <f>RefCapacityProj!B151</f>
        <v>REFERENCE</v>
      </c>
      <c r="C151">
        <f>RefCapacityProj!C151</f>
        <v>2050</v>
      </c>
      <c r="D151">
        <f>RefCapacityProj!D151</f>
        <v>4</v>
      </c>
      <c r="E151" t="str">
        <f>RefCapacityProj!E151</f>
        <v>HEAVY</v>
      </c>
      <c r="F151" t="str">
        <f>RefCapacityProj!F151</f>
        <v>SOUR</v>
      </c>
      <c r="G151">
        <f>RefCapacityProj!AG151</f>
        <v>67.579418148792087</v>
      </c>
      <c r="H151">
        <f>RefCapacityProj!AH151</f>
        <v>392.11356943438057</v>
      </c>
      <c r="I151">
        <f>RefCapacityProj!AI151</f>
        <v>0</v>
      </c>
      <c r="J151">
        <f>RefCapacityProj!AJ151</f>
        <v>205.34948717824963</v>
      </c>
      <c r="K151">
        <f>RefCapacityProj!AK151</f>
        <v>24.173461141935817</v>
      </c>
      <c r="L151">
        <f>RefCapacityProj!AL151</f>
        <v>0</v>
      </c>
      <c r="M151">
        <f>RefCapacityProj!AM151</f>
        <v>3.4010786799325068E-10</v>
      </c>
      <c r="P151" t="s">
        <v>465</v>
      </c>
      <c r="Q151">
        <v>2050</v>
      </c>
      <c r="R151">
        <v>3</v>
      </c>
      <c r="S151" t="s">
        <v>466</v>
      </c>
      <c r="T151" t="s">
        <v>468</v>
      </c>
      <c r="U151" t="s">
        <v>594</v>
      </c>
      <c r="V151">
        <v>315.8815829100223</v>
      </c>
    </row>
    <row r="152" spans="1:22" x14ac:dyDescent="0.25">
      <c r="A152">
        <v>151</v>
      </c>
      <c r="B152" t="str">
        <f>RefCapacityProj!B152</f>
        <v>REFERENCE</v>
      </c>
      <c r="C152">
        <f>RefCapacityProj!C152</f>
        <v>2050</v>
      </c>
      <c r="D152">
        <f>RefCapacityProj!D152</f>
        <v>4</v>
      </c>
      <c r="E152" t="str">
        <f>RefCapacityProj!E152</f>
        <v>LIGHT</v>
      </c>
      <c r="F152" t="str">
        <f>RefCapacityProj!F152</f>
        <v>SWEET</v>
      </c>
      <c r="G152">
        <f>RefCapacityProj!AG152</f>
        <v>67.579418148802631</v>
      </c>
      <c r="H152">
        <f>RefCapacityProj!AH152</f>
        <v>392.11356943440921</v>
      </c>
      <c r="I152">
        <f>RefCapacityProj!AI152</f>
        <v>0</v>
      </c>
      <c r="J152">
        <f>RefCapacityProj!AJ152</f>
        <v>205.34948717848067</v>
      </c>
      <c r="K152">
        <f>RefCapacityProj!AK152</f>
        <v>24.006461526885428</v>
      </c>
      <c r="L152">
        <f>RefCapacityProj!AL152</f>
        <v>0</v>
      </c>
      <c r="M152">
        <f>RefCapacityProj!AM152</f>
        <v>2.7660921527374504E-10</v>
      </c>
      <c r="P152" t="s">
        <v>465</v>
      </c>
      <c r="Q152">
        <v>2050</v>
      </c>
      <c r="R152">
        <v>3</v>
      </c>
      <c r="S152" t="s">
        <v>466</v>
      </c>
      <c r="T152" t="s">
        <v>468</v>
      </c>
      <c r="U152" t="s">
        <v>595</v>
      </c>
      <c r="V152">
        <v>821.83186125789837</v>
      </c>
    </row>
    <row r="153" spans="1:22" x14ac:dyDescent="0.25">
      <c r="A153">
        <v>152</v>
      </c>
      <c r="B153" t="str">
        <f>RefCapacityProj!B153</f>
        <v>REFERENCE</v>
      </c>
      <c r="C153">
        <f>RefCapacityProj!C153</f>
        <v>2050</v>
      </c>
      <c r="D153">
        <f>RefCapacityProj!D153</f>
        <v>4</v>
      </c>
      <c r="E153" t="str">
        <f>RefCapacityProj!E153</f>
        <v>LIGHT</v>
      </c>
      <c r="F153" t="str">
        <f>RefCapacityProj!F153</f>
        <v>SOUR</v>
      </c>
      <c r="G153">
        <f>RefCapacityProj!AG153</f>
        <v>67.579418148802631</v>
      </c>
      <c r="H153">
        <f>RefCapacityProj!AH153</f>
        <v>392.11356943440921</v>
      </c>
      <c r="I153">
        <f>RefCapacityProj!AI153</f>
        <v>0</v>
      </c>
      <c r="J153">
        <f>RefCapacityProj!AJ153</f>
        <v>205.34948717848067</v>
      </c>
      <c r="K153">
        <f>RefCapacityProj!AK153</f>
        <v>24.006461526885428</v>
      </c>
      <c r="L153">
        <f>RefCapacityProj!AL153</f>
        <v>0</v>
      </c>
      <c r="M153">
        <f>RefCapacityProj!AM153</f>
        <v>2.7660921527374504E-10</v>
      </c>
      <c r="P153" t="s">
        <v>465</v>
      </c>
      <c r="Q153">
        <v>2050</v>
      </c>
      <c r="R153">
        <v>3</v>
      </c>
      <c r="S153" t="s">
        <v>466</v>
      </c>
      <c r="T153" t="s">
        <v>468</v>
      </c>
      <c r="U153" t="s">
        <v>596</v>
      </c>
      <c r="V153">
        <v>1725.2652108193568</v>
      </c>
    </row>
    <row r="154" spans="1:22" x14ac:dyDescent="0.25">
      <c r="A154">
        <v>153</v>
      </c>
      <c r="B154" t="str">
        <f>RefCapacityProj!B154</f>
        <v>REFERENCE</v>
      </c>
      <c r="C154">
        <f>RefCapacityProj!C154</f>
        <v>2035</v>
      </c>
      <c r="D154">
        <f>RefCapacityProj!D154</f>
        <v>5</v>
      </c>
      <c r="E154" t="str">
        <f>RefCapacityProj!E154</f>
        <v>HEAVY</v>
      </c>
      <c r="F154" t="str">
        <f>RefCapacityProj!F154</f>
        <v>SWEET</v>
      </c>
      <c r="G154">
        <f>RefCapacityProj!AG154</f>
        <v>539.89181304325245</v>
      </c>
      <c r="H154">
        <f>RefCapacityProj!AH154</f>
        <v>301.95121010455534</v>
      </c>
      <c r="I154">
        <f>RefCapacityProj!AI154</f>
        <v>252.01742846889371</v>
      </c>
      <c r="J154">
        <f>RefCapacityProj!AJ154</f>
        <v>492.0630904132376</v>
      </c>
      <c r="K154">
        <f>RefCapacityProj!AK154</f>
        <v>278.37419354749989</v>
      </c>
      <c r="L154">
        <f>RefCapacityProj!AL154</f>
        <v>505.88851673747013</v>
      </c>
      <c r="M154">
        <f>RefCapacityProj!AM154</f>
        <v>423.23835525837274</v>
      </c>
      <c r="P154" t="s">
        <v>465</v>
      </c>
      <c r="Q154">
        <v>2050</v>
      </c>
      <c r="R154">
        <v>3</v>
      </c>
      <c r="S154" t="s">
        <v>466</v>
      </c>
      <c r="T154" t="s">
        <v>468</v>
      </c>
      <c r="U154" t="s">
        <v>597</v>
      </c>
      <c r="V154">
        <v>7.2177124606499334E-3</v>
      </c>
    </row>
    <row r="155" spans="1:22" x14ac:dyDescent="0.25">
      <c r="A155">
        <v>154</v>
      </c>
      <c r="B155" t="str">
        <f>RefCapacityProj!B155</f>
        <v>REFERENCE</v>
      </c>
      <c r="C155">
        <f>RefCapacityProj!C155</f>
        <v>2035</v>
      </c>
      <c r="D155">
        <f>RefCapacityProj!D155</f>
        <v>5</v>
      </c>
      <c r="E155" t="str">
        <f>RefCapacityProj!E155</f>
        <v>HEAVY</v>
      </c>
      <c r="F155" t="str">
        <f>RefCapacityProj!F155</f>
        <v>SOUR</v>
      </c>
      <c r="G155">
        <f>RefCapacityProj!AG155</f>
        <v>539.89181304325245</v>
      </c>
      <c r="H155">
        <f>RefCapacityProj!AH155</f>
        <v>301.95121010455534</v>
      </c>
      <c r="I155">
        <f>RefCapacityProj!AI155</f>
        <v>252.01742846889371</v>
      </c>
      <c r="J155">
        <f>RefCapacityProj!AJ155</f>
        <v>492.0630904132376</v>
      </c>
      <c r="K155">
        <f>RefCapacityProj!AK155</f>
        <v>278.37419354749989</v>
      </c>
      <c r="L155">
        <f>RefCapacityProj!AL155</f>
        <v>505.88851673747013</v>
      </c>
      <c r="M155">
        <f>RefCapacityProj!AM155</f>
        <v>423.23835525837274</v>
      </c>
      <c r="P155" t="s">
        <v>465</v>
      </c>
      <c r="Q155">
        <v>2050</v>
      </c>
      <c r="R155">
        <v>3</v>
      </c>
      <c r="S155" t="s">
        <v>466</v>
      </c>
      <c r="T155" t="s">
        <v>468</v>
      </c>
      <c r="U155" t="s">
        <v>598</v>
      </c>
      <c r="V155">
        <v>4529.6423745205293</v>
      </c>
    </row>
    <row r="156" spans="1:22" x14ac:dyDescent="0.25">
      <c r="A156">
        <v>155</v>
      </c>
      <c r="B156" t="str">
        <f>RefCapacityProj!B156</f>
        <v>REFERENCE</v>
      </c>
      <c r="C156">
        <f>RefCapacityProj!C156</f>
        <v>2035</v>
      </c>
      <c r="D156">
        <f>RefCapacityProj!D156</f>
        <v>5</v>
      </c>
      <c r="E156" t="str">
        <f>RefCapacityProj!E156</f>
        <v>LIGHT</v>
      </c>
      <c r="F156" t="str">
        <f>RefCapacityProj!F156</f>
        <v>SWEET</v>
      </c>
      <c r="G156">
        <f>RefCapacityProj!AG156</f>
        <v>539.78000386455187</v>
      </c>
      <c r="H156">
        <f>RefCapacityProj!AH156</f>
        <v>297.22237936162469</v>
      </c>
      <c r="I156">
        <f>RefCapacityProj!AI156</f>
        <v>251.5647209315598</v>
      </c>
      <c r="J156">
        <f>RefCapacityProj!AJ156</f>
        <v>186.04872400515933</v>
      </c>
      <c r="K156">
        <f>RefCapacityProj!AK156</f>
        <v>133.57820025577783</v>
      </c>
      <c r="L156">
        <f>RefCapacityProj!AL156</f>
        <v>248.2667695656265</v>
      </c>
      <c r="M156">
        <f>RefCapacityProj!AM156</f>
        <v>1186.7691858585601</v>
      </c>
      <c r="P156" t="s">
        <v>465</v>
      </c>
      <c r="Q156">
        <v>2050</v>
      </c>
      <c r="R156">
        <v>3</v>
      </c>
      <c r="S156" t="s">
        <v>469</v>
      </c>
      <c r="T156" t="s">
        <v>467</v>
      </c>
      <c r="U156" t="s">
        <v>592</v>
      </c>
      <c r="V156">
        <v>1212.1346752428269</v>
      </c>
    </row>
    <row r="157" spans="1:22" x14ac:dyDescent="0.25">
      <c r="A157">
        <v>156</v>
      </c>
      <c r="B157" t="str">
        <f>RefCapacityProj!B157</f>
        <v>REFERENCE</v>
      </c>
      <c r="C157">
        <f>RefCapacityProj!C157</f>
        <v>2035</v>
      </c>
      <c r="D157">
        <f>RefCapacityProj!D157</f>
        <v>5</v>
      </c>
      <c r="E157" t="str">
        <f>RefCapacityProj!E157</f>
        <v>LIGHT</v>
      </c>
      <c r="F157" t="str">
        <f>RefCapacityProj!F157</f>
        <v>SOUR</v>
      </c>
      <c r="G157">
        <f>RefCapacityProj!AG157</f>
        <v>539.78000386455187</v>
      </c>
      <c r="H157">
        <f>RefCapacityProj!AH157</f>
        <v>297.22237936162469</v>
      </c>
      <c r="I157">
        <f>RefCapacityProj!AI157</f>
        <v>251.5647209315598</v>
      </c>
      <c r="J157">
        <f>RefCapacityProj!AJ157</f>
        <v>186.04872400515933</v>
      </c>
      <c r="K157">
        <f>RefCapacityProj!AK157</f>
        <v>133.57820025577783</v>
      </c>
      <c r="L157">
        <f>RefCapacityProj!AL157</f>
        <v>248.2667695656265</v>
      </c>
      <c r="M157">
        <f>RefCapacityProj!AM157</f>
        <v>1186.7691858585601</v>
      </c>
      <c r="P157" t="s">
        <v>465</v>
      </c>
      <c r="Q157">
        <v>2050</v>
      </c>
      <c r="R157">
        <v>3</v>
      </c>
      <c r="S157" t="s">
        <v>469</v>
      </c>
      <c r="T157" t="s">
        <v>467</v>
      </c>
      <c r="U157" t="s">
        <v>593</v>
      </c>
      <c r="V157">
        <v>759.72797575357652</v>
      </c>
    </row>
    <row r="158" spans="1:22" x14ac:dyDescent="0.25">
      <c r="A158">
        <v>157</v>
      </c>
      <c r="B158" t="str">
        <f>RefCapacityProj!B158</f>
        <v>REFERENCE</v>
      </c>
      <c r="C158">
        <f>RefCapacityProj!C158</f>
        <v>2050</v>
      </c>
      <c r="D158">
        <f>RefCapacityProj!D158</f>
        <v>5</v>
      </c>
      <c r="E158" t="str">
        <f>RefCapacityProj!E158</f>
        <v>HEAVY</v>
      </c>
      <c r="F158" t="str">
        <f>RefCapacityProj!F158</f>
        <v>SWEET</v>
      </c>
      <c r="G158">
        <f>RefCapacityProj!AG158</f>
        <v>619.5369846082416</v>
      </c>
      <c r="H158">
        <f>RefCapacityProj!AH158</f>
        <v>318.39234409546407</v>
      </c>
      <c r="I158">
        <f>RefCapacityProj!AI158</f>
        <v>260.28138749644381</v>
      </c>
      <c r="J158">
        <f>RefCapacityProj!AJ158</f>
        <v>183.62288817831916</v>
      </c>
      <c r="K158">
        <f>RefCapacityProj!AK158</f>
        <v>126.27844786109597</v>
      </c>
      <c r="L158">
        <f>RefCapacityProj!AL158</f>
        <v>243.67257591491133</v>
      </c>
      <c r="M158">
        <f>RefCapacityProj!AM158</f>
        <v>1215.0111384940972</v>
      </c>
      <c r="P158" t="s">
        <v>465</v>
      </c>
      <c r="Q158">
        <v>2050</v>
      </c>
      <c r="R158">
        <v>3</v>
      </c>
      <c r="S158" t="s">
        <v>469</v>
      </c>
      <c r="T158" t="s">
        <v>467</v>
      </c>
      <c r="U158" t="s">
        <v>594</v>
      </c>
      <c r="V158">
        <v>315.87415017675528</v>
      </c>
    </row>
    <row r="159" spans="1:22" x14ac:dyDescent="0.25">
      <c r="A159">
        <v>158</v>
      </c>
      <c r="B159" t="str">
        <f>RefCapacityProj!B159</f>
        <v>REFERENCE</v>
      </c>
      <c r="C159">
        <f>RefCapacityProj!C159</f>
        <v>2050</v>
      </c>
      <c r="D159">
        <f>RefCapacityProj!D159</f>
        <v>5</v>
      </c>
      <c r="E159" t="str">
        <f>RefCapacityProj!E159</f>
        <v>HEAVY</v>
      </c>
      <c r="F159" t="str">
        <f>RefCapacityProj!F159</f>
        <v>SOUR</v>
      </c>
      <c r="G159">
        <f>RefCapacityProj!AG159</f>
        <v>619.5369846082416</v>
      </c>
      <c r="H159">
        <f>RefCapacityProj!AH159</f>
        <v>318.39234409546407</v>
      </c>
      <c r="I159">
        <f>RefCapacityProj!AI159</f>
        <v>260.28138749644381</v>
      </c>
      <c r="J159">
        <f>RefCapacityProj!AJ159</f>
        <v>183.62288817831916</v>
      </c>
      <c r="K159">
        <f>RefCapacityProj!AK159</f>
        <v>126.27844786109597</v>
      </c>
      <c r="L159">
        <f>RefCapacityProj!AL159</f>
        <v>243.67257591491133</v>
      </c>
      <c r="M159">
        <f>RefCapacityProj!AM159</f>
        <v>1215.0111384940972</v>
      </c>
      <c r="P159" t="s">
        <v>465</v>
      </c>
      <c r="Q159">
        <v>2050</v>
      </c>
      <c r="R159">
        <v>3</v>
      </c>
      <c r="S159" t="s">
        <v>469</v>
      </c>
      <c r="T159" t="s">
        <v>467</v>
      </c>
      <c r="U159" t="s">
        <v>595</v>
      </c>
      <c r="V159">
        <v>634.78468860485441</v>
      </c>
    </row>
    <row r="160" spans="1:22" x14ac:dyDescent="0.25">
      <c r="A160">
        <v>159</v>
      </c>
      <c r="B160" t="str">
        <f>RefCapacityProj!B160</f>
        <v>REFERENCE</v>
      </c>
      <c r="C160">
        <f>RefCapacityProj!C160</f>
        <v>2050</v>
      </c>
      <c r="D160">
        <f>RefCapacityProj!D160</f>
        <v>5</v>
      </c>
      <c r="E160" t="str">
        <f>RefCapacityProj!E160</f>
        <v>LIGHT</v>
      </c>
      <c r="F160" t="str">
        <f>RefCapacityProj!F160</f>
        <v>SWEET</v>
      </c>
      <c r="G160">
        <f>RefCapacityProj!AG160</f>
        <v>294.31939397848396</v>
      </c>
      <c r="H160">
        <f>RefCapacityProj!AH160</f>
        <v>251.01254312484252</v>
      </c>
      <c r="I160">
        <f>RefCapacityProj!AI160</f>
        <v>260.24031271882109</v>
      </c>
      <c r="J160">
        <f>RefCapacityProj!AJ160</f>
        <v>247.65867525283127</v>
      </c>
      <c r="K160">
        <f>RefCapacityProj!AK160</f>
        <v>208.85074236634455</v>
      </c>
      <c r="L160">
        <f>RefCapacityProj!AL160</f>
        <v>341.82467807266289</v>
      </c>
      <c r="M160">
        <f>RefCapacityProj!AM160</f>
        <v>1365.3844583741363</v>
      </c>
      <c r="P160" t="s">
        <v>465</v>
      </c>
      <c r="Q160">
        <v>2050</v>
      </c>
      <c r="R160">
        <v>3</v>
      </c>
      <c r="S160" t="s">
        <v>469</v>
      </c>
      <c r="T160" t="s">
        <v>467</v>
      </c>
      <c r="U160" t="s">
        <v>596</v>
      </c>
      <c r="V160">
        <v>1496.3607368823516</v>
      </c>
    </row>
    <row r="161" spans="1:22" x14ac:dyDescent="0.25">
      <c r="A161">
        <v>160</v>
      </c>
      <c r="B161" t="str">
        <f>RefCapacityProj!B161</f>
        <v>REFERENCE</v>
      </c>
      <c r="C161">
        <f>RefCapacityProj!C161</f>
        <v>2050</v>
      </c>
      <c r="D161">
        <f>RefCapacityProj!D161</f>
        <v>5</v>
      </c>
      <c r="E161" t="str">
        <f>RefCapacityProj!E161</f>
        <v>LIGHT</v>
      </c>
      <c r="F161" t="str">
        <f>RefCapacityProj!F161</f>
        <v>SOUR</v>
      </c>
      <c r="G161">
        <f>RefCapacityProj!AG161</f>
        <v>294.31939397848396</v>
      </c>
      <c r="H161">
        <f>RefCapacityProj!AH161</f>
        <v>251.01254312484252</v>
      </c>
      <c r="I161">
        <f>RefCapacityProj!AI161</f>
        <v>260.24031271882109</v>
      </c>
      <c r="J161">
        <f>RefCapacityProj!AJ161</f>
        <v>247.65867525283127</v>
      </c>
      <c r="K161">
        <f>RefCapacityProj!AK161</f>
        <v>208.85074236634455</v>
      </c>
      <c r="L161">
        <f>RefCapacityProj!AL161</f>
        <v>341.82467807266289</v>
      </c>
      <c r="M161">
        <f>RefCapacityProj!AM161</f>
        <v>1365.3844583741363</v>
      </c>
      <c r="P161" t="s">
        <v>465</v>
      </c>
      <c r="Q161">
        <v>2050</v>
      </c>
      <c r="R161">
        <v>3</v>
      </c>
      <c r="S161" t="s">
        <v>469</v>
      </c>
      <c r="T161" t="s">
        <v>467</v>
      </c>
      <c r="U161" t="s">
        <v>597</v>
      </c>
      <c r="V161">
        <v>3.2539849613758397E-3</v>
      </c>
    </row>
    <row r="162" spans="1:22" x14ac:dyDescent="0.25">
      <c r="A162">
        <v>161</v>
      </c>
      <c r="B162" t="str">
        <f>RefCapacityProj!B162</f>
        <v>BASELINE</v>
      </c>
      <c r="C162">
        <f>RefCapacityProj!C162</f>
        <v>2019</v>
      </c>
      <c r="D162">
        <f>RefCapacityProj!D162</f>
        <v>1</v>
      </c>
      <c r="E162" t="str">
        <f>RefCapacityProj!E162</f>
        <v>REF</v>
      </c>
      <c r="F162" t="str">
        <f>RefCapacityProj!F162</f>
        <v>REF</v>
      </c>
      <c r="G162">
        <f>RefCapacityProj!AG162</f>
        <v>24.299100000000003</v>
      </c>
      <c r="H162">
        <f>RefCapacityProj!AH162</f>
        <v>486.75374999999997</v>
      </c>
      <c r="I162">
        <f>RefCapacityProj!AI162</f>
        <v>0</v>
      </c>
      <c r="J162">
        <f>RefCapacityProj!AJ162</f>
        <v>145.23599999999999</v>
      </c>
      <c r="K162">
        <f>RefCapacityProj!AK162</f>
        <v>115.90949999999999</v>
      </c>
      <c r="L162">
        <f>RefCapacityProj!AL162</f>
        <v>0</v>
      </c>
      <c r="M162">
        <f>RefCapacityProj!AM162</f>
        <v>132.80715000000001</v>
      </c>
      <c r="P162" t="s">
        <v>465</v>
      </c>
      <c r="Q162">
        <v>2050</v>
      </c>
      <c r="R162">
        <v>3</v>
      </c>
      <c r="S162" t="s">
        <v>469</v>
      </c>
      <c r="T162" t="s">
        <v>467</v>
      </c>
      <c r="U162" t="s">
        <v>598</v>
      </c>
      <c r="V162">
        <v>4148.5279065860686</v>
      </c>
    </row>
    <row r="163" spans="1:22" x14ac:dyDescent="0.25">
      <c r="A163">
        <v>162</v>
      </c>
      <c r="B163" t="str">
        <f>RefCapacityProj!B163</f>
        <v>BASELINE</v>
      </c>
      <c r="C163">
        <f>RefCapacityProj!C163</f>
        <v>2019</v>
      </c>
      <c r="D163">
        <f>RefCapacityProj!D163</f>
        <v>2</v>
      </c>
      <c r="E163" t="str">
        <f>RefCapacityProj!E163</f>
        <v>REF</v>
      </c>
      <c r="F163" t="str">
        <f>RefCapacityProj!F163</f>
        <v>REF</v>
      </c>
      <c r="G163">
        <f>RefCapacityProj!AG163</f>
        <v>23.011184999999998</v>
      </c>
      <c r="H163">
        <f>RefCapacityProj!AH163</f>
        <v>566.88171421978018</v>
      </c>
      <c r="I163">
        <f>RefCapacityProj!AI163</f>
        <v>0</v>
      </c>
      <c r="J163">
        <f>RefCapacityProj!AJ163</f>
        <v>477.72270000000003</v>
      </c>
      <c r="K163">
        <f>RefCapacityProj!AK163</f>
        <v>1477.1596649999999</v>
      </c>
      <c r="L163">
        <f>RefCapacityProj!AL163</f>
        <v>0</v>
      </c>
      <c r="M163">
        <f>RefCapacityProj!AM163</f>
        <v>1205.17455</v>
      </c>
      <c r="P163" t="s">
        <v>465</v>
      </c>
      <c r="Q163">
        <v>2050</v>
      </c>
      <c r="R163">
        <v>3</v>
      </c>
      <c r="S163" t="s">
        <v>469</v>
      </c>
      <c r="T163" t="s">
        <v>468</v>
      </c>
      <c r="U163" t="s">
        <v>592</v>
      </c>
      <c r="V163">
        <v>1212.1346752428269</v>
      </c>
    </row>
    <row r="164" spans="1:22" x14ac:dyDescent="0.25">
      <c r="A164">
        <v>163</v>
      </c>
      <c r="B164" t="str">
        <f>RefCapacityProj!B164</f>
        <v>BASELINE</v>
      </c>
      <c r="C164">
        <f>RefCapacityProj!C164</f>
        <v>2019</v>
      </c>
      <c r="D164">
        <f>RefCapacityProj!D164</f>
        <v>3</v>
      </c>
      <c r="E164" t="str">
        <f>RefCapacityProj!E164</f>
        <v>REF</v>
      </c>
      <c r="F164" t="str">
        <f>RefCapacityProj!F164</f>
        <v>REF</v>
      </c>
      <c r="G164">
        <f>RefCapacityProj!AG164</f>
        <v>272.42580000000004</v>
      </c>
      <c r="H164">
        <f>RefCapacityProj!AH164</f>
        <v>633.01980000000003</v>
      </c>
      <c r="I164">
        <f>RefCapacityProj!AI164</f>
        <v>272.15624000000003</v>
      </c>
      <c r="J164">
        <f>RefCapacityProj!AJ164</f>
        <v>929.22300000000007</v>
      </c>
      <c r="K164">
        <f>RefCapacityProj!AK164</f>
        <v>1900.3612000000003</v>
      </c>
      <c r="L164">
        <f>RefCapacityProj!AL164</f>
        <v>34.96</v>
      </c>
      <c r="M164">
        <f>RefCapacityProj!AM164</f>
        <v>4923.6836000000003</v>
      </c>
      <c r="P164" t="s">
        <v>465</v>
      </c>
      <c r="Q164">
        <v>2050</v>
      </c>
      <c r="R164">
        <v>3</v>
      </c>
      <c r="S164" t="s">
        <v>469</v>
      </c>
      <c r="T164" t="s">
        <v>468</v>
      </c>
      <c r="U164" t="s">
        <v>593</v>
      </c>
      <c r="V164">
        <v>759.72797575357652</v>
      </c>
    </row>
    <row r="165" spans="1:22" x14ac:dyDescent="0.25">
      <c r="A165">
        <v>164</v>
      </c>
      <c r="B165" t="str">
        <f>RefCapacityProj!B165</f>
        <v>BASELINE</v>
      </c>
      <c r="C165">
        <f>RefCapacityProj!C165</f>
        <v>2019</v>
      </c>
      <c r="D165">
        <f>RefCapacityProj!D165</f>
        <v>4</v>
      </c>
      <c r="E165" t="str">
        <f>RefCapacityProj!E165</f>
        <v>REF</v>
      </c>
      <c r="F165" t="str">
        <f>RefCapacityProj!F165</f>
        <v>REF</v>
      </c>
      <c r="G165">
        <f>RefCapacityProj!AG165</f>
        <v>13.691969999999998</v>
      </c>
      <c r="H165">
        <f>RefCapacityProj!AH165</f>
        <v>212.24159999999998</v>
      </c>
      <c r="I165">
        <f>RefCapacityProj!AI165</f>
        <v>0</v>
      </c>
      <c r="J165">
        <f>RefCapacityProj!AJ165</f>
        <v>66.628439999999998</v>
      </c>
      <c r="K165">
        <f>RefCapacityProj!AK165</f>
        <v>202.36850999999999</v>
      </c>
      <c r="L165">
        <f>RefCapacityProj!AL165</f>
        <v>0</v>
      </c>
      <c r="M165">
        <f>RefCapacityProj!AM165</f>
        <v>133.34408999999999</v>
      </c>
      <c r="P165" t="s">
        <v>465</v>
      </c>
      <c r="Q165">
        <v>2050</v>
      </c>
      <c r="R165">
        <v>3</v>
      </c>
      <c r="S165" t="s">
        <v>469</v>
      </c>
      <c r="T165" t="s">
        <v>468</v>
      </c>
      <c r="U165" t="s">
        <v>594</v>
      </c>
      <c r="V165">
        <v>315.87415017675528</v>
      </c>
    </row>
    <row r="166" spans="1:22" x14ac:dyDescent="0.25">
      <c r="A166">
        <v>165</v>
      </c>
      <c r="B166" t="str">
        <f>RefCapacityProj!B166</f>
        <v>BASELINE</v>
      </c>
      <c r="C166">
        <f>RefCapacityProj!C166</f>
        <v>2019</v>
      </c>
      <c r="D166">
        <f>RefCapacityProj!D166</f>
        <v>5</v>
      </c>
      <c r="E166" t="str">
        <f>RefCapacityProj!E166</f>
        <v>REF</v>
      </c>
      <c r="F166" t="str">
        <f>RefCapacityProj!F166</f>
        <v>REF</v>
      </c>
      <c r="G166">
        <f>RefCapacityProj!AG166</f>
        <v>173.35980000000001</v>
      </c>
      <c r="H166">
        <f>RefCapacityProj!AH166</f>
        <v>198.91200000000001</v>
      </c>
      <c r="I166">
        <f>RefCapacityProj!AI166</f>
        <v>216.45</v>
      </c>
      <c r="J166">
        <f>RefCapacityProj!AJ166</f>
        <v>228.21600000000001</v>
      </c>
      <c r="K166">
        <f>RefCapacityProj!AK166</f>
        <v>199.08959999999999</v>
      </c>
      <c r="L166">
        <f>RefCapacityProj!AL166</f>
        <v>318.30360000000002</v>
      </c>
      <c r="M166">
        <f>RefCapacityProj!AM166</f>
        <v>1219.45488</v>
      </c>
      <c r="P166" t="s">
        <v>465</v>
      </c>
      <c r="Q166">
        <v>2050</v>
      </c>
      <c r="R166">
        <v>3</v>
      </c>
      <c r="S166" t="s">
        <v>469</v>
      </c>
      <c r="T166" t="s">
        <v>468</v>
      </c>
      <c r="U166" t="s">
        <v>595</v>
      </c>
      <c r="V166">
        <v>634.78468860485441</v>
      </c>
    </row>
    <row r="167" spans="1:22" x14ac:dyDescent="0.25">
      <c r="P167" t="s">
        <v>465</v>
      </c>
      <c r="Q167">
        <v>2050</v>
      </c>
      <c r="R167">
        <v>3</v>
      </c>
      <c r="S167" t="s">
        <v>469</v>
      </c>
      <c r="T167" t="s">
        <v>468</v>
      </c>
      <c r="U167" t="s">
        <v>596</v>
      </c>
      <c r="V167">
        <v>1496.3607368823516</v>
      </c>
    </row>
    <row r="168" spans="1:22" x14ac:dyDescent="0.25">
      <c r="P168" t="s">
        <v>465</v>
      </c>
      <c r="Q168">
        <v>2050</v>
      </c>
      <c r="R168">
        <v>3</v>
      </c>
      <c r="S168" t="s">
        <v>469</v>
      </c>
      <c r="T168" t="s">
        <v>468</v>
      </c>
      <c r="U168" t="s">
        <v>597</v>
      </c>
      <c r="V168">
        <v>3.2539849613758397E-3</v>
      </c>
    </row>
    <row r="169" spans="1:22" x14ac:dyDescent="0.25">
      <c r="P169" t="s">
        <v>465</v>
      </c>
      <c r="Q169">
        <v>2050</v>
      </c>
      <c r="R169">
        <v>3</v>
      </c>
      <c r="S169" t="s">
        <v>469</v>
      </c>
      <c r="T169" t="s">
        <v>468</v>
      </c>
      <c r="U169" t="s">
        <v>598</v>
      </c>
      <c r="V169">
        <v>4148.5279065860686</v>
      </c>
    </row>
    <row r="170" spans="1:22" x14ac:dyDescent="0.25">
      <c r="P170" t="s">
        <v>465</v>
      </c>
      <c r="Q170">
        <v>2035</v>
      </c>
      <c r="R170">
        <v>4</v>
      </c>
      <c r="S170" t="s">
        <v>466</v>
      </c>
      <c r="T170" t="s">
        <v>467</v>
      </c>
      <c r="U170" t="s">
        <v>592</v>
      </c>
      <c r="V170">
        <v>41.247209074374091</v>
      </c>
    </row>
    <row r="171" spans="1:22" x14ac:dyDescent="0.25">
      <c r="P171" t="s">
        <v>465</v>
      </c>
      <c r="Q171">
        <v>2035</v>
      </c>
      <c r="R171">
        <v>4</v>
      </c>
      <c r="S171" t="s">
        <v>466</v>
      </c>
      <c r="T171" t="s">
        <v>467</v>
      </c>
      <c r="U171" t="s">
        <v>593</v>
      </c>
      <c r="V171">
        <v>311.65678471726608</v>
      </c>
    </row>
    <row r="172" spans="1:22" x14ac:dyDescent="0.25">
      <c r="P172" t="s">
        <v>465</v>
      </c>
      <c r="Q172">
        <v>2035</v>
      </c>
      <c r="R172">
        <v>4</v>
      </c>
      <c r="S172" t="s">
        <v>466</v>
      </c>
      <c r="T172" t="s">
        <v>467</v>
      </c>
      <c r="U172" t="s">
        <v>594</v>
      </c>
      <c r="V172">
        <v>0</v>
      </c>
    </row>
    <row r="173" spans="1:22" x14ac:dyDescent="0.25">
      <c r="P173" t="s">
        <v>465</v>
      </c>
      <c r="Q173">
        <v>2035</v>
      </c>
      <c r="R173">
        <v>4</v>
      </c>
      <c r="S173" t="s">
        <v>466</v>
      </c>
      <c r="T173" t="s">
        <v>467</v>
      </c>
      <c r="U173" t="s">
        <v>595</v>
      </c>
      <c r="V173">
        <v>138.96474358920781</v>
      </c>
    </row>
    <row r="174" spans="1:22" x14ac:dyDescent="0.25">
      <c r="P174" t="s">
        <v>465</v>
      </c>
      <c r="Q174">
        <v>2035</v>
      </c>
      <c r="R174">
        <v>4</v>
      </c>
      <c r="S174" t="s">
        <v>466</v>
      </c>
      <c r="T174" t="s">
        <v>467</v>
      </c>
      <c r="U174" t="s">
        <v>596</v>
      </c>
      <c r="V174">
        <v>162.30854184767787</v>
      </c>
    </row>
    <row r="175" spans="1:22" x14ac:dyDescent="0.25">
      <c r="P175" t="s">
        <v>465</v>
      </c>
      <c r="Q175">
        <v>2035</v>
      </c>
      <c r="R175">
        <v>4</v>
      </c>
      <c r="S175" t="s">
        <v>466</v>
      </c>
      <c r="T175" t="s">
        <v>467</v>
      </c>
      <c r="U175" t="s">
        <v>597</v>
      </c>
      <c r="V175">
        <v>0</v>
      </c>
    </row>
    <row r="176" spans="1:22" x14ac:dyDescent="0.25">
      <c r="P176" t="s">
        <v>465</v>
      </c>
      <c r="Q176">
        <v>2035</v>
      </c>
      <c r="R176">
        <v>4</v>
      </c>
      <c r="S176" t="s">
        <v>466</v>
      </c>
      <c r="T176" t="s">
        <v>467</v>
      </c>
      <c r="U176" t="s">
        <v>598</v>
      </c>
      <c r="V176">
        <v>7.3428630665131843E-11</v>
      </c>
    </row>
    <row r="177" spans="16:22" x14ac:dyDescent="0.25">
      <c r="P177" t="s">
        <v>465</v>
      </c>
      <c r="Q177">
        <v>2035</v>
      </c>
      <c r="R177">
        <v>4</v>
      </c>
      <c r="S177" t="s">
        <v>466</v>
      </c>
      <c r="T177" t="s">
        <v>468</v>
      </c>
      <c r="U177" t="s">
        <v>592</v>
      </c>
      <c r="V177">
        <v>41.247209074374091</v>
      </c>
    </row>
    <row r="178" spans="16:22" x14ac:dyDescent="0.25">
      <c r="P178" t="s">
        <v>465</v>
      </c>
      <c r="Q178">
        <v>2035</v>
      </c>
      <c r="R178">
        <v>4</v>
      </c>
      <c r="S178" t="s">
        <v>466</v>
      </c>
      <c r="T178" t="s">
        <v>468</v>
      </c>
      <c r="U178" t="s">
        <v>593</v>
      </c>
      <c r="V178">
        <v>311.65678471726608</v>
      </c>
    </row>
    <row r="179" spans="16:22" x14ac:dyDescent="0.25">
      <c r="P179" t="s">
        <v>465</v>
      </c>
      <c r="Q179">
        <v>2035</v>
      </c>
      <c r="R179">
        <v>4</v>
      </c>
      <c r="S179" t="s">
        <v>466</v>
      </c>
      <c r="T179" t="s">
        <v>468</v>
      </c>
      <c r="U179" t="s">
        <v>594</v>
      </c>
      <c r="V179">
        <v>0</v>
      </c>
    </row>
    <row r="180" spans="16:22" x14ac:dyDescent="0.25">
      <c r="P180" t="s">
        <v>465</v>
      </c>
      <c r="Q180">
        <v>2035</v>
      </c>
      <c r="R180">
        <v>4</v>
      </c>
      <c r="S180" t="s">
        <v>466</v>
      </c>
      <c r="T180" t="s">
        <v>468</v>
      </c>
      <c r="U180" t="s">
        <v>595</v>
      </c>
      <c r="V180">
        <v>138.96474358920781</v>
      </c>
    </row>
    <row r="181" spans="16:22" x14ac:dyDescent="0.25">
      <c r="P181" t="s">
        <v>465</v>
      </c>
      <c r="Q181">
        <v>2035</v>
      </c>
      <c r="R181">
        <v>4</v>
      </c>
      <c r="S181" t="s">
        <v>466</v>
      </c>
      <c r="T181" t="s">
        <v>468</v>
      </c>
      <c r="U181" t="s">
        <v>596</v>
      </c>
      <c r="V181">
        <v>162.30854184767787</v>
      </c>
    </row>
    <row r="182" spans="16:22" x14ac:dyDescent="0.25">
      <c r="P182" t="s">
        <v>465</v>
      </c>
      <c r="Q182">
        <v>2035</v>
      </c>
      <c r="R182">
        <v>4</v>
      </c>
      <c r="S182" t="s">
        <v>466</v>
      </c>
      <c r="T182" t="s">
        <v>468</v>
      </c>
      <c r="U182" t="s">
        <v>597</v>
      </c>
      <c r="V182">
        <v>0</v>
      </c>
    </row>
    <row r="183" spans="16:22" x14ac:dyDescent="0.25">
      <c r="P183" t="s">
        <v>465</v>
      </c>
      <c r="Q183">
        <v>2035</v>
      </c>
      <c r="R183">
        <v>4</v>
      </c>
      <c r="S183" t="s">
        <v>466</v>
      </c>
      <c r="T183" t="s">
        <v>468</v>
      </c>
      <c r="U183" t="s">
        <v>598</v>
      </c>
      <c r="V183">
        <v>7.3428630665131843E-11</v>
      </c>
    </row>
    <row r="184" spans="16:22" x14ac:dyDescent="0.25">
      <c r="P184" t="s">
        <v>465</v>
      </c>
      <c r="Q184">
        <v>2035</v>
      </c>
      <c r="R184">
        <v>4</v>
      </c>
      <c r="S184" t="s">
        <v>469</v>
      </c>
      <c r="T184" t="s">
        <v>467</v>
      </c>
      <c r="U184" t="s">
        <v>592</v>
      </c>
      <c r="V184">
        <v>41.247209074410449</v>
      </c>
    </row>
    <row r="185" spans="16:22" x14ac:dyDescent="0.25">
      <c r="P185" t="s">
        <v>465</v>
      </c>
      <c r="Q185">
        <v>2035</v>
      </c>
      <c r="R185">
        <v>4</v>
      </c>
      <c r="S185" t="s">
        <v>469</v>
      </c>
      <c r="T185" t="s">
        <v>467</v>
      </c>
      <c r="U185" t="s">
        <v>593</v>
      </c>
      <c r="V185">
        <v>311.65678471723101</v>
      </c>
    </row>
    <row r="186" spans="16:22" x14ac:dyDescent="0.25">
      <c r="P186" t="s">
        <v>465</v>
      </c>
      <c r="Q186">
        <v>2035</v>
      </c>
      <c r="R186">
        <v>4</v>
      </c>
      <c r="S186" t="s">
        <v>469</v>
      </c>
      <c r="T186" t="s">
        <v>467</v>
      </c>
      <c r="U186" t="s">
        <v>594</v>
      </c>
      <c r="V186">
        <v>0</v>
      </c>
    </row>
    <row r="187" spans="16:22" x14ac:dyDescent="0.25">
      <c r="P187" t="s">
        <v>465</v>
      </c>
      <c r="Q187">
        <v>2035</v>
      </c>
      <c r="R187">
        <v>4</v>
      </c>
      <c r="S187" t="s">
        <v>469</v>
      </c>
      <c r="T187" t="s">
        <v>467</v>
      </c>
      <c r="U187" t="s">
        <v>595</v>
      </c>
      <c r="V187">
        <v>138.96474358945324</v>
      </c>
    </row>
    <row r="188" spans="16:22" x14ac:dyDescent="0.25">
      <c r="P188" t="s">
        <v>465</v>
      </c>
      <c r="Q188">
        <v>2035</v>
      </c>
      <c r="R188">
        <v>4</v>
      </c>
      <c r="S188" t="s">
        <v>469</v>
      </c>
      <c r="T188" t="s">
        <v>467</v>
      </c>
      <c r="U188" t="s">
        <v>596</v>
      </c>
      <c r="V188">
        <v>162.3618236670888</v>
      </c>
    </row>
    <row r="189" spans="16:22" x14ac:dyDescent="0.25">
      <c r="P189" t="s">
        <v>465</v>
      </c>
      <c r="Q189">
        <v>2035</v>
      </c>
      <c r="R189">
        <v>4</v>
      </c>
      <c r="S189" t="s">
        <v>469</v>
      </c>
      <c r="T189" t="s">
        <v>467</v>
      </c>
      <c r="U189" t="s">
        <v>597</v>
      </c>
      <c r="V189">
        <v>0</v>
      </c>
    </row>
    <row r="190" spans="16:22" x14ac:dyDescent="0.25">
      <c r="P190" t="s">
        <v>465</v>
      </c>
      <c r="Q190">
        <v>2035</v>
      </c>
      <c r="R190">
        <v>4</v>
      </c>
      <c r="S190" t="s">
        <v>469</v>
      </c>
      <c r="T190" t="s">
        <v>467</v>
      </c>
      <c r="U190" t="s">
        <v>598</v>
      </c>
      <c r="V190">
        <v>7.9800740468368622E-11</v>
      </c>
    </row>
    <row r="191" spans="16:22" x14ac:dyDescent="0.25">
      <c r="P191" t="s">
        <v>465</v>
      </c>
      <c r="Q191">
        <v>2035</v>
      </c>
      <c r="R191">
        <v>4</v>
      </c>
      <c r="S191" t="s">
        <v>469</v>
      </c>
      <c r="T191" t="s">
        <v>468</v>
      </c>
      <c r="U191" t="s">
        <v>592</v>
      </c>
      <c r="V191">
        <v>41.247209074410449</v>
      </c>
    </row>
    <row r="192" spans="16:22" x14ac:dyDescent="0.25">
      <c r="P192" t="s">
        <v>465</v>
      </c>
      <c r="Q192">
        <v>2035</v>
      </c>
      <c r="R192">
        <v>4</v>
      </c>
      <c r="S192" t="s">
        <v>469</v>
      </c>
      <c r="T192" t="s">
        <v>468</v>
      </c>
      <c r="U192" t="s">
        <v>593</v>
      </c>
      <c r="V192">
        <v>311.65678471723101</v>
      </c>
    </row>
    <row r="193" spans="16:22" x14ac:dyDescent="0.25">
      <c r="P193" t="s">
        <v>465</v>
      </c>
      <c r="Q193">
        <v>2035</v>
      </c>
      <c r="R193">
        <v>4</v>
      </c>
      <c r="S193" t="s">
        <v>469</v>
      </c>
      <c r="T193" t="s">
        <v>468</v>
      </c>
      <c r="U193" t="s">
        <v>594</v>
      </c>
      <c r="V193">
        <v>0</v>
      </c>
    </row>
    <row r="194" spans="16:22" x14ac:dyDescent="0.25">
      <c r="P194" t="s">
        <v>465</v>
      </c>
      <c r="Q194">
        <v>2035</v>
      </c>
      <c r="R194">
        <v>4</v>
      </c>
      <c r="S194" t="s">
        <v>469</v>
      </c>
      <c r="T194" t="s">
        <v>468</v>
      </c>
      <c r="U194" t="s">
        <v>595</v>
      </c>
      <c r="V194">
        <v>138.96474358945324</v>
      </c>
    </row>
    <row r="195" spans="16:22" x14ac:dyDescent="0.25">
      <c r="P195" t="s">
        <v>465</v>
      </c>
      <c r="Q195">
        <v>2035</v>
      </c>
      <c r="R195">
        <v>4</v>
      </c>
      <c r="S195" t="s">
        <v>469</v>
      </c>
      <c r="T195" t="s">
        <v>468</v>
      </c>
      <c r="U195" t="s">
        <v>596</v>
      </c>
      <c r="V195">
        <v>162.3618236670888</v>
      </c>
    </row>
    <row r="196" spans="16:22" x14ac:dyDescent="0.25">
      <c r="P196" t="s">
        <v>465</v>
      </c>
      <c r="Q196">
        <v>2035</v>
      </c>
      <c r="R196">
        <v>4</v>
      </c>
      <c r="S196" t="s">
        <v>469</v>
      </c>
      <c r="T196" t="s">
        <v>468</v>
      </c>
      <c r="U196" t="s">
        <v>597</v>
      </c>
      <c r="V196">
        <v>0</v>
      </c>
    </row>
    <row r="197" spans="16:22" x14ac:dyDescent="0.25">
      <c r="P197" t="s">
        <v>465</v>
      </c>
      <c r="Q197">
        <v>2035</v>
      </c>
      <c r="R197">
        <v>4</v>
      </c>
      <c r="S197" t="s">
        <v>469</v>
      </c>
      <c r="T197" t="s">
        <v>468</v>
      </c>
      <c r="U197" t="s">
        <v>598</v>
      </c>
      <c r="V197">
        <v>7.9800740468368622E-11</v>
      </c>
    </row>
    <row r="198" spans="16:22" x14ac:dyDescent="0.25">
      <c r="P198" t="s">
        <v>465</v>
      </c>
      <c r="Q198">
        <v>2050</v>
      </c>
      <c r="R198">
        <v>4</v>
      </c>
      <c r="S198" t="s">
        <v>466</v>
      </c>
      <c r="T198" t="s">
        <v>467</v>
      </c>
      <c r="U198" t="s">
        <v>592</v>
      </c>
      <c r="V198">
        <v>67.579418148747223</v>
      </c>
    </row>
    <row r="199" spans="16:22" x14ac:dyDescent="0.25">
      <c r="P199" t="s">
        <v>465</v>
      </c>
      <c r="Q199">
        <v>2050</v>
      </c>
      <c r="R199">
        <v>4</v>
      </c>
      <c r="S199" t="s">
        <v>466</v>
      </c>
      <c r="T199" t="s">
        <v>467</v>
      </c>
      <c r="U199" t="s">
        <v>593</v>
      </c>
      <c r="V199">
        <v>392.11356943425875</v>
      </c>
    </row>
    <row r="200" spans="16:22" x14ac:dyDescent="0.25">
      <c r="P200" t="s">
        <v>465</v>
      </c>
      <c r="Q200">
        <v>2050</v>
      </c>
      <c r="R200">
        <v>4</v>
      </c>
      <c r="S200" t="s">
        <v>466</v>
      </c>
      <c r="T200" t="s">
        <v>467</v>
      </c>
      <c r="U200" t="s">
        <v>594</v>
      </c>
      <c r="V200">
        <v>0</v>
      </c>
    </row>
    <row r="201" spans="16:22" x14ac:dyDescent="0.25">
      <c r="P201" t="s">
        <v>465</v>
      </c>
      <c r="Q201">
        <v>2050</v>
      </c>
      <c r="R201">
        <v>4</v>
      </c>
      <c r="S201" t="s">
        <v>466</v>
      </c>
      <c r="T201" t="s">
        <v>467</v>
      </c>
      <c r="U201" t="s">
        <v>595</v>
      </c>
      <c r="V201">
        <v>205.34948717726684</v>
      </c>
    </row>
    <row r="202" spans="16:22" x14ac:dyDescent="0.25">
      <c r="P202" t="s">
        <v>465</v>
      </c>
      <c r="Q202">
        <v>2050</v>
      </c>
      <c r="R202">
        <v>4</v>
      </c>
      <c r="S202" t="s">
        <v>466</v>
      </c>
      <c r="T202" t="s">
        <v>467</v>
      </c>
      <c r="U202" t="s">
        <v>596</v>
      </c>
      <c r="V202">
        <v>13.094856883224784</v>
      </c>
    </row>
    <row r="203" spans="16:22" x14ac:dyDescent="0.25">
      <c r="P203" t="s">
        <v>465</v>
      </c>
      <c r="Q203">
        <v>2050</v>
      </c>
      <c r="R203">
        <v>4</v>
      </c>
      <c r="S203" t="s">
        <v>466</v>
      </c>
      <c r="T203" t="s">
        <v>467</v>
      </c>
      <c r="U203" t="s">
        <v>597</v>
      </c>
      <c r="V203">
        <v>0</v>
      </c>
    </row>
    <row r="204" spans="16:22" x14ac:dyDescent="0.25">
      <c r="P204" t="s">
        <v>465</v>
      </c>
      <c r="Q204">
        <v>2050</v>
      </c>
      <c r="R204">
        <v>4</v>
      </c>
      <c r="S204" t="s">
        <v>466</v>
      </c>
      <c r="T204" t="s">
        <v>467</v>
      </c>
      <c r="U204" t="s">
        <v>598</v>
      </c>
      <c r="V204">
        <v>6.102300632119987E-10</v>
      </c>
    </row>
    <row r="205" spans="16:22" x14ac:dyDescent="0.25">
      <c r="P205" t="s">
        <v>465</v>
      </c>
      <c r="Q205">
        <v>2050</v>
      </c>
      <c r="R205">
        <v>4</v>
      </c>
      <c r="S205" t="s">
        <v>466</v>
      </c>
      <c r="T205" t="s">
        <v>468</v>
      </c>
      <c r="U205" t="s">
        <v>592</v>
      </c>
      <c r="V205">
        <v>67.579418148747223</v>
      </c>
    </row>
    <row r="206" spans="16:22" x14ac:dyDescent="0.25">
      <c r="P206" t="s">
        <v>465</v>
      </c>
      <c r="Q206">
        <v>2050</v>
      </c>
      <c r="R206">
        <v>4</v>
      </c>
      <c r="S206" t="s">
        <v>466</v>
      </c>
      <c r="T206" t="s">
        <v>468</v>
      </c>
      <c r="U206" t="s">
        <v>593</v>
      </c>
      <c r="V206">
        <v>392.11356943425875</v>
      </c>
    </row>
    <row r="207" spans="16:22" x14ac:dyDescent="0.25">
      <c r="P207" t="s">
        <v>465</v>
      </c>
      <c r="Q207">
        <v>2050</v>
      </c>
      <c r="R207">
        <v>4</v>
      </c>
      <c r="S207" t="s">
        <v>466</v>
      </c>
      <c r="T207" t="s">
        <v>468</v>
      </c>
      <c r="U207" t="s">
        <v>594</v>
      </c>
      <c r="V207">
        <v>0</v>
      </c>
    </row>
    <row r="208" spans="16:22" x14ac:dyDescent="0.25">
      <c r="P208" t="s">
        <v>465</v>
      </c>
      <c r="Q208">
        <v>2050</v>
      </c>
      <c r="R208">
        <v>4</v>
      </c>
      <c r="S208" t="s">
        <v>466</v>
      </c>
      <c r="T208" t="s">
        <v>468</v>
      </c>
      <c r="U208" t="s">
        <v>595</v>
      </c>
      <c r="V208">
        <v>205.34948717726684</v>
      </c>
    </row>
    <row r="209" spans="16:22" x14ac:dyDescent="0.25">
      <c r="P209" t="s">
        <v>465</v>
      </c>
      <c r="Q209">
        <v>2050</v>
      </c>
      <c r="R209">
        <v>4</v>
      </c>
      <c r="S209" t="s">
        <v>466</v>
      </c>
      <c r="T209" t="s">
        <v>468</v>
      </c>
      <c r="U209" t="s">
        <v>596</v>
      </c>
      <c r="V209">
        <v>13.094856883224784</v>
      </c>
    </row>
    <row r="210" spans="16:22" x14ac:dyDescent="0.25">
      <c r="P210" t="s">
        <v>465</v>
      </c>
      <c r="Q210">
        <v>2050</v>
      </c>
      <c r="R210">
        <v>4</v>
      </c>
      <c r="S210" t="s">
        <v>466</v>
      </c>
      <c r="T210" t="s">
        <v>468</v>
      </c>
      <c r="U210" t="s">
        <v>597</v>
      </c>
      <c r="V210">
        <v>0</v>
      </c>
    </row>
    <row r="211" spans="16:22" x14ac:dyDescent="0.25">
      <c r="P211" t="s">
        <v>465</v>
      </c>
      <c r="Q211">
        <v>2050</v>
      </c>
      <c r="R211">
        <v>4</v>
      </c>
      <c r="S211" t="s">
        <v>466</v>
      </c>
      <c r="T211" t="s">
        <v>468</v>
      </c>
      <c r="U211" t="s">
        <v>598</v>
      </c>
      <c r="V211">
        <v>6.102300632119987E-10</v>
      </c>
    </row>
    <row r="212" spans="16:22" x14ac:dyDescent="0.25">
      <c r="P212" t="s">
        <v>465</v>
      </c>
      <c r="Q212">
        <v>2050</v>
      </c>
      <c r="R212">
        <v>4</v>
      </c>
      <c r="S212" t="s">
        <v>469</v>
      </c>
      <c r="T212" t="s">
        <v>467</v>
      </c>
      <c r="U212" t="s">
        <v>592</v>
      </c>
      <c r="V212">
        <v>67.579418148754712</v>
      </c>
    </row>
    <row r="213" spans="16:22" x14ac:dyDescent="0.25">
      <c r="P213" t="s">
        <v>465</v>
      </c>
      <c r="Q213">
        <v>2050</v>
      </c>
      <c r="R213">
        <v>4</v>
      </c>
      <c r="S213" t="s">
        <v>469</v>
      </c>
      <c r="T213" t="s">
        <v>467</v>
      </c>
      <c r="U213" t="s">
        <v>593</v>
      </c>
      <c r="V213">
        <v>392.1135694342791</v>
      </c>
    </row>
    <row r="214" spans="16:22" x14ac:dyDescent="0.25">
      <c r="P214" t="s">
        <v>465</v>
      </c>
      <c r="Q214">
        <v>2050</v>
      </c>
      <c r="R214">
        <v>4</v>
      </c>
      <c r="S214" t="s">
        <v>469</v>
      </c>
      <c r="T214" t="s">
        <v>467</v>
      </c>
      <c r="U214" t="s">
        <v>594</v>
      </c>
      <c r="V214">
        <v>0</v>
      </c>
    </row>
    <row r="215" spans="16:22" x14ac:dyDescent="0.25">
      <c r="P215" t="s">
        <v>465</v>
      </c>
      <c r="Q215">
        <v>2050</v>
      </c>
      <c r="R215">
        <v>4</v>
      </c>
      <c r="S215" t="s">
        <v>469</v>
      </c>
      <c r="T215" t="s">
        <v>467</v>
      </c>
      <c r="U215" t="s">
        <v>595</v>
      </c>
      <c r="V215">
        <v>205.34948717743092</v>
      </c>
    </row>
    <row r="216" spans="16:22" x14ac:dyDescent="0.25">
      <c r="P216" t="s">
        <v>465</v>
      </c>
      <c r="Q216">
        <v>2050</v>
      </c>
      <c r="R216">
        <v>4</v>
      </c>
      <c r="S216" t="s">
        <v>469</v>
      </c>
      <c r="T216" t="s">
        <v>467</v>
      </c>
      <c r="U216" t="s">
        <v>596</v>
      </c>
      <c r="V216">
        <v>13.129103343605934</v>
      </c>
    </row>
    <row r="217" spans="16:22" x14ac:dyDescent="0.25">
      <c r="P217" t="s">
        <v>465</v>
      </c>
      <c r="Q217">
        <v>2050</v>
      </c>
      <c r="R217">
        <v>4</v>
      </c>
      <c r="S217" t="s">
        <v>469</v>
      </c>
      <c r="T217" t="s">
        <v>467</v>
      </c>
      <c r="U217" t="s">
        <v>597</v>
      </c>
      <c r="V217">
        <v>0</v>
      </c>
    </row>
    <row r="218" spans="16:22" x14ac:dyDescent="0.25">
      <c r="P218" t="s">
        <v>465</v>
      </c>
      <c r="Q218">
        <v>2050</v>
      </c>
      <c r="R218">
        <v>4</v>
      </c>
      <c r="S218" t="s">
        <v>469</v>
      </c>
      <c r="T218" t="s">
        <v>467</v>
      </c>
      <c r="U218" t="s">
        <v>598</v>
      </c>
      <c r="V218">
        <v>5.6521976483622757E-10</v>
      </c>
    </row>
    <row r="219" spans="16:22" x14ac:dyDescent="0.25">
      <c r="P219" t="s">
        <v>465</v>
      </c>
      <c r="Q219">
        <v>2050</v>
      </c>
      <c r="R219">
        <v>4</v>
      </c>
      <c r="S219" t="s">
        <v>469</v>
      </c>
      <c r="T219" t="s">
        <v>468</v>
      </c>
      <c r="U219" t="s">
        <v>592</v>
      </c>
      <c r="V219">
        <v>67.579418148754712</v>
      </c>
    </row>
    <row r="220" spans="16:22" x14ac:dyDescent="0.25">
      <c r="P220" t="s">
        <v>465</v>
      </c>
      <c r="Q220">
        <v>2050</v>
      </c>
      <c r="R220">
        <v>4</v>
      </c>
      <c r="S220" t="s">
        <v>469</v>
      </c>
      <c r="T220" t="s">
        <v>468</v>
      </c>
      <c r="U220" t="s">
        <v>593</v>
      </c>
      <c r="V220">
        <v>392.1135694342791</v>
      </c>
    </row>
    <row r="221" spans="16:22" x14ac:dyDescent="0.25">
      <c r="P221" t="s">
        <v>465</v>
      </c>
      <c r="Q221">
        <v>2050</v>
      </c>
      <c r="R221">
        <v>4</v>
      </c>
      <c r="S221" t="s">
        <v>469</v>
      </c>
      <c r="T221" t="s">
        <v>468</v>
      </c>
      <c r="U221" t="s">
        <v>594</v>
      </c>
      <c r="V221">
        <v>0</v>
      </c>
    </row>
    <row r="222" spans="16:22" x14ac:dyDescent="0.25">
      <c r="P222" t="s">
        <v>465</v>
      </c>
      <c r="Q222">
        <v>2050</v>
      </c>
      <c r="R222">
        <v>4</v>
      </c>
      <c r="S222" t="s">
        <v>469</v>
      </c>
      <c r="T222" t="s">
        <v>468</v>
      </c>
      <c r="U222" t="s">
        <v>595</v>
      </c>
      <c r="V222">
        <v>205.34948717743092</v>
      </c>
    </row>
    <row r="223" spans="16:22" x14ac:dyDescent="0.25">
      <c r="P223" t="s">
        <v>465</v>
      </c>
      <c r="Q223">
        <v>2050</v>
      </c>
      <c r="R223">
        <v>4</v>
      </c>
      <c r="S223" t="s">
        <v>469</v>
      </c>
      <c r="T223" t="s">
        <v>468</v>
      </c>
      <c r="U223" t="s">
        <v>596</v>
      </c>
      <c r="V223">
        <v>13.129103343605934</v>
      </c>
    </row>
    <row r="224" spans="16:22" x14ac:dyDescent="0.25">
      <c r="P224" t="s">
        <v>465</v>
      </c>
      <c r="Q224">
        <v>2050</v>
      </c>
      <c r="R224">
        <v>4</v>
      </c>
      <c r="S224" t="s">
        <v>469</v>
      </c>
      <c r="T224" t="s">
        <v>468</v>
      </c>
      <c r="U224" t="s">
        <v>597</v>
      </c>
      <c r="V224">
        <v>0</v>
      </c>
    </row>
    <row r="225" spans="16:22" x14ac:dyDescent="0.25">
      <c r="P225" t="s">
        <v>465</v>
      </c>
      <c r="Q225">
        <v>2050</v>
      </c>
      <c r="R225">
        <v>4</v>
      </c>
      <c r="S225" t="s">
        <v>469</v>
      </c>
      <c r="T225" t="s">
        <v>468</v>
      </c>
      <c r="U225" t="s">
        <v>598</v>
      </c>
      <c r="V225">
        <v>5.6521976483622757E-10</v>
      </c>
    </row>
    <row r="226" spans="16:22" x14ac:dyDescent="0.25">
      <c r="P226" t="s">
        <v>465</v>
      </c>
      <c r="Q226">
        <v>2035</v>
      </c>
      <c r="R226">
        <v>5</v>
      </c>
      <c r="S226" t="s">
        <v>466</v>
      </c>
      <c r="T226" t="s">
        <v>467</v>
      </c>
      <c r="U226" t="s">
        <v>592</v>
      </c>
      <c r="V226">
        <v>539.89181304250531</v>
      </c>
    </row>
    <row r="227" spans="16:22" x14ac:dyDescent="0.25">
      <c r="P227" t="s">
        <v>465</v>
      </c>
      <c r="Q227">
        <v>2035</v>
      </c>
      <c r="R227">
        <v>5</v>
      </c>
      <c r="S227" t="s">
        <v>466</v>
      </c>
      <c r="T227" t="s">
        <v>467</v>
      </c>
      <c r="U227" t="s">
        <v>593</v>
      </c>
      <c r="V227">
        <v>301.95121010662348</v>
      </c>
    </row>
    <row r="228" spans="16:22" x14ac:dyDescent="0.25">
      <c r="P228" t="s">
        <v>465</v>
      </c>
      <c r="Q228">
        <v>2035</v>
      </c>
      <c r="R228">
        <v>5</v>
      </c>
      <c r="S228" t="s">
        <v>466</v>
      </c>
      <c r="T228" t="s">
        <v>467</v>
      </c>
      <c r="U228" t="s">
        <v>594</v>
      </c>
      <c r="V228">
        <v>252.01742846855842</v>
      </c>
    </row>
    <row r="229" spans="16:22" x14ac:dyDescent="0.25">
      <c r="P229" t="s">
        <v>465</v>
      </c>
      <c r="Q229">
        <v>2035</v>
      </c>
      <c r="R229">
        <v>5</v>
      </c>
      <c r="S229" t="s">
        <v>466</v>
      </c>
      <c r="T229" t="s">
        <v>467</v>
      </c>
      <c r="U229" t="s">
        <v>595</v>
      </c>
      <c r="V229">
        <v>492.06309040250432</v>
      </c>
    </row>
    <row r="230" spans="16:22" x14ac:dyDescent="0.25">
      <c r="P230" t="s">
        <v>465</v>
      </c>
      <c r="Q230">
        <v>2035</v>
      </c>
      <c r="R230">
        <v>5</v>
      </c>
      <c r="S230" t="s">
        <v>466</v>
      </c>
      <c r="T230" t="s">
        <v>467</v>
      </c>
      <c r="U230" t="s">
        <v>596</v>
      </c>
      <c r="V230">
        <v>278.37419353373269</v>
      </c>
    </row>
    <row r="231" spans="16:22" x14ac:dyDescent="0.25">
      <c r="P231" t="s">
        <v>465</v>
      </c>
      <c r="Q231">
        <v>2035</v>
      </c>
      <c r="R231">
        <v>5</v>
      </c>
      <c r="S231" t="s">
        <v>466</v>
      </c>
      <c r="T231" t="s">
        <v>467</v>
      </c>
      <c r="U231" t="s">
        <v>597</v>
      </c>
      <c r="V231">
        <v>505.88851672020553</v>
      </c>
    </row>
    <row r="232" spans="16:22" x14ac:dyDescent="0.25">
      <c r="P232" t="s">
        <v>465</v>
      </c>
      <c r="Q232">
        <v>2035</v>
      </c>
      <c r="R232">
        <v>5</v>
      </c>
      <c r="S232" t="s">
        <v>466</v>
      </c>
      <c r="T232" t="s">
        <v>467</v>
      </c>
      <c r="U232" t="s">
        <v>598</v>
      </c>
      <c r="V232">
        <v>363.79353643404363</v>
      </c>
    </row>
    <row r="233" spans="16:22" x14ac:dyDescent="0.25">
      <c r="P233" t="s">
        <v>465</v>
      </c>
      <c r="Q233">
        <v>2035</v>
      </c>
      <c r="R233">
        <v>5</v>
      </c>
      <c r="S233" t="s">
        <v>466</v>
      </c>
      <c r="T233" t="s">
        <v>468</v>
      </c>
      <c r="U233" t="s">
        <v>592</v>
      </c>
      <c r="V233">
        <v>539.89181304250531</v>
      </c>
    </row>
    <row r="234" spans="16:22" x14ac:dyDescent="0.25">
      <c r="P234" t="s">
        <v>465</v>
      </c>
      <c r="Q234">
        <v>2035</v>
      </c>
      <c r="R234">
        <v>5</v>
      </c>
      <c r="S234" t="s">
        <v>466</v>
      </c>
      <c r="T234" t="s">
        <v>468</v>
      </c>
      <c r="U234" t="s">
        <v>593</v>
      </c>
      <c r="V234">
        <v>301.95121010662348</v>
      </c>
    </row>
    <row r="235" spans="16:22" x14ac:dyDescent="0.25">
      <c r="P235" t="s">
        <v>465</v>
      </c>
      <c r="Q235">
        <v>2035</v>
      </c>
      <c r="R235">
        <v>5</v>
      </c>
      <c r="S235" t="s">
        <v>466</v>
      </c>
      <c r="T235" t="s">
        <v>468</v>
      </c>
      <c r="U235" t="s">
        <v>594</v>
      </c>
      <c r="V235">
        <v>252.01742846855842</v>
      </c>
    </row>
    <row r="236" spans="16:22" x14ac:dyDescent="0.25">
      <c r="P236" t="s">
        <v>465</v>
      </c>
      <c r="Q236">
        <v>2035</v>
      </c>
      <c r="R236">
        <v>5</v>
      </c>
      <c r="S236" t="s">
        <v>466</v>
      </c>
      <c r="T236" t="s">
        <v>468</v>
      </c>
      <c r="U236" t="s">
        <v>595</v>
      </c>
      <c r="V236">
        <v>492.06309040250432</v>
      </c>
    </row>
    <row r="237" spans="16:22" x14ac:dyDescent="0.25">
      <c r="P237" t="s">
        <v>465</v>
      </c>
      <c r="Q237">
        <v>2035</v>
      </c>
      <c r="R237">
        <v>5</v>
      </c>
      <c r="S237" t="s">
        <v>466</v>
      </c>
      <c r="T237" t="s">
        <v>468</v>
      </c>
      <c r="U237" t="s">
        <v>596</v>
      </c>
      <c r="V237">
        <v>278.37419353373269</v>
      </c>
    </row>
    <row r="238" spans="16:22" x14ac:dyDescent="0.25">
      <c r="P238" t="s">
        <v>465</v>
      </c>
      <c r="Q238">
        <v>2035</v>
      </c>
      <c r="R238">
        <v>5</v>
      </c>
      <c r="S238" t="s">
        <v>466</v>
      </c>
      <c r="T238" t="s">
        <v>468</v>
      </c>
      <c r="U238" t="s">
        <v>597</v>
      </c>
      <c r="V238">
        <v>505.88851672020553</v>
      </c>
    </row>
    <row r="239" spans="16:22" x14ac:dyDescent="0.25">
      <c r="P239" t="s">
        <v>465</v>
      </c>
      <c r="Q239">
        <v>2035</v>
      </c>
      <c r="R239">
        <v>5</v>
      </c>
      <c r="S239" t="s">
        <v>466</v>
      </c>
      <c r="T239" t="s">
        <v>468</v>
      </c>
      <c r="U239" t="s">
        <v>598</v>
      </c>
      <c r="V239">
        <v>363.79353643404363</v>
      </c>
    </row>
    <row r="240" spans="16:22" x14ac:dyDescent="0.25">
      <c r="P240" t="s">
        <v>465</v>
      </c>
      <c r="Q240">
        <v>2035</v>
      </c>
      <c r="R240">
        <v>5</v>
      </c>
      <c r="S240" t="s">
        <v>469</v>
      </c>
      <c r="T240" t="s">
        <v>467</v>
      </c>
      <c r="U240" t="s">
        <v>592</v>
      </c>
      <c r="V240">
        <v>539.89180844892269</v>
      </c>
    </row>
    <row r="241" spans="16:22" x14ac:dyDescent="0.25">
      <c r="P241" t="s">
        <v>465</v>
      </c>
      <c r="Q241">
        <v>2035</v>
      </c>
      <c r="R241">
        <v>5</v>
      </c>
      <c r="S241" t="s">
        <v>469</v>
      </c>
      <c r="T241" t="s">
        <v>467</v>
      </c>
      <c r="U241" t="s">
        <v>593</v>
      </c>
      <c r="V241">
        <v>301.95118830941209</v>
      </c>
    </row>
    <row r="242" spans="16:22" x14ac:dyDescent="0.25">
      <c r="P242" t="s">
        <v>465</v>
      </c>
      <c r="Q242">
        <v>2035</v>
      </c>
      <c r="R242">
        <v>5</v>
      </c>
      <c r="S242" t="s">
        <v>469</v>
      </c>
      <c r="T242" t="s">
        <v>467</v>
      </c>
      <c r="U242" t="s">
        <v>594</v>
      </c>
      <c r="V242">
        <v>252.0174178020404</v>
      </c>
    </row>
    <row r="243" spans="16:22" x14ac:dyDescent="0.25">
      <c r="P243" t="s">
        <v>465</v>
      </c>
      <c r="Q243">
        <v>2035</v>
      </c>
      <c r="R243">
        <v>5</v>
      </c>
      <c r="S243" t="s">
        <v>469</v>
      </c>
      <c r="T243" t="s">
        <v>467</v>
      </c>
      <c r="U243" t="s">
        <v>595</v>
      </c>
      <c r="V243">
        <v>492.06308102903228</v>
      </c>
    </row>
    <row r="244" spans="16:22" x14ac:dyDescent="0.25">
      <c r="P244" t="s">
        <v>465</v>
      </c>
      <c r="Q244">
        <v>2035</v>
      </c>
      <c r="R244">
        <v>5</v>
      </c>
      <c r="S244" t="s">
        <v>469</v>
      </c>
      <c r="T244" t="s">
        <v>467</v>
      </c>
      <c r="U244" t="s">
        <v>596</v>
      </c>
      <c r="V244">
        <v>56.393176359510598</v>
      </c>
    </row>
    <row r="245" spans="16:22" x14ac:dyDescent="0.25">
      <c r="P245" t="s">
        <v>465</v>
      </c>
      <c r="Q245">
        <v>2035</v>
      </c>
      <c r="R245">
        <v>5</v>
      </c>
      <c r="S245" t="s">
        <v>469</v>
      </c>
      <c r="T245" t="s">
        <v>467</v>
      </c>
      <c r="U245" t="s">
        <v>597</v>
      </c>
      <c r="V245">
        <v>505.88849403224742</v>
      </c>
    </row>
    <row r="246" spans="16:22" x14ac:dyDescent="0.25">
      <c r="P246" t="s">
        <v>465</v>
      </c>
      <c r="Q246">
        <v>2035</v>
      </c>
      <c r="R246">
        <v>5</v>
      </c>
      <c r="S246" t="s">
        <v>469</v>
      </c>
      <c r="T246" t="s">
        <v>467</v>
      </c>
      <c r="U246" t="s">
        <v>598</v>
      </c>
      <c r="V246">
        <v>585.77514146880856</v>
      </c>
    </row>
    <row r="247" spans="16:22" x14ac:dyDescent="0.25">
      <c r="P247" t="s">
        <v>465</v>
      </c>
      <c r="Q247">
        <v>2035</v>
      </c>
      <c r="R247">
        <v>5</v>
      </c>
      <c r="S247" t="s">
        <v>469</v>
      </c>
      <c r="T247" t="s">
        <v>468</v>
      </c>
      <c r="U247" t="s">
        <v>592</v>
      </c>
      <c r="V247">
        <v>539.89180844892269</v>
      </c>
    </row>
    <row r="248" spans="16:22" x14ac:dyDescent="0.25">
      <c r="P248" t="s">
        <v>465</v>
      </c>
      <c r="Q248">
        <v>2035</v>
      </c>
      <c r="R248">
        <v>5</v>
      </c>
      <c r="S248" t="s">
        <v>469</v>
      </c>
      <c r="T248" t="s">
        <v>468</v>
      </c>
      <c r="U248" t="s">
        <v>593</v>
      </c>
      <c r="V248">
        <v>301.95118830941209</v>
      </c>
    </row>
    <row r="249" spans="16:22" x14ac:dyDescent="0.25">
      <c r="P249" t="s">
        <v>465</v>
      </c>
      <c r="Q249">
        <v>2035</v>
      </c>
      <c r="R249">
        <v>5</v>
      </c>
      <c r="S249" t="s">
        <v>469</v>
      </c>
      <c r="T249" t="s">
        <v>468</v>
      </c>
      <c r="U249" t="s">
        <v>594</v>
      </c>
      <c r="V249">
        <v>252.0174178020404</v>
      </c>
    </row>
    <row r="250" spans="16:22" x14ac:dyDescent="0.25">
      <c r="P250" t="s">
        <v>465</v>
      </c>
      <c r="Q250">
        <v>2035</v>
      </c>
      <c r="R250">
        <v>5</v>
      </c>
      <c r="S250" t="s">
        <v>469</v>
      </c>
      <c r="T250" t="s">
        <v>468</v>
      </c>
      <c r="U250" t="s">
        <v>595</v>
      </c>
      <c r="V250">
        <v>492.06308102903228</v>
      </c>
    </row>
    <row r="251" spans="16:22" x14ac:dyDescent="0.25">
      <c r="P251" t="s">
        <v>465</v>
      </c>
      <c r="Q251">
        <v>2035</v>
      </c>
      <c r="R251">
        <v>5</v>
      </c>
      <c r="S251" t="s">
        <v>469</v>
      </c>
      <c r="T251" t="s">
        <v>468</v>
      </c>
      <c r="U251" t="s">
        <v>596</v>
      </c>
      <c r="V251">
        <v>56.393176359510598</v>
      </c>
    </row>
    <row r="252" spans="16:22" x14ac:dyDescent="0.25">
      <c r="P252" t="s">
        <v>465</v>
      </c>
      <c r="Q252">
        <v>2035</v>
      </c>
      <c r="R252">
        <v>5</v>
      </c>
      <c r="S252" t="s">
        <v>469</v>
      </c>
      <c r="T252" t="s">
        <v>468</v>
      </c>
      <c r="U252" t="s">
        <v>597</v>
      </c>
      <c r="V252">
        <v>505.88849403224742</v>
      </c>
    </row>
    <row r="253" spans="16:22" x14ac:dyDescent="0.25">
      <c r="P253" t="s">
        <v>465</v>
      </c>
      <c r="Q253">
        <v>2035</v>
      </c>
      <c r="R253">
        <v>5</v>
      </c>
      <c r="S253" t="s">
        <v>469</v>
      </c>
      <c r="T253" t="s">
        <v>468</v>
      </c>
      <c r="U253" t="s">
        <v>598</v>
      </c>
      <c r="V253">
        <v>585.77514146880856</v>
      </c>
    </row>
    <row r="254" spans="16:22" x14ac:dyDescent="0.25">
      <c r="P254" t="s">
        <v>465</v>
      </c>
      <c r="Q254">
        <v>2050</v>
      </c>
      <c r="R254">
        <v>5</v>
      </c>
      <c r="S254" t="s">
        <v>466</v>
      </c>
      <c r="T254" t="s">
        <v>467</v>
      </c>
      <c r="U254" t="s">
        <v>592</v>
      </c>
      <c r="V254">
        <v>843.41276176594806</v>
      </c>
    </row>
    <row r="255" spans="16:22" x14ac:dyDescent="0.25">
      <c r="P255" t="s">
        <v>465</v>
      </c>
      <c r="Q255">
        <v>2050</v>
      </c>
      <c r="R255">
        <v>5</v>
      </c>
      <c r="S255" t="s">
        <v>466</v>
      </c>
      <c r="T255" t="s">
        <v>467</v>
      </c>
      <c r="U255" t="s">
        <v>593</v>
      </c>
      <c r="V255">
        <v>354.93971997336962</v>
      </c>
    </row>
    <row r="256" spans="16:22" x14ac:dyDescent="0.25">
      <c r="P256" t="s">
        <v>465</v>
      </c>
      <c r="Q256">
        <v>2050</v>
      </c>
      <c r="R256">
        <v>5</v>
      </c>
      <c r="S256" t="s">
        <v>466</v>
      </c>
      <c r="T256" t="s">
        <v>467</v>
      </c>
      <c r="U256" t="s">
        <v>594</v>
      </c>
      <c r="V256">
        <v>260.28115428676932</v>
      </c>
    </row>
    <row r="257" spans="16:22" x14ac:dyDescent="0.25">
      <c r="P257" t="s">
        <v>465</v>
      </c>
      <c r="Q257">
        <v>2050</v>
      </c>
      <c r="R257">
        <v>5</v>
      </c>
      <c r="S257" t="s">
        <v>466</v>
      </c>
      <c r="T257" t="s">
        <v>467</v>
      </c>
      <c r="U257" t="s">
        <v>595</v>
      </c>
      <c r="V257">
        <v>123.87792576805181</v>
      </c>
    </row>
    <row r="258" spans="16:22" x14ac:dyDescent="0.25">
      <c r="P258" t="s">
        <v>465</v>
      </c>
      <c r="Q258">
        <v>2050</v>
      </c>
      <c r="R258">
        <v>5</v>
      </c>
      <c r="S258" t="s">
        <v>466</v>
      </c>
      <c r="T258" t="s">
        <v>467</v>
      </c>
      <c r="U258" t="s">
        <v>596</v>
      </c>
      <c r="V258">
        <v>54.739741647133542</v>
      </c>
    </row>
    <row r="259" spans="16:22" x14ac:dyDescent="0.25">
      <c r="P259" t="s">
        <v>465</v>
      </c>
      <c r="Q259">
        <v>2050</v>
      </c>
      <c r="R259">
        <v>5</v>
      </c>
      <c r="S259" t="s">
        <v>466</v>
      </c>
      <c r="T259" t="s">
        <v>467</v>
      </c>
      <c r="U259" t="s">
        <v>597</v>
      </c>
      <c r="V259">
        <v>154.48625690453457</v>
      </c>
    </row>
    <row r="260" spans="16:22" x14ac:dyDescent="0.25">
      <c r="P260" t="s">
        <v>465</v>
      </c>
      <c r="Q260">
        <v>2050</v>
      </c>
      <c r="R260">
        <v>5</v>
      </c>
      <c r="S260" t="s">
        <v>466</v>
      </c>
      <c r="T260" t="s">
        <v>467</v>
      </c>
      <c r="U260" t="s">
        <v>598</v>
      </c>
      <c r="V260">
        <v>1039.7080345746347</v>
      </c>
    </row>
    <row r="261" spans="16:22" x14ac:dyDescent="0.25">
      <c r="P261" t="s">
        <v>465</v>
      </c>
      <c r="Q261">
        <v>2050</v>
      </c>
      <c r="R261">
        <v>5</v>
      </c>
      <c r="S261" t="s">
        <v>466</v>
      </c>
      <c r="T261" t="s">
        <v>468</v>
      </c>
      <c r="U261" t="s">
        <v>592</v>
      </c>
      <c r="V261">
        <v>843.41276176594806</v>
      </c>
    </row>
    <row r="262" spans="16:22" x14ac:dyDescent="0.25">
      <c r="P262" t="s">
        <v>465</v>
      </c>
      <c r="Q262">
        <v>2050</v>
      </c>
      <c r="R262">
        <v>5</v>
      </c>
      <c r="S262" t="s">
        <v>466</v>
      </c>
      <c r="T262" t="s">
        <v>468</v>
      </c>
      <c r="U262" t="s">
        <v>593</v>
      </c>
      <c r="V262">
        <v>354.93971997336962</v>
      </c>
    </row>
    <row r="263" spans="16:22" x14ac:dyDescent="0.25">
      <c r="P263" t="s">
        <v>465</v>
      </c>
      <c r="Q263">
        <v>2050</v>
      </c>
      <c r="R263">
        <v>5</v>
      </c>
      <c r="S263" t="s">
        <v>466</v>
      </c>
      <c r="T263" t="s">
        <v>468</v>
      </c>
      <c r="U263" t="s">
        <v>594</v>
      </c>
      <c r="V263">
        <v>260.28115428676932</v>
      </c>
    </row>
    <row r="264" spans="16:22" x14ac:dyDescent="0.25">
      <c r="P264" t="s">
        <v>465</v>
      </c>
      <c r="Q264">
        <v>2050</v>
      </c>
      <c r="R264">
        <v>5</v>
      </c>
      <c r="S264" t="s">
        <v>466</v>
      </c>
      <c r="T264" t="s">
        <v>468</v>
      </c>
      <c r="U264" t="s">
        <v>595</v>
      </c>
      <c r="V264">
        <v>123.87792576805181</v>
      </c>
    </row>
    <row r="265" spans="16:22" x14ac:dyDescent="0.25">
      <c r="P265" t="s">
        <v>465</v>
      </c>
      <c r="Q265">
        <v>2050</v>
      </c>
      <c r="R265">
        <v>5</v>
      </c>
      <c r="S265" t="s">
        <v>466</v>
      </c>
      <c r="T265" t="s">
        <v>468</v>
      </c>
      <c r="U265" t="s">
        <v>596</v>
      </c>
      <c r="V265">
        <v>54.739741647133542</v>
      </c>
    </row>
    <row r="266" spans="16:22" x14ac:dyDescent="0.25">
      <c r="P266" t="s">
        <v>465</v>
      </c>
      <c r="Q266">
        <v>2050</v>
      </c>
      <c r="R266">
        <v>5</v>
      </c>
      <c r="S266" t="s">
        <v>466</v>
      </c>
      <c r="T266" t="s">
        <v>468</v>
      </c>
      <c r="U266" t="s">
        <v>597</v>
      </c>
      <c r="V266">
        <v>154.48625690453457</v>
      </c>
    </row>
    <row r="267" spans="16:22" x14ac:dyDescent="0.25">
      <c r="P267" t="s">
        <v>465</v>
      </c>
      <c r="Q267">
        <v>2050</v>
      </c>
      <c r="R267">
        <v>5</v>
      </c>
      <c r="S267" t="s">
        <v>466</v>
      </c>
      <c r="T267" t="s">
        <v>468</v>
      </c>
      <c r="U267" t="s">
        <v>598</v>
      </c>
      <c r="V267">
        <v>1039.7080345746347</v>
      </c>
    </row>
    <row r="268" spans="16:22" x14ac:dyDescent="0.25">
      <c r="P268" t="s">
        <v>465</v>
      </c>
      <c r="Q268">
        <v>2050</v>
      </c>
      <c r="R268">
        <v>5</v>
      </c>
      <c r="S268" t="s">
        <v>469</v>
      </c>
      <c r="T268" t="s">
        <v>467</v>
      </c>
      <c r="U268" t="s">
        <v>592</v>
      </c>
      <c r="V268">
        <v>532.76454242210013</v>
      </c>
    </row>
    <row r="269" spans="16:22" x14ac:dyDescent="0.25">
      <c r="P269" t="s">
        <v>465</v>
      </c>
      <c r="Q269">
        <v>2050</v>
      </c>
      <c r="R269">
        <v>5</v>
      </c>
      <c r="S269" t="s">
        <v>469</v>
      </c>
      <c r="T269" t="s">
        <v>467</v>
      </c>
      <c r="U269" t="s">
        <v>593</v>
      </c>
      <c r="V269">
        <v>290.25307096801936</v>
      </c>
    </row>
    <row r="270" spans="16:22" x14ac:dyDescent="0.25">
      <c r="P270" t="s">
        <v>465</v>
      </c>
      <c r="Q270">
        <v>2050</v>
      </c>
      <c r="R270">
        <v>5</v>
      </c>
      <c r="S270" t="s">
        <v>469</v>
      </c>
      <c r="T270" t="s">
        <v>467</v>
      </c>
      <c r="U270" t="s">
        <v>594</v>
      </c>
      <c r="V270">
        <v>260.27984205068401</v>
      </c>
    </row>
    <row r="271" spans="16:22" x14ac:dyDescent="0.25">
      <c r="P271" t="s">
        <v>465</v>
      </c>
      <c r="Q271">
        <v>2050</v>
      </c>
      <c r="R271">
        <v>5</v>
      </c>
      <c r="S271" t="s">
        <v>469</v>
      </c>
      <c r="T271" t="s">
        <v>467</v>
      </c>
      <c r="U271" t="s">
        <v>595</v>
      </c>
      <c r="V271">
        <v>184.45435883747342</v>
      </c>
    </row>
    <row r="272" spans="16:22" x14ac:dyDescent="0.25">
      <c r="P272" t="s">
        <v>465</v>
      </c>
      <c r="Q272">
        <v>2050</v>
      </c>
      <c r="R272">
        <v>5</v>
      </c>
      <c r="S272" t="s">
        <v>469</v>
      </c>
      <c r="T272" t="s">
        <v>467</v>
      </c>
      <c r="U272" t="s">
        <v>596</v>
      </c>
      <c r="V272">
        <v>132.97482294251103</v>
      </c>
    </row>
    <row r="273" spans="16:22" x14ac:dyDescent="0.25">
      <c r="P273" t="s">
        <v>465</v>
      </c>
      <c r="Q273">
        <v>2050</v>
      </c>
      <c r="R273">
        <v>5</v>
      </c>
      <c r="S273" t="s">
        <v>469</v>
      </c>
      <c r="T273" t="s">
        <v>467</v>
      </c>
      <c r="U273" t="s">
        <v>597</v>
      </c>
      <c r="V273">
        <v>247.6077300856991</v>
      </c>
    </row>
    <row r="274" spans="16:22" x14ac:dyDescent="0.25">
      <c r="P274" t="s">
        <v>465</v>
      </c>
      <c r="Q274">
        <v>2050</v>
      </c>
      <c r="R274">
        <v>5</v>
      </c>
      <c r="S274" t="s">
        <v>469</v>
      </c>
      <c r="T274" t="s">
        <v>467</v>
      </c>
      <c r="U274" t="s">
        <v>598</v>
      </c>
      <c r="V274">
        <v>1182.7347450469808</v>
      </c>
    </row>
    <row r="275" spans="16:22" x14ac:dyDescent="0.25">
      <c r="P275" t="s">
        <v>465</v>
      </c>
      <c r="Q275">
        <v>2050</v>
      </c>
      <c r="R275">
        <v>5</v>
      </c>
      <c r="S275" t="s">
        <v>469</v>
      </c>
      <c r="T275" t="s">
        <v>468</v>
      </c>
      <c r="U275" t="s">
        <v>592</v>
      </c>
      <c r="V275">
        <v>532.76454242210013</v>
      </c>
    </row>
    <row r="276" spans="16:22" x14ac:dyDescent="0.25">
      <c r="P276" t="s">
        <v>465</v>
      </c>
      <c r="Q276">
        <v>2050</v>
      </c>
      <c r="R276">
        <v>5</v>
      </c>
      <c r="S276" t="s">
        <v>469</v>
      </c>
      <c r="T276" t="s">
        <v>468</v>
      </c>
      <c r="U276" t="s">
        <v>593</v>
      </c>
      <c r="V276">
        <v>290.25307096801936</v>
      </c>
    </row>
    <row r="277" spans="16:22" x14ac:dyDescent="0.25">
      <c r="P277" t="s">
        <v>465</v>
      </c>
      <c r="Q277">
        <v>2050</v>
      </c>
      <c r="R277">
        <v>5</v>
      </c>
      <c r="S277" t="s">
        <v>469</v>
      </c>
      <c r="T277" t="s">
        <v>468</v>
      </c>
      <c r="U277" t="s">
        <v>594</v>
      </c>
      <c r="V277">
        <v>260.27984205068401</v>
      </c>
    </row>
    <row r="278" spans="16:22" x14ac:dyDescent="0.25">
      <c r="P278" t="s">
        <v>465</v>
      </c>
      <c r="Q278">
        <v>2050</v>
      </c>
      <c r="R278">
        <v>5</v>
      </c>
      <c r="S278" t="s">
        <v>469</v>
      </c>
      <c r="T278" t="s">
        <v>468</v>
      </c>
      <c r="U278" t="s">
        <v>595</v>
      </c>
      <c r="V278">
        <v>184.45435883747342</v>
      </c>
    </row>
    <row r="279" spans="16:22" x14ac:dyDescent="0.25">
      <c r="P279" t="s">
        <v>465</v>
      </c>
      <c r="Q279">
        <v>2050</v>
      </c>
      <c r="R279">
        <v>5</v>
      </c>
      <c r="S279" t="s">
        <v>469</v>
      </c>
      <c r="T279" t="s">
        <v>468</v>
      </c>
      <c r="U279" t="s">
        <v>596</v>
      </c>
      <c r="V279">
        <v>132.97482294251103</v>
      </c>
    </row>
    <row r="280" spans="16:22" x14ac:dyDescent="0.25">
      <c r="P280" t="s">
        <v>465</v>
      </c>
      <c r="Q280">
        <v>2050</v>
      </c>
      <c r="R280">
        <v>5</v>
      </c>
      <c r="S280" t="s">
        <v>469</v>
      </c>
      <c r="T280" t="s">
        <v>468</v>
      </c>
      <c r="U280" t="s">
        <v>597</v>
      </c>
      <c r="V280">
        <v>247.6077300856991</v>
      </c>
    </row>
    <row r="281" spans="16:22" x14ac:dyDescent="0.25">
      <c r="P281" t="s">
        <v>465</v>
      </c>
      <c r="Q281">
        <v>2050</v>
      </c>
      <c r="R281">
        <v>5</v>
      </c>
      <c r="S281" t="s">
        <v>469</v>
      </c>
      <c r="T281" t="s">
        <v>468</v>
      </c>
      <c r="U281" t="s">
        <v>598</v>
      </c>
      <c r="V281">
        <v>1182.7347450469808</v>
      </c>
    </row>
    <row r="282" spans="16:22" x14ac:dyDescent="0.25">
      <c r="P282" t="s">
        <v>470</v>
      </c>
      <c r="Q282">
        <v>2035</v>
      </c>
      <c r="R282">
        <v>1</v>
      </c>
      <c r="S282" t="s">
        <v>466</v>
      </c>
      <c r="T282" t="s">
        <v>467</v>
      </c>
      <c r="U282" t="s">
        <v>592</v>
      </c>
      <c r="V282">
        <v>31.797506701249795</v>
      </c>
    </row>
    <row r="283" spans="16:22" x14ac:dyDescent="0.25">
      <c r="P283" t="s">
        <v>470</v>
      </c>
      <c r="Q283">
        <v>2035</v>
      </c>
      <c r="R283">
        <v>1</v>
      </c>
      <c r="S283" t="s">
        <v>466</v>
      </c>
      <c r="T283" t="s">
        <v>467</v>
      </c>
      <c r="U283" t="s">
        <v>593</v>
      </c>
      <c r="V283">
        <v>277.14411541541801</v>
      </c>
    </row>
    <row r="284" spans="16:22" x14ac:dyDescent="0.25">
      <c r="P284" t="s">
        <v>470</v>
      </c>
      <c r="Q284">
        <v>2035</v>
      </c>
      <c r="R284">
        <v>1</v>
      </c>
      <c r="S284" t="s">
        <v>466</v>
      </c>
      <c r="T284" t="s">
        <v>467</v>
      </c>
      <c r="U284" t="s">
        <v>594</v>
      </c>
      <c r="V284">
        <v>0</v>
      </c>
    </row>
    <row r="285" spans="16:22" x14ac:dyDescent="0.25">
      <c r="P285" t="s">
        <v>470</v>
      </c>
      <c r="Q285">
        <v>2035</v>
      </c>
      <c r="R285">
        <v>1</v>
      </c>
      <c r="S285" t="s">
        <v>466</v>
      </c>
      <c r="T285" t="s">
        <v>467</v>
      </c>
      <c r="U285" t="s">
        <v>595</v>
      </c>
      <c r="V285">
        <v>77.559055484078357</v>
      </c>
    </row>
    <row r="286" spans="16:22" x14ac:dyDescent="0.25">
      <c r="P286" t="s">
        <v>470</v>
      </c>
      <c r="Q286">
        <v>2035</v>
      </c>
      <c r="R286">
        <v>1</v>
      </c>
      <c r="S286" t="s">
        <v>466</v>
      </c>
      <c r="T286" t="s">
        <v>467</v>
      </c>
      <c r="U286" t="s">
        <v>596</v>
      </c>
      <c r="V286">
        <v>60.003679356076788</v>
      </c>
    </row>
    <row r="287" spans="16:22" x14ac:dyDescent="0.25">
      <c r="P287" t="s">
        <v>470</v>
      </c>
      <c r="Q287">
        <v>2035</v>
      </c>
      <c r="R287">
        <v>1</v>
      </c>
      <c r="S287" t="s">
        <v>466</v>
      </c>
      <c r="T287" t="s">
        <v>467</v>
      </c>
      <c r="U287" t="s">
        <v>597</v>
      </c>
      <c r="V287">
        <v>0</v>
      </c>
    </row>
    <row r="288" spans="16:22" x14ac:dyDescent="0.25">
      <c r="P288" t="s">
        <v>470</v>
      </c>
      <c r="Q288">
        <v>2035</v>
      </c>
      <c r="R288">
        <v>1</v>
      </c>
      <c r="S288" t="s">
        <v>466</v>
      </c>
      <c r="T288" t="s">
        <v>467</v>
      </c>
      <c r="U288" t="s">
        <v>598</v>
      </c>
      <c r="V288">
        <v>65.614813113844079</v>
      </c>
    </row>
    <row r="289" spans="16:22" x14ac:dyDescent="0.25">
      <c r="P289" t="s">
        <v>470</v>
      </c>
      <c r="Q289">
        <v>2035</v>
      </c>
      <c r="R289">
        <v>1</v>
      </c>
      <c r="S289" t="s">
        <v>466</v>
      </c>
      <c r="T289" t="s">
        <v>468</v>
      </c>
      <c r="U289" t="s">
        <v>592</v>
      </c>
      <c r="V289">
        <v>31.797506701249795</v>
      </c>
    </row>
    <row r="290" spans="16:22" x14ac:dyDescent="0.25">
      <c r="P290" t="s">
        <v>470</v>
      </c>
      <c r="Q290">
        <v>2035</v>
      </c>
      <c r="R290">
        <v>1</v>
      </c>
      <c r="S290" t="s">
        <v>466</v>
      </c>
      <c r="T290" t="s">
        <v>468</v>
      </c>
      <c r="U290" t="s">
        <v>593</v>
      </c>
      <c r="V290">
        <v>277.14411541541801</v>
      </c>
    </row>
    <row r="291" spans="16:22" x14ac:dyDescent="0.25">
      <c r="P291" t="s">
        <v>470</v>
      </c>
      <c r="Q291">
        <v>2035</v>
      </c>
      <c r="R291">
        <v>1</v>
      </c>
      <c r="S291" t="s">
        <v>466</v>
      </c>
      <c r="T291" t="s">
        <v>468</v>
      </c>
      <c r="U291" t="s">
        <v>594</v>
      </c>
      <c r="V291">
        <v>0</v>
      </c>
    </row>
    <row r="292" spans="16:22" x14ac:dyDescent="0.25">
      <c r="P292" t="s">
        <v>470</v>
      </c>
      <c r="Q292">
        <v>2035</v>
      </c>
      <c r="R292">
        <v>1</v>
      </c>
      <c r="S292" t="s">
        <v>466</v>
      </c>
      <c r="T292" t="s">
        <v>468</v>
      </c>
      <c r="U292" t="s">
        <v>595</v>
      </c>
      <c r="V292">
        <v>77.559055484078357</v>
      </c>
    </row>
    <row r="293" spans="16:22" x14ac:dyDescent="0.25">
      <c r="P293" t="s">
        <v>470</v>
      </c>
      <c r="Q293">
        <v>2035</v>
      </c>
      <c r="R293">
        <v>1</v>
      </c>
      <c r="S293" t="s">
        <v>466</v>
      </c>
      <c r="T293" t="s">
        <v>468</v>
      </c>
      <c r="U293" t="s">
        <v>596</v>
      </c>
      <c r="V293">
        <v>60.003679356076788</v>
      </c>
    </row>
    <row r="294" spans="16:22" x14ac:dyDescent="0.25">
      <c r="P294" t="s">
        <v>470</v>
      </c>
      <c r="Q294">
        <v>2035</v>
      </c>
      <c r="R294">
        <v>1</v>
      </c>
      <c r="S294" t="s">
        <v>466</v>
      </c>
      <c r="T294" t="s">
        <v>468</v>
      </c>
      <c r="U294" t="s">
        <v>597</v>
      </c>
      <c r="V294">
        <v>0</v>
      </c>
    </row>
    <row r="295" spans="16:22" x14ac:dyDescent="0.25">
      <c r="P295" t="s">
        <v>470</v>
      </c>
      <c r="Q295">
        <v>2035</v>
      </c>
      <c r="R295">
        <v>1</v>
      </c>
      <c r="S295" t="s">
        <v>466</v>
      </c>
      <c r="T295" t="s">
        <v>468</v>
      </c>
      <c r="U295" t="s">
        <v>598</v>
      </c>
      <c r="V295">
        <v>65.614813113844079</v>
      </c>
    </row>
    <row r="296" spans="16:22" x14ac:dyDescent="0.25">
      <c r="P296" t="s">
        <v>470</v>
      </c>
      <c r="Q296">
        <v>2035</v>
      </c>
      <c r="R296">
        <v>1</v>
      </c>
      <c r="S296" t="s">
        <v>469</v>
      </c>
      <c r="T296" t="s">
        <v>467</v>
      </c>
      <c r="U296" t="s">
        <v>592</v>
      </c>
      <c r="V296">
        <v>78.662322399776414</v>
      </c>
    </row>
    <row r="297" spans="16:22" x14ac:dyDescent="0.25">
      <c r="P297" t="s">
        <v>470</v>
      </c>
      <c r="Q297">
        <v>2035</v>
      </c>
      <c r="R297">
        <v>1</v>
      </c>
      <c r="S297" t="s">
        <v>469</v>
      </c>
      <c r="T297" t="s">
        <v>467</v>
      </c>
      <c r="U297" t="s">
        <v>593</v>
      </c>
      <c r="V297">
        <v>284.84224581276931</v>
      </c>
    </row>
    <row r="298" spans="16:22" x14ac:dyDescent="0.25">
      <c r="P298" t="s">
        <v>470</v>
      </c>
      <c r="Q298">
        <v>2035</v>
      </c>
      <c r="R298">
        <v>1</v>
      </c>
      <c r="S298" t="s">
        <v>469</v>
      </c>
      <c r="T298" t="s">
        <v>467</v>
      </c>
      <c r="U298" t="s">
        <v>594</v>
      </c>
      <c r="V298">
        <v>0</v>
      </c>
    </row>
    <row r="299" spans="16:22" x14ac:dyDescent="0.25">
      <c r="P299" t="s">
        <v>470</v>
      </c>
      <c r="Q299">
        <v>2035</v>
      </c>
      <c r="R299">
        <v>1</v>
      </c>
      <c r="S299" t="s">
        <v>469</v>
      </c>
      <c r="T299" t="s">
        <v>467</v>
      </c>
      <c r="U299" t="s">
        <v>595</v>
      </c>
      <c r="V299">
        <v>65.076985304232991</v>
      </c>
    </row>
    <row r="300" spans="16:22" x14ac:dyDescent="0.25">
      <c r="P300" t="s">
        <v>470</v>
      </c>
      <c r="Q300">
        <v>2035</v>
      </c>
      <c r="R300">
        <v>1</v>
      </c>
      <c r="S300" t="s">
        <v>469</v>
      </c>
      <c r="T300" t="s">
        <v>467</v>
      </c>
      <c r="U300" t="s">
        <v>596</v>
      </c>
      <c r="V300">
        <v>44.686741748434663</v>
      </c>
    </row>
    <row r="301" spans="16:22" x14ac:dyDescent="0.25">
      <c r="P301" t="s">
        <v>470</v>
      </c>
      <c r="Q301">
        <v>2035</v>
      </c>
      <c r="R301">
        <v>1</v>
      </c>
      <c r="S301" t="s">
        <v>469</v>
      </c>
      <c r="T301" t="s">
        <v>467</v>
      </c>
      <c r="U301" t="s">
        <v>597</v>
      </c>
      <c r="V301">
        <v>0</v>
      </c>
    </row>
    <row r="302" spans="16:22" x14ac:dyDescent="0.25">
      <c r="P302" t="s">
        <v>470</v>
      </c>
      <c r="Q302">
        <v>2035</v>
      </c>
      <c r="R302">
        <v>1</v>
      </c>
      <c r="S302" t="s">
        <v>469</v>
      </c>
      <c r="T302" t="s">
        <v>467</v>
      </c>
      <c r="U302" t="s">
        <v>598</v>
      </c>
      <c r="V302">
        <v>39.928065339282625</v>
      </c>
    </row>
    <row r="303" spans="16:22" x14ac:dyDescent="0.25">
      <c r="P303" t="s">
        <v>470</v>
      </c>
      <c r="Q303">
        <v>2035</v>
      </c>
      <c r="R303">
        <v>1</v>
      </c>
      <c r="S303" t="s">
        <v>469</v>
      </c>
      <c r="T303" t="s">
        <v>468</v>
      </c>
      <c r="U303" t="s">
        <v>592</v>
      </c>
      <c r="V303">
        <v>78.662322399776414</v>
      </c>
    </row>
    <row r="304" spans="16:22" x14ac:dyDescent="0.25">
      <c r="P304" t="s">
        <v>470</v>
      </c>
      <c r="Q304">
        <v>2035</v>
      </c>
      <c r="R304">
        <v>1</v>
      </c>
      <c r="S304" t="s">
        <v>469</v>
      </c>
      <c r="T304" t="s">
        <v>468</v>
      </c>
      <c r="U304" t="s">
        <v>593</v>
      </c>
      <c r="V304">
        <v>284.84224581276931</v>
      </c>
    </row>
    <row r="305" spans="16:22" x14ac:dyDescent="0.25">
      <c r="P305" t="s">
        <v>470</v>
      </c>
      <c r="Q305">
        <v>2035</v>
      </c>
      <c r="R305">
        <v>1</v>
      </c>
      <c r="S305" t="s">
        <v>469</v>
      </c>
      <c r="T305" t="s">
        <v>468</v>
      </c>
      <c r="U305" t="s">
        <v>594</v>
      </c>
      <c r="V305">
        <v>0</v>
      </c>
    </row>
    <row r="306" spans="16:22" x14ac:dyDescent="0.25">
      <c r="P306" t="s">
        <v>470</v>
      </c>
      <c r="Q306">
        <v>2035</v>
      </c>
      <c r="R306">
        <v>1</v>
      </c>
      <c r="S306" t="s">
        <v>469</v>
      </c>
      <c r="T306" t="s">
        <v>468</v>
      </c>
      <c r="U306" t="s">
        <v>595</v>
      </c>
      <c r="V306">
        <v>65.076985304232991</v>
      </c>
    </row>
    <row r="307" spans="16:22" x14ac:dyDescent="0.25">
      <c r="P307" t="s">
        <v>470</v>
      </c>
      <c r="Q307">
        <v>2035</v>
      </c>
      <c r="R307">
        <v>1</v>
      </c>
      <c r="S307" t="s">
        <v>469</v>
      </c>
      <c r="T307" t="s">
        <v>468</v>
      </c>
      <c r="U307" t="s">
        <v>596</v>
      </c>
      <c r="V307">
        <v>44.686741748434663</v>
      </c>
    </row>
    <row r="308" spans="16:22" x14ac:dyDescent="0.25">
      <c r="P308" t="s">
        <v>470</v>
      </c>
      <c r="Q308">
        <v>2035</v>
      </c>
      <c r="R308">
        <v>1</v>
      </c>
      <c r="S308" t="s">
        <v>469</v>
      </c>
      <c r="T308" t="s">
        <v>468</v>
      </c>
      <c r="U308" t="s">
        <v>597</v>
      </c>
      <c r="V308">
        <v>0</v>
      </c>
    </row>
    <row r="309" spans="16:22" x14ac:dyDescent="0.25">
      <c r="P309" t="s">
        <v>470</v>
      </c>
      <c r="Q309">
        <v>2035</v>
      </c>
      <c r="R309">
        <v>1</v>
      </c>
      <c r="S309" t="s">
        <v>469</v>
      </c>
      <c r="T309" t="s">
        <v>468</v>
      </c>
      <c r="U309" t="s">
        <v>598</v>
      </c>
      <c r="V309">
        <v>39.928065339282625</v>
      </c>
    </row>
    <row r="310" spans="16:22" x14ac:dyDescent="0.25">
      <c r="P310" t="s">
        <v>470</v>
      </c>
      <c r="Q310">
        <v>2050</v>
      </c>
      <c r="R310">
        <v>1</v>
      </c>
      <c r="S310" t="s">
        <v>466</v>
      </c>
      <c r="T310" t="s">
        <v>467</v>
      </c>
      <c r="U310" t="s">
        <v>592</v>
      </c>
      <c r="V310">
        <v>27.006337577694442</v>
      </c>
    </row>
    <row r="311" spans="16:22" x14ac:dyDescent="0.25">
      <c r="P311" t="s">
        <v>470</v>
      </c>
      <c r="Q311">
        <v>2050</v>
      </c>
      <c r="R311">
        <v>1</v>
      </c>
      <c r="S311" t="s">
        <v>466</v>
      </c>
      <c r="T311" t="s">
        <v>467</v>
      </c>
      <c r="U311" t="s">
        <v>593</v>
      </c>
      <c r="V311">
        <v>234.70830464958354</v>
      </c>
    </row>
    <row r="312" spans="16:22" x14ac:dyDescent="0.25">
      <c r="P312" t="s">
        <v>470</v>
      </c>
      <c r="Q312">
        <v>2050</v>
      </c>
      <c r="R312">
        <v>1</v>
      </c>
      <c r="S312" t="s">
        <v>466</v>
      </c>
      <c r="T312" t="s">
        <v>467</v>
      </c>
      <c r="U312" t="s">
        <v>594</v>
      </c>
      <c r="V312">
        <v>0</v>
      </c>
    </row>
    <row r="313" spans="16:22" x14ac:dyDescent="0.25">
      <c r="P313" t="s">
        <v>470</v>
      </c>
      <c r="Q313">
        <v>2050</v>
      </c>
      <c r="R313">
        <v>1</v>
      </c>
      <c r="S313" t="s">
        <v>466</v>
      </c>
      <c r="T313" t="s">
        <v>467</v>
      </c>
      <c r="U313" t="s">
        <v>595</v>
      </c>
      <c r="V313">
        <v>65.604787544750337</v>
      </c>
    </row>
    <row r="314" spans="16:22" x14ac:dyDescent="0.25">
      <c r="P314" t="s">
        <v>470</v>
      </c>
      <c r="Q314">
        <v>2050</v>
      </c>
      <c r="R314">
        <v>1</v>
      </c>
      <c r="S314" t="s">
        <v>466</v>
      </c>
      <c r="T314" t="s">
        <v>467</v>
      </c>
      <c r="U314" t="s">
        <v>596</v>
      </c>
      <c r="V314">
        <v>50.727911303009996</v>
      </c>
    </row>
    <row r="315" spans="16:22" x14ac:dyDescent="0.25">
      <c r="P315" t="s">
        <v>470</v>
      </c>
      <c r="Q315">
        <v>2050</v>
      </c>
      <c r="R315">
        <v>1</v>
      </c>
      <c r="S315" t="s">
        <v>466</v>
      </c>
      <c r="T315" t="s">
        <v>467</v>
      </c>
      <c r="U315" t="s">
        <v>597</v>
      </c>
      <c r="V315">
        <v>0</v>
      </c>
    </row>
    <row r="316" spans="16:22" x14ac:dyDescent="0.25">
      <c r="P316" t="s">
        <v>470</v>
      </c>
      <c r="Q316">
        <v>2050</v>
      </c>
      <c r="R316">
        <v>1</v>
      </c>
      <c r="S316" t="s">
        <v>466</v>
      </c>
      <c r="T316" t="s">
        <v>467</v>
      </c>
      <c r="U316" t="s">
        <v>598</v>
      </c>
      <c r="V316">
        <v>55.451180806042572</v>
      </c>
    </row>
    <row r="317" spans="16:22" x14ac:dyDescent="0.25">
      <c r="P317" t="s">
        <v>470</v>
      </c>
      <c r="Q317">
        <v>2050</v>
      </c>
      <c r="R317">
        <v>1</v>
      </c>
      <c r="S317" t="s">
        <v>466</v>
      </c>
      <c r="T317" t="s">
        <v>468</v>
      </c>
      <c r="U317" t="s">
        <v>592</v>
      </c>
      <c r="V317">
        <v>27.006337577694442</v>
      </c>
    </row>
    <row r="318" spans="16:22" x14ac:dyDescent="0.25">
      <c r="P318" t="s">
        <v>470</v>
      </c>
      <c r="Q318">
        <v>2050</v>
      </c>
      <c r="R318">
        <v>1</v>
      </c>
      <c r="S318" t="s">
        <v>466</v>
      </c>
      <c r="T318" t="s">
        <v>468</v>
      </c>
      <c r="U318" t="s">
        <v>593</v>
      </c>
      <c r="V318">
        <v>234.70830464958354</v>
      </c>
    </row>
    <row r="319" spans="16:22" x14ac:dyDescent="0.25">
      <c r="P319" t="s">
        <v>470</v>
      </c>
      <c r="Q319">
        <v>2050</v>
      </c>
      <c r="R319">
        <v>1</v>
      </c>
      <c r="S319" t="s">
        <v>466</v>
      </c>
      <c r="T319" t="s">
        <v>468</v>
      </c>
      <c r="U319" t="s">
        <v>594</v>
      </c>
      <c r="V319">
        <v>0</v>
      </c>
    </row>
    <row r="320" spans="16:22" x14ac:dyDescent="0.25">
      <c r="P320" t="s">
        <v>470</v>
      </c>
      <c r="Q320">
        <v>2050</v>
      </c>
      <c r="R320">
        <v>1</v>
      </c>
      <c r="S320" t="s">
        <v>466</v>
      </c>
      <c r="T320" t="s">
        <v>468</v>
      </c>
      <c r="U320" t="s">
        <v>595</v>
      </c>
      <c r="V320">
        <v>65.604787544750337</v>
      </c>
    </row>
    <row r="321" spans="16:22" x14ac:dyDescent="0.25">
      <c r="P321" t="s">
        <v>470</v>
      </c>
      <c r="Q321">
        <v>2050</v>
      </c>
      <c r="R321">
        <v>1</v>
      </c>
      <c r="S321" t="s">
        <v>466</v>
      </c>
      <c r="T321" t="s">
        <v>468</v>
      </c>
      <c r="U321" t="s">
        <v>596</v>
      </c>
      <c r="V321">
        <v>50.727911303009996</v>
      </c>
    </row>
    <row r="322" spans="16:22" x14ac:dyDescent="0.25">
      <c r="P322" t="s">
        <v>470</v>
      </c>
      <c r="Q322">
        <v>2050</v>
      </c>
      <c r="R322">
        <v>1</v>
      </c>
      <c r="S322" t="s">
        <v>466</v>
      </c>
      <c r="T322" t="s">
        <v>468</v>
      </c>
      <c r="U322" t="s">
        <v>597</v>
      </c>
      <c r="V322">
        <v>0</v>
      </c>
    </row>
    <row r="323" spans="16:22" x14ac:dyDescent="0.25">
      <c r="P323" t="s">
        <v>470</v>
      </c>
      <c r="Q323">
        <v>2050</v>
      </c>
      <c r="R323">
        <v>1</v>
      </c>
      <c r="S323" t="s">
        <v>466</v>
      </c>
      <c r="T323" t="s">
        <v>468</v>
      </c>
      <c r="U323" t="s">
        <v>598</v>
      </c>
      <c r="V323">
        <v>55.451180806042572</v>
      </c>
    </row>
    <row r="324" spans="16:22" x14ac:dyDescent="0.25">
      <c r="P324" t="s">
        <v>470</v>
      </c>
      <c r="Q324">
        <v>2050</v>
      </c>
      <c r="R324">
        <v>1</v>
      </c>
      <c r="S324" t="s">
        <v>469</v>
      </c>
      <c r="T324" t="s">
        <v>467</v>
      </c>
      <c r="U324" t="s">
        <v>592</v>
      </c>
      <c r="V324">
        <v>83.861243805622564</v>
      </c>
    </row>
    <row r="325" spans="16:22" x14ac:dyDescent="0.25">
      <c r="P325" t="s">
        <v>470</v>
      </c>
      <c r="Q325">
        <v>2050</v>
      </c>
      <c r="R325">
        <v>1</v>
      </c>
      <c r="S325" t="s">
        <v>469</v>
      </c>
      <c r="T325" t="s">
        <v>467</v>
      </c>
      <c r="U325" t="s">
        <v>593</v>
      </c>
      <c r="V325">
        <v>243.9993645510765</v>
      </c>
    </row>
    <row r="326" spans="16:22" x14ac:dyDescent="0.25">
      <c r="P326" t="s">
        <v>470</v>
      </c>
      <c r="Q326">
        <v>2050</v>
      </c>
      <c r="R326">
        <v>1</v>
      </c>
      <c r="S326" t="s">
        <v>469</v>
      </c>
      <c r="T326" t="s">
        <v>467</v>
      </c>
      <c r="U326" t="s">
        <v>594</v>
      </c>
      <c r="V326">
        <v>0</v>
      </c>
    </row>
    <row r="327" spans="16:22" x14ac:dyDescent="0.25">
      <c r="P327" t="s">
        <v>470</v>
      </c>
      <c r="Q327">
        <v>2050</v>
      </c>
      <c r="R327">
        <v>1</v>
      </c>
      <c r="S327" t="s">
        <v>469</v>
      </c>
      <c r="T327" t="s">
        <v>467</v>
      </c>
      <c r="U327" t="s">
        <v>595</v>
      </c>
      <c r="V327">
        <v>50.403085343875077</v>
      </c>
    </row>
    <row r="328" spans="16:22" x14ac:dyDescent="0.25">
      <c r="P328" t="s">
        <v>470</v>
      </c>
      <c r="Q328">
        <v>2050</v>
      </c>
      <c r="R328">
        <v>1</v>
      </c>
      <c r="S328" t="s">
        <v>469</v>
      </c>
      <c r="T328" t="s">
        <v>467</v>
      </c>
      <c r="U328" t="s">
        <v>596</v>
      </c>
      <c r="V328">
        <v>32.086865193458195</v>
      </c>
    </row>
    <row r="329" spans="16:22" x14ac:dyDescent="0.25">
      <c r="P329" t="s">
        <v>470</v>
      </c>
      <c r="Q329">
        <v>2050</v>
      </c>
      <c r="R329">
        <v>1</v>
      </c>
      <c r="S329" t="s">
        <v>469</v>
      </c>
      <c r="T329" t="s">
        <v>467</v>
      </c>
      <c r="U329" t="s">
        <v>597</v>
      </c>
      <c r="V329">
        <v>0</v>
      </c>
    </row>
    <row r="330" spans="16:22" x14ac:dyDescent="0.25">
      <c r="P330" t="s">
        <v>470</v>
      </c>
      <c r="Q330">
        <v>2050</v>
      </c>
      <c r="R330">
        <v>1</v>
      </c>
      <c r="S330" t="s">
        <v>469</v>
      </c>
      <c r="T330" t="s">
        <v>467</v>
      </c>
      <c r="U330" t="s">
        <v>598</v>
      </c>
      <c r="V330">
        <v>24.229805363559297</v>
      </c>
    </row>
    <row r="331" spans="16:22" x14ac:dyDescent="0.25">
      <c r="P331" t="s">
        <v>470</v>
      </c>
      <c r="Q331">
        <v>2050</v>
      </c>
      <c r="R331">
        <v>1</v>
      </c>
      <c r="S331" t="s">
        <v>469</v>
      </c>
      <c r="T331" t="s">
        <v>468</v>
      </c>
      <c r="U331" t="s">
        <v>592</v>
      </c>
      <c r="V331">
        <v>83.861243805622564</v>
      </c>
    </row>
    <row r="332" spans="16:22" x14ac:dyDescent="0.25">
      <c r="P332" t="s">
        <v>470</v>
      </c>
      <c r="Q332">
        <v>2050</v>
      </c>
      <c r="R332">
        <v>1</v>
      </c>
      <c r="S332" t="s">
        <v>469</v>
      </c>
      <c r="T332" t="s">
        <v>468</v>
      </c>
      <c r="U332" t="s">
        <v>593</v>
      </c>
      <c r="V332">
        <v>243.9993645510765</v>
      </c>
    </row>
    <row r="333" spans="16:22" x14ac:dyDescent="0.25">
      <c r="P333" t="s">
        <v>470</v>
      </c>
      <c r="Q333">
        <v>2050</v>
      </c>
      <c r="R333">
        <v>1</v>
      </c>
      <c r="S333" t="s">
        <v>469</v>
      </c>
      <c r="T333" t="s">
        <v>468</v>
      </c>
      <c r="U333" t="s">
        <v>594</v>
      </c>
      <c r="V333">
        <v>0</v>
      </c>
    </row>
    <row r="334" spans="16:22" x14ac:dyDescent="0.25">
      <c r="P334" t="s">
        <v>470</v>
      </c>
      <c r="Q334">
        <v>2050</v>
      </c>
      <c r="R334">
        <v>1</v>
      </c>
      <c r="S334" t="s">
        <v>469</v>
      </c>
      <c r="T334" t="s">
        <v>468</v>
      </c>
      <c r="U334" t="s">
        <v>595</v>
      </c>
      <c r="V334">
        <v>50.403085343875077</v>
      </c>
    </row>
    <row r="335" spans="16:22" x14ac:dyDescent="0.25">
      <c r="P335" t="s">
        <v>470</v>
      </c>
      <c r="Q335">
        <v>2050</v>
      </c>
      <c r="R335">
        <v>1</v>
      </c>
      <c r="S335" t="s">
        <v>469</v>
      </c>
      <c r="T335" t="s">
        <v>468</v>
      </c>
      <c r="U335" t="s">
        <v>596</v>
      </c>
      <c r="V335">
        <v>32.086865193458195</v>
      </c>
    </row>
    <row r="336" spans="16:22" x14ac:dyDescent="0.25">
      <c r="P336" t="s">
        <v>470</v>
      </c>
      <c r="Q336">
        <v>2050</v>
      </c>
      <c r="R336">
        <v>1</v>
      </c>
      <c r="S336" t="s">
        <v>469</v>
      </c>
      <c r="T336" t="s">
        <v>468</v>
      </c>
      <c r="U336" t="s">
        <v>597</v>
      </c>
      <c r="V336">
        <v>0</v>
      </c>
    </row>
    <row r="337" spans="16:22" x14ac:dyDescent="0.25">
      <c r="P337" t="s">
        <v>470</v>
      </c>
      <c r="Q337">
        <v>2050</v>
      </c>
      <c r="R337">
        <v>1</v>
      </c>
      <c r="S337" t="s">
        <v>469</v>
      </c>
      <c r="T337" t="s">
        <v>468</v>
      </c>
      <c r="U337" t="s">
        <v>598</v>
      </c>
      <c r="V337">
        <v>24.229805363559297</v>
      </c>
    </row>
    <row r="338" spans="16:22" x14ac:dyDescent="0.25">
      <c r="P338" t="s">
        <v>470</v>
      </c>
      <c r="Q338">
        <v>2035</v>
      </c>
      <c r="R338">
        <v>2</v>
      </c>
      <c r="S338" t="s">
        <v>466</v>
      </c>
      <c r="T338" t="s">
        <v>467</v>
      </c>
      <c r="U338" t="s">
        <v>592</v>
      </c>
      <c r="V338">
        <v>52.891534854121709</v>
      </c>
    </row>
    <row r="339" spans="16:22" x14ac:dyDescent="0.25">
      <c r="P339" t="s">
        <v>470</v>
      </c>
      <c r="Q339">
        <v>2035</v>
      </c>
      <c r="R339">
        <v>2</v>
      </c>
      <c r="S339" t="s">
        <v>466</v>
      </c>
      <c r="T339" t="s">
        <v>467</v>
      </c>
      <c r="U339" t="s">
        <v>593</v>
      </c>
      <c r="V339">
        <v>435.28545140251737</v>
      </c>
    </row>
    <row r="340" spans="16:22" x14ac:dyDescent="0.25">
      <c r="P340" t="s">
        <v>470</v>
      </c>
      <c r="Q340">
        <v>2035</v>
      </c>
      <c r="R340">
        <v>2</v>
      </c>
      <c r="S340" t="s">
        <v>466</v>
      </c>
      <c r="T340" t="s">
        <v>467</v>
      </c>
      <c r="U340" t="s">
        <v>594</v>
      </c>
      <c r="V340">
        <v>0</v>
      </c>
    </row>
    <row r="341" spans="16:22" x14ac:dyDescent="0.25">
      <c r="P341" t="s">
        <v>470</v>
      </c>
      <c r="Q341">
        <v>2035</v>
      </c>
      <c r="R341">
        <v>2</v>
      </c>
      <c r="S341" t="s">
        <v>466</v>
      </c>
      <c r="T341" t="s">
        <v>467</v>
      </c>
      <c r="U341" t="s">
        <v>595</v>
      </c>
      <c r="V341">
        <v>355.45912010671123</v>
      </c>
    </row>
    <row r="342" spans="16:22" x14ac:dyDescent="0.25">
      <c r="P342" t="s">
        <v>470</v>
      </c>
      <c r="Q342">
        <v>2035</v>
      </c>
      <c r="R342">
        <v>2</v>
      </c>
      <c r="S342" t="s">
        <v>466</v>
      </c>
      <c r="T342" t="s">
        <v>467</v>
      </c>
      <c r="U342" t="s">
        <v>596</v>
      </c>
      <c r="V342">
        <v>1102.6063161531092</v>
      </c>
    </row>
    <row r="343" spans="16:22" x14ac:dyDescent="0.25">
      <c r="P343" t="s">
        <v>470</v>
      </c>
      <c r="Q343">
        <v>2035</v>
      </c>
      <c r="R343">
        <v>2</v>
      </c>
      <c r="S343" t="s">
        <v>466</v>
      </c>
      <c r="T343" t="s">
        <v>467</v>
      </c>
      <c r="U343" t="s">
        <v>597</v>
      </c>
      <c r="V343">
        <v>0</v>
      </c>
    </row>
    <row r="344" spans="16:22" x14ac:dyDescent="0.25">
      <c r="P344" t="s">
        <v>470</v>
      </c>
      <c r="Q344">
        <v>2035</v>
      </c>
      <c r="R344">
        <v>2</v>
      </c>
      <c r="S344" t="s">
        <v>466</v>
      </c>
      <c r="T344" t="s">
        <v>467</v>
      </c>
      <c r="U344" t="s">
        <v>598</v>
      </c>
      <c r="V344">
        <v>892.0788276855169</v>
      </c>
    </row>
    <row r="345" spans="16:22" x14ac:dyDescent="0.25">
      <c r="P345" t="s">
        <v>470</v>
      </c>
      <c r="Q345">
        <v>2035</v>
      </c>
      <c r="R345">
        <v>2</v>
      </c>
      <c r="S345" t="s">
        <v>466</v>
      </c>
      <c r="T345" t="s">
        <v>468</v>
      </c>
      <c r="U345" t="s">
        <v>592</v>
      </c>
      <c r="V345">
        <v>52.891534854121709</v>
      </c>
    </row>
    <row r="346" spans="16:22" x14ac:dyDescent="0.25">
      <c r="P346" t="s">
        <v>470</v>
      </c>
      <c r="Q346">
        <v>2035</v>
      </c>
      <c r="R346">
        <v>2</v>
      </c>
      <c r="S346" t="s">
        <v>466</v>
      </c>
      <c r="T346" t="s">
        <v>468</v>
      </c>
      <c r="U346" t="s">
        <v>593</v>
      </c>
      <c r="V346">
        <v>435.28545140251737</v>
      </c>
    </row>
    <row r="347" spans="16:22" x14ac:dyDescent="0.25">
      <c r="P347" t="s">
        <v>470</v>
      </c>
      <c r="Q347">
        <v>2035</v>
      </c>
      <c r="R347">
        <v>2</v>
      </c>
      <c r="S347" t="s">
        <v>466</v>
      </c>
      <c r="T347" t="s">
        <v>468</v>
      </c>
      <c r="U347" t="s">
        <v>594</v>
      </c>
      <c r="V347">
        <v>0</v>
      </c>
    </row>
    <row r="348" spans="16:22" x14ac:dyDescent="0.25">
      <c r="P348" t="s">
        <v>470</v>
      </c>
      <c r="Q348">
        <v>2035</v>
      </c>
      <c r="R348">
        <v>2</v>
      </c>
      <c r="S348" t="s">
        <v>466</v>
      </c>
      <c r="T348" t="s">
        <v>468</v>
      </c>
      <c r="U348" t="s">
        <v>595</v>
      </c>
      <c r="V348">
        <v>355.45912010671123</v>
      </c>
    </row>
    <row r="349" spans="16:22" x14ac:dyDescent="0.25">
      <c r="P349" t="s">
        <v>470</v>
      </c>
      <c r="Q349">
        <v>2035</v>
      </c>
      <c r="R349">
        <v>2</v>
      </c>
      <c r="S349" t="s">
        <v>466</v>
      </c>
      <c r="T349" t="s">
        <v>468</v>
      </c>
      <c r="U349" t="s">
        <v>596</v>
      </c>
      <c r="V349">
        <v>1102.6063161531092</v>
      </c>
    </row>
    <row r="350" spans="16:22" x14ac:dyDescent="0.25">
      <c r="P350" t="s">
        <v>470</v>
      </c>
      <c r="Q350">
        <v>2035</v>
      </c>
      <c r="R350">
        <v>2</v>
      </c>
      <c r="S350" t="s">
        <v>466</v>
      </c>
      <c r="T350" t="s">
        <v>468</v>
      </c>
      <c r="U350" t="s">
        <v>597</v>
      </c>
      <c r="V350">
        <v>0</v>
      </c>
    </row>
    <row r="351" spans="16:22" x14ac:dyDescent="0.25">
      <c r="P351" t="s">
        <v>470</v>
      </c>
      <c r="Q351">
        <v>2035</v>
      </c>
      <c r="R351">
        <v>2</v>
      </c>
      <c r="S351" t="s">
        <v>466</v>
      </c>
      <c r="T351" t="s">
        <v>468</v>
      </c>
      <c r="U351" t="s">
        <v>598</v>
      </c>
      <c r="V351">
        <v>892.0788276855169</v>
      </c>
    </row>
    <row r="352" spans="16:22" x14ac:dyDescent="0.25">
      <c r="P352" t="s">
        <v>470</v>
      </c>
      <c r="Q352">
        <v>2035</v>
      </c>
      <c r="R352">
        <v>2</v>
      </c>
      <c r="S352" t="s">
        <v>469</v>
      </c>
      <c r="T352" t="s">
        <v>467</v>
      </c>
      <c r="U352" t="s">
        <v>592</v>
      </c>
      <c r="V352">
        <v>69.094488610184683</v>
      </c>
    </row>
    <row r="353" spans="16:22" x14ac:dyDescent="0.25">
      <c r="P353" t="s">
        <v>470</v>
      </c>
      <c r="Q353">
        <v>2035</v>
      </c>
      <c r="R353">
        <v>2</v>
      </c>
      <c r="S353" t="s">
        <v>469</v>
      </c>
      <c r="T353" t="s">
        <v>467</v>
      </c>
      <c r="U353" t="s">
        <v>593</v>
      </c>
      <c r="V353">
        <v>630.29174057553485</v>
      </c>
    </row>
    <row r="354" spans="16:22" x14ac:dyDescent="0.25">
      <c r="P354" t="s">
        <v>470</v>
      </c>
      <c r="Q354">
        <v>2035</v>
      </c>
      <c r="R354">
        <v>2</v>
      </c>
      <c r="S354" t="s">
        <v>469</v>
      </c>
      <c r="T354" t="s">
        <v>467</v>
      </c>
      <c r="U354" t="s">
        <v>594</v>
      </c>
      <c r="V354">
        <v>0</v>
      </c>
    </row>
    <row r="355" spans="16:22" x14ac:dyDescent="0.25">
      <c r="P355" t="s">
        <v>470</v>
      </c>
      <c r="Q355">
        <v>2035</v>
      </c>
      <c r="R355">
        <v>2</v>
      </c>
      <c r="S355" t="s">
        <v>469</v>
      </c>
      <c r="T355" t="s">
        <v>467</v>
      </c>
      <c r="U355" t="s">
        <v>595</v>
      </c>
      <c r="V355">
        <v>340.17437073860054</v>
      </c>
    </row>
    <row r="356" spans="16:22" x14ac:dyDescent="0.25">
      <c r="P356" t="s">
        <v>470</v>
      </c>
      <c r="Q356">
        <v>2035</v>
      </c>
      <c r="R356">
        <v>2</v>
      </c>
      <c r="S356" t="s">
        <v>469</v>
      </c>
      <c r="T356" t="s">
        <v>467</v>
      </c>
      <c r="U356" t="s">
        <v>596</v>
      </c>
      <c r="V356">
        <v>1057.555840586029</v>
      </c>
    </row>
    <row r="357" spans="16:22" x14ac:dyDescent="0.25">
      <c r="P357" t="s">
        <v>470</v>
      </c>
      <c r="Q357">
        <v>2035</v>
      </c>
      <c r="R357">
        <v>2</v>
      </c>
      <c r="S357" t="s">
        <v>469</v>
      </c>
      <c r="T357" t="s">
        <v>467</v>
      </c>
      <c r="U357" t="s">
        <v>597</v>
      </c>
      <c r="V357">
        <v>0</v>
      </c>
    </row>
    <row r="358" spans="16:22" x14ac:dyDescent="0.25">
      <c r="P358" t="s">
        <v>470</v>
      </c>
      <c r="Q358">
        <v>2035</v>
      </c>
      <c r="R358">
        <v>2</v>
      </c>
      <c r="S358" t="s">
        <v>469</v>
      </c>
      <c r="T358" t="s">
        <v>467</v>
      </c>
      <c r="U358" t="s">
        <v>598</v>
      </c>
      <c r="V358">
        <v>738.76501899637913</v>
      </c>
    </row>
    <row r="359" spans="16:22" x14ac:dyDescent="0.25">
      <c r="P359" t="s">
        <v>470</v>
      </c>
      <c r="Q359">
        <v>2035</v>
      </c>
      <c r="R359">
        <v>2</v>
      </c>
      <c r="S359" t="s">
        <v>469</v>
      </c>
      <c r="T359" t="s">
        <v>468</v>
      </c>
      <c r="U359" t="s">
        <v>592</v>
      </c>
      <c r="V359">
        <v>69.094488610184683</v>
      </c>
    </row>
    <row r="360" spans="16:22" x14ac:dyDescent="0.25">
      <c r="P360" t="s">
        <v>470</v>
      </c>
      <c r="Q360">
        <v>2035</v>
      </c>
      <c r="R360">
        <v>2</v>
      </c>
      <c r="S360" t="s">
        <v>469</v>
      </c>
      <c r="T360" t="s">
        <v>468</v>
      </c>
      <c r="U360" t="s">
        <v>593</v>
      </c>
      <c r="V360">
        <v>630.29174057553485</v>
      </c>
    </row>
    <row r="361" spans="16:22" x14ac:dyDescent="0.25">
      <c r="P361" t="s">
        <v>470</v>
      </c>
      <c r="Q361">
        <v>2035</v>
      </c>
      <c r="R361">
        <v>2</v>
      </c>
      <c r="S361" t="s">
        <v>469</v>
      </c>
      <c r="T361" t="s">
        <v>468</v>
      </c>
      <c r="U361" t="s">
        <v>594</v>
      </c>
      <c r="V361">
        <v>0</v>
      </c>
    </row>
    <row r="362" spans="16:22" x14ac:dyDescent="0.25">
      <c r="P362" t="s">
        <v>470</v>
      </c>
      <c r="Q362">
        <v>2035</v>
      </c>
      <c r="R362">
        <v>2</v>
      </c>
      <c r="S362" t="s">
        <v>469</v>
      </c>
      <c r="T362" t="s">
        <v>468</v>
      </c>
      <c r="U362" t="s">
        <v>595</v>
      </c>
      <c r="V362">
        <v>340.17437073860054</v>
      </c>
    </row>
    <row r="363" spans="16:22" x14ac:dyDescent="0.25">
      <c r="P363" t="s">
        <v>470</v>
      </c>
      <c r="Q363">
        <v>2035</v>
      </c>
      <c r="R363">
        <v>2</v>
      </c>
      <c r="S363" t="s">
        <v>469</v>
      </c>
      <c r="T363" t="s">
        <v>468</v>
      </c>
      <c r="U363" t="s">
        <v>596</v>
      </c>
      <c r="V363">
        <v>1057.555840586029</v>
      </c>
    </row>
    <row r="364" spans="16:22" x14ac:dyDescent="0.25">
      <c r="P364" t="s">
        <v>470</v>
      </c>
      <c r="Q364">
        <v>2035</v>
      </c>
      <c r="R364">
        <v>2</v>
      </c>
      <c r="S364" t="s">
        <v>469</v>
      </c>
      <c r="T364" t="s">
        <v>468</v>
      </c>
      <c r="U364" t="s">
        <v>597</v>
      </c>
      <c r="V364">
        <v>0</v>
      </c>
    </row>
    <row r="365" spans="16:22" x14ac:dyDescent="0.25">
      <c r="P365" t="s">
        <v>470</v>
      </c>
      <c r="Q365">
        <v>2035</v>
      </c>
      <c r="R365">
        <v>2</v>
      </c>
      <c r="S365" t="s">
        <v>469</v>
      </c>
      <c r="T365" t="s">
        <v>468</v>
      </c>
      <c r="U365" t="s">
        <v>598</v>
      </c>
      <c r="V365">
        <v>738.76501899637913</v>
      </c>
    </row>
    <row r="366" spans="16:22" x14ac:dyDescent="0.25">
      <c r="P366" t="s">
        <v>470</v>
      </c>
      <c r="Q366">
        <v>2050</v>
      </c>
      <c r="R366">
        <v>2</v>
      </c>
      <c r="S366" t="s">
        <v>466</v>
      </c>
      <c r="T366" t="s">
        <v>467</v>
      </c>
      <c r="U366" t="s">
        <v>592</v>
      </c>
      <c r="V366">
        <v>2.4582631682981138</v>
      </c>
    </row>
    <row r="367" spans="16:22" x14ac:dyDescent="0.25">
      <c r="P367" t="s">
        <v>470</v>
      </c>
      <c r="Q367">
        <v>2050</v>
      </c>
      <c r="R367">
        <v>2</v>
      </c>
      <c r="S367" t="s">
        <v>466</v>
      </c>
      <c r="T367" t="s">
        <v>467</v>
      </c>
      <c r="U367" t="s">
        <v>593</v>
      </c>
      <c r="V367">
        <v>356.01004588546914</v>
      </c>
    </row>
    <row r="368" spans="16:22" x14ac:dyDescent="0.25">
      <c r="P368" t="s">
        <v>470</v>
      </c>
      <c r="Q368">
        <v>2050</v>
      </c>
      <c r="R368">
        <v>2</v>
      </c>
      <c r="S368" t="s">
        <v>466</v>
      </c>
      <c r="T368" t="s">
        <v>467</v>
      </c>
      <c r="U368" t="s">
        <v>594</v>
      </c>
      <c r="V368">
        <v>0</v>
      </c>
    </row>
    <row r="369" spans="16:22" x14ac:dyDescent="0.25">
      <c r="P369" t="s">
        <v>470</v>
      </c>
      <c r="Q369">
        <v>2050</v>
      </c>
      <c r="R369">
        <v>2</v>
      </c>
      <c r="S369" t="s">
        <v>466</v>
      </c>
      <c r="T369" t="s">
        <v>467</v>
      </c>
      <c r="U369" t="s">
        <v>595</v>
      </c>
      <c r="V369">
        <v>305.59491603283112</v>
      </c>
    </row>
    <row r="370" spans="16:22" x14ac:dyDescent="0.25">
      <c r="P370" t="s">
        <v>470</v>
      </c>
      <c r="Q370">
        <v>2050</v>
      </c>
      <c r="R370">
        <v>2</v>
      </c>
      <c r="S370" t="s">
        <v>466</v>
      </c>
      <c r="T370" t="s">
        <v>467</v>
      </c>
      <c r="U370" t="s">
        <v>596</v>
      </c>
      <c r="V370">
        <v>939.87744069247333</v>
      </c>
    </row>
    <row r="371" spans="16:22" x14ac:dyDescent="0.25">
      <c r="P371" t="s">
        <v>470</v>
      </c>
      <c r="Q371">
        <v>2050</v>
      </c>
      <c r="R371">
        <v>2</v>
      </c>
      <c r="S371" t="s">
        <v>466</v>
      </c>
      <c r="T371" t="s">
        <v>467</v>
      </c>
      <c r="U371" t="s">
        <v>597</v>
      </c>
      <c r="V371">
        <v>0</v>
      </c>
    </row>
    <row r="372" spans="16:22" x14ac:dyDescent="0.25">
      <c r="P372" t="s">
        <v>470</v>
      </c>
      <c r="Q372">
        <v>2050</v>
      </c>
      <c r="R372">
        <v>2</v>
      </c>
      <c r="S372" t="s">
        <v>466</v>
      </c>
      <c r="T372" t="s">
        <v>467</v>
      </c>
      <c r="U372" t="s">
        <v>598</v>
      </c>
      <c r="V372">
        <v>770.54675969550351</v>
      </c>
    </row>
    <row r="373" spans="16:22" x14ac:dyDescent="0.25">
      <c r="P373" t="s">
        <v>470</v>
      </c>
      <c r="Q373">
        <v>2050</v>
      </c>
      <c r="R373">
        <v>2</v>
      </c>
      <c r="S373" t="s">
        <v>466</v>
      </c>
      <c r="T373" t="s">
        <v>468</v>
      </c>
      <c r="U373" t="s">
        <v>592</v>
      </c>
      <c r="V373">
        <v>2.4582631682981138</v>
      </c>
    </row>
    <row r="374" spans="16:22" x14ac:dyDescent="0.25">
      <c r="P374" t="s">
        <v>470</v>
      </c>
      <c r="Q374">
        <v>2050</v>
      </c>
      <c r="R374">
        <v>2</v>
      </c>
      <c r="S374" t="s">
        <v>466</v>
      </c>
      <c r="T374" t="s">
        <v>468</v>
      </c>
      <c r="U374" t="s">
        <v>593</v>
      </c>
      <c r="V374">
        <v>356.01004588546914</v>
      </c>
    </row>
    <row r="375" spans="16:22" x14ac:dyDescent="0.25">
      <c r="P375" t="s">
        <v>470</v>
      </c>
      <c r="Q375">
        <v>2050</v>
      </c>
      <c r="R375">
        <v>2</v>
      </c>
      <c r="S375" t="s">
        <v>466</v>
      </c>
      <c r="T375" t="s">
        <v>468</v>
      </c>
      <c r="U375" t="s">
        <v>594</v>
      </c>
      <c r="V375">
        <v>0</v>
      </c>
    </row>
    <row r="376" spans="16:22" x14ac:dyDescent="0.25">
      <c r="P376" t="s">
        <v>470</v>
      </c>
      <c r="Q376">
        <v>2050</v>
      </c>
      <c r="R376">
        <v>2</v>
      </c>
      <c r="S376" t="s">
        <v>466</v>
      </c>
      <c r="T376" t="s">
        <v>468</v>
      </c>
      <c r="U376" t="s">
        <v>595</v>
      </c>
      <c r="V376">
        <v>305.59491603283112</v>
      </c>
    </row>
    <row r="377" spans="16:22" x14ac:dyDescent="0.25">
      <c r="P377" t="s">
        <v>470</v>
      </c>
      <c r="Q377">
        <v>2050</v>
      </c>
      <c r="R377">
        <v>2</v>
      </c>
      <c r="S377" t="s">
        <v>466</v>
      </c>
      <c r="T377" t="s">
        <v>468</v>
      </c>
      <c r="U377" t="s">
        <v>596</v>
      </c>
      <c r="V377">
        <v>939.87744069247333</v>
      </c>
    </row>
    <row r="378" spans="16:22" x14ac:dyDescent="0.25">
      <c r="P378" t="s">
        <v>470</v>
      </c>
      <c r="Q378">
        <v>2050</v>
      </c>
      <c r="R378">
        <v>2</v>
      </c>
      <c r="S378" t="s">
        <v>466</v>
      </c>
      <c r="T378" t="s">
        <v>468</v>
      </c>
      <c r="U378" t="s">
        <v>597</v>
      </c>
      <c r="V378">
        <v>0</v>
      </c>
    </row>
    <row r="379" spans="16:22" x14ac:dyDescent="0.25">
      <c r="P379" t="s">
        <v>470</v>
      </c>
      <c r="Q379">
        <v>2050</v>
      </c>
      <c r="R379">
        <v>2</v>
      </c>
      <c r="S379" t="s">
        <v>466</v>
      </c>
      <c r="T379" t="s">
        <v>468</v>
      </c>
      <c r="U379" t="s">
        <v>598</v>
      </c>
      <c r="V379">
        <v>770.54675969550351</v>
      </c>
    </row>
    <row r="380" spans="16:22" x14ac:dyDescent="0.25">
      <c r="P380" t="s">
        <v>470</v>
      </c>
      <c r="Q380">
        <v>2050</v>
      </c>
      <c r="R380">
        <v>2</v>
      </c>
      <c r="S380" t="s">
        <v>469</v>
      </c>
      <c r="T380" t="s">
        <v>467</v>
      </c>
      <c r="U380" t="s">
        <v>592</v>
      </c>
      <c r="V380">
        <v>113.04652047400619</v>
      </c>
    </row>
    <row r="381" spans="16:22" x14ac:dyDescent="0.25">
      <c r="P381" t="s">
        <v>470</v>
      </c>
      <c r="Q381">
        <v>2050</v>
      </c>
      <c r="R381">
        <v>2</v>
      </c>
      <c r="S381" t="s">
        <v>469</v>
      </c>
      <c r="T381" t="s">
        <v>467</v>
      </c>
      <c r="U381" t="s">
        <v>593</v>
      </c>
      <c r="V381">
        <v>381.76541345241344</v>
      </c>
    </row>
    <row r="382" spans="16:22" x14ac:dyDescent="0.25">
      <c r="P382" t="s">
        <v>470</v>
      </c>
      <c r="Q382">
        <v>2050</v>
      </c>
      <c r="R382">
        <v>2</v>
      </c>
      <c r="S382" t="s">
        <v>469</v>
      </c>
      <c r="T382" t="s">
        <v>467</v>
      </c>
      <c r="U382" t="s">
        <v>594</v>
      </c>
      <c r="V382">
        <v>0</v>
      </c>
    </row>
    <row r="383" spans="16:22" x14ac:dyDescent="0.25">
      <c r="P383" t="s">
        <v>470</v>
      </c>
      <c r="Q383">
        <v>2050</v>
      </c>
      <c r="R383">
        <v>2</v>
      </c>
      <c r="S383" t="s">
        <v>469</v>
      </c>
      <c r="T383" t="s">
        <v>467</v>
      </c>
      <c r="U383" t="s">
        <v>595</v>
      </c>
      <c r="V383">
        <v>281.30720853755304</v>
      </c>
    </row>
    <row r="384" spans="16:22" x14ac:dyDescent="0.25">
      <c r="P384" t="s">
        <v>470</v>
      </c>
      <c r="Q384">
        <v>2050</v>
      </c>
      <c r="R384">
        <v>2</v>
      </c>
      <c r="S384" t="s">
        <v>469</v>
      </c>
      <c r="T384" t="s">
        <v>467</v>
      </c>
      <c r="U384" t="s">
        <v>596</v>
      </c>
      <c r="V384">
        <v>908.6176408598094</v>
      </c>
    </row>
    <row r="385" spans="16:22" x14ac:dyDescent="0.25">
      <c r="P385" t="s">
        <v>470</v>
      </c>
      <c r="Q385">
        <v>2050</v>
      </c>
      <c r="R385">
        <v>2</v>
      </c>
      <c r="S385" t="s">
        <v>469</v>
      </c>
      <c r="T385" t="s">
        <v>467</v>
      </c>
      <c r="U385" t="s">
        <v>597</v>
      </c>
      <c r="V385">
        <v>0</v>
      </c>
    </row>
    <row r="386" spans="16:22" x14ac:dyDescent="0.25">
      <c r="P386" t="s">
        <v>470</v>
      </c>
      <c r="Q386">
        <v>2050</v>
      </c>
      <c r="R386">
        <v>2</v>
      </c>
      <c r="S386" t="s">
        <v>469</v>
      </c>
      <c r="T386" t="s">
        <v>467</v>
      </c>
      <c r="U386" t="s">
        <v>598</v>
      </c>
      <c r="V386">
        <v>713.5830769093244</v>
      </c>
    </row>
    <row r="387" spans="16:22" x14ac:dyDescent="0.25">
      <c r="P387" t="s">
        <v>470</v>
      </c>
      <c r="Q387">
        <v>2050</v>
      </c>
      <c r="R387">
        <v>2</v>
      </c>
      <c r="S387" t="s">
        <v>469</v>
      </c>
      <c r="T387" t="s">
        <v>468</v>
      </c>
      <c r="U387" t="s">
        <v>592</v>
      </c>
      <c r="V387">
        <v>113.04652047400619</v>
      </c>
    </row>
    <row r="388" spans="16:22" x14ac:dyDescent="0.25">
      <c r="P388" t="s">
        <v>470</v>
      </c>
      <c r="Q388">
        <v>2050</v>
      </c>
      <c r="R388">
        <v>2</v>
      </c>
      <c r="S388" t="s">
        <v>469</v>
      </c>
      <c r="T388" t="s">
        <v>468</v>
      </c>
      <c r="U388" t="s">
        <v>593</v>
      </c>
      <c r="V388">
        <v>381.76541345241344</v>
      </c>
    </row>
    <row r="389" spans="16:22" x14ac:dyDescent="0.25">
      <c r="P389" t="s">
        <v>470</v>
      </c>
      <c r="Q389">
        <v>2050</v>
      </c>
      <c r="R389">
        <v>2</v>
      </c>
      <c r="S389" t="s">
        <v>469</v>
      </c>
      <c r="T389" t="s">
        <v>468</v>
      </c>
      <c r="U389" t="s">
        <v>594</v>
      </c>
      <c r="V389">
        <v>0</v>
      </c>
    </row>
    <row r="390" spans="16:22" x14ac:dyDescent="0.25">
      <c r="P390" t="s">
        <v>470</v>
      </c>
      <c r="Q390">
        <v>2050</v>
      </c>
      <c r="R390">
        <v>2</v>
      </c>
      <c r="S390" t="s">
        <v>469</v>
      </c>
      <c r="T390" t="s">
        <v>468</v>
      </c>
      <c r="U390" t="s">
        <v>595</v>
      </c>
      <c r="V390">
        <v>281.30720853755304</v>
      </c>
    </row>
    <row r="391" spans="16:22" x14ac:dyDescent="0.25">
      <c r="P391" t="s">
        <v>470</v>
      </c>
      <c r="Q391">
        <v>2050</v>
      </c>
      <c r="R391">
        <v>2</v>
      </c>
      <c r="S391" t="s">
        <v>469</v>
      </c>
      <c r="T391" t="s">
        <v>468</v>
      </c>
      <c r="U391" t="s">
        <v>596</v>
      </c>
      <c r="V391">
        <v>908.6176408598094</v>
      </c>
    </row>
    <row r="392" spans="16:22" x14ac:dyDescent="0.25">
      <c r="P392" t="s">
        <v>470</v>
      </c>
      <c r="Q392">
        <v>2050</v>
      </c>
      <c r="R392">
        <v>2</v>
      </c>
      <c r="S392" t="s">
        <v>469</v>
      </c>
      <c r="T392" t="s">
        <v>468</v>
      </c>
      <c r="U392" t="s">
        <v>597</v>
      </c>
      <c r="V392">
        <v>0</v>
      </c>
    </row>
    <row r="393" spans="16:22" x14ac:dyDescent="0.25">
      <c r="P393" t="s">
        <v>470</v>
      </c>
      <c r="Q393">
        <v>2050</v>
      </c>
      <c r="R393">
        <v>2</v>
      </c>
      <c r="S393" t="s">
        <v>469</v>
      </c>
      <c r="T393" t="s">
        <v>468</v>
      </c>
      <c r="U393" t="s">
        <v>598</v>
      </c>
      <c r="V393">
        <v>713.5830769093244</v>
      </c>
    </row>
    <row r="394" spans="16:22" x14ac:dyDescent="0.25">
      <c r="P394" t="s">
        <v>470</v>
      </c>
      <c r="Q394">
        <v>2035</v>
      </c>
      <c r="R394">
        <v>3</v>
      </c>
      <c r="S394" t="s">
        <v>466</v>
      </c>
      <c r="T394" t="s">
        <v>467</v>
      </c>
      <c r="U394" t="s">
        <v>592</v>
      </c>
      <c r="V394">
        <v>693.95987825600753</v>
      </c>
    </row>
    <row r="395" spans="16:22" x14ac:dyDescent="0.25">
      <c r="P395" t="s">
        <v>470</v>
      </c>
      <c r="Q395">
        <v>2035</v>
      </c>
      <c r="R395">
        <v>3</v>
      </c>
      <c r="S395" t="s">
        <v>466</v>
      </c>
      <c r="T395" t="s">
        <v>467</v>
      </c>
      <c r="U395" t="s">
        <v>593</v>
      </c>
      <c r="V395">
        <v>594.43793904012409</v>
      </c>
    </row>
    <row r="396" spans="16:22" x14ac:dyDescent="0.25">
      <c r="P396" t="s">
        <v>470</v>
      </c>
      <c r="Q396">
        <v>2035</v>
      </c>
      <c r="R396">
        <v>3</v>
      </c>
      <c r="S396" t="s">
        <v>466</v>
      </c>
      <c r="T396" t="s">
        <v>467</v>
      </c>
      <c r="U396" t="s">
        <v>594</v>
      </c>
      <c r="V396">
        <v>305.84893220391581</v>
      </c>
    </row>
    <row r="397" spans="16:22" x14ac:dyDescent="0.25">
      <c r="P397" t="s">
        <v>470</v>
      </c>
      <c r="Q397">
        <v>2035</v>
      </c>
      <c r="R397">
        <v>3</v>
      </c>
      <c r="S397" t="s">
        <v>466</v>
      </c>
      <c r="T397" t="s">
        <v>467</v>
      </c>
      <c r="U397" t="s">
        <v>595</v>
      </c>
      <c r="V397">
        <v>635.15926508702057</v>
      </c>
    </row>
    <row r="398" spans="16:22" x14ac:dyDescent="0.25">
      <c r="P398" t="s">
        <v>470</v>
      </c>
      <c r="Q398">
        <v>2035</v>
      </c>
      <c r="R398">
        <v>3</v>
      </c>
      <c r="S398" t="s">
        <v>466</v>
      </c>
      <c r="T398" t="s">
        <v>467</v>
      </c>
      <c r="U398" t="s">
        <v>596</v>
      </c>
      <c r="V398">
        <v>1400.5100847948934</v>
      </c>
    </row>
    <row r="399" spans="16:22" x14ac:dyDescent="0.25">
      <c r="P399" t="s">
        <v>470</v>
      </c>
      <c r="Q399">
        <v>2035</v>
      </c>
      <c r="R399">
        <v>3</v>
      </c>
      <c r="S399" t="s">
        <v>466</v>
      </c>
      <c r="T399" t="s">
        <v>467</v>
      </c>
      <c r="U399" t="s">
        <v>597</v>
      </c>
      <c r="V399">
        <v>9.7498775429940253E-3</v>
      </c>
    </row>
    <row r="400" spans="16:22" x14ac:dyDescent="0.25">
      <c r="P400" t="s">
        <v>470</v>
      </c>
      <c r="Q400">
        <v>2035</v>
      </c>
      <c r="R400">
        <v>3</v>
      </c>
      <c r="S400" t="s">
        <v>466</v>
      </c>
      <c r="T400" t="s">
        <v>467</v>
      </c>
      <c r="U400" t="s">
        <v>598</v>
      </c>
      <c r="V400">
        <v>3768.1880587687106</v>
      </c>
    </row>
    <row r="401" spans="16:22" x14ac:dyDescent="0.25">
      <c r="P401" t="s">
        <v>470</v>
      </c>
      <c r="Q401">
        <v>2035</v>
      </c>
      <c r="R401">
        <v>3</v>
      </c>
      <c r="S401" t="s">
        <v>466</v>
      </c>
      <c r="T401" t="s">
        <v>468</v>
      </c>
      <c r="U401" t="s">
        <v>592</v>
      </c>
      <c r="V401">
        <v>693.95987825600753</v>
      </c>
    </row>
    <row r="402" spans="16:22" x14ac:dyDescent="0.25">
      <c r="P402" t="s">
        <v>470</v>
      </c>
      <c r="Q402">
        <v>2035</v>
      </c>
      <c r="R402">
        <v>3</v>
      </c>
      <c r="S402" t="s">
        <v>466</v>
      </c>
      <c r="T402" t="s">
        <v>468</v>
      </c>
      <c r="U402" t="s">
        <v>593</v>
      </c>
      <c r="V402">
        <v>594.43793904012409</v>
      </c>
    </row>
    <row r="403" spans="16:22" x14ac:dyDescent="0.25">
      <c r="P403" t="s">
        <v>470</v>
      </c>
      <c r="Q403">
        <v>2035</v>
      </c>
      <c r="R403">
        <v>3</v>
      </c>
      <c r="S403" t="s">
        <v>466</v>
      </c>
      <c r="T403" t="s">
        <v>468</v>
      </c>
      <c r="U403" t="s">
        <v>594</v>
      </c>
      <c r="V403">
        <v>305.84893220391581</v>
      </c>
    </row>
    <row r="404" spans="16:22" x14ac:dyDescent="0.25">
      <c r="P404" t="s">
        <v>470</v>
      </c>
      <c r="Q404">
        <v>2035</v>
      </c>
      <c r="R404">
        <v>3</v>
      </c>
      <c r="S404" t="s">
        <v>466</v>
      </c>
      <c r="T404" t="s">
        <v>468</v>
      </c>
      <c r="U404" t="s">
        <v>595</v>
      </c>
      <c r="V404">
        <v>635.15926508702057</v>
      </c>
    </row>
    <row r="405" spans="16:22" x14ac:dyDescent="0.25">
      <c r="P405" t="s">
        <v>470</v>
      </c>
      <c r="Q405">
        <v>2035</v>
      </c>
      <c r="R405">
        <v>3</v>
      </c>
      <c r="S405" t="s">
        <v>466</v>
      </c>
      <c r="T405" t="s">
        <v>468</v>
      </c>
      <c r="U405" t="s">
        <v>596</v>
      </c>
      <c r="V405">
        <v>1400.5100847948934</v>
      </c>
    </row>
    <row r="406" spans="16:22" x14ac:dyDescent="0.25">
      <c r="P406" t="s">
        <v>470</v>
      </c>
      <c r="Q406">
        <v>2035</v>
      </c>
      <c r="R406">
        <v>3</v>
      </c>
      <c r="S406" t="s">
        <v>466</v>
      </c>
      <c r="T406" t="s">
        <v>468</v>
      </c>
      <c r="U406" t="s">
        <v>597</v>
      </c>
      <c r="V406">
        <v>9.7498775429940253E-3</v>
      </c>
    </row>
    <row r="407" spans="16:22" x14ac:dyDescent="0.25">
      <c r="P407" t="s">
        <v>470</v>
      </c>
      <c r="Q407">
        <v>2035</v>
      </c>
      <c r="R407">
        <v>3</v>
      </c>
      <c r="S407" t="s">
        <v>466</v>
      </c>
      <c r="T407" t="s">
        <v>468</v>
      </c>
      <c r="U407" t="s">
        <v>598</v>
      </c>
      <c r="V407">
        <v>3768.1880587687106</v>
      </c>
    </row>
    <row r="408" spans="16:22" x14ac:dyDescent="0.25">
      <c r="P408" t="s">
        <v>470</v>
      </c>
      <c r="Q408">
        <v>2035</v>
      </c>
      <c r="R408">
        <v>3</v>
      </c>
      <c r="S408" t="s">
        <v>469</v>
      </c>
      <c r="T408" t="s">
        <v>467</v>
      </c>
      <c r="U408" t="s">
        <v>592</v>
      </c>
      <c r="V408">
        <v>818.90118910197498</v>
      </c>
    </row>
    <row r="409" spans="16:22" x14ac:dyDescent="0.25">
      <c r="P409" t="s">
        <v>470</v>
      </c>
      <c r="Q409">
        <v>2035</v>
      </c>
      <c r="R409">
        <v>3</v>
      </c>
      <c r="S409" t="s">
        <v>469</v>
      </c>
      <c r="T409" t="s">
        <v>467</v>
      </c>
      <c r="U409" t="s">
        <v>593</v>
      </c>
      <c r="V409">
        <v>927.50795751294345</v>
      </c>
    </row>
    <row r="410" spans="16:22" x14ac:dyDescent="0.25">
      <c r="P410" t="s">
        <v>470</v>
      </c>
      <c r="Q410">
        <v>2035</v>
      </c>
      <c r="R410">
        <v>3</v>
      </c>
      <c r="S410" t="s">
        <v>469</v>
      </c>
      <c r="T410" t="s">
        <v>467</v>
      </c>
      <c r="U410" t="s">
        <v>594</v>
      </c>
      <c r="V410">
        <v>305.85497689399369</v>
      </c>
    </row>
    <row r="411" spans="16:22" x14ac:dyDescent="0.25">
      <c r="P411" t="s">
        <v>470</v>
      </c>
      <c r="Q411">
        <v>2035</v>
      </c>
      <c r="R411">
        <v>3</v>
      </c>
      <c r="S411" t="s">
        <v>469</v>
      </c>
      <c r="T411" t="s">
        <v>467</v>
      </c>
      <c r="U411" t="s">
        <v>595</v>
      </c>
      <c r="V411">
        <v>1042.4465049574546</v>
      </c>
    </row>
    <row r="412" spans="16:22" x14ac:dyDescent="0.25">
      <c r="P412" t="s">
        <v>470</v>
      </c>
      <c r="Q412">
        <v>2035</v>
      </c>
      <c r="R412">
        <v>3</v>
      </c>
      <c r="S412" t="s">
        <v>469</v>
      </c>
      <c r="T412" t="s">
        <v>467</v>
      </c>
      <c r="U412" t="s">
        <v>596</v>
      </c>
      <c r="V412">
        <v>1475.1651664718361</v>
      </c>
    </row>
    <row r="413" spans="16:22" x14ac:dyDescent="0.25">
      <c r="P413" t="s">
        <v>470</v>
      </c>
      <c r="Q413">
        <v>2035</v>
      </c>
      <c r="R413">
        <v>3</v>
      </c>
      <c r="S413" t="s">
        <v>469</v>
      </c>
      <c r="T413" t="s">
        <v>467</v>
      </c>
      <c r="U413" t="s">
        <v>597</v>
      </c>
      <c r="V413">
        <v>53.628397637799566</v>
      </c>
    </row>
    <row r="414" spans="16:22" x14ac:dyDescent="0.25">
      <c r="P414" t="s">
        <v>470</v>
      </c>
      <c r="Q414">
        <v>2035</v>
      </c>
      <c r="R414">
        <v>3</v>
      </c>
      <c r="S414" t="s">
        <v>469</v>
      </c>
      <c r="T414" t="s">
        <v>467</v>
      </c>
      <c r="U414" t="s">
        <v>598</v>
      </c>
      <c r="V414">
        <v>2632.3560463105177</v>
      </c>
    </row>
    <row r="415" spans="16:22" x14ac:dyDescent="0.25">
      <c r="P415" t="s">
        <v>470</v>
      </c>
      <c r="Q415">
        <v>2035</v>
      </c>
      <c r="R415">
        <v>3</v>
      </c>
      <c r="S415" t="s">
        <v>469</v>
      </c>
      <c r="T415" t="s">
        <v>468</v>
      </c>
      <c r="U415" t="s">
        <v>592</v>
      </c>
      <c r="V415">
        <v>818.90118910197498</v>
      </c>
    </row>
    <row r="416" spans="16:22" x14ac:dyDescent="0.25">
      <c r="P416" t="s">
        <v>470</v>
      </c>
      <c r="Q416">
        <v>2035</v>
      </c>
      <c r="R416">
        <v>3</v>
      </c>
      <c r="S416" t="s">
        <v>469</v>
      </c>
      <c r="T416" t="s">
        <v>468</v>
      </c>
      <c r="U416" t="s">
        <v>593</v>
      </c>
      <c r="V416">
        <v>927.50795751294345</v>
      </c>
    </row>
    <row r="417" spans="16:22" x14ac:dyDescent="0.25">
      <c r="P417" t="s">
        <v>470</v>
      </c>
      <c r="Q417">
        <v>2035</v>
      </c>
      <c r="R417">
        <v>3</v>
      </c>
      <c r="S417" t="s">
        <v>469</v>
      </c>
      <c r="T417" t="s">
        <v>468</v>
      </c>
      <c r="U417" t="s">
        <v>594</v>
      </c>
      <c r="V417">
        <v>305.85497689399369</v>
      </c>
    </row>
    <row r="418" spans="16:22" x14ac:dyDescent="0.25">
      <c r="P418" t="s">
        <v>470</v>
      </c>
      <c r="Q418">
        <v>2035</v>
      </c>
      <c r="R418">
        <v>3</v>
      </c>
      <c r="S418" t="s">
        <v>469</v>
      </c>
      <c r="T418" t="s">
        <v>468</v>
      </c>
      <c r="U418" t="s">
        <v>595</v>
      </c>
      <c r="V418">
        <v>1042.4465049574546</v>
      </c>
    </row>
    <row r="419" spans="16:22" x14ac:dyDescent="0.25">
      <c r="P419" t="s">
        <v>470</v>
      </c>
      <c r="Q419">
        <v>2035</v>
      </c>
      <c r="R419">
        <v>3</v>
      </c>
      <c r="S419" t="s">
        <v>469</v>
      </c>
      <c r="T419" t="s">
        <v>468</v>
      </c>
      <c r="U419" t="s">
        <v>596</v>
      </c>
      <c r="V419">
        <v>1475.1651664718361</v>
      </c>
    </row>
    <row r="420" spans="16:22" x14ac:dyDescent="0.25">
      <c r="P420" t="s">
        <v>470</v>
      </c>
      <c r="Q420">
        <v>2035</v>
      </c>
      <c r="R420">
        <v>3</v>
      </c>
      <c r="S420" t="s">
        <v>469</v>
      </c>
      <c r="T420" t="s">
        <v>468</v>
      </c>
      <c r="U420" t="s">
        <v>597</v>
      </c>
      <c r="V420">
        <v>53.628397637799566</v>
      </c>
    </row>
    <row r="421" spans="16:22" x14ac:dyDescent="0.25">
      <c r="P421" t="s">
        <v>470</v>
      </c>
      <c r="Q421">
        <v>2035</v>
      </c>
      <c r="R421">
        <v>3</v>
      </c>
      <c r="S421" t="s">
        <v>469</v>
      </c>
      <c r="T421" t="s">
        <v>468</v>
      </c>
      <c r="U421" t="s">
        <v>598</v>
      </c>
      <c r="V421">
        <v>2632.3560463105177</v>
      </c>
    </row>
    <row r="422" spans="16:22" x14ac:dyDescent="0.25">
      <c r="P422" t="s">
        <v>470</v>
      </c>
      <c r="Q422">
        <v>2050</v>
      </c>
      <c r="R422">
        <v>3</v>
      </c>
      <c r="S422" t="s">
        <v>466</v>
      </c>
      <c r="T422" t="s">
        <v>467</v>
      </c>
      <c r="U422" t="s">
        <v>592</v>
      </c>
      <c r="V422">
        <v>650.56393677184928</v>
      </c>
    </row>
    <row r="423" spans="16:22" x14ac:dyDescent="0.25">
      <c r="P423" t="s">
        <v>470</v>
      </c>
      <c r="Q423">
        <v>2050</v>
      </c>
      <c r="R423">
        <v>3</v>
      </c>
      <c r="S423" t="s">
        <v>466</v>
      </c>
      <c r="T423" t="s">
        <v>467</v>
      </c>
      <c r="U423" t="s">
        <v>593</v>
      </c>
      <c r="V423">
        <v>539.2841745976167</v>
      </c>
    </row>
    <row r="424" spans="16:22" x14ac:dyDescent="0.25">
      <c r="P424" t="s">
        <v>470</v>
      </c>
      <c r="Q424">
        <v>2050</v>
      </c>
      <c r="R424">
        <v>3</v>
      </c>
      <c r="S424" t="s">
        <v>466</v>
      </c>
      <c r="T424" t="s">
        <v>467</v>
      </c>
      <c r="U424" t="s">
        <v>594</v>
      </c>
      <c r="V424">
        <v>315.87463712705085</v>
      </c>
    </row>
    <row r="425" spans="16:22" x14ac:dyDescent="0.25">
      <c r="P425" t="s">
        <v>470</v>
      </c>
      <c r="Q425">
        <v>2050</v>
      </c>
      <c r="R425">
        <v>3</v>
      </c>
      <c r="S425" t="s">
        <v>466</v>
      </c>
      <c r="T425" t="s">
        <v>467</v>
      </c>
      <c r="U425" t="s">
        <v>595</v>
      </c>
      <c r="V425">
        <v>566.14908047313031</v>
      </c>
    </row>
    <row r="426" spans="16:22" x14ac:dyDescent="0.25">
      <c r="P426" t="s">
        <v>470</v>
      </c>
      <c r="Q426">
        <v>2050</v>
      </c>
      <c r="R426">
        <v>3</v>
      </c>
      <c r="S426" t="s">
        <v>466</v>
      </c>
      <c r="T426" t="s">
        <v>467</v>
      </c>
      <c r="U426" t="s">
        <v>596</v>
      </c>
      <c r="V426">
        <v>1263.7832760525337</v>
      </c>
    </row>
    <row r="427" spans="16:22" x14ac:dyDescent="0.25">
      <c r="P427" t="s">
        <v>470</v>
      </c>
      <c r="Q427">
        <v>2050</v>
      </c>
      <c r="R427">
        <v>3</v>
      </c>
      <c r="S427" t="s">
        <v>466</v>
      </c>
      <c r="T427" t="s">
        <v>467</v>
      </c>
      <c r="U427" t="s">
        <v>597</v>
      </c>
      <c r="V427">
        <v>1.898154746330788E-2</v>
      </c>
    </row>
    <row r="428" spans="16:22" x14ac:dyDescent="0.25">
      <c r="P428" t="s">
        <v>470</v>
      </c>
      <c r="Q428">
        <v>2050</v>
      </c>
      <c r="R428">
        <v>3</v>
      </c>
      <c r="S428" t="s">
        <v>466</v>
      </c>
      <c r="T428" t="s">
        <v>467</v>
      </c>
      <c r="U428" t="s">
        <v>598</v>
      </c>
      <c r="V428">
        <v>3421.233624096516</v>
      </c>
    </row>
    <row r="429" spans="16:22" x14ac:dyDescent="0.25">
      <c r="P429" t="s">
        <v>470</v>
      </c>
      <c r="Q429">
        <v>2050</v>
      </c>
      <c r="R429">
        <v>3</v>
      </c>
      <c r="S429" t="s">
        <v>466</v>
      </c>
      <c r="T429" t="s">
        <v>468</v>
      </c>
      <c r="U429" t="s">
        <v>592</v>
      </c>
      <c r="V429">
        <v>650.56393677184928</v>
      </c>
    </row>
    <row r="430" spans="16:22" x14ac:dyDescent="0.25">
      <c r="P430" t="s">
        <v>470</v>
      </c>
      <c r="Q430">
        <v>2050</v>
      </c>
      <c r="R430">
        <v>3</v>
      </c>
      <c r="S430" t="s">
        <v>466</v>
      </c>
      <c r="T430" t="s">
        <v>468</v>
      </c>
      <c r="U430" t="s">
        <v>593</v>
      </c>
      <c r="V430">
        <v>539.2841745976167</v>
      </c>
    </row>
    <row r="431" spans="16:22" x14ac:dyDescent="0.25">
      <c r="P431" t="s">
        <v>470</v>
      </c>
      <c r="Q431">
        <v>2050</v>
      </c>
      <c r="R431">
        <v>3</v>
      </c>
      <c r="S431" t="s">
        <v>466</v>
      </c>
      <c r="T431" t="s">
        <v>468</v>
      </c>
      <c r="U431" t="s">
        <v>594</v>
      </c>
      <c r="V431">
        <v>315.87463712705085</v>
      </c>
    </row>
    <row r="432" spans="16:22" x14ac:dyDescent="0.25">
      <c r="P432" t="s">
        <v>470</v>
      </c>
      <c r="Q432">
        <v>2050</v>
      </c>
      <c r="R432">
        <v>3</v>
      </c>
      <c r="S432" t="s">
        <v>466</v>
      </c>
      <c r="T432" t="s">
        <v>468</v>
      </c>
      <c r="U432" t="s">
        <v>595</v>
      </c>
      <c r="V432">
        <v>566.14908047313031</v>
      </c>
    </row>
    <row r="433" spans="16:22" x14ac:dyDescent="0.25">
      <c r="P433" t="s">
        <v>470</v>
      </c>
      <c r="Q433">
        <v>2050</v>
      </c>
      <c r="R433">
        <v>3</v>
      </c>
      <c r="S433" t="s">
        <v>466</v>
      </c>
      <c r="T433" t="s">
        <v>468</v>
      </c>
      <c r="U433" t="s">
        <v>596</v>
      </c>
      <c r="V433">
        <v>1263.7832760525337</v>
      </c>
    </row>
    <row r="434" spans="16:22" x14ac:dyDescent="0.25">
      <c r="P434" t="s">
        <v>470</v>
      </c>
      <c r="Q434">
        <v>2050</v>
      </c>
      <c r="R434">
        <v>3</v>
      </c>
      <c r="S434" t="s">
        <v>466</v>
      </c>
      <c r="T434" t="s">
        <v>468</v>
      </c>
      <c r="U434" t="s">
        <v>597</v>
      </c>
      <c r="V434">
        <v>1.898154746330788E-2</v>
      </c>
    </row>
    <row r="435" spans="16:22" x14ac:dyDescent="0.25">
      <c r="P435" t="s">
        <v>470</v>
      </c>
      <c r="Q435">
        <v>2050</v>
      </c>
      <c r="R435">
        <v>3</v>
      </c>
      <c r="S435" t="s">
        <v>466</v>
      </c>
      <c r="T435" t="s">
        <v>468</v>
      </c>
      <c r="U435" t="s">
        <v>598</v>
      </c>
      <c r="V435">
        <v>3421.233624096516</v>
      </c>
    </row>
    <row r="436" spans="16:22" x14ac:dyDescent="0.25">
      <c r="P436" t="s">
        <v>470</v>
      </c>
      <c r="Q436">
        <v>2050</v>
      </c>
      <c r="R436">
        <v>3</v>
      </c>
      <c r="S436" t="s">
        <v>469</v>
      </c>
      <c r="T436" t="s">
        <v>467</v>
      </c>
      <c r="U436" t="s">
        <v>592</v>
      </c>
      <c r="V436">
        <v>1192.8167096811103</v>
      </c>
    </row>
    <row r="437" spans="16:22" x14ac:dyDescent="0.25">
      <c r="P437" t="s">
        <v>470</v>
      </c>
      <c r="Q437">
        <v>2050</v>
      </c>
      <c r="R437">
        <v>3</v>
      </c>
      <c r="S437" t="s">
        <v>469</v>
      </c>
      <c r="T437" t="s">
        <v>467</v>
      </c>
      <c r="U437" t="s">
        <v>593</v>
      </c>
      <c r="V437">
        <v>625.58803990845809</v>
      </c>
    </row>
    <row r="438" spans="16:22" x14ac:dyDescent="0.25">
      <c r="P438" t="s">
        <v>470</v>
      </c>
      <c r="Q438">
        <v>2050</v>
      </c>
      <c r="R438">
        <v>3</v>
      </c>
      <c r="S438" t="s">
        <v>469</v>
      </c>
      <c r="T438" t="s">
        <v>467</v>
      </c>
      <c r="U438" t="s">
        <v>594</v>
      </c>
      <c r="V438">
        <v>315.88577463814062</v>
      </c>
    </row>
    <row r="439" spans="16:22" x14ac:dyDescent="0.25">
      <c r="P439" t="s">
        <v>470</v>
      </c>
      <c r="Q439">
        <v>2050</v>
      </c>
      <c r="R439">
        <v>3</v>
      </c>
      <c r="S439" t="s">
        <v>469</v>
      </c>
      <c r="T439" t="s">
        <v>467</v>
      </c>
      <c r="U439" t="s">
        <v>595</v>
      </c>
      <c r="V439">
        <v>419.55240036057899</v>
      </c>
    </row>
    <row r="440" spans="16:22" x14ac:dyDescent="0.25">
      <c r="P440" t="s">
        <v>470</v>
      </c>
      <c r="Q440">
        <v>2050</v>
      </c>
      <c r="R440">
        <v>3</v>
      </c>
      <c r="S440" t="s">
        <v>469</v>
      </c>
      <c r="T440" t="s">
        <v>467</v>
      </c>
      <c r="U440" t="s">
        <v>596</v>
      </c>
      <c r="V440">
        <v>1084.2023146111464</v>
      </c>
    </row>
    <row r="441" spans="16:22" x14ac:dyDescent="0.25">
      <c r="P441" t="s">
        <v>470</v>
      </c>
      <c r="Q441">
        <v>2050</v>
      </c>
      <c r="R441">
        <v>3</v>
      </c>
      <c r="S441" t="s">
        <v>469</v>
      </c>
      <c r="T441" t="s">
        <v>467</v>
      </c>
      <c r="U441" t="s">
        <v>597</v>
      </c>
      <c r="V441">
        <v>3.3795835552402394E-3</v>
      </c>
    </row>
    <row r="442" spans="16:22" x14ac:dyDescent="0.25">
      <c r="P442" t="s">
        <v>470</v>
      </c>
      <c r="Q442">
        <v>2050</v>
      </c>
      <c r="R442">
        <v>3</v>
      </c>
      <c r="S442" t="s">
        <v>469</v>
      </c>
      <c r="T442" t="s">
        <v>467</v>
      </c>
      <c r="U442" t="s">
        <v>598</v>
      </c>
      <c r="V442">
        <v>3121.6774402132387</v>
      </c>
    </row>
    <row r="443" spans="16:22" x14ac:dyDescent="0.25">
      <c r="P443" t="s">
        <v>470</v>
      </c>
      <c r="Q443">
        <v>2050</v>
      </c>
      <c r="R443">
        <v>3</v>
      </c>
      <c r="S443" t="s">
        <v>469</v>
      </c>
      <c r="T443" t="s">
        <v>468</v>
      </c>
      <c r="U443" t="s">
        <v>592</v>
      </c>
      <c r="V443">
        <v>1192.8167096811103</v>
      </c>
    </row>
    <row r="444" spans="16:22" x14ac:dyDescent="0.25">
      <c r="P444" t="s">
        <v>470</v>
      </c>
      <c r="Q444">
        <v>2050</v>
      </c>
      <c r="R444">
        <v>3</v>
      </c>
      <c r="S444" t="s">
        <v>469</v>
      </c>
      <c r="T444" t="s">
        <v>468</v>
      </c>
      <c r="U444" t="s">
        <v>593</v>
      </c>
      <c r="V444">
        <v>625.58803990845809</v>
      </c>
    </row>
    <row r="445" spans="16:22" x14ac:dyDescent="0.25">
      <c r="P445" t="s">
        <v>470</v>
      </c>
      <c r="Q445">
        <v>2050</v>
      </c>
      <c r="R445">
        <v>3</v>
      </c>
      <c r="S445" t="s">
        <v>469</v>
      </c>
      <c r="T445" t="s">
        <v>468</v>
      </c>
      <c r="U445" t="s">
        <v>594</v>
      </c>
      <c r="V445">
        <v>315.88577463814062</v>
      </c>
    </row>
    <row r="446" spans="16:22" x14ac:dyDescent="0.25">
      <c r="P446" t="s">
        <v>470</v>
      </c>
      <c r="Q446">
        <v>2050</v>
      </c>
      <c r="R446">
        <v>3</v>
      </c>
      <c r="S446" t="s">
        <v>469</v>
      </c>
      <c r="T446" t="s">
        <v>468</v>
      </c>
      <c r="U446" t="s">
        <v>595</v>
      </c>
      <c r="V446">
        <v>419.55240036057899</v>
      </c>
    </row>
    <row r="447" spans="16:22" x14ac:dyDescent="0.25">
      <c r="P447" t="s">
        <v>470</v>
      </c>
      <c r="Q447">
        <v>2050</v>
      </c>
      <c r="R447">
        <v>3</v>
      </c>
      <c r="S447" t="s">
        <v>469</v>
      </c>
      <c r="T447" t="s">
        <v>468</v>
      </c>
      <c r="U447" t="s">
        <v>596</v>
      </c>
      <c r="V447">
        <v>1084.2023146111464</v>
      </c>
    </row>
    <row r="448" spans="16:22" x14ac:dyDescent="0.25">
      <c r="P448" t="s">
        <v>470</v>
      </c>
      <c r="Q448">
        <v>2050</v>
      </c>
      <c r="R448">
        <v>3</v>
      </c>
      <c r="S448" t="s">
        <v>469</v>
      </c>
      <c r="T448" t="s">
        <v>468</v>
      </c>
      <c r="U448" t="s">
        <v>597</v>
      </c>
      <c r="V448">
        <v>3.3795835552402394E-3</v>
      </c>
    </row>
    <row r="449" spans="16:22" x14ac:dyDescent="0.25">
      <c r="P449" t="s">
        <v>470</v>
      </c>
      <c r="Q449">
        <v>2050</v>
      </c>
      <c r="R449">
        <v>3</v>
      </c>
      <c r="S449" t="s">
        <v>469</v>
      </c>
      <c r="T449" t="s">
        <v>468</v>
      </c>
      <c r="U449" t="s">
        <v>598</v>
      </c>
      <c r="V449">
        <v>3121.6774402132387</v>
      </c>
    </row>
    <row r="450" spans="16:22" x14ac:dyDescent="0.25">
      <c r="P450" t="s">
        <v>470</v>
      </c>
      <c r="Q450">
        <v>2035</v>
      </c>
      <c r="R450">
        <v>4</v>
      </c>
      <c r="S450" t="s">
        <v>466</v>
      </c>
      <c r="T450" t="s">
        <v>467</v>
      </c>
      <c r="U450" t="s">
        <v>592</v>
      </c>
      <c r="V450">
        <v>41.247209074210645</v>
      </c>
    </row>
    <row r="451" spans="16:22" x14ac:dyDescent="0.25">
      <c r="P451" t="s">
        <v>470</v>
      </c>
      <c r="Q451">
        <v>2035</v>
      </c>
      <c r="R451">
        <v>4</v>
      </c>
      <c r="S451" t="s">
        <v>466</v>
      </c>
      <c r="T451" t="s">
        <v>467</v>
      </c>
      <c r="U451" t="s">
        <v>593</v>
      </c>
      <c r="V451">
        <v>311.65678471707122</v>
      </c>
    </row>
    <row r="452" spans="16:22" x14ac:dyDescent="0.25">
      <c r="P452" t="s">
        <v>470</v>
      </c>
      <c r="Q452">
        <v>2035</v>
      </c>
      <c r="R452">
        <v>4</v>
      </c>
      <c r="S452" t="s">
        <v>466</v>
      </c>
      <c r="T452" t="s">
        <v>467</v>
      </c>
      <c r="U452" t="s">
        <v>594</v>
      </c>
      <c r="V452">
        <v>0</v>
      </c>
    </row>
    <row r="453" spans="16:22" x14ac:dyDescent="0.25">
      <c r="P453" t="s">
        <v>470</v>
      </c>
      <c r="Q453">
        <v>2035</v>
      </c>
      <c r="R453">
        <v>4</v>
      </c>
      <c r="S453" t="s">
        <v>466</v>
      </c>
      <c r="T453" t="s">
        <v>467</v>
      </c>
      <c r="U453" t="s">
        <v>595</v>
      </c>
      <c r="V453">
        <v>138.96474358863489</v>
      </c>
    </row>
    <row r="454" spans="16:22" x14ac:dyDescent="0.25">
      <c r="P454" t="s">
        <v>470</v>
      </c>
      <c r="Q454">
        <v>2035</v>
      </c>
      <c r="R454">
        <v>4</v>
      </c>
      <c r="S454" t="s">
        <v>466</v>
      </c>
      <c r="T454" t="s">
        <v>467</v>
      </c>
      <c r="U454" t="s">
        <v>596</v>
      </c>
      <c r="V454">
        <v>50.890440431536689</v>
      </c>
    </row>
    <row r="455" spans="16:22" x14ac:dyDescent="0.25">
      <c r="P455" t="s">
        <v>470</v>
      </c>
      <c r="Q455">
        <v>2035</v>
      </c>
      <c r="R455">
        <v>4</v>
      </c>
      <c r="S455" t="s">
        <v>466</v>
      </c>
      <c r="T455" t="s">
        <v>467</v>
      </c>
      <c r="U455" t="s">
        <v>597</v>
      </c>
      <c r="V455">
        <v>0</v>
      </c>
    </row>
    <row r="456" spans="16:22" x14ac:dyDescent="0.25">
      <c r="P456" t="s">
        <v>470</v>
      </c>
      <c r="Q456">
        <v>2035</v>
      </c>
      <c r="R456">
        <v>4</v>
      </c>
      <c r="S456" t="s">
        <v>466</v>
      </c>
      <c r="T456" t="s">
        <v>467</v>
      </c>
      <c r="U456" t="s">
        <v>598</v>
      </c>
      <c r="V456">
        <v>7.3937196011215188E-11</v>
      </c>
    </row>
    <row r="457" spans="16:22" x14ac:dyDescent="0.25">
      <c r="P457" t="s">
        <v>470</v>
      </c>
      <c r="Q457">
        <v>2035</v>
      </c>
      <c r="R457">
        <v>4</v>
      </c>
      <c r="S457" t="s">
        <v>466</v>
      </c>
      <c r="T457" t="s">
        <v>468</v>
      </c>
      <c r="U457" t="s">
        <v>592</v>
      </c>
      <c r="V457">
        <v>41.247209074210645</v>
      </c>
    </row>
    <row r="458" spans="16:22" x14ac:dyDescent="0.25">
      <c r="P458" t="s">
        <v>470</v>
      </c>
      <c r="Q458">
        <v>2035</v>
      </c>
      <c r="R458">
        <v>4</v>
      </c>
      <c r="S458" t="s">
        <v>466</v>
      </c>
      <c r="T458" t="s">
        <v>468</v>
      </c>
      <c r="U458" t="s">
        <v>593</v>
      </c>
      <c r="V458">
        <v>311.65678471707122</v>
      </c>
    </row>
    <row r="459" spans="16:22" x14ac:dyDescent="0.25">
      <c r="P459" t="s">
        <v>470</v>
      </c>
      <c r="Q459">
        <v>2035</v>
      </c>
      <c r="R459">
        <v>4</v>
      </c>
      <c r="S459" t="s">
        <v>466</v>
      </c>
      <c r="T459" t="s">
        <v>468</v>
      </c>
      <c r="U459" t="s">
        <v>594</v>
      </c>
      <c r="V459">
        <v>0</v>
      </c>
    </row>
    <row r="460" spans="16:22" x14ac:dyDescent="0.25">
      <c r="P460" t="s">
        <v>470</v>
      </c>
      <c r="Q460">
        <v>2035</v>
      </c>
      <c r="R460">
        <v>4</v>
      </c>
      <c r="S460" t="s">
        <v>466</v>
      </c>
      <c r="T460" t="s">
        <v>468</v>
      </c>
      <c r="U460" t="s">
        <v>595</v>
      </c>
      <c r="V460">
        <v>138.96474358863489</v>
      </c>
    </row>
    <row r="461" spans="16:22" x14ac:dyDescent="0.25">
      <c r="P461" t="s">
        <v>470</v>
      </c>
      <c r="Q461">
        <v>2035</v>
      </c>
      <c r="R461">
        <v>4</v>
      </c>
      <c r="S461" t="s">
        <v>466</v>
      </c>
      <c r="T461" t="s">
        <v>468</v>
      </c>
      <c r="U461" t="s">
        <v>596</v>
      </c>
      <c r="V461">
        <v>50.890440431536689</v>
      </c>
    </row>
    <row r="462" spans="16:22" x14ac:dyDescent="0.25">
      <c r="P462" t="s">
        <v>470</v>
      </c>
      <c r="Q462">
        <v>2035</v>
      </c>
      <c r="R462">
        <v>4</v>
      </c>
      <c r="S462" t="s">
        <v>466</v>
      </c>
      <c r="T462" t="s">
        <v>468</v>
      </c>
      <c r="U462" t="s">
        <v>597</v>
      </c>
      <c r="V462">
        <v>0</v>
      </c>
    </row>
    <row r="463" spans="16:22" x14ac:dyDescent="0.25">
      <c r="P463" t="s">
        <v>470</v>
      </c>
      <c r="Q463">
        <v>2035</v>
      </c>
      <c r="R463">
        <v>4</v>
      </c>
      <c r="S463" t="s">
        <v>466</v>
      </c>
      <c r="T463" t="s">
        <v>468</v>
      </c>
      <c r="U463" t="s">
        <v>598</v>
      </c>
      <c r="V463">
        <v>7.3937196011215188E-11</v>
      </c>
    </row>
    <row r="464" spans="16:22" x14ac:dyDescent="0.25">
      <c r="P464" t="s">
        <v>470</v>
      </c>
      <c r="Q464">
        <v>2035</v>
      </c>
      <c r="R464">
        <v>4</v>
      </c>
      <c r="S464" t="s">
        <v>469</v>
      </c>
      <c r="T464" t="s">
        <v>467</v>
      </c>
      <c r="U464" t="s">
        <v>592</v>
      </c>
      <c r="V464">
        <v>41.24720907441997</v>
      </c>
    </row>
    <row r="465" spans="16:22" x14ac:dyDescent="0.25">
      <c r="P465" t="s">
        <v>470</v>
      </c>
      <c r="Q465">
        <v>2035</v>
      </c>
      <c r="R465">
        <v>4</v>
      </c>
      <c r="S465" t="s">
        <v>469</v>
      </c>
      <c r="T465" t="s">
        <v>467</v>
      </c>
      <c r="U465" t="s">
        <v>593</v>
      </c>
      <c r="V465">
        <v>311.65678471678405</v>
      </c>
    </row>
    <row r="466" spans="16:22" x14ac:dyDescent="0.25">
      <c r="P466" t="s">
        <v>470</v>
      </c>
      <c r="Q466">
        <v>2035</v>
      </c>
      <c r="R466">
        <v>4</v>
      </c>
      <c r="S466" t="s">
        <v>469</v>
      </c>
      <c r="T466" t="s">
        <v>467</v>
      </c>
      <c r="U466" t="s">
        <v>594</v>
      </c>
      <c r="V466">
        <v>0</v>
      </c>
    </row>
    <row r="467" spans="16:22" x14ac:dyDescent="0.25">
      <c r="P467" t="s">
        <v>470</v>
      </c>
      <c r="Q467">
        <v>2035</v>
      </c>
      <c r="R467">
        <v>4</v>
      </c>
      <c r="S467" t="s">
        <v>469</v>
      </c>
      <c r="T467" t="s">
        <v>467</v>
      </c>
      <c r="U467" t="s">
        <v>595</v>
      </c>
      <c r="V467">
        <v>138.96474357729718</v>
      </c>
    </row>
    <row r="468" spans="16:22" x14ac:dyDescent="0.25">
      <c r="P468" t="s">
        <v>470</v>
      </c>
      <c r="Q468">
        <v>2035</v>
      </c>
      <c r="R468">
        <v>4</v>
      </c>
      <c r="S468" t="s">
        <v>469</v>
      </c>
      <c r="T468" t="s">
        <v>467</v>
      </c>
      <c r="U468" t="s">
        <v>596</v>
      </c>
      <c r="V468">
        <v>50.994710143010515</v>
      </c>
    </row>
    <row r="469" spans="16:22" x14ac:dyDescent="0.25">
      <c r="P469" t="s">
        <v>470</v>
      </c>
      <c r="Q469">
        <v>2035</v>
      </c>
      <c r="R469">
        <v>4</v>
      </c>
      <c r="S469" t="s">
        <v>469</v>
      </c>
      <c r="T469" t="s">
        <v>467</v>
      </c>
      <c r="U469" t="s">
        <v>597</v>
      </c>
      <c r="V469">
        <v>0</v>
      </c>
    </row>
    <row r="470" spans="16:22" x14ac:dyDescent="0.25">
      <c r="P470" t="s">
        <v>470</v>
      </c>
      <c r="Q470">
        <v>2035</v>
      </c>
      <c r="R470">
        <v>4</v>
      </c>
      <c r="S470" t="s">
        <v>469</v>
      </c>
      <c r="T470" t="s">
        <v>467</v>
      </c>
      <c r="U470" t="s">
        <v>598</v>
      </c>
      <c r="V470">
        <v>1.0205422238471658E-10</v>
      </c>
    </row>
    <row r="471" spans="16:22" x14ac:dyDescent="0.25">
      <c r="P471" t="s">
        <v>470</v>
      </c>
      <c r="Q471">
        <v>2035</v>
      </c>
      <c r="R471">
        <v>4</v>
      </c>
      <c r="S471" t="s">
        <v>469</v>
      </c>
      <c r="T471" t="s">
        <v>468</v>
      </c>
      <c r="U471" t="s">
        <v>592</v>
      </c>
      <c r="V471">
        <v>41.24720907441997</v>
      </c>
    </row>
    <row r="472" spans="16:22" x14ac:dyDescent="0.25">
      <c r="P472" t="s">
        <v>470</v>
      </c>
      <c r="Q472">
        <v>2035</v>
      </c>
      <c r="R472">
        <v>4</v>
      </c>
      <c r="S472" t="s">
        <v>469</v>
      </c>
      <c r="T472" t="s">
        <v>468</v>
      </c>
      <c r="U472" t="s">
        <v>593</v>
      </c>
      <c r="V472">
        <v>311.65678471678405</v>
      </c>
    </row>
    <row r="473" spans="16:22" x14ac:dyDescent="0.25">
      <c r="P473" t="s">
        <v>470</v>
      </c>
      <c r="Q473">
        <v>2035</v>
      </c>
      <c r="R473">
        <v>4</v>
      </c>
      <c r="S473" t="s">
        <v>469</v>
      </c>
      <c r="T473" t="s">
        <v>468</v>
      </c>
      <c r="U473" t="s">
        <v>594</v>
      </c>
      <c r="V473">
        <v>0</v>
      </c>
    </row>
    <row r="474" spans="16:22" x14ac:dyDescent="0.25">
      <c r="P474" t="s">
        <v>470</v>
      </c>
      <c r="Q474">
        <v>2035</v>
      </c>
      <c r="R474">
        <v>4</v>
      </c>
      <c r="S474" t="s">
        <v>469</v>
      </c>
      <c r="T474" t="s">
        <v>468</v>
      </c>
      <c r="U474" t="s">
        <v>595</v>
      </c>
      <c r="V474">
        <v>138.96474357729718</v>
      </c>
    </row>
    <row r="475" spans="16:22" x14ac:dyDescent="0.25">
      <c r="P475" t="s">
        <v>470</v>
      </c>
      <c r="Q475">
        <v>2035</v>
      </c>
      <c r="R475">
        <v>4</v>
      </c>
      <c r="S475" t="s">
        <v>469</v>
      </c>
      <c r="T475" t="s">
        <v>468</v>
      </c>
      <c r="U475" t="s">
        <v>596</v>
      </c>
      <c r="V475">
        <v>50.994710143010515</v>
      </c>
    </row>
    <row r="476" spans="16:22" x14ac:dyDescent="0.25">
      <c r="P476" t="s">
        <v>470</v>
      </c>
      <c r="Q476">
        <v>2035</v>
      </c>
      <c r="R476">
        <v>4</v>
      </c>
      <c r="S476" t="s">
        <v>469</v>
      </c>
      <c r="T476" t="s">
        <v>468</v>
      </c>
      <c r="U476" t="s">
        <v>597</v>
      </c>
      <c r="V476">
        <v>0</v>
      </c>
    </row>
    <row r="477" spans="16:22" x14ac:dyDescent="0.25">
      <c r="P477" t="s">
        <v>470</v>
      </c>
      <c r="Q477">
        <v>2035</v>
      </c>
      <c r="R477">
        <v>4</v>
      </c>
      <c r="S477" t="s">
        <v>469</v>
      </c>
      <c r="T477" t="s">
        <v>468</v>
      </c>
      <c r="U477" t="s">
        <v>598</v>
      </c>
      <c r="V477">
        <v>1.0205422238471658E-10</v>
      </c>
    </row>
    <row r="478" spans="16:22" x14ac:dyDescent="0.25">
      <c r="P478" t="s">
        <v>470</v>
      </c>
      <c r="Q478">
        <v>2050</v>
      </c>
      <c r="R478">
        <v>4</v>
      </c>
      <c r="S478" t="s">
        <v>466</v>
      </c>
      <c r="T478" t="s">
        <v>467</v>
      </c>
      <c r="U478" t="s">
        <v>592</v>
      </c>
      <c r="V478">
        <v>67.579418148830513</v>
      </c>
    </row>
    <row r="479" spans="16:22" x14ac:dyDescent="0.25">
      <c r="P479" t="s">
        <v>470</v>
      </c>
      <c r="Q479">
        <v>2050</v>
      </c>
      <c r="R479">
        <v>4</v>
      </c>
      <c r="S479" t="s">
        <v>466</v>
      </c>
      <c r="T479" t="s">
        <v>467</v>
      </c>
      <c r="U479" t="s">
        <v>593</v>
      </c>
      <c r="V479">
        <v>392.11356943448055</v>
      </c>
    </row>
    <row r="480" spans="16:22" x14ac:dyDescent="0.25">
      <c r="P480" t="s">
        <v>470</v>
      </c>
      <c r="Q480">
        <v>2050</v>
      </c>
      <c r="R480">
        <v>4</v>
      </c>
      <c r="S480" t="s">
        <v>466</v>
      </c>
      <c r="T480" t="s">
        <v>467</v>
      </c>
      <c r="U480" t="s">
        <v>594</v>
      </c>
      <c r="V480">
        <v>0</v>
      </c>
    </row>
    <row r="481" spans="16:22" x14ac:dyDescent="0.25">
      <c r="P481" t="s">
        <v>470</v>
      </c>
      <c r="Q481">
        <v>2050</v>
      </c>
      <c r="R481">
        <v>4</v>
      </c>
      <c r="S481" t="s">
        <v>466</v>
      </c>
      <c r="T481" t="s">
        <v>467</v>
      </c>
      <c r="U481" t="s">
        <v>595</v>
      </c>
      <c r="V481">
        <v>17.600178738034419</v>
      </c>
    </row>
    <row r="482" spans="16:22" x14ac:dyDescent="0.25">
      <c r="P482" t="s">
        <v>470</v>
      </c>
      <c r="Q482">
        <v>2050</v>
      </c>
      <c r="R482">
        <v>4</v>
      </c>
      <c r="S482" t="s">
        <v>466</v>
      </c>
      <c r="T482" t="s">
        <v>467</v>
      </c>
      <c r="U482" t="s">
        <v>596</v>
      </c>
      <c r="V482">
        <v>3.7764703324146759E-10</v>
      </c>
    </row>
    <row r="483" spans="16:22" x14ac:dyDescent="0.25">
      <c r="P483" t="s">
        <v>470</v>
      </c>
      <c r="Q483">
        <v>2050</v>
      </c>
      <c r="R483">
        <v>4</v>
      </c>
      <c r="S483" t="s">
        <v>466</v>
      </c>
      <c r="T483" t="s">
        <v>467</v>
      </c>
      <c r="U483" t="s">
        <v>597</v>
      </c>
      <c r="V483">
        <v>0</v>
      </c>
    </row>
    <row r="484" spans="16:22" x14ac:dyDescent="0.25">
      <c r="P484" t="s">
        <v>470</v>
      </c>
      <c r="Q484">
        <v>2050</v>
      </c>
      <c r="R484">
        <v>4</v>
      </c>
      <c r="S484" t="s">
        <v>466</v>
      </c>
      <c r="T484" t="s">
        <v>467</v>
      </c>
      <c r="U484" t="s">
        <v>598</v>
      </c>
      <c r="V484">
        <v>8.1403624709828754E-11</v>
      </c>
    </row>
    <row r="485" spans="16:22" x14ac:dyDescent="0.25">
      <c r="P485" t="s">
        <v>470</v>
      </c>
      <c r="Q485">
        <v>2050</v>
      </c>
      <c r="R485">
        <v>4</v>
      </c>
      <c r="S485" t="s">
        <v>466</v>
      </c>
      <c r="T485" t="s">
        <v>468</v>
      </c>
      <c r="U485" t="s">
        <v>592</v>
      </c>
      <c r="V485">
        <v>67.579418148830513</v>
      </c>
    </row>
    <row r="486" spans="16:22" x14ac:dyDescent="0.25">
      <c r="P486" t="s">
        <v>470</v>
      </c>
      <c r="Q486">
        <v>2050</v>
      </c>
      <c r="R486">
        <v>4</v>
      </c>
      <c r="S486" t="s">
        <v>466</v>
      </c>
      <c r="T486" t="s">
        <v>468</v>
      </c>
      <c r="U486" t="s">
        <v>593</v>
      </c>
      <c r="V486">
        <v>392.11356943448055</v>
      </c>
    </row>
    <row r="487" spans="16:22" x14ac:dyDescent="0.25">
      <c r="P487" t="s">
        <v>470</v>
      </c>
      <c r="Q487">
        <v>2050</v>
      </c>
      <c r="R487">
        <v>4</v>
      </c>
      <c r="S487" t="s">
        <v>466</v>
      </c>
      <c r="T487" t="s">
        <v>468</v>
      </c>
      <c r="U487" t="s">
        <v>594</v>
      </c>
      <c r="V487">
        <v>0</v>
      </c>
    </row>
    <row r="488" spans="16:22" x14ac:dyDescent="0.25">
      <c r="P488" t="s">
        <v>470</v>
      </c>
      <c r="Q488">
        <v>2050</v>
      </c>
      <c r="R488">
        <v>4</v>
      </c>
      <c r="S488" t="s">
        <v>466</v>
      </c>
      <c r="T488" t="s">
        <v>468</v>
      </c>
      <c r="U488" t="s">
        <v>595</v>
      </c>
      <c r="V488">
        <v>17.600178738034419</v>
      </c>
    </row>
    <row r="489" spans="16:22" x14ac:dyDescent="0.25">
      <c r="P489" t="s">
        <v>470</v>
      </c>
      <c r="Q489">
        <v>2050</v>
      </c>
      <c r="R489">
        <v>4</v>
      </c>
      <c r="S489" t="s">
        <v>466</v>
      </c>
      <c r="T489" t="s">
        <v>468</v>
      </c>
      <c r="U489" t="s">
        <v>596</v>
      </c>
      <c r="V489">
        <v>3.7764703324146759E-10</v>
      </c>
    </row>
    <row r="490" spans="16:22" x14ac:dyDescent="0.25">
      <c r="P490" t="s">
        <v>470</v>
      </c>
      <c r="Q490">
        <v>2050</v>
      </c>
      <c r="R490">
        <v>4</v>
      </c>
      <c r="S490" t="s">
        <v>466</v>
      </c>
      <c r="T490" t="s">
        <v>468</v>
      </c>
      <c r="U490" t="s">
        <v>597</v>
      </c>
      <c r="V490">
        <v>0</v>
      </c>
    </row>
    <row r="491" spans="16:22" x14ac:dyDescent="0.25">
      <c r="P491" t="s">
        <v>470</v>
      </c>
      <c r="Q491">
        <v>2050</v>
      </c>
      <c r="R491">
        <v>4</v>
      </c>
      <c r="S491" t="s">
        <v>466</v>
      </c>
      <c r="T491" t="s">
        <v>468</v>
      </c>
      <c r="U491" t="s">
        <v>598</v>
      </c>
      <c r="V491">
        <v>8.1403624709828754E-11</v>
      </c>
    </row>
    <row r="492" spans="16:22" x14ac:dyDescent="0.25">
      <c r="P492" t="s">
        <v>470</v>
      </c>
      <c r="Q492">
        <v>2050</v>
      </c>
      <c r="R492">
        <v>4</v>
      </c>
      <c r="S492" t="s">
        <v>469</v>
      </c>
      <c r="T492" t="s">
        <v>467</v>
      </c>
      <c r="U492" t="s">
        <v>592</v>
      </c>
      <c r="V492">
        <v>67.579418148827656</v>
      </c>
    </row>
    <row r="493" spans="16:22" x14ac:dyDescent="0.25">
      <c r="P493" t="s">
        <v>470</v>
      </c>
      <c r="Q493">
        <v>2050</v>
      </c>
      <c r="R493">
        <v>4</v>
      </c>
      <c r="S493" t="s">
        <v>469</v>
      </c>
      <c r="T493" t="s">
        <v>467</v>
      </c>
      <c r="U493" t="s">
        <v>593</v>
      </c>
      <c r="V493">
        <v>392.11356943447208</v>
      </c>
    </row>
    <row r="494" spans="16:22" x14ac:dyDescent="0.25">
      <c r="P494" t="s">
        <v>470</v>
      </c>
      <c r="Q494">
        <v>2050</v>
      </c>
      <c r="R494">
        <v>4</v>
      </c>
      <c r="S494" t="s">
        <v>469</v>
      </c>
      <c r="T494" t="s">
        <v>467</v>
      </c>
      <c r="U494" t="s">
        <v>594</v>
      </c>
      <c r="V494">
        <v>0</v>
      </c>
    </row>
    <row r="495" spans="16:22" x14ac:dyDescent="0.25">
      <c r="P495" t="s">
        <v>470</v>
      </c>
      <c r="Q495">
        <v>2050</v>
      </c>
      <c r="R495">
        <v>4</v>
      </c>
      <c r="S495" t="s">
        <v>469</v>
      </c>
      <c r="T495" t="s">
        <v>467</v>
      </c>
      <c r="U495" t="s">
        <v>595</v>
      </c>
      <c r="V495">
        <v>17.607377569642246</v>
      </c>
    </row>
    <row r="496" spans="16:22" x14ac:dyDescent="0.25">
      <c r="P496" t="s">
        <v>470</v>
      </c>
      <c r="Q496">
        <v>2050</v>
      </c>
      <c r="R496">
        <v>4</v>
      </c>
      <c r="S496" t="s">
        <v>469</v>
      </c>
      <c r="T496" t="s">
        <v>467</v>
      </c>
      <c r="U496" t="s">
        <v>596</v>
      </c>
      <c r="V496">
        <v>4.3751894408463119E-10</v>
      </c>
    </row>
    <row r="497" spans="16:22" x14ac:dyDescent="0.25">
      <c r="P497" t="s">
        <v>470</v>
      </c>
      <c r="Q497">
        <v>2050</v>
      </c>
      <c r="R497">
        <v>4</v>
      </c>
      <c r="S497" t="s">
        <v>469</v>
      </c>
      <c r="T497" t="s">
        <v>467</v>
      </c>
      <c r="U497" t="s">
        <v>597</v>
      </c>
      <c r="V497">
        <v>0</v>
      </c>
    </row>
    <row r="498" spans="16:22" x14ac:dyDescent="0.25">
      <c r="P498" t="s">
        <v>470</v>
      </c>
      <c r="Q498">
        <v>2050</v>
      </c>
      <c r="R498">
        <v>4</v>
      </c>
      <c r="S498" t="s">
        <v>469</v>
      </c>
      <c r="T498" t="s">
        <v>467</v>
      </c>
      <c r="U498" t="s">
        <v>598</v>
      </c>
      <c r="V498">
        <v>9.4324674702181719E-11</v>
      </c>
    </row>
    <row r="499" spans="16:22" x14ac:dyDescent="0.25">
      <c r="P499" t="s">
        <v>470</v>
      </c>
      <c r="Q499">
        <v>2050</v>
      </c>
      <c r="R499">
        <v>4</v>
      </c>
      <c r="S499" t="s">
        <v>469</v>
      </c>
      <c r="T499" t="s">
        <v>468</v>
      </c>
      <c r="U499" t="s">
        <v>592</v>
      </c>
      <c r="V499">
        <v>67.579418148827656</v>
      </c>
    </row>
    <row r="500" spans="16:22" x14ac:dyDescent="0.25">
      <c r="P500" t="s">
        <v>470</v>
      </c>
      <c r="Q500">
        <v>2050</v>
      </c>
      <c r="R500">
        <v>4</v>
      </c>
      <c r="S500" t="s">
        <v>469</v>
      </c>
      <c r="T500" t="s">
        <v>468</v>
      </c>
      <c r="U500" t="s">
        <v>593</v>
      </c>
      <c r="V500">
        <v>392.11356943447208</v>
      </c>
    </row>
    <row r="501" spans="16:22" x14ac:dyDescent="0.25">
      <c r="P501" t="s">
        <v>470</v>
      </c>
      <c r="Q501">
        <v>2050</v>
      </c>
      <c r="R501">
        <v>4</v>
      </c>
      <c r="S501" t="s">
        <v>469</v>
      </c>
      <c r="T501" t="s">
        <v>468</v>
      </c>
      <c r="U501" t="s">
        <v>594</v>
      </c>
      <c r="V501">
        <v>0</v>
      </c>
    </row>
    <row r="502" spans="16:22" x14ac:dyDescent="0.25">
      <c r="P502" t="s">
        <v>470</v>
      </c>
      <c r="Q502">
        <v>2050</v>
      </c>
      <c r="R502">
        <v>4</v>
      </c>
      <c r="S502" t="s">
        <v>469</v>
      </c>
      <c r="T502" t="s">
        <v>468</v>
      </c>
      <c r="U502" t="s">
        <v>595</v>
      </c>
      <c r="V502">
        <v>17.607377569642246</v>
      </c>
    </row>
    <row r="503" spans="16:22" x14ac:dyDescent="0.25">
      <c r="P503" t="s">
        <v>470</v>
      </c>
      <c r="Q503">
        <v>2050</v>
      </c>
      <c r="R503">
        <v>4</v>
      </c>
      <c r="S503" t="s">
        <v>469</v>
      </c>
      <c r="T503" t="s">
        <v>468</v>
      </c>
      <c r="U503" t="s">
        <v>596</v>
      </c>
      <c r="V503">
        <v>4.3751894408463119E-10</v>
      </c>
    </row>
    <row r="504" spans="16:22" x14ac:dyDescent="0.25">
      <c r="P504" t="s">
        <v>470</v>
      </c>
      <c r="Q504">
        <v>2050</v>
      </c>
      <c r="R504">
        <v>4</v>
      </c>
      <c r="S504" t="s">
        <v>469</v>
      </c>
      <c r="T504" t="s">
        <v>468</v>
      </c>
      <c r="U504" t="s">
        <v>597</v>
      </c>
      <c r="V504">
        <v>0</v>
      </c>
    </row>
    <row r="505" spans="16:22" x14ac:dyDescent="0.25">
      <c r="P505" t="s">
        <v>470</v>
      </c>
      <c r="Q505">
        <v>2050</v>
      </c>
      <c r="R505">
        <v>4</v>
      </c>
      <c r="S505" t="s">
        <v>469</v>
      </c>
      <c r="T505" t="s">
        <v>468</v>
      </c>
      <c r="U505" t="s">
        <v>598</v>
      </c>
      <c r="V505">
        <v>9.4324674702181719E-11</v>
      </c>
    </row>
    <row r="506" spans="16:22" x14ac:dyDescent="0.25">
      <c r="P506" t="s">
        <v>470</v>
      </c>
      <c r="Q506">
        <v>2035</v>
      </c>
      <c r="R506">
        <v>5</v>
      </c>
      <c r="S506" t="s">
        <v>466</v>
      </c>
      <c r="T506" t="s">
        <v>467</v>
      </c>
      <c r="U506" t="s">
        <v>592</v>
      </c>
      <c r="V506">
        <v>539.8428057368867</v>
      </c>
    </row>
    <row r="507" spans="16:22" x14ac:dyDescent="0.25">
      <c r="P507" t="s">
        <v>470</v>
      </c>
      <c r="Q507">
        <v>2035</v>
      </c>
      <c r="R507">
        <v>5</v>
      </c>
      <c r="S507" t="s">
        <v>466</v>
      </c>
      <c r="T507" t="s">
        <v>467</v>
      </c>
      <c r="U507" t="s">
        <v>593</v>
      </c>
      <c r="V507">
        <v>268.8553476441582</v>
      </c>
    </row>
    <row r="508" spans="16:22" x14ac:dyDescent="0.25">
      <c r="P508" t="s">
        <v>470</v>
      </c>
      <c r="Q508">
        <v>2035</v>
      </c>
      <c r="R508">
        <v>5</v>
      </c>
      <c r="S508" t="s">
        <v>466</v>
      </c>
      <c r="T508" t="s">
        <v>467</v>
      </c>
      <c r="U508" t="s">
        <v>594</v>
      </c>
      <c r="V508">
        <v>251.89002161493767</v>
      </c>
    </row>
    <row r="509" spans="16:22" x14ac:dyDescent="0.25">
      <c r="P509" t="s">
        <v>470</v>
      </c>
      <c r="Q509">
        <v>2035</v>
      </c>
      <c r="R509">
        <v>5</v>
      </c>
      <c r="S509" t="s">
        <v>466</v>
      </c>
      <c r="T509" t="s">
        <v>467</v>
      </c>
      <c r="U509" t="s">
        <v>595</v>
      </c>
      <c r="V509">
        <v>124.04656762106337</v>
      </c>
    </row>
    <row r="510" spans="16:22" x14ac:dyDescent="0.25">
      <c r="P510" t="s">
        <v>470</v>
      </c>
      <c r="Q510">
        <v>2035</v>
      </c>
      <c r="R510">
        <v>5</v>
      </c>
      <c r="S510" t="s">
        <v>466</v>
      </c>
      <c r="T510" t="s">
        <v>467</v>
      </c>
      <c r="U510" t="s">
        <v>596</v>
      </c>
      <c r="V510">
        <v>72.814017405571434</v>
      </c>
    </row>
    <row r="511" spans="16:22" x14ac:dyDescent="0.25">
      <c r="P511" t="s">
        <v>470</v>
      </c>
      <c r="Q511">
        <v>2035</v>
      </c>
      <c r="R511">
        <v>5</v>
      </c>
      <c r="S511" t="s">
        <v>466</v>
      </c>
      <c r="T511" t="s">
        <v>467</v>
      </c>
      <c r="U511" t="s">
        <v>597</v>
      </c>
      <c r="V511">
        <v>162.76915423005255</v>
      </c>
    </row>
    <row r="512" spans="16:22" x14ac:dyDescent="0.25">
      <c r="P512" t="s">
        <v>470</v>
      </c>
      <c r="Q512">
        <v>2035</v>
      </c>
      <c r="R512">
        <v>5</v>
      </c>
      <c r="S512" t="s">
        <v>466</v>
      </c>
      <c r="T512" t="s">
        <v>467</v>
      </c>
      <c r="U512" t="s">
        <v>598</v>
      </c>
      <c r="V512">
        <v>928.48496606022729</v>
      </c>
    </row>
    <row r="513" spans="16:22" x14ac:dyDescent="0.25">
      <c r="P513" t="s">
        <v>470</v>
      </c>
      <c r="Q513">
        <v>2035</v>
      </c>
      <c r="R513">
        <v>5</v>
      </c>
      <c r="S513" t="s">
        <v>466</v>
      </c>
      <c r="T513" t="s">
        <v>468</v>
      </c>
      <c r="U513" t="s">
        <v>592</v>
      </c>
      <c r="V513">
        <v>539.8428057368867</v>
      </c>
    </row>
    <row r="514" spans="16:22" x14ac:dyDescent="0.25">
      <c r="P514" t="s">
        <v>470</v>
      </c>
      <c r="Q514">
        <v>2035</v>
      </c>
      <c r="R514">
        <v>5</v>
      </c>
      <c r="S514" t="s">
        <v>466</v>
      </c>
      <c r="T514" t="s">
        <v>468</v>
      </c>
      <c r="U514" t="s">
        <v>593</v>
      </c>
      <c r="V514">
        <v>268.8553476441582</v>
      </c>
    </row>
    <row r="515" spans="16:22" x14ac:dyDescent="0.25">
      <c r="P515" t="s">
        <v>470</v>
      </c>
      <c r="Q515">
        <v>2035</v>
      </c>
      <c r="R515">
        <v>5</v>
      </c>
      <c r="S515" t="s">
        <v>466</v>
      </c>
      <c r="T515" t="s">
        <v>468</v>
      </c>
      <c r="U515" t="s">
        <v>594</v>
      </c>
      <c r="V515">
        <v>251.89002161493767</v>
      </c>
    </row>
    <row r="516" spans="16:22" x14ac:dyDescent="0.25">
      <c r="P516" t="s">
        <v>470</v>
      </c>
      <c r="Q516">
        <v>2035</v>
      </c>
      <c r="R516">
        <v>5</v>
      </c>
      <c r="S516" t="s">
        <v>466</v>
      </c>
      <c r="T516" t="s">
        <v>468</v>
      </c>
      <c r="U516" t="s">
        <v>595</v>
      </c>
      <c r="V516">
        <v>124.04656762106337</v>
      </c>
    </row>
    <row r="517" spans="16:22" x14ac:dyDescent="0.25">
      <c r="P517" t="s">
        <v>470</v>
      </c>
      <c r="Q517">
        <v>2035</v>
      </c>
      <c r="R517">
        <v>5</v>
      </c>
      <c r="S517" t="s">
        <v>466</v>
      </c>
      <c r="T517" t="s">
        <v>468</v>
      </c>
      <c r="U517" t="s">
        <v>596</v>
      </c>
      <c r="V517">
        <v>72.814017405571434</v>
      </c>
    </row>
    <row r="518" spans="16:22" x14ac:dyDescent="0.25">
      <c r="P518" t="s">
        <v>470</v>
      </c>
      <c r="Q518">
        <v>2035</v>
      </c>
      <c r="R518">
        <v>5</v>
      </c>
      <c r="S518" t="s">
        <v>466</v>
      </c>
      <c r="T518" t="s">
        <v>468</v>
      </c>
      <c r="U518" t="s">
        <v>597</v>
      </c>
      <c r="V518">
        <v>162.76915423005255</v>
      </c>
    </row>
    <row r="519" spans="16:22" x14ac:dyDescent="0.25">
      <c r="P519" t="s">
        <v>470</v>
      </c>
      <c r="Q519">
        <v>2035</v>
      </c>
      <c r="R519">
        <v>5</v>
      </c>
      <c r="S519" t="s">
        <v>466</v>
      </c>
      <c r="T519" t="s">
        <v>468</v>
      </c>
      <c r="U519" t="s">
        <v>598</v>
      </c>
      <c r="V519">
        <v>928.48496606022729</v>
      </c>
    </row>
    <row r="520" spans="16:22" x14ac:dyDescent="0.25">
      <c r="P520" t="s">
        <v>470</v>
      </c>
      <c r="Q520">
        <v>2035</v>
      </c>
      <c r="R520">
        <v>5</v>
      </c>
      <c r="S520" t="s">
        <v>469</v>
      </c>
      <c r="T520" t="s">
        <v>467</v>
      </c>
      <c r="U520" t="s">
        <v>592</v>
      </c>
      <c r="V520">
        <v>365.74757489314226</v>
      </c>
    </row>
    <row r="521" spans="16:22" x14ac:dyDescent="0.25">
      <c r="P521" t="s">
        <v>470</v>
      </c>
      <c r="Q521">
        <v>2035</v>
      </c>
      <c r="R521">
        <v>5</v>
      </c>
      <c r="S521" t="s">
        <v>469</v>
      </c>
      <c r="T521" t="s">
        <v>467</v>
      </c>
      <c r="U521" t="s">
        <v>593</v>
      </c>
      <c r="V521">
        <v>222.73722176761726</v>
      </c>
    </row>
    <row r="522" spans="16:22" x14ac:dyDescent="0.25">
      <c r="P522" t="s">
        <v>470</v>
      </c>
      <c r="Q522">
        <v>2035</v>
      </c>
      <c r="R522">
        <v>5</v>
      </c>
      <c r="S522" t="s">
        <v>469</v>
      </c>
      <c r="T522" t="s">
        <v>467</v>
      </c>
      <c r="U522" t="s">
        <v>594</v>
      </c>
      <c r="V522">
        <v>251.99605772234224</v>
      </c>
    </row>
    <row r="523" spans="16:22" x14ac:dyDescent="0.25">
      <c r="P523" t="s">
        <v>470</v>
      </c>
      <c r="Q523">
        <v>2035</v>
      </c>
      <c r="R523">
        <v>5</v>
      </c>
      <c r="S523" t="s">
        <v>469</v>
      </c>
      <c r="T523" t="s">
        <v>467</v>
      </c>
      <c r="U523" t="s">
        <v>595</v>
      </c>
      <c r="V523">
        <v>164.85959582277493</v>
      </c>
    </row>
    <row r="524" spans="16:22" x14ac:dyDescent="0.25">
      <c r="P524" t="s">
        <v>470</v>
      </c>
      <c r="Q524">
        <v>2035</v>
      </c>
      <c r="R524">
        <v>5</v>
      </c>
      <c r="S524" t="s">
        <v>469</v>
      </c>
      <c r="T524" t="s">
        <v>467</v>
      </c>
      <c r="U524" t="s">
        <v>596</v>
      </c>
      <c r="V524">
        <v>125.88685739413913</v>
      </c>
    </row>
    <row r="525" spans="16:22" x14ac:dyDescent="0.25">
      <c r="P525" t="s">
        <v>470</v>
      </c>
      <c r="Q525">
        <v>2035</v>
      </c>
      <c r="R525">
        <v>5</v>
      </c>
      <c r="S525" t="s">
        <v>469</v>
      </c>
      <c r="T525" t="s">
        <v>467</v>
      </c>
      <c r="U525" t="s">
        <v>597</v>
      </c>
      <c r="V525">
        <v>226.18966694153431</v>
      </c>
    </row>
    <row r="526" spans="16:22" x14ac:dyDescent="0.25">
      <c r="P526" t="s">
        <v>470</v>
      </c>
      <c r="Q526">
        <v>2035</v>
      </c>
      <c r="R526">
        <v>5</v>
      </c>
      <c r="S526" t="s">
        <v>469</v>
      </c>
      <c r="T526" t="s">
        <v>467</v>
      </c>
      <c r="U526" t="s">
        <v>598</v>
      </c>
      <c r="V526">
        <v>1026.5860264724954</v>
      </c>
    </row>
    <row r="527" spans="16:22" x14ac:dyDescent="0.25">
      <c r="P527" t="s">
        <v>470</v>
      </c>
      <c r="Q527">
        <v>2035</v>
      </c>
      <c r="R527">
        <v>5</v>
      </c>
      <c r="S527" t="s">
        <v>469</v>
      </c>
      <c r="T527" t="s">
        <v>468</v>
      </c>
      <c r="U527" t="s">
        <v>592</v>
      </c>
      <c r="V527">
        <v>365.74757489314226</v>
      </c>
    </row>
    <row r="528" spans="16:22" x14ac:dyDescent="0.25">
      <c r="P528" t="s">
        <v>470</v>
      </c>
      <c r="Q528">
        <v>2035</v>
      </c>
      <c r="R528">
        <v>5</v>
      </c>
      <c r="S528" t="s">
        <v>469</v>
      </c>
      <c r="T528" t="s">
        <v>468</v>
      </c>
      <c r="U528" t="s">
        <v>593</v>
      </c>
      <c r="V528">
        <v>222.73722176761726</v>
      </c>
    </row>
    <row r="529" spans="16:22" x14ac:dyDescent="0.25">
      <c r="P529" t="s">
        <v>470</v>
      </c>
      <c r="Q529">
        <v>2035</v>
      </c>
      <c r="R529">
        <v>5</v>
      </c>
      <c r="S529" t="s">
        <v>469</v>
      </c>
      <c r="T529" t="s">
        <v>468</v>
      </c>
      <c r="U529" t="s">
        <v>594</v>
      </c>
      <c r="V529">
        <v>251.99605772234224</v>
      </c>
    </row>
    <row r="530" spans="16:22" x14ac:dyDescent="0.25">
      <c r="P530" t="s">
        <v>470</v>
      </c>
      <c r="Q530">
        <v>2035</v>
      </c>
      <c r="R530">
        <v>5</v>
      </c>
      <c r="S530" t="s">
        <v>469</v>
      </c>
      <c r="T530" t="s">
        <v>468</v>
      </c>
      <c r="U530" t="s">
        <v>595</v>
      </c>
      <c r="V530">
        <v>164.85959582277493</v>
      </c>
    </row>
    <row r="531" spans="16:22" x14ac:dyDescent="0.25">
      <c r="P531" t="s">
        <v>470</v>
      </c>
      <c r="Q531">
        <v>2035</v>
      </c>
      <c r="R531">
        <v>5</v>
      </c>
      <c r="S531" t="s">
        <v>469</v>
      </c>
      <c r="T531" t="s">
        <v>468</v>
      </c>
      <c r="U531" t="s">
        <v>596</v>
      </c>
      <c r="V531">
        <v>125.88685739413913</v>
      </c>
    </row>
    <row r="532" spans="16:22" x14ac:dyDescent="0.25">
      <c r="P532" t="s">
        <v>470</v>
      </c>
      <c r="Q532">
        <v>2035</v>
      </c>
      <c r="R532">
        <v>5</v>
      </c>
      <c r="S532" t="s">
        <v>469</v>
      </c>
      <c r="T532" t="s">
        <v>468</v>
      </c>
      <c r="U532" t="s">
        <v>597</v>
      </c>
      <c r="V532">
        <v>226.18966694153431</v>
      </c>
    </row>
    <row r="533" spans="16:22" x14ac:dyDescent="0.25">
      <c r="P533" t="s">
        <v>470</v>
      </c>
      <c r="Q533">
        <v>2035</v>
      </c>
      <c r="R533">
        <v>5</v>
      </c>
      <c r="S533" t="s">
        <v>469</v>
      </c>
      <c r="T533" t="s">
        <v>468</v>
      </c>
      <c r="U533" t="s">
        <v>598</v>
      </c>
      <c r="V533">
        <v>1026.5860264724954</v>
      </c>
    </row>
    <row r="534" spans="16:22" x14ac:dyDescent="0.25">
      <c r="P534" t="s">
        <v>470</v>
      </c>
      <c r="Q534">
        <v>2050</v>
      </c>
      <c r="R534">
        <v>5</v>
      </c>
      <c r="S534" t="s">
        <v>466</v>
      </c>
      <c r="T534" t="s">
        <v>467</v>
      </c>
      <c r="U534" t="s">
        <v>592</v>
      </c>
      <c r="V534">
        <v>272.53960529040938</v>
      </c>
    </row>
    <row r="535" spans="16:22" x14ac:dyDescent="0.25">
      <c r="P535" t="s">
        <v>470</v>
      </c>
      <c r="Q535">
        <v>2050</v>
      </c>
      <c r="R535">
        <v>5</v>
      </c>
      <c r="S535" t="s">
        <v>466</v>
      </c>
      <c r="T535" t="s">
        <v>467</v>
      </c>
      <c r="U535" t="s">
        <v>593</v>
      </c>
      <c r="V535">
        <v>190.60571575620398</v>
      </c>
    </row>
    <row r="536" spans="16:22" x14ac:dyDescent="0.25">
      <c r="P536" t="s">
        <v>470</v>
      </c>
      <c r="Q536">
        <v>2050</v>
      </c>
      <c r="R536">
        <v>5</v>
      </c>
      <c r="S536" t="s">
        <v>466</v>
      </c>
      <c r="T536" t="s">
        <v>467</v>
      </c>
      <c r="U536" t="s">
        <v>594</v>
      </c>
      <c r="V536">
        <v>229.30794781081246</v>
      </c>
    </row>
    <row r="537" spans="16:22" x14ac:dyDescent="0.25">
      <c r="P537" t="s">
        <v>470</v>
      </c>
      <c r="Q537">
        <v>2050</v>
      </c>
      <c r="R537">
        <v>5</v>
      </c>
      <c r="S537" t="s">
        <v>466</v>
      </c>
      <c r="T537" t="s">
        <v>467</v>
      </c>
      <c r="U537" t="s">
        <v>595</v>
      </c>
      <c r="V537">
        <v>162.4968393887327</v>
      </c>
    </row>
    <row r="538" spans="16:22" x14ac:dyDescent="0.25">
      <c r="P538" t="s">
        <v>470</v>
      </c>
      <c r="Q538">
        <v>2050</v>
      </c>
      <c r="R538">
        <v>5</v>
      </c>
      <c r="S538" t="s">
        <v>466</v>
      </c>
      <c r="T538" t="s">
        <v>467</v>
      </c>
      <c r="U538" t="s">
        <v>596</v>
      </c>
      <c r="V538">
        <v>130.49487719873093</v>
      </c>
    </row>
    <row r="539" spans="16:22" x14ac:dyDescent="0.25">
      <c r="P539" t="s">
        <v>470</v>
      </c>
      <c r="Q539">
        <v>2050</v>
      </c>
      <c r="R539">
        <v>5</v>
      </c>
      <c r="S539" t="s">
        <v>466</v>
      </c>
      <c r="T539" t="s">
        <v>467</v>
      </c>
      <c r="U539" t="s">
        <v>597</v>
      </c>
      <c r="V539">
        <v>224.69661313757791</v>
      </c>
    </row>
    <row r="540" spans="16:22" x14ac:dyDescent="0.25">
      <c r="P540" t="s">
        <v>470</v>
      </c>
      <c r="Q540">
        <v>2050</v>
      </c>
      <c r="R540">
        <v>5</v>
      </c>
      <c r="S540" t="s">
        <v>466</v>
      </c>
      <c r="T540" t="s">
        <v>467</v>
      </c>
      <c r="U540" t="s">
        <v>598</v>
      </c>
      <c r="V540">
        <v>962.94210528132885</v>
      </c>
    </row>
    <row r="541" spans="16:22" x14ac:dyDescent="0.25">
      <c r="P541" t="s">
        <v>470</v>
      </c>
      <c r="Q541">
        <v>2050</v>
      </c>
      <c r="R541">
        <v>5</v>
      </c>
      <c r="S541" t="s">
        <v>466</v>
      </c>
      <c r="T541" t="s">
        <v>468</v>
      </c>
      <c r="U541" t="s">
        <v>592</v>
      </c>
      <c r="V541">
        <v>272.53960529040938</v>
      </c>
    </row>
    <row r="542" spans="16:22" x14ac:dyDescent="0.25">
      <c r="P542" t="s">
        <v>470</v>
      </c>
      <c r="Q542">
        <v>2050</v>
      </c>
      <c r="R542">
        <v>5</v>
      </c>
      <c r="S542" t="s">
        <v>466</v>
      </c>
      <c r="T542" t="s">
        <v>468</v>
      </c>
      <c r="U542" t="s">
        <v>593</v>
      </c>
      <c r="V542">
        <v>190.60571575620398</v>
      </c>
    </row>
    <row r="543" spans="16:22" x14ac:dyDescent="0.25">
      <c r="P543" t="s">
        <v>470</v>
      </c>
      <c r="Q543">
        <v>2050</v>
      </c>
      <c r="R543">
        <v>5</v>
      </c>
      <c r="S543" t="s">
        <v>466</v>
      </c>
      <c r="T543" t="s">
        <v>468</v>
      </c>
      <c r="U543" t="s">
        <v>594</v>
      </c>
      <c r="V543">
        <v>229.30794781081246</v>
      </c>
    </row>
    <row r="544" spans="16:22" x14ac:dyDescent="0.25">
      <c r="P544" t="s">
        <v>470</v>
      </c>
      <c r="Q544">
        <v>2050</v>
      </c>
      <c r="R544">
        <v>5</v>
      </c>
      <c r="S544" t="s">
        <v>466</v>
      </c>
      <c r="T544" t="s">
        <v>468</v>
      </c>
      <c r="U544" t="s">
        <v>595</v>
      </c>
      <c r="V544">
        <v>162.4968393887327</v>
      </c>
    </row>
    <row r="545" spans="16:22" x14ac:dyDescent="0.25">
      <c r="P545" t="s">
        <v>470</v>
      </c>
      <c r="Q545">
        <v>2050</v>
      </c>
      <c r="R545">
        <v>5</v>
      </c>
      <c r="S545" t="s">
        <v>466</v>
      </c>
      <c r="T545" t="s">
        <v>468</v>
      </c>
      <c r="U545" t="s">
        <v>596</v>
      </c>
      <c r="V545">
        <v>130.49487719873093</v>
      </c>
    </row>
    <row r="546" spans="16:22" x14ac:dyDescent="0.25">
      <c r="P546" t="s">
        <v>470</v>
      </c>
      <c r="Q546">
        <v>2050</v>
      </c>
      <c r="R546">
        <v>5</v>
      </c>
      <c r="S546" t="s">
        <v>466</v>
      </c>
      <c r="T546" t="s">
        <v>468</v>
      </c>
      <c r="U546" t="s">
        <v>597</v>
      </c>
      <c r="V546">
        <v>224.69661313757791</v>
      </c>
    </row>
    <row r="547" spans="16:22" x14ac:dyDescent="0.25">
      <c r="P547" t="s">
        <v>470</v>
      </c>
      <c r="Q547">
        <v>2050</v>
      </c>
      <c r="R547">
        <v>5</v>
      </c>
      <c r="S547" t="s">
        <v>466</v>
      </c>
      <c r="T547" t="s">
        <v>468</v>
      </c>
      <c r="U547" t="s">
        <v>598</v>
      </c>
      <c r="V547">
        <v>962.94210528132885</v>
      </c>
    </row>
    <row r="548" spans="16:22" x14ac:dyDescent="0.25">
      <c r="P548" t="s">
        <v>470</v>
      </c>
      <c r="Q548">
        <v>2050</v>
      </c>
      <c r="R548">
        <v>5</v>
      </c>
      <c r="S548" t="s">
        <v>469</v>
      </c>
      <c r="T548" t="s">
        <v>467</v>
      </c>
      <c r="U548" t="s">
        <v>592</v>
      </c>
      <c r="V548">
        <v>72.532242932198571</v>
      </c>
    </row>
    <row r="549" spans="16:22" x14ac:dyDescent="0.25">
      <c r="P549" t="s">
        <v>470</v>
      </c>
      <c r="Q549">
        <v>2050</v>
      </c>
      <c r="R549">
        <v>5</v>
      </c>
      <c r="S549" t="s">
        <v>469</v>
      </c>
      <c r="T549" t="s">
        <v>467</v>
      </c>
      <c r="U549" t="s">
        <v>593</v>
      </c>
      <c r="V549">
        <v>155.37195571896908</v>
      </c>
    </row>
    <row r="550" spans="16:22" x14ac:dyDescent="0.25">
      <c r="P550" t="s">
        <v>470</v>
      </c>
      <c r="Q550">
        <v>2050</v>
      </c>
      <c r="R550">
        <v>5</v>
      </c>
      <c r="S550" t="s">
        <v>469</v>
      </c>
      <c r="T550" t="s">
        <v>467</v>
      </c>
      <c r="U550" t="s">
        <v>594</v>
      </c>
      <c r="V550">
        <v>153.45361958272849</v>
      </c>
    </row>
    <row r="551" spans="16:22" x14ac:dyDescent="0.25">
      <c r="P551" t="s">
        <v>470</v>
      </c>
      <c r="Q551">
        <v>2050</v>
      </c>
      <c r="R551">
        <v>5</v>
      </c>
      <c r="S551" t="s">
        <v>469</v>
      </c>
      <c r="T551" t="s">
        <v>467</v>
      </c>
      <c r="U551" t="s">
        <v>595</v>
      </c>
      <c r="V551">
        <v>212.44933076266659</v>
      </c>
    </row>
    <row r="552" spans="16:22" x14ac:dyDescent="0.25">
      <c r="P552" t="s">
        <v>470</v>
      </c>
      <c r="Q552">
        <v>2050</v>
      </c>
      <c r="R552">
        <v>5</v>
      </c>
      <c r="S552" t="s">
        <v>469</v>
      </c>
      <c r="T552" t="s">
        <v>467</v>
      </c>
      <c r="U552" t="s">
        <v>596</v>
      </c>
      <c r="V552">
        <v>191.54142485089093</v>
      </c>
    </row>
    <row r="553" spans="16:22" x14ac:dyDescent="0.25">
      <c r="P553" t="s">
        <v>470</v>
      </c>
      <c r="Q553">
        <v>2050</v>
      </c>
      <c r="R553">
        <v>5</v>
      </c>
      <c r="S553" t="s">
        <v>469</v>
      </c>
      <c r="T553" t="s">
        <v>467</v>
      </c>
      <c r="U553" t="s">
        <v>597</v>
      </c>
      <c r="V553">
        <v>296.05129438836173</v>
      </c>
    </row>
    <row r="554" spans="16:22" x14ac:dyDescent="0.25">
      <c r="P554" t="s">
        <v>470</v>
      </c>
      <c r="Q554">
        <v>2050</v>
      </c>
      <c r="R554">
        <v>5</v>
      </c>
      <c r="S554" t="s">
        <v>469</v>
      </c>
      <c r="T554" t="s">
        <v>467</v>
      </c>
      <c r="U554" t="s">
        <v>598</v>
      </c>
      <c r="V554">
        <v>1067.3315869217076</v>
      </c>
    </row>
    <row r="555" spans="16:22" x14ac:dyDescent="0.25">
      <c r="P555" t="s">
        <v>470</v>
      </c>
      <c r="Q555">
        <v>2050</v>
      </c>
      <c r="R555">
        <v>5</v>
      </c>
      <c r="S555" t="s">
        <v>469</v>
      </c>
      <c r="T555" t="s">
        <v>468</v>
      </c>
      <c r="U555" t="s">
        <v>592</v>
      </c>
      <c r="V555">
        <v>72.532242932198571</v>
      </c>
    </row>
    <row r="556" spans="16:22" x14ac:dyDescent="0.25">
      <c r="P556" t="s">
        <v>470</v>
      </c>
      <c r="Q556">
        <v>2050</v>
      </c>
      <c r="R556">
        <v>5</v>
      </c>
      <c r="S556" t="s">
        <v>469</v>
      </c>
      <c r="T556" t="s">
        <v>468</v>
      </c>
      <c r="U556" t="s">
        <v>593</v>
      </c>
      <c r="V556">
        <v>155.37195571896908</v>
      </c>
    </row>
    <row r="557" spans="16:22" x14ac:dyDescent="0.25">
      <c r="P557" t="s">
        <v>470</v>
      </c>
      <c r="Q557">
        <v>2050</v>
      </c>
      <c r="R557">
        <v>5</v>
      </c>
      <c r="S557" t="s">
        <v>469</v>
      </c>
      <c r="T557" t="s">
        <v>468</v>
      </c>
      <c r="U557" t="s">
        <v>594</v>
      </c>
      <c r="V557">
        <v>153.45361958272849</v>
      </c>
    </row>
    <row r="558" spans="16:22" x14ac:dyDescent="0.25">
      <c r="P558" t="s">
        <v>470</v>
      </c>
      <c r="Q558">
        <v>2050</v>
      </c>
      <c r="R558">
        <v>5</v>
      </c>
      <c r="S558" t="s">
        <v>469</v>
      </c>
      <c r="T558" t="s">
        <v>468</v>
      </c>
      <c r="U558" t="s">
        <v>595</v>
      </c>
      <c r="V558">
        <v>212.44933076266659</v>
      </c>
    </row>
    <row r="559" spans="16:22" x14ac:dyDescent="0.25">
      <c r="P559" t="s">
        <v>470</v>
      </c>
      <c r="Q559">
        <v>2050</v>
      </c>
      <c r="R559">
        <v>5</v>
      </c>
      <c r="S559" t="s">
        <v>469</v>
      </c>
      <c r="T559" t="s">
        <v>468</v>
      </c>
      <c r="U559" t="s">
        <v>596</v>
      </c>
      <c r="V559">
        <v>191.54142485089093</v>
      </c>
    </row>
    <row r="560" spans="16:22" x14ac:dyDescent="0.25">
      <c r="P560" t="s">
        <v>470</v>
      </c>
      <c r="Q560">
        <v>2050</v>
      </c>
      <c r="R560">
        <v>5</v>
      </c>
      <c r="S560" t="s">
        <v>469</v>
      </c>
      <c r="T560" t="s">
        <v>468</v>
      </c>
      <c r="U560" t="s">
        <v>597</v>
      </c>
      <c r="V560">
        <v>296.05129438836173</v>
      </c>
    </row>
    <row r="561" spans="16:22" x14ac:dyDescent="0.25">
      <c r="P561" t="s">
        <v>470</v>
      </c>
      <c r="Q561">
        <v>2050</v>
      </c>
      <c r="R561">
        <v>5</v>
      </c>
      <c r="S561" t="s">
        <v>469</v>
      </c>
      <c r="T561" t="s">
        <v>468</v>
      </c>
      <c r="U561" t="s">
        <v>598</v>
      </c>
      <c r="V561">
        <v>1067.3315869217076</v>
      </c>
    </row>
    <row r="562" spans="16:22" x14ac:dyDescent="0.25">
      <c r="P562" t="s">
        <v>471</v>
      </c>
      <c r="Q562">
        <v>2035</v>
      </c>
      <c r="R562">
        <v>1</v>
      </c>
      <c r="S562" t="s">
        <v>466</v>
      </c>
      <c r="T562" t="s">
        <v>467</v>
      </c>
      <c r="U562" t="s">
        <v>592</v>
      </c>
      <c r="V562">
        <v>29.846612737622394</v>
      </c>
    </row>
    <row r="563" spans="16:22" x14ac:dyDescent="0.25">
      <c r="P563" t="s">
        <v>471</v>
      </c>
      <c r="Q563">
        <v>2035</v>
      </c>
      <c r="R563">
        <v>1</v>
      </c>
      <c r="S563" t="s">
        <v>466</v>
      </c>
      <c r="T563" t="s">
        <v>467</v>
      </c>
      <c r="U563" t="s">
        <v>593</v>
      </c>
      <c r="V563">
        <v>256.85668773754702</v>
      </c>
    </row>
    <row r="564" spans="16:22" x14ac:dyDescent="0.25">
      <c r="P564" t="s">
        <v>471</v>
      </c>
      <c r="Q564">
        <v>2035</v>
      </c>
      <c r="R564">
        <v>1</v>
      </c>
      <c r="S564" t="s">
        <v>466</v>
      </c>
      <c r="T564" t="s">
        <v>467</v>
      </c>
      <c r="U564" t="s">
        <v>594</v>
      </c>
      <c r="V564">
        <v>0</v>
      </c>
    </row>
    <row r="565" spans="16:22" x14ac:dyDescent="0.25">
      <c r="P565" t="s">
        <v>471</v>
      </c>
      <c r="Q565">
        <v>2035</v>
      </c>
      <c r="R565">
        <v>1</v>
      </c>
      <c r="S565" t="s">
        <v>466</v>
      </c>
      <c r="T565" t="s">
        <v>467</v>
      </c>
      <c r="U565" t="s">
        <v>595</v>
      </c>
      <c r="V565">
        <v>71.74441699529612</v>
      </c>
    </row>
    <row r="566" spans="16:22" x14ac:dyDescent="0.25">
      <c r="P566" t="s">
        <v>471</v>
      </c>
      <c r="Q566">
        <v>2035</v>
      </c>
      <c r="R566">
        <v>1</v>
      </c>
      <c r="S566" t="s">
        <v>466</v>
      </c>
      <c r="T566" t="s">
        <v>467</v>
      </c>
      <c r="U566" t="s">
        <v>596</v>
      </c>
      <c r="V566">
        <v>55.453024982798475</v>
      </c>
    </row>
    <row r="567" spans="16:22" x14ac:dyDescent="0.25">
      <c r="P567" t="s">
        <v>471</v>
      </c>
      <c r="Q567">
        <v>2035</v>
      </c>
      <c r="R567">
        <v>1</v>
      </c>
      <c r="S567" t="s">
        <v>466</v>
      </c>
      <c r="T567" t="s">
        <v>467</v>
      </c>
      <c r="U567" t="s">
        <v>597</v>
      </c>
      <c r="V567">
        <v>0</v>
      </c>
    </row>
    <row r="568" spans="16:22" x14ac:dyDescent="0.25">
      <c r="P568" t="s">
        <v>471</v>
      </c>
      <c r="Q568">
        <v>2035</v>
      </c>
      <c r="R568">
        <v>1</v>
      </c>
      <c r="S568" t="s">
        <v>466</v>
      </c>
      <c r="T568" t="s">
        <v>467</v>
      </c>
      <c r="U568" t="s">
        <v>598</v>
      </c>
      <c r="V568">
        <v>60.562486045342425</v>
      </c>
    </row>
    <row r="569" spans="16:22" x14ac:dyDescent="0.25">
      <c r="P569" t="s">
        <v>471</v>
      </c>
      <c r="Q569">
        <v>2035</v>
      </c>
      <c r="R569">
        <v>1</v>
      </c>
      <c r="S569" t="s">
        <v>466</v>
      </c>
      <c r="T569" t="s">
        <v>468</v>
      </c>
      <c r="U569" t="s">
        <v>592</v>
      </c>
      <c r="V569">
        <v>29.846612737622394</v>
      </c>
    </row>
    <row r="570" spans="16:22" x14ac:dyDescent="0.25">
      <c r="P570" t="s">
        <v>471</v>
      </c>
      <c r="Q570">
        <v>2035</v>
      </c>
      <c r="R570">
        <v>1</v>
      </c>
      <c r="S570" t="s">
        <v>466</v>
      </c>
      <c r="T570" t="s">
        <v>468</v>
      </c>
      <c r="U570" t="s">
        <v>593</v>
      </c>
      <c r="V570">
        <v>256.85668773754702</v>
      </c>
    </row>
    <row r="571" spans="16:22" x14ac:dyDescent="0.25">
      <c r="P571" t="s">
        <v>471</v>
      </c>
      <c r="Q571">
        <v>2035</v>
      </c>
      <c r="R571">
        <v>1</v>
      </c>
      <c r="S571" t="s">
        <v>466</v>
      </c>
      <c r="T571" t="s">
        <v>468</v>
      </c>
      <c r="U571" t="s">
        <v>594</v>
      </c>
      <c r="V571">
        <v>0</v>
      </c>
    </row>
    <row r="572" spans="16:22" x14ac:dyDescent="0.25">
      <c r="P572" t="s">
        <v>471</v>
      </c>
      <c r="Q572">
        <v>2035</v>
      </c>
      <c r="R572">
        <v>1</v>
      </c>
      <c r="S572" t="s">
        <v>466</v>
      </c>
      <c r="T572" t="s">
        <v>468</v>
      </c>
      <c r="U572" t="s">
        <v>595</v>
      </c>
      <c r="V572">
        <v>71.74441699529612</v>
      </c>
    </row>
    <row r="573" spans="16:22" x14ac:dyDescent="0.25">
      <c r="P573" t="s">
        <v>471</v>
      </c>
      <c r="Q573">
        <v>2035</v>
      </c>
      <c r="R573">
        <v>1</v>
      </c>
      <c r="S573" t="s">
        <v>466</v>
      </c>
      <c r="T573" t="s">
        <v>468</v>
      </c>
      <c r="U573" t="s">
        <v>596</v>
      </c>
      <c r="V573">
        <v>55.453024982798475</v>
      </c>
    </row>
    <row r="574" spans="16:22" x14ac:dyDescent="0.25">
      <c r="P574" t="s">
        <v>471</v>
      </c>
      <c r="Q574">
        <v>2035</v>
      </c>
      <c r="R574">
        <v>1</v>
      </c>
      <c r="S574" t="s">
        <v>466</v>
      </c>
      <c r="T574" t="s">
        <v>468</v>
      </c>
      <c r="U574" t="s">
        <v>597</v>
      </c>
      <c r="V574">
        <v>0</v>
      </c>
    </row>
    <row r="575" spans="16:22" x14ac:dyDescent="0.25">
      <c r="P575" t="s">
        <v>471</v>
      </c>
      <c r="Q575">
        <v>2035</v>
      </c>
      <c r="R575">
        <v>1</v>
      </c>
      <c r="S575" t="s">
        <v>466</v>
      </c>
      <c r="T575" t="s">
        <v>468</v>
      </c>
      <c r="U575" t="s">
        <v>598</v>
      </c>
      <c r="V575">
        <v>60.562486045342425</v>
      </c>
    </row>
    <row r="576" spans="16:22" x14ac:dyDescent="0.25">
      <c r="P576" t="s">
        <v>471</v>
      </c>
      <c r="Q576">
        <v>2035</v>
      </c>
      <c r="R576">
        <v>1</v>
      </c>
      <c r="S576" t="s">
        <v>469</v>
      </c>
      <c r="T576" t="s">
        <v>467</v>
      </c>
      <c r="U576" t="s">
        <v>592</v>
      </c>
      <c r="V576">
        <v>73.263358328750613</v>
      </c>
    </row>
    <row r="577" spans="16:22" x14ac:dyDescent="0.25">
      <c r="P577" t="s">
        <v>471</v>
      </c>
      <c r="Q577">
        <v>2035</v>
      </c>
      <c r="R577">
        <v>1</v>
      </c>
      <c r="S577" t="s">
        <v>469</v>
      </c>
      <c r="T577" t="s">
        <v>467</v>
      </c>
      <c r="U577" t="s">
        <v>593</v>
      </c>
      <c r="V577">
        <v>263.99138403853522</v>
      </c>
    </row>
    <row r="578" spans="16:22" x14ac:dyDescent="0.25">
      <c r="P578" t="s">
        <v>471</v>
      </c>
      <c r="Q578">
        <v>2035</v>
      </c>
      <c r="R578">
        <v>1</v>
      </c>
      <c r="S578" t="s">
        <v>469</v>
      </c>
      <c r="T578" t="s">
        <v>467</v>
      </c>
      <c r="U578" t="s">
        <v>594</v>
      </c>
      <c r="V578">
        <v>0</v>
      </c>
    </row>
    <row r="579" spans="16:22" x14ac:dyDescent="0.25">
      <c r="P579" t="s">
        <v>471</v>
      </c>
      <c r="Q579">
        <v>2035</v>
      </c>
      <c r="R579">
        <v>1</v>
      </c>
      <c r="S579" t="s">
        <v>469</v>
      </c>
      <c r="T579" t="s">
        <v>467</v>
      </c>
      <c r="U579" t="s">
        <v>595</v>
      </c>
      <c r="V579">
        <v>60.179024156308721</v>
      </c>
    </row>
    <row r="580" spans="16:22" x14ac:dyDescent="0.25">
      <c r="P580" t="s">
        <v>471</v>
      </c>
      <c r="Q580">
        <v>2035</v>
      </c>
      <c r="R580">
        <v>1</v>
      </c>
      <c r="S580" t="s">
        <v>469</v>
      </c>
      <c r="T580" t="s">
        <v>467</v>
      </c>
      <c r="U580" t="s">
        <v>596</v>
      </c>
      <c r="V580">
        <v>41.261160868430416</v>
      </c>
    </row>
    <row r="581" spans="16:22" x14ac:dyDescent="0.25">
      <c r="P581" t="s">
        <v>471</v>
      </c>
      <c r="Q581">
        <v>2035</v>
      </c>
      <c r="R581">
        <v>1</v>
      </c>
      <c r="S581" t="s">
        <v>469</v>
      </c>
      <c r="T581" t="s">
        <v>467</v>
      </c>
      <c r="U581" t="s">
        <v>597</v>
      </c>
      <c r="V581">
        <v>0</v>
      </c>
    </row>
    <row r="582" spans="16:22" x14ac:dyDescent="0.25">
      <c r="P582" t="s">
        <v>471</v>
      </c>
      <c r="Q582">
        <v>2035</v>
      </c>
      <c r="R582">
        <v>1</v>
      </c>
      <c r="S582" t="s">
        <v>469</v>
      </c>
      <c r="T582" t="s">
        <v>467</v>
      </c>
      <c r="U582" t="s">
        <v>598</v>
      </c>
      <c r="V582">
        <v>36.761535327932144</v>
      </c>
    </row>
    <row r="583" spans="16:22" x14ac:dyDescent="0.25">
      <c r="P583" t="s">
        <v>471</v>
      </c>
      <c r="Q583">
        <v>2035</v>
      </c>
      <c r="R583">
        <v>1</v>
      </c>
      <c r="S583" t="s">
        <v>469</v>
      </c>
      <c r="T583" t="s">
        <v>468</v>
      </c>
      <c r="U583" t="s">
        <v>592</v>
      </c>
      <c r="V583">
        <v>73.263358328750613</v>
      </c>
    </row>
    <row r="584" spans="16:22" x14ac:dyDescent="0.25">
      <c r="P584" t="s">
        <v>471</v>
      </c>
      <c r="Q584">
        <v>2035</v>
      </c>
      <c r="R584">
        <v>1</v>
      </c>
      <c r="S584" t="s">
        <v>469</v>
      </c>
      <c r="T584" t="s">
        <v>468</v>
      </c>
      <c r="U584" t="s">
        <v>593</v>
      </c>
      <c r="V584">
        <v>263.99138403853522</v>
      </c>
    </row>
    <row r="585" spans="16:22" x14ac:dyDescent="0.25">
      <c r="P585" t="s">
        <v>471</v>
      </c>
      <c r="Q585">
        <v>2035</v>
      </c>
      <c r="R585">
        <v>1</v>
      </c>
      <c r="S585" t="s">
        <v>469</v>
      </c>
      <c r="T585" t="s">
        <v>468</v>
      </c>
      <c r="U585" t="s">
        <v>594</v>
      </c>
      <c r="V585">
        <v>0</v>
      </c>
    </row>
    <row r="586" spans="16:22" x14ac:dyDescent="0.25">
      <c r="P586" t="s">
        <v>471</v>
      </c>
      <c r="Q586">
        <v>2035</v>
      </c>
      <c r="R586">
        <v>1</v>
      </c>
      <c r="S586" t="s">
        <v>469</v>
      </c>
      <c r="T586" t="s">
        <v>468</v>
      </c>
      <c r="U586" t="s">
        <v>595</v>
      </c>
      <c r="V586">
        <v>60.179024156308721</v>
      </c>
    </row>
    <row r="587" spans="16:22" x14ac:dyDescent="0.25">
      <c r="P587" t="s">
        <v>471</v>
      </c>
      <c r="Q587">
        <v>2035</v>
      </c>
      <c r="R587">
        <v>1</v>
      </c>
      <c r="S587" t="s">
        <v>469</v>
      </c>
      <c r="T587" t="s">
        <v>468</v>
      </c>
      <c r="U587" t="s">
        <v>596</v>
      </c>
      <c r="V587">
        <v>41.261160868430416</v>
      </c>
    </row>
    <row r="588" spans="16:22" x14ac:dyDescent="0.25">
      <c r="P588" t="s">
        <v>471</v>
      </c>
      <c r="Q588">
        <v>2035</v>
      </c>
      <c r="R588">
        <v>1</v>
      </c>
      <c r="S588" t="s">
        <v>469</v>
      </c>
      <c r="T588" t="s">
        <v>468</v>
      </c>
      <c r="U588" t="s">
        <v>597</v>
      </c>
      <c r="V588">
        <v>0</v>
      </c>
    </row>
    <row r="589" spans="16:22" x14ac:dyDescent="0.25">
      <c r="P589" t="s">
        <v>471</v>
      </c>
      <c r="Q589">
        <v>2035</v>
      </c>
      <c r="R589">
        <v>1</v>
      </c>
      <c r="S589" t="s">
        <v>469</v>
      </c>
      <c r="T589" t="s">
        <v>468</v>
      </c>
      <c r="U589" t="s">
        <v>598</v>
      </c>
      <c r="V589">
        <v>36.761535327932144</v>
      </c>
    </row>
    <row r="590" spans="16:22" x14ac:dyDescent="0.25">
      <c r="P590" t="s">
        <v>471</v>
      </c>
      <c r="Q590">
        <v>2050</v>
      </c>
      <c r="R590">
        <v>1</v>
      </c>
      <c r="S590" t="s">
        <v>466</v>
      </c>
      <c r="T590" t="s">
        <v>467</v>
      </c>
      <c r="U590" t="s">
        <v>592</v>
      </c>
      <c r="V590">
        <v>24.441641175859235</v>
      </c>
    </row>
    <row r="591" spans="16:22" x14ac:dyDescent="0.25">
      <c r="P591" t="s">
        <v>471</v>
      </c>
      <c r="Q591">
        <v>2050</v>
      </c>
      <c r="R591">
        <v>1</v>
      </c>
      <c r="S591" t="s">
        <v>466</v>
      </c>
      <c r="T591" t="s">
        <v>467</v>
      </c>
      <c r="U591" t="s">
        <v>593</v>
      </c>
      <c r="V591">
        <v>165.37425637709649</v>
      </c>
    </row>
    <row r="592" spans="16:22" x14ac:dyDescent="0.25">
      <c r="P592" t="s">
        <v>471</v>
      </c>
      <c r="Q592">
        <v>2050</v>
      </c>
      <c r="R592">
        <v>1</v>
      </c>
      <c r="S592" t="s">
        <v>466</v>
      </c>
      <c r="T592" t="s">
        <v>467</v>
      </c>
      <c r="U592" t="s">
        <v>594</v>
      </c>
      <c r="V592">
        <v>0</v>
      </c>
    </row>
    <row r="593" spans="16:22" x14ac:dyDescent="0.25">
      <c r="P593" t="s">
        <v>471</v>
      </c>
      <c r="Q593">
        <v>2050</v>
      </c>
      <c r="R593">
        <v>1</v>
      </c>
      <c r="S593" t="s">
        <v>466</v>
      </c>
      <c r="T593" t="s">
        <v>467</v>
      </c>
      <c r="U593" t="s">
        <v>595</v>
      </c>
      <c r="V593">
        <v>44.502242022212954</v>
      </c>
    </row>
    <row r="594" spans="16:22" x14ac:dyDescent="0.25">
      <c r="P594" t="s">
        <v>471</v>
      </c>
      <c r="Q594">
        <v>2050</v>
      </c>
      <c r="R594">
        <v>1</v>
      </c>
      <c r="S594" t="s">
        <v>466</v>
      </c>
      <c r="T594" t="s">
        <v>467</v>
      </c>
      <c r="U594" t="s">
        <v>596</v>
      </c>
      <c r="V594">
        <v>33.743799507007274</v>
      </c>
    </row>
    <row r="595" spans="16:22" x14ac:dyDescent="0.25">
      <c r="P595" t="s">
        <v>471</v>
      </c>
      <c r="Q595">
        <v>2050</v>
      </c>
      <c r="R595">
        <v>1</v>
      </c>
      <c r="S595" t="s">
        <v>466</v>
      </c>
      <c r="T595" t="s">
        <v>467</v>
      </c>
      <c r="U595" t="s">
        <v>597</v>
      </c>
      <c r="V595">
        <v>0</v>
      </c>
    </row>
    <row r="596" spans="16:22" x14ac:dyDescent="0.25">
      <c r="P596" t="s">
        <v>471</v>
      </c>
      <c r="Q596">
        <v>2050</v>
      </c>
      <c r="R596">
        <v>1</v>
      </c>
      <c r="S596" t="s">
        <v>466</v>
      </c>
      <c r="T596" t="s">
        <v>467</v>
      </c>
      <c r="U596" t="s">
        <v>598</v>
      </c>
      <c r="V596">
        <v>35.823830427607803</v>
      </c>
    </row>
    <row r="597" spans="16:22" x14ac:dyDescent="0.25">
      <c r="P597" t="s">
        <v>471</v>
      </c>
      <c r="Q597">
        <v>2050</v>
      </c>
      <c r="R597">
        <v>1</v>
      </c>
      <c r="S597" t="s">
        <v>466</v>
      </c>
      <c r="T597" t="s">
        <v>468</v>
      </c>
      <c r="U597" t="s">
        <v>592</v>
      </c>
      <c r="V597">
        <v>24.441641175859235</v>
      </c>
    </row>
    <row r="598" spans="16:22" x14ac:dyDescent="0.25">
      <c r="P598" t="s">
        <v>471</v>
      </c>
      <c r="Q598">
        <v>2050</v>
      </c>
      <c r="R598">
        <v>1</v>
      </c>
      <c r="S598" t="s">
        <v>466</v>
      </c>
      <c r="T598" t="s">
        <v>468</v>
      </c>
      <c r="U598" t="s">
        <v>593</v>
      </c>
      <c r="V598">
        <v>165.37425637709649</v>
      </c>
    </row>
    <row r="599" spans="16:22" x14ac:dyDescent="0.25">
      <c r="P599" t="s">
        <v>471</v>
      </c>
      <c r="Q599">
        <v>2050</v>
      </c>
      <c r="R599">
        <v>1</v>
      </c>
      <c r="S599" t="s">
        <v>466</v>
      </c>
      <c r="T599" t="s">
        <v>468</v>
      </c>
      <c r="U599" t="s">
        <v>594</v>
      </c>
      <c r="V599">
        <v>0</v>
      </c>
    </row>
    <row r="600" spans="16:22" x14ac:dyDescent="0.25">
      <c r="P600" t="s">
        <v>471</v>
      </c>
      <c r="Q600">
        <v>2050</v>
      </c>
      <c r="R600">
        <v>1</v>
      </c>
      <c r="S600" t="s">
        <v>466</v>
      </c>
      <c r="T600" t="s">
        <v>468</v>
      </c>
      <c r="U600" t="s">
        <v>595</v>
      </c>
      <c r="V600">
        <v>44.502242022212954</v>
      </c>
    </row>
    <row r="601" spans="16:22" x14ac:dyDescent="0.25">
      <c r="P601" t="s">
        <v>471</v>
      </c>
      <c r="Q601">
        <v>2050</v>
      </c>
      <c r="R601">
        <v>1</v>
      </c>
      <c r="S601" t="s">
        <v>466</v>
      </c>
      <c r="T601" t="s">
        <v>468</v>
      </c>
      <c r="U601" t="s">
        <v>596</v>
      </c>
      <c r="V601">
        <v>33.743799507007274</v>
      </c>
    </row>
    <row r="602" spans="16:22" x14ac:dyDescent="0.25">
      <c r="P602" t="s">
        <v>471</v>
      </c>
      <c r="Q602">
        <v>2050</v>
      </c>
      <c r="R602">
        <v>1</v>
      </c>
      <c r="S602" t="s">
        <v>466</v>
      </c>
      <c r="T602" t="s">
        <v>468</v>
      </c>
      <c r="U602" t="s">
        <v>597</v>
      </c>
      <c r="V602">
        <v>0</v>
      </c>
    </row>
    <row r="603" spans="16:22" x14ac:dyDescent="0.25">
      <c r="P603" t="s">
        <v>471</v>
      </c>
      <c r="Q603">
        <v>2050</v>
      </c>
      <c r="R603">
        <v>1</v>
      </c>
      <c r="S603" t="s">
        <v>466</v>
      </c>
      <c r="T603" t="s">
        <v>468</v>
      </c>
      <c r="U603" t="s">
        <v>598</v>
      </c>
      <c r="V603">
        <v>35.823830427607803</v>
      </c>
    </row>
    <row r="604" spans="16:22" x14ac:dyDescent="0.25">
      <c r="P604" t="s">
        <v>471</v>
      </c>
      <c r="Q604">
        <v>2050</v>
      </c>
      <c r="R604">
        <v>1</v>
      </c>
      <c r="S604" t="s">
        <v>469</v>
      </c>
      <c r="T604" t="s">
        <v>467</v>
      </c>
      <c r="U604" t="s">
        <v>592</v>
      </c>
      <c r="V604">
        <v>64.139843666176475</v>
      </c>
    </row>
    <row r="605" spans="16:22" x14ac:dyDescent="0.25">
      <c r="P605" t="s">
        <v>471</v>
      </c>
      <c r="Q605">
        <v>2050</v>
      </c>
      <c r="R605">
        <v>1</v>
      </c>
      <c r="S605" t="s">
        <v>469</v>
      </c>
      <c r="T605" t="s">
        <v>467</v>
      </c>
      <c r="U605" t="s">
        <v>593</v>
      </c>
      <c r="V605">
        <v>171.80857891618004</v>
      </c>
    </row>
    <row r="606" spans="16:22" x14ac:dyDescent="0.25">
      <c r="P606" t="s">
        <v>471</v>
      </c>
      <c r="Q606">
        <v>2050</v>
      </c>
      <c r="R606">
        <v>1</v>
      </c>
      <c r="S606" t="s">
        <v>469</v>
      </c>
      <c r="T606" t="s">
        <v>467</v>
      </c>
      <c r="U606" t="s">
        <v>594</v>
      </c>
      <c r="V606">
        <v>0</v>
      </c>
    </row>
    <row r="607" spans="16:22" x14ac:dyDescent="0.25">
      <c r="P607" t="s">
        <v>471</v>
      </c>
      <c r="Q607">
        <v>2050</v>
      </c>
      <c r="R607">
        <v>1</v>
      </c>
      <c r="S607" t="s">
        <v>469</v>
      </c>
      <c r="T607" t="s">
        <v>467</v>
      </c>
      <c r="U607" t="s">
        <v>595</v>
      </c>
      <c r="V607">
        <v>33.764979964566116</v>
      </c>
    </row>
    <row r="608" spans="16:22" x14ac:dyDescent="0.25">
      <c r="P608" t="s">
        <v>471</v>
      </c>
      <c r="Q608">
        <v>2050</v>
      </c>
      <c r="R608">
        <v>1</v>
      </c>
      <c r="S608" t="s">
        <v>469</v>
      </c>
      <c r="T608" t="s">
        <v>467</v>
      </c>
      <c r="U608" t="s">
        <v>596</v>
      </c>
      <c r="V608">
        <v>20.600964467987716</v>
      </c>
    </row>
    <row r="609" spans="16:22" x14ac:dyDescent="0.25">
      <c r="P609" t="s">
        <v>471</v>
      </c>
      <c r="Q609">
        <v>2050</v>
      </c>
      <c r="R609">
        <v>1</v>
      </c>
      <c r="S609" t="s">
        <v>469</v>
      </c>
      <c r="T609" t="s">
        <v>467</v>
      </c>
      <c r="U609" t="s">
        <v>597</v>
      </c>
      <c r="V609">
        <v>0</v>
      </c>
    </row>
    <row r="610" spans="16:22" x14ac:dyDescent="0.25">
      <c r="P610" t="s">
        <v>471</v>
      </c>
      <c r="Q610">
        <v>2050</v>
      </c>
      <c r="R610">
        <v>1</v>
      </c>
      <c r="S610" t="s">
        <v>469</v>
      </c>
      <c r="T610" t="s">
        <v>467</v>
      </c>
      <c r="U610" t="s">
        <v>598</v>
      </c>
      <c r="V610">
        <v>13.864545204072517</v>
      </c>
    </row>
    <row r="611" spans="16:22" x14ac:dyDescent="0.25">
      <c r="P611" t="s">
        <v>471</v>
      </c>
      <c r="Q611">
        <v>2050</v>
      </c>
      <c r="R611">
        <v>1</v>
      </c>
      <c r="S611" t="s">
        <v>469</v>
      </c>
      <c r="T611" t="s">
        <v>468</v>
      </c>
      <c r="U611" t="s">
        <v>592</v>
      </c>
      <c r="V611">
        <v>64.139843666176475</v>
      </c>
    </row>
    <row r="612" spans="16:22" x14ac:dyDescent="0.25">
      <c r="P612" t="s">
        <v>471</v>
      </c>
      <c r="Q612">
        <v>2050</v>
      </c>
      <c r="R612">
        <v>1</v>
      </c>
      <c r="S612" t="s">
        <v>469</v>
      </c>
      <c r="T612" t="s">
        <v>468</v>
      </c>
      <c r="U612" t="s">
        <v>593</v>
      </c>
      <c r="V612">
        <v>171.80857891618004</v>
      </c>
    </row>
    <row r="613" spans="16:22" x14ac:dyDescent="0.25">
      <c r="P613" t="s">
        <v>471</v>
      </c>
      <c r="Q613">
        <v>2050</v>
      </c>
      <c r="R613">
        <v>1</v>
      </c>
      <c r="S613" t="s">
        <v>469</v>
      </c>
      <c r="T613" t="s">
        <v>468</v>
      </c>
      <c r="U613" t="s">
        <v>594</v>
      </c>
      <c r="V613">
        <v>0</v>
      </c>
    </row>
    <row r="614" spans="16:22" x14ac:dyDescent="0.25">
      <c r="P614" t="s">
        <v>471</v>
      </c>
      <c r="Q614">
        <v>2050</v>
      </c>
      <c r="R614">
        <v>1</v>
      </c>
      <c r="S614" t="s">
        <v>469</v>
      </c>
      <c r="T614" t="s">
        <v>468</v>
      </c>
      <c r="U614" t="s">
        <v>595</v>
      </c>
      <c r="V614">
        <v>33.764979964566116</v>
      </c>
    </row>
    <row r="615" spans="16:22" x14ac:dyDescent="0.25">
      <c r="P615" t="s">
        <v>471</v>
      </c>
      <c r="Q615">
        <v>2050</v>
      </c>
      <c r="R615">
        <v>1</v>
      </c>
      <c r="S615" t="s">
        <v>469</v>
      </c>
      <c r="T615" t="s">
        <v>468</v>
      </c>
      <c r="U615" t="s">
        <v>596</v>
      </c>
      <c r="V615">
        <v>20.600964467987716</v>
      </c>
    </row>
    <row r="616" spans="16:22" x14ac:dyDescent="0.25">
      <c r="P616" t="s">
        <v>471</v>
      </c>
      <c r="Q616">
        <v>2050</v>
      </c>
      <c r="R616">
        <v>1</v>
      </c>
      <c r="S616" t="s">
        <v>469</v>
      </c>
      <c r="T616" t="s">
        <v>468</v>
      </c>
      <c r="U616" t="s">
        <v>597</v>
      </c>
      <c r="V616">
        <v>0</v>
      </c>
    </row>
    <row r="617" spans="16:22" x14ac:dyDescent="0.25">
      <c r="P617" t="s">
        <v>471</v>
      </c>
      <c r="Q617">
        <v>2050</v>
      </c>
      <c r="R617">
        <v>1</v>
      </c>
      <c r="S617" t="s">
        <v>469</v>
      </c>
      <c r="T617" t="s">
        <v>468</v>
      </c>
      <c r="U617" t="s">
        <v>598</v>
      </c>
      <c r="V617">
        <v>13.864545204072517</v>
      </c>
    </row>
    <row r="618" spans="16:22" x14ac:dyDescent="0.25">
      <c r="P618" t="s">
        <v>471</v>
      </c>
      <c r="Q618">
        <v>2035</v>
      </c>
      <c r="R618">
        <v>2</v>
      </c>
      <c r="S618" t="s">
        <v>466</v>
      </c>
      <c r="T618" t="s">
        <v>467</v>
      </c>
      <c r="U618" t="s">
        <v>592</v>
      </c>
      <c r="V618">
        <v>31.11138107340858</v>
      </c>
    </row>
    <row r="619" spans="16:22" x14ac:dyDescent="0.25">
      <c r="P619" t="s">
        <v>471</v>
      </c>
      <c r="Q619">
        <v>2035</v>
      </c>
      <c r="R619">
        <v>2</v>
      </c>
      <c r="S619" t="s">
        <v>466</v>
      </c>
      <c r="T619" t="s">
        <v>467</v>
      </c>
      <c r="U619" t="s">
        <v>593</v>
      </c>
      <c r="V619">
        <v>396.40481566115278</v>
      </c>
    </row>
    <row r="620" spans="16:22" x14ac:dyDescent="0.25">
      <c r="P620" t="s">
        <v>471</v>
      </c>
      <c r="Q620">
        <v>2035</v>
      </c>
      <c r="R620">
        <v>2</v>
      </c>
      <c r="S620" t="s">
        <v>466</v>
      </c>
      <c r="T620" t="s">
        <v>467</v>
      </c>
      <c r="U620" t="s">
        <v>594</v>
      </c>
      <c r="V620">
        <v>0</v>
      </c>
    </row>
    <row r="621" spans="16:22" x14ac:dyDescent="0.25">
      <c r="P621" t="s">
        <v>471</v>
      </c>
      <c r="Q621">
        <v>2035</v>
      </c>
      <c r="R621">
        <v>2</v>
      </c>
      <c r="S621" t="s">
        <v>466</v>
      </c>
      <c r="T621" t="s">
        <v>467</v>
      </c>
      <c r="U621" t="s">
        <v>595</v>
      </c>
      <c r="V621">
        <v>329.86889818033472</v>
      </c>
    </row>
    <row r="622" spans="16:22" x14ac:dyDescent="0.25">
      <c r="P622" t="s">
        <v>471</v>
      </c>
      <c r="Q622">
        <v>2035</v>
      </c>
      <c r="R622">
        <v>2</v>
      </c>
      <c r="S622" t="s">
        <v>466</v>
      </c>
      <c r="T622" t="s">
        <v>467</v>
      </c>
      <c r="U622" t="s">
        <v>596</v>
      </c>
      <c r="V622">
        <v>1018.3887749946243</v>
      </c>
    </row>
    <row r="623" spans="16:22" x14ac:dyDescent="0.25">
      <c r="P623" t="s">
        <v>471</v>
      </c>
      <c r="Q623">
        <v>2035</v>
      </c>
      <c r="R623">
        <v>2</v>
      </c>
      <c r="S623" t="s">
        <v>466</v>
      </c>
      <c r="T623" t="s">
        <v>467</v>
      </c>
      <c r="U623" t="s">
        <v>597</v>
      </c>
      <c r="V623">
        <v>0</v>
      </c>
    </row>
    <row r="624" spans="16:22" x14ac:dyDescent="0.25">
      <c r="P624" t="s">
        <v>471</v>
      </c>
      <c r="Q624">
        <v>2035</v>
      </c>
      <c r="R624">
        <v>2</v>
      </c>
      <c r="S624" t="s">
        <v>466</v>
      </c>
      <c r="T624" t="s">
        <v>467</v>
      </c>
      <c r="U624" t="s">
        <v>598</v>
      </c>
      <c r="V624">
        <v>828.22145545169667</v>
      </c>
    </row>
    <row r="625" spans="16:22" x14ac:dyDescent="0.25">
      <c r="P625" t="s">
        <v>471</v>
      </c>
      <c r="Q625">
        <v>2035</v>
      </c>
      <c r="R625">
        <v>2</v>
      </c>
      <c r="S625" t="s">
        <v>466</v>
      </c>
      <c r="T625" t="s">
        <v>468</v>
      </c>
      <c r="U625" t="s">
        <v>592</v>
      </c>
      <c r="V625">
        <v>31.11138107340858</v>
      </c>
    </row>
    <row r="626" spans="16:22" x14ac:dyDescent="0.25">
      <c r="P626" t="s">
        <v>471</v>
      </c>
      <c r="Q626">
        <v>2035</v>
      </c>
      <c r="R626">
        <v>2</v>
      </c>
      <c r="S626" t="s">
        <v>466</v>
      </c>
      <c r="T626" t="s">
        <v>468</v>
      </c>
      <c r="U626" t="s">
        <v>593</v>
      </c>
      <c r="V626">
        <v>396.40481566115278</v>
      </c>
    </row>
    <row r="627" spans="16:22" x14ac:dyDescent="0.25">
      <c r="P627" t="s">
        <v>471</v>
      </c>
      <c r="Q627">
        <v>2035</v>
      </c>
      <c r="R627">
        <v>2</v>
      </c>
      <c r="S627" t="s">
        <v>466</v>
      </c>
      <c r="T627" t="s">
        <v>468</v>
      </c>
      <c r="U627" t="s">
        <v>594</v>
      </c>
      <c r="V627">
        <v>0</v>
      </c>
    </row>
    <row r="628" spans="16:22" x14ac:dyDescent="0.25">
      <c r="P628" t="s">
        <v>471</v>
      </c>
      <c r="Q628">
        <v>2035</v>
      </c>
      <c r="R628">
        <v>2</v>
      </c>
      <c r="S628" t="s">
        <v>466</v>
      </c>
      <c r="T628" t="s">
        <v>468</v>
      </c>
      <c r="U628" t="s">
        <v>595</v>
      </c>
      <c r="V628">
        <v>329.86889818033472</v>
      </c>
    </row>
    <row r="629" spans="16:22" x14ac:dyDescent="0.25">
      <c r="P629" t="s">
        <v>471</v>
      </c>
      <c r="Q629">
        <v>2035</v>
      </c>
      <c r="R629">
        <v>2</v>
      </c>
      <c r="S629" t="s">
        <v>466</v>
      </c>
      <c r="T629" t="s">
        <v>468</v>
      </c>
      <c r="U629" t="s">
        <v>596</v>
      </c>
      <c r="V629">
        <v>1018.3887749946243</v>
      </c>
    </row>
    <row r="630" spans="16:22" x14ac:dyDescent="0.25">
      <c r="P630" t="s">
        <v>471</v>
      </c>
      <c r="Q630">
        <v>2035</v>
      </c>
      <c r="R630">
        <v>2</v>
      </c>
      <c r="S630" t="s">
        <v>466</v>
      </c>
      <c r="T630" t="s">
        <v>468</v>
      </c>
      <c r="U630" t="s">
        <v>597</v>
      </c>
      <c r="V630">
        <v>0</v>
      </c>
    </row>
    <row r="631" spans="16:22" x14ac:dyDescent="0.25">
      <c r="P631" t="s">
        <v>471</v>
      </c>
      <c r="Q631">
        <v>2035</v>
      </c>
      <c r="R631">
        <v>2</v>
      </c>
      <c r="S631" t="s">
        <v>466</v>
      </c>
      <c r="T631" t="s">
        <v>468</v>
      </c>
      <c r="U631" t="s">
        <v>598</v>
      </c>
      <c r="V631">
        <v>828.22145545169667</v>
      </c>
    </row>
    <row r="632" spans="16:22" x14ac:dyDescent="0.25">
      <c r="P632" t="s">
        <v>471</v>
      </c>
      <c r="Q632">
        <v>2035</v>
      </c>
      <c r="R632">
        <v>2</v>
      </c>
      <c r="S632" t="s">
        <v>469</v>
      </c>
      <c r="T632" t="s">
        <v>467</v>
      </c>
      <c r="U632" t="s">
        <v>592</v>
      </c>
      <c r="V632">
        <v>69.093712131299313</v>
      </c>
    </row>
    <row r="633" spans="16:22" x14ac:dyDescent="0.25">
      <c r="P633" t="s">
        <v>471</v>
      </c>
      <c r="Q633">
        <v>2035</v>
      </c>
      <c r="R633">
        <v>2</v>
      </c>
      <c r="S633" t="s">
        <v>469</v>
      </c>
      <c r="T633" t="s">
        <v>467</v>
      </c>
      <c r="U633" t="s">
        <v>593</v>
      </c>
      <c r="V633">
        <v>527.08292418742781</v>
      </c>
    </row>
    <row r="634" spans="16:22" x14ac:dyDescent="0.25">
      <c r="P634" t="s">
        <v>471</v>
      </c>
      <c r="Q634">
        <v>2035</v>
      </c>
      <c r="R634">
        <v>2</v>
      </c>
      <c r="S634" t="s">
        <v>469</v>
      </c>
      <c r="T634" t="s">
        <v>467</v>
      </c>
      <c r="U634" t="s">
        <v>594</v>
      </c>
      <c r="V634">
        <v>0</v>
      </c>
    </row>
    <row r="635" spans="16:22" x14ac:dyDescent="0.25">
      <c r="P635" t="s">
        <v>471</v>
      </c>
      <c r="Q635">
        <v>2035</v>
      </c>
      <c r="R635">
        <v>2</v>
      </c>
      <c r="S635" t="s">
        <v>469</v>
      </c>
      <c r="T635" t="s">
        <v>467</v>
      </c>
      <c r="U635" t="s">
        <v>595</v>
      </c>
      <c r="V635">
        <v>314.26366958839816</v>
      </c>
    </row>
    <row r="636" spans="16:22" x14ac:dyDescent="0.25">
      <c r="P636" t="s">
        <v>471</v>
      </c>
      <c r="Q636">
        <v>2035</v>
      </c>
      <c r="R636">
        <v>2</v>
      </c>
      <c r="S636" t="s">
        <v>469</v>
      </c>
      <c r="T636" t="s">
        <v>467</v>
      </c>
      <c r="U636" t="s">
        <v>596</v>
      </c>
      <c r="V636">
        <v>982.07603718161386</v>
      </c>
    </row>
    <row r="637" spans="16:22" x14ac:dyDescent="0.25">
      <c r="P637" t="s">
        <v>471</v>
      </c>
      <c r="Q637">
        <v>2035</v>
      </c>
      <c r="R637">
        <v>2</v>
      </c>
      <c r="S637" t="s">
        <v>469</v>
      </c>
      <c r="T637" t="s">
        <v>467</v>
      </c>
      <c r="U637" t="s">
        <v>597</v>
      </c>
      <c r="V637">
        <v>0</v>
      </c>
    </row>
    <row r="638" spans="16:22" x14ac:dyDescent="0.25">
      <c r="P638" t="s">
        <v>471</v>
      </c>
      <c r="Q638">
        <v>2035</v>
      </c>
      <c r="R638">
        <v>2</v>
      </c>
      <c r="S638" t="s">
        <v>469</v>
      </c>
      <c r="T638" t="s">
        <v>467</v>
      </c>
      <c r="U638" t="s">
        <v>598</v>
      </c>
      <c r="V638">
        <v>716.59230130470542</v>
      </c>
    </row>
    <row r="639" spans="16:22" x14ac:dyDescent="0.25">
      <c r="P639" t="s">
        <v>471</v>
      </c>
      <c r="Q639">
        <v>2035</v>
      </c>
      <c r="R639">
        <v>2</v>
      </c>
      <c r="S639" t="s">
        <v>469</v>
      </c>
      <c r="T639" t="s">
        <v>468</v>
      </c>
      <c r="U639" t="s">
        <v>592</v>
      </c>
      <c r="V639">
        <v>69.093712131299313</v>
      </c>
    </row>
    <row r="640" spans="16:22" x14ac:dyDescent="0.25">
      <c r="P640" t="s">
        <v>471</v>
      </c>
      <c r="Q640">
        <v>2035</v>
      </c>
      <c r="R640">
        <v>2</v>
      </c>
      <c r="S640" t="s">
        <v>469</v>
      </c>
      <c r="T640" t="s">
        <v>468</v>
      </c>
      <c r="U640" t="s">
        <v>593</v>
      </c>
      <c r="V640">
        <v>527.08292418742781</v>
      </c>
    </row>
    <row r="641" spans="16:22" x14ac:dyDescent="0.25">
      <c r="P641" t="s">
        <v>471</v>
      </c>
      <c r="Q641">
        <v>2035</v>
      </c>
      <c r="R641">
        <v>2</v>
      </c>
      <c r="S641" t="s">
        <v>469</v>
      </c>
      <c r="T641" t="s">
        <v>468</v>
      </c>
      <c r="U641" t="s">
        <v>594</v>
      </c>
      <c r="V641">
        <v>0</v>
      </c>
    </row>
    <row r="642" spans="16:22" x14ac:dyDescent="0.25">
      <c r="P642" t="s">
        <v>471</v>
      </c>
      <c r="Q642">
        <v>2035</v>
      </c>
      <c r="R642">
        <v>2</v>
      </c>
      <c r="S642" t="s">
        <v>469</v>
      </c>
      <c r="T642" t="s">
        <v>468</v>
      </c>
      <c r="U642" t="s">
        <v>595</v>
      </c>
      <c r="V642">
        <v>314.26366958839816</v>
      </c>
    </row>
    <row r="643" spans="16:22" x14ac:dyDescent="0.25">
      <c r="P643" t="s">
        <v>471</v>
      </c>
      <c r="Q643">
        <v>2035</v>
      </c>
      <c r="R643">
        <v>2</v>
      </c>
      <c r="S643" t="s">
        <v>469</v>
      </c>
      <c r="T643" t="s">
        <v>468</v>
      </c>
      <c r="U643" t="s">
        <v>596</v>
      </c>
      <c r="V643">
        <v>982.07603718161386</v>
      </c>
    </row>
    <row r="644" spans="16:22" x14ac:dyDescent="0.25">
      <c r="P644" t="s">
        <v>471</v>
      </c>
      <c r="Q644">
        <v>2035</v>
      </c>
      <c r="R644">
        <v>2</v>
      </c>
      <c r="S644" t="s">
        <v>469</v>
      </c>
      <c r="T644" t="s">
        <v>468</v>
      </c>
      <c r="U644" t="s">
        <v>597</v>
      </c>
      <c r="V644">
        <v>0</v>
      </c>
    </row>
    <row r="645" spans="16:22" x14ac:dyDescent="0.25">
      <c r="P645" t="s">
        <v>471</v>
      </c>
      <c r="Q645">
        <v>2035</v>
      </c>
      <c r="R645">
        <v>2</v>
      </c>
      <c r="S645" t="s">
        <v>469</v>
      </c>
      <c r="T645" t="s">
        <v>468</v>
      </c>
      <c r="U645" t="s">
        <v>598</v>
      </c>
      <c r="V645">
        <v>716.59230130470542</v>
      </c>
    </row>
    <row r="646" spans="16:22" x14ac:dyDescent="0.25">
      <c r="P646" t="s">
        <v>471</v>
      </c>
      <c r="Q646">
        <v>2050</v>
      </c>
      <c r="R646">
        <v>2</v>
      </c>
      <c r="S646" t="s">
        <v>466</v>
      </c>
      <c r="T646" t="s">
        <v>467</v>
      </c>
      <c r="U646" t="s">
        <v>592</v>
      </c>
      <c r="V646">
        <v>1.5544844879371439E-3</v>
      </c>
    </row>
    <row r="647" spans="16:22" x14ac:dyDescent="0.25">
      <c r="P647" t="s">
        <v>471</v>
      </c>
      <c r="Q647">
        <v>2050</v>
      </c>
      <c r="R647">
        <v>2</v>
      </c>
      <c r="S647" t="s">
        <v>466</v>
      </c>
      <c r="T647" t="s">
        <v>467</v>
      </c>
      <c r="U647" t="s">
        <v>593</v>
      </c>
      <c r="V647">
        <v>113.83695407572873</v>
      </c>
    </row>
    <row r="648" spans="16:22" x14ac:dyDescent="0.25">
      <c r="P648" t="s">
        <v>471</v>
      </c>
      <c r="Q648">
        <v>2050</v>
      </c>
      <c r="R648">
        <v>2</v>
      </c>
      <c r="S648" t="s">
        <v>466</v>
      </c>
      <c r="T648" t="s">
        <v>467</v>
      </c>
      <c r="U648" t="s">
        <v>594</v>
      </c>
      <c r="V648">
        <v>0</v>
      </c>
    </row>
    <row r="649" spans="16:22" x14ac:dyDescent="0.25">
      <c r="P649" t="s">
        <v>471</v>
      </c>
      <c r="Q649">
        <v>2050</v>
      </c>
      <c r="R649">
        <v>2</v>
      </c>
      <c r="S649" t="s">
        <v>466</v>
      </c>
      <c r="T649" t="s">
        <v>467</v>
      </c>
      <c r="U649" t="s">
        <v>595</v>
      </c>
      <c r="V649">
        <v>215.47776861229607</v>
      </c>
    </row>
    <row r="650" spans="16:22" x14ac:dyDescent="0.25">
      <c r="P650" t="s">
        <v>471</v>
      </c>
      <c r="Q650">
        <v>2050</v>
      </c>
      <c r="R650">
        <v>2</v>
      </c>
      <c r="S650" t="s">
        <v>466</v>
      </c>
      <c r="T650" t="s">
        <v>467</v>
      </c>
      <c r="U650" t="s">
        <v>596</v>
      </c>
      <c r="V650">
        <v>665.64181724712364</v>
      </c>
    </row>
    <row r="651" spans="16:22" x14ac:dyDescent="0.25">
      <c r="P651" t="s">
        <v>471</v>
      </c>
      <c r="Q651">
        <v>2050</v>
      </c>
      <c r="R651">
        <v>2</v>
      </c>
      <c r="S651" t="s">
        <v>466</v>
      </c>
      <c r="T651" t="s">
        <v>467</v>
      </c>
      <c r="U651" t="s">
        <v>597</v>
      </c>
      <c r="V651">
        <v>0</v>
      </c>
    </row>
    <row r="652" spans="16:22" x14ac:dyDescent="0.25">
      <c r="P652" t="s">
        <v>471</v>
      </c>
      <c r="Q652">
        <v>2050</v>
      </c>
      <c r="R652">
        <v>2</v>
      </c>
      <c r="S652" t="s">
        <v>466</v>
      </c>
      <c r="T652" t="s">
        <v>467</v>
      </c>
      <c r="U652" t="s">
        <v>598</v>
      </c>
      <c r="V652">
        <v>620.1442771648326</v>
      </c>
    </row>
    <row r="653" spans="16:22" x14ac:dyDescent="0.25">
      <c r="P653" t="s">
        <v>471</v>
      </c>
      <c r="Q653">
        <v>2050</v>
      </c>
      <c r="R653">
        <v>2</v>
      </c>
      <c r="S653" t="s">
        <v>466</v>
      </c>
      <c r="T653" t="s">
        <v>468</v>
      </c>
      <c r="U653" t="s">
        <v>592</v>
      </c>
      <c r="V653">
        <v>1.5544844879371439E-3</v>
      </c>
    </row>
    <row r="654" spans="16:22" x14ac:dyDescent="0.25">
      <c r="P654" t="s">
        <v>471</v>
      </c>
      <c r="Q654">
        <v>2050</v>
      </c>
      <c r="R654">
        <v>2</v>
      </c>
      <c r="S654" t="s">
        <v>466</v>
      </c>
      <c r="T654" t="s">
        <v>468</v>
      </c>
      <c r="U654" t="s">
        <v>593</v>
      </c>
      <c r="V654">
        <v>113.83695407572873</v>
      </c>
    </row>
    <row r="655" spans="16:22" x14ac:dyDescent="0.25">
      <c r="P655" t="s">
        <v>471</v>
      </c>
      <c r="Q655">
        <v>2050</v>
      </c>
      <c r="R655">
        <v>2</v>
      </c>
      <c r="S655" t="s">
        <v>466</v>
      </c>
      <c r="T655" t="s">
        <v>468</v>
      </c>
      <c r="U655" t="s">
        <v>594</v>
      </c>
      <c r="V655">
        <v>0</v>
      </c>
    </row>
    <row r="656" spans="16:22" x14ac:dyDescent="0.25">
      <c r="P656" t="s">
        <v>471</v>
      </c>
      <c r="Q656">
        <v>2050</v>
      </c>
      <c r="R656">
        <v>2</v>
      </c>
      <c r="S656" t="s">
        <v>466</v>
      </c>
      <c r="T656" t="s">
        <v>468</v>
      </c>
      <c r="U656" t="s">
        <v>595</v>
      </c>
      <c r="V656">
        <v>215.47776861229607</v>
      </c>
    </row>
    <row r="657" spans="16:22" x14ac:dyDescent="0.25">
      <c r="P657" t="s">
        <v>471</v>
      </c>
      <c r="Q657">
        <v>2050</v>
      </c>
      <c r="R657">
        <v>2</v>
      </c>
      <c r="S657" t="s">
        <v>466</v>
      </c>
      <c r="T657" t="s">
        <v>468</v>
      </c>
      <c r="U657" t="s">
        <v>596</v>
      </c>
      <c r="V657">
        <v>665.64181724712364</v>
      </c>
    </row>
    <row r="658" spans="16:22" x14ac:dyDescent="0.25">
      <c r="P658" t="s">
        <v>471</v>
      </c>
      <c r="Q658">
        <v>2050</v>
      </c>
      <c r="R658">
        <v>2</v>
      </c>
      <c r="S658" t="s">
        <v>466</v>
      </c>
      <c r="T658" t="s">
        <v>468</v>
      </c>
      <c r="U658" t="s">
        <v>597</v>
      </c>
      <c r="V658">
        <v>0</v>
      </c>
    </row>
    <row r="659" spans="16:22" x14ac:dyDescent="0.25">
      <c r="P659" t="s">
        <v>471</v>
      </c>
      <c r="Q659">
        <v>2050</v>
      </c>
      <c r="R659">
        <v>2</v>
      </c>
      <c r="S659" t="s">
        <v>466</v>
      </c>
      <c r="T659" t="s">
        <v>468</v>
      </c>
      <c r="U659" t="s">
        <v>598</v>
      </c>
      <c r="V659">
        <v>620.1442771648326</v>
      </c>
    </row>
    <row r="660" spans="16:22" x14ac:dyDescent="0.25">
      <c r="P660" t="s">
        <v>471</v>
      </c>
      <c r="Q660">
        <v>2050</v>
      </c>
      <c r="R660">
        <v>2</v>
      </c>
      <c r="S660" t="s">
        <v>469</v>
      </c>
      <c r="T660" t="s">
        <v>467</v>
      </c>
      <c r="U660" t="s">
        <v>592</v>
      </c>
      <c r="V660">
        <v>20.577497308714069</v>
      </c>
    </row>
    <row r="661" spans="16:22" x14ac:dyDescent="0.25">
      <c r="P661" t="s">
        <v>471</v>
      </c>
      <c r="Q661">
        <v>2050</v>
      </c>
      <c r="R661">
        <v>2</v>
      </c>
      <c r="S661" t="s">
        <v>469</v>
      </c>
      <c r="T661" t="s">
        <v>467</v>
      </c>
      <c r="U661" t="s">
        <v>593</v>
      </c>
      <c r="V661">
        <v>248.4510153950194</v>
      </c>
    </row>
    <row r="662" spans="16:22" x14ac:dyDescent="0.25">
      <c r="P662" t="s">
        <v>471</v>
      </c>
      <c r="Q662">
        <v>2050</v>
      </c>
      <c r="R662">
        <v>2</v>
      </c>
      <c r="S662" t="s">
        <v>469</v>
      </c>
      <c r="T662" t="s">
        <v>467</v>
      </c>
      <c r="U662" t="s">
        <v>594</v>
      </c>
      <c r="V662">
        <v>0</v>
      </c>
    </row>
    <row r="663" spans="16:22" x14ac:dyDescent="0.25">
      <c r="P663" t="s">
        <v>471</v>
      </c>
      <c r="Q663">
        <v>2050</v>
      </c>
      <c r="R663">
        <v>2</v>
      </c>
      <c r="S663" t="s">
        <v>469</v>
      </c>
      <c r="T663" t="s">
        <v>467</v>
      </c>
      <c r="U663" t="s">
        <v>595</v>
      </c>
      <c r="V663">
        <v>206.42754893132076</v>
      </c>
    </row>
    <row r="664" spans="16:22" x14ac:dyDescent="0.25">
      <c r="P664" t="s">
        <v>471</v>
      </c>
      <c r="Q664">
        <v>2050</v>
      </c>
      <c r="R664">
        <v>2</v>
      </c>
      <c r="S664" t="s">
        <v>469</v>
      </c>
      <c r="T664" t="s">
        <v>467</v>
      </c>
      <c r="U664" t="s">
        <v>596</v>
      </c>
      <c r="V664">
        <v>637.2335572339814</v>
      </c>
    </row>
    <row r="665" spans="16:22" x14ac:dyDescent="0.25">
      <c r="P665" t="s">
        <v>471</v>
      </c>
      <c r="Q665">
        <v>2050</v>
      </c>
      <c r="R665">
        <v>2</v>
      </c>
      <c r="S665" t="s">
        <v>469</v>
      </c>
      <c r="T665" t="s">
        <v>467</v>
      </c>
      <c r="U665" t="s">
        <v>597</v>
      </c>
      <c r="V665">
        <v>0</v>
      </c>
    </row>
    <row r="666" spans="16:22" x14ac:dyDescent="0.25">
      <c r="P666" t="s">
        <v>471</v>
      </c>
      <c r="Q666">
        <v>2050</v>
      </c>
      <c r="R666">
        <v>2</v>
      </c>
      <c r="S666" t="s">
        <v>469</v>
      </c>
      <c r="T666" t="s">
        <v>467</v>
      </c>
      <c r="U666" t="s">
        <v>598</v>
      </c>
      <c r="V666">
        <v>518.031763714112</v>
      </c>
    </row>
    <row r="667" spans="16:22" x14ac:dyDescent="0.25">
      <c r="P667" t="s">
        <v>471</v>
      </c>
      <c r="Q667">
        <v>2050</v>
      </c>
      <c r="R667">
        <v>2</v>
      </c>
      <c r="S667" t="s">
        <v>469</v>
      </c>
      <c r="T667" t="s">
        <v>468</v>
      </c>
      <c r="U667" t="s">
        <v>592</v>
      </c>
      <c r="V667">
        <v>20.577497308714069</v>
      </c>
    </row>
    <row r="668" spans="16:22" x14ac:dyDescent="0.25">
      <c r="P668" t="s">
        <v>471</v>
      </c>
      <c r="Q668">
        <v>2050</v>
      </c>
      <c r="R668">
        <v>2</v>
      </c>
      <c r="S668" t="s">
        <v>469</v>
      </c>
      <c r="T668" t="s">
        <v>468</v>
      </c>
      <c r="U668" t="s">
        <v>593</v>
      </c>
      <c r="V668">
        <v>248.4510153950194</v>
      </c>
    </row>
    <row r="669" spans="16:22" x14ac:dyDescent="0.25">
      <c r="P669" t="s">
        <v>471</v>
      </c>
      <c r="Q669">
        <v>2050</v>
      </c>
      <c r="R669">
        <v>2</v>
      </c>
      <c r="S669" t="s">
        <v>469</v>
      </c>
      <c r="T669" t="s">
        <v>468</v>
      </c>
      <c r="U669" t="s">
        <v>594</v>
      </c>
      <c r="V669">
        <v>0</v>
      </c>
    </row>
    <row r="670" spans="16:22" x14ac:dyDescent="0.25">
      <c r="P670" t="s">
        <v>471</v>
      </c>
      <c r="Q670">
        <v>2050</v>
      </c>
      <c r="R670">
        <v>2</v>
      </c>
      <c r="S670" t="s">
        <v>469</v>
      </c>
      <c r="T670" t="s">
        <v>468</v>
      </c>
      <c r="U670" t="s">
        <v>595</v>
      </c>
      <c r="V670">
        <v>206.42754893132076</v>
      </c>
    </row>
    <row r="671" spans="16:22" x14ac:dyDescent="0.25">
      <c r="P671" t="s">
        <v>471</v>
      </c>
      <c r="Q671">
        <v>2050</v>
      </c>
      <c r="R671">
        <v>2</v>
      </c>
      <c r="S671" t="s">
        <v>469</v>
      </c>
      <c r="T671" t="s">
        <v>468</v>
      </c>
      <c r="U671" t="s">
        <v>596</v>
      </c>
      <c r="V671">
        <v>637.2335572339814</v>
      </c>
    </row>
    <row r="672" spans="16:22" x14ac:dyDescent="0.25">
      <c r="P672" t="s">
        <v>471</v>
      </c>
      <c r="Q672">
        <v>2050</v>
      </c>
      <c r="R672">
        <v>2</v>
      </c>
      <c r="S672" t="s">
        <v>469</v>
      </c>
      <c r="T672" t="s">
        <v>468</v>
      </c>
      <c r="U672" t="s">
        <v>597</v>
      </c>
      <c r="V672">
        <v>0</v>
      </c>
    </row>
    <row r="673" spans="16:22" x14ac:dyDescent="0.25">
      <c r="P673" t="s">
        <v>471</v>
      </c>
      <c r="Q673">
        <v>2050</v>
      </c>
      <c r="R673">
        <v>2</v>
      </c>
      <c r="S673" t="s">
        <v>469</v>
      </c>
      <c r="T673" t="s">
        <v>468</v>
      </c>
      <c r="U673" t="s">
        <v>598</v>
      </c>
      <c r="V673">
        <v>518.031763714112</v>
      </c>
    </row>
    <row r="674" spans="16:22" x14ac:dyDescent="0.25">
      <c r="P674" t="s">
        <v>471</v>
      </c>
      <c r="Q674">
        <v>2035</v>
      </c>
      <c r="R674">
        <v>3</v>
      </c>
      <c r="S674" t="s">
        <v>466</v>
      </c>
      <c r="T674" t="s">
        <v>467</v>
      </c>
      <c r="U674" t="s">
        <v>592</v>
      </c>
      <c r="V674">
        <v>654.99048633637051</v>
      </c>
    </row>
    <row r="675" spans="16:22" x14ac:dyDescent="0.25">
      <c r="P675" t="s">
        <v>471</v>
      </c>
      <c r="Q675">
        <v>2035</v>
      </c>
      <c r="R675">
        <v>3</v>
      </c>
      <c r="S675" t="s">
        <v>466</v>
      </c>
      <c r="T675" t="s">
        <v>467</v>
      </c>
      <c r="U675" t="s">
        <v>593</v>
      </c>
      <c r="V675">
        <v>546.58970379827178</v>
      </c>
    </row>
    <row r="676" spans="16:22" x14ac:dyDescent="0.25">
      <c r="P676" t="s">
        <v>471</v>
      </c>
      <c r="Q676">
        <v>2035</v>
      </c>
      <c r="R676">
        <v>3</v>
      </c>
      <c r="S676" t="s">
        <v>466</v>
      </c>
      <c r="T676" t="s">
        <v>467</v>
      </c>
      <c r="U676" t="s">
        <v>594</v>
      </c>
      <c r="V676">
        <v>305.84544722538271</v>
      </c>
    </row>
    <row r="677" spans="16:22" x14ac:dyDescent="0.25">
      <c r="P677" t="s">
        <v>471</v>
      </c>
      <c r="Q677">
        <v>2035</v>
      </c>
      <c r="R677">
        <v>3</v>
      </c>
      <c r="S677" t="s">
        <v>466</v>
      </c>
      <c r="T677" t="s">
        <v>467</v>
      </c>
      <c r="U677" t="s">
        <v>595</v>
      </c>
      <c r="V677">
        <v>575.69984114834119</v>
      </c>
    </row>
    <row r="678" spans="16:22" x14ac:dyDescent="0.25">
      <c r="P678" t="s">
        <v>471</v>
      </c>
      <c r="Q678">
        <v>2035</v>
      </c>
      <c r="R678">
        <v>3</v>
      </c>
      <c r="S678" t="s">
        <v>466</v>
      </c>
      <c r="T678" t="s">
        <v>467</v>
      </c>
      <c r="U678" t="s">
        <v>596</v>
      </c>
      <c r="V678">
        <v>1280.5159588136223</v>
      </c>
    </row>
    <row r="679" spans="16:22" x14ac:dyDescent="0.25">
      <c r="P679" t="s">
        <v>471</v>
      </c>
      <c r="Q679">
        <v>2035</v>
      </c>
      <c r="R679">
        <v>3</v>
      </c>
      <c r="S679" t="s">
        <v>466</v>
      </c>
      <c r="T679" t="s">
        <v>467</v>
      </c>
      <c r="U679" t="s">
        <v>597</v>
      </c>
      <c r="V679">
        <v>1.3871638809558644E-2</v>
      </c>
    </row>
    <row r="680" spans="16:22" x14ac:dyDescent="0.25">
      <c r="P680" t="s">
        <v>471</v>
      </c>
      <c r="Q680">
        <v>2035</v>
      </c>
      <c r="R680">
        <v>3</v>
      </c>
      <c r="S680" t="s">
        <v>466</v>
      </c>
      <c r="T680" t="s">
        <v>467</v>
      </c>
      <c r="U680" t="s">
        <v>598</v>
      </c>
      <c r="V680">
        <v>3460.3052713523684</v>
      </c>
    </row>
    <row r="681" spans="16:22" x14ac:dyDescent="0.25">
      <c r="P681" t="s">
        <v>471</v>
      </c>
      <c r="Q681">
        <v>2035</v>
      </c>
      <c r="R681">
        <v>3</v>
      </c>
      <c r="S681" t="s">
        <v>466</v>
      </c>
      <c r="T681" t="s">
        <v>468</v>
      </c>
      <c r="U681" t="s">
        <v>592</v>
      </c>
      <c r="V681">
        <v>654.99048633637051</v>
      </c>
    </row>
    <row r="682" spans="16:22" x14ac:dyDescent="0.25">
      <c r="P682" t="s">
        <v>471</v>
      </c>
      <c r="Q682">
        <v>2035</v>
      </c>
      <c r="R682">
        <v>3</v>
      </c>
      <c r="S682" t="s">
        <v>466</v>
      </c>
      <c r="T682" t="s">
        <v>468</v>
      </c>
      <c r="U682" t="s">
        <v>593</v>
      </c>
      <c r="V682">
        <v>546.58970379827178</v>
      </c>
    </row>
    <row r="683" spans="16:22" x14ac:dyDescent="0.25">
      <c r="P683" t="s">
        <v>471</v>
      </c>
      <c r="Q683">
        <v>2035</v>
      </c>
      <c r="R683">
        <v>3</v>
      </c>
      <c r="S683" t="s">
        <v>466</v>
      </c>
      <c r="T683" t="s">
        <v>468</v>
      </c>
      <c r="U683" t="s">
        <v>594</v>
      </c>
      <c r="V683">
        <v>305.84544722538271</v>
      </c>
    </row>
    <row r="684" spans="16:22" x14ac:dyDescent="0.25">
      <c r="P684" t="s">
        <v>471</v>
      </c>
      <c r="Q684">
        <v>2035</v>
      </c>
      <c r="R684">
        <v>3</v>
      </c>
      <c r="S684" t="s">
        <v>466</v>
      </c>
      <c r="T684" t="s">
        <v>468</v>
      </c>
      <c r="U684" t="s">
        <v>595</v>
      </c>
      <c r="V684">
        <v>575.69984114834119</v>
      </c>
    </row>
    <row r="685" spans="16:22" x14ac:dyDescent="0.25">
      <c r="P685" t="s">
        <v>471</v>
      </c>
      <c r="Q685">
        <v>2035</v>
      </c>
      <c r="R685">
        <v>3</v>
      </c>
      <c r="S685" t="s">
        <v>466</v>
      </c>
      <c r="T685" t="s">
        <v>468</v>
      </c>
      <c r="U685" t="s">
        <v>596</v>
      </c>
      <c r="V685">
        <v>1280.5159588136223</v>
      </c>
    </row>
    <row r="686" spans="16:22" x14ac:dyDescent="0.25">
      <c r="P686" t="s">
        <v>471</v>
      </c>
      <c r="Q686">
        <v>2035</v>
      </c>
      <c r="R686">
        <v>3</v>
      </c>
      <c r="S686" t="s">
        <v>466</v>
      </c>
      <c r="T686" t="s">
        <v>468</v>
      </c>
      <c r="U686" t="s">
        <v>597</v>
      </c>
      <c r="V686">
        <v>1.3871638809558644E-2</v>
      </c>
    </row>
    <row r="687" spans="16:22" x14ac:dyDescent="0.25">
      <c r="P687" t="s">
        <v>471</v>
      </c>
      <c r="Q687">
        <v>2035</v>
      </c>
      <c r="R687">
        <v>3</v>
      </c>
      <c r="S687" t="s">
        <v>466</v>
      </c>
      <c r="T687" t="s">
        <v>468</v>
      </c>
      <c r="U687" t="s">
        <v>598</v>
      </c>
      <c r="V687">
        <v>3460.3052713523684</v>
      </c>
    </row>
    <row r="688" spans="16:22" x14ac:dyDescent="0.25">
      <c r="P688" t="s">
        <v>471</v>
      </c>
      <c r="Q688">
        <v>2035</v>
      </c>
      <c r="R688">
        <v>3</v>
      </c>
      <c r="S688" t="s">
        <v>469</v>
      </c>
      <c r="T688" t="s">
        <v>467</v>
      </c>
      <c r="U688" t="s">
        <v>592</v>
      </c>
      <c r="V688">
        <v>818.89930874557979</v>
      </c>
    </row>
    <row r="689" spans="16:22" x14ac:dyDescent="0.25">
      <c r="P689" t="s">
        <v>471</v>
      </c>
      <c r="Q689">
        <v>2035</v>
      </c>
      <c r="R689">
        <v>3</v>
      </c>
      <c r="S689" t="s">
        <v>469</v>
      </c>
      <c r="T689" t="s">
        <v>467</v>
      </c>
      <c r="U689" t="s">
        <v>593</v>
      </c>
      <c r="V689">
        <v>927.50795488196491</v>
      </c>
    </row>
    <row r="690" spans="16:22" x14ac:dyDescent="0.25">
      <c r="P690" t="s">
        <v>471</v>
      </c>
      <c r="Q690">
        <v>2035</v>
      </c>
      <c r="R690">
        <v>3</v>
      </c>
      <c r="S690" t="s">
        <v>469</v>
      </c>
      <c r="T690" t="s">
        <v>467</v>
      </c>
      <c r="U690" t="s">
        <v>594</v>
      </c>
      <c r="V690">
        <v>305.85107963292057</v>
      </c>
    </row>
    <row r="691" spans="16:22" x14ac:dyDescent="0.25">
      <c r="P691" t="s">
        <v>471</v>
      </c>
      <c r="Q691">
        <v>2035</v>
      </c>
      <c r="R691">
        <v>3</v>
      </c>
      <c r="S691" t="s">
        <v>469</v>
      </c>
      <c r="T691" t="s">
        <v>467</v>
      </c>
      <c r="U691" t="s">
        <v>595</v>
      </c>
      <c r="V691">
        <v>629.09023697296732</v>
      </c>
    </row>
    <row r="692" spans="16:22" x14ac:dyDescent="0.25">
      <c r="P692" t="s">
        <v>471</v>
      </c>
      <c r="Q692">
        <v>2035</v>
      </c>
      <c r="R692">
        <v>3</v>
      </c>
      <c r="S692" t="s">
        <v>469</v>
      </c>
      <c r="T692" t="s">
        <v>467</v>
      </c>
      <c r="U692" t="s">
        <v>596</v>
      </c>
      <c r="V692">
        <v>1176.1991491937183</v>
      </c>
    </row>
    <row r="693" spans="16:22" x14ac:dyDescent="0.25">
      <c r="P693" t="s">
        <v>471</v>
      </c>
      <c r="Q693">
        <v>2035</v>
      </c>
      <c r="R693">
        <v>3</v>
      </c>
      <c r="S693" t="s">
        <v>469</v>
      </c>
      <c r="T693" t="s">
        <v>467</v>
      </c>
      <c r="U693" t="s">
        <v>597</v>
      </c>
      <c r="V693">
        <v>53.616836517145714</v>
      </c>
    </row>
    <row r="694" spans="16:22" x14ac:dyDescent="0.25">
      <c r="P694" t="s">
        <v>471</v>
      </c>
      <c r="Q694">
        <v>2035</v>
      </c>
      <c r="R694">
        <v>3</v>
      </c>
      <c r="S694" t="s">
        <v>469</v>
      </c>
      <c r="T694" t="s">
        <v>467</v>
      </c>
      <c r="U694" t="s">
        <v>598</v>
      </c>
      <c r="V694">
        <v>2782.2756814007839</v>
      </c>
    </row>
    <row r="695" spans="16:22" x14ac:dyDescent="0.25">
      <c r="P695" t="s">
        <v>471</v>
      </c>
      <c r="Q695">
        <v>2035</v>
      </c>
      <c r="R695">
        <v>3</v>
      </c>
      <c r="S695" t="s">
        <v>469</v>
      </c>
      <c r="T695" t="s">
        <v>468</v>
      </c>
      <c r="U695" t="s">
        <v>592</v>
      </c>
      <c r="V695">
        <v>818.89930874557979</v>
      </c>
    </row>
    <row r="696" spans="16:22" x14ac:dyDescent="0.25">
      <c r="P696" t="s">
        <v>471</v>
      </c>
      <c r="Q696">
        <v>2035</v>
      </c>
      <c r="R696">
        <v>3</v>
      </c>
      <c r="S696" t="s">
        <v>469</v>
      </c>
      <c r="T696" t="s">
        <v>468</v>
      </c>
      <c r="U696" t="s">
        <v>593</v>
      </c>
      <c r="V696">
        <v>927.50795488196491</v>
      </c>
    </row>
    <row r="697" spans="16:22" x14ac:dyDescent="0.25">
      <c r="P697" t="s">
        <v>471</v>
      </c>
      <c r="Q697">
        <v>2035</v>
      </c>
      <c r="R697">
        <v>3</v>
      </c>
      <c r="S697" t="s">
        <v>469</v>
      </c>
      <c r="T697" t="s">
        <v>468</v>
      </c>
      <c r="U697" t="s">
        <v>594</v>
      </c>
      <c r="V697">
        <v>305.85107963292057</v>
      </c>
    </row>
    <row r="698" spans="16:22" x14ac:dyDescent="0.25">
      <c r="P698" t="s">
        <v>471</v>
      </c>
      <c r="Q698">
        <v>2035</v>
      </c>
      <c r="R698">
        <v>3</v>
      </c>
      <c r="S698" t="s">
        <v>469</v>
      </c>
      <c r="T698" t="s">
        <v>468</v>
      </c>
      <c r="U698" t="s">
        <v>595</v>
      </c>
      <c r="V698">
        <v>629.09023697296732</v>
      </c>
    </row>
    <row r="699" spans="16:22" x14ac:dyDescent="0.25">
      <c r="P699" t="s">
        <v>471</v>
      </c>
      <c r="Q699">
        <v>2035</v>
      </c>
      <c r="R699">
        <v>3</v>
      </c>
      <c r="S699" t="s">
        <v>469</v>
      </c>
      <c r="T699" t="s">
        <v>468</v>
      </c>
      <c r="U699" t="s">
        <v>596</v>
      </c>
      <c r="V699">
        <v>1176.1991491937183</v>
      </c>
    </row>
    <row r="700" spans="16:22" x14ac:dyDescent="0.25">
      <c r="P700" t="s">
        <v>471</v>
      </c>
      <c r="Q700">
        <v>2035</v>
      </c>
      <c r="R700">
        <v>3</v>
      </c>
      <c r="S700" t="s">
        <v>469</v>
      </c>
      <c r="T700" t="s">
        <v>468</v>
      </c>
      <c r="U700" t="s">
        <v>597</v>
      </c>
      <c r="V700">
        <v>53.616836517145714</v>
      </c>
    </row>
    <row r="701" spans="16:22" x14ac:dyDescent="0.25">
      <c r="P701" t="s">
        <v>471</v>
      </c>
      <c r="Q701">
        <v>2035</v>
      </c>
      <c r="R701">
        <v>3</v>
      </c>
      <c r="S701" t="s">
        <v>469</v>
      </c>
      <c r="T701" t="s">
        <v>468</v>
      </c>
      <c r="U701" t="s">
        <v>598</v>
      </c>
      <c r="V701">
        <v>2782.2756814007839</v>
      </c>
    </row>
    <row r="702" spans="16:22" x14ac:dyDescent="0.25">
      <c r="P702" t="s">
        <v>471</v>
      </c>
      <c r="Q702">
        <v>2050</v>
      </c>
      <c r="R702">
        <v>3</v>
      </c>
      <c r="S702" t="s">
        <v>466</v>
      </c>
      <c r="T702" t="s">
        <v>467</v>
      </c>
      <c r="U702" t="s">
        <v>592</v>
      </c>
      <c r="V702">
        <v>579.7592199702359</v>
      </c>
    </row>
    <row r="703" spans="16:22" x14ac:dyDescent="0.25">
      <c r="P703" t="s">
        <v>471</v>
      </c>
      <c r="Q703">
        <v>2050</v>
      </c>
      <c r="R703">
        <v>3</v>
      </c>
      <c r="S703" t="s">
        <v>466</v>
      </c>
      <c r="T703" t="s">
        <v>467</v>
      </c>
      <c r="U703" t="s">
        <v>593</v>
      </c>
      <c r="V703">
        <v>400.3865446936066</v>
      </c>
    </row>
    <row r="704" spans="16:22" x14ac:dyDescent="0.25">
      <c r="P704" t="s">
        <v>471</v>
      </c>
      <c r="Q704">
        <v>2050</v>
      </c>
      <c r="R704">
        <v>3</v>
      </c>
      <c r="S704" t="s">
        <v>466</v>
      </c>
      <c r="T704" t="s">
        <v>467</v>
      </c>
      <c r="U704" t="s">
        <v>594</v>
      </c>
      <c r="V704">
        <v>290.77856079284686</v>
      </c>
    </row>
    <row r="705" spans="16:22" x14ac:dyDescent="0.25">
      <c r="P705" t="s">
        <v>471</v>
      </c>
      <c r="Q705">
        <v>2050</v>
      </c>
      <c r="R705">
        <v>3</v>
      </c>
      <c r="S705" t="s">
        <v>466</v>
      </c>
      <c r="T705" t="s">
        <v>467</v>
      </c>
      <c r="U705" t="s">
        <v>595</v>
      </c>
      <c r="V705">
        <v>369.81685152810604</v>
      </c>
    </row>
    <row r="706" spans="16:22" x14ac:dyDescent="0.25">
      <c r="P706" t="s">
        <v>471</v>
      </c>
      <c r="Q706">
        <v>2050</v>
      </c>
      <c r="R706">
        <v>3</v>
      </c>
      <c r="S706" t="s">
        <v>466</v>
      </c>
      <c r="T706" t="s">
        <v>467</v>
      </c>
      <c r="U706" t="s">
        <v>596</v>
      </c>
      <c r="V706">
        <v>871.49089105230644</v>
      </c>
    </row>
    <row r="707" spans="16:22" x14ac:dyDescent="0.25">
      <c r="P707" t="s">
        <v>471</v>
      </c>
      <c r="Q707">
        <v>2050</v>
      </c>
      <c r="R707">
        <v>3</v>
      </c>
      <c r="S707" t="s">
        <v>466</v>
      </c>
      <c r="T707" t="s">
        <v>467</v>
      </c>
      <c r="U707" t="s">
        <v>597</v>
      </c>
      <c r="V707">
        <v>1.058203520278897E-3</v>
      </c>
    </row>
    <row r="708" spans="16:22" x14ac:dyDescent="0.25">
      <c r="P708" t="s">
        <v>471</v>
      </c>
      <c r="Q708">
        <v>2050</v>
      </c>
      <c r="R708">
        <v>3</v>
      </c>
      <c r="S708" t="s">
        <v>466</v>
      </c>
      <c r="T708" t="s">
        <v>467</v>
      </c>
      <c r="U708" t="s">
        <v>598</v>
      </c>
      <c r="V708">
        <v>2419.0398676237351</v>
      </c>
    </row>
    <row r="709" spans="16:22" x14ac:dyDescent="0.25">
      <c r="P709" t="s">
        <v>471</v>
      </c>
      <c r="Q709">
        <v>2050</v>
      </c>
      <c r="R709">
        <v>3</v>
      </c>
      <c r="S709" t="s">
        <v>466</v>
      </c>
      <c r="T709" t="s">
        <v>468</v>
      </c>
      <c r="U709" t="s">
        <v>592</v>
      </c>
      <c r="V709">
        <v>579.7592199702359</v>
      </c>
    </row>
    <row r="710" spans="16:22" x14ac:dyDescent="0.25">
      <c r="P710" t="s">
        <v>471</v>
      </c>
      <c r="Q710">
        <v>2050</v>
      </c>
      <c r="R710">
        <v>3</v>
      </c>
      <c r="S710" t="s">
        <v>466</v>
      </c>
      <c r="T710" t="s">
        <v>468</v>
      </c>
      <c r="U710" t="s">
        <v>593</v>
      </c>
      <c r="V710">
        <v>400.3865446936066</v>
      </c>
    </row>
    <row r="711" spans="16:22" x14ac:dyDescent="0.25">
      <c r="P711" t="s">
        <v>471</v>
      </c>
      <c r="Q711">
        <v>2050</v>
      </c>
      <c r="R711">
        <v>3</v>
      </c>
      <c r="S711" t="s">
        <v>466</v>
      </c>
      <c r="T711" t="s">
        <v>468</v>
      </c>
      <c r="U711" t="s">
        <v>594</v>
      </c>
      <c r="V711">
        <v>290.77856079284686</v>
      </c>
    </row>
    <row r="712" spans="16:22" x14ac:dyDescent="0.25">
      <c r="P712" t="s">
        <v>471</v>
      </c>
      <c r="Q712">
        <v>2050</v>
      </c>
      <c r="R712">
        <v>3</v>
      </c>
      <c r="S712" t="s">
        <v>466</v>
      </c>
      <c r="T712" t="s">
        <v>468</v>
      </c>
      <c r="U712" t="s">
        <v>595</v>
      </c>
      <c r="V712">
        <v>369.81685152810604</v>
      </c>
    </row>
    <row r="713" spans="16:22" x14ac:dyDescent="0.25">
      <c r="P713" t="s">
        <v>471</v>
      </c>
      <c r="Q713">
        <v>2050</v>
      </c>
      <c r="R713">
        <v>3</v>
      </c>
      <c r="S713" t="s">
        <v>466</v>
      </c>
      <c r="T713" t="s">
        <v>468</v>
      </c>
      <c r="U713" t="s">
        <v>596</v>
      </c>
      <c r="V713">
        <v>871.49089105230644</v>
      </c>
    </row>
    <row r="714" spans="16:22" x14ac:dyDescent="0.25">
      <c r="P714" t="s">
        <v>471</v>
      </c>
      <c r="Q714">
        <v>2050</v>
      </c>
      <c r="R714">
        <v>3</v>
      </c>
      <c r="S714" t="s">
        <v>466</v>
      </c>
      <c r="T714" t="s">
        <v>468</v>
      </c>
      <c r="U714" t="s">
        <v>597</v>
      </c>
      <c r="V714">
        <v>1.058203520278897E-3</v>
      </c>
    </row>
    <row r="715" spans="16:22" x14ac:dyDescent="0.25">
      <c r="P715" t="s">
        <v>471</v>
      </c>
      <c r="Q715">
        <v>2050</v>
      </c>
      <c r="R715">
        <v>3</v>
      </c>
      <c r="S715" t="s">
        <v>466</v>
      </c>
      <c r="T715" t="s">
        <v>468</v>
      </c>
      <c r="U715" t="s">
        <v>598</v>
      </c>
      <c r="V715">
        <v>2419.0398676237351</v>
      </c>
    </row>
    <row r="716" spans="16:22" x14ac:dyDescent="0.25">
      <c r="P716" t="s">
        <v>471</v>
      </c>
      <c r="Q716">
        <v>2050</v>
      </c>
      <c r="R716">
        <v>3</v>
      </c>
      <c r="S716" t="s">
        <v>469</v>
      </c>
      <c r="T716" t="s">
        <v>467</v>
      </c>
      <c r="U716" t="s">
        <v>592</v>
      </c>
      <c r="V716">
        <v>964.14913463690755</v>
      </c>
    </row>
    <row r="717" spans="16:22" x14ac:dyDescent="0.25">
      <c r="P717" t="s">
        <v>471</v>
      </c>
      <c r="Q717">
        <v>2050</v>
      </c>
      <c r="R717">
        <v>3</v>
      </c>
      <c r="S717" t="s">
        <v>469</v>
      </c>
      <c r="T717" t="s">
        <v>467</v>
      </c>
      <c r="U717" t="s">
        <v>593</v>
      </c>
      <c r="V717">
        <v>456.68303786972717</v>
      </c>
    </row>
    <row r="718" spans="16:22" x14ac:dyDescent="0.25">
      <c r="P718" t="s">
        <v>471</v>
      </c>
      <c r="Q718">
        <v>2050</v>
      </c>
      <c r="R718">
        <v>3</v>
      </c>
      <c r="S718" t="s">
        <v>469</v>
      </c>
      <c r="T718" t="s">
        <v>467</v>
      </c>
      <c r="U718" t="s">
        <v>594</v>
      </c>
      <c r="V718">
        <v>315.88421627417631</v>
      </c>
    </row>
    <row r="719" spans="16:22" x14ac:dyDescent="0.25">
      <c r="P719" t="s">
        <v>471</v>
      </c>
      <c r="Q719">
        <v>2050</v>
      </c>
      <c r="R719">
        <v>3</v>
      </c>
      <c r="S719" t="s">
        <v>469</v>
      </c>
      <c r="T719" t="s">
        <v>467</v>
      </c>
      <c r="U719" t="s">
        <v>595</v>
      </c>
      <c r="V719">
        <v>258.6292642427585</v>
      </c>
    </row>
    <row r="720" spans="16:22" x14ac:dyDescent="0.25">
      <c r="P720" t="s">
        <v>471</v>
      </c>
      <c r="Q720">
        <v>2050</v>
      </c>
      <c r="R720">
        <v>3</v>
      </c>
      <c r="S720" t="s">
        <v>469</v>
      </c>
      <c r="T720" t="s">
        <v>467</v>
      </c>
      <c r="U720" t="s">
        <v>596</v>
      </c>
      <c r="V720">
        <v>736.54505440286175</v>
      </c>
    </row>
    <row r="721" spans="16:22" x14ac:dyDescent="0.25">
      <c r="P721" t="s">
        <v>471</v>
      </c>
      <c r="Q721">
        <v>2050</v>
      </c>
      <c r="R721">
        <v>3</v>
      </c>
      <c r="S721" t="s">
        <v>469</v>
      </c>
      <c r="T721" t="s">
        <v>467</v>
      </c>
      <c r="U721" t="s">
        <v>597</v>
      </c>
      <c r="V721">
        <v>5.0811922240385334E-3</v>
      </c>
    </row>
    <row r="722" spans="16:22" x14ac:dyDescent="0.25">
      <c r="P722" t="s">
        <v>471</v>
      </c>
      <c r="Q722">
        <v>2050</v>
      </c>
      <c r="R722">
        <v>3</v>
      </c>
      <c r="S722" t="s">
        <v>469</v>
      </c>
      <c r="T722" t="s">
        <v>467</v>
      </c>
      <c r="U722" t="s">
        <v>598</v>
      </c>
      <c r="V722">
        <v>2197.7633659736102</v>
      </c>
    </row>
    <row r="723" spans="16:22" x14ac:dyDescent="0.25">
      <c r="P723" t="s">
        <v>471</v>
      </c>
      <c r="Q723">
        <v>2050</v>
      </c>
      <c r="R723">
        <v>3</v>
      </c>
      <c r="S723" t="s">
        <v>469</v>
      </c>
      <c r="T723" t="s">
        <v>468</v>
      </c>
      <c r="U723" t="s">
        <v>592</v>
      </c>
      <c r="V723">
        <v>964.14913463690755</v>
      </c>
    </row>
    <row r="724" spans="16:22" x14ac:dyDescent="0.25">
      <c r="P724" t="s">
        <v>471</v>
      </c>
      <c r="Q724">
        <v>2050</v>
      </c>
      <c r="R724">
        <v>3</v>
      </c>
      <c r="S724" t="s">
        <v>469</v>
      </c>
      <c r="T724" t="s">
        <v>468</v>
      </c>
      <c r="U724" t="s">
        <v>593</v>
      </c>
      <c r="V724">
        <v>456.68303786972717</v>
      </c>
    </row>
    <row r="725" spans="16:22" x14ac:dyDescent="0.25">
      <c r="P725" t="s">
        <v>471</v>
      </c>
      <c r="Q725">
        <v>2050</v>
      </c>
      <c r="R725">
        <v>3</v>
      </c>
      <c r="S725" t="s">
        <v>469</v>
      </c>
      <c r="T725" t="s">
        <v>468</v>
      </c>
      <c r="U725" t="s">
        <v>594</v>
      </c>
      <c r="V725">
        <v>315.88421627417631</v>
      </c>
    </row>
    <row r="726" spans="16:22" x14ac:dyDescent="0.25">
      <c r="P726" t="s">
        <v>471</v>
      </c>
      <c r="Q726">
        <v>2050</v>
      </c>
      <c r="R726">
        <v>3</v>
      </c>
      <c r="S726" t="s">
        <v>469</v>
      </c>
      <c r="T726" t="s">
        <v>468</v>
      </c>
      <c r="U726" t="s">
        <v>595</v>
      </c>
      <c r="V726">
        <v>258.6292642427585</v>
      </c>
    </row>
    <row r="727" spans="16:22" x14ac:dyDescent="0.25">
      <c r="P727" t="s">
        <v>471</v>
      </c>
      <c r="Q727">
        <v>2050</v>
      </c>
      <c r="R727">
        <v>3</v>
      </c>
      <c r="S727" t="s">
        <v>469</v>
      </c>
      <c r="T727" t="s">
        <v>468</v>
      </c>
      <c r="U727" t="s">
        <v>596</v>
      </c>
      <c r="V727">
        <v>736.54505440286175</v>
      </c>
    </row>
    <row r="728" spans="16:22" x14ac:dyDescent="0.25">
      <c r="P728" t="s">
        <v>471</v>
      </c>
      <c r="Q728">
        <v>2050</v>
      </c>
      <c r="R728">
        <v>3</v>
      </c>
      <c r="S728" t="s">
        <v>469</v>
      </c>
      <c r="T728" t="s">
        <v>468</v>
      </c>
      <c r="U728" t="s">
        <v>597</v>
      </c>
      <c r="V728">
        <v>5.0811922240385334E-3</v>
      </c>
    </row>
    <row r="729" spans="16:22" x14ac:dyDescent="0.25">
      <c r="P729" t="s">
        <v>471</v>
      </c>
      <c r="Q729">
        <v>2050</v>
      </c>
      <c r="R729">
        <v>3</v>
      </c>
      <c r="S729" t="s">
        <v>469</v>
      </c>
      <c r="T729" t="s">
        <v>468</v>
      </c>
      <c r="U729" t="s">
        <v>598</v>
      </c>
      <c r="V729">
        <v>2197.7633659736102</v>
      </c>
    </row>
    <row r="730" spans="16:22" x14ac:dyDescent="0.25">
      <c r="P730" t="s">
        <v>471</v>
      </c>
      <c r="Q730">
        <v>2035</v>
      </c>
      <c r="R730">
        <v>4</v>
      </c>
      <c r="S730" t="s">
        <v>466</v>
      </c>
      <c r="T730" t="s">
        <v>467</v>
      </c>
      <c r="U730" t="s">
        <v>592</v>
      </c>
      <c r="V730">
        <v>41.24720907441128</v>
      </c>
    </row>
    <row r="731" spans="16:22" x14ac:dyDescent="0.25">
      <c r="P731" t="s">
        <v>471</v>
      </c>
      <c r="Q731">
        <v>2035</v>
      </c>
      <c r="R731">
        <v>4</v>
      </c>
      <c r="S731" t="s">
        <v>466</v>
      </c>
      <c r="T731" t="s">
        <v>467</v>
      </c>
      <c r="U731" t="s">
        <v>593</v>
      </c>
      <c r="V731">
        <v>311.6567847172322</v>
      </c>
    </row>
    <row r="732" spans="16:22" x14ac:dyDescent="0.25">
      <c r="P732" t="s">
        <v>471</v>
      </c>
      <c r="Q732">
        <v>2035</v>
      </c>
      <c r="R732">
        <v>4</v>
      </c>
      <c r="S732" t="s">
        <v>466</v>
      </c>
      <c r="T732" t="s">
        <v>467</v>
      </c>
      <c r="U732" t="s">
        <v>594</v>
      </c>
      <c r="V732">
        <v>0</v>
      </c>
    </row>
    <row r="733" spans="16:22" x14ac:dyDescent="0.25">
      <c r="P733" t="s">
        <v>471</v>
      </c>
      <c r="Q733">
        <v>2035</v>
      </c>
      <c r="R733">
        <v>4</v>
      </c>
      <c r="S733" t="s">
        <v>466</v>
      </c>
      <c r="T733" t="s">
        <v>467</v>
      </c>
      <c r="U733" t="s">
        <v>595</v>
      </c>
      <c r="V733">
        <v>138.96474358943971</v>
      </c>
    </row>
    <row r="734" spans="16:22" x14ac:dyDescent="0.25">
      <c r="P734" t="s">
        <v>471</v>
      </c>
      <c r="Q734">
        <v>2035</v>
      </c>
      <c r="R734">
        <v>4</v>
      </c>
      <c r="S734" t="s">
        <v>466</v>
      </c>
      <c r="T734" t="s">
        <v>467</v>
      </c>
      <c r="U734" t="s">
        <v>596</v>
      </c>
      <c r="V734">
        <v>2.2107750220059335</v>
      </c>
    </row>
    <row r="735" spans="16:22" x14ac:dyDescent="0.25">
      <c r="P735" t="s">
        <v>471</v>
      </c>
      <c r="Q735">
        <v>2035</v>
      </c>
      <c r="R735">
        <v>4</v>
      </c>
      <c r="S735" t="s">
        <v>466</v>
      </c>
      <c r="T735" t="s">
        <v>467</v>
      </c>
      <c r="U735" t="s">
        <v>597</v>
      </c>
      <c r="V735">
        <v>0</v>
      </c>
    </row>
    <row r="736" spans="16:22" x14ac:dyDescent="0.25">
      <c r="P736" t="s">
        <v>471</v>
      </c>
      <c r="Q736">
        <v>2035</v>
      </c>
      <c r="R736">
        <v>4</v>
      </c>
      <c r="S736" t="s">
        <v>466</v>
      </c>
      <c r="T736" t="s">
        <v>467</v>
      </c>
      <c r="U736" t="s">
        <v>598</v>
      </c>
      <c r="V736">
        <v>8.1655699017820402E-11</v>
      </c>
    </row>
    <row r="737" spans="16:22" x14ac:dyDescent="0.25">
      <c r="P737" t="s">
        <v>471</v>
      </c>
      <c r="Q737">
        <v>2035</v>
      </c>
      <c r="R737">
        <v>4</v>
      </c>
      <c r="S737" t="s">
        <v>466</v>
      </c>
      <c r="T737" t="s">
        <v>468</v>
      </c>
      <c r="U737" t="s">
        <v>592</v>
      </c>
      <c r="V737">
        <v>41.24720907441128</v>
      </c>
    </row>
    <row r="738" spans="16:22" x14ac:dyDescent="0.25">
      <c r="P738" t="s">
        <v>471</v>
      </c>
      <c r="Q738">
        <v>2035</v>
      </c>
      <c r="R738">
        <v>4</v>
      </c>
      <c r="S738" t="s">
        <v>466</v>
      </c>
      <c r="T738" t="s">
        <v>468</v>
      </c>
      <c r="U738" t="s">
        <v>593</v>
      </c>
      <c r="V738">
        <v>311.6567847172322</v>
      </c>
    </row>
    <row r="739" spans="16:22" x14ac:dyDescent="0.25">
      <c r="P739" t="s">
        <v>471</v>
      </c>
      <c r="Q739">
        <v>2035</v>
      </c>
      <c r="R739">
        <v>4</v>
      </c>
      <c r="S739" t="s">
        <v>466</v>
      </c>
      <c r="T739" t="s">
        <v>468</v>
      </c>
      <c r="U739" t="s">
        <v>594</v>
      </c>
      <c r="V739">
        <v>0</v>
      </c>
    </row>
    <row r="740" spans="16:22" x14ac:dyDescent="0.25">
      <c r="P740" t="s">
        <v>471</v>
      </c>
      <c r="Q740">
        <v>2035</v>
      </c>
      <c r="R740">
        <v>4</v>
      </c>
      <c r="S740" t="s">
        <v>466</v>
      </c>
      <c r="T740" t="s">
        <v>468</v>
      </c>
      <c r="U740" t="s">
        <v>595</v>
      </c>
      <c r="V740">
        <v>138.96474358943971</v>
      </c>
    </row>
    <row r="741" spans="16:22" x14ac:dyDescent="0.25">
      <c r="P741" t="s">
        <v>471</v>
      </c>
      <c r="Q741">
        <v>2035</v>
      </c>
      <c r="R741">
        <v>4</v>
      </c>
      <c r="S741" t="s">
        <v>466</v>
      </c>
      <c r="T741" t="s">
        <v>468</v>
      </c>
      <c r="U741" t="s">
        <v>596</v>
      </c>
      <c r="V741">
        <v>2.2107750220059335</v>
      </c>
    </row>
    <row r="742" spans="16:22" x14ac:dyDescent="0.25">
      <c r="P742" t="s">
        <v>471</v>
      </c>
      <c r="Q742">
        <v>2035</v>
      </c>
      <c r="R742">
        <v>4</v>
      </c>
      <c r="S742" t="s">
        <v>466</v>
      </c>
      <c r="T742" t="s">
        <v>468</v>
      </c>
      <c r="U742" t="s">
        <v>597</v>
      </c>
      <c r="V742">
        <v>0</v>
      </c>
    </row>
    <row r="743" spans="16:22" x14ac:dyDescent="0.25">
      <c r="P743" t="s">
        <v>471</v>
      </c>
      <c r="Q743">
        <v>2035</v>
      </c>
      <c r="R743">
        <v>4</v>
      </c>
      <c r="S743" t="s">
        <v>466</v>
      </c>
      <c r="T743" t="s">
        <v>468</v>
      </c>
      <c r="U743" t="s">
        <v>598</v>
      </c>
      <c r="V743">
        <v>8.1655699017820402E-11</v>
      </c>
    </row>
    <row r="744" spans="16:22" x14ac:dyDescent="0.25">
      <c r="P744" t="s">
        <v>471</v>
      </c>
      <c r="Q744">
        <v>2035</v>
      </c>
      <c r="R744">
        <v>4</v>
      </c>
      <c r="S744" t="s">
        <v>469</v>
      </c>
      <c r="T744" t="s">
        <v>467</v>
      </c>
      <c r="U744" t="s">
        <v>592</v>
      </c>
      <c r="V744">
        <v>41.247209074418777</v>
      </c>
    </row>
    <row r="745" spans="16:22" x14ac:dyDescent="0.25">
      <c r="P745" t="s">
        <v>471</v>
      </c>
      <c r="Q745">
        <v>2035</v>
      </c>
      <c r="R745">
        <v>4</v>
      </c>
      <c r="S745" t="s">
        <v>469</v>
      </c>
      <c r="T745" t="s">
        <v>467</v>
      </c>
      <c r="U745" t="s">
        <v>593</v>
      </c>
      <c r="V745">
        <v>311.65678471725317</v>
      </c>
    </row>
    <row r="746" spans="16:22" x14ac:dyDescent="0.25">
      <c r="P746" t="s">
        <v>471</v>
      </c>
      <c r="Q746">
        <v>2035</v>
      </c>
      <c r="R746">
        <v>4</v>
      </c>
      <c r="S746" t="s">
        <v>469</v>
      </c>
      <c r="T746" t="s">
        <v>467</v>
      </c>
      <c r="U746" t="s">
        <v>594</v>
      </c>
      <c r="V746">
        <v>0</v>
      </c>
    </row>
    <row r="747" spans="16:22" x14ac:dyDescent="0.25">
      <c r="P747" t="s">
        <v>471</v>
      </c>
      <c r="Q747">
        <v>2035</v>
      </c>
      <c r="R747">
        <v>4</v>
      </c>
      <c r="S747" t="s">
        <v>469</v>
      </c>
      <c r="T747" t="s">
        <v>467</v>
      </c>
      <c r="U747" t="s">
        <v>595</v>
      </c>
      <c r="V747">
        <v>138.96474358962212</v>
      </c>
    </row>
    <row r="748" spans="16:22" x14ac:dyDescent="0.25">
      <c r="P748" t="s">
        <v>471</v>
      </c>
      <c r="Q748">
        <v>2035</v>
      </c>
      <c r="R748">
        <v>4</v>
      </c>
      <c r="S748" t="s">
        <v>469</v>
      </c>
      <c r="T748" t="s">
        <v>467</v>
      </c>
      <c r="U748" t="s">
        <v>596</v>
      </c>
      <c r="V748">
        <v>2.2124850540237637</v>
      </c>
    </row>
    <row r="749" spans="16:22" x14ac:dyDescent="0.25">
      <c r="P749" t="s">
        <v>471</v>
      </c>
      <c r="Q749">
        <v>2035</v>
      </c>
      <c r="R749">
        <v>4</v>
      </c>
      <c r="S749" t="s">
        <v>469</v>
      </c>
      <c r="T749" t="s">
        <v>467</v>
      </c>
      <c r="U749" t="s">
        <v>597</v>
      </c>
      <c r="V749">
        <v>0</v>
      </c>
    </row>
    <row r="750" spans="16:22" x14ac:dyDescent="0.25">
      <c r="P750" t="s">
        <v>471</v>
      </c>
      <c r="Q750">
        <v>2035</v>
      </c>
      <c r="R750">
        <v>4</v>
      </c>
      <c r="S750" t="s">
        <v>469</v>
      </c>
      <c r="T750" t="s">
        <v>467</v>
      </c>
      <c r="U750" t="s">
        <v>598</v>
      </c>
      <c r="V750">
        <v>3.3299505794480879E-11</v>
      </c>
    </row>
    <row r="751" spans="16:22" x14ac:dyDescent="0.25">
      <c r="P751" t="s">
        <v>471</v>
      </c>
      <c r="Q751">
        <v>2035</v>
      </c>
      <c r="R751">
        <v>4</v>
      </c>
      <c r="S751" t="s">
        <v>469</v>
      </c>
      <c r="T751" t="s">
        <v>468</v>
      </c>
      <c r="U751" t="s">
        <v>592</v>
      </c>
      <c r="V751">
        <v>41.247209074418777</v>
      </c>
    </row>
    <row r="752" spans="16:22" x14ac:dyDescent="0.25">
      <c r="P752" t="s">
        <v>471</v>
      </c>
      <c r="Q752">
        <v>2035</v>
      </c>
      <c r="R752">
        <v>4</v>
      </c>
      <c r="S752" t="s">
        <v>469</v>
      </c>
      <c r="T752" t="s">
        <v>468</v>
      </c>
      <c r="U752" t="s">
        <v>593</v>
      </c>
      <c r="V752">
        <v>311.65678471725317</v>
      </c>
    </row>
    <row r="753" spans="16:22" x14ac:dyDescent="0.25">
      <c r="P753" t="s">
        <v>471</v>
      </c>
      <c r="Q753">
        <v>2035</v>
      </c>
      <c r="R753">
        <v>4</v>
      </c>
      <c r="S753" t="s">
        <v>469</v>
      </c>
      <c r="T753" t="s">
        <v>468</v>
      </c>
      <c r="U753" t="s">
        <v>594</v>
      </c>
      <c r="V753">
        <v>0</v>
      </c>
    </row>
    <row r="754" spans="16:22" x14ac:dyDescent="0.25">
      <c r="P754" t="s">
        <v>471</v>
      </c>
      <c r="Q754">
        <v>2035</v>
      </c>
      <c r="R754">
        <v>4</v>
      </c>
      <c r="S754" t="s">
        <v>469</v>
      </c>
      <c r="T754" t="s">
        <v>468</v>
      </c>
      <c r="U754" t="s">
        <v>595</v>
      </c>
      <c r="V754">
        <v>138.96474358962212</v>
      </c>
    </row>
    <row r="755" spans="16:22" x14ac:dyDescent="0.25">
      <c r="P755" t="s">
        <v>471</v>
      </c>
      <c r="Q755">
        <v>2035</v>
      </c>
      <c r="R755">
        <v>4</v>
      </c>
      <c r="S755" t="s">
        <v>469</v>
      </c>
      <c r="T755" t="s">
        <v>468</v>
      </c>
      <c r="U755" t="s">
        <v>596</v>
      </c>
      <c r="V755">
        <v>2.2124850540237637</v>
      </c>
    </row>
    <row r="756" spans="16:22" x14ac:dyDescent="0.25">
      <c r="P756" t="s">
        <v>471</v>
      </c>
      <c r="Q756">
        <v>2035</v>
      </c>
      <c r="R756">
        <v>4</v>
      </c>
      <c r="S756" t="s">
        <v>469</v>
      </c>
      <c r="T756" t="s">
        <v>468</v>
      </c>
      <c r="U756" t="s">
        <v>597</v>
      </c>
      <c r="V756">
        <v>0</v>
      </c>
    </row>
    <row r="757" spans="16:22" x14ac:dyDescent="0.25">
      <c r="P757" t="s">
        <v>471</v>
      </c>
      <c r="Q757">
        <v>2035</v>
      </c>
      <c r="R757">
        <v>4</v>
      </c>
      <c r="S757" t="s">
        <v>469</v>
      </c>
      <c r="T757" t="s">
        <v>468</v>
      </c>
      <c r="U757" t="s">
        <v>598</v>
      </c>
      <c r="V757">
        <v>3.3299505794480879E-11</v>
      </c>
    </row>
    <row r="758" spans="16:22" x14ac:dyDescent="0.25">
      <c r="P758" t="s">
        <v>471</v>
      </c>
      <c r="Q758">
        <v>2050</v>
      </c>
      <c r="R758">
        <v>4</v>
      </c>
      <c r="S758" t="s">
        <v>466</v>
      </c>
      <c r="T758" t="s">
        <v>467</v>
      </c>
      <c r="U758" t="s">
        <v>592</v>
      </c>
      <c r="V758">
        <v>67.367271238158281</v>
      </c>
    </row>
    <row r="759" spans="16:22" x14ac:dyDescent="0.25">
      <c r="P759" t="s">
        <v>471</v>
      </c>
      <c r="Q759">
        <v>2050</v>
      </c>
      <c r="R759">
        <v>4</v>
      </c>
      <c r="S759" t="s">
        <v>466</v>
      </c>
      <c r="T759" t="s">
        <v>467</v>
      </c>
      <c r="U759" t="s">
        <v>593</v>
      </c>
      <c r="V759">
        <v>178.21447123844959</v>
      </c>
    </row>
    <row r="760" spans="16:22" x14ac:dyDescent="0.25">
      <c r="P760" t="s">
        <v>471</v>
      </c>
      <c r="Q760">
        <v>2050</v>
      </c>
      <c r="R760">
        <v>4</v>
      </c>
      <c r="S760" t="s">
        <v>466</v>
      </c>
      <c r="T760" t="s">
        <v>467</v>
      </c>
      <c r="U760" t="s">
        <v>594</v>
      </c>
      <c r="V760">
        <v>0</v>
      </c>
    </row>
    <row r="761" spans="16:22" x14ac:dyDescent="0.25">
      <c r="P761" t="s">
        <v>471</v>
      </c>
      <c r="Q761">
        <v>2050</v>
      </c>
      <c r="R761">
        <v>4</v>
      </c>
      <c r="S761" t="s">
        <v>466</v>
      </c>
      <c r="T761" t="s">
        <v>467</v>
      </c>
      <c r="U761" t="s">
        <v>595</v>
      </c>
      <c r="V761">
        <v>7.6964475279972602</v>
      </c>
    </row>
    <row r="762" spans="16:22" x14ac:dyDescent="0.25">
      <c r="P762" t="s">
        <v>471</v>
      </c>
      <c r="Q762">
        <v>2050</v>
      </c>
      <c r="R762">
        <v>4</v>
      </c>
      <c r="S762" t="s">
        <v>466</v>
      </c>
      <c r="T762" t="s">
        <v>467</v>
      </c>
      <c r="U762" t="s">
        <v>596</v>
      </c>
      <c r="V762">
        <v>62.469180553090382</v>
      </c>
    </row>
    <row r="763" spans="16:22" x14ac:dyDescent="0.25">
      <c r="P763" t="s">
        <v>471</v>
      </c>
      <c r="Q763">
        <v>2050</v>
      </c>
      <c r="R763">
        <v>4</v>
      </c>
      <c r="S763" t="s">
        <v>466</v>
      </c>
      <c r="T763" t="s">
        <v>467</v>
      </c>
      <c r="U763" t="s">
        <v>597</v>
      </c>
      <c r="V763">
        <v>0</v>
      </c>
    </row>
    <row r="764" spans="16:22" x14ac:dyDescent="0.25">
      <c r="P764" t="s">
        <v>471</v>
      </c>
      <c r="Q764">
        <v>2050</v>
      </c>
      <c r="R764">
        <v>4</v>
      </c>
      <c r="S764" t="s">
        <v>466</v>
      </c>
      <c r="T764" t="s">
        <v>467</v>
      </c>
      <c r="U764" t="s">
        <v>598</v>
      </c>
      <c r="V764">
        <v>0.21229974233764759</v>
      </c>
    </row>
    <row r="765" spans="16:22" x14ac:dyDescent="0.25">
      <c r="P765" t="s">
        <v>471</v>
      </c>
      <c r="Q765">
        <v>2050</v>
      </c>
      <c r="R765">
        <v>4</v>
      </c>
      <c r="S765" t="s">
        <v>466</v>
      </c>
      <c r="T765" t="s">
        <v>468</v>
      </c>
      <c r="U765" t="s">
        <v>592</v>
      </c>
      <c r="V765">
        <v>67.367271238158281</v>
      </c>
    </row>
    <row r="766" spans="16:22" x14ac:dyDescent="0.25">
      <c r="P766" t="s">
        <v>471</v>
      </c>
      <c r="Q766">
        <v>2050</v>
      </c>
      <c r="R766">
        <v>4</v>
      </c>
      <c r="S766" t="s">
        <v>466</v>
      </c>
      <c r="T766" t="s">
        <v>468</v>
      </c>
      <c r="U766" t="s">
        <v>593</v>
      </c>
      <c r="V766">
        <v>178.21447123844959</v>
      </c>
    </row>
    <row r="767" spans="16:22" x14ac:dyDescent="0.25">
      <c r="P767" t="s">
        <v>471</v>
      </c>
      <c r="Q767">
        <v>2050</v>
      </c>
      <c r="R767">
        <v>4</v>
      </c>
      <c r="S767" t="s">
        <v>466</v>
      </c>
      <c r="T767" t="s">
        <v>468</v>
      </c>
      <c r="U767" t="s">
        <v>594</v>
      </c>
      <c r="V767">
        <v>0</v>
      </c>
    </row>
    <row r="768" spans="16:22" x14ac:dyDescent="0.25">
      <c r="P768" t="s">
        <v>471</v>
      </c>
      <c r="Q768">
        <v>2050</v>
      </c>
      <c r="R768">
        <v>4</v>
      </c>
      <c r="S768" t="s">
        <v>466</v>
      </c>
      <c r="T768" t="s">
        <v>468</v>
      </c>
      <c r="U768" t="s">
        <v>595</v>
      </c>
      <c r="V768">
        <v>7.6964475279972602</v>
      </c>
    </row>
    <row r="769" spans="16:22" x14ac:dyDescent="0.25">
      <c r="P769" t="s">
        <v>471</v>
      </c>
      <c r="Q769">
        <v>2050</v>
      </c>
      <c r="R769">
        <v>4</v>
      </c>
      <c r="S769" t="s">
        <v>466</v>
      </c>
      <c r="T769" t="s">
        <v>468</v>
      </c>
      <c r="U769" t="s">
        <v>596</v>
      </c>
      <c r="V769">
        <v>62.469180553090382</v>
      </c>
    </row>
    <row r="770" spans="16:22" x14ac:dyDescent="0.25">
      <c r="P770" t="s">
        <v>471</v>
      </c>
      <c r="Q770">
        <v>2050</v>
      </c>
      <c r="R770">
        <v>4</v>
      </c>
      <c r="S770" t="s">
        <v>466</v>
      </c>
      <c r="T770" t="s">
        <v>468</v>
      </c>
      <c r="U770" t="s">
        <v>597</v>
      </c>
      <c r="V770">
        <v>0</v>
      </c>
    </row>
    <row r="771" spans="16:22" x14ac:dyDescent="0.25">
      <c r="P771" t="s">
        <v>471</v>
      </c>
      <c r="Q771">
        <v>2050</v>
      </c>
      <c r="R771">
        <v>4</v>
      </c>
      <c r="S771" t="s">
        <v>466</v>
      </c>
      <c r="T771" t="s">
        <v>468</v>
      </c>
      <c r="U771" t="s">
        <v>598</v>
      </c>
      <c r="V771">
        <v>0.21229974233764759</v>
      </c>
    </row>
    <row r="772" spans="16:22" x14ac:dyDescent="0.25">
      <c r="P772" t="s">
        <v>471</v>
      </c>
      <c r="Q772">
        <v>2050</v>
      </c>
      <c r="R772">
        <v>4</v>
      </c>
      <c r="S772" t="s">
        <v>469</v>
      </c>
      <c r="T772" t="s">
        <v>467</v>
      </c>
      <c r="U772" t="s">
        <v>592</v>
      </c>
      <c r="V772">
        <v>67.347741376179044</v>
      </c>
    </row>
    <row r="773" spans="16:22" x14ac:dyDescent="0.25">
      <c r="P773" t="s">
        <v>471</v>
      </c>
      <c r="Q773">
        <v>2050</v>
      </c>
      <c r="R773">
        <v>4</v>
      </c>
      <c r="S773" t="s">
        <v>469</v>
      </c>
      <c r="T773" t="s">
        <v>467</v>
      </c>
      <c r="U773" t="s">
        <v>593</v>
      </c>
      <c r="V773">
        <v>208.03299570310043</v>
      </c>
    </row>
    <row r="774" spans="16:22" x14ac:dyDescent="0.25">
      <c r="P774" t="s">
        <v>471</v>
      </c>
      <c r="Q774">
        <v>2050</v>
      </c>
      <c r="R774">
        <v>4</v>
      </c>
      <c r="S774" t="s">
        <v>469</v>
      </c>
      <c r="T774" t="s">
        <v>467</v>
      </c>
      <c r="U774" t="s">
        <v>594</v>
      </c>
      <c r="V774">
        <v>0</v>
      </c>
    </row>
    <row r="775" spans="16:22" x14ac:dyDescent="0.25">
      <c r="P775" t="s">
        <v>471</v>
      </c>
      <c r="Q775">
        <v>2050</v>
      </c>
      <c r="R775">
        <v>4</v>
      </c>
      <c r="S775" t="s">
        <v>469</v>
      </c>
      <c r="T775" t="s">
        <v>467</v>
      </c>
      <c r="U775" t="s">
        <v>595</v>
      </c>
      <c r="V775">
        <v>0.14721016045558455</v>
      </c>
    </row>
    <row r="776" spans="16:22" x14ac:dyDescent="0.25">
      <c r="P776" t="s">
        <v>471</v>
      </c>
      <c r="Q776">
        <v>2050</v>
      </c>
      <c r="R776">
        <v>4</v>
      </c>
      <c r="S776" t="s">
        <v>469</v>
      </c>
      <c r="T776" t="s">
        <v>467</v>
      </c>
      <c r="U776" t="s">
        <v>596</v>
      </c>
      <c r="V776">
        <v>41.677433065274414</v>
      </c>
    </row>
    <row r="777" spans="16:22" x14ac:dyDescent="0.25">
      <c r="P777" t="s">
        <v>471</v>
      </c>
      <c r="Q777">
        <v>2050</v>
      </c>
      <c r="R777">
        <v>4</v>
      </c>
      <c r="S777" t="s">
        <v>469</v>
      </c>
      <c r="T777" t="s">
        <v>467</v>
      </c>
      <c r="U777" t="s">
        <v>597</v>
      </c>
      <c r="V777">
        <v>0</v>
      </c>
    </row>
    <row r="778" spans="16:22" x14ac:dyDescent="0.25">
      <c r="P778" t="s">
        <v>471</v>
      </c>
      <c r="Q778">
        <v>2050</v>
      </c>
      <c r="R778">
        <v>4</v>
      </c>
      <c r="S778" t="s">
        <v>469</v>
      </c>
      <c r="T778" t="s">
        <v>467</v>
      </c>
      <c r="U778" t="s">
        <v>598</v>
      </c>
      <c r="V778">
        <v>0.20156596162119694</v>
      </c>
    </row>
    <row r="779" spans="16:22" x14ac:dyDescent="0.25">
      <c r="P779" t="s">
        <v>471</v>
      </c>
      <c r="Q779">
        <v>2050</v>
      </c>
      <c r="R779">
        <v>4</v>
      </c>
      <c r="S779" t="s">
        <v>469</v>
      </c>
      <c r="T779" t="s">
        <v>468</v>
      </c>
      <c r="U779" t="s">
        <v>592</v>
      </c>
      <c r="V779">
        <v>67.347741376179044</v>
      </c>
    </row>
    <row r="780" spans="16:22" x14ac:dyDescent="0.25">
      <c r="P780" t="s">
        <v>471</v>
      </c>
      <c r="Q780">
        <v>2050</v>
      </c>
      <c r="R780">
        <v>4</v>
      </c>
      <c r="S780" t="s">
        <v>469</v>
      </c>
      <c r="T780" t="s">
        <v>468</v>
      </c>
      <c r="U780" t="s">
        <v>593</v>
      </c>
      <c r="V780">
        <v>208.03299570310043</v>
      </c>
    </row>
    <row r="781" spans="16:22" x14ac:dyDescent="0.25">
      <c r="P781" t="s">
        <v>471</v>
      </c>
      <c r="Q781">
        <v>2050</v>
      </c>
      <c r="R781">
        <v>4</v>
      </c>
      <c r="S781" t="s">
        <v>469</v>
      </c>
      <c r="T781" t="s">
        <v>468</v>
      </c>
      <c r="U781" t="s">
        <v>594</v>
      </c>
      <c r="V781">
        <v>0</v>
      </c>
    </row>
    <row r="782" spans="16:22" x14ac:dyDescent="0.25">
      <c r="P782" t="s">
        <v>471</v>
      </c>
      <c r="Q782">
        <v>2050</v>
      </c>
      <c r="R782">
        <v>4</v>
      </c>
      <c r="S782" t="s">
        <v>469</v>
      </c>
      <c r="T782" t="s">
        <v>468</v>
      </c>
      <c r="U782" t="s">
        <v>595</v>
      </c>
      <c r="V782">
        <v>0.14721016045558455</v>
      </c>
    </row>
    <row r="783" spans="16:22" x14ac:dyDescent="0.25">
      <c r="P783" t="s">
        <v>471</v>
      </c>
      <c r="Q783">
        <v>2050</v>
      </c>
      <c r="R783">
        <v>4</v>
      </c>
      <c r="S783" t="s">
        <v>469</v>
      </c>
      <c r="T783" t="s">
        <v>468</v>
      </c>
      <c r="U783" t="s">
        <v>596</v>
      </c>
      <c r="V783">
        <v>41.677433065274414</v>
      </c>
    </row>
    <row r="784" spans="16:22" x14ac:dyDescent="0.25">
      <c r="P784" t="s">
        <v>471</v>
      </c>
      <c r="Q784">
        <v>2050</v>
      </c>
      <c r="R784">
        <v>4</v>
      </c>
      <c r="S784" t="s">
        <v>469</v>
      </c>
      <c r="T784" t="s">
        <v>468</v>
      </c>
      <c r="U784" t="s">
        <v>597</v>
      </c>
      <c r="V784">
        <v>0</v>
      </c>
    </row>
    <row r="785" spans="16:22" x14ac:dyDescent="0.25">
      <c r="P785" t="s">
        <v>471</v>
      </c>
      <c r="Q785">
        <v>2050</v>
      </c>
      <c r="R785">
        <v>4</v>
      </c>
      <c r="S785" t="s">
        <v>469</v>
      </c>
      <c r="T785" t="s">
        <v>468</v>
      </c>
      <c r="U785" t="s">
        <v>598</v>
      </c>
      <c r="V785">
        <v>0.20156596162119694</v>
      </c>
    </row>
    <row r="786" spans="16:22" x14ac:dyDescent="0.25">
      <c r="P786" t="s">
        <v>471</v>
      </c>
      <c r="Q786">
        <v>2035</v>
      </c>
      <c r="R786">
        <v>5</v>
      </c>
      <c r="S786" t="s">
        <v>466</v>
      </c>
      <c r="T786" t="s">
        <v>467</v>
      </c>
      <c r="U786" t="s">
        <v>592</v>
      </c>
      <c r="V786">
        <v>460.53089753752039</v>
      </c>
    </row>
    <row r="787" spans="16:22" x14ac:dyDescent="0.25">
      <c r="P787" t="s">
        <v>471</v>
      </c>
      <c r="Q787">
        <v>2035</v>
      </c>
      <c r="R787">
        <v>5</v>
      </c>
      <c r="S787" t="s">
        <v>466</v>
      </c>
      <c r="T787" t="s">
        <v>467</v>
      </c>
      <c r="U787" t="s">
        <v>593</v>
      </c>
      <c r="V787">
        <v>230.32383304914859</v>
      </c>
    </row>
    <row r="788" spans="16:22" x14ac:dyDescent="0.25">
      <c r="P788" t="s">
        <v>471</v>
      </c>
      <c r="Q788">
        <v>2035</v>
      </c>
      <c r="R788">
        <v>5</v>
      </c>
      <c r="S788" t="s">
        <v>466</v>
      </c>
      <c r="T788" t="s">
        <v>467</v>
      </c>
      <c r="U788" t="s">
        <v>594</v>
      </c>
      <c r="V788">
        <v>252.00298125934944</v>
      </c>
    </row>
    <row r="789" spans="16:22" x14ac:dyDescent="0.25">
      <c r="P789" t="s">
        <v>471</v>
      </c>
      <c r="Q789">
        <v>2035</v>
      </c>
      <c r="R789">
        <v>5</v>
      </c>
      <c r="S789" t="s">
        <v>466</v>
      </c>
      <c r="T789" t="s">
        <v>467</v>
      </c>
      <c r="U789" t="s">
        <v>595</v>
      </c>
      <c r="V789">
        <v>126.94147992352545</v>
      </c>
    </row>
    <row r="790" spans="16:22" x14ac:dyDescent="0.25">
      <c r="P790" t="s">
        <v>471</v>
      </c>
      <c r="Q790">
        <v>2035</v>
      </c>
      <c r="R790">
        <v>5</v>
      </c>
      <c r="S790" t="s">
        <v>466</v>
      </c>
      <c r="T790" t="s">
        <v>467</v>
      </c>
      <c r="U790" t="s">
        <v>596</v>
      </c>
      <c r="V790">
        <v>83.649053873070486</v>
      </c>
    </row>
    <row r="791" spans="16:22" x14ac:dyDescent="0.25">
      <c r="P791" t="s">
        <v>471</v>
      </c>
      <c r="Q791">
        <v>2035</v>
      </c>
      <c r="R791">
        <v>5</v>
      </c>
      <c r="S791" t="s">
        <v>466</v>
      </c>
      <c r="T791" t="s">
        <v>467</v>
      </c>
      <c r="U791" t="s">
        <v>597</v>
      </c>
      <c r="V791">
        <v>171.2652519992796</v>
      </c>
    </row>
    <row r="792" spans="16:22" x14ac:dyDescent="0.25">
      <c r="P792" t="s">
        <v>471</v>
      </c>
      <c r="Q792">
        <v>2035</v>
      </c>
      <c r="R792">
        <v>5</v>
      </c>
      <c r="S792" t="s">
        <v>466</v>
      </c>
      <c r="T792" t="s">
        <v>467</v>
      </c>
      <c r="U792" t="s">
        <v>598</v>
      </c>
      <c r="V792">
        <v>897.58063646305095</v>
      </c>
    </row>
    <row r="793" spans="16:22" x14ac:dyDescent="0.25">
      <c r="P793" t="s">
        <v>471</v>
      </c>
      <c r="Q793">
        <v>2035</v>
      </c>
      <c r="R793">
        <v>5</v>
      </c>
      <c r="S793" t="s">
        <v>466</v>
      </c>
      <c r="T793" t="s">
        <v>468</v>
      </c>
      <c r="U793" t="s">
        <v>592</v>
      </c>
      <c r="V793">
        <v>460.53089753752039</v>
      </c>
    </row>
    <row r="794" spans="16:22" x14ac:dyDescent="0.25">
      <c r="P794" t="s">
        <v>471</v>
      </c>
      <c r="Q794">
        <v>2035</v>
      </c>
      <c r="R794">
        <v>5</v>
      </c>
      <c r="S794" t="s">
        <v>466</v>
      </c>
      <c r="T794" t="s">
        <v>468</v>
      </c>
      <c r="U794" t="s">
        <v>593</v>
      </c>
      <c r="V794">
        <v>230.32383304914859</v>
      </c>
    </row>
    <row r="795" spans="16:22" x14ac:dyDescent="0.25">
      <c r="P795" t="s">
        <v>471</v>
      </c>
      <c r="Q795">
        <v>2035</v>
      </c>
      <c r="R795">
        <v>5</v>
      </c>
      <c r="S795" t="s">
        <v>466</v>
      </c>
      <c r="T795" t="s">
        <v>468</v>
      </c>
      <c r="U795" t="s">
        <v>594</v>
      </c>
      <c r="V795">
        <v>252.00298125934944</v>
      </c>
    </row>
    <row r="796" spans="16:22" x14ac:dyDescent="0.25">
      <c r="P796" t="s">
        <v>471</v>
      </c>
      <c r="Q796">
        <v>2035</v>
      </c>
      <c r="R796">
        <v>5</v>
      </c>
      <c r="S796" t="s">
        <v>466</v>
      </c>
      <c r="T796" t="s">
        <v>468</v>
      </c>
      <c r="U796" t="s">
        <v>595</v>
      </c>
      <c r="V796">
        <v>126.94147992352545</v>
      </c>
    </row>
    <row r="797" spans="16:22" x14ac:dyDescent="0.25">
      <c r="P797" t="s">
        <v>471</v>
      </c>
      <c r="Q797">
        <v>2035</v>
      </c>
      <c r="R797">
        <v>5</v>
      </c>
      <c r="S797" t="s">
        <v>466</v>
      </c>
      <c r="T797" t="s">
        <v>468</v>
      </c>
      <c r="U797" t="s">
        <v>596</v>
      </c>
      <c r="V797">
        <v>83.649053873070486</v>
      </c>
    </row>
    <row r="798" spans="16:22" x14ac:dyDescent="0.25">
      <c r="P798" t="s">
        <v>471</v>
      </c>
      <c r="Q798">
        <v>2035</v>
      </c>
      <c r="R798">
        <v>5</v>
      </c>
      <c r="S798" t="s">
        <v>466</v>
      </c>
      <c r="T798" t="s">
        <v>468</v>
      </c>
      <c r="U798" t="s">
        <v>597</v>
      </c>
      <c r="V798">
        <v>171.2652519992796</v>
      </c>
    </row>
    <row r="799" spans="16:22" x14ac:dyDescent="0.25">
      <c r="P799" t="s">
        <v>471</v>
      </c>
      <c r="Q799">
        <v>2035</v>
      </c>
      <c r="R799">
        <v>5</v>
      </c>
      <c r="S799" t="s">
        <v>466</v>
      </c>
      <c r="T799" t="s">
        <v>468</v>
      </c>
      <c r="U799" t="s">
        <v>598</v>
      </c>
      <c r="V799">
        <v>897.58063646305095</v>
      </c>
    </row>
    <row r="800" spans="16:22" x14ac:dyDescent="0.25">
      <c r="P800" t="s">
        <v>471</v>
      </c>
      <c r="Q800">
        <v>2035</v>
      </c>
      <c r="R800">
        <v>5</v>
      </c>
      <c r="S800" t="s">
        <v>469</v>
      </c>
      <c r="T800" t="s">
        <v>467</v>
      </c>
      <c r="U800" t="s">
        <v>592</v>
      </c>
      <c r="V800">
        <v>291.44018212638889</v>
      </c>
    </row>
    <row r="801" spans="16:22" x14ac:dyDescent="0.25">
      <c r="P801" t="s">
        <v>471</v>
      </c>
      <c r="Q801">
        <v>2035</v>
      </c>
      <c r="R801">
        <v>5</v>
      </c>
      <c r="S801" t="s">
        <v>469</v>
      </c>
      <c r="T801" t="s">
        <v>467</v>
      </c>
      <c r="U801" t="s">
        <v>593</v>
      </c>
      <c r="V801">
        <v>197.19224455891424</v>
      </c>
    </row>
    <row r="802" spans="16:22" x14ac:dyDescent="0.25">
      <c r="P802" t="s">
        <v>471</v>
      </c>
      <c r="Q802">
        <v>2035</v>
      </c>
      <c r="R802">
        <v>5</v>
      </c>
      <c r="S802" t="s">
        <v>469</v>
      </c>
      <c r="T802" t="s">
        <v>467</v>
      </c>
      <c r="U802" t="s">
        <v>594</v>
      </c>
      <c r="V802">
        <v>239.1699009526358</v>
      </c>
    </row>
    <row r="803" spans="16:22" x14ac:dyDescent="0.25">
      <c r="P803" t="s">
        <v>471</v>
      </c>
      <c r="Q803">
        <v>2035</v>
      </c>
      <c r="R803">
        <v>5</v>
      </c>
      <c r="S803" t="s">
        <v>469</v>
      </c>
      <c r="T803" t="s">
        <v>467</v>
      </c>
      <c r="U803" t="s">
        <v>595</v>
      </c>
      <c r="V803">
        <v>163.14702742374243</v>
      </c>
    </row>
    <row r="804" spans="16:22" x14ac:dyDescent="0.25">
      <c r="P804" t="s">
        <v>471</v>
      </c>
      <c r="Q804">
        <v>2035</v>
      </c>
      <c r="R804">
        <v>5</v>
      </c>
      <c r="S804" t="s">
        <v>469</v>
      </c>
      <c r="T804" t="s">
        <v>467</v>
      </c>
      <c r="U804" t="s">
        <v>596</v>
      </c>
      <c r="V804">
        <v>129.63262005276886</v>
      </c>
    </row>
    <row r="805" spans="16:22" x14ac:dyDescent="0.25">
      <c r="P805" t="s">
        <v>471</v>
      </c>
      <c r="Q805">
        <v>2035</v>
      </c>
      <c r="R805">
        <v>5</v>
      </c>
      <c r="S805" t="s">
        <v>469</v>
      </c>
      <c r="T805" t="s">
        <v>467</v>
      </c>
      <c r="U805" t="s">
        <v>597</v>
      </c>
      <c r="V805">
        <v>225.47910638856581</v>
      </c>
    </row>
    <row r="806" spans="16:22" x14ac:dyDescent="0.25">
      <c r="P806" t="s">
        <v>471</v>
      </c>
      <c r="Q806">
        <v>2035</v>
      </c>
      <c r="R806">
        <v>5</v>
      </c>
      <c r="S806" t="s">
        <v>469</v>
      </c>
      <c r="T806" t="s">
        <v>467</v>
      </c>
      <c r="U806" t="s">
        <v>598</v>
      </c>
      <c r="V806">
        <v>979.41927430376052</v>
      </c>
    </row>
    <row r="807" spans="16:22" x14ac:dyDescent="0.25">
      <c r="P807" t="s">
        <v>471</v>
      </c>
      <c r="Q807">
        <v>2035</v>
      </c>
      <c r="R807">
        <v>5</v>
      </c>
      <c r="S807" t="s">
        <v>469</v>
      </c>
      <c r="T807" t="s">
        <v>468</v>
      </c>
      <c r="U807" t="s">
        <v>592</v>
      </c>
      <c r="V807">
        <v>291.44018212638889</v>
      </c>
    </row>
    <row r="808" spans="16:22" x14ac:dyDescent="0.25">
      <c r="P808" t="s">
        <v>471</v>
      </c>
      <c r="Q808">
        <v>2035</v>
      </c>
      <c r="R808">
        <v>5</v>
      </c>
      <c r="S808" t="s">
        <v>469</v>
      </c>
      <c r="T808" t="s">
        <v>468</v>
      </c>
      <c r="U808" t="s">
        <v>593</v>
      </c>
      <c r="V808">
        <v>197.19224455891424</v>
      </c>
    </row>
    <row r="809" spans="16:22" x14ac:dyDescent="0.25">
      <c r="P809" t="s">
        <v>471</v>
      </c>
      <c r="Q809">
        <v>2035</v>
      </c>
      <c r="R809">
        <v>5</v>
      </c>
      <c r="S809" t="s">
        <v>469</v>
      </c>
      <c r="T809" t="s">
        <v>468</v>
      </c>
      <c r="U809" t="s">
        <v>594</v>
      </c>
      <c r="V809">
        <v>239.1699009526358</v>
      </c>
    </row>
    <row r="810" spans="16:22" x14ac:dyDescent="0.25">
      <c r="P810" t="s">
        <v>471</v>
      </c>
      <c r="Q810">
        <v>2035</v>
      </c>
      <c r="R810">
        <v>5</v>
      </c>
      <c r="S810" t="s">
        <v>469</v>
      </c>
      <c r="T810" t="s">
        <v>468</v>
      </c>
      <c r="U810" t="s">
        <v>595</v>
      </c>
      <c r="V810">
        <v>163.14702742374243</v>
      </c>
    </row>
    <row r="811" spans="16:22" x14ac:dyDescent="0.25">
      <c r="P811" t="s">
        <v>471</v>
      </c>
      <c r="Q811">
        <v>2035</v>
      </c>
      <c r="R811">
        <v>5</v>
      </c>
      <c r="S811" t="s">
        <v>469</v>
      </c>
      <c r="T811" t="s">
        <v>468</v>
      </c>
      <c r="U811" t="s">
        <v>596</v>
      </c>
      <c r="V811">
        <v>129.63262005276886</v>
      </c>
    </row>
    <row r="812" spans="16:22" x14ac:dyDescent="0.25">
      <c r="P812" t="s">
        <v>471</v>
      </c>
      <c r="Q812">
        <v>2035</v>
      </c>
      <c r="R812">
        <v>5</v>
      </c>
      <c r="S812" t="s">
        <v>469</v>
      </c>
      <c r="T812" t="s">
        <v>468</v>
      </c>
      <c r="U812" t="s">
        <v>597</v>
      </c>
      <c r="V812">
        <v>225.47910638856581</v>
      </c>
    </row>
    <row r="813" spans="16:22" x14ac:dyDescent="0.25">
      <c r="P813" t="s">
        <v>471</v>
      </c>
      <c r="Q813">
        <v>2035</v>
      </c>
      <c r="R813">
        <v>5</v>
      </c>
      <c r="S813" t="s">
        <v>469</v>
      </c>
      <c r="T813" t="s">
        <v>468</v>
      </c>
      <c r="U813" t="s">
        <v>598</v>
      </c>
      <c r="V813">
        <v>979.41927430376052</v>
      </c>
    </row>
    <row r="814" spans="16:22" x14ac:dyDescent="0.25">
      <c r="P814" t="s">
        <v>471</v>
      </c>
      <c r="Q814">
        <v>2050</v>
      </c>
      <c r="R814">
        <v>5</v>
      </c>
      <c r="S814" t="s">
        <v>466</v>
      </c>
      <c r="T814" t="s">
        <v>467</v>
      </c>
      <c r="U814" t="s">
        <v>592</v>
      </c>
      <c r="V814">
        <v>49.482279308556166</v>
      </c>
    </row>
    <row r="815" spans="16:22" x14ac:dyDescent="0.25">
      <c r="P815" t="s">
        <v>471</v>
      </c>
      <c r="Q815">
        <v>2050</v>
      </c>
      <c r="R815">
        <v>5</v>
      </c>
      <c r="S815" t="s">
        <v>466</v>
      </c>
      <c r="T815" t="s">
        <v>467</v>
      </c>
      <c r="U815" t="s">
        <v>593</v>
      </c>
      <c r="V815">
        <v>116.86779442172569</v>
      </c>
    </row>
    <row r="816" spans="16:22" x14ac:dyDescent="0.25">
      <c r="P816" t="s">
        <v>471</v>
      </c>
      <c r="Q816">
        <v>2050</v>
      </c>
      <c r="R816">
        <v>5</v>
      </c>
      <c r="S816" t="s">
        <v>466</v>
      </c>
      <c r="T816" t="s">
        <v>467</v>
      </c>
      <c r="U816" t="s">
        <v>594</v>
      </c>
      <c r="V816">
        <v>115.22113307438458</v>
      </c>
    </row>
    <row r="817" spans="16:22" x14ac:dyDescent="0.25">
      <c r="P817" t="s">
        <v>471</v>
      </c>
      <c r="Q817">
        <v>2050</v>
      </c>
      <c r="R817">
        <v>5</v>
      </c>
      <c r="S817" t="s">
        <v>466</v>
      </c>
      <c r="T817" t="s">
        <v>467</v>
      </c>
      <c r="U817" t="s">
        <v>595</v>
      </c>
      <c r="V817">
        <v>162.18882497701671</v>
      </c>
    </row>
    <row r="818" spans="16:22" x14ac:dyDescent="0.25">
      <c r="P818" t="s">
        <v>471</v>
      </c>
      <c r="Q818">
        <v>2050</v>
      </c>
      <c r="R818">
        <v>5</v>
      </c>
      <c r="S818" t="s">
        <v>466</v>
      </c>
      <c r="T818" t="s">
        <v>467</v>
      </c>
      <c r="U818" t="s">
        <v>596</v>
      </c>
      <c r="V818">
        <v>146.97261771549623</v>
      </c>
    </row>
    <row r="819" spans="16:22" x14ac:dyDescent="0.25">
      <c r="P819" t="s">
        <v>471</v>
      </c>
      <c r="Q819">
        <v>2050</v>
      </c>
      <c r="R819">
        <v>5</v>
      </c>
      <c r="S819" t="s">
        <v>466</v>
      </c>
      <c r="T819" t="s">
        <v>467</v>
      </c>
      <c r="U819" t="s">
        <v>597</v>
      </c>
      <c r="V819">
        <v>226.13247119539255</v>
      </c>
    </row>
    <row r="820" spans="16:22" x14ac:dyDescent="0.25">
      <c r="P820" t="s">
        <v>471</v>
      </c>
      <c r="Q820">
        <v>2050</v>
      </c>
      <c r="R820">
        <v>5</v>
      </c>
      <c r="S820" t="s">
        <v>466</v>
      </c>
      <c r="T820" t="s">
        <v>467</v>
      </c>
      <c r="U820" t="s">
        <v>598</v>
      </c>
      <c r="V820">
        <v>811.37589014279979</v>
      </c>
    </row>
    <row r="821" spans="16:22" x14ac:dyDescent="0.25">
      <c r="P821" t="s">
        <v>471</v>
      </c>
      <c r="Q821">
        <v>2050</v>
      </c>
      <c r="R821">
        <v>5</v>
      </c>
      <c r="S821" t="s">
        <v>466</v>
      </c>
      <c r="T821" t="s">
        <v>468</v>
      </c>
      <c r="U821" t="s">
        <v>592</v>
      </c>
      <c r="V821">
        <v>49.482279308556166</v>
      </c>
    </row>
    <row r="822" spans="16:22" x14ac:dyDescent="0.25">
      <c r="P822" t="s">
        <v>471</v>
      </c>
      <c r="Q822">
        <v>2050</v>
      </c>
      <c r="R822">
        <v>5</v>
      </c>
      <c r="S822" t="s">
        <v>466</v>
      </c>
      <c r="T822" t="s">
        <v>468</v>
      </c>
      <c r="U822" t="s">
        <v>593</v>
      </c>
      <c r="V822">
        <v>116.86779442172569</v>
      </c>
    </row>
    <row r="823" spans="16:22" x14ac:dyDescent="0.25">
      <c r="P823" t="s">
        <v>471</v>
      </c>
      <c r="Q823">
        <v>2050</v>
      </c>
      <c r="R823">
        <v>5</v>
      </c>
      <c r="S823" t="s">
        <v>466</v>
      </c>
      <c r="T823" t="s">
        <v>468</v>
      </c>
      <c r="U823" t="s">
        <v>594</v>
      </c>
      <c r="V823">
        <v>115.22113307438458</v>
      </c>
    </row>
    <row r="824" spans="16:22" x14ac:dyDescent="0.25">
      <c r="P824" t="s">
        <v>471</v>
      </c>
      <c r="Q824">
        <v>2050</v>
      </c>
      <c r="R824">
        <v>5</v>
      </c>
      <c r="S824" t="s">
        <v>466</v>
      </c>
      <c r="T824" t="s">
        <v>468</v>
      </c>
      <c r="U824" t="s">
        <v>595</v>
      </c>
      <c r="V824">
        <v>162.18882497701671</v>
      </c>
    </row>
    <row r="825" spans="16:22" x14ac:dyDescent="0.25">
      <c r="P825" t="s">
        <v>471</v>
      </c>
      <c r="Q825">
        <v>2050</v>
      </c>
      <c r="R825">
        <v>5</v>
      </c>
      <c r="S825" t="s">
        <v>466</v>
      </c>
      <c r="T825" t="s">
        <v>468</v>
      </c>
      <c r="U825" t="s">
        <v>596</v>
      </c>
      <c r="V825">
        <v>146.97261771549623</v>
      </c>
    </row>
    <row r="826" spans="16:22" x14ac:dyDescent="0.25">
      <c r="P826" t="s">
        <v>471</v>
      </c>
      <c r="Q826">
        <v>2050</v>
      </c>
      <c r="R826">
        <v>5</v>
      </c>
      <c r="S826" t="s">
        <v>466</v>
      </c>
      <c r="T826" t="s">
        <v>468</v>
      </c>
      <c r="U826" t="s">
        <v>597</v>
      </c>
      <c r="V826">
        <v>226.13247119539255</v>
      </c>
    </row>
    <row r="827" spans="16:22" x14ac:dyDescent="0.25">
      <c r="P827" t="s">
        <v>471</v>
      </c>
      <c r="Q827">
        <v>2050</v>
      </c>
      <c r="R827">
        <v>5</v>
      </c>
      <c r="S827" t="s">
        <v>466</v>
      </c>
      <c r="T827" t="s">
        <v>468</v>
      </c>
      <c r="U827" t="s">
        <v>598</v>
      </c>
      <c r="V827">
        <v>811.37589014279979</v>
      </c>
    </row>
    <row r="828" spans="16:22" x14ac:dyDescent="0.25">
      <c r="P828" t="s">
        <v>471</v>
      </c>
      <c r="Q828">
        <v>2050</v>
      </c>
      <c r="R828">
        <v>5</v>
      </c>
      <c r="S828" t="s">
        <v>469</v>
      </c>
      <c r="T828" t="s">
        <v>467</v>
      </c>
      <c r="U828" t="s">
        <v>592</v>
      </c>
      <c r="V828">
        <v>5.0469864462120563E-4</v>
      </c>
    </row>
    <row r="829" spans="16:22" x14ac:dyDescent="0.25">
      <c r="P829" t="s">
        <v>471</v>
      </c>
      <c r="Q829">
        <v>2050</v>
      </c>
      <c r="R829">
        <v>5</v>
      </c>
      <c r="S829" t="s">
        <v>469</v>
      </c>
      <c r="T829" t="s">
        <v>467</v>
      </c>
      <c r="U829" t="s">
        <v>593</v>
      </c>
      <c r="V829">
        <v>9.1806163458155513E-4</v>
      </c>
    </row>
    <row r="830" spans="16:22" x14ac:dyDescent="0.25">
      <c r="P830" t="s">
        <v>471</v>
      </c>
      <c r="Q830">
        <v>2050</v>
      </c>
      <c r="R830">
        <v>5</v>
      </c>
      <c r="S830" t="s">
        <v>469</v>
      </c>
      <c r="T830" t="s">
        <v>467</v>
      </c>
      <c r="U830" t="s">
        <v>594</v>
      </c>
      <c r="V830">
        <v>1.0439240297750395E-3</v>
      </c>
    </row>
    <row r="831" spans="16:22" x14ac:dyDescent="0.25">
      <c r="P831" t="s">
        <v>471</v>
      </c>
      <c r="Q831">
        <v>2050</v>
      </c>
      <c r="R831">
        <v>5</v>
      </c>
      <c r="S831" t="s">
        <v>469</v>
      </c>
      <c r="T831" t="s">
        <v>467</v>
      </c>
      <c r="U831" t="s">
        <v>595</v>
      </c>
      <c r="V831">
        <v>84.084582216496571</v>
      </c>
    </row>
    <row r="832" spans="16:22" x14ac:dyDescent="0.25">
      <c r="P832" t="s">
        <v>471</v>
      </c>
      <c r="Q832">
        <v>2050</v>
      </c>
      <c r="R832">
        <v>5</v>
      </c>
      <c r="S832" t="s">
        <v>469</v>
      </c>
      <c r="T832" t="s">
        <v>467</v>
      </c>
      <c r="U832" t="s">
        <v>596</v>
      </c>
      <c r="V832">
        <v>146.08175755164308</v>
      </c>
    </row>
    <row r="833" spans="16:22" x14ac:dyDescent="0.25">
      <c r="P833" t="s">
        <v>471</v>
      </c>
      <c r="Q833">
        <v>2050</v>
      </c>
      <c r="R833">
        <v>5</v>
      </c>
      <c r="S833" t="s">
        <v>469</v>
      </c>
      <c r="T833" t="s">
        <v>467</v>
      </c>
      <c r="U833" t="s">
        <v>597</v>
      </c>
      <c r="V833">
        <v>290.23468556588517</v>
      </c>
    </row>
    <row r="834" spans="16:22" x14ac:dyDescent="0.25">
      <c r="P834" t="s">
        <v>471</v>
      </c>
      <c r="Q834">
        <v>2050</v>
      </c>
      <c r="R834">
        <v>5</v>
      </c>
      <c r="S834" t="s">
        <v>469</v>
      </c>
      <c r="T834" t="s">
        <v>467</v>
      </c>
      <c r="U834" t="s">
        <v>598</v>
      </c>
      <c r="V834">
        <v>1093.4693207254597</v>
      </c>
    </row>
    <row r="835" spans="16:22" x14ac:dyDescent="0.25">
      <c r="P835" t="s">
        <v>471</v>
      </c>
      <c r="Q835">
        <v>2050</v>
      </c>
      <c r="R835">
        <v>5</v>
      </c>
      <c r="S835" t="s">
        <v>469</v>
      </c>
      <c r="T835" t="s">
        <v>468</v>
      </c>
      <c r="U835" t="s">
        <v>592</v>
      </c>
      <c r="V835">
        <v>5.0469864462120563E-4</v>
      </c>
    </row>
    <row r="836" spans="16:22" x14ac:dyDescent="0.25">
      <c r="P836" t="s">
        <v>471</v>
      </c>
      <c r="Q836">
        <v>2050</v>
      </c>
      <c r="R836">
        <v>5</v>
      </c>
      <c r="S836" t="s">
        <v>469</v>
      </c>
      <c r="T836" t="s">
        <v>468</v>
      </c>
      <c r="U836" t="s">
        <v>593</v>
      </c>
      <c r="V836">
        <v>9.1806163458155513E-4</v>
      </c>
    </row>
    <row r="837" spans="16:22" x14ac:dyDescent="0.25">
      <c r="P837" t="s">
        <v>471</v>
      </c>
      <c r="Q837">
        <v>2050</v>
      </c>
      <c r="R837">
        <v>5</v>
      </c>
      <c r="S837" t="s">
        <v>469</v>
      </c>
      <c r="T837" t="s">
        <v>468</v>
      </c>
      <c r="U837" t="s">
        <v>594</v>
      </c>
      <c r="V837">
        <v>1.0439240297750395E-3</v>
      </c>
    </row>
    <row r="838" spans="16:22" x14ac:dyDescent="0.25">
      <c r="P838" t="s">
        <v>471</v>
      </c>
      <c r="Q838">
        <v>2050</v>
      </c>
      <c r="R838">
        <v>5</v>
      </c>
      <c r="S838" t="s">
        <v>469</v>
      </c>
      <c r="T838" t="s">
        <v>468</v>
      </c>
      <c r="U838" t="s">
        <v>595</v>
      </c>
      <c r="V838">
        <v>84.084582216496571</v>
      </c>
    </row>
    <row r="839" spans="16:22" x14ac:dyDescent="0.25">
      <c r="P839" t="s">
        <v>471</v>
      </c>
      <c r="Q839">
        <v>2050</v>
      </c>
      <c r="R839">
        <v>5</v>
      </c>
      <c r="S839" t="s">
        <v>469</v>
      </c>
      <c r="T839" t="s">
        <v>468</v>
      </c>
      <c r="U839" t="s">
        <v>596</v>
      </c>
      <c r="V839">
        <v>146.08175755164308</v>
      </c>
    </row>
    <row r="840" spans="16:22" x14ac:dyDescent="0.25">
      <c r="P840" t="s">
        <v>471</v>
      </c>
      <c r="Q840">
        <v>2050</v>
      </c>
      <c r="R840">
        <v>5</v>
      </c>
      <c r="S840" t="s">
        <v>469</v>
      </c>
      <c r="T840" t="s">
        <v>468</v>
      </c>
      <c r="U840" t="s">
        <v>597</v>
      </c>
      <c r="V840">
        <v>290.23468556588517</v>
      </c>
    </row>
    <row r="841" spans="16:22" x14ac:dyDescent="0.25">
      <c r="P841" t="s">
        <v>471</v>
      </c>
      <c r="Q841">
        <v>2050</v>
      </c>
      <c r="R841">
        <v>5</v>
      </c>
      <c r="S841" t="s">
        <v>469</v>
      </c>
      <c r="T841" t="s">
        <v>468</v>
      </c>
      <c r="U841" t="s">
        <v>598</v>
      </c>
      <c r="V841">
        <v>1093.4693207254597</v>
      </c>
    </row>
    <row r="842" spans="16:22" x14ac:dyDescent="0.25">
      <c r="P842" t="s">
        <v>472</v>
      </c>
      <c r="Q842">
        <v>2035</v>
      </c>
      <c r="R842">
        <v>1</v>
      </c>
      <c r="S842" t="s">
        <v>466</v>
      </c>
      <c r="T842" t="s">
        <v>467</v>
      </c>
      <c r="U842" t="s">
        <v>592</v>
      </c>
      <c r="V842">
        <v>29.907412831345923</v>
      </c>
    </row>
    <row r="843" spans="16:22" x14ac:dyDescent="0.25">
      <c r="P843" t="s">
        <v>472</v>
      </c>
      <c r="Q843">
        <v>2035</v>
      </c>
      <c r="R843">
        <v>1</v>
      </c>
      <c r="S843" t="s">
        <v>466</v>
      </c>
      <c r="T843" t="s">
        <v>467</v>
      </c>
      <c r="U843" t="s">
        <v>593</v>
      </c>
      <c r="V843">
        <v>347.91846682823092</v>
      </c>
    </row>
    <row r="844" spans="16:22" x14ac:dyDescent="0.25">
      <c r="P844" t="s">
        <v>472</v>
      </c>
      <c r="Q844">
        <v>2035</v>
      </c>
      <c r="R844">
        <v>1</v>
      </c>
      <c r="S844" t="s">
        <v>466</v>
      </c>
      <c r="T844" t="s">
        <v>467</v>
      </c>
      <c r="U844" t="s">
        <v>594</v>
      </c>
      <c r="V844">
        <v>0</v>
      </c>
    </row>
    <row r="845" spans="16:22" x14ac:dyDescent="0.25">
      <c r="P845" t="s">
        <v>472</v>
      </c>
      <c r="Q845">
        <v>2035</v>
      </c>
      <c r="R845">
        <v>1</v>
      </c>
      <c r="S845" t="s">
        <v>466</v>
      </c>
      <c r="T845" t="s">
        <v>467</v>
      </c>
      <c r="U845" t="s">
        <v>595</v>
      </c>
      <c r="V845">
        <v>100.34817351632172</v>
      </c>
    </row>
    <row r="846" spans="16:22" x14ac:dyDescent="0.25">
      <c r="P846" t="s">
        <v>472</v>
      </c>
      <c r="Q846">
        <v>2035</v>
      </c>
      <c r="R846">
        <v>1</v>
      </c>
      <c r="S846" t="s">
        <v>466</v>
      </c>
      <c r="T846" t="s">
        <v>467</v>
      </c>
      <c r="U846" t="s">
        <v>596</v>
      </c>
      <c r="V846">
        <v>78.800831867477655</v>
      </c>
    </row>
    <row r="847" spans="16:22" x14ac:dyDescent="0.25">
      <c r="P847" t="s">
        <v>472</v>
      </c>
      <c r="Q847">
        <v>2035</v>
      </c>
      <c r="R847">
        <v>1</v>
      </c>
      <c r="S847" t="s">
        <v>466</v>
      </c>
      <c r="T847" t="s">
        <v>467</v>
      </c>
      <c r="U847" t="s">
        <v>597</v>
      </c>
      <c r="V847">
        <v>0</v>
      </c>
    </row>
    <row r="848" spans="16:22" x14ac:dyDescent="0.25">
      <c r="P848" t="s">
        <v>472</v>
      </c>
      <c r="Q848">
        <v>2035</v>
      </c>
      <c r="R848">
        <v>1</v>
      </c>
      <c r="S848" t="s">
        <v>466</v>
      </c>
      <c r="T848" t="s">
        <v>467</v>
      </c>
      <c r="U848" t="s">
        <v>598</v>
      </c>
      <c r="V848">
        <v>88.105196258262765</v>
      </c>
    </row>
    <row r="849" spans="16:22" x14ac:dyDescent="0.25">
      <c r="P849" t="s">
        <v>472</v>
      </c>
      <c r="Q849">
        <v>2035</v>
      </c>
      <c r="R849">
        <v>1</v>
      </c>
      <c r="S849" t="s">
        <v>466</v>
      </c>
      <c r="T849" t="s">
        <v>468</v>
      </c>
      <c r="U849" t="s">
        <v>592</v>
      </c>
      <c r="V849">
        <v>29.907412831345923</v>
      </c>
    </row>
    <row r="850" spans="16:22" x14ac:dyDescent="0.25">
      <c r="P850" t="s">
        <v>472</v>
      </c>
      <c r="Q850">
        <v>2035</v>
      </c>
      <c r="R850">
        <v>1</v>
      </c>
      <c r="S850" t="s">
        <v>466</v>
      </c>
      <c r="T850" t="s">
        <v>468</v>
      </c>
      <c r="U850" t="s">
        <v>593</v>
      </c>
      <c r="V850">
        <v>347.91846682823092</v>
      </c>
    </row>
    <row r="851" spans="16:22" x14ac:dyDescent="0.25">
      <c r="P851" t="s">
        <v>472</v>
      </c>
      <c r="Q851">
        <v>2035</v>
      </c>
      <c r="R851">
        <v>1</v>
      </c>
      <c r="S851" t="s">
        <v>466</v>
      </c>
      <c r="T851" t="s">
        <v>468</v>
      </c>
      <c r="U851" t="s">
        <v>594</v>
      </c>
      <c r="V851">
        <v>0</v>
      </c>
    </row>
    <row r="852" spans="16:22" x14ac:dyDescent="0.25">
      <c r="P852" t="s">
        <v>472</v>
      </c>
      <c r="Q852">
        <v>2035</v>
      </c>
      <c r="R852">
        <v>1</v>
      </c>
      <c r="S852" t="s">
        <v>466</v>
      </c>
      <c r="T852" t="s">
        <v>468</v>
      </c>
      <c r="U852" t="s">
        <v>595</v>
      </c>
      <c r="V852">
        <v>100.34817351632172</v>
      </c>
    </row>
    <row r="853" spans="16:22" x14ac:dyDescent="0.25">
      <c r="P853" t="s">
        <v>472</v>
      </c>
      <c r="Q853">
        <v>2035</v>
      </c>
      <c r="R853">
        <v>1</v>
      </c>
      <c r="S853" t="s">
        <v>466</v>
      </c>
      <c r="T853" t="s">
        <v>468</v>
      </c>
      <c r="U853" t="s">
        <v>596</v>
      </c>
      <c r="V853">
        <v>78.800831867477655</v>
      </c>
    </row>
    <row r="854" spans="16:22" x14ac:dyDescent="0.25">
      <c r="P854" t="s">
        <v>472</v>
      </c>
      <c r="Q854">
        <v>2035</v>
      </c>
      <c r="R854">
        <v>1</v>
      </c>
      <c r="S854" t="s">
        <v>466</v>
      </c>
      <c r="T854" t="s">
        <v>468</v>
      </c>
      <c r="U854" t="s">
        <v>597</v>
      </c>
      <c r="V854">
        <v>0</v>
      </c>
    </row>
    <row r="855" spans="16:22" x14ac:dyDescent="0.25">
      <c r="P855" t="s">
        <v>472</v>
      </c>
      <c r="Q855">
        <v>2035</v>
      </c>
      <c r="R855">
        <v>1</v>
      </c>
      <c r="S855" t="s">
        <v>466</v>
      </c>
      <c r="T855" t="s">
        <v>468</v>
      </c>
      <c r="U855" t="s">
        <v>598</v>
      </c>
      <c r="V855">
        <v>88.105196258262765</v>
      </c>
    </row>
    <row r="856" spans="16:22" x14ac:dyDescent="0.25">
      <c r="P856" t="s">
        <v>472</v>
      </c>
      <c r="Q856">
        <v>2035</v>
      </c>
      <c r="R856">
        <v>1</v>
      </c>
      <c r="S856" t="s">
        <v>469</v>
      </c>
      <c r="T856" t="s">
        <v>467</v>
      </c>
      <c r="U856" t="s">
        <v>592</v>
      </c>
      <c r="V856">
        <v>89.324377789495102</v>
      </c>
    </row>
    <row r="857" spans="16:22" x14ac:dyDescent="0.25">
      <c r="P857" t="s">
        <v>472</v>
      </c>
      <c r="Q857">
        <v>2035</v>
      </c>
      <c r="R857">
        <v>1</v>
      </c>
      <c r="S857" t="s">
        <v>469</v>
      </c>
      <c r="T857" t="s">
        <v>467</v>
      </c>
      <c r="U857" t="s">
        <v>593</v>
      </c>
      <c r="V857">
        <v>357.92474438549544</v>
      </c>
    </row>
    <row r="858" spans="16:22" x14ac:dyDescent="0.25">
      <c r="P858" t="s">
        <v>472</v>
      </c>
      <c r="Q858">
        <v>2035</v>
      </c>
      <c r="R858">
        <v>1</v>
      </c>
      <c r="S858" t="s">
        <v>469</v>
      </c>
      <c r="T858" t="s">
        <v>467</v>
      </c>
      <c r="U858" t="s">
        <v>594</v>
      </c>
      <c r="V858">
        <v>0</v>
      </c>
    </row>
    <row r="859" spans="16:22" x14ac:dyDescent="0.25">
      <c r="P859" t="s">
        <v>472</v>
      </c>
      <c r="Q859">
        <v>2035</v>
      </c>
      <c r="R859">
        <v>1</v>
      </c>
      <c r="S859" t="s">
        <v>469</v>
      </c>
      <c r="T859" t="s">
        <v>467</v>
      </c>
      <c r="U859" t="s">
        <v>595</v>
      </c>
      <c r="V859">
        <v>84.900378803323648</v>
      </c>
    </row>
    <row r="860" spans="16:22" x14ac:dyDescent="0.25">
      <c r="P860" t="s">
        <v>472</v>
      </c>
      <c r="Q860">
        <v>2035</v>
      </c>
      <c r="R860">
        <v>1</v>
      </c>
      <c r="S860" t="s">
        <v>469</v>
      </c>
      <c r="T860" t="s">
        <v>467</v>
      </c>
      <c r="U860" t="s">
        <v>596</v>
      </c>
      <c r="V860">
        <v>59.774122211769537</v>
      </c>
    </row>
    <row r="861" spans="16:22" x14ac:dyDescent="0.25">
      <c r="P861" t="s">
        <v>472</v>
      </c>
      <c r="Q861">
        <v>2035</v>
      </c>
      <c r="R861">
        <v>1</v>
      </c>
      <c r="S861" t="s">
        <v>469</v>
      </c>
      <c r="T861" t="s">
        <v>467</v>
      </c>
      <c r="U861" t="s">
        <v>597</v>
      </c>
      <c r="V861">
        <v>0</v>
      </c>
    </row>
    <row r="862" spans="16:22" x14ac:dyDescent="0.25">
      <c r="P862" t="s">
        <v>472</v>
      </c>
      <c r="Q862">
        <v>2035</v>
      </c>
      <c r="R862">
        <v>1</v>
      </c>
      <c r="S862" t="s">
        <v>469</v>
      </c>
      <c r="T862" t="s">
        <v>467</v>
      </c>
      <c r="U862" t="s">
        <v>598</v>
      </c>
      <c r="V862">
        <v>55.99711956124785</v>
      </c>
    </row>
    <row r="863" spans="16:22" x14ac:dyDescent="0.25">
      <c r="P863" t="s">
        <v>472</v>
      </c>
      <c r="Q863">
        <v>2035</v>
      </c>
      <c r="R863">
        <v>1</v>
      </c>
      <c r="S863" t="s">
        <v>469</v>
      </c>
      <c r="T863" t="s">
        <v>468</v>
      </c>
      <c r="U863" t="s">
        <v>592</v>
      </c>
      <c r="V863">
        <v>89.324377789495102</v>
      </c>
    </row>
    <row r="864" spans="16:22" x14ac:dyDescent="0.25">
      <c r="P864" t="s">
        <v>472</v>
      </c>
      <c r="Q864">
        <v>2035</v>
      </c>
      <c r="R864">
        <v>1</v>
      </c>
      <c r="S864" t="s">
        <v>469</v>
      </c>
      <c r="T864" t="s">
        <v>468</v>
      </c>
      <c r="U864" t="s">
        <v>593</v>
      </c>
      <c r="V864">
        <v>357.92474438549544</v>
      </c>
    </row>
    <row r="865" spans="16:22" x14ac:dyDescent="0.25">
      <c r="P865" t="s">
        <v>472</v>
      </c>
      <c r="Q865">
        <v>2035</v>
      </c>
      <c r="R865">
        <v>1</v>
      </c>
      <c r="S865" t="s">
        <v>469</v>
      </c>
      <c r="T865" t="s">
        <v>468</v>
      </c>
      <c r="U865" t="s">
        <v>594</v>
      </c>
      <c r="V865">
        <v>0</v>
      </c>
    </row>
    <row r="866" spans="16:22" x14ac:dyDescent="0.25">
      <c r="P866" t="s">
        <v>472</v>
      </c>
      <c r="Q866">
        <v>2035</v>
      </c>
      <c r="R866">
        <v>1</v>
      </c>
      <c r="S866" t="s">
        <v>469</v>
      </c>
      <c r="T866" t="s">
        <v>468</v>
      </c>
      <c r="U866" t="s">
        <v>595</v>
      </c>
      <c r="V866">
        <v>84.900378803323648</v>
      </c>
    </row>
    <row r="867" spans="16:22" x14ac:dyDescent="0.25">
      <c r="P867" t="s">
        <v>472</v>
      </c>
      <c r="Q867">
        <v>2035</v>
      </c>
      <c r="R867">
        <v>1</v>
      </c>
      <c r="S867" t="s">
        <v>469</v>
      </c>
      <c r="T867" t="s">
        <v>468</v>
      </c>
      <c r="U867" t="s">
        <v>596</v>
      </c>
      <c r="V867">
        <v>59.774122211769537</v>
      </c>
    </row>
    <row r="868" spans="16:22" x14ac:dyDescent="0.25">
      <c r="P868" t="s">
        <v>472</v>
      </c>
      <c r="Q868">
        <v>2035</v>
      </c>
      <c r="R868">
        <v>1</v>
      </c>
      <c r="S868" t="s">
        <v>469</v>
      </c>
      <c r="T868" t="s">
        <v>468</v>
      </c>
      <c r="U868" t="s">
        <v>597</v>
      </c>
      <c r="V868">
        <v>0</v>
      </c>
    </row>
    <row r="869" spans="16:22" x14ac:dyDescent="0.25">
      <c r="P869" t="s">
        <v>472</v>
      </c>
      <c r="Q869">
        <v>2035</v>
      </c>
      <c r="R869">
        <v>1</v>
      </c>
      <c r="S869" t="s">
        <v>469</v>
      </c>
      <c r="T869" t="s">
        <v>468</v>
      </c>
      <c r="U869" t="s">
        <v>598</v>
      </c>
      <c r="V869">
        <v>55.99711956124785</v>
      </c>
    </row>
    <row r="870" spans="16:22" x14ac:dyDescent="0.25">
      <c r="P870" t="s">
        <v>472</v>
      </c>
      <c r="Q870">
        <v>2050</v>
      </c>
      <c r="R870">
        <v>1</v>
      </c>
      <c r="S870" t="s">
        <v>466</v>
      </c>
      <c r="T870" t="s">
        <v>467</v>
      </c>
      <c r="U870" t="s">
        <v>592</v>
      </c>
      <c r="V870">
        <v>19.737411841762302</v>
      </c>
    </row>
    <row r="871" spans="16:22" x14ac:dyDescent="0.25">
      <c r="P871" t="s">
        <v>472</v>
      </c>
      <c r="Q871">
        <v>2050</v>
      </c>
      <c r="R871">
        <v>1</v>
      </c>
      <c r="S871" t="s">
        <v>466</v>
      </c>
      <c r="T871" t="s">
        <v>467</v>
      </c>
      <c r="U871" t="s">
        <v>593</v>
      </c>
      <c r="V871">
        <v>352.64677224150063</v>
      </c>
    </row>
    <row r="872" spans="16:22" x14ac:dyDescent="0.25">
      <c r="P872" t="s">
        <v>472</v>
      </c>
      <c r="Q872">
        <v>2050</v>
      </c>
      <c r="R872">
        <v>1</v>
      </c>
      <c r="S872" t="s">
        <v>466</v>
      </c>
      <c r="T872" t="s">
        <v>467</v>
      </c>
      <c r="U872" t="s">
        <v>594</v>
      </c>
      <c r="V872">
        <v>0</v>
      </c>
    </row>
    <row r="873" spans="16:22" x14ac:dyDescent="0.25">
      <c r="P873" t="s">
        <v>472</v>
      </c>
      <c r="Q873">
        <v>2050</v>
      </c>
      <c r="R873">
        <v>1</v>
      </c>
      <c r="S873" t="s">
        <v>466</v>
      </c>
      <c r="T873" t="s">
        <v>467</v>
      </c>
      <c r="U873" t="s">
        <v>595</v>
      </c>
      <c r="V873">
        <v>104.63912904738407</v>
      </c>
    </row>
    <row r="874" spans="16:22" x14ac:dyDescent="0.25">
      <c r="P874" t="s">
        <v>472</v>
      </c>
      <c r="Q874">
        <v>2050</v>
      </c>
      <c r="R874">
        <v>1</v>
      </c>
      <c r="S874" t="s">
        <v>466</v>
      </c>
      <c r="T874" t="s">
        <v>467</v>
      </c>
      <c r="U874" t="s">
        <v>596</v>
      </c>
      <c r="V874">
        <v>83.293614251777413</v>
      </c>
    </row>
    <row r="875" spans="16:22" x14ac:dyDescent="0.25">
      <c r="P875" t="s">
        <v>472</v>
      </c>
      <c r="Q875">
        <v>2050</v>
      </c>
      <c r="R875">
        <v>1</v>
      </c>
      <c r="S875" t="s">
        <v>466</v>
      </c>
      <c r="T875" t="s">
        <v>467</v>
      </c>
      <c r="U875" t="s">
        <v>597</v>
      </c>
      <c r="V875">
        <v>0</v>
      </c>
    </row>
    <row r="876" spans="16:22" x14ac:dyDescent="0.25">
      <c r="P876" t="s">
        <v>472</v>
      </c>
      <c r="Q876">
        <v>2050</v>
      </c>
      <c r="R876">
        <v>1</v>
      </c>
      <c r="S876" t="s">
        <v>466</v>
      </c>
      <c r="T876" t="s">
        <v>467</v>
      </c>
      <c r="U876" t="s">
        <v>598</v>
      </c>
      <c r="V876">
        <v>95.065406842398261</v>
      </c>
    </row>
    <row r="877" spans="16:22" x14ac:dyDescent="0.25">
      <c r="P877" t="s">
        <v>472</v>
      </c>
      <c r="Q877">
        <v>2050</v>
      </c>
      <c r="R877">
        <v>1</v>
      </c>
      <c r="S877" t="s">
        <v>466</v>
      </c>
      <c r="T877" t="s">
        <v>468</v>
      </c>
      <c r="U877" t="s">
        <v>592</v>
      </c>
      <c r="V877">
        <v>19.737411841762302</v>
      </c>
    </row>
    <row r="878" spans="16:22" x14ac:dyDescent="0.25">
      <c r="P878" t="s">
        <v>472</v>
      </c>
      <c r="Q878">
        <v>2050</v>
      </c>
      <c r="R878">
        <v>1</v>
      </c>
      <c r="S878" t="s">
        <v>466</v>
      </c>
      <c r="T878" t="s">
        <v>468</v>
      </c>
      <c r="U878" t="s">
        <v>593</v>
      </c>
      <c r="V878">
        <v>352.64677224150063</v>
      </c>
    </row>
    <row r="879" spans="16:22" x14ac:dyDescent="0.25">
      <c r="P879" t="s">
        <v>472</v>
      </c>
      <c r="Q879">
        <v>2050</v>
      </c>
      <c r="R879">
        <v>1</v>
      </c>
      <c r="S879" t="s">
        <v>466</v>
      </c>
      <c r="T879" t="s">
        <v>468</v>
      </c>
      <c r="U879" t="s">
        <v>594</v>
      </c>
      <c r="V879">
        <v>0</v>
      </c>
    </row>
    <row r="880" spans="16:22" x14ac:dyDescent="0.25">
      <c r="P880" t="s">
        <v>472</v>
      </c>
      <c r="Q880">
        <v>2050</v>
      </c>
      <c r="R880">
        <v>1</v>
      </c>
      <c r="S880" t="s">
        <v>466</v>
      </c>
      <c r="T880" t="s">
        <v>468</v>
      </c>
      <c r="U880" t="s">
        <v>595</v>
      </c>
      <c r="V880">
        <v>104.63912904738407</v>
      </c>
    </row>
    <row r="881" spans="16:22" x14ac:dyDescent="0.25">
      <c r="P881" t="s">
        <v>472</v>
      </c>
      <c r="Q881">
        <v>2050</v>
      </c>
      <c r="R881">
        <v>1</v>
      </c>
      <c r="S881" t="s">
        <v>466</v>
      </c>
      <c r="T881" t="s">
        <v>468</v>
      </c>
      <c r="U881" t="s">
        <v>596</v>
      </c>
      <c r="V881">
        <v>83.293614251777413</v>
      </c>
    </row>
    <row r="882" spans="16:22" x14ac:dyDescent="0.25">
      <c r="P882" t="s">
        <v>472</v>
      </c>
      <c r="Q882">
        <v>2050</v>
      </c>
      <c r="R882">
        <v>1</v>
      </c>
      <c r="S882" t="s">
        <v>466</v>
      </c>
      <c r="T882" t="s">
        <v>468</v>
      </c>
      <c r="U882" t="s">
        <v>597</v>
      </c>
      <c r="V882">
        <v>0</v>
      </c>
    </row>
    <row r="883" spans="16:22" x14ac:dyDescent="0.25">
      <c r="P883" t="s">
        <v>472</v>
      </c>
      <c r="Q883">
        <v>2050</v>
      </c>
      <c r="R883">
        <v>1</v>
      </c>
      <c r="S883" t="s">
        <v>466</v>
      </c>
      <c r="T883" t="s">
        <v>468</v>
      </c>
      <c r="U883" t="s">
        <v>598</v>
      </c>
      <c r="V883">
        <v>95.065406842398261</v>
      </c>
    </row>
    <row r="884" spans="16:22" x14ac:dyDescent="0.25">
      <c r="P884" t="s">
        <v>472</v>
      </c>
      <c r="Q884">
        <v>2050</v>
      </c>
      <c r="R884">
        <v>1</v>
      </c>
      <c r="S884" t="s">
        <v>469</v>
      </c>
      <c r="T884" t="s">
        <v>467</v>
      </c>
      <c r="U884" t="s">
        <v>592</v>
      </c>
      <c r="V884">
        <v>106.78273547267676</v>
      </c>
    </row>
    <row r="885" spans="16:22" x14ac:dyDescent="0.25">
      <c r="P885" t="s">
        <v>472</v>
      </c>
      <c r="Q885">
        <v>2050</v>
      </c>
      <c r="R885">
        <v>1</v>
      </c>
      <c r="S885" t="s">
        <v>469</v>
      </c>
      <c r="T885" t="s">
        <v>467</v>
      </c>
      <c r="U885" t="s">
        <v>593</v>
      </c>
      <c r="V885">
        <v>367.45390746032865</v>
      </c>
    </row>
    <row r="886" spans="16:22" x14ac:dyDescent="0.25">
      <c r="P886" t="s">
        <v>472</v>
      </c>
      <c r="Q886">
        <v>2050</v>
      </c>
      <c r="R886">
        <v>1</v>
      </c>
      <c r="S886" t="s">
        <v>469</v>
      </c>
      <c r="T886" t="s">
        <v>467</v>
      </c>
      <c r="U886" t="s">
        <v>594</v>
      </c>
      <c r="V886">
        <v>0</v>
      </c>
    </row>
    <row r="887" spans="16:22" x14ac:dyDescent="0.25">
      <c r="P887" t="s">
        <v>472</v>
      </c>
      <c r="Q887">
        <v>2050</v>
      </c>
      <c r="R887">
        <v>1</v>
      </c>
      <c r="S887" t="s">
        <v>469</v>
      </c>
      <c r="T887" t="s">
        <v>467</v>
      </c>
      <c r="U887" t="s">
        <v>595</v>
      </c>
      <c r="V887">
        <v>82.330237224834846</v>
      </c>
    </row>
    <row r="888" spans="16:22" x14ac:dyDescent="0.25">
      <c r="P888" t="s">
        <v>472</v>
      </c>
      <c r="Q888">
        <v>2050</v>
      </c>
      <c r="R888">
        <v>1</v>
      </c>
      <c r="S888" t="s">
        <v>469</v>
      </c>
      <c r="T888" t="s">
        <v>467</v>
      </c>
      <c r="U888" t="s">
        <v>596</v>
      </c>
      <c r="V888">
        <v>55.76254955384568</v>
      </c>
    </row>
    <row r="889" spans="16:22" x14ac:dyDescent="0.25">
      <c r="P889" t="s">
        <v>472</v>
      </c>
      <c r="Q889">
        <v>2050</v>
      </c>
      <c r="R889">
        <v>1</v>
      </c>
      <c r="S889" t="s">
        <v>469</v>
      </c>
      <c r="T889" t="s">
        <v>467</v>
      </c>
      <c r="U889" t="s">
        <v>597</v>
      </c>
      <c r="V889">
        <v>0</v>
      </c>
    </row>
    <row r="890" spans="16:22" x14ac:dyDescent="0.25">
      <c r="P890" t="s">
        <v>472</v>
      </c>
      <c r="Q890">
        <v>2050</v>
      </c>
      <c r="R890">
        <v>1</v>
      </c>
      <c r="S890" t="s">
        <v>469</v>
      </c>
      <c r="T890" t="s">
        <v>467</v>
      </c>
      <c r="U890" t="s">
        <v>598</v>
      </c>
      <c r="V890">
        <v>48.465079047657795</v>
      </c>
    </row>
    <row r="891" spans="16:22" x14ac:dyDescent="0.25">
      <c r="P891" t="s">
        <v>472</v>
      </c>
      <c r="Q891">
        <v>2050</v>
      </c>
      <c r="R891">
        <v>1</v>
      </c>
      <c r="S891" t="s">
        <v>469</v>
      </c>
      <c r="T891" t="s">
        <v>468</v>
      </c>
      <c r="U891" t="s">
        <v>592</v>
      </c>
      <c r="V891">
        <v>106.78273547267676</v>
      </c>
    </row>
    <row r="892" spans="16:22" x14ac:dyDescent="0.25">
      <c r="P892" t="s">
        <v>472</v>
      </c>
      <c r="Q892">
        <v>2050</v>
      </c>
      <c r="R892">
        <v>1</v>
      </c>
      <c r="S892" t="s">
        <v>469</v>
      </c>
      <c r="T892" t="s">
        <v>468</v>
      </c>
      <c r="U892" t="s">
        <v>593</v>
      </c>
      <c r="V892">
        <v>367.45390746032865</v>
      </c>
    </row>
    <row r="893" spans="16:22" x14ac:dyDescent="0.25">
      <c r="P893" t="s">
        <v>472</v>
      </c>
      <c r="Q893">
        <v>2050</v>
      </c>
      <c r="R893">
        <v>1</v>
      </c>
      <c r="S893" t="s">
        <v>469</v>
      </c>
      <c r="T893" t="s">
        <v>468</v>
      </c>
      <c r="U893" t="s">
        <v>594</v>
      </c>
      <c r="V893">
        <v>0</v>
      </c>
    </row>
    <row r="894" spans="16:22" x14ac:dyDescent="0.25">
      <c r="P894" t="s">
        <v>472</v>
      </c>
      <c r="Q894">
        <v>2050</v>
      </c>
      <c r="R894">
        <v>1</v>
      </c>
      <c r="S894" t="s">
        <v>469</v>
      </c>
      <c r="T894" t="s">
        <v>468</v>
      </c>
      <c r="U894" t="s">
        <v>595</v>
      </c>
      <c r="V894">
        <v>82.330237224834846</v>
      </c>
    </row>
    <row r="895" spans="16:22" x14ac:dyDescent="0.25">
      <c r="P895" t="s">
        <v>472</v>
      </c>
      <c r="Q895">
        <v>2050</v>
      </c>
      <c r="R895">
        <v>1</v>
      </c>
      <c r="S895" t="s">
        <v>469</v>
      </c>
      <c r="T895" t="s">
        <v>468</v>
      </c>
      <c r="U895" t="s">
        <v>596</v>
      </c>
      <c r="V895">
        <v>55.76254955384568</v>
      </c>
    </row>
    <row r="896" spans="16:22" x14ac:dyDescent="0.25">
      <c r="P896" t="s">
        <v>472</v>
      </c>
      <c r="Q896">
        <v>2050</v>
      </c>
      <c r="R896">
        <v>1</v>
      </c>
      <c r="S896" t="s">
        <v>469</v>
      </c>
      <c r="T896" t="s">
        <v>468</v>
      </c>
      <c r="U896" t="s">
        <v>597</v>
      </c>
      <c r="V896">
        <v>0</v>
      </c>
    </row>
    <row r="897" spans="16:22" x14ac:dyDescent="0.25">
      <c r="P897" t="s">
        <v>472</v>
      </c>
      <c r="Q897">
        <v>2050</v>
      </c>
      <c r="R897">
        <v>1</v>
      </c>
      <c r="S897" t="s">
        <v>469</v>
      </c>
      <c r="T897" t="s">
        <v>468</v>
      </c>
      <c r="U897" t="s">
        <v>598</v>
      </c>
      <c r="V897">
        <v>48.465079047657795</v>
      </c>
    </row>
    <row r="898" spans="16:22" x14ac:dyDescent="0.25">
      <c r="P898" t="s">
        <v>472</v>
      </c>
      <c r="Q898">
        <v>2035</v>
      </c>
      <c r="R898">
        <v>2</v>
      </c>
      <c r="S898" t="s">
        <v>466</v>
      </c>
      <c r="T898" t="s">
        <v>467</v>
      </c>
      <c r="U898" t="s">
        <v>592</v>
      </c>
      <c r="V898">
        <v>63.299440479860891</v>
      </c>
    </row>
    <row r="899" spans="16:22" x14ac:dyDescent="0.25">
      <c r="P899" t="s">
        <v>472</v>
      </c>
      <c r="Q899">
        <v>2035</v>
      </c>
      <c r="R899">
        <v>2</v>
      </c>
      <c r="S899" t="s">
        <v>466</v>
      </c>
      <c r="T899" t="s">
        <v>467</v>
      </c>
      <c r="U899" t="s">
        <v>593</v>
      </c>
      <c r="V899">
        <v>542.1768701857718</v>
      </c>
    </row>
    <row r="900" spans="16:22" x14ac:dyDescent="0.25">
      <c r="P900" t="s">
        <v>472</v>
      </c>
      <c r="Q900">
        <v>2035</v>
      </c>
      <c r="R900">
        <v>2</v>
      </c>
      <c r="S900" t="s">
        <v>466</v>
      </c>
      <c r="T900" t="s">
        <v>467</v>
      </c>
      <c r="U900" t="s">
        <v>594</v>
      </c>
      <c r="V900">
        <v>0</v>
      </c>
    </row>
    <row r="901" spans="16:22" x14ac:dyDescent="0.25">
      <c r="P901" t="s">
        <v>472</v>
      </c>
      <c r="Q901">
        <v>2035</v>
      </c>
      <c r="R901">
        <v>2</v>
      </c>
      <c r="S901" t="s">
        <v>466</v>
      </c>
      <c r="T901" t="s">
        <v>467</v>
      </c>
      <c r="U901" t="s">
        <v>595</v>
      </c>
      <c r="V901">
        <v>443.80976462081776</v>
      </c>
    </row>
    <row r="902" spans="16:22" x14ac:dyDescent="0.25">
      <c r="P902" t="s">
        <v>472</v>
      </c>
      <c r="Q902">
        <v>2035</v>
      </c>
      <c r="R902">
        <v>2</v>
      </c>
      <c r="S902" t="s">
        <v>466</v>
      </c>
      <c r="T902" t="s">
        <v>467</v>
      </c>
      <c r="U902" t="s">
        <v>596</v>
      </c>
      <c r="V902">
        <v>1375.3008160666207</v>
      </c>
    </row>
    <row r="903" spans="16:22" x14ac:dyDescent="0.25">
      <c r="P903" t="s">
        <v>472</v>
      </c>
      <c r="Q903">
        <v>2035</v>
      </c>
      <c r="R903">
        <v>2</v>
      </c>
      <c r="S903" t="s">
        <v>466</v>
      </c>
      <c r="T903" t="s">
        <v>467</v>
      </c>
      <c r="U903" t="s">
        <v>597</v>
      </c>
      <c r="V903">
        <v>0</v>
      </c>
    </row>
    <row r="904" spans="16:22" x14ac:dyDescent="0.25">
      <c r="P904" t="s">
        <v>472</v>
      </c>
      <c r="Q904">
        <v>2035</v>
      </c>
      <c r="R904">
        <v>2</v>
      </c>
      <c r="S904" t="s">
        <v>466</v>
      </c>
      <c r="T904" t="s">
        <v>467</v>
      </c>
      <c r="U904" t="s">
        <v>598</v>
      </c>
      <c r="V904">
        <v>1113.463231725081</v>
      </c>
    </row>
    <row r="905" spans="16:22" x14ac:dyDescent="0.25">
      <c r="P905" t="s">
        <v>472</v>
      </c>
      <c r="Q905">
        <v>2035</v>
      </c>
      <c r="R905">
        <v>2</v>
      </c>
      <c r="S905" t="s">
        <v>466</v>
      </c>
      <c r="T905" t="s">
        <v>468</v>
      </c>
      <c r="U905" t="s">
        <v>592</v>
      </c>
      <c r="V905">
        <v>63.299440479860891</v>
      </c>
    </row>
    <row r="906" spans="16:22" x14ac:dyDescent="0.25">
      <c r="P906" t="s">
        <v>472</v>
      </c>
      <c r="Q906">
        <v>2035</v>
      </c>
      <c r="R906">
        <v>2</v>
      </c>
      <c r="S906" t="s">
        <v>466</v>
      </c>
      <c r="T906" t="s">
        <v>468</v>
      </c>
      <c r="U906" t="s">
        <v>593</v>
      </c>
      <c r="V906">
        <v>542.1768701857718</v>
      </c>
    </row>
    <row r="907" spans="16:22" x14ac:dyDescent="0.25">
      <c r="P907" t="s">
        <v>472</v>
      </c>
      <c r="Q907">
        <v>2035</v>
      </c>
      <c r="R907">
        <v>2</v>
      </c>
      <c r="S907" t="s">
        <v>466</v>
      </c>
      <c r="T907" t="s">
        <v>468</v>
      </c>
      <c r="U907" t="s">
        <v>594</v>
      </c>
      <c r="V907">
        <v>0</v>
      </c>
    </row>
    <row r="908" spans="16:22" x14ac:dyDescent="0.25">
      <c r="P908" t="s">
        <v>472</v>
      </c>
      <c r="Q908">
        <v>2035</v>
      </c>
      <c r="R908">
        <v>2</v>
      </c>
      <c r="S908" t="s">
        <v>466</v>
      </c>
      <c r="T908" t="s">
        <v>468</v>
      </c>
      <c r="U908" t="s">
        <v>595</v>
      </c>
      <c r="V908">
        <v>443.80976462081776</v>
      </c>
    </row>
    <row r="909" spans="16:22" x14ac:dyDescent="0.25">
      <c r="P909" t="s">
        <v>472</v>
      </c>
      <c r="Q909">
        <v>2035</v>
      </c>
      <c r="R909">
        <v>2</v>
      </c>
      <c r="S909" t="s">
        <v>466</v>
      </c>
      <c r="T909" t="s">
        <v>468</v>
      </c>
      <c r="U909" t="s">
        <v>596</v>
      </c>
      <c r="V909">
        <v>1375.3008160666207</v>
      </c>
    </row>
    <row r="910" spans="16:22" x14ac:dyDescent="0.25">
      <c r="P910" t="s">
        <v>472</v>
      </c>
      <c r="Q910">
        <v>2035</v>
      </c>
      <c r="R910">
        <v>2</v>
      </c>
      <c r="S910" t="s">
        <v>466</v>
      </c>
      <c r="T910" t="s">
        <v>468</v>
      </c>
      <c r="U910" t="s">
        <v>597</v>
      </c>
      <c r="V910">
        <v>0</v>
      </c>
    </row>
    <row r="911" spans="16:22" x14ac:dyDescent="0.25">
      <c r="P911" t="s">
        <v>472</v>
      </c>
      <c r="Q911">
        <v>2035</v>
      </c>
      <c r="R911">
        <v>2</v>
      </c>
      <c r="S911" t="s">
        <v>466</v>
      </c>
      <c r="T911" t="s">
        <v>468</v>
      </c>
      <c r="U911" t="s">
        <v>598</v>
      </c>
      <c r="V911">
        <v>1113.463231725081</v>
      </c>
    </row>
    <row r="912" spans="16:22" x14ac:dyDescent="0.25">
      <c r="P912" t="s">
        <v>472</v>
      </c>
      <c r="Q912">
        <v>2035</v>
      </c>
      <c r="R912">
        <v>2</v>
      </c>
      <c r="S912" t="s">
        <v>469</v>
      </c>
      <c r="T912" t="s">
        <v>467</v>
      </c>
      <c r="U912" t="s">
        <v>592</v>
      </c>
      <c r="V912">
        <v>69.094920865061709</v>
      </c>
    </row>
    <row r="913" spans="16:22" x14ac:dyDescent="0.25">
      <c r="P913" t="s">
        <v>472</v>
      </c>
      <c r="Q913">
        <v>2035</v>
      </c>
      <c r="R913">
        <v>2</v>
      </c>
      <c r="S913" t="s">
        <v>469</v>
      </c>
      <c r="T913" t="s">
        <v>467</v>
      </c>
      <c r="U913" t="s">
        <v>593</v>
      </c>
      <c r="V913">
        <v>816.59006309727226</v>
      </c>
    </row>
    <row r="914" spans="16:22" x14ac:dyDescent="0.25">
      <c r="P914" t="s">
        <v>472</v>
      </c>
      <c r="Q914">
        <v>2035</v>
      </c>
      <c r="R914">
        <v>2</v>
      </c>
      <c r="S914" t="s">
        <v>469</v>
      </c>
      <c r="T914" t="s">
        <v>467</v>
      </c>
      <c r="U914" t="s">
        <v>594</v>
      </c>
      <c r="V914">
        <v>0</v>
      </c>
    </row>
    <row r="915" spans="16:22" x14ac:dyDescent="0.25">
      <c r="P915" t="s">
        <v>472</v>
      </c>
      <c r="Q915">
        <v>2035</v>
      </c>
      <c r="R915">
        <v>2</v>
      </c>
      <c r="S915" t="s">
        <v>469</v>
      </c>
      <c r="T915" t="s">
        <v>467</v>
      </c>
      <c r="U915" t="s">
        <v>595</v>
      </c>
      <c r="V915">
        <v>426.9999152003702</v>
      </c>
    </row>
    <row r="916" spans="16:22" x14ac:dyDescent="0.25">
      <c r="P916" t="s">
        <v>472</v>
      </c>
      <c r="Q916">
        <v>2035</v>
      </c>
      <c r="R916">
        <v>2</v>
      </c>
      <c r="S916" t="s">
        <v>469</v>
      </c>
      <c r="T916" t="s">
        <v>467</v>
      </c>
      <c r="U916" t="s">
        <v>596</v>
      </c>
      <c r="V916">
        <v>1317.2794690949197</v>
      </c>
    </row>
    <row r="917" spans="16:22" x14ac:dyDescent="0.25">
      <c r="P917" t="s">
        <v>472</v>
      </c>
      <c r="Q917">
        <v>2035</v>
      </c>
      <c r="R917">
        <v>2</v>
      </c>
      <c r="S917" t="s">
        <v>469</v>
      </c>
      <c r="T917" t="s">
        <v>467</v>
      </c>
      <c r="U917" t="s">
        <v>597</v>
      </c>
      <c r="V917">
        <v>0</v>
      </c>
    </row>
    <row r="918" spans="16:22" x14ac:dyDescent="0.25">
      <c r="P918" t="s">
        <v>472</v>
      </c>
      <c r="Q918">
        <v>2035</v>
      </c>
      <c r="R918">
        <v>2</v>
      </c>
      <c r="S918" t="s">
        <v>469</v>
      </c>
      <c r="T918" t="s">
        <v>467</v>
      </c>
      <c r="U918" t="s">
        <v>598</v>
      </c>
      <c r="V918">
        <v>905.51584960106732</v>
      </c>
    </row>
    <row r="919" spans="16:22" x14ac:dyDescent="0.25">
      <c r="P919" t="s">
        <v>472</v>
      </c>
      <c r="Q919">
        <v>2035</v>
      </c>
      <c r="R919">
        <v>2</v>
      </c>
      <c r="S919" t="s">
        <v>469</v>
      </c>
      <c r="T919" t="s">
        <v>468</v>
      </c>
      <c r="U919" t="s">
        <v>592</v>
      </c>
      <c r="V919">
        <v>69.094920865061709</v>
      </c>
    </row>
    <row r="920" spans="16:22" x14ac:dyDescent="0.25">
      <c r="P920" t="s">
        <v>472</v>
      </c>
      <c r="Q920">
        <v>2035</v>
      </c>
      <c r="R920">
        <v>2</v>
      </c>
      <c r="S920" t="s">
        <v>469</v>
      </c>
      <c r="T920" t="s">
        <v>468</v>
      </c>
      <c r="U920" t="s">
        <v>593</v>
      </c>
      <c r="V920">
        <v>816.59006309727226</v>
      </c>
    </row>
    <row r="921" spans="16:22" x14ac:dyDescent="0.25">
      <c r="P921" t="s">
        <v>472</v>
      </c>
      <c r="Q921">
        <v>2035</v>
      </c>
      <c r="R921">
        <v>2</v>
      </c>
      <c r="S921" t="s">
        <v>469</v>
      </c>
      <c r="T921" t="s">
        <v>468</v>
      </c>
      <c r="U921" t="s">
        <v>594</v>
      </c>
      <c r="V921">
        <v>0</v>
      </c>
    </row>
    <row r="922" spans="16:22" x14ac:dyDescent="0.25">
      <c r="P922" t="s">
        <v>472</v>
      </c>
      <c r="Q922">
        <v>2035</v>
      </c>
      <c r="R922">
        <v>2</v>
      </c>
      <c r="S922" t="s">
        <v>469</v>
      </c>
      <c r="T922" t="s">
        <v>468</v>
      </c>
      <c r="U922" t="s">
        <v>595</v>
      </c>
      <c r="V922">
        <v>426.9999152003702</v>
      </c>
    </row>
    <row r="923" spans="16:22" x14ac:dyDescent="0.25">
      <c r="P923" t="s">
        <v>472</v>
      </c>
      <c r="Q923">
        <v>2035</v>
      </c>
      <c r="R923">
        <v>2</v>
      </c>
      <c r="S923" t="s">
        <v>469</v>
      </c>
      <c r="T923" t="s">
        <v>468</v>
      </c>
      <c r="U923" t="s">
        <v>596</v>
      </c>
      <c r="V923">
        <v>1317.2794690949197</v>
      </c>
    </row>
    <row r="924" spans="16:22" x14ac:dyDescent="0.25">
      <c r="P924" t="s">
        <v>472</v>
      </c>
      <c r="Q924">
        <v>2035</v>
      </c>
      <c r="R924">
        <v>2</v>
      </c>
      <c r="S924" t="s">
        <v>469</v>
      </c>
      <c r="T924" t="s">
        <v>468</v>
      </c>
      <c r="U924" t="s">
        <v>597</v>
      </c>
      <c r="V924">
        <v>0</v>
      </c>
    </row>
    <row r="925" spans="16:22" x14ac:dyDescent="0.25">
      <c r="P925" t="s">
        <v>472</v>
      </c>
      <c r="Q925">
        <v>2035</v>
      </c>
      <c r="R925">
        <v>2</v>
      </c>
      <c r="S925" t="s">
        <v>469</v>
      </c>
      <c r="T925" t="s">
        <v>468</v>
      </c>
      <c r="U925" t="s">
        <v>598</v>
      </c>
      <c r="V925">
        <v>905.51584960106732</v>
      </c>
    </row>
    <row r="926" spans="16:22" x14ac:dyDescent="0.25">
      <c r="P926" t="s">
        <v>472</v>
      </c>
      <c r="Q926">
        <v>2050</v>
      </c>
      <c r="R926">
        <v>2</v>
      </c>
      <c r="S926" t="s">
        <v>466</v>
      </c>
      <c r="T926" t="s">
        <v>467</v>
      </c>
      <c r="U926" t="s">
        <v>592</v>
      </c>
      <c r="V926">
        <v>21.842136163309998</v>
      </c>
    </row>
    <row r="927" spans="16:22" x14ac:dyDescent="0.25">
      <c r="P927" t="s">
        <v>472</v>
      </c>
      <c r="Q927">
        <v>2050</v>
      </c>
      <c r="R927">
        <v>2</v>
      </c>
      <c r="S927" t="s">
        <v>466</v>
      </c>
      <c r="T927" t="s">
        <v>467</v>
      </c>
      <c r="U927" t="s">
        <v>593</v>
      </c>
      <c r="V927">
        <v>535.02369333891943</v>
      </c>
    </row>
    <row r="928" spans="16:22" x14ac:dyDescent="0.25">
      <c r="P928" t="s">
        <v>472</v>
      </c>
      <c r="Q928">
        <v>2050</v>
      </c>
      <c r="R928">
        <v>2</v>
      </c>
      <c r="S928" t="s">
        <v>466</v>
      </c>
      <c r="T928" t="s">
        <v>467</v>
      </c>
      <c r="U928" t="s">
        <v>594</v>
      </c>
      <c r="V928">
        <v>0</v>
      </c>
    </row>
    <row r="929" spans="16:22" x14ac:dyDescent="0.25">
      <c r="P929" t="s">
        <v>472</v>
      </c>
      <c r="Q929">
        <v>2050</v>
      </c>
      <c r="R929">
        <v>2</v>
      </c>
      <c r="S929" t="s">
        <v>466</v>
      </c>
      <c r="T929" t="s">
        <v>467</v>
      </c>
      <c r="U929" t="s">
        <v>595</v>
      </c>
      <c r="V929">
        <v>452.47374344526207</v>
      </c>
    </row>
    <row r="930" spans="16:22" x14ac:dyDescent="0.25">
      <c r="P930" t="s">
        <v>472</v>
      </c>
      <c r="Q930">
        <v>2050</v>
      </c>
      <c r="R930">
        <v>2</v>
      </c>
      <c r="S930" t="s">
        <v>466</v>
      </c>
      <c r="T930" t="s">
        <v>467</v>
      </c>
      <c r="U930" t="s">
        <v>596</v>
      </c>
      <c r="V930">
        <v>1398.5296716605742</v>
      </c>
    </row>
    <row r="931" spans="16:22" x14ac:dyDescent="0.25">
      <c r="P931" t="s">
        <v>472</v>
      </c>
      <c r="Q931">
        <v>2050</v>
      </c>
      <c r="R931">
        <v>2</v>
      </c>
      <c r="S931" t="s">
        <v>466</v>
      </c>
      <c r="T931" t="s">
        <v>467</v>
      </c>
      <c r="U931" t="s">
        <v>597</v>
      </c>
      <c r="V931">
        <v>0</v>
      </c>
    </row>
    <row r="932" spans="16:22" x14ac:dyDescent="0.25">
      <c r="P932" t="s">
        <v>472</v>
      </c>
      <c r="Q932">
        <v>2050</v>
      </c>
      <c r="R932">
        <v>2</v>
      </c>
      <c r="S932" t="s">
        <v>466</v>
      </c>
      <c r="T932" t="s">
        <v>467</v>
      </c>
      <c r="U932" t="s">
        <v>598</v>
      </c>
      <c r="V932">
        <v>1141.9641550886083</v>
      </c>
    </row>
    <row r="933" spans="16:22" x14ac:dyDescent="0.25">
      <c r="P933" t="s">
        <v>472</v>
      </c>
      <c r="Q933">
        <v>2050</v>
      </c>
      <c r="R933">
        <v>2</v>
      </c>
      <c r="S933" t="s">
        <v>466</v>
      </c>
      <c r="T933" t="s">
        <v>468</v>
      </c>
      <c r="U933" t="s">
        <v>592</v>
      </c>
      <c r="V933">
        <v>21.842136163309998</v>
      </c>
    </row>
    <row r="934" spans="16:22" x14ac:dyDescent="0.25">
      <c r="P934" t="s">
        <v>472</v>
      </c>
      <c r="Q934">
        <v>2050</v>
      </c>
      <c r="R934">
        <v>2</v>
      </c>
      <c r="S934" t="s">
        <v>466</v>
      </c>
      <c r="T934" t="s">
        <v>468</v>
      </c>
      <c r="U934" t="s">
        <v>593</v>
      </c>
      <c r="V934">
        <v>535.02369333891943</v>
      </c>
    </row>
    <row r="935" spans="16:22" x14ac:dyDescent="0.25">
      <c r="P935" t="s">
        <v>472</v>
      </c>
      <c r="Q935">
        <v>2050</v>
      </c>
      <c r="R935">
        <v>2</v>
      </c>
      <c r="S935" t="s">
        <v>466</v>
      </c>
      <c r="T935" t="s">
        <v>468</v>
      </c>
      <c r="U935" t="s">
        <v>594</v>
      </c>
      <c r="V935">
        <v>0</v>
      </c>
    </row>
    <row r="936" spans="16:22" x14ac:dyDescent="0.25">
      <c r="P936" t="s">
        <v>472</v>
      </c>
      <c r="Q936">
        <v>2050</v>
      </c>
      <c r="R936">
        <v>2</v>
      </c>
      <c r="S936" t="s">
        <v>466</v>
      </c>
      <c r="T936" t="s">
        <v>468</v>
      </c>
      <c r="U936" t="s">
        <v>595</v>
      </c>
      <c r="V936">
        <v>452.47374344526207</v>
      </c>
    </row>
    <row r="937" spans="16:22" x14ac:dyDescent="0.25">
      <c r="P937" t="s">
        <v>472</v>
      </c>
      <c r="Q937">
        <v>2050</v>
      </c>
      <c r="R937">
        <v>2</v>
      </c>
      <c r="S937" t="s">
        <v>466</v>
      </c>
      <c r="T937" t="s">
        <v>468</v>
      </c>
      <c r="U937" t="s">
        <v>596</v>
      </c>
      <c r="V937">
        <v>1398.5296716605742</v>
      </c>
    </row>
    <row r="938" spans="16:22" x14ac:dyDescent="0.25">
      <c r="P938" t="s">
        <v>472</v>
      </c>
      <c r="Q938">
        <v>2050</v>
      </c>
      <c r="R938">
        <v>2</v>
      </c>
      <c r="S938" t="s">
        <v>466</v>
      </c>
      <c r="T938" t="s">
        <v>468</v>
      </c>
      <c r="U938" t="s">
        <v>597</v>
      </c>
      <c r="V938">
        <v>0</v>
      </c>
    </row>
    <row r="939" spans="16:22" x14ac:dyDescent="0.25">
      <c r="P939" t="s">
        <v>472</v>
      </c>
      <c r="Q939">
        <v>2050</v>
      </c>
      <c r="R939">
        <v>2</v>
      </c>
      <c r="S939" t="s">
        <v>466</v>
      </c>
      <c r="T939" t="s">
        <v>468</v>
      </c>
      <c r="U939" t="s">
        <v>598</v>
      </c>
      <c r="V939">
        <v>1141.9641550886083</v>
      </c>
    </row>
    <row r="940" spans="16:22" x14ac:dyDescent="0.25">
      <c r="P940" t="s">
        <v>472</v>
      </c>
      <c r="Q940">
        <v>2050</v>
      </c>
      <c r="R940">
        <v>2</v>
      </c>
      <c r="S940" t="s">
        <v>469</v>
      </c>
      <c r="T940" t="s">
        <v>467</v>
      </c>
      <c r="U940" t="s">
        <v>592</v>
      </c>
      <c r="V940">
        <v>113.20489197273511</v>
      </c>
    </row>
    <row r="941" spans="16:22" x14ac:dyDescent="0.25">
      <c r="P941" t="s">
        <v>472</v>
      </c>
      <c r="Q941">
        <v>2050</v>
      </c>
      <c r="R941">
        <v>2</v>
      </c>
      <c r="S941" t="s">
        <v>469</v>
      </c>
      <c r="T941" t="s">
        <v>467</v>
      </c>
      <c r="U941" t="s">
        <v>593</v>
      </c>
      <c r="V941">
        <v>733.50216494027768</v>
      </c>
    </row>
    <row r="942" spans="16:22" x14ac:dyDescent="0.25">
      <c r="P942" t="s">
        <v>472</v>
      </c>
      <c r="Q942">
        <v>2050</v>
      </c>
      <c r="R942">
        <v>2</v>
      </c>
      <c r="S942" t="s">
        <v>469</v>
      </c>
      <c r="T942" t="s">
        <v>467</v>
      </c>
      <c r="U942" t="s">
        <v>594</v>
      </c>
      <c r="V942">
        <v>0</v>
      </c>
    </row>
    <row r="943" spans="16:22" x14ac:dyDescent="0.25">
      <c r="P943" t="s">
        <v>472</v>
      </c>
      <c r="Q943">
        <v>2050</v>
      </c>
      <c r="R943">
        <v>2</v>
      </c>
      <c r="S943" t="s">
        <v>469</v>
      </c>
      <c r="T943" t="s">
        <v>467</v>
      </c>
      <c r="U943" t="s">
        <v>595</v>
      </c>
      <c r="V943">
        <v>426.30506638108415</v>
      </c>
    </row>
    <row r="944" spans="16:22" x14ac:dyDescent="0.25">
      <c r="P944" t="s">
        <v>472</v>
      </c>
      <c r="Q944">
        <v>2050</v>
      </c>
      <c r="R944">
        <v>2</v>
      </c>
      <c r="S944" t="s">
        <v>469</v>
      </c>
      <c r="T944" t="s">
        <v>467</v>
      </c>
      <c r="U944" t="s">
        <v>596</v>
      </c>
      <c r="V944">
        <v>1340.970067077604</v>
      </c>
    </row>
    <row r="945" spans="16:22" x14ac:dyDescent="0.25">
      <c r="P945" t="s">
        <v>472</v>
      </c>
      <c r="Q945">
        <v>2050</v>
      </c>
      <c r="R945">
        <v>2</v>
      </c>
      <c r="S945" t="s">
        <v>469</v>
      </c>
      <c r="T945" t="s">
        <v>467</v>
      </c>
      <c r="U945" t="s">
        <v>597</v>
      </c>
      <c r="V945">
        <v>0</v>
      </c>
    </row>
    <row r="946" spans="16:22" x14ac:dyDescent="0.25">
      <c r="P946" t="s">
        <v>472</v>
      </c>
      <c r="Q946">
        <v>2050</v>
      </c>
      <c r="R946">
        <v>2</v>
      </c>
      <c r="S946" t="s">
        <v>469</v>
      </c>
      <c r="T946" t="s">
        <v>467</v>
      </c>
      <c r="U946" t="s">
        <v>598</v>
      </c>
      <c r="V946">
        <v>968.78462164151574</v>
      </c>
    </row>
    <row r="947" spans="16:22" x14ac:dyDescent="0.25">
      <c r="P947" t="s">
        <v>472</v>
      </c>
      <c r="Q947">
        <v>2050</v>
      </c>
      <c r="R947">
        <v>2</v>
      </c>
      <c r="S947" t="s">
        <v>469</v>
      </c>
      <c r="T947" t="s">
        <v>468</v>
      </c>
      <c r="U947" t="s">
        <v>592</v>
      </c>
      <c r="V947">
        <v>113.20489197273511</v>
      </c>
    </row>
    <row r="948" spans="16:22" x14ac:dyDescent="0.25">
      <c r="P948" t="s">
        <v>472</v>
      </c>
      <c r="Q948">
        <v>2050</v>
      </c>
      <c r="R948">
        <v>2</v>
      </c>
      <c r="S948" t="s">
        <v>469</v>
      </c>
      <c r="T948" t="s">
        <v>468</v>
      </c>
      <c r="U948" t="s">
        <v>593</v>
      </c>
      <c r="V948">
        <v>733.50216494027768</v>
      </c>
    </row>
    <row r="949" spans="16:22" x14ac:dyDescent="0.25">
      <c r="P949" t="s">
        <v>472</v>
      </c>
      <c r="Q949">
        <v>2050</v>
      </c>
      <c r="R949">
        <v>2</v>
      </c>
      <c r="S949" t="s">
        <v>469</v>
      </c>
      <c r="T949" t="s">
        <v>468</v>
      </c>
      <c r="U949" t="s">
        <v>594</v>
      </c>
      <c r="V949">
        <v>0</v>
      </c>
    </row>
    <row r="950" spans="16:22" x14ac:dyDescent="0.25">
      <c r="P950" t="s">
        <v>472</v>
      </c>
      <c r="Q950">
        <v>2050</v>
      </c>
      <c r="R950">
        <v>2</v>
      </c>
      <c r="S950" t="s">
        <v>469</v>
      </c>
      <c r="T950" t="s">
        <v>468</v>
      </c>
      <c r="U950" t="s">
        <v>595</v>
      </c>
      <c r="V950">
        <v>426.30506638108415</v>
      </c>
    </row>
    <row r="951" spans="16:22" x14ac:dyDescent="0.25">
      <c r="P951" t="s">
        <v>472</v>
      </c>
      <c r="Q951">
        <v>2050</v>
      </c>
      <c r="R951">
        <v>2</v>
      </c>
      <c r="S951" t="s">
        <v>469</v>
      </c>
      <c r="T951" t="s">
        <v>468</v>
      </c>
      <c r="U951" t="s">
        <v>596</v>
      </c>
      <c r="V951">
        <v>1340.970067077604</v>
      </c>
    </row>
    <row r="952" spans="16:22" x14ac:dyDescent="0.25">
      <c r="P952" t="s">
        <v>472</v>
      </c>
      <c r="Q952">
        <v>2050</v>
      </c>
      <c r="R952">
        <v>2</v>
      </c>
      <c r="S952" t="s">
        <v>469</v>
      </c>
      <c r="T952" t="s">
        <v>468</v>
      </c>
      <c r="U952" t="s">
        <v>597</v>
      </c>
      <c r="V952">
        <v>0</v>
      </c>
    </row>
    <row r="953" spans="16:22" x14ac:dyDescent="0.25">
      <c r="P953" t="s">
        <v>472</v>
      </c>
      <c r="Q953">
        <v>2050</v>
      </c>
      <c r="R953">
        <v>2</v>
      </c>
      <c r="S953" t="s">
        <v>469</v>
      </c>
      <c r="T953" t="s">
        <v>468</v>
      </c>
      <c r="U953" t="s">
        <v>598</v>
      </c>
      <c r="V953">
        <v>968.78462164151574</v>
      </c>
    </row>
    <row r="954" spans="16:22" x14ac:dyDescent="0.25">
      <c r="P954" t="s">
        <v>472</v>
      </c>
      <c r="Q954">
        <v>2035</v>
      </c>
      <c r="R954">
        <v>3</v>
      </c>
      <c r="S954" t="s">
        <v>466</v>
      </c>
      <c r="T954" t="s">
        <v>467</v>
      </c>
      <c r="U954" t="s">
        <v>592</v>
      </c>
      <c r="V954">
        <v>726.12738940484292</v>
      </c>
    </row>
    <row r="955" spans="16:22" x14ac:dyDescent="0.25">
      <c r="P955" t="s">
        <v>472</v>
      </c>
      <c r="Q955">
        <v>2035</v>
      </c>
      <c r="R955">
        <v>3</v>
      </c>
      <c r="S955" t="s">
        <v>466</v>
      </c>
      <c r="T955" t="s">
        <v>467</v>
      </c>
      <c r="U955" t="s">
        <v>593</v>
      </c>
      <c r="V955">
        <v>692.06144448113525</v>
      </c>
    </row>
    <row r="956" spans="16:22" x14ac:dyDescent="0.25">
      <c r="P956" t="s">
        <v>472</v>
      </c>
      <c r="Q956">
        <v>2035</v>
      </c>
      <c r="R956">
        <v>3</v>
      </c>
      <c r="S956" t="s">
        <v>466</v>
      </c>
      <c r="T956" t="s">
        <v>467</v>
      </c>
      <c r="U956" t="s">
        <v>594</v>
      </c>
      <c r="V956">
        <v>305.16439419050681</v>
      </c>
    </row>
    <row r="957" spans="16:22" x14ac:dyDescent="0.25">
      <c r="P957" t="s">
        <v>472</v>
      </c>
      <c r="Q957">
        <v>2035</v>
      </c>
      <c r="R957">
        <v>3</v>
      </c>
      <c r="S957" t="s">
        <v>466</v>
      </c>
      <c r="T957" t="s">
        <v>467</v>
      </c>
      <c r="U957" t="s">
        <v>595</v>
      </c>
      <c r="V957">
        <v>781.86926461767462</v>
      </c>
    </row>
    <row r="958" spans="16:22" x14ac:dyDescent="0.25">
      <c r="P958" t="s">
        <v>472</v>
      </c>
      <c r="Q958">
        <v>2035</v>
      </c>
      <c r="R958">
        <v>3</v>
      </c>
      <c r="S958" t="s">
        <v>466</v>
      </c>
      <c r="T958" t="s">
        <v>467</v>
      </c>
      <c r="U958" t="s">
        <v>596</v>
      </c>
      <c r="V958">
        <v>1683.9383799639343</v>
      </c>
    </row>
    <row r="959" spans="16:22" x14ac:dyDescent="0.25">
      <c r="P959" t="s">
        <v>472</v>
      </c>
      <c r="Q959">
        <v>2035</v>
      </c>
      <c r="R959">
        <v>3</v>
      </c>
      <c r="S959" t="s">
        <v>466</v>
      </c>
      <c r="T959" t="s">
        <v>467</v>
      </c>
      <c r="U959" t="s">
        <v>597</v>
      </c>
      <c r="V959">
        <v>1.5202501503043322E-3</v>
      </c>
    </row>
    <row r="960" spans="16:22" x14ac:dyDescent="0.25">
      <c r="P960" t="s">
        <v>472</v>
      </c>
      <c r="Q960">
        <v>2035</v>
      </c>
      <c r="R960">
        <v>3</v>
      </c>
      <c r="S960" t="s">
        <v>466</v>
      </c>
      <c r="T960" t="s">
        <v>467</v>
      </c>
      <c r="U960" t="s">
        <v>598</v>
      </c>
      <c r="V960">
        <v>4477.7806980528258</v>
      </c>
    </row>
    <row r="961" spans="16:22" x14ac:dyDescent="0.25">
      <c r="P961" t="s">
        <v>472</v>
      </c>
      <c r="Q961">
        <v>2035</v>
      </c>
      <c r="R961">
        <v>3</v>
      </c>
      <c r="S961" t="s">
        <v>466</v>
      </c>
      <c r="T961" t="s">
        <v>468</v>
      </c>
      <c r="U961" t="s">
        <v>592</v>
      </c>
      <c r="V961">
        <v>726.12738940484292</v>
      </c>
    </row>
    <row r="962" spans="16:22" x14ac:dyDescent="0.25">
      <c r="P962" t="s">
        <v>472</v>
      </c>
      <c r="Q962">
        <v>2035</v>
      </c>
      <c r="R962">
        <v>3</v>
      </c>
      <c r="S962" t="s">
        <v>466</v>
      </c>
      <c r="T962" t="s">
        <v>468</v>
      </c>
      <c r="U962" t="s">
        <v>593</v>
      </c>
      <c r="V962">
        <v>692.06144448113525</v>
      </c>
    </row>
    <row r="963" spans="16:22" x14ac:dyDescent="0.25">
      <c r="P963" t="s">
        <v>472</v>
      </c>
      <c r="Q963">
        <v>2035</v>
      </c>
      <c r="R963">
        <v>3</v>
      </c>
      <c r="S963" t="s">
        <v>466</v>
      </c>
      <c r="T963" t="s">
        <v>468</v>
      </c>
      <c r="U963" t="s">
        <v>594</v>
      </c>
      <c r="V963">
        <v>305.16439419050681</v>
      </c>
    </row>
    <row r="964" spans="16:22" x14ac:dyDescent="0.25">
      <c r="P964" t="s">
        <v>472</v>
      </c>
      <c r="Q964">
        <v>2035</v>
      </c>
      <c r="R964">
        <v>3</v>
      </c>
      <c r="S964" t="s">
        <v>466</v>
      </c>
      <c r="T964" t="s">
        <v>468</v>
      </c>
      <c r="U964" t="s">
        <v>595</v>
      </c>
      <c r="V964">
        <v>781.86926461767462</v>
      </c>
    </row>
    <row r="965" spans="16:22" x14ac:dyDescent="0.25">
      <c r="P965" t="s">
        <v>472</v>
      </c>
      <c r="Q965">
        <v>2035</v>
      </c>
      <c r="R965">
        <v>3</v>
      </c>
      <c r="S965" t="s">
        <v>466</v>
      </c>
      <c r="T965" t="s">
        <v>468</v>
      </c>
      <c r="U965" t="s">
        <v>596</v>
      </c>
      <c r="V965">
        <v>1683.9383799639343</v>
      </c>
    </row>
    <row r="966" spans="16:22" x14ac:dyDescent="0.25">
      <c r="P966" t="s">
        <v>472</v>
      </c>
      <c r="Q966">
        <v>2035</v>
      </c>
      <c r="R966">
        <v>3</v>
      </c>
      <c r="S966" t="s">
        <v>466</v>
      </c>
      <c r="T966" t="s">
        <v>468</v>
      </c>
      <c r="U966" t="s">
        <v>597</v>
      </c>
      <c r="V966">
        <v>1.5202501503043322E-3</v>
      </c>
    </row>
    <row r="967" spans="16:22" x14ac:dyDescent="0.25">
      <c r="P967" t="s">
        <v>472</v>
      </c>
      <c r="Q967">
        <v>2035</v>
      </c>
      <c r="R967">
        <v>3</v>
      </c>
      <c r="S967" t="s">
        <v>466</v>
      </c>
      <c r="T967" t="s">
        <v>468</v>
      </c>
      <c r="U967" t="s">
        <v>598</v>
      </c>
      <c r="V967">
        <v>4477.7806980528258</v>
      </c>
    </row>
    <row r="968" spans="16:22" x14ac:dyDescent="0.25">
      <c r="P968" t="s">
        <v>472</v>
      </c>
      <c r="Q968">
        <v>2035</v>
      </c>
      <c r="R968">
        <v>3</v>
      </c>
      <c r="S968" t="s">
        <v>469</v>
      </c>
      <c r="T968" t="s">
        <v>467</v>
      </c>
      <c r="U968" t="s">
        <v>592</v>
      </c>
      <c r="V968">
        <v>818.9013510241092</v>
      </c>
    </row>
    <row r="969" spans="16:22" x14ac:dyDescent="0.25">
      <c r="P969" t="s">
        <v>472</v>
      </c>
      <c r="Q969">
        <v>2035</v>
      </c>
      <c r="R969">
        <v>3</v>
      </c>
      <c r="S969" t="s">
        <v>469</v>
      </c>
      <c r="T969" t="s">
        <v>467</v>
      </c>
      <c r="U969" t="s">
        <v>593</v>
      </c>
      <c r="V969">
        <v>927.5088968347618</v>
      </c>
    </row>
    <row r="970" spans="16:22" x14ac:dyDescent="0.25">
      <c r="P970" t="s">
        <v>472</v>
      </c>
      <c r="Q970">
        <v>2035</v>
      </c>
      <c r="R970">
        <v>3</v>
      </c>
      <c r="S970" t="s">
        <v>469</v>
      </c>
      <c r="T970" t="s">
        <v>467</v>
      </c>
      <c r="U970" t="s">
        <v>594</v>
      </c>
      <c r="V970">
        <v>305.85522143619306</v>
      </c>
    </row>
    <row r="971" spans="16:22" x14ac:dyDescent="0.25">
      <c r="P971" t="s">
        <v>472</v>
      </c>
      <c r="Q971">
        <v>2035</v>
      </c>
      <c r="R971">
        <v>3</v>
      </c>
      <c r="S971" t="s">
        <v>469</v>
      </c>
      <c r="T971" t="s">
        <v>467</v>
      </c>
      <c r="U971" t="s">
        <v>595</v>
      </c>
      <c r="V971">
        <v>1744.3924081867713</v>
      </c>
    </row>
    <row r="972" spans="16:22" x14ac:dyDescent="0.25">
      <c r="P972" t="s">
        <v>472</v>
      </c>
      <c r="Q972">
        <v>2035</v>
      </c>
      <c r="R972">
        <v>3</v>
      </c>
      <c r="S972" t="s">
        <v>469</v>
      </c>
      <c r="T972" t="s">
        <v>467</v>
      </c>
      <c r="U972" t="s">
        <v>596</v>
      </c>
      <c r="V972">
        <v>2037.140916158407</v>
      </c>
    </row>
    <row r="973" spans="16:22" x14ac:dyDescent="0.25">
      <c r="P973" t="s">
        <v>472</v>
      </c>
      <c r="Q973">
        <v>2035</v>
      </c>
      <c r="R973">
        <v>3</v>
      </c>
      <c r="S973" t="s">
        <v>469</v>
      </c>
      <c r="T973" t="s">
        <v>467</v>
      </c>
      <c r="U973" t="s">
        <v>597</v>
      </c>
      <c r="V973">
        <v>53.629860155475498</v>
      </c>
    </row>
    <row r="974" spans="16:22" x14ac:dyDescent="0.25">
      <c r="P974" t="s">
        <v>472</v>
      </c>
      <c r="Q974">
        <v>2035</v>
      </c>
      <c r="R974">
        <v>3</v>
      </c>
      <c r="S974" t="s">
        <v>469</v>
      </c>
      <c r="T974" t="s">
        <v>467</v>
      </c>
      <c r="U974" t="s">
        <v>598</v>
      </c>
      <c r="V974">
        <v>2607.9061610677609</v>
      </c>
    </row>
    <row r="975" spans="16:22" x14ac:dyDescent="0.25">
      <c r="P975" t="s">
        <v>472</v>
      </c>
      <c r="Q975">
        <v>2035</v>
      </c>
      <c r="R975">
        <v>3</v>
      </c>
      <c r="S975" t="s">
        <v>469</v>
      </c>
      <c r="T975" t="s">
        <v>468</v>
      </c>
      <c r="U975" t="s">
        <v>592</v>
      </c>
      <c r="V975">
        <v>818.9013510241092</v>
      </c>
    </row>
    <row r="976" spans="16:22" x14ac:dyDescent="0.25">
      <c r="P976" t="s">
        <v>472</v>
      </c>
      <c r="Q976">
        <v>2035</v>
      </c>
      <c r="R976">
        <v>3</v>
      </c>
      <c r="S976" t="s">
        <v>469</v>
      </c>
      <c r="T976" t="s">
        <v>468</v>
      </c>
      <c r="U976" t="s">
        <v>593</v>
      </c>
      <c r="V976">
        <v>927.5088968347618</v>
      </c>
    </row>
    <row r="977" spans="16:22" x14ac:dyDescent="0.25">
      <c r="P977" t="s">
        <v>472</v>
      </c>
      <c r="Q977">
        <v>2035</v>
      </c>
      <c r="R977">
        <v>3</v>
      </c>
      <c r="S977" t="s">
        <v>469</v>
      </c>
      <c r="T977" t="s">
        <v>468</v>
      </c>
      <c r="U977" t="s">
        <v>594</v>
      </c>
      <c r="V977">
        <v>305.85522143619306</v>
      </c>
    </row>
    <row r="978" spans="16:22" x14ac:dyDescent="0.25">
      <c r="P978" t="s">
        <v>472</v>
      </c>
      <c r="Q978">
        <v>2035</v>
      </c>
      <c r="R978">
        <v>3</v>
      </c>
      <c r="S978" t="s">
        <v>469</v>
      </c>
      <c r="T978" t="s">
        <v>468</v>
      </c>
      <c r="U978" t="s">
        <v>595</v>
      </c>
      <c r="V978">
        <v>1744.3924081867713</v>
      </c>
    </row>
    <row r="979" spans="16:22" x14ac:dyDescent="0.25">
      <c r="P979" t="s">
        <v>472</v>
      </c>
      <c r="Q979">
        <v>2035</v>
      </c>
      <c r="R979">
        <v>3</v>
      </c>
      <c r="S979" t="s">
        <v>469</v>
      </c>
      <c r="T979" t="s">
        <v>468</v>
      </c>
      <c r="U979" t="s">
        <v>596</v>
      </c>
      <c r="V979">
        <v>2037.140916158407</v>
      </c>
    </row>
    <row r="980" spans="16:22" x14ac:dyDescent="0.25">
      <c r="P980" t="s">
        <v>472</v>
      </c>
      <c r="Q980">
        <v>2035</v>
      </c>
      <c r="R980">
        <v>3</v>
      </c>
      <c r="S980" t="s">
        <v>469</v>
      </c>
      <c r="T980" t="s">
        <v>468</v>
      </c>
      <c r="U980" t="s">
        <v>597</v>
      </c>
      <c r="V980">
        <v>53.629860155475498</v>
      </c>
    </row>
    <row r="981" spans="16:22" x14ac:dyDescent="0.25">
      <c r="P981" t="s">
        <v>472</v>
      </c>
      <c r="Q981">
        <v>2035</v>
      </c>
      <c r="R981">
        <v>3</v>
      </c>
      <c r="S981" t="s">
        <v>469</v>
      </c>
      <c r="T981" t="s">
        <v>468</v>
      </c>
      <c r="U981" t="s">
        <v>598</v>
      </c>
      <c r="V981">
        <v>2607.9061610677609</v>
      </c>
    </row>
    <row r="982" spans="16:22" x14ac:dyDescent="0.25">
      <c r="P982" t="s">
        <v>472</v>
      </c>
      <c r="Q982">
        <v>2050</v>
      </c>
      <c r="R982">
        <v>3</v>
      </c>
      <c r="S982" t="s">
        <v>466</v>
      </c>
      <c r="T982" t="s">
        <v>467</v>
      </c>
      <c r="U982" t="s">
        <v>592</v>
      </c>
      <c r="V982">
        <v>684.90764536492156</v>
      </c>
    </row>
    <row r="983" spans="16:22" x14ac:dyDescent="0.25">
      <c r="P983" t="s">
        <v>472</v>
      </c>
      <c r="Q983">
        <v>2050</v>
      </c>
      <c r="R983">
        <v>3</v>
      </c>
      <c r="S983" t="s">
        <v>466</v>
      </c>
      <c r="T983" t="s">
        <v>467</v>
      </c>
      <c r="U983" t="s">
        <v>593</v>
      </c>
      <c r="V983">
        <v>709.02078852593843</v>
      </c>
    </row>
    <row r="984" spans="16:22" x14ac:dyDescent="0.25">
      <c r="P984" t="s">
        <v>472</v>
      </c>
      <c r="Q984">
        <v>2050</v>
      </c>
      <c r="R984">
        <v>3</v>
      </c>
      <c r="S984" t="s">
        <v>466</v>
      </c>
      <c r="T984" t="s">
        <v>467</v>
      </c>
      <c r="U984" t="s">
        <v>594</v>
      </c>
      <c r="V984">
        <v>315.44720364417634</v>
      </c>
    </row>
    <row r="985" spans="16:22" x14ac:dyDescent="0.25">
      <c r="P985" t="s">
        <v>472</v>
      </c>
      <c r="Q985">
        <v>2050</v>
      </c>
      <c r="R985">
        <v>3</v>
      </c>
      <c r="S985" t="s">
        <v>466</v>
      </c>
      <c r="T985" t="s">
        <v>467</v>
      </c>
      <c r="U985" t="s">
        <v>595</v>
      </c>
      <c r="V985">
        <v>832.89746652572751</v>
      </c>
    </row>
    <row r="986" spans="16:22" x14ac:dyDescent="0.25">
      <c r="P986" t="s">
        <v>472</v>
      </c>
      <c r="Q986">
        <v>2050</v>
      </c>
      <c r="R986">
        <v>3</v>
      </c>
      <c r="S986" t="s">
        <v>466</v>
      </c>
      <c r="T986" t="s">
        <v>467</v>
      </c>
      <c r="U986" t="s">
        <v>596</v>
      </c>
      <c r="V986">
        <v>1775.4925923068965</v>
      </c>
    </row>
    <row r="987" spans="16:22" x14ac:dyDescent="0.25">
      <c r="P987" t="s">
        <v>472</v>
      </c>
      <c r="Q987">
        <v>2050</v>
      </c>
      <c r="R987">
        <v>3</v>
      </c>
      <c r="S987" t="s">
        <v>466</v>
      </c>
      <c r="T987" t="s">
        <v>467</v>
      </c>
      <c r="U987" t="s">
        <v>597</v>
      </c>
      <c r="V987">
        <v>3.6931062777274787E-2</v>
      </c>
    </row>
    <row r="988" spans="16:22" x14ac:dyDescent="0.25">
      <c r="P988" t="s">
        <v>472</v>
      </c>
      <c r="Q988">
        <v>2050</v>
      </c>
      <c r="R988">
        <v>3</v>
      </c>
      <c r="S988" t="s">
        <v>466</v>
      </c>
      <c r="T988" t="s">
        <v>467</v>
      </c>
      <c r="U988" t="s">
        <v>598</v>
      </c>
      <c r="V988">
        <v>4697.2649911185863</v>
      </c>
    </row>
    <row r="989" spans="16:22" x14ac:dyDescent="0.25">
      <c r="P989" t="s">
        <v>472</v>
      </c>
      <c r="Q989">
        <v>2050</v>
      </c>
      <c r="R989">
        <v>3</v>
      </c>
      <c r="S989" t="s">
        <v>466</v>
      </c>
      <c r="T989" t="s">
        <v>468</v>
      </c>
      <c r="U989" t="s">
        <v>592</v>
      </c>
      <c r="V989">
        <v>684.90764536492156</v>
      </c>
    </row>
    <row r="990" spans="16:22" x14ac:dyDescent="0.25">
      <c r="P990" t="s">
        <v>472</v>
      </c>
      <c r="Q990">
        <v>2050</v>
      </c>
      <c r="R990">
        <v>3</v>
      </c>
      <c r="S990" t="s">
        <v>466</v>
      </c>
      <c r="T990" t="s">
        <v>468</v>
      </c>
      <c r="U990" t="s">
        <v>593</v>
      </c>
      <c r="V990">
        <v>709.02078852593843</v>
      </c>
    </row>
    <row r="991" spans="16:22" x14ac:dyDescent="0.25">
      <c r="P991" t="s">
        <v>472</v>
      </c>
      <c r="Q991">
        <v>2050</v>
      </c>
      <c r="R991">
        <v>3</v>
      </c>
      <c r="S991" t="s">
        <v>466</v>
      </c>
      <c r="T991" t="s">
        <v>468</v>
      </c>
      <c r="U991" t="s">
        <v>594</v>
      </c>
      <c r="V991">
        <v>315.44720364417634</v>
      </c>
    </row>
    <row r="992" spans="16:22" x14ac:dyDescent="0.25">
      <c r="P992" t="s">
        <v>472</v>
      </c>
      <c r="Q992">
        <v>2050</v>
      </c>
      <c r="R992">
        <v>3</v>
      </c>
      <c r="S992" t="s">
        <v>466</v>
      </c>
      <c r="T992" t="s">
        <v>468</v>
      </c>
      <c r="U992" t="s">
        <v>595</v>
      </c>
      <c r="V992">
        <v>832.89746652572751</v>
      </c>
    </row>
    <row r="993" spans="16:22" x14ac:dyDescent="0.25">
      <c r="P993" t="s">
        <v>472</v>
      </c>
      <c r="Q993">
        <v>2050</v>
      </c>
      <c r="R993">
        <v>3</v>
      </c>
      <c r="S993" t="s">
        <v>466</v>
      </c>
      <c r="T993" t="s">
        <v>468</v>
      </c>
      <c r="U993" t="s">
        <v>596</v>
      </c>
      <c r="V993">
        <v>1775.4925923068965</v>
      </c>
    </row>
    <row r="994" spans="16:22" x14ac:dyDescent="0.25">
      <c r="P994" t="s">
        <v>472</v>
      </c>
      <c r="Q994">
        <v>2050</v>
      </c>
      <c r="R994">
        <v>3</v>
      </c>
      <c r="S994" t="s">
        <v>466</v>
      </c>
      <c r="T994" t="s">
        <v>468</v>
      </c>
      <c r="U994" t="s">
        <v>597</v>
      </c>
      <c r="V994">
        <v>3.6931062777274787E-2</v>
      </c>
    </row>
    <row r="995" spans="16:22" x14ac:dyDescent="0.25">
      <c r="P995" t="s">
        <v>472</v>
      </c>
      <c r="Q995">
        <v>2050</v>
      </c>
      <c r="R995">
        <v>3</v>
      </c>
      <c r="S995" t="s">
        <v>466</v>
      </c>
      <c r="T995" t="s">
        <v>468</v>
      </c>
      <c r="U995" t="s">
        <v>598</v>
      </c>
      <c r="V995">
        <v>4697.2649911185863</v>
      </c>
    </row>
    <row r="996" spans="16:22" x14ac:dyDescent="0.25">
      <c r="P996" t="s">
        <v>472</v>
      </c>
      <c r="Q996">
        <v>2050</v>
      </c>
      <c r="R996">
        <v>3</v>
      </c>
      <c r="S996" t="s">
        <v>469</v>
      </c>
      <c r="T996" t="s">
        <v>467</v>
      </c>
      <c r="U996" t="s">
        <v>592</v>
      </c>
      <c r="V996">
        <v>1341.6855515100883</v>
      </c>
    </row>
    <row r="997" spans="16:22" x14ac:dyDescent="0.25">
      <c r="P997" t="s">
        <v>472</v>
      </c>
      <c r="Q997">
        <v>2050</v>
      </c>
      <c r="R997">
        <v>3</v>
      </c>
      <c r="S997" t="s">
        <v>469</v>
      </c>
      <c r="T997" t="s">
        <v>467</v>
      </c>
      <c r="U997" t="s">
        <v>593</v>
      </c>
      <c r="V997">
        <v>959.2028748244943</v>
      </c>
    </row>
    <row r="998" spans="16:22" x14ac:dyDescent="0.25">
      <c r="P998" t="s">
        <v>472</v>
      </c>
      <c r="Q998">
        <v>2050</v>
      </c>
      <c r="R998">
        <v>3</v>
      </c>
      <c r="S998" t="s">
        <v>469</v>
      </c>
      <c r="T998" t="s">
        <v>467</v>
      </c>
      <c r="U998" t="s">
        <v>594</v>
      </c>
      <c r="V998">
        <v>315.8823737558148</v>
      </c>
    </row>
    <row r="999" spans="16:22" x14ac:dyDescent="0.25">
      <c r="P999" t="s">
        <v>472</v>
      </c>
      <c r="Q999">
        <v>2050</v>
      </c>
      <c r="R999">
        <v>3</v>
      </c>
      <c r="S999" t="s">
        <v>469</v>
      </c>
      <c r="T999" t="s">
        <v>467</v>
      </c>
      <c r="U999" t="s">
        <v>595</v>
      </c>
      <c r="V999">
        <v>641.67960137582475</v>
      </c>
    </row>
    <row r="1000" spans="16:22" x14ac:dyDescent="0.25">
      <c r="P1000" t="s">
        <v>472</v>
      </c>
      <c r="Q1000">
        <v>2050</v>
      </c>
      <c r="R1000">
        <v>3</v>
      </c>
      <c r="S1000" t="s">
        <v>469</v>
      </c>
      <c r="T1000" t="s">
        <v>467</v>
      </c>
      <c r="U1000" t="s">
        <v>596</v>
      </c>
      <c r="V1000">
        <v>1521.8089264352661</v>
      </c>
    </row>
    <row r="1001" spans="16:22" x14ac:dyDescent="0.25">
      <c r="P1001" t="s">
        <v>472</v>
      </c>
      <c r="Q1001">
        <v>2050</v>
      </c>
      <c r="R1001">
        <v>3</v>
      </c>
      <c r="S1001" t="s">
        <v>469</v>
      </c>
      <c r="T1001" t="s">
        <v>467</v>
      </c>
      <c r="U1001" t="s">
        <v>597</v>
      </c>
      <c r="V1001">
        <v>7.9701702835490662E-2</v>
      </c>
    </row>
    <row r="1002" spans="16:22" x14ac:dyDescent="0.25">
      <c r="P1002" t="s">
        <v>472</v>
      </c>
      <c r="Q1002">
        <v>2050</v>
      </c>
      <c r="R1002">
        <v>3</v>
      </c>
      <c r="S1002" t="s">
        <v>469</v>
      </c>
      <c r="T1002" t="s">
        <v>467</v>
      </c>
      <c r="U1002" t="s">
        <v>598</v>
      </c>
      <c r="V1002">
        <v>4216.2366450240352</v>
      </c>
    </row>
    <row r="1003" spans="16:22" x14ac:dyDescent="0.25">
      <c r="P1003" t="s">
        <v>472</v>
      </c>
      <c r="Q1003">
        <v>2050</v>
      </c>
      <c r="R1003">
        <v>3</v>
      </c>
      <c r="S1003" t="s">
        <v>469</v>
      </c>
      <c r="T1003" t="s">
        <v>468</v>
      </c>
      <c r="U1003" t="s">
        <v>592</v>
      </c>
      <c r="V1003">
        <v>1341.6855515100883</v>
      </c>
    </row>
    <row r="1004" spans="16:22" x14ac:dyDescent="0.25">
      <c r="P1004" t="s">
        <v>472</v>
      </c>
      <c r="Q1004">
        <v>2050</v>
      </c>
      <c r="R1004">
        <v>3</v>
      </c>
      <c r="S1004" t="s">
        <v>469</v>
      </c>
      <c r="T1004" t="s">
        <v>468</v>
      </c>
      <c r="U1004" t="s">
        <v>593</v>
      </c>
      <c r="V1004">
        <v>959.2028748244943</v>
      </c>
    </row>
    <row r="1005" spans="16:22" x14ac:dyDescent="0.25">
      <c r="P1005" t="s">
        <v>472</v>
      </c>
      <c r="Q1005">
        <v>2050</v>
      </c>
      <c r="R1005">
        <v>3</v>
      </c>
      <c r="S1005" t="s">
        <v>469</v>
      </c>
      <c r="T1005" t="s">
        <v>468</v>
      </c>
      <c r="U1005" t="s">
        <v>594</v>
      </c>
      <c r="V1005">
        <v>315.8823737558148</v>
      </c>
    </row>
    <row r="1006" spans="16:22" x14ac:dyDescent="0.25">
      <c r="P1006" t="s">
        <v>472</v>
      </c>
      <c r="Q1006">
        <v>2050</v>
      </c>
      <c r="R1006">
        <v>3</v>
      </c>
      <c r="S1006" t="s">
        <v>469</v>
      </c>
      <c r="T1006" t="s">
        <v>468</v>
      </c>
      <c r="U1006" t="s">
        <v>595</v>
      </c>
      <c r="V1006">
        <v>641.67960137582475</v>
      </c>
    </row>
    <row r="1007" spans="16:22" x14ac:dyDescent="0.25">
      <c r="P1007" t="s">
        <v>472</v>
      </c>
      <c r="Q1007">
        <v>2050</v>
      </c>
      <c r="R1007">
        <v>3</v>
      </c>
      <c r="S1007" t="s">
        <v>469</v>
      </c>
      <c r="T1007" t="s">
        <v>468</v>
      </c>
      <c r="U1007" t="s">
        <v>596</v>
      </c>
      <c r="V1007">
        <v>1521.8089264352661</v>
      </c>
    </row>
    <row r="1008" spans="16:22" x14ac:dyDescent="0.25">
      <c r="P1008" t="s">
        <v>472</v>
      </c>
      <c r="Q1008">
        <v>2050</v>
      </c>
      <c r="R1008">
        <v>3</v>
      </c>
      <c r="S1008" t="s">
        <v>469</v>
      </c>
      <c r="T1008" t="s">
        <v>468</v>
      </c>
      <c r="U1008" t="s">
        <v>597</v>
      </c>
      <c r="V1008">
        <v>7.9701702835490662E-2</v>
      </c>
    </row>
    <row r="1009" spans="16:22" x14ac:dyDescent="0.25">
      <c r="P1009" t="s">
        <v>472</v>
      </c>
      <c r="Q1009">
        <v>2050</v>
      </c>
      <c r="R1009">
        <v>3</v>
      </c>
      <c r="S1009" t="s">
        <v>469</v>
      </c>
      <c r="T1009" t="s">
        <v>468</v>
      </c>
      <c r="U1009" t="s">
        <v>598</v>
      </c>
      <c r="V1009">
        <v>4216.2366450240352</v>
      </c>
    </row>
    <row r="1010" spans="16:22" x14ac:dyDescent="0.25">
      <c r="P1010" t="s">
        <v>472</v>
      </c>
      <c r="Q1010">
        <v>2035</v>
      </c>
      <c r="R1010">
        <v>4</v>
      </c>
      <c r="S1010" t="s">
        <v>466</v>
      </c>
      <c r="T1010" t="s">
        <v>467</v>
      </c>
      <c r="U1010" t="s">
        <v>592</v>
      </c>
      <c r="V1010">
        <v>41.24720907441354</v>
      </c>
    </row>
    <row r="1011" spans="16:22" x14ac:dyDescent="0.25">
      <c r="P1011" t="s">
        <v>472</v>
      </c>
      <c r="Q1011">
        <v>2035</v>
      </c>
      <c r="R1011">
        <v>4</v>
      </c>
      <c r="S1011" t="s">
        <v>466</v>
      </c>
      <c r="T1011" t="s">
        <v>467</v>
      </c>
      <c r="U1011" t="s">
        <v>593</v>
      </c>
      <c r="V1011">
        <v>311.65678471723726</v>
      </c>
    </row>
    <row r="1012" spans="16:22" x14ac:dyDescent="0.25">
      <c r="P1012" t="s">
        <v>472</v>
      </c>
      <c r="Q1012">
        <v>2035</v>
      </c>
      <c r="R1012">
        <v>4</v>
      </c>
      <c r="S1012" t="s">
        <v>466</v>
      </c>
      <c r="T1012" t="s">
        <v>467</v>
      </c>
      <c r="U1012" t="s">
        <v>594</v>
      </c>
      <c r="V1012">
        <v>0</v>
      </c>
    </row>
    <row r="1013" spans="16:22" x14ac:dyDescent="0.25">
      <c r="P1013" t="s">
        <v>472</v>
      </c>
      <c r="Q1013">
        <v>2035</v>
      </c>
      <c r="R1013">
        <v>4</v>
      </c>
      <c r="S1013" t="s">
        <v>466</v>
      </c>
      <c r="T1013" t="s">
        <v>467</v>
      </c>
      <c r="U1013" t="s">
        <v>595</v>
      </c>
      <c r="V1013">
        <v>138.96474358951389</v>
      </c>
    </row>
    <row r="1014" spans="16:22" x14ac:dyDescent="0.25">
      <c r="P1014" t="s">
        <v>472</v>
      </c>
      <c r="Q1014">
        <v>2035</v>
      </c>
      <c r="R1014">
        <v>4</v>
      </c>
      <c r="S1014" t="s">
        <v>466</v>
      </c>
      <c r="T1014" t="s">
        <v>467</v>
      </c>
      <c r="U1014" t="s">
        <v>596</v>
      </c>
      <c r="V1014">
        <v>167.10736510010722</v>
      </c>
    </row>
    <row r="1015" spans="16:22" x14ac:dyDescent="0.25">
      <c r="P1015" t="s">
        <v>472</v>
      </c>
      <c r="Q1015">
        <v>2035</v>
      </c>
      <c r="R1015">
        <v>4</v>
      </c>
      <c r="S1015" t="s">
        <v>466</v>
      </c>
      <c r="T1015" t="s">
        <v>467</v>
      </c>
      <c r="U1015" t="s">
        <v>597</v>
      </c>
      <c r="V1015">
        <v>0</v>
      </c>
    </row>
    <row r="1016" spans="16:22" x14ac:dyDescent="0.25">
      <c r="P1016" t="s">
        <v>472</v>
      </c>
      <c r="Q1016">
        <v>2035</v>
      </c>
      <c r="R1016">
        <v>4</v>
      </c>
      <c r="S1016" t="s">
        <v>466</v>
      </c>
      <c r="T1016" t="s">
        <v>467</v>
      </c>
      <c r="U1016" t="s">
        <v>598</v>
      </c>
      <c r="V1016">
        <v>6.6674307805092085E-11</v>
      </c>
    </row>
    <row r="1017" spans="16:22" x14ac:dyDescent="0.25">
      <c r="P1017" t="s">
        <v>472</v>
      </c>
      <c r="Q1017">
        <v>2035</v>
      </c>
      <c r="R1017">
        <v>4</v>
      </c>
      <c r="S1017" t="s">
        <v>466</v>
      </c>
      <c r="T1017" t="s">
        <v>468</v>
      </c>
      <c r="U1017" t="s">
        <v>592</v>
      </c>
      <c r="V1017">
        <v>41.24720907441354</v>
      </c>
    </row>
    <row r="1018" spans="16:22" x14ac:dyDescent="0.25">
      <c r="P1018" t="s">
        <v>472</v>
      </c>
      <c r="Q1018">
        <v>2035</v>
      </c>
      <c r="R1018">
        <v>4</v>
      </c>
      <c r="S1018" t="s">
        <v>466</v>
      </c>
      <c r="T1018" t="s">
        <v>468</v>
      </c>
      <c r="U1018" t="s">
        <v>593</v>
      </c>
      <c r="V1018">
        <v>311.65678471723726</v>
      </c>
    </row>
    <row r="1019" spans="16:22" x14ac:dyDescent="0.25">
      <c r="P1019" t="s">
        <v>472</v>
      </c>
      <c r="Q1019">
        <v>2035</v>
      </c>
      <c r="R1019">
        <v>4</v>
      </c>
      <c r="S1019" t="s">
        <v>466</v>
      </c>
      <c r="T1019" t="s">
        <v>468</v>
      </c>
      <c r="U1019" t="s">
        <v>594</v>
      </c>
      <c r="V1019">
        <v>0</v>
      </c>
    </row>
    <row r="1020" spans="16:22" x14ac:dyDescent="0.25">
      <c r="P1020" t="s">
        <v>472</v>
      </c>
      <c r="Q1020">
        <v>2035</v>
      </c>
      <c r="R1020">
        <v>4</v>
      </c>
      <c r="S1020" t="s">
        <v>466</v>
      </c>
      <c r="T1020" t="s">
        <v>468</v>
      </c>
      <c r="U1020" t="s">
        <v>595</v>
      </c>
      <c r="V1020">
        <v>138.96474358951389</v>
      </c>
    </row>
    <row r="1021" spans="16:22" x14ac:dyDescent="0.25">
      <c r="P1021" t="s">
        <v>472</v>
      </c>
      <c r="Q1021">
        <v>2035</v>
      </c>
      <c r="R1021">
        <v>4</v>
      </c>
      <c r="S1021" t="s">
        <v>466</v>
      </c>
      <c r="T1021" t="s">
        <v>468</v>
      </c>
      <c r="U1021" t="s">
        <v>596</v>
      </c>
      <c r="V1021">
        <v>167.10736510010722</v>
      </c>
    </row>
    <row r="1022" spans="16:22" x14ac:dyDescent="0.25">
      <c r="P1022" t="s">
        <v>472</v>
      </c>
      <c r="Q1022">
        <v>2035</v>
      </c>
      <c r="R1022">
        <v>4</v>
      </c>
      <c r="S1022" t="s">
        <v>466</v>
      </c>
      <c r="T1022" t="s">
        <v>468</v>
      </c>
      <c r="U1022" t="s">
        <v>597</v>
      </c>
      <c r="V1022">
        <v>0</v>
      </c>
    </row>
    <row r="1023" spans="16:22" x14ac:dyDescent="0.25">
      <c r="P1023" t="s">
        <v>472</v>
      </c>
      <c r="Q1023">
        <v>2035</v>
      </c>
      <c r="R1023">
        <v>4</v>
      </c>
      <c r="S1023" t="s">
        <v>466</v>
      </c>
      <c r="T1023" t="s">
        <v>468</v>
      </c>
      <c r="U1023" t="s">
        <v>598</v>
      </c>
      <c r="V1023">
        <v>6.6674307805092085E-11</v>
      </c>
    </row>
    <row r="1024" spans="16:22" x14ac:dyDescent="0.25">
      <c r="P1024" t="s">
        <v>472</v>
      </c>
      <c r="Q1024">
        <v>2035</v>
      </c>
      <c r="R1024">
        <v>4</v>
      </c>
      <c r="S1024" t="s">
        <v>469</v>
      </c>
      <c r="T1024" t="s">
        <v>467</v>
      </c>
      <c r="U1024" t="s">
        <v>592</v>
      </c>
      <c r="V1024">
        <v>41.247209074411444</v>
      </c>
    </row>
    <row r="1025" spans="16:22" x14ac:dyDescent="0.25">
      <c r="P1025" t="s">
        <v>472</v>
      </c>
      <c r="Q1025">
        <v>2035</v>
      </c>
      <c r="R1025">
        <v>4</v>
      </c>
      <c r="S1025" t="s">
        <v>469</v>
      </c>
      <c r="T1025" t="s">
        <v>467</v>
      </c>
      <c r="U1025" t="s">
        <v>593</v>
      </c>
      <c r="V1025">
        <v>311.65678471723089</v>
      </c>
    </row>
    <row r="1026" spans="16:22" x14ac:dyDescent="0.25">
      <c r="P1026" t="s">
        <v>472</v>
      </c>
      <c r="Q1026">
        <v>2035</v>
      </c>
      <c r="R1026">
        <v>4</v>
      </c>
      <c r="S1026" t="s">
        <v>469</v>
      </c>
      <c r="T1026" t="s">
        <v>467</v>
      </c>
      <c r="U1026" t="s">
        <v>594</v>
      </c>
      <c r="V1026">
        <v>0</v>
      </c>
    </row>
    <row r="1027" spans="16:22" x14ac:dyDescent="0.25">
      <c r="P1027" t="s">
        <v>472</v>
      </c>
      <c r="Q1027">
        <v>2035</v>
      </c>
      <c r="R1027">
        <v>4</v>
      </c>
      <c r="S1027" t="s">
        <v>469</v>
      </c>
      <c r="T1027" t="s">
        <v>467</v>
      </c>
      <c r="U1027" t="s">
        <v>595</v>
      </c>
      <c r="V1027">
        <v>138.96474358945034</v>
      </c>
    </row>
    <row r="1028" spans="16:22" x14ac:dyDescent="0.25">
      <c r="P1028" t="s">
        <v>472</v>
      </c>
      <c r="Q1028">
        <v>2035</v>
      </c>
      <c r="R1028">
        <v>4</v>
      </c>
      <c r="S1028" t="s">
        <v>469</v>
      </c>
      <c r="T1028" t="s">
        <v>467</v>
      </c>
      <c r="U1028" t="s">
        <v>596</v>
      </c>
      <c r="V1028">
        <v>167.10634895767373</v>
      </c>
    </row>
    <row r="1029" spans="16:22" x14ac:dyDescent="0.25">
      <c r="P1029" t="s">
        <v>472</v>
      </c>
      <c r="Q1029">
        <v>2035</v>
      </c>
      <c r="R1029">
        <v>4</v>
      </c>
      <c r="S1029" t="s">
        <v>469</v>
      </c>
      <c r="T1029" t="s">
        <v>467</v>
      </c>
      <c r="U1029" t="s">
        <v>597</v>
      </c>
      <c r="V1029">
        <v>0</v>
      </c>
    </row>
    <row r="1030" spans="16:22" x14ac:dyDescent="0.25">
      <c r="P1030" t="s">
        <v>472</v>
      </c>
      <c r="Q1030">
        <v>2035</v>
      </c>
      <c r="R1030">
        <v>4</v>
      </c>
      <c r="S1030" t="s">
        <v>469</v>
      </c>
      <c r="T1030" t="s">
        <v>467</v>
      </c>
      <c r="U1030" t="s">
        <v>598</v>
      </c>
      <c r="V1030">
        <v>7.9348345412476647E-11</v>
      </c>
    </row>
    <row r="1031" spans="16:22" x14ac:dyDescent="0.25">
      <c r="P1031" t="s">
        <v>472</v>
      </c>
      <c r="Q1031">
        <v>2035</v>
      </c>
      <c r="R1031">
        <v>4</v>
      </c>
      <c r="S1031" t="s">
        <v>469</v>
      </c>
      <c r="T1031" t="s">
        <v>468</v>
      </c>
      <c r="U1031" t="s">
        <v>592</v>
      </c>
      <c r="V1031">
        <v>41.247209074411444</v>
      </c>
    </row>
    <row r="1032" spans="16:22" x14ac:dyDescent="0.25">
      <c r="P1032" t="s">
        <v>472</v>
      </c>
      <c r="Q1032">
        <v>2035</v>
      </c>
      <c r="R1032">
        <v>4</v>
      </c>
      <c r="S1032" t="s">
        <v>469</v>
      </c>
      <c r="T1032" t="s">
        <v>468</v>
      </c>
      <c r="U1032" t="s">
        <v>593</v>
      </c>
      <c r="V1032">
        <v>311.65678471723089</v>
      </c>
    </row>
    <row r="1033" spans="16:22" x14ac:dyDescent="0.25">
      <c r="P1033" t="s">
        <v>472</v>
      </c>
      <c r="Q1033">
        <v>2035</v>
      </c>
      <c r="R1033">
        <v>4</v>
      </c>
      <c r="S1033" t="s">
        <v>469</v>
      </c>
      <c r="T1033" t="s">
        <v>468</v>
      </c>
      <c r="U1033" t="s">
        <v>594</v>
      </c>
      <c r="V1033">
        <v>0</v>
      </c>
    </row>
    <row r="1034" spans="16:22" x14ac:dyDescent="0.25">
      <c r="P1034" t="s">
        <v>472</v>
      </c>
      <c r="Q1034">
        <v>2035</v>
      </c>
      <c r="R1034">
        <v>4</v>
      </c>
      <c r="S1034" t="s">
        <v>469</v>
      </c>
      <c r="T1034" t="s">
        <v>468</v>
      </c>
      <c r="U1034" t="s">
        <v>595</v>
      </c>
      <c r="V1034">
        <v>138.96474358945034</v>
      </c>
    </row>
    <row r="1035" spans="16:22" x14ac:dyDescent="0.25">
      <c r="P1035" t="s">
        <v>472</v>
      </c>
      <c r="Q1035">
        <v>2035</v>
      </c>
      <c r="R1035">
        <v>4</v>
      </c>
      <c r="S1035" t="s">
        <v>469</v>
      </c>
      <c r="T1035" t="s">
        <v>468</v>
      </c>
      <c r="U1035" t="s">
        <v>596</v>
      </c>
      <c r="V1035">
        <v>167.10634895767373</v>
      </c>
    </row>
    <row r="1036" spans="16:22" x14ac:dyDescent="0.25">
      <c r="P1036" t="s">
        <v>472</v>
      </c>
      <c r="Q1036">
        <v>2035</v>
      </c>
      <c r="R1036">
        <v>4</v>
      </c>
      <c r="S1036" t="s">
        <v>469</v>
      </c>
      <c r="T1036" t="s">
        <v>468</v>
      </c>
      <c r="U1036" t="s">
        <v>597</v>
      </c>
      <c r="V1036">
        <v>0</v>
      </c>
    </row>
    <row r="1037" spans="16:22" x14ac:dyDescent="0.25">
      <c r="P1037" t="s">
        <v>472</v>
      </c>
      <c r="Q1037">
        <v>2035</v>
      </c>
      <c r="R1037">
        <v>4</v>
      </c>
      <c r="S1037" t="s">
        <v>469</v>
      </c>
      <c r="T1037" t="s">
        <v>468</v>
      </c>
      <c r="U1037" t="s">
        <v>598</v>
      </c>
      <c r="V1037">
        <v>7.9348345412476647E-11</v>
      </c>
    </row>
    <row r="1038" spans="16:22" x14ac:dyDescent="0.25">
      <c r="P1038" t="s">
        <v>472</v>
      </c>
      <c r="Q1038">
        <v>2050</v>
      </c>
      <c r="R1038">
        <v>4</v>
      </c>
      <c r="S1038" t="s">
        <v>466</v>
      </c>
      <c r="T1038" t="s">
        <v>467</v>
      </c>
      <c r="U1038" t="s">
        <v>592</v>
      </c>
      <c r="V1038">
        <v>67.579418148792087</v>
      </c>
    </row>
    <row r="1039" spans="16:22" x14ac:dyDescent="0.25">
      <c r="P1039" t="s">
        <v>472</v>
      </c>
      <c r="Q1039">
        <v>2050</v>
      </c>
      <c r="R1039">
        <v>4</v>
      </c>
      <c r="S1039" t="s">
        <v>466</v>
      </c>
      <c r="T1039" t="s">
        <v>467</v>
      </c>
      <c r="U1039" t="s">
        <v>593</v>
      </c>
      <c r="V1039">
        <v>392.11356943438057</v>
      </c>
    </row>
    <row r="1040" spans="16:22" x14ac:dyDescent="0.25">
      <c r="P1040" t="s">
        <v>472</v>
      </c>
      <c r="Q1040">
        <v>2050</v>
      </c>
      <c r="R1040">
        <v>4</v>
      </c>
      <c r="S1040" t="s">
        <v>466</v>
      </c>
      <c r="T1040" t="s">
        <v>467</v>
      </c>
      <c r="U1040" t="s">
        <v>594</v>
      </c>
      <c r="V1040">
        <v>0</v>
      </c>
    </row>
    <row r="1041" spans="16:22" x14ac:dyDescent="0.25">
      <c r="P1041" t="s">
        <v>472</v>
      </c>
      <c r="Q1041">
        <v>2050</v>
      </c>
      <c r="R1041">
        <v>4</v>
      </c>
      <c r="S1041" t="s">
        <v>466</v>
      </c>
      <c r="T1041" t="s">
        <v>467</v>
      </c>
      <c r="U1041" t="s">
        <v>595</v>
      </c>
      <c r="V1041">
        <v>205.34948717824963</v>
      </c>
    </row>
    <row r="1042" spans="16:22" x14ac:dyDescent="0.25">
      <c r="P1042" t="s">
        <v>472</v>
      </c>
      <c r="Q1042">
        <v>2050</v>
      </c>
      <c r="R1042">
        <v>4</v>
      </c>
      <c r="S1042" t="s">
        <v>466</v>
      </c>
      <c r="T1042" t="s">
        <v>467</v>
      </c>
      <c r="U1042" t="s">
        <v>596</v>
      </c>
      <c r="V1042">
        <v>24.173461141935817</v>
      </c>
    </row>
    <row r="1043" spans="16:22" x14ac:dyDescent="0.25">
      <c r="P1043" t="s">
        <v>472</v>
      </c>
      <c r="Q1043">
        <v>2050</v>
      </c>
      <c r="R1043">
        <v>4</v>
      </c>
      <c r="S1043" t="s">
        <v>466</v>
      </c>
      <c r="T1043" t="s">
        <v>467</v>
      </c>
      <c r="U1043" t="s">
        <v>597</v>
      </c>
      <c r="V1043">
        <v>0</v>
      </c>
    </row>
    <row r="1044" spans="16:22" x14ac:dyDescent="0.25">
      <c r="P1044" t="s">
        <v>472</v>
      </c>
      <c r="Q1044">
        <v>2050</v>
      </c>
      <c r="R1044">
        <v>4</v>
      </c>
      <c r="S1044" t="s">
        <v>466</v>
      </c>
      <c r="T1044" t="s">
        <v>467</v>
      </c>
      <c r="U1044" t="s">
        <v>598</v>
      </c>
      <c r="V1044">
        <v>3.4010786799325068E-10</v>
      </c>
    </row>
    <row r="1045" spans="16:22" x14ac:dyDescent="0.25">
      <c r="P1045" t="s">
        <v>472</v>
      </c>
      <c r="Q1045">
        <v>2050</v>
      </c>
      <c r="R1045">
        <v>4</v>
      </c>
      <c r="S1045" t="s">
        <v>466</v>
      </c>
      <c r="T1045" t="s">
        <v>468</v>
      </c>
      <c r="U1045" t="s">
        <v>592</v>
      </c>
      <c r="V1045">
        <v>67.579418148792087</v>
      </c>
    </row>
    <row r="1046" spans="16:22" x14ac:dyDescent="0.25">
      <c r="P1046" t="s">
        <v>472</v>
      </c>
      <c r="Q1046">
        <v>2050</v>
      </c>
      <c r="R1046">
        <v>4</v>
      </c>
      <c r="S1046" t="s">
        <v>466</v>
      </c>
      <c r="T1046" t="s">
        <v>468</v>
      </c>
      <c r="U1046" t="s">
        <v>593</v>
      </c>
      <c r="V1046">
        <v>392.11356943438057</v>
      </c>
    </row>
    <row r="1047" spans="16:22" x14ac:dyDescent="0.25">
      <c r="P1047" t="s">
        <v>472</v>
      </c>
      <c r="Q1047">
        <v>2050</v>
      </c>
      <c r="R1047">
        <v>4</v>
      </c>
      <c r="S1047" t="s">
        <v>466</v>
      </c>
      <c r="T1047" t="s">
        <v>468</v>
      </c>
      <c r="U1047" t="s">
        <v>594</v>
      </c>
      <c r="V1047">
        <v>0</v>
      </c>
    </row>
    <row r="1048" spans="16:22" x14ac:dyDescent="0.25">
      <c r="P1048" t="s">
        <v>472</v>
      </c>
      <c r="Q1048">
        <v>2050</v>
      </c>
      <c r="R1048">
        <v>4</v>
      </c>
      <c r="S1048" t="s">
        <v>466</v>
      </c>
      <c r="T1048" t="s">
        <v>468</v>
      </c>
      <c r="U1048" t="s">
        <v>595</v>
      </c>
      <c r="V1048">
        <v>205.34948717824963</v>
      </c>
    </row>
    <row r="1049" spans="16:22" x14ac:dyDescent="0.25">
      <c r="P1049" t="s">
        <v>472</v>
      </c>
      <c r="Q1049">
        <v>2050</v>
      </c>
      <c r="R1049">
        <v>4</v>
      </c>
      <c r="S1049" t="s">
        <v>466</v>
      </c>
      <c r="T1049" t="s">
        <v>468</v>
      </c>
      <c r="U1049" t="s">
        <v>596</v>
      </c>
      <c r="V1049">
        <v>24.173461141935817</v>
      </c>
    </row>
    <row r="1050" spans="16:22" x14ac:dyDescent="0.25">
      <c r="P1050" t="s">
        <v>472</v>
      </c>
      <c r="Q1050">
        <v>2050</v>
      </c>
      <c r="R1050">
        <v>4</v>
      </c>
      <c r="S1050" t="s">
        <v>466</v>
      </c>
      <c r="T1050" t="s">
        <v>468</v>
      </c>
      <c r="U1050" t="s">
        <v>597</v>
      </c>
      <c r="V1050">
        <v>0</v>
      </c>
    </row>
    <row r="1051" spans="16:22" x14ac:dyDescent="0.25">
      <c r="P1051" t="s">
        <v>472</v>
      </c>
      <c r="Q1051">
        <v>2050</v>
      </c>
      <c r="R1051">
        <v>4</v>
      </c>
      <c r="S1051" t="s">
        <v>466</v>
      </c>
      <c r="T1051" t="s">
        <v>468</v>
      </c>
      <c r="U1051" t="s">
        <v>598</v>
      </c>
      <c r="V1051">
        <v>3.4010786799325068E-10</v>
      </c>
    </row>
    <row r="1052" spans="16:22" x14ac:dyDescent="0.25">
      <c r="P1052" t="s">
        <v>472</v>
      </c>
      <c r="Q1052">
        <v>2050</v>
      </c>
      <c r="R1052">
        <v>4</v>
      </c>
      <c r="S1052" t="s">
        <v>469</v>
      </c>
      <c r="T1052" t="s">
        <v>467</v>
      </c>
      <c r="U1052" t="s">
        <v>592</v>
      </c>
      <c r="V1052">
        <v>67.579418148802631</v>
      </c>
    </row>
    <row r="1053" spans="16:22" x14ac:dyDescent="0.25">
      <c r="P1053" t="s">
        <v>472</v>
      </c>
      <c r="Q1053">
        <v>2050</v>
      </c>
      <c r="R1053">
        <v>4</v>
      </c>
      <c r="S1053" t="s">
        <v>469</v>
      </c>
      <c r="T1053" t="s">
        <v>467</v>
      </c>
      <c r="U1053" t="s">
        <v>593</v>
      </c>
      <c r="V1053">
        <v>392.11356943440921</v>
      </c>
    </row>
    <row r="1054" spans="16:22" x14ac:dyDescent="0.25">
      <c r="P1054" t="s">
        <v>472</v>
      </c>
      <c r="Q1054">
        <v>2050</v>
      </c>
      <c r="R1054">
        <v>4</v>
      </c>
      <c r="S1054" t="s">
        <v>469</v>
      </c>
      <c r="T1054" t="s">
        <v>467</v>
      </c>
      <c r="U1054" t="s">
        <v>594</v>
      </c>
      <c r="V1054">
        <v>0</v>
      </c>
    </row>
    <row r="1055" spans="16:22" x14ac:dyDescent="0.25">
      <c r="P1055" t="s">
        <v>472</v>
      </c>
      <c r="Q1055">
        <v>2050</v>
      </c>
      <c r="R1055">
        <v>4</v>
      </c>
      <c r="S1055" t="s">
        <v>469</v>
      </c>
      <c r="T1055" t="s">
        <v>467</v>
      </c>
      <c r="U1055" t="s">
        <v>595</v>
      </c>
      <c r="V1055">
        <v>205.34948717848067</v>
      </c>
    </row>
    <row r="1056" spans="16:22" x14ac:dyDescent="0.25">
      <c r="P1056" t="s">
        <v>472</v>
      </c>
      <c r="Q1056">
        <v>2050</v>
      </c>
      <c r="R1056">
        <v>4</v>
      </c>
      <c r="S1056" t="s">
        <v>469</v>
      </c>
      <c r="T1056" t="s">
        <v>467</v>
      </c>
      <c r="U1056" t="s">
        <v>596</v>
      </c>
      <c r="V1056">
        <v>24.006461526885428</v>
      </c>
    </row>
    <row r="1057" spans="16:22" x14ac:dyDescent="0.25">
      <c r="P1057" t="s">
        <v>472</v>
      </c>
      <c r="Q1057">
        <v>2050</v>
      </c>
      <c r="R1057">
        <v>4</v>
      </c>
      <c r="S1057" t="s">
        <v>469</v>
      </c>
      <c r="T1057" t="s">
        <v>467</v>
      </c>
      <c r="U1057" t="s">
        <v>597</v>
      </c>
      <c r="V1057">
        <v>0</v>
      </c>
    </row>
    <row r="1058" spans="16:22" x14ac:dyDescent="0.25">
      <c r="P1058" t="s">
        <v>472</v>
      </c>
      <c r="Q1058">
        <v>2050</v>
      </c>
      <c r="R1058">
        <v>4</v>
      </c>
      <c r="S1058" t="s">
        <v>469</v>
      </c>
      <c r="T1058" t="s">
        <v>467</v>
      </c>
      <c r="U1058" t="s">
        <v>598</v>
      </c>
      <c r="V1058">
        <v>2.7660921527374504E-10</v>
      </c>
    </row>
    <row r="1059" spans="16:22" x14ac:dyDescent="0.25">
      <c r="P1059" t="s">
        <v>472</v>
      </c>
      <c r="Q1059">
        <v>2050</v>
      </c>
      <c r="R1059">
        <v>4</v>
      </c>
      <c r="S1059" t="s">
        <v>469</v>
      </c>
      <c r="T1059" t="s">
        <v>468</v>
      </c>
      <c r="U1059" t="s">
        <v>592</v>
      </c>
      <c r="V1059">
        <v>67.579418148802631</v>
      </c>
    </row>
    <row r="1060" spans="16:22" x14ac:dyDescent="0.25">
      <c r="P1060" t="s">
        <v>472</v>
      </c>
      <c r="Q1060">
        <v>2050</v>
      </c>
      <c r="R1060">
        <v>4</v>
      </c>
      <c r="S1060" t="s">
        <v>469</v>
      </c>
      <c r="T1060" t="s">
        <v>468</v>
      </c>
      <c r="U1060" t="s">
        <v>593</v>
      </c>
      <c r="V1060">
        <v>392.11356943440921</v>
      </c>
    </row>
    <row r="1061" spans="16:22" x14ac:dyDescent="0.25">
      <c r="P1061" t="s">
        <v>472</v>
      </c>
      <c r="Q1061">
        <v>2050</v>
      </c>
      <c r="R1061">
        <v>4</v>
      </c>
      <c r="S1061" t="s">
        <v>469</v>
      </c>
      <c r="T1061" t="s">
        <v>468</v>
      </c>
      <c r="U1061" t="s">
        <v>594</v>
      </c>
      <c r="V1061">
        <v>0</v>
      </c>
    </row>
    <row r="1062" spans="16:22" x14ac:dyDescent="0.25">
      <c r="P1062" t="s">
        <v>472</v>
      </c>
      <c r="Q1062">
        <v>2050</v>
      </c>
      <c r="R1062">
        <v>4</v>
      </c>
      <c r="S1062" t="s">
        <v>469</v>
      </c>
      <c r="T1062" t="s">
        <v>468</v>
      </c>
      <c r="U1062" t="s">
        <v>595</v>
      </c>
      <c r="V1062">
        <v>205.34948717848067</v>
      </c>
    </row>
    <row r="1063" spans="16:22" x14ac:dyDescent="0.25">
      <c r="P1063" t="s">
        <v>472</v>
      </c>
      <c r="Q1063">
        <v>2050</v>
      </c>
      <c r="R1063">
        <v>4</v>
      </c>
      <c r="S1063" t="s">
        <v>469</v>
      </c>
      <c r="T1063" t="s">
        <v>468</v>
      </c>
      <c r="U1063" t="s">
        <v>596</v>
      </c>
      <c r="V1063">
        <v>24.006461526885428</v>
      </c>
    </row>
    <row r="1064" spans="16:22" x14ac:dyDescent="0.25">
      <c r="P1064" t="s">
        <v>472</v>
      </c>
      <c r="Q1064">
        <v>2050</v>
      </c>
      <c r="R1064">
        <v>4</v>
      </c>
      <c r="S1064" t="s">
        <v>469</v>
      </c>
      <c r="T1064" t="s">
        <v>468</v>
      </c>
      <c r="U1064" t="s">
        <v>597</v>
      </c>
      <c r="V1064">
        <v>0</v>
      </c>
    </row>
    <row r="1065" spans="16:22" x14ac:dyDescent="0.25">
      <c r="P1065" t="s">
        <v>472</v>
      </c>
      <c r="Q1065">
        <v>2050</v>
      </c>
      <c r="R1065">
        <v>4</v>
      </c>
      <c r="S1065" t="s">
        <v>469</v>
      </c>
      <c r="T1065" t="s">
        <v>468</v>
      </c>
      <c r="U1065" t="s">
        <v>598</v>
      </c>
      <c r="V1065">
        <v>2.7660921527374504E-10</v>
      </c>
    </row>
    <row r="1066" spans="16:22" x14ac:dyDescent="0.25">
      <c r="P1066" t="s">
        <v>472</v>
      </c>
      <c r="Q1066">
        <v>2035</v>
      </c>
      <c r="R1066">
        <v>5</v>
      </c>
      <c r="S1066" t="s">
        <v>466</v>
      </c>
      <c r="T1066" t="s">
        <v>467</v>
      </c>
      <c r="U1066" t="s">
        <v>592</v>
      </c>
      <c r="V1066">
        <v>539.89181304325245</v>
      </c>
    </row>
    <row r="1067" spans="16:22" x14ac:dyDescent="0.25">
      <c r="P1067" t="s">
        <v>472</v>
      </c>
      <c r="Q1067">
        <v>2035</v>
      </c>
      <c r="R1067">
        <v>5</v>
      </c>
      <c r="S1067" t="s">
        <v>466</v>
      </c>
      <c r="T1067" t="s">
        <v>467</v>
      </c>
      <c r="U1067" t="s">
        <v>593</v>
      </c>
      <c r="V1067">
        <v>301.95121010455534</v>
      </c>
    </row>
    <row r="1068" spans="16:22" x14ac:dyDescent="0.25">
      <c r="P1068" t="s">
        <v>472</v>
      </c>
      <c r="Q1068">
        <v>2035</v>
      </c>
      <c r="R1068">
        <v>5</v>
      </c>
      <c r="S1068" t="s">
        <v>466</v>
      </c>
      <c r="T1068" t="s">
        <v>467</v>
      </c>
      <c r="U1068" t="s">
        <v>594</v>
      </c>
      <c r="V1068">
        <v>252.01742846889371</v>
      </c>
    </row>
    <row r="1069" spans="16:22" x14ac:dyDescent="0.25">
      <c r="P1069" t="s">
        <v>472</v>
      </c>
      <c r="Q1069">
        <v>2035</v>
      </c>
      <c r="R1069">
        <v>5</v>
      </c>
      <c r="S1069" t="s">
        <v>466</v>
      </c>
      <c r="T1069" t="s">
        <v>467</v>
      </c>
      <c r="U1069" t="s">
        <v>595</v>
      </c>
      <c r="V1069">
        <v>492.0630904132376</v>
      </c>
    </row>
    <row r="1070" spans="16:22" x14ac:dyDescent="0.25">
      <c r="P1070" t="s">
        <v>472</v>
      </c>
      <c r="Q1070">
        <v>2035</v>
      </c>
      <c r="R1070">
        <v>5</v>
      </c>
      <c r="S1070" t="s">
        <v>466</v>
      </c>
      <c r="T1070" t="s">
        <v>467</v>
      </c>
      <c r="U1070" t="s">
        <v>596</v>
      </c>
      <c r="V1070">
        <v>278.37419354749989</v>
      </c>
    </row>
    <row r="1071" spans="16:22" x14ac:dyDescent="0.25">
      <c r="P1071" t="s">
        <v>472</v>
      </c>
      <c r="Q1071">
        <v>2035</v>
      </c>
      <c r="R1071">
        <v>5</v>
      </c>
      <c r="S1071" t="s">
        <v>466</v>
      </c>
      <c r="T1071" t="s">
        <v>467</v>
      </c>
      <c r="U1071" t="s">
        <v>597</v>
      </c>
      <c r="V1071">
        <v>505.88851673747013</v>
      </c>
    </row>
    <row r="1072" spans="16:22" x14ac:dyDescent="0.25">
      <c r="P1072" t="s">
        <v>472</v>
      </c>
      <c r="Q1072">
        <v>2035</v>
      </c>
      <c r="R1072">
        <v>5</v>
      </c>
      <c r="S1072" t="s">
        <v>466</v>
      </c>
      <c r="T1072" t="s">
        <v>467</v>
      </c>
      <c r="U1072" t="s">
        <v>598</v>
      </c>
      <c r="V1072">
        <v>423.23835525837274</v>
      </c>
    </row>
    <row r="1073" spans="16:22" x14ac:dyDescent="0.25">
      <c r="P1073" t="s">
        <v>472</v>
      </c>
      <c r="Q1073">
        <v>2035</v>
      </c>
      <c r="R1073">
        <v>5</v>
      </c>
      <c r="S1073" t="s">
        <v>466</v>
      </c>
      <c r="T1073" t="s">
        <v>468</v>
      </c>
      <c r="U1073" t="s">
        <v>592</v>
      </c>
      <c r="V1073">
        <v>539.89181304325245</v>
      </c>
    </row>
    <row r="1074" spans="16:22" x14ac:dyDescent="0.25">
      <c r="P1074" t="s">
        <v>472</v>
      </c>
      <c r="Q1074">
        <v>2035</v>
      </c>
      <c r="R1074">
        <v>5</v>
      </c>
      <c r="S1074" t="s">
        <v>466</v>
      </c>
      <c r="T1074" t="s">
        <v>468</v>
      </c>
      <c r="U1074" t="s">
        <v>593</v>
      </c>
      <c r="V1074">
        <v>301.95121010455534</v>
      </c>
    </row>
    <row r="1075" spans="16:22" x14ac:dyDescent="0.25">
      <c r="P1075" t="s">
        <v>472</v>
      </c>
      <c r="Q1075">
        <v>2035</v>
      </c>
      <c r="R1075">
        <v>5</v>
      </c>
      <c r="S1075" t="s">
        <v>466</v>
      </c>
      <c r="T1075" t="s">
        <v>468</v>
      </c>
      <c r="U1075" t="s">
        <v>594</v>
      </c>
      <c r="V1075">
        <v>252.01742846889371</v>
      </c>
    </row>
    <row r="1076" spans="16:22" x14ac:dyDescent="0.25">
      <c r="P1076" t="s">
        <v>472</v>
      </c>
      <c r="Q1076">
        <v>2035</v>
      </c>
      <c r="R1076">
        <v>5</v>
      </c>
      <c r="S1076" t="s">
        <v>466</v>
      </c>
      <c r="T1076" t="s">
        <v>468</v>
      </c>
      <c r="U1076" t="s">
        <v>595</v>
      </c>
      <c r="V1076">
        <v>492.0630904132376</v>
      </c>
    </row>
    <row r="1077" spans="16:22" x14ac:dyDescent="0.25">
      <c r="P1077" t="s">
        <v>472</v>
      </c>
      <c r="Q1077">
        <v>2035</v>
      </c>
      <c r="R1077">
        <v>5</v>
      </c>
      <c r="S1077" t="s">
        <v>466</v>
      </c>
      <c r="T1077" t="s">
        <v>468</v>
      </c>
      <c r="U1077" t="s">
        <v>596</v>
      </c>
      <c r="V1077">
        <v>278.37419354749989</v>
      </c>
    </row>
    <row r="1078" spans="16:22" x14ac:dyDescent="0.25">
      <c r="P1078" t="s">
        <v>472</v>
      </c>
      <c r="Q1078">
        <v>2035</v>
      </c>
      <c r="R1078">
        <v>5</v>
      </c>
      <c r="S1078" t="s">
        <v>466</v>
      </c>
      <c r="T1078" t="s">
        <v>468</v>
      </c>
      <c r="U1078" t="s">
        <v>597</v>
      </c>
      <c r="V1078">
        <v>505.88851673747013</v>
      </c>
    </row>
    <row r="1079" spans="16:22" x14ac:dyDescent="0.25">
      <c r="P1079" t="s">
        <v>472</v>
      </c>
      <c r="Q1079">
        <v>2035</v>
      </c>
      <c r="R1079">
        <v>5</v>
      </c>
      <c r="S1079" t="s">
        <v>466</v>
      </c>
      <c r="T1079" t="s">
        <v>468</v>
      </c>
      <c r="U1079" t="s">
        <v>598</v>
      </c>
      <c r="V1079">
        <v>423.23835525837274</v>
      </c>
    </row>
    <row r="1080" spans="16:22" x14ac:dyDescent="0.25">
      <c r="P1080" t="s">
        <v>472</v>
      </c>
      <c r="Q1080">
        <v>2035</v>
      </c>
      <c r="R1080">
        <v>5</v>
      </c>
      <c r="S1080" t="s">
        <v>469</v>
      </c>
      <c r="T1080" t="s">
        <v>467</v>
      </c>
      <c r="U1080" t="s">
        <v>592</v>
      </c>
      <c r="V1080">
        <v>539.78000386455187</v>
      </c>
    </row>
    <row r="1081" spans="16:22" x14ac:dyDescent="0.25">
      <c r="P1081" t="s">
        <v>472</v>
      </c>
      <c r="Q1081">
        <v>2035</v>
      </c>
      <c r="R1081">
        <v>5</v>
      </c>
      <c r="S1081" t="s">
        <v>469</v>
      </c>
      <c r="T1081" t="s">
        <v>467</v>
      </c>
      <c r="U1081" t="s">
        <v>593</v>
      </c>
      <c r="V1081">
        <v>297.22237936162469</v>
      </c>
    </row>
    <row r="1082" spans="16:22" x14ac:dyDescent="0.25">
      <c r="P1082" t="s">
        <v>472</v>
      </c>
      <c r="Q1082">
        <v>2035</v>
      </c>
      <c r="R1082">
        <v>5</v>
      </c>
      <c r="S1082" t="s">
        <v>469</v>
      </c>
      <c r="T1082" t="s">
        <v>467</v>
      </c>
      <c r="U1082" t="s">
        <v>594</v>
      </c>
      <c r="V1082">
        <v>251.5647209315598</v>
      </c>
    </row>
    <row r="1083" spans="16:22" x14ac:dyDescent="0.25">
      <c r="P1083" t="s">
        <v>472</v>
      </c>
      <c r="Q1083">
        <v>2035</v>
      </c>
      <c r="R1083">
        <v>5</v>
      </c>
      <c r="S1083" t="s">
        <v>469</v>
      </c>
      <c r="T1083" t="s">
        <v>467</v>
      </c>
      <c r="U1083" t="s">
        <v>595</v>
      </c>
      <c r="V1083">
        <v>186.04872400515933</v>
      </c>
    </row>
    <row r="1084" spans="16:22" x14ac:dyDescent="0.25">
      <c r="P1084" t="s">
        <v>472</v>
      </c>
      <c r="Q1084">
        <v>2035</v>
      </c>
      <c r="R1084">
        <v>5</v>
      </c>
      <c r="S1084" t="s">
        <v>469</v>
      </c>
      <c r="T1084" t="s">
        <v>467</v>
      </c>
      <c r="U1084" t="s">
        <v>596</v>
      </c>
      <c r="V1084">
        <v>133.57820025577783</v>
      </c>
    </row>
    <row r="1085" spans="16:22" x14ac:dyDescent="0.25">
      <c r="P1085" t="s">
        <v>472</v>
      </c>
      <c r="Q1085">
        <v>2035</v>
      </c>
      <c r="R1085">
        <v>5</v>
      </c>
      <c r="S1085" t="s">
        <v>469</v>
      </c>
      <c r="T1085" t="s">
        <v>467</v>
      </c>
      <c r="U1085" t="s">
        <v>597</v>
      </c>
      <c r="V1085">
        <v>248.2667695656265</v>
      </c>
    </row>
    <row r="1086" spans="16:22" x14ac:dyDescent="0.25">
      <c r="P1086" t="s">
        <v>472</v>
      </c>
      <c r="Q1086">
        <v>2035</v>
      </c>
      <c r="R1086">
        <v>5</v>
      </c>
      <c r="S1086" t="s">
        <v>469</v>
      </c>
      <c r="T1086" t="s">
        <v>467</v>
      </c>
      <c r="U1086" t="s">
        <v>598</v>
      </c>
      <c r="V1086">
        <v>1186.7691858585601</v>
      </c>
    </row>
    <row r="1087" spans="16:22" x14ac:dyDescent="0.25">
      <c r="P1087" t="s">
        <v>472</v>
      </c>
      <c r="Q1087">
        <v>2035</v>
      </c>
      <c r="R1087">
        <v>5</v>
      </c>
      <c r="S1087" t="s">
        <v>469</v>
      </c>
      <c r="T1087" t="s">
        <v>468</v>
      </c>
      <c r="U1087" t="s">
        <v>592</v>
      </c>
      <c r="V1087">
        <v>539.78000386455187</v>
      </c>
    </row>
    <row r="1088" spans="16:22" x14ac:dyDescent="0.25">
      <c r="P1088" t="s">
        <v>472</v>
      </c>
      <c r="Q1088">
        <v>2035</v>
      </c>
      <c r="R1088">
        <v>5</v>
      </c>
      <c r="S1088" t="s">
        <v>469</v>
      </c>
      <c r="T1088" t="s">
        <v>468</v>
      </c>
      <c r="U1088" t="s">
        <v>593</v>
      </c>
      <c r="V1088">
        <v>297.22237936162469</v>
      </c>
    </row>
    <row r="1089" spans="16:22" x14ac:dyDescent="0.25">
      <c r="P1089" t="s">
        <v>472</v>
      </c>
      <c r="Q1089">
        <v>2035</v>
      </c>
      <c r="R1089">
        <v>5</v>
      </c>
      <c r="S1089" t="s">
        <v>469</v>
      </c>
      <c r="T1089" t="s">
        <v>468</v>
      </c>
      <c r="U1089" t="s">
        <v>594</v>
      </c>
      <c r="V1089">
        <v>251.5647209315598</v>
      </c>
    </row>
    <row r="1090" spans="16:22" x14ac:dyDescent="0.25">
      <c r="P1090" t="s">
        <v>472</v>
      </c>
      <c r="Q1090">
        <v>2035</v>
      </c>
      <c r="R1090">
        <v>5</v>
      </c>
      <c r="S1090" t="s">
        <v>469</v>
      </c>
      <c r="T1090" t="s">
        <v>468</v>
      </c>
      <c r="U1090" t="s">
        <v>595</v>
      </c>
      <c r="V1090">
        <v>186.04872400515933</v>
      </c>
    </row>
    <row r="1091" spans="16:22" x14ac:dyDescent="0.25">
      <c r="P1091" t="s">
        <v>472</v>
      </c>
      <c r="Q1091">
        <v>2035</v>
      </c>
      <c r="R1091">
        <v>5</v>
      </c>
      <c r="S1091" t="s">
        <v>469</v>
      </c>
      <c r="T1091" t="s">
        <v>468</v>
      </c>
      <c r="U1091" t="s">
        <v>596</v>
      </c>
      <c r="V1091">
        <v>133.57820025577783</v>
      </c>
    </row>
    <row r="1092" spans="16:22" x14ac:dyDescent="0.25">
      <c r="P1092" t="s">
        <v>472</v>
      </c>
      <c r="Q1092">
        <v>2035</v>
      </c>
      <c r="R1092">
        <v>5</v>
      </c>
      <c r="S1092" t="s">
        <v>469</v>
      </c>
      <c r="T1092" t="s">
        <v>468</v>
      </c>
      <c r="U1092" t="s">
        <v>597</v>
      </c>
      <c r="V1092">
        <v>248.2667695656265</v>
      </c>
    </row>
    <row r="1093" spans="16:22" x14ac:dyDescent="0.25">
      <c r="P1093" t="s">
        <v>472</v>
      </c>
      <c r="Q1093">
        <v>2035</v>
      </c>
      <c r="R1093">
        <v>5</v>
      </c>
      <c r="S1093" t="s">
        <v>469</v>
      </c>
      <c r="T1093" t="s">
        <v>468</v>
      </c>
      <c r="U1093" t="s">
        <v>598</v>
      </c>
      <c r="V1093">
        <v>1186.7691858585601</v>
      </c>
    </row>
    <row r="1094" spans="16:22" x14ac:dyDescent="0.25">
      <c r="P1094" t="s">
        <v>472</v>
      </c>
      <c r="Q1094">
        <v>2050</v>
      </c>
      <c r="R1094">
        <v>5</v>
      </c>
      <c r="S1094" t="s">
        <v>466</v>
      </c>
      <c r="T1094" t="s">
        <v>467</v>
      </c>
      <c r="U1094" t="s">
        <v>592</v>
      </c>
      <c r="V1094">
        <v>619.5369846082416</v>
      </c>
    </row>
    <row r="1095" spans="16:22" x14ac:dyDescent="0.25">
      <c r="P1095" t="s">
        <v>472</v>
      </c>
      <c r="Q1095">
        <v>2050</v>
      </c>
      <c r="R1095">
        <v>5</v>
      </c>
      <c r="S1095" t="s">
        <v>466</v>
      </c>
      <c r="T1095" t="s">
        <v>467</v>
      </c>
      <c r="U1095" t="s">
        <v>593</v>
      </c>
      <c r="V1095">
        <v>318.39234409546407</v>
      </c>
    </row>
    <row r="1096" spans="16:22" x14ac:dyDescent="0.25">
      <c r="P1096" t="s">
        <v>472</v>
      </c>
      <c r="Q1096">
        <v>2050</v>
      </c>
      <c r="R1096">
        <v>5</v>
      </c>
      <c r="S1096" t="s">
        <v>466</v>
      </c>
      <c r="T1096" t="s">
        <v>467</v>
      </c>
      <c r="U1096" t="s">
        <v>594</v>
      </c>
      <c r="V1096">
        <v>260.28138749644381</v>
      </c>
    </row>
    <row r="1097" spans="16:22" x14ac:dyDescent="0.25">
      <c r="P1097" t="s">
        <v>472</v>
      </c>
      <c r="Q1097">
        <v>2050</v>
      </c>
      <c r="R1097">
        <v>5</v>
      </c>
      <c r="S1097" t="s">
        <v>466</v>
      </c>
      <c r="T1097" t="s">
        <v>467</v>
      </c>
      <c r="U1097" t="s">
        <v>595</v>
      </c>
      <c r="V1097">
        <v>183.62288817831916</v>
      </c>
    </row>
    <row r="1098" spans="16:22" x14ac:dyDescent="0.25">
      <c r="P1098" t="s">
        <v>472</v>
      </c>
      <c r="Q1098">
        <v>2050</v>
      </c>
      <c r="R1098">
        <v>5</v>
      </c>
      <c r="S1098" t="s">
        <v>466</v>
      </c>
      <c r="T1098" t="s">
        <v>467</v>
      </c>
      <c r="U1098" t="s">
        <v>596</v>
      </c>
      <c r="V1098">
        <v>126.27844786109597</v>
      </c>
    </row>
    <row r="1099" spans="16:22" x14ac:dyDescent="0.25">
      <c r="P1099" t="s">
        <v>472</v>
      </c>
      <c r="Q1099">
        <v>2050</v>
      </c>
      <c r="R1099">
        <v>5</v>
      </c>
      <c r="S1099" t="s">
        <v>466</v>
      </c>
      <c r="T1099" t="s">
        <v>467</v>
      </c>
      <c r="U1099" t="s">
        <v>597</v>
      </c>
      <c r="V1099">
        <v>243.67257591491133</v>
      </c>
    </row>
    <row r="1100" spans="16:22" x14ac:dyDescent="0.25">
      <c r="P1100" t="s">
        <v>472</v>
      </c>
      <c r="Q1100">
        <v>2050</v>
      </c>
      <c r="R1100">
        <v>5</v>
      </c>
      <c r="S1100" t="s">
        <v>466</v>
      </c>
      <c r="T1100" t="s">
        <v>467</v>
      </c>
      <c r="U1100" t="s">
        <v>598</v>
      </c>
      <c r="V1100">
        <v>1215.0111384940972</v>
      </c>
    </row>
    <row r="1101" spans="16:22" x14ac:dyDescent="0.25">
      <c r="P1101" t="s">
        <v>472</v>
      </c>
      <c r="Q1101">
        <v>2050</v>
      </c>
      <c r="R1101">
        <v>5</v>
      </c>
      <c r="S1101" t="s">
        <v>466</v>
      </c>
      <c r="T1101" t="s">
        <v>468</v>
      </c>
      <c r="U1101" t="s">
        <v>592</v>
      </c>
      <c r="V1101">
        <v>619.5369846082416</v>
      </c>
    </row>
    <row r="1102" spans="16:22" x14ac:dyDescent="0.25">
      <c r="P1102" t="s">
        <v>472</v>
      </c>
      <c r="Q1102">
        <v>2050</v>
      </c>
      <c r="R1102">
        <v>5</v>
      </c>
      <c r="S1102" t="s">
        <v>466</v>
      </c>
      <c r="T1102" t="s">
        <v>468</v>
      </c>
      <c r="U1102" t="s">
        <v>593</v>
      </c>
      <c r="V1102">
        <v>318.39234409546407</v>
      </c>
    </row>
    <row r="1103" spans="16:22" x14ac:dyDescent="0.25">
      <c r="P1103" t="s">
        <v>472</v>
      </c>
      <c r="Q1103">
        <v>2050</v>
      </c>
      <c r="R1103">
        <v>5</v>
      </c>
      <c r="S1103" t="s">
        <v>466</v>
      </c>
      <c r="T1103" t="s">
        <v>468</v>
      </c>
      <c r="U1103" t="s">
        <v>594</v>
      </c>
      <c r="V1103">
        <v>260.28138749644381</v>
      </c>
    </row>
    <row r="1104" spans="16:22" x14ac:dyDescent="0.25">
      <c r="P1104" t="s">
        <v>472</v>
      </c>
      <c r="Q1104">
        <v>2050</v>
      </c>
      <c r="R1104">
        <v>5</v>
      </c>
      <c r="S1104" t="s">
        <v>466</v>
      </c>
      <c r="T1104" t="s">
        <v>468</v>
      </c>
      <c r="U1104" t="s">
        <v>595</v>
      </c>
      <c r="V1104">
        <v>183.62288817831916</v>
      </c>
    </row>
    <row r="1105" spans="16:22" x14ac:dyDescent="0.25">
      <c r="P1105" t="s">
        <v>472</v>
      </c>
      <c r="Q1105">
        <v>2050</v>
      </c>
      <c r="R1105">
        <v>5</v>
      </c>
      <c r="S1105" t="s">
        <v>466</v>
      </c>
      <c r="T1105" t="s">
        <v>468</v>
      </c>
      <c r="U1105" t="s">
        <v>596</v>
      </c>
      <c r="V1105">
        <v>126.27844786109597</v>
      </c>
    </row>
    <row r="1106" spans="16:22" x14ac:dyDescent="0.25">
      <c r="P1106" t="s">
        <v>472</v>
      </c>
      <c r="Q1106">
        <v>2050</v>
      </c>
      <c r="R1106">
        <v>5</v>
      </c>
      <c r="S1106" t="s">
        <v>466</v>
      </c>
      <c r="T1106" t="s">
        <v>468</v>
      </c>
      <c r="U1106" t="s">
        <v>597</v>
      </c>
      <c r="V1106">
        <v>243.67257591491133</v>
      </c>
    </row>
    <row r="1107" spans="16:22" x14ac:dyDescent="0.25">
      <c r="P1107" t="s">
        <v>472</v>
      </c>
      <c r="Q1107">
        <v>2050</v>
      </c>
      <c r="R1107">
        <v>5</v>
      </c>
      <c r="S1107" t="s">
        <v>466</v>
      </c>
      <c r="T1107" t="s">
        <v>468</v>
      </c>
      <c r="U1107" t="s">
        <v>598</v>
      </c>
      <c r="V1107">
        <v>1215.0111384940972</v>
      </c>
    </row>
    <row r="1108" spans="16:22" x14ac:dyDescent="0.25">
      <c r="P1108" t="s">
        <v>472</v>
      </c>
      <c r="Q1108">
        <v>2050</v>
      </c>
      <c r="R1108">
        <v>5</v>
      </c>
      <c r="S1108" t="s">
        <v>469</v>
      </c>
      <c r="T1108" t="s">
        <v>467</v>
      </c>
      <c r="U1108" t="s">
        <v>592</v>
      </c>
      <c r="V1108">
        <v>294.31939397848396</v>
      </c>
    </row>
    <row r="1109" spans="16:22" x14ac:dyDescent="0.25">
      <c r="P1109" t="s">
        <v>472</v>
      </c>
      <c r="Q1109">
        <v>2050</v>
      </c>
      <c r="R1109">
        <v>5</v>
      </c>
      <c r="S1109" t="s">
        <v>469</v>
      </c>
      <c r="T1109" t="s">
        <v>467</v>
      </c>
      <c r="U1109" t="s">
        <v>593</v>
      </c>
      <c r="V1109">
        <v>251.01254312484252</v>
      </c>
    </row>
    <row r="1110" spans="16:22" x14ac:dyDescent="0.25">
      <c r="P1110" t="s">
        <v>472</v>
      </c>
      <c r="Q1110">
        <v>2050</v>
      </c>
      <c r="R1110">
        <v>5</v>
      </c>
      <c r="S1110" t="s">
        <v>469</v>
      </c>
      <c r="T1110" t="s">
        <v>467</v>
      </c>
      <c r="U1110" t="s">
        <v>594</v>
      </c>
      <c r="V1110">
        <v>260.24031271882109</v>
      </c>
    </row>
    <row r="1111" spans="16:22" x14ac:dyDescent="0.25">
      <c r="P1111" t="s">
        <v>472</v>
      </c>
      <c r="Q1111">
        <v>2050</v>
      </c>
      <c r="R1111">
        <v>5</v>
      </c>
      <c r="S1111" t="s">
        <v>469</v>
      </c>
      <c r="T1111" t="s">
        <v>467</v>
      </c>
      <c r="U1111" t="s">
        <v>595</v>
      </c>
      <c r="V1111">
        <v>247.65867525283127</v>
      </c>
    </row>
    <row r="1112" spans="16:22" x14ac:dyDescent="0.25">
      <c r="P1112" t="s">
        <v>472</v>
      </c>
      <c r="Q1112">
        <v>2050</v>
      </c>
      <c r="R1112">
        <v>5</v>
      </c>
      <c r="S1112" t="s">
        <v>469</v>
      </c>
      <c r="T1112" t="s">
        <v>467</v>
      </c>
      <c r="U1112" t="s">
        <v>596</v>
      </c>
      <c r="V1112">
        <v>208.85074236634455</v>
      </c>
    </row>
    <row r="1113" spans="16:22" x14ac:dyDescent="0.25">
      <c r="P1113" t="s">
        <v>472</v>
      </c>
      <c r="Q1113">
        <v>2050</v>
      </c>
      <c r="R1113">
        <v>5</v>
      </c>
      <c r="S1113" t="s">
        <v>469</v>
      </c>
      <c r="T1113" t="s">
        <v>467</v>
      </c>
      <c r="U1113" t="s">
        <v>597</v>
      </c>
      <c r="V1113">
        <v>341.82467807266289</v>
      </c>
    </row>
    <row r="1114" spans="16:22" x14ac:dyDescent="0.25">
      <c r="P1114" t="s">
        <v>472</v>
      </c>
      <c r="Q1114">
        <v>2050</v>
      </c>
      <c r="R1114">
        <v>5</v>
      </c>
      <c r="S1114" t="s">
        <v>469</v>
      </c>
      <c r="T1114" t="s">
        <v>467</v>
      </c>
      <c r="U1114" t="s">
        <v>598</v>
      </c>
      <c r="V1114">
        <v>1365.3844583741363</v>
      </c>
    </row>
    <row r="1115" spans="16:22" x14ac:dyDescent="0.25">
      <c r="P1115" t="s">
        <v>472</v>
      </c>
      <c r="Q1115">
        <v>2050</v>
      </c>
      <c r="R1115">
        <v>5</v>
      </c>
      <c r="S1115" t="s">
        <v>469</v>
      </c>
      <c r="T1115" t="s">
        <v>468</v>
      </c>
      <c r="U1115" t="s">
        <v>592</v>
      </c>
      <c r="V1115">
        <v>294.31939397848396</v>
      </c>
    </row>
    <row r="1116" spans="16:22" x14ac:dyDescent="0.25">
      <c r="P1116" t="s">
        <v>472</v>
      </c>
      <c r="Q1116">
        <v>2050</v>
      </c>
      <c r="R1116">
        <v>5</v>
      </c>
      <c r="S1116" t="s">
        <v>469</v>
      </c>
      <c r="T1116" t="s">
        <v>468</v>
      </c>
      <c r="U1116" t="s">
        <v>593</v>
      </c>
      <c r="V1116">
        <v>251.01254312484252</v>
      </c>
    </row>
    <row r="1117" spans="16:22" x14ac:dyDescent="0.25">
      <c r="P1117" t="s">
        <v>472</v>
      </c>
      <c r="Q1117">
        <v>2050</v>
      </c>
      <c r="R1117">
        <v>5</v>
      </c>
      <c r="S1117" t="s">
        <v>469</v>
      </c>
      <c r="T1117" t="s">
        <v>468</v>
      </c>
      <c r="U1117" t="s">
        <v>594</v>
      </c>
      <c r="V1117">
        <v>260.24031271882109</v>
      </c>
    </row>
    <row r="1118" spans="16:22" x14ac:dyDescent="0.25">
      <c r="P1118" t="s">
        <v>472</v>
      </c>
      <c r="Q1118">
        <v>2050</v>
      </c>
      <c r="R1118">
        <v>5</v>
      </c>
      <c r="S1118" t="s">
        <v>469</v>
      </c>
      <c r="T1118" t="s">
        <v>468</v>
      </c>
      <c r="U1118" t="s">
        <v>595</v>
      </c>
      <c r="V1118">
        <v>247.65867525283127</v>
      </c>
    </row>
    <row r="1119" spans="16:22" x14ac:dyDescent="0.25">
      <c r="P1119" t="s">
        <v>472</v>
      </c>
      <c r="Q1119">
        <v>2050</v>
      </c>
      <c r="R1119">
        <v>5</v>
      </c>
      <c r="S1119" t="s">
        <v>469</v>
      </c>
      <c r="T1119" t="s">
        <v>468</v>
      </c>
      <c r="U1119" t="s">
        <v>596</v>
      </c>
      <c r="V1119">
        <v>208.85074236634455</v>
      </c>
    </row>
    <row r="1120" spans="16:22" x14ac:dyDescent="0.25">
      <c r="P1120" t="s">
        <v>472</v>
      </c>
      <c r="Q1120">
        <v>2050</v>
      </c>
      <c r="R1120">
        <v>5</v>
      </c>
      <c r="S1120" t="s">
        <v>469</v>
      </c>
      <c r="T1120" t="s">
        <v>468</v>
      </c>
      <c r="U1120" t="s">
        <v>597</v>
      </c>
      <c r="V1120">
        <v>341.82467807266289</v>
      </c>
    </row>
    <row r="1121" spans="16:22" x14ac:dyDescent="0.25">
      <c r="P1121" t="s">
        <v>472</v>
      </c>
      <c r="Q1121">
        <v>2050</v>
      </c>
      <c r="R1121">
        <v>5</v>
      </c>
      <c r="S1121" t="s">
        <v>469</v>
      </c>
      <c r="T1121" t="s">
        <v>468</v>
      </c>
      <c r="U1121" t="s">
        <v>598</v>
      </c>
      <c r="V1121">
        <v>1365.3844583741363</v>
      </c>
    </row>
    <row r="1122" spans="16:22" x14ac:dyDescent="0.25">
      <c r="P1122" t="s">
        <v>536</v>
      </c>
      <c r="Q1122">
        <v>2019</v>
      </c>
      <c r="R1122">
        <v>1</v>
      </c>
      <c r="S1122" t="s">
        <v>537</v>
      </c>
      <c r="T1122" t="s">
        <v>537</v>
      </c>
      <c r="U1122" t="s">
        <v>592</v>
      </c>
      <c r="V1122">
        <v>24.299100000000003</v>
      </c>
    </row>
    <row r="1123" spans="16:22" x14ac:dyDescent="0.25">
      <c r="P1123" t="s">
        <v>536</v>
      </c>
      <c r="Q1123">
        <v>2019</v>
      </c>
      <c r="R1123">
        <v>1</v>
      </c>
      <c r="S1123" t="s">
        <v>537</v>
      </c>
      <c r="T1123" t="s">
        <v>537</v>
      </c>
      <c r="U1123" t="s">
        <v>593</v>
      </c>
      <c r="V1123">
        <v>486.75374999999997</v>
      </c>
    </row>
    <row r="1124" spans="16:22" x14ac:dyDescent="0.25">
      <c r="P1124" t="s">
        <v>536</v>
      </c>
      <c r="Q1124">
        <v>2019</v>
      </c>
      <c r="R1124">
        <v>1</v>
      </c>
      <c r="S1124" t="s">
        <v>537</v>
      </c>
      <c r="T1124" t="s">
        <v>537</v>
      </c>
      <c r="U1124" t="s">
        <v>594</v>
      </c>
      <c r="V1124">
        <v>0</v>
      </c>
    </row>
    <row r="1125" spans="16:22" x14ac:dyDescent="0.25">
      <c r="P1125" t="s">
        <v>536</v>
      </c>
      <c r="Q1125">
        <v>2019</v>
      </c>
      <c r="R1125">
        <v>1</v>
      </c>
      <c r="S1125" t="s">
        <v>537</v>
      </c>
      <c r="T1125" t="s">
        <v>537</v>
      </c>
      <c r="U1125" t="s">
        <v>595</v>
      </c>
      <c r="V1125">
        <v>145.23599999999999</v>
      </c>
    </row>
    <row r="1126" spans="16:22" x14ac:dyDescent="0.25">
      <c r="P1126" t="s">
        <v>536</v>
      </c>
      <c r="Q1126">
        <v>2019</v>
      </c>
      <c r="R1126">
        <v>1</v>
      </c>
      <c r="S1126" t="s">
        <v>537</v>
      </c>
      <c r="T1126" t="s">
        <v>537</v>
      </c>
      <c r="U1126" t="s">
        <v>596</v>
      </c>
      <c r="V1126">
        <v>115.90949999999999</v>
      </c>
    </row>
    <row r="1127" spans="16:22" x14ac:dyDescent="0.25">
      <c r="P1127" t="s">
        <v>536</v>
      </c>
      <c r="Q1127">
        <v>2019</v>
      </c>
      <c r="R1127">
        <v>1</v>
      </c>
      <c r="S1127" t="s">
        <v>537</v>
      </c>
      <c r="T1127" t="s">
        <v>537</v>
      </c>
      <c r="U1127" t="s">
        <v>597</v>
      </c>
      <c r="V1127">
        <v>0</v>
      </c>
    </row>
    <row r="1128" spans="16:22" x14ac:dyDescent="0.25">
      <c r="P1128" t="s">
        <v>536</v>
      </c>
      <c r="Q1128">
        <v>2019</v>
      </c>
      <c r="R1128">
        <v>1</v>
      </c>
      <c r="S1128" t="s">
        <v>537</v>
      </c>
      <c r="T1128" t="s">
        <v>537</v>
      </c>
      <c r="U1128" t="s">
        <v>598</v>
      </c>
      <c r="V1128">
        <v>132.80715000000001</v>
      </c>
    </row>
    <row r="1129" spans="16:22" x14ac:dyDescent="0.25">
      <c r="P1129" t="s">
        <v>536</v>
      </c>
      <c r="Q1129">
        <v>2019</v>
      </c>
      <c r="R1129">
        <v>2</v>
      </c>
      <c r="S1129" t="s">
        <v>537</v>
      </c>
      <c r="T1129" t="s">
        <v>537</v>
      </c>
      <c r="U1129" t="s">
        <v>592</v>
      </c>
      <c r="V1129">
        <v>23.011184999999998</v>
      </c>
    </row>
    <row r="1130" spans="16:22" x14ac:dyDescent="0.25">
      <c r="P1130" t="s">
        <v>536</v>
      </c>
      <c r="Q1130">
        <v>2019</v>
      </c>
      <c r="R1130">
        <v>2</v>
      </c>
      <c r="S1130" t="s">
        <v>537</v>
      </c>
      <c r="T1130" t="s">
        <v>537</v>
      </c>
      <c r="U1130" t="s">
        <v>593</v>
      </c>
      <c r="V1130">
        <v>566.88171421978018</v>
      </c>
    </row>
    <row r="1131" spans="16:22" x14ac:dyDescent="0.25">
      <c r="P1131" t="s">
        <v>536</v>
      </c>
      <c r="Q1131">
        <v>2019</v>
      </c>
      <c r="R1131">
        <v>2</v>
      </c>
      <c r="S1131" t="s">
        <v>537</v>
      </c>
      <c r="T1131" t="s">
        <v>537</v>
      </c>
      <c r="U1131" t="s">
        <v>594</v>
      </c>
      <c r="V1131">
        <v>0</v>
      </c>
    </row>
    <row r="1132" spans="16:22" x14ac:dyDescent="0.25">
      <c r="P1132" t="s">
        <v>536</v>
      </c>
      <c r="Q1132">
        <v>2019</v>
      </c>
      <c r="R1132">
        <v>2</v>
      </c>
      <c r="S1132" t="s">
        <v>537</v>
      </c>
      <c r="T1132" t="s">
        <v>537</v>
      </c>
      <c r="U1132" t="s">
        <v>595</v>
      </c>
      <c r="V1132">
        <v>477.72270000000003</v>
      </c>
    </row>
    <row r="1133" spans="16:22" x14ac:dyDescent="0.25">
      <c r="P1133" t="s">
        <v>536</v>
      </c>
      <c r="Q1133">
        <v>2019</v>
      </c>
      <c r="R1133">
        <v>2</v>
      </c>
      <c r="S1133" t="s">
        <v>537</v>
      </c>
      <c r="T1133" t="s">
        <v>537</v>
      </c>
      <c r="U1133" t="s">
        <v>596</v>
      </c>
      <c r="V1133">
        <v>1477.1596649999999</v>
      </c>
    </row>
    <row r="1134" spans="16:22" x14ac:dyDescent="0.25">
      <c r="P1134" t="s">
        <v>536</v>
      </c>
      <c r="Q1134">
        <v>2019</v>
      </c>
      <c r="R1134">
        <v>2</v>
      </c>
      <c r="S1134" t="s">
        <v>537</v>
      </c>
      <c r="T1134" t="s">
        <v>537</v>
      </c>
      <c r="U1134" t="s">
        <v>597</v>
      </c>
      <c r="V1134">
        <v>0</v>
      </c>
    </row>
    <row r="1135" spans="16:22" x14ac:dyDescent="0.25">
      <c r="P1135" t="s">
        <v>536</v>
      </c>
      <c r="Q1135">
        <v>2019</v>
      </c>
      <c r="R1135">
        <v>2</v>
      </c>
      <c r="S1135" t="s">
        <v>537</v>
      </c>
      <c r="T1135" t="s">
        <v>537</v>
      </c>
      <c r="U1135" t="s">
        <v>598</v>
      </c>
      <c r="V1135">
        <v>1205.17455</v>
      </c>
    </row>
    <row r="1136" spans="16:22" x14ac:dyDescent="0.25">
      <c r="P1136" t="s">
        <v>536</v>
      </c>
      <c r="Q1136">
        <v>2019</v>
      </c>
      <c r="R1136">
        <v>3</v>
      </c>
      <c r="S1136" t="s">
        <v>537</v>
      </c>
      <c r="T1136" t="s">
        <v>537</v>
      </c>
      <c r="U1136" t="s">
        <v>592</v>
      </c>
      <c r="V1136">
        <v>272.42580000000004</v>
      </c>
    </row>
    <row r="1137" spans="16:22" x14ac:dyDescent="0.25">
      <c r="P1137" t="s">
        <v>536</v>
      </c>
      <c r="Q1137">
        <v>2019</v>
      </c>
      <c r="R1137">
        <v>3</v>
      </c>
      <c r="S1137" t="s">
        <v>537</v>
      </c>
      <c r="T1137" t="s">
        <v>537</v>
      </c>
      <c r="U1137" t="s">
        <v>593</v>
      </c>
      <c r="V1137">
        <v>633.01980000000003</v>
      </c>
    </row>
    <row r="1138" spans="16:22" x14ac:dyDescent="0.25">
      <c r="P1138" t="s">
        <v>536</v>
      </c>
      <c r="Q1138">
        <v>2019</v>
      </c>
      <c r="R1138">
        <v>3</v>
      </c>
      <c r="S1138" t="s">
        <v>537</v>
      </c>
      <c r="T1138" t="s">
        <v>537</v>
      </c>
      <c r="U1138" t="s">
        <v>594</v>
      </c>
      <c r="V1138">
        <v>272.15624000000003</v>
      </c>
    </row>
    <row r="1139" spans="16:22" x14ac:dyDescent="0.25">
      <c r="P1139" t="s">
        <v>536</v>
      </c>
      <c r="Q1139">
        <v>2019</v>
      </c>
      <c r="R1139">
        <v>3</v>
      </c>
      <c r="S1139" t="s">
        <v>537</v>
      </c>
      <c r="T1139" t="s">
        <v>537</v>
      </c>
      <c r="U1139" t="s">
        <v>595</v>
      </c>
      <c r="V1139">
        <v>929.22300000000007</v>
      </c>
    </row>
    <row r="1140" spans="16:22" x14ac:dyDescent="0.25">
      <c r="P1140" t="s">
        <v>536</v>
      </c>
      <c r="Q1140">
        <v>2019</v>
      </c>
      <c r="R1140">
        <v>3</v>
      </c>
      <c r="S1140" t="s">
        <v>537</v>
      </c>
      <c r="T1140" t="s">
        <v>537</v>
      </c>
      <c r="U1140" t="s">
        <v>596</v>
      </c>
      <c r="V1140">
        <v>1900.3612000000003</v>
      </c>
    </row>
    <row r="1141" spans="16:22" x14ac:dyDescent="0.25">
      <c r="P1141" t="s">
        <v>536</v>
      </c>
      <c r="Q1141">
        <v>2019</v>
      </c>
      <c r="R1141">
        <v>3</v>
      </c>
      <c r="S1141" t="s">
        <v>537</v>
      </c>
      <c r="T1141" t="s">
        <v>537</v>
      </c>
      <c r="U1141" t="s">
        <v>597</v>
      </c>
      <c r="V1141">
        <v>34.96</v>
      </c>
    </row>
    <row r="1142" spans="16:22" x14ac:dyDescent="0.25">
      <c r="P1142" t="s">
        <v>536</v>
      </c>
      <c r="Q1142">
        <v>2019</v>
      </c>
      <c r="R1142">
        <v>3</v>
      </c>
      <c r="S1142" t="s">
        <v>537</v>
      </c>
      <c r="T1142" t="s">
        <v>537</v>
      </c>
      <c r="U1142" t="s">
        <v>598</v>
      </c>
      <c r="V1142">
        <v>4923.6836000000003</v>
      </c>
    </row>
    <row r="1143" spans="16:22" x14ac:dyDescent="0.25">
      <c r="P1143" t="s">
        <v>536</v>
      </c>
      <c r="Q1143">
        <v>2019</v>
      </c>
      <c r="R1143">
        <v>4</v>
      </c>
      <c r="S1143" t="s">
        <v>537</v>
      </c>
      <c r="T1143" t="s">
        <v>537</v>
      </c>
      <c r="U1143" t="s">
        <v>592</v>
      </c>
      <c r="V1143">
        <v>13.691969999999998</v>
      </c>
    </row>
    <row r="1144" spans="16:22" x14ac:dyDescent="0.25">
      <c r="P1144" t="s">
        <v>536</v>
      </c>
      <c r="Q1144">
        <v>2019</v>
      </c>
      <c r="R1144">
        <v>4</v>
      </c>
      <c r="S1144" t="s">
        <v>537</v>
      </c>
      <c r="T1144" t="s">
        <v>537</v>
      </c>
      <c r="U1144" t="s">
        <v>593</v>
      </c>
      <c r="V1144">
        <v>212.24159999999998</v>
      </c>
    </row>
    <row r="1145" spans="16:22" x14ac:dyDescent="0.25">
      <c r="P1145" t="s">
        <v>536</v>
      </c>
      <c r="Q1145">
        <v>2019</v>
      </c>
      <c r="R1145">
        <v>4</v>
      </c>
      <c r="S1145" t="s">
        <v>537</v>
      </c>
      <c r="T1145" t="s">
        <v>537</v>
      </c>
      <c r="U1145" t="s">
        <v>594</v>
      </c>
      <c r="V1145">
        <v>0</v>
      </c>
    </row>
    <row r="1146" spans="16:22" x14ac:dyDescent="0.25">
      <c r="P1146" t="s">
        <v>536</v>
      </c>
      <c r="Q1146">
        <v>2019</v>
      </c>
      <c r="R1146">
        <v>4</v>
      </c>
      <c r="S1146" t="s">
        <v>537</v>
      </c>
      <c r="T1146" t="s">
        <v>537</v>
      </c>
      <c r="U1146" t="s">
        <v>595</v>
      </c>
      <c r="V1146">
        <v>66.628439999999998</v>
      </c>
    </row>
    <row r="1147" spans="16:22" x14ac:dyDescent="0.25">
      <c r="P1147" t="s">
        <v>536</v>
      </c>
      <c r="Q1147">
        <v>2019</v>
      </c>
      <c r="R1147">
        <v>4</v>
      </c>
      <c r="S1147" t="s">
        <v>537</v>
      </c>
      <c r="T1147" t="s">
        <v>537</v>
      </c>
      <c r="U1147" t="s">
        <v>596</v>
      </c>
      <c r="V1147">
        <v>202.36850999999999</v>
      </c>
    </row>
    <row r="1148" spans="16:22" x14ac:dyDescent="0.25">
      <c r="P1148" t="s">
        <v>536</v>
      </c>
      <c r="Q1148">
        <v>2019</v>
      </c>
      <c r="R1148">
        <v>4</v>
      </c>
      <c r="S1148" t="s">
        <v>537</v>
      </c>
      <c r="T1148" t="s">
        <v>537</v>
      </c>
      <c r="U1148" t="s">
        <v>597</v>
      </c>
      <c r="V1148">
        <v>0</v>
      </c>
    </row>
    <row r="1149" spans="16:22" x14ac:dyDescent="0.25">
      <c r="P1149" t="s">
        <v>536</v>
      </c>
      <c r="Q1149">
        <v>2019</v>
      </c>
      <c r="R1149">
        <v>4</v>
      </c>
      <c r="S1149" t="s">
        <v>537</v>
      </c>
      <c r="T1149" t="s">
        <v>537</v>
      </c>
      <c r="U1149" t="s">
        <v>598</v>
      </c>
      <c r="V1149">
        <v>133.34408999999999</v>
      </c>
    </row>
    <row r="1150" spans="16:22" x14ac:dyDescent="0.25">
      <c r="P1150" t="s">
        <v>536</v>
      </c>
      <c r="Q1150">
        <v>2019</v>
      </c>
      <c r="R1150">
        <v>5</v>
      </c>
      <c r="S1150" t="s">
        <v>537</v>
      </c>
      <c r="T1150" t="s">
        <v>537</v>
      </c>
      <c r="U1150" t="s">
        <v>592</v>
      </c>
      <c r="V1150">
        <v>173.35980000000001</v>
      </c>
    </row>
    <row r="1151" spans="16:22" x14ac:dyDescent="0.25">
      <c r="P1151" t="s">
        <v>536</v>
      </c>
      <c r="Q1151">
        <v>2019</v>
      </c>
      <c r="R1151">
        <v>5</v>
      </c>
      <c r="S1151" t="s">
        <v>537</v>
      </c>
      <c r="T1151" t="s">
        <v>537</v>
      </c>
      <c r="U1151" t="s">
        <v>593</v>
      </c>
      <c r="V1151">
        <v>198.91200000000001</v>
      </c>
    </row>
    <row r="1152" spans="16:22" x14ac:dyDescent="0.25">
      <c r="P1152" t="s">
        <v>536</v>
      </c>
      <c r="Q1152">
        <v>2019</v>
      </c>
      <c r="R1152">
        <v>5</v>
      </c>
      <c r="S1152" t="s">
        <v>537</v>
      </c>
      <c r="T1152" t="s">
        <v>537</v>
      </c>
      <c r="U1152" t="s">
        <v>594</v>
      </c>
      <c r="V1152">
        <v>216.45</v>
      </c>
    </row>
    <row r="1153" spans="16:22" x14ac:dyDescent="0.25">
      <c r="P1153" t="s">
        <v>536</v>
      </c>
      <c r="Q1153">
        <v>2019</v>
      </c>
      <c r="R1153">
        <v>5</v>
      </c>
      <c r="S1153" t="s">
        <v>537</v>
      </c>
      <c r="T1153" t="s">
        <v>537</v>
      </c>
      <c r="U1153" t="s">
        <v>595</v>
      </c>
      <c r="V1153">
        <v>228.21600000000001</v>
      </c>
    </row>
    <row r="1154" spans="16:22" x14ac:dyDescent="0.25">
      <c r="P1154" t="s">
        <v>536</v>
      </c>
      <c r="Q1154">
        <v>2019</v>
      </c>
      <c r="R1154">
        <v>5</v>
      </c>
      <c r="S1154" t="s">
        <v>537</v>
      </c>
      <c r="T1154" t="s">
        <v>537</v>
      </c>
      <c r="U1154" t="s">
        <v>596</v>
      </c>
      <c r="V1154">
        <v>199.08959999999999</v>
      </c>
    </row>
    <row r="1155" spans="16:22" x14ac:dyDescent="0.25">
      <c r="P1155" t="s">
        <v>536</v>
      </c>
      <c r="Q1155">
        <v>2019</v>
      </c>
      <c r="R1155">
        <v>5</v>
      </c>
      <c r="S1155" t="s">
        <v>537</v>
      </c>
      <c r="T1155" t="s">
        <v>537</v>
      </c>
      <c r="U1155" t="s">
        <v>597</v>
      </c>
      <c r="V1155">
        <v>318.30360000000002</v>
      </c>
    </row>
    <row r="1156" spans="16:22" x14ac:dyDescent="0.25">
      <c r="P1156" t="s">
        <v>536</v>
      </c>
      <c r="Q1156">
        <v>2019</v>
      </c>
      <c r="R1156">
        <v>5</v>
      </c>
      <c r="S1156" t="s">
        <v>537</v>
      </c>
      <c r="T1156" t="s">
        <v>537</v>
      </c>
      <c r="U1156" t="s">
        <v>598</v>
      </c>
      <c r="V1156">
        <v>1219.45488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62627-0F6E-4A4A-8378-8DE2223E6C7C}">
  <sheetPr codeName="Sheet11"/>
  <dimension ref="A3:H12"/>
  <sheetViews>
    <sheetView workbookViewId="0">
      <selection activeCell="B8" sqref="B8"/>
    </sheetView>
  </sheetViews>
  <sheetFormatPr defaultRowHeight="15" x14ac:dyDescent="0.25"/>
  <cols>
    <col min="1" max="1" width="22.5703125" bestFit="1" customWidth="1"/>
    <col min="2" max="2" width="17.85546875" bestFit="1" customWidth="1"/>
    <col min="3" max="8" width="12" bestFit="1" customWidth="1"/>
    <col min="9" max="9" width="14" bestFit="1" customWidth="1"/>
    <col min="10" max="22" width="12" bestFit="1" customWidth="1"/>
    <col min="23" max="23" width="13.140625" bestFit="1" customWidth="1"/>
    <col min="24" max="29" width="12" bestFit="1" customWidth="1"/>
    <col min="30" max="30" width="8.5703125" bestFit="1" customWidth="1"/>
    <col min="31" max="31" width="12" bestFit="1" customWidth="1"/>
    <col min="32" max="32" width="8.5703125" bestFit="1" customWidth="1"/>
    <col min="33" max="33" width="9" bestFit="1" customWidth="1"/>
    <col min="34" max="35" width="8.5703125" bestFit="1" customWidth="1"/>
    <col min="36" max="36" width="9" bestFit="1" customWidth="1"/>
    <col min="37" max="43" width="13.5703125" bestFit="1" customWidth="1"/>
  </cols>
  <sheetData>
    <row r="3" spans="1:8" x14ac:dyDescent="0.25">
      <c r="A3" s="3" t="s">
        <v>462</v>
      </c>
      <c r="B3" t="s">
        <v>567</v>
      </c>
    </row>
    <row r="5" spans="1:8" x14ac:dyDescent="0.25">
      <c r="A5" s="3" t="s">
        <v>565</v>
      </c>
      <c r="B5" t="s">
        <v>568</v>
      </c>
      <c r="C5" t="s">
        <v>569</v>
      </c>
      <c r="D5" t="s">
        <v>570</v>
      </c>
      <c r="E5" t="s">
        <v>571</v>
      </c>
      <c r="F5" t="s">
        <v>572</v>
      </c>
      <c r="G5" t="s">
        <v>573</v>
      </c>
      <c r="H5" t="s">
        <v>574</v>
      </c>
    </row>
    <row r="6" spans="1:8" x14ac:dyDescent="0.25">
      <c r="A6" s="4" t="s">
        <v>590</v>
      </c>
      <c r="B6">
        <v>2379.8864955795584</v>
      </c>
      <c r="C6">
        <v>3600.1014485426426</v>
      </c>
      <c r="D6">
        <v>1102.9215387567169</v>
      </c>
      <c r="E6">
        <v>2448.6345540649872</v>
      </c>
      <c r="F6">
        <v>5071.7080433883129</v>
      </c>
      <c r="G6">
        <v>387.49449879263676</v>
      </c>
      <c r="H6">
        <v>10864.540335507845</v>
      </c>
    </row>
    <row r="7" spans="1:8" x14ac:dyDescent="0.25">
      <c r="A7" s="5">
        <v>2035</v>
      </c>
      <c r="B7">
        <v>1359.7389346224766</v>
      </c>
      <c r="C7">
        <v>1887.3796382192886</v>
      </c>
      <c r="D7">
        <v>557.73895381885347</v>
      </c>
      <c r="E7">
        <v>1331.1887518875083</v>
      </c>
      <c r="F7">
        <v>2686.8245381411871</v>
      </c>
      <c r="G7">
        <v>162.77890410759554</v>
      </c>
      <c r="H7">
        <v>5654.3666656283722</v>
      </c>
    </row>
    <row r="8" spans="1:8" x14ac:dyDescent="0.25">
      <c r="A8" s="5">
        <v>2050</v>
      </c>
      <c r="B8">
        <v>1020.1475609570817</v>
      </c>
      <c r="C8">
        <v>1712.721810323354</v>
      </c>
      <c r="D8">
        <v>545.18258493786334</v>
      </c>
      <c r="E8">
        <v>1117.4458021774788</v>
      </c>
      <c r="F8">
        <v>2384.8835052471254</v>
      </c>
      <c r="G8">
        <v>224.71559468504122</v>
      </c>
      <c r="H8">
        <v>5210.1736698794721</v>
      </c>
    </row>
    <row r="9" spans="1:8" x14ac:dyDescent="0.25">
      <c r="A9" s="4" t="s">
        <v>591</v>
      </c>
      <c r="B9">
        <v>2903.4889191212637</v>
      </c>
      <c r="C9">
        <v>4175.8742934510383</v>
      </c>
      <c r="D9">
        <v>1027.190428837205</v>
      </c>
      <c r="E9">
        <v>2732.8416029746763</v>
      </c>
      <c r="F9">
        <v>4970.7375618591923</v>
      </c>
      <c r="G9">
        <v>575.87273855125079</v>
      </c>
      <c r="H9">
        <v>9364.457066526702</v>
      </c>
    </row>
    <row r="10" spans="1:8" x14ac:dyDescent="0.25">
      <c r="A10" s="5">
        <v>2035</v>
      </c>
      <c r="B10">
        <v>1373.6527840794984</v>
      </c>
      <c r="C10">
        <v>2377.0359503856489</v>
      </c>
      <c r="D10">
        <v>557.85103461633594</v>
      </c>
      <c r="E10">
        <v>1751.5222004003604</v>
      </c>
      <c r="F10">
        <v>2754.2893163434492</v>
      </c>
      <c r="G10">
        <v>279.81806457933385</v>
      </c>
      <c r="H10">
        <v>4437.635157118777</v>
      </c>
    </row>
    <row r="11" spans="1:8" x14ac:dyDescent="0.25">
      <c r="A11" s="5">
        <v>2050</v>
      </c>
      <c r="B11">
        <v>1529.8361350417654</v>
      </c>
      <c r="C11">
        <v>1798.8383430653892</v>
      </c>
      <c r="D11">
        <v>469.33939422086911</v>
      </c>
      <c r="E11">
        <v>981.31940257431597</v>
      </c>
      <c r="F11">
        <v>2216.4482455157427</v>
      </c>
      <c r="G11">
        <v>296.05467397191694</v>
      </c>
      <c r="H11">
        <v>4926.821909407925</v>
      </c>
    </row>
    <row r="12" spans="1:8" x14ac:dyDescent="0.25">
      <c r="A12" s="4" t="s">
        <v>566</v>
      </c>
      <c r="B12">
        <v>5283.3754147008221</v>
      </c>
      <c r="C12">
        <v>7775.9757419936805</v>
      </c>
      <c r="D12">
        <v>2130.1119675939221</v>
      </c>
      <c r="E12">
        <v>5181.476157039664</v>
      </c>
      <c r="F12">
        <v>10042.445605247505</v>
      </c>
      <c r="G12">
        <v>963.3672373438875</v>
      </c>
      <c r="H12">
        <v>20228.997402034547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EA944-A804-42AF-AA27-902888747ED4}">
  <sheetPr codeName="Sheet10"/>
  <dimension ref="A1:K1156"/>
  <sheetViews>
    <sheetView workbookViewId="0">
      <selection sqref="A1:K1156"/>
    </sheetView>
  </sheetViews>
  <sheetFormatPr defaultRowHeight="15" x14ac:dyDescent="0.25"/>
  <sheetData>
    <row r="1" spans="1:11" x14ac:dyDescent="0.25">
      <c r="A1" t="s">
        <v>550</v>
      </c>
      <c r="B1" t="s">
        <v>551</v>
      </c>
      <c r="C1" t="s">
        <v>552</v>
      </c>
      <c r="D1" t="s">
        <v>1</v>
      </c>
      <c r="E1" t="s">
        <v>0</v>
      </c>
      <c r="F1" t="s">
        <v>553</v>
      </c>
      <c r="G1" t="s">
        <v>554</v>
      </c>
      <c r="H1" t="s">
        <v>438</v>
      </c>
      <c r="I1" t="s">
        <v>463</v>
      </c>
      <c r="J1" t="s">
        <v>555</v>
      </c>
      <c r="K1" t="s">
        <v>556</v>
      </c>
    </row>
    <row r="2" spans="1:11" x14ac:dyDescent="0.25">
      <c r="A2" t="s">
        <v>557</v>
      </c>
      <c r="B2">
        <v>357.97186191444064</v>
      </c>
      <c r="C2">
        <v>23.921225990711722</v>
      </c>
      <c r="D2">
        <v>1</v>
      </c>
      <c r="E2">
        <v>2035</v>
      </c>
      <c r="F2" t="s">
        <v>465</v>
      </c>
      <c r="G2">
        <v>0.41766743364396769</v>
      </c>
      <c r="H2">
        <v>30.202022691932456</v>
      </c>
      <c r="I2" t="s">
        <v>466</v>
      </c>
      <c r="J2" t="s">
        <v>467</v>
      </c>
      <c r="K2">
        <v>0</v>
      </c>
    </row>
    <row r="3" spans="1:11" x14ac:dyDescent="0.25">
      <c r="A3" t="s">
        <v>558</v>
      </c>
      <c r="B3">
        <v>472.64766001694886</v>
      </c>
      <c r="C3">
        <v>32.324950017645669</v>
      </c>
      <c r="D3">
        <v>1</v>
      </c>
      <c r="E3">
        <v>2035</v>
      </c>
      <c r="F3" t="s">
        <v>465</v>
      </c>
      <c r="G3">
        <v>0.41766743364396769</v>
      </c>
      <c r="H3">
        <v>30.202022691932456</v>
      </c>
      <c r="I3" t="s">
        <v>466</v>
      </c>
      <c r="J3" t="s">
        <v>467</v>
      </c>
      <c r="K3">
        <v>1</v>
      </c>
    </row>
    <row r="4" spans="1:11" x14ac:dyDescent="0.25">
      <c r="A4" t="s">
        <v>559</v>
      </c>
      <c r="B4">
        <v>660.13615784764647</v>
      </c>
      <c r="C4">
        <v>41.548346008554056</v>
      </c>
      <c r="D4">
        <v>1</v>
      </c>
      <c r="E4">
        <v>2035</v>
      </c>
      <c r="F4" t="s">
        <v>465</v>
      </c>
      <c r="G4">
        <v>0.41766743364396769</v>
      </c>
      <c r="H4">
        <v>30.202022691932456</v>
      </c>
      <c r="I4" t="s">
        <v>466</v>
      </c>
      <c r="J4" t="s">
        <v>467</v>
      </c>
      <c r="K4">
        <v>2</v>
      </c>
    </row>
    <row r="5" spans="1:11" x14ac:dyDescent="0.25">
      <c r="A5" t="s">
        <v>560</v>
      </c>
      <c r="B5">
        <v>538.45516764767376</v>
      </c>
      <c r="C5">
        <v>35.325966498380154</v>
      </c>
      <c r="D5">
        <v>1</v>
      </c>
      <c r="E5">
        <v>2035</v>
      </c>
      <c r="F5" t="s">
        <v>465</v>
      </c>
      <c r="G5">
        <v>0.41766743364396769</v>
      </c>
      <c r="H5">
        <v>30.202022691932456</v>
      </c>
      <c r="I5" t="s">
        <v>466</v>
      </c>
      <c r="J5" t="s">
        <v>467</v>
      </c>
      <c r="K5">
        <v>3</v>
      </c>
    </row>
    <row r="6" spans="1:11" x14ac:dyDescent="0.25">
      <c r="A6" t="s">
        <v>561</v>
      </c>
      <c r="B6">
        <v>493.26013444328458</v>
      </c>
      <c r="C6">
        <v>32.677364296524551</v>
      </c>
      <c r="D6">
        <v>1</v>
      </c>
      <c r="E6">
        <v>2035</v>
      </c>
      <c r="F6" t="s">
        <v>465</v>
      </c>
      <c r="G6">
        <v>0.41766743364396769</v>
      </c>
      <c r="H6">
        <v>30.202022691932456</v>
      </c>
      <c r="I6" t="s">
        <v>466</v>
      </c>
      <c r="J6" t="s">
        <v>467</v>
      </c>
      <c r="K6">
        <v>4</v>
      </c>
    </row>
    <row r="7" spans="1:11" x14ac:dyDescent="0.25">
      <c r="A7" t="s">
        <v>562</v>
      </c>
      <c r="B7">
        <v>584.88679359837454</v>
      </c>
      <c r="C7">
        <v>37.131264217665127</v>
      </c>
      <c r="D7">
        <v>1</v>
      </c>
      <c r="E7">
        <v>2035</v>
      </c>
      <c r="F7" t="s">
        <v>465</v>
      </c>
      <c r="G7">
        <v>0.41766743364396769</v>
      </c>
      <c r="H7">
        <v>30.202022691932456</v>
      </c>
      <c r="I7" t="s">
        <v>466</v>
      </c>
      <c r="J7" t="s">
        <v>467</v>
      </c>
      <c r="K7">
        <v>5</v>
      </c>
    </row>
    <row r="8" spans="1:11" x14ac:dyDescent="0.25">
      <c r="A8" t="s">
        <v>563</v>
      </c>
      <c r="B8">
        <v>568.43809521778485</v>
      </c>
      <c r="C8">
        <v>37.421150424465829</v>
      </c>
      <c r="D8">
        <v>1</v>
      </c>
      <c r="E8">
        <v>2035</v>
      </c>
      <c r="F8" t="s">
        <v>465</v>
      </c>
      <c r="G8">
        <v>0.41766743364396769</v>
      </c>
      <c r="H8">
        <v>30.202022691932456</v>
      </c>
      <c r="I8" t="s">
        <v>466</v>
      </c>
      <c r="J8" t="s">
        <v>467</v>
      </c>
      <c r="K8">
        <v>6</v>
      </c>
    </row>
    <row r="9" spans="1:11" x14ac:dyDescent="0.25">
      <c r="A9" t="s">
        <v>557</v>
      </c>
      <c r="B9">
        <v>376.72026632938503</v>
      </c>
      <c r="C9">
        <v>25.434230988255493</v>
      </c>
      <c r="D9">
        <v>1</v>
      </c>
      <c r="E9">
        <v>2035</v>
      </c>
      <c r="F9" t="s">
        <v>465</v>
      </c>
      <c r="G9">
        <v>1.5301400799854963</v>
      </c>
      <c r="H9">
        <v>30.27505053991456</v>
      </c>
      <c r="I9" t="s">
        <v>466</v>
      </c>
      <c r="J9" t="s">
        <v>468</v>
      </c>
      <c r="K9">
        <v>0</v>
      </c>
    </row>
    <row r="10" spans="1:11" x14ac:dyDescent="0.25">
      <c r="A10" t="s">
        <v>558</v>
      </c>
      <c r="B10">
        <v>493.34457072876455</v>
      </c>
      <c r="C10">
        <v>33.893773593725655</v>
      </c>
      <c r="D10">
        <v>1</v>
      </c>
      <c r="E10">
        <v>2035</v>
      </c>
      <c r="F10" t="s">
        <v>465</v>
      </c>
      <c r="G10">
        <v>1.5301400799854963</v>
      </c>
      <c r="H10">
        <v>30.27505053991456</v>
      </c>
      <c r="I10" t="s">
        <v>466</v>
      </c>
      <c r="J10" t="s">
        <v>468</v>
      </c>
      <c r="K10">
        <v>1</v>
      </c>
    </row>
    <row r="11" spans="1:11" x14ac:dyDescent="0.25">
      <c r="A11" t="s">
        <v>559</v>
      </c>
      <c r="B11">
        <v>565.54147166023415</v>
      </c>
      <c r="C11">
        <v>32.659457264055007</v>
      </c>
      <c r="D11">
        <v>1</v>
      </c>
      <c r="E11">
        <v>2035</v>
      </c>
      <c r="F11" t="s">
        <v>465</v>
      </c>
      <c r="G11">
        <v>1.5301400799854963</v>
      </c>
      <c r="H11">
        <v>30.27505053991456</v>
      </c>
      <c r="I11" t="s">
        <v>466</v>
      </c>
      <c r="J11" t="s">
        <v>468</v>
      </c>
      <c r="K11">
        <v>2</v>
      </c>
    </row>
    <row r="12" spans="1:11" x14ac:dyDescent="0.25">
      <c r="A12" t="s">
        <v>560</v>
      </c>
      <c r="B12">
        <v>538.82114956657563</v>
      </c>
      <c r="C12">
        <v>33.357901230600383</v>
      </c>
      <c r="D12">
        <v>1</v>
      </c>
      <c r="E12">
        <v>2035</v>
      </c>
      <c r="F12" t="s">
        <v>465</v>
      </c>
      <c r="G12">
        <v>1.5301400799854963</v>
      </c>
      <c r="H12">
        <v>30.27505053991456</v>
      </c>
      <c r="I12" t="s">
        <v>466</v>
      </c>
      <c r="J12" t="s">
        <v>468</v>
      </c>
      <c r="K12">
        <v>3</v>
      </c>
    </row>
    <row r="13" spans="1:11" x14ac:dyDescent="0.25">
      <c r="A13" t="s">
        <v>561</v>
      </c>
      <c r="B13">
        <v>507.2381669585227</v>
      </c>
      <c r="C13">
        <v>34.011755161634575</v>
      </c>
      <c r="D13">
        <v>1</v>
      </c>
      <c r="E13">
        <v>2035</v>
      </c>
      <c r="F13" t="s">
        <v>465</v>
      </c>
      <c r="G13">
        <v>1.5301400799854963</v>
      </c>
      <c r="H13">
        <v>30.27505053991456</v>
      </c>
      <c r="I13" t="s">
        <v>466</v>
      </c>
      <c r="J13" t="s">
        <v>468</v>
      </c>
      <c r="K13">
        <v>4</v>
      </c>
    </row>
    <row r="14" spans="1:11" x14ac:dyDescent="0.25">
      <c r="A14" t="s">
        <v>562</v>
      </c>
      <c r="B14">
        <v>615.92409879163927</v>
      </c>
      <c r="C14">
        <v>35.863626694204882</v>
      </c>
      <c r="D14">
        <v>1</v>
      </c>
      <c r="E14">
        <v>2035</v>
      </c>
      <c r="F14" t="s">
        <v>465</v>
      </c>
      <c r="G14">
        <v>1.5301400799854963</v>
      </c>
      <c r="H14">
        <v>30.27505053991456</v>
      </c>
      <c r="I14" t="s">
        <v>466</v>
      </c>
      <c r="J14" t="s">
        <v>468</v>
      </c>
      <c r="K14">
        <v>5</v>
      </c>
    </row>
    <row r="15" spans="1:11" x14ac:dyDescent="0.25">
      <c r="A15" t="s">
        <v>563</v>
      </c>
      <c r="B15">
        <v>565.62698229203772</v>
      </c>
      <c r="C15">
        <v>34.834050536900726</v>
      </c>
      <c r="D15">
        <v>1</v>
      </c>
      <c r="E15">
        <v>2035</v>
      </c>
      <c r="F15" t="s">
        <v>465</v>
      </c>
      <c r="G15">
        <v>1.5301400799854963</v>
      </c>
      <c r="H15">
        <v>30.27505053991456</v>
      </c>
      <c r="I15" t="s">
        <v>466</v>
      </c>
      <c r="J15" t="s">
        <v>468</v>
      </c>
      <c r="K15">
        <v>6</v>
      </c>
    </row>
    <row r="16" spans="1:11" x14ac:dyDescent="0.25">
      <c r="A16" t="s">
        <v>557</v>
      </c>
      <c r="B16">
        <v>420.1094164647979</v>
      </c>
      <c r="C16">
        <v>28.019493026926309</v>
      </c>
      <c r="D16">
        <v>1</v>
      </c>
      <c r="E16">
        <v>2035</v>
      </c>
      <c r="F16" t="s">
        <v>465</v>
      </c>
      <c r="G16">
        <v>0.41766843364324296</v>
      </c>
      <c r="H16">
        <v>36.570367924885147</v>
      </c>
      <c r="I16" t="s">
        <v>469</v>
      </c>
      <c r="J16" t="s">
        <v>467</v>
      </c>
      <c r="K16">
        <v>0</v>
      </c>
    </row>
    <row r="17" spans="1:11" x14ac:dyDescent="0.25">
      <c r="A17" t="s">
        <v>558</v>
      </c>
      <c r="B17">
        <v>522.57233605020906</v>
      </c>
      <c r="C17">
        <v>34.658332244776055</v>
      </c>
      <c r="D17">
        <v>1</v>
      </c>
      <c r="E17">
        <v>2035</v>
      </c>
      <c r="F17" t="s">
        <v>465</v>
      </c>
      <c r="G17">
        <v>0.41766843364324296</v>
      </c>
      <c r="H17">
        <v>36.570367924885147</v>
      </c>
      <c r="I17" t="s">
        <v>469</v>
      </c>
      <c r="J17" t="s">
        <v>467</v>
      </c>
      <c r="K17">
        <v>1</v>
      </c>
    </row>
    <row r="18" spans="1:11" x14ac:dyDescent="0.25">
      <c r="A18" t="s">
        <v>559</v>
      </c>
      <c r="B18">
        <v>603.43836091902517</v>
      </c>
      <c r="C18">
        <v>35.669872111781352</v>
      </c>
      <c r="D18">
        <v>1</v>
      </c>
      <c r="E18">
        <v>2035</v>
      </c>
      <c r="F18" t="s">
        <v>465</v>
      </c>
      <c r="G18">
        <v>0.41766843364324296</v>
      </c>
      <c r="H18">
        <v>36.570367924885147</v>
      </c>
      <c r="I18" t="s">
        <v>469</v>
      </c>
      <c r="J18" t="s">
        <v>467</v>
      </c>
      <c r="K18">
        <v>2</v>
      </c>
    </row>
    <row r="19" spans="1:11" x14ac:dyDescent="0.25">
      <c r="A19" t="s">
        <v>560</v>
      </c>
      <c r="B19">
        <v>556.94400396220362</v>
      </c>
      <c r="C19">
        <v>34.819816345109402</v>
      </c>
      <c r="D19">
        <v>1</v>
      </c>
      <c r="E19">
        <v>2035</v>
      </c>
      <c r="F19" t="s">
        <v>465</v>
      </c>
      <c r="G19">
        <v>0.41766843364324296</v>
      </c>
      <c r="H19">
        <v>36.570367924885147</v>
      </c>
      <c r="I19" t="s">
        <v>469</v>
      </c>
      <c r="J19" t="s">
        <v>467</v>
      </c>
      <c r="K19">
        <v>3</v>
      </c>
    </row>
    <row r="20" spans="1:11" x14ac:dyDescent="0.25">
      <c r="A20" t="s">
        <v>561</v>
      </c>
      <c r="B20">
        <v>548.36684483121746</v>
      </c>
      <c r="C20">
        <v>34.757263452145388</v>
      </c>
      <c r="D20">
        <v>1</v>
      </c>
      <c r="E20">
        <v>2035</v>
      </c>
      <c r="F20" t="s">
        <v>465</v>
      </c>
      <c r="G20">
        <v>0.41766843364324296</v>
      </c>
      <c r="H20">
        <v>36.570367924885147</v>
      </c>
      <c r="I20" t="s">
        <v>469</v>
      </c>
      <c r="J20" t="s">
        <v>467</v>
      </c>
      <c r="K20">
        <v>4</v>
      </c>
    </row>
    <row r="21" spans="1:11" x14ac:dyDescent="0.25">
      <c r="A21" t="s">
        <v>562</v>
      </c>
      <c r="B21">
        <v>642.06676851176758</v>
      </c>
      <c r="C21">
        <v>37.308611365179893</v>
      </c>
      <c r="D21">
        <v>1</v>
      </c>
      <c r="E21">
        <v>2035</v>
      </c>
      <c r="F21" t="s">
        <v>465</v>
      </c>
      <c r="G21">
        <v>0.41766843364324296</v>
      </c>
      <c r="H21">
        <v>36.570367924885147</v>
      </c>
      <c r="I21" t="s">
        <v>469</v>
      </c>
      <c r="J21" t="s">
        <v>467</v>
      </c>
      <c r="K21">
        <v>5</v>
      </c>
    </row>
    <row r="22" spans="1:11" x14ac:dyDescent="0.25">
      <c r="A22" t="s">
        <v>563</v>
      </c>
      <c r="B22">
        <v>583.71265766698718</v>
      </c>
      <c r="C22">
        <v>36.312748839651945</v>
      </c>
      <c r="D22">
        <v>1</v>
      </c>
      <c r="E22">
        <v>2035</v>
      </c>
      <c r="F22" t="s">
        <v>465</v>
      </c>
      <c r="G22">
        <v>0.41766843364324296</v>
      </c>
      <c r="H22">
        <v>36.570367924885147</v>
      </c>
      <c r="I22" t="s">
        <v>469</v>
      </c>
      <c r="J22" t="s">
        <v>467</v>
      </c>
      <c r="K22">
        <v>6</v>
      </c>
    </row>
    <row r="23" spans="1:11" x14ac:dyDescent="0.25">
      <c r="A23" t="s">
        <v>557</v>
      </c>
      <c r="B23">
        <v>416.1676852464044</v>
      </c>
      <c r="C23">
        <v>28.124091603860251</v>
      </c>
      <c r="D23">
        <v>1</v>
      </c>
      <c r="E23">
        <v>2035</v>
      </c>
      <c r="F23" t="s">
        <v>465</v>
      </c>
      <c r="G23">
        <v>1.5301400799742277</v>
      </c>
      <c r="H23">
        <v>36.577542753601534</v>
      </c>
      <c r="I23" t="s">
        <v>469</v>
      </c>
      <c r="J23" t="s">
        <v>468</v>
      </c>
      <c r="K23">
        <v>0</v>
      </c>
    </row>
    <row r="24" spans="1:11" x14ac:dyDescent="0.25">
      <c r="A24" t="s">
        <v>558</v>
      </c>
      <c r="B24">
        <v>467.16236385047677</v>
      </c>
      <c r="C24">
        <v>32.573722527697207</v>
      </c>
      <c r="D24">
        <v>1</v>
      </c>
      <c r="E24">
        <v>2035</v>
      </c>
      <c r="F24" t="s">
        <v>465</v>
      </c>
      <c r="G24">
        <v>1.5301400799742277</v>
      </c>
      <c r="H24">
        <v>36.577542753601534</v>
      </c>
      <c r="I24" t="s">
        <v>469</v>
      </c>
      <c r="J24" t="s">
        <v>468</v>
      </c>
      <c r="K24">
        <v>1</v>
      </c>
    </row>
    <row r="25" spans="1:11" x14ac:dyDescent="0.25">
      <c r="A25" t="s">
        <v>559</v>
      </c>
      <c r="B25">
        <v>599.1970550653399</v>
      </c>
      <c r="C25">
        <v>32.340123997247197</v>
      </c>
      <c r="D25">
        <v>1</v>
      </c>
      <c r="E25">
        <v>2035</v>
      </c>
      <c r="F25" t="s">
        <v>465</v>
      </c>
      <c r="G25">
        <v>1.5301400799742277</v>
      </c>
      <c r="H25">
        <v>36.577542753601534</v>
      </c>
      <c r="I25" t="s">
        <v>469</v>
      </c>
      <c r="J25" t="s">
        <v>468</v>
      </c>
      <c r="K25">
        <v>2</v>
      </c>
    </row>
    <row r="26" spans="1:11" x14ac:dyDescent="0.25">
      <c r="A26" t="s">
        <v>560</v>
      </c>
      <c r="B26">
        <v>533.49457550088255</v>
      </c>
      <c r="C26">
        <v>32.067466042609531</v>
      </c>
      <c r="D26">
        <v>1</v>
      </c>
      <c r="E26">
        <v>2035</v>
      </c>
      <c r="F26" t="s">
        <v>465</v>
      </c>
      <c r="G26">
        <v>1.5301400799742277</v>
      </c>
      <c r="H26">
        <v>36.577542753601534</v>
      </c>
      <c r="I26" t="s">
        <v>469</v>
      </c>
      <c r="J26" t="s">
        <v>468</v>
      </c>
      <c r="K26">
        <v>3</v>
      </c>
    </row>
    <row r="27" spans="1:11" x14ac:dyDescent="0.25">
      <c r="A27" t="s">
        <v>561</v>
      </c>
      <c r="B27">
        <v>518.01900268631084</v>
      </c>
      <c r="C27">
        <v>34.210451276370094</v>
      </c>
      <c r="D27">
        <v>1</v>
      </c>
      <c r="E27">
        <v>2035</v>
      </c>
      <c r="F27" t="s">
        <v>465</v>
      </c>
      <c r="G27">
        <v>1.5301400799742277</v>
      </c>
      <c r="H27">
        <v>36.577542753601534</v>
      </c>
      <c r="I27" t="s">
        <v>469</v>
      </c>
      <c r="J27" t="s">
        <v>468</v>
      </c>
      <c r="K27">
        <v>4</v>
      </c>
    </row>
    <row r="28" spans="1:11" x14ac:dyDescent="0.25">
      <c r="A28" t="s">
        <v>562</v>
      </c>
      <c r="B28">
        <v>623.64168756588924</v>
      </c>
      <c r="C28">
        <v>34.043023381083806</v>
      </c>
      <c r="D28">
        <v>1</v>
      </c>
      <c r="E28">
        <v>2035</v>
      </c>
      <c r="F28" t="s">
        <v>465</v>
      </c>
      <c r="G28">
        <v>1.5301400799742277</v>
      </c>
      <c r="H28">
        <v>36.577542753601534</v>
      </c>
      <c r="I28" t="s">
        <v>469</v>
      </c>
      <c r="J28" t="s">
        <v>468</v>
      </c>
      <c r="K28">
        <v>5</v>
      </c>
    </row>
    <row r="29" spans="1:11" x14ac:dyDescent="0.25">
      <c r="A29" t="s">
        <v>563</v>
      </c>
      <c r="B29">
        <v>530.39148401438058</v>
      </c>
      <c r="C29">
        <v>32.469828798618401</v>
      </c>
      <c r="D29">
        <v>1</v>
      </c>
      <c r="E29">
        <v>2035</v>
      </c>
      <c r="F29" t="s">
        <v>465</v>
      </c>
      <c r="G29">
        <v>1.5301400799742277</v>
      </c>
      <c r="H29">
        <v>36.577542753601534</v>
      </c>
      <c r="I29" t="s">
        <v>469</v>
      </c>
      <c r="J29" t="s">
        <v>468</v>
      </c>
      <c r="K29">
        <v>6</v>
      </c>
    </row>
    <row r="30" spans="1:11" x14ac:dyDescent="0.25">
      <c r="A30" t="s">
        <v>557</v>
      </c>
      <c r="B30">
        <v>426.34688690392045</v>
      </c>
      <c r="C30">
        <v>27.718912333029838</v>
      </c>
      <c r="D30">
        <v>1</v>
      </c>
      <c r="E30">
        <v>2050</v>
      </c>
      <c r="F30" t="s">
        <v>465</v>
      </c>
      <c r="G30">
        <v>0.37215242569685525</v>
      </c>
      <c r="H30">
        <v>28.281905460100575</v>
      </c>
      <c r="I30" t="s">
        <v>466</v>
      </c>
      <c r="J30" t="s">
        <v>467</v>
      </c>
      <c r="K30">
        <v>0</v>
      </c>
    </row>
    <row r="31" spans="1:11" x14ac:dyDescent="0.25">
      <c r="A31" t="s">
        <v>558</v>
      </c>
      <c r="B31">
        <v>513.55796635992522</v>
      </c>
      <c r="C31">
        <v>33.265598341339448</v>
      </c>
      <c r="D31">
        <v>1</v>
      </c>
      <c r="E31">
        <v>2050</v>
      </c>
      <c r="F31" t="s">
        <v>465</v>
      </c>
      <c r="G31">
        <v>0.37215242569685525</v>
      </c>
      <c r="H31">
        <v>28.281905460100575</v>
      </c>
      <c r="I31" t="s">
        <v>466</v>
      </c>
      <c r="J31" t="s">
        <v>467</v>
      </c>
      <c r="K31">
        <v>1</v>
      </c>
    </row>
    <row r="32" spans="1:11" x14ac:dyDescent="0.25">
      <c r="A32" t="s">
        <v>559</v>
      </c>
      <c r="B32">
        <v>556.43021231571879</v>
      </c>
      <c r="C32">
        <v>31.726020838259867</v>
      </c>
      <c r="D32">
        <v>1</v>
      </c>
      <c r="E32">
        <v>2050</v>
      </c>
      <c r="F32" t="s">
        <v>465</v>
      </c>
      <c r="G32">
        <v>0.37215242569685525</v>
      </c>
      <c r="H32">
        <v>28.281905460100575</v>
      </c>
      <c r="I32" t="s">
        <v>466</v>
      </c>
      <c r="J32" t="s">
        <v>467</v>
      </c>
      <c r="K32">
        <v>2</v>
      </c>
    </row>
    <row r="33" spans="1:11" x14ac:dyDescent="0.25">
      <c r="A33" t="s">
        <v>560</v>
      </c>
      <c r="B33">
        <v>537.85952811101572</v>
      </c>
      <c r="C33">
        <v>32.433122559444122</v>
      </c>
      <c r="D33">
        <v>1</v>
      </c>
      <c r="E33">
        <v>2050</v>
      </c>
      <c r="F33" t="s">
        <v>465</v>
      </c>
      <c r="G33">
        <v>0.37215242569685525</v>
      </c>
      <c r="H33">
        <v>28.281905460100575</v>
      </c>
      <c r="I33" t="s">
        <v>466</v>
      </c>
      <c r="J33" t="s">
        <v>467</v>
      </c>
      <c r="K33">
        <v>3</v>
      </c>
    </row>
    <row r="34" spans="1:11" x14ac:dyDescent="0.25">
      <c r="A34" t="s">
        <v>561</v>
      </c>
      <c r="B34">
        <v>540.59386314371636</v>
      </c>
      <c r="C34">
        <v>33.545082423687056</v>
      </c>
      <c r="D34">
        <v>1</v>
      </c>
      <c r="E34">
        <v>2050</v>
      </c>
      <c r="F34" t="s">
        <v>465</v>
      </c>
      <c r="G34">
        <v>0.37215242569685525</v>
      </c>
      <c r="H34">
        <v>28.281905460100575</v>
      </c>
      <c r="I34" t="s">
        <v>466</v>
      </c>
      <c r="J34" t="s">
        <v>467</v>
      </c>
      <c r="K34">
        <v>4</v>
      </c>
    </row>
    <row r="35" spans="1:11" x14ac:dyDescent="0.25">
      <c r="A35" t="s">
        <v>562</v>
      </c>
      <c r="B35">
        <v>604.69093222836352</v>
      </c>
      <c r="C35">
        <v>36.422966126967623</v>
      </c>
      <c r="D35">
        <v>1</v>
      </c>
      <c r="E35">
        <v>2050</v>
      </c>
      <c r="F35" t="s">
        <v>465</v>
      </c>
      <c r="G35">
        <v>0.37215242569685525</v>
      </c>
      <c r="H35">
        <v>28.281905460100575</v>
      </c>
      <c r="I35" t="s">
        <v>466</v>
      </c>
      <c r="J35" t="s">
        <v>467</v>
      </c>
      <c r="K35">
        <v>5</v>
      </c>
    </row>
    <row r="36" spans="1:11" x14ac:dyDescent="0.25">
      <c r="A36" t="s">
        <v>563</v>
      </c>
      <c r="B36">
        <v>546.44550662880113</v>
      </c>
      <c r="C36">
        <v>34.085161160558698</v>
      </c>
      <c r="D36">
        <v>1</v>
      </c>
      <c r="E36">
        <v>2050</v>
      </c>
      <c r="F36" t="s">
        <v>465</v>
      </c>
      <c r="G36">
        <v>0.37215242569685525</v>
      </c>
      <c r="H36">
        <v>28.281905460100575</v>
      </c>
      <c r="I36" t="s">
        <v>466</v>
      </c>
      <c r="J36" t="s">
        <v>467</v>
      </c>
      <c r="K36">
        <v>6</v>
      </c>
    </row>
    <row r="37" spans="1:11" x14ac:dyDescent="0.25">
      <c r="A37" t="s">
        <v>557</v>
      </c>
      <c r="B37">
        <v>365.80017587966728</v>
      </c>
      <c r="C37">
        <v>24.243754192777544</v>
      </c>
      <c r="D37">
        <v>1</v>
      </c>
      <c r="E37">
        <v>2050</v>
      </c>
      <c r="F37" t="s">
        <v>465</v>
      </c>
      <c r="G37">
        <v>1.8266238074543224</v>
      </c>
      <c r="H37">
        <v>28.216829863854315</v>
      </c>
      <c r="I37" t="s">
        <v>466</v>
      </c>
      <c r="J37" t="s">
        <v>468</v>
      </c>
      <c r="K37">
        <v>0</v>
      </c>
    </row>
    <row r="38" spans="1:11" x14ac:dyDescent="0.25">
      <c r="A38" t="s">
        <v>558</v>
      </c>
      <c r="B38">
        <v>451.75555367440404</v>
      </c>
      <c r="C38">
        <v>30.777735243124482</v>
      </c>
      <c r="D38">
        <v>1</v>
      </c>
      <c r="E38">
        <v>2050</v>
      </c>
      <c r="F38" t="s">
        <v>465</v>
      </c>
      <c r="G38">
        <v>1.8266238074543224</v>
      </c>
      <c r="H38">
        <v>28.216829863854315</v>
      </c>
      <c r="I38" t="s">
        <v>466</v>
      </c>
      <c r="J38" t="s">
        <v>468</v>
      </c>
      <c r="K38">
        <v>1</v>
      </c>
    </row>
    <row r="39" spans="1:11" x14ac:dyDescent="0.25">
      <c r="A39" t="s">
        <v>559</v>
      </c>
      <c r="B39">
        <v>452.26019212025204</v>
      </c>
      <c r="C39">
        <v>27.413317122376629</v>
      </c>
      <c r="D39">
        <v>1</v>
      </c>
      <c r="E39">
        <v>2050</v>
      </c>
      <c r="F39" t="s">
        <v>465</v>
      </c>
      <c r="G39">
        <v>1.8266238074543224</v>
      </c>
      <c r="H39">
        <v>28.216829863854315</v>
      </c>
      <c r="I39" t="s">
        <v>466</v>
      </c>
      <c r="J39" t="s">
        <v>468</v>
      </c>
      <c r="K39">
        <v>2</v>
      </c>
    </row>
    <row r="40" spans="1:11" x14ac:dyDescent="0.25">
      <c r="A40" t="s">
        <v>560</v>
      </c>
      <c r="B40">
        <v>559.50612179023312</v>
      </c>
      <c r="C40">
        <v>34.701963669932063</v>
      </c>
      <c r="D40">
        <v>1</v>
      </c>
      <c r="E40">
        <v>2050</v>
      </c>
      <c r="F40" t="s">
        <v>465</v>
      </c>
      <c r="G40">
        <v>1.8266238074543224</v>
      </c>
      <c r="H40">
        <v>28.216829863854315</v>
      </c>
      <c r="I40" t="s">
        <v>466</v>
      </c>
      <c r="J40" t="s">
        <v>468</v>
      </c>
      <c r="K40">
        <v>3</v>
      </c>
    </row>
    <row r="41" spans="1:11" x14ac:dyDescent="0.25">
      <c r="A41" t="s">
        <v>561</v>
      </c>
      <c r="B41">
        <v>497.0501598229053</v>
      </c>
      <c r="C41">
        <v>32.729918045681508</v>
      </c>
      <c r="D41">
        <v>1</v>
      </c>
      <c r="E41">
        <v>2050</v>
      </c>
      <c r="F41" t="s">
        <v>465</v>
      </c>
      <c r="G41">
        <v>1.8266238074543224</v>
      </c>
      <c r="H41">
        <v>28.216829863854315</v>
      </c>
      <c r="I41" t="s">
        <v>466</v>
      </c>
      <c r="J41" t="s">
        <v>468</v>
      </c>
      <c r="K41">
        <v>4</v>
      </c>
    </row>
    <row r="42" spans="1:11" x14ac:dyDescent="0.25">
      <c r="A42" t="s">
        <v>562</v>
      </c>
      <c r="B42">
        <v>605.06170845858696</v>
      </c>
      <c r="C42">
        <v>37.101929820164273</v>
      </c>
      <c r="D42">
        <v>1</v>
      </c>
      <c r="E42">
        <v>2050</v>
      </c>
      <c r="F42" t="s">
        <v>465</v>
      </c>
      <c r="G42">
        <v>1.8266238074543224</v>
      </c>
      <c r="H42">
        <v>28.216829863854315</v>
      </c>
      <c r="I42" t="s">
        <v>466</v>
      </c>
      <c r="J42" t="s">
        <v>468</v>
      </c>
      <c r="K42">
        <v>5</v>
      </c>
    </row>
    <row r="43" spans="1:11" x14ac:dyDescent="0.25">
      <c r="A43" t="s">
        <v>563</v>
      </c>
      <c r="B43">
        <v>544.99344283346852</v>
      </c>
      <c r="C43">
        <v>35.197034024047298</v>
      </c>
      <c r="D43">
        <v>1</v>
      </c>
      <c r="E43">
        <v>2050</v>
      </c>
      <c r="F43" t="s">
        <v>465</v>
      </c>
      <c r="G43">
        <v>1.8266238074543224</v>
      </c>
      <c r="H43">
        <v>28.216829863854315</v>
      </c>
      <c r="I43" t="s">
        <v>466</v>
      </c>
      <c r="J43" t="s">
        <v>468</v>
      </c>
      <c r="K43">
        <v>6</v>
      </c>
    </row>
    <row r="44" spans="1:11" x14ac:dyDescent="0.25">
      <c r="A44" t="s">
        <v>557</v>
      </c>
      <c r="B44">
        <v>423.76507615245265</v>
      </c>
      <c r="C44">
        <v>28.142130723994256</v>
      </c>
      <c r="D44">
        <v>1</v>
      </c>
      <c r="E44">
        <v>2050</v>
      </c>
      <c r="F44" t="s">
        <v>465</v>
      </c>
      <c r="G44">
        <v>0.277994925617911</v>
      </c>
      <c r="H44">
        <v>37.291776685703951</v>
      </c>
      <c r="I44" t="s">
        <v>469</v>
      </c>
      <c r="J44" t="s">
        <v>467</v>
      </c>
      <c r="K44">
        <v>0</v>
      </c>
    </row>
    <row r="45" spans="1:11" x14ac:dyDescent="0.25">
      <c r="A45" t="s">
        <v>558</v>
      </c>
      <c r="B45">
        <v>492.19120741842977</v>
      </c>
      <c r="C45">
        <v>32.809789820430971</v>
      </c>
      <c r="D45">
        <v>1</v>
      </c>
      <c r="E45">
        <v>2050</v>
      </c>
      <c r="F45" t="s">
        <v>465</v>
      </c>
      <c r="G45">
        <v>0.277994925617911</v>
      </c>
      <c r="H45">
        <v>37.291776685703951</v>
      </c>
      <c r="I45" t="s">
        <v>469</v>
      </c>
      <c r="J45" t="s">
        <v>467</v>
      </c>
      <c r="K45">
        <v>1</v>
      </c>
    </row>
    <row r="46" spans="1:11" x14ac:dyDescent="0.25">
      <c r="A46" t="s">
        <v>559</v>
      </c>
      <c r="B46">
        <v>591.72234555402133</v>
      </c>
      <c r="C46">
        <v>34.575906254813411</v>
      </c>
      <c r="D46">
        <v>1</v>
      </c>
      <c r="E46">
        <v>2050</v>
      </c>
      <c r="F46" t="s">
        <v>465</v>
      </c>
      <c r="G46">
        <v>0.277994925617911</v>
      </c>
      <c r="H46">
        <v>37.291776685703951</v>
      </c>
      <c r="I46" t="s">
        <v>469</v>
      </c>
      <c r="J46" t="s">
        <v>467</v>
      </c>
      <c r="K46">
        <v>2</v>
      </c>
    </row>
    <row r="47" spans="1:11" x14ac:dyDescent="0.25">
      <c r="A47" t="s">
        <v>560</v>
      </c>
      <c r="B47">
        <v>548.84511239000801</v>
      </c>
      <c r="C47">
        <v>33.040198775508536</v>
      </c>
      <c r="D47">
        <v>1</v>
      </c>
      <c r="E47">
        <v>2050</v>
      </c>
      <c r="F47" t="s">
        <v>465</v>
      </c>
      <c r="G47">
        <v>0.277994925617911</v>
      </c>
      <c r="H47">
        <v>37.291776685703951</v>
      </c>
      <c r="I47" t="s">
        <v>469</v>
      </c>
      <c r="J47" t="s">
        <v>467</v>
      </c>
      <c r="K47">
        <v>3</v>
      </c>
    </row>
    <row r="48" spans="1:11" x14ac:dyDescent="0.25">
      <c r="A48" t="s">
        <v>561</v>
      </c>
      <c r="B48">
        <v>514.35044839558407</v>
      </c>
      <c r="C48">
        <v>32.421057657584285</v>
      </c>
      <c r="D48">
        <v>1</v>
      </c>
      <c r="E48">
        <v>2050</v>
      </c>
      <c r="F48" t="s">
        <v>465</v>
      </c>
      <c r="G48">
        <v>0.277994925617911</v>
      </c>
      <c r="H48">
        <v>37.291776685703951</v>
      </c>
      <c r="I48" t="s">
        <v>469</v>
      </c>
      <c r="J48" t="s">
        <v>467</v>
      </c>
      <c r="K48">
        <v>4</v>
      </c>
    </row>
    <row r="49" spans="1:11" x14ac:dyDescent="0.25">
      <c r="A49" t="s">
        <v>562</v>
      </c>
      <c r="B49">
        <v>675.85514108689642</v>
      </c>
      <c r="C49">
        <v>39.130224966400611</v>
      </c>
      <c r="D49">
        <v>1</v>
      </c>
      <c r="E49">
        <v>2050</v>
      </c>
      <c r="F49" t="s">
        <v>465</v>
      </c>
      <c r="G49">
        <v>0.277994925617911</v>
      </c>
      <c r="H49">
        <v>37.291776685703951</v>
      </c>
      <c r="I49" t="s">
        <v>469</v>
      </c>
      <c r="J49" t="s">
        <v>467</v>
      </c>
      <c r="K49">
        <v>5</v>
      </c>
    </row>
    <row r="50" spans="1:11" x14ac:dyDescent="0.25">
      <c r="A50" t="s">
        <v>563</v>
      </c>
      <c r="B50">
        <v>553.21626936724988</v>
      </c>
      <c r="C50">
        <v>33.824851684998528</v>
      </c>
      <c r="D50">
        <v>1</v>
      </c>
      <c r="E50">
        <v>2050</v>
      </c>
      <c r="F50" t="s">
        <v>465</v>
      </c>
      <c r="G50">
        <v>0.277994925617911</v>
      </c>
      <c r="H50">
        <v>37.291776685703951</v>
      </c>
      <c r="I50" t="s">
        <v>469</v>
      </c>
      <c r="J50" t="s">
        <v>467</v>
      </c>
      <c r="K50">
        <v>6</v>
      </c>
    </row>
    <row r="51" spans="1:11" x14ac:dyDescent="0.25">
      <c r="A51" t="s">
        <v>557</v>
      </c>
      <c r="B51">
        <v>413.0178938043187</v>
      </c>
      <c r="C51">
        <v>27.613818603651282</v>
      </c>
      <c r="D51">
        <v>1</v>
      </c>
      <c r="E51">
        <v>2050</v>
      </c>
      <c r="F51" t="s">
        <v>465</v>
      </c>
      <c r="G51">
        <v>1.8266238074542545</v>
      </c>
      <c r="H51">
        <v>37.26622802408545</v>
      </c>
      <c r="I51" t="s">
        <v>469</v>
      </c>
      <c r="J51" t="s">
        <v>468</v>
      </c>
      <c r="K51">
        <v>0</v>
      </c>
    </row>
    <row r="52" spans="1:11" x14ac:dyDescent="0.25">
      <c r="A52" t="s">
        <v>558</v>
      </c>
      <c r="B52">
        <v>517.26978069229654</v>
      </c>
      <c r="C52">
        <v>35.090200939960823</v>
      </c>
      <c r="D52">
        <v>1</v>
      </c>
      <c r="E52">
        <v>2050</v>
      </c>
      <c r="F52" t="s">
        <v>465</v>
      </c>
      <c r="G52">
        <v>1.8266238074542545</v>
      </c>
      <c r="H52">
        <v>37.26622802408545</v>
      </c>
      <c r="I52" t="s">
        <v>469</v>
      </c>
      <c r="J52" t="s">
        <v>468</v>
      </c>
      <c r="K52">
        <v>1</v>
      </c>
    </row>
    <row r="53" spans="1:11" x14ac:dyDescent="0.25">
      <c r="A53" t="s">
        <v>559</v>
      </c>
      <c r="B53">
        <v>612.30776371685681</v>
      </c>
      <c r="C53">
        <v>32.935707998385368</v>
      </c>
      <c r="D53">
        <v>1</v>
      </c>
      <c r="E53">
        <v>2050</v>
      </c>
      <c r="F53" t="s">
        <v>465</v>
      </c>
      <c r="G53">
        <v>1.8266238074542545</v>
      </c>
      <c r="H53">
        <v>37.26622802408545</v>
      </c>
      <c r="I53" t="s">
        <v>469</v>
      </c>
      <c r="J53" t="s">
        <v>468</v>
      </c>
      <c r="K53">
        <v>2</v>
      </c>
    </row>
    <row r="54" spans="1:11" x14ac:dyDescent="0.25">
      <c r="A54" t="s">
        <v>560</v>
      </c>
      <c r="B54">
        <v>526.91448671191188</v>
      </c>
      <c r="C54">
        <v>32.414395484341306</v>
      </c>
      <c r="D54">
        <v>1</v>
      </c>
      <c r="E54">
        <v>2050</v>
      </c>
      <c r="F54" t="s">
        <v>465</v>
      </c>
      <c r="G54">
        <v>1.8266238074542545</v>
      </c>
      <c r="H54">
        <v>37.26622802408545</v>
      </c>
      <c r="I54" t="s">
        <v>469</v>
      </c>
      <c r="J54" t="s">
        <v>468</v>
      </c>
      <c r="K54">
        <v>3</v>
      </c>
    </row>
    <row r="55" spans="1:11" x14ac:dyDescent="0.25">
      <c r="A55" t="s">
        <v>561</v>
      </c>
      <c r="B55">
        <v>515.82293981033729</v>
      </c>
      <c r="C55">
        <v>33.795977752603513</v>
      </c>
      <c r="D55">
        <v>1</v>
      </c>
      <c r="E55">
        <v>2050</v>
      </c>
      <c r="F55" t="s">
        <v>465</v>
      </c>
      <c r="G55">
        <v>1.8266238074542545</v>
      </c>
      <c r="H55">
        <v>37.26622802408545</v>
      </c>
      <c r="I55" t="s">
        <v>469</v>
      </c>
      <c r="J55" t="s">
        <v>468</v>
      </c>
      <c r="K55">
        <v>4</v>
      </c>
    </row>
    <row r="56" spans="1:11" x14ac:dyDescent="0.25">
      <c r="A56" t="s">
        <v>562</v>
      </c>
      <c r="B56">
        <v>690.96691329732016</v>
      </c>
      <c r="C56">
        <v>36.673498673177463</v>
      </c>
      <c r="D56">
        <v>1</v>
      </c>
      <c r="E56">
        <v>2050</v>
      </c>
      <c r="F56" t="s">
        <v>465</v>
      </c>
      <c r="G56">
        <v>1.8266238074542545</v>
      </c>
      <c r="H56">
        <v>37.26622802408545</v>
      </c>
      <c r="I56" t="s">
        <v>469</v>
      </c>
      <c r="J56" t="s">
        <v>468</v>
      </c>
      <c r="K56">
        <v>5</v>
      </c>
    </row>
    <row r="57" spans="1:11" x14ac:dyDescent="0.25">
      <c r="A57" t="s">
        <v>563</v>
      </c>
      <c r="B57">
        <v>549.57930732737236</v>
      </c>
      <c r="C57">
        <v>33.385227239586044</v>
      </c>
      <c r="D57">
        <v>1</v>
      </c>
      <c r="E57">
        <v>2050</v>
      </c>
      <c r="F57" t="s">
        <v>465</v>
      </c>
      <c r="G57">
        <v>1.8266238074542545</v>
      </c>
      <c r="H57">
        <v>37.26622802408545</v>
      </c>
      <c r="I57" t="s">
        <v>469</v>
      </c>
      <c r="J57" t="s">
        <v>468</v>
      </c>
      <c r="K57">
        <v>6</v>
      </c>
    </row>
    <row r="58" spans="1:11" x14ac:dyDescent="0.25">
      <c r="A58" t="s">
        <v>557</v>
      </c>
      <c r="B58">
        <v>370.56921655972076</v>
      </c>
      <c r="C58">
        <v>24.770175515289694</v>
      </c>
      <c r="D58">
        <v>1</v>
      </c>
      <c r="E58">
        <v>2035</v>
      </c>
      <c r="F58" t="s">
        <v>470</v>
      </c>
      <c r="G58">
        <v>0.4176684336454089</v>
      </c>
      <c r="H58">
        <v>30.202061192260402</v>
      </c>
      <c r="I58" t="s">
        <v>466</v>
      </c>
      <c r="J58" t="s">
        <v>467</v>
      </c>
      <c r="K58">
        <v>0</v>
      </c>
    </row>
    <row r="59" spans="1:11" x14ac:dyDescent="0.25">
      <c r="A59" t="s">
        <v>558</v>
      </c>
      <c r="B59">
        <v>481.2187447792935</v>
      </c>
      <c r="C59">
        <v>33.065740243068724</v>
      </c>
      <c r="D59">
        <v>1</v>
      </c>
      <c r="E59">
        <v>2035</v>
      </c>
      <c r="F59" t="s">
        <v>470</v>
      </c>
      <c r="G59">
        <v>0.4176684336454089</v>
      </c>
      <c r="H59">
        <v>30.202061192260402</v>
      </c>
      <c r="I59" t="s">
        <v>466</v>
      </c>
      <c r="J59" t="s">
        <v>467</v>
      </c>
      <c r="K59">
        <v>1</v>
      </c>
    </row>
    <row r="60" spans="1:11" x14ac:dyDescent="0.25">
      <c r="A60" t="s">
        <v>559</v>
      </c>
      <c r="B60">
        <v>557.01128425996603</v>
      </c>
      <c r="C60">
        <v>35.112606267572929</v>
      </c>
      <c r="D60">
        <v>1</v>
      </c>
      <c r="E60">
        <v>2035</v>
      </c>
      <c r="F60" t="s">
        <v>470</v>
      </c>
      <c r="G60">
        <v>0.4176684336454089</v>
      </c>
      <c r="H60">
        <v>30.202061192260402</v>
      </c>
      <c r="I60" t="s">
        <v>466</v>
      </c>
      <c r="J60" t="s">
        <v>467</v>
      </c>
      <c r="K60">
        <v>2</v>
      </c>
    </row>
    <row r="61" spans="1:11" x14ac:dyDescent="0.25">
      <c r="A61" t="s">
        <v>560</v>
      </c>
      <c r="B61">
        <v>533.61845745058713</v>
      </c>
      <c r="C61">
        <v>34.896962846409004</v>
      </c>
      <c r="D61">
        <v>1</v>
      </c>
      <c r="E61">
        <v>2035</v>
      </c>
      <c r="F61" t="s">
        <v>470</v>
      </c>
      <c r="G61">
        <v>0.4176684336454089</v>
      </c>
      <c r="H61">
        <v>30.202061192260402</v>
      </c>
      <c r="I61" t="s">
        <v>466</v>
      </c>
      <c r="J61" t="s">
        <v>467</v>
      </c>
      <c r="K61">
        <v>3</v>
      </c>
    </row>
    <row r="62" spans="1:11" x14ac:dyDescent="0.25">
      <c r="A62" t="s">
        <v>561</v>
      </c>
      <c r="B62">
        <v>491.37431787948213</v>
      </c>
      <c r="C62">
        <v>31.878434665228205</v>
      </c>
      <c r="D62">
        <v>1</v>
      </c>
      <c r="E62">
        <v>2035</v>
      </c>
      <c r="F62" t="s">
        <v>470</v>
      </c>
      <c r="G62">
        <v>0.4176684336454089</v>
      </c>
      <c r="H62">
        <v>30.202061192260402</v>
      </c>
      <c r="I62" t="s">
        <v>466</v>
      </c>
      <c r="J62" t="s">
        <v>467</v>
      </c>
      <c r="K62">
        <v>4</v>
      </c>
    </row>
    <row r="63" spans="1:11" x14ac:dyDescent="0.25">
      <c r="A63" t="s">
        <v>562</v>
      </c>
      <c r="B63">
        <v>1828.5498912577868</v>
      </c>
      <c r="C63">
        <v>109.60468400150344</v>
      </c>
      <c r="D63">
        <v>1</v>
      </c>
      <c r="E63">
        <v>2035</v>
      </c>
      <c r="F63" t="s">
        <v>470</v>
      </c>
      <c r="G63">
        <v>0.4176684336454089</v>
      </c>
      <c r="H63">
        <v>30.202061192260402</v>
      </c>
      <c r="I63" t="s">
        <v>466</v>
      </c>
      <c r="J63" t="s">
        <v>467</v>
      </c>
      <c r="K63">
        <v>5</v>
      </c>
    </row>
    <row r="64" spans="1:11" x14ac:dyDescent="0.25">
      <c r="A64" t="s">
        <v>563</v>
      </c>
      <c r="B64">
        <v>541.44945106511557</v>
      </c>
      <c r="C64">
        <v>36.500779445578388</v>
      </c>
      <c r="D64">
        <v>1</v>
      </c>
      <c r="E64">
        <v>2035</v>
      </c>
      <c r="F64" t="s">
        <v>470</v>
      </c>
      <c r="G64">
        <v>0.4176684336454089</v>
      </c>
      <c r="H64">
        <v>30.202061192260402</v>
      </c>
      <c r="I64" t="s">
        <v>466</v>
      </c>
      <c r="J64" t="s">
        <v>467</v>
      </c>
      <c r="K64">
        <v>6</v>
      </c>
    </row>
    <row r="65" spans="1:11" x14ac:dyDescent="0.25">
      <c r="A65" t="s">
        <v>557</v>
      </c>
      <c r="B65">
        <v>372.77718037770552</v>
      </c>
      <c r="C65">
        <v>24.927241663900674</v>
      </c>
      <c r="D65">
        <v>1</v>
      </c>
      <c r="E65">
        <v>2035</v>
      </c>
      <c r="F65" t="s">
        <v>470</v>
      </c>
      <c r="G65">
        <v>1.5301400799827956</v>
      </c>
      <c r="H65">
        <v>30.275057696392167</v>
      </c>
      <c r="I65" t="s">
        <v>466</v>
      </c>
      <c r="J65" t="s">
        <v>468</v>
      </c>
      <c r="K65">
        <v>0</v>
      </c>
    </row>
    <row r="66" spans="1:11" x14ac:dyDescent="0.25">
      <c r="A66" t="s">
        <v>558</v>
      </c>
      <c r="B66">
        <v>444.95216659044132</v>
      </c>
      <c r="C66">
        <v>30.905394579052992</v>
      </c>
      <c r="D66">
        <v>1</v>
      </c>
      <c r="E66">
        <v>2035</v>
      </c>
      <c r="F66" t="s">
        <v>470</v>
      </c>
      <c r="G66">
        <v>1.5301400799827956</v>
      </c>
      <c r="H66">
        <v>30.275057696392167</v>
      </c>
      <c r="I66" t="s">
        <v>466</v>
      </c>
      <c r="J66" t="s">
        <v>468</v>
      </c>
      <c r="K66">
        <v>1</v>
      </c>
    </row>
    <row r="67" spans="1:11" x14ac:dyDescent="0.25">
      <c r="A67" t="s">
        <v>559</v>
      </c>
      <c r="B67">
        <v>606.12597244482197</v>
      </c>
      <c r="C67">
        <v>34.990461475500069</v>
      </c>
      <c r="D67">
        <v>1</v>
      </c>
      <c r="E67">
        <v>2035</v>
      </c>
      <c r="F67" t="s">
        <v>470</v>
      </c>
      <c r="G67">
        <v>1.5301400799827956</v>
      </c>
      <c r="H67">
        <v>30.275057696392167</v>
      </c>
      <c r="I67" t="s">
        <v>466</v>
      </c>
      <c r="J67" t="s">
        <v>468</v>
      </c>
      <c r="K67">
        <v>2</v>
      </c>
    </row>
    <row r="68" spans="1:11" x14ac:dyDescent="0.25">
      <c r="A68" t="s">
        <v>560</v>
      </c>
      <c r="B68">
        <v>518.49256385459285</v>
      </c>
      <c r="C68">
        <v>32.212391545614622</v>
      </c>
      <c r="D68">
        <v>1</v>
      </c>
      <c r="E68">
        <v>2035</v>
      </c>
      <c r="F68" t="s">
        <v>470</v>
      </c>
      <c r="G68">
        <v>1.5301400799827956</v>
      </c>
      <c r="H68">
        <v>30.275057696392167</v>
      </c>
      <c r="I68" t="s">
        <v>466</v>
      </c>
      <c r="J68" t="s">
        <v>468</v>
      </c>
      <c r="K68">
        <v>3</v>
      </c>
    </row>
    <row r="69" spans="1:11" x14ac:dyDescent="0.25">
      <c r="A69" t="s">
        <v>561</v>
      </c>
      <c r="B69">
        <v>477.1938351757305</v>
      </c>
      <c r="C69">
        <v>31.368902181015635</v>
      </c>
      <c r="D69">
        <v>1</v>
      </c>
      <c r="E69">
        <v>2035</v>
      </c>
      <c r="F69" t="s">
        <v>470</v>
      </c>
      <c r="G69">
        <v>1.5301400799827956</v>
      </c>
      <c r="H69">
        <v>30.275057696392167</v>
      </c>
      <c r="I69" t="s">
        <v>466</v>
      </c>
      <c r="J69" t="s">
        <v>468</v>
      </c>
      <c r="K69">
        <v>4</v>
      </c>
    </row>
    <row r="70" spans="1:11" x14ac:dyDescent="0.25">
      <c r="A70" t="s">
        <v>562</v>
      </c>
      <c r="B70">
        <v>613.10414567913983</v>
      </c>
      <c r="C70">
        <v>34.394557172122063</v>
      </c>
      <c r="D70">
        <v>1</v>
      </c>
      <c r="E70">
        <v>2035</v>
      </c>
      <c r="F70" t="s">
        <v>470</v>
      </c>
      <c r="G70">
        <v>1.5301400799827956</v>
      </c>
      <c r="H70">
        <v>30.275057696392167</v>
      </c>
      <c r="I70" t="s">
        <v>466</v>
      </c>
      <c r="J70" t="s">
        <v>468</v>
      </c>
      <c r="K70">
        <v>5</v>
      </c>
    </row>
    <row r="71" spans="1:11" x14ac:dyDescent="0.25">
      <c r="A71" t="s">
        <v>563</v>
      </c>
      <c r="B71">
        <v>548.26296919499941</v>
      </c>
      <c r="C71">
        <v>33.989739540924667</v>
      </c>
      <c r="D71">
        <v>1</v>
      </c>
      <c r="E71">
        <v>2035</v>
      </c>
      <c r="F71" t="s">
        <v>470</v>
      </c>
      <c r="G71">
        <v>1.5301400799827956</v>
      </c>
      <c r="H71">
        <v>30.275057696392167</v>
      </c>
      <c r="I71" t="s">
        <v>466</v>
      </c>
      <c r="J71" t="s">
        <v>468</v>
      </c>
      <c r="K71">
        <v>6</v>
      </c>
    </row>
    <row r="72" spans="1:11" x14ac:dyDescent="0.25">
      <c r="A72" t="s">
        <v>557</v>
      </c>
      <c r="B72">
        <v>438.90271275123428</v>
      </c>
      <c r="C72">
        <v>28.98922816783849</v>
      </c>
      <c r="D72">
        <v>1</v>
      </c>
      <c r="E72">
        <v>2035</v>
      </c>
      <c r="F72" t="s">
        <v>470</v>
      </c>
      <c r="G72">
        <v>0.41766743364407277</v>
      </c>
      <c r="H72">
        <v>36.569469049271106</v>
      </c>
      <c r="I72" t="s">
        <v>469</v>
      </c>
      <c r="J72" t="s">
        <v>467</v>
      </c>
      <c r="K72">
        <v>0</v>
      </c>
    </row>
    <row r="73" spans="1:11" x14ac:dyDescent="0.25">
      <c r="A73" t="s">
        <v>558</v>
      </c>
      <c r="B73">
        <v>481.94235041644356</v>
      </c>
      <c r="C73">
        <v>32.01543164862683</v>
      </c>
      <c r="D73">
        <v>1</v>
      </c>
      <c r="E73">
        <v>2035</v>
      </c>
      <c r="F73" t="s">
        <v>470</v>
      </c>
      <c r="G73">
        <v>0.41766743364407277</v>
      </c>
      <c r="H73">
        <v>36.569469049271106</v>
      </c>
      <c r="I73" t="s">
        <v>469</v>
      </c>
      <c r="J73" t="s">
        <v>467</v>
      </c>
      <c r="K73">
        <v>1</v>
      </c>
    </row>
    <row r="74" spans="1:11" x14ac:dyDescent="0.25">
      <c r="A74" t="s">
        <v>559</v>
      </c>
      <c r="B74">
        <v>589.16782956496297</v>
      </c>
      <c r="C74">
        <v>34.817147465579154</v>
      </c>
      <c r="D74">
        <v>1</v>
      </c>
      <c r="E74">
        <v>2035</v>
      </c>
      <c r="F74" t="s">
        <v>470</v>
      </c>
      <c r="G74">
        <v>0.41766743364407277</v>
      </c>
      <c r="H74">
        <v>36.569469049271106</v>
      </c>
      <c r="I74" t="s">
        <v>469</v>
      </c>
      <c r="J74" t="s">
        <v>467</v>
      </c>
      <c r="K74">
        <v>2</v>
      </c>
    </row>
    <row r="75" spans="1:11" x14ac:dyDescent="0.25">
      <c r="A75" t="s">
        <v>560</v>
      </c>
      <c r="B75">
        <v>493.74232117823908</v>
      </c>
      <c r="C75">
        <v>31.629017021351345</v>
      </c>
      <c r="D75">
        <v>1</v>
      </c>
      <c r="E75">
        <v>2035</v>
      </c>
      <c r="F75" t="s">
        <v>470</v>
      </c>
      <c r="G75">
        <v>0.41766743364407277</v>
      </c>
      <c r="H75">
        <v>36.569469049271106</v>
      </c>
      <c r="I75" t="s">
        <v>469</v>
      </c>
      <c r="J75" t="s">
        <v>467</v>
      </c>
      <c r="K75">
        <v>3</v>
      </c>
    </row>
    <row r="76" spans="1:11" x14ac:dyDescent="0.25">
      <c r="A76" t="s">
        <v>561</v>
      </c>
      <c r="B76">
        <v>541.72351300006528</v>
      </c>
      <c r="C76">
        <v>33.987224927363329</v>
      </c>
      <c r="D76">
        <v>1</v>
      </c>
      <c r="E76">
        <v>2035</v>
      </c>
      <c r="F76" t="s">
        <v>470</v>
      </c>
      <c r="G76">
        <v>0.41766743364407277</v>
      </c>
      <c r="H76">
        <v>36.569469049271106</v>
      </c>
      <c r="I76" t="s">
        <v>469</v>
      </c>
      <c r="J76" t="s">
        <v>467</v>
      </c>
      <c r="K76">
        <v>4</v>
      </c>
    </row>
    <row r="77" spans="1:11" x14ac:dyDescent="0.25">
      <c r="A77" t="s">
        <v>562</v>
      </c>
      <c r="B77">
        <v>665.30743746582982</v>
      </c>
      <c r="C77">
        <v>39.045134751902417</v>
      </c>
      <c r="D77">
        <v>1</v>
      </c>
      <c r="E77">
        <v>2035</v>
      </c>
      <c r="F77" t="s">
        <v>470</v>
      </c>
      <c r="G77">
        <v>0.41766743364407277</v>
      </c>
      <c r="H77">
        <v>36.569469049271106</v>
      </c>
      <c r="I77" t="s">
        <v>469</v>
      </c>
      <c r="J77" t="s">
        <v>467</v>
      </c>
      <c r="K77">
        <v>5</v>
      </c>
    </row>
    <row r="78" spans="1:11" x14ac:dyDescent="0.25">
      <c r="A78" t="s">
        <v>563</v>
      </c>
      <c r="B78">
        <v>532.29429646305573</v>
      </c>
      <c r="C78">
        <v>33.747541586133607</v>
      </c>
      <c r="D78">
        <v>1</v>
      </c>
      <c r="E78">
        <v>2035</v>
      </c>
      <c r="F78" t="s">
        <v>470</v>
      </c>
      <c r="G78">
        <v>0.41766743364407277</v>
      </c>
      <c r="H78">
        <v>36.569469049271106</v>
      </c>
      <c r="I78" t="s">
        <v>469</v>
      </c>
      <c r="J78" t="s">
        <v>467</v>
      </c>
      <c r="K78">
        <v>6</v>
      </c>
    </row>
    <row r="79" spans="1:11" x14ac:dyDescent="0.25">
      <c r="A79" t="s">
        <v>557</v>
      </c>
      <c r="B79">
        <v>386.5539799106366</v>
      </c>
      <c r="C79">
        <v>25.952399192140955</v>
      </c>
      <c r="D79">
        <v>1</v>
      </c>
      <c r="E79">
        <v>2035</v>
      </c>
      <c r="F79" t="s">
        <v>470</v>
      </c>
      <c r="G79">
        <v>1.530140079981996</v>
      </c>
      <c r="H79">
        <v>36.577354077446216</v>
      </c>
      <c r="I79" t="s">
        <v>469</v>
      </c>
      <c r="J79" t="s">
        <v>468</v>
      </c>
      <c r="K79">
        <v>0</v>
      </c>
    </row>
    <row r="80" spans="1:11" x14ac:dyDescent="0.25">
      <c r="A80" t="s">
        <v>558</v>
      </c>
      <c r="B80">
        <v>435.08916255332383</v>
      </c>
      <c r="C80">
        <v>30.514505243756862</v>
      </c>
      <c r="D80">
        <v>1</v>
      </c>
      <c r="E80">
        <v>2035</v>
      </c>
      <c r="F80" t="s">
        <v>470</v>
      </c>
      <c r="G80">
        <v>1.530140079981996</v>
      </c>
      <c r="H80">
        <v>36.577354077446216</v>
      </c>
      <c r="I80" t="s">
        <v>469</v>
      </c>
      <c r="J80" t="s">
        <v>468</v>
      </c>
      <c r="K80">
        <v>1</v>
      </c>
    </row>
    <row r="81" spans="1:11" x14ac:dyDescent="0.25">
      <c r="A81" t="s">
        <v>559</v>
      </c>
      <c r="B81">
        <v>594.40786846923697</v>
      </c>
      <c r="C81">
        <v>31.797426257224419</v>
      </c>
      <c r="D81">
        <v>1</v>
      </c>
      <c r="E81">
        <v>2035</v>
      </c>
      <c r="F81" t="s">
        <v>470</v>
      </c>
      <c r="G81">
        <v>1.530140079981996</v>
      </c>
      <c r="H81">
        <v>36.577354077446216</v>
      </c>
      <c r="I81" t="s">
        <v>469</v>
      </c>
      <c r="J81" t="s">
        <v>468</v>
      </c>
      <c r="K81">
        <v>2</v>
      </c>
    </row>
    <row r="82" spans="1:11" x14ac:dyDescent="0.25">
      <c r="A82" t="s">
        <v>560</v>
      </c>
      <c r="B82">
        <v>494.7953279562862</v>
      </c>
      <c r="C82">
        <v>30.588683147672576</v>
      </c>
      <c r="D82">
        <v>1</v>
      </c>
      <c r="E82">
        <v>2035</v>
      </c>
      <c r="F82" t="s">
        <v>470</v>
      </c>
      <c r="G82">
        <v>1.530140079981996</v>
      </c>
      <c r="H82">
        <v>36.577354077446216</v>
      </c>
      <c r="I82" t="s">
        <v>469</v>
      </c>
      <c r="J82" t="s">
        <v>468</v>
      </c>
      <c r="K82">
        <v>3</v>
      </c>
    </row>
    <row r="83" spans="1:11" x14ac:dyDescent="0.25">
      <c r="A83" t="s">
        <v>561</v>
      </c>
      <c r="B83">
        <v>489.90317748378334</v>
      </c>
      <c r="C83">
        <v>32.147118203442162</v>
      </c>
      <c r="D83">
        <v>1</v>
      </c>
      <c r="E83">
        <v>2035</v>
      </c>
      <c r="F83" t="s">
        <v>470</v>
      </c>
      <c r="G83">
        <v>1.530140079981996</v>
      </c>
      <c r="H83">
        <v>36.577354077446216</v>
      </c>
      <c r="I83" t="s">
        <v>469</v>
      </c>
      <c r="J83" t="s">
        <v>468</v>
      </c>
      <c r="K83">
        <v>4</v>
      </c>
    </row>
    <row r="84" spans="1:11" x14ac:dyDescent="0.25">
      <c r="A84" t="s">
        <v>562</v>
      </c>
      <c r="B84">
        <v>539.32225499816423</v>
      </c>
      <c r="C84">
        <v>30.371117613775549</v>
      </c>
      <c r="D84">
        <v>1</v>
      </c>
      <c r="E84">
        <v>2035</v>
      </c>
      <c r="F84" t="s">
        <v>470</v>
      </c>
      <c r="G84">
        <v>1.530140079981996</v>
      </c>
      <c r="H84">
        <v>36.577354077446216</v>
      </c>
      <c r="I84" t="s">
        <v>469</v>
      </c>
      <c r="J84" t="s">
        <v>468</v>
      </c>
      <c r="K84">
        <v>5</v>
      </c>
    </row>
    <row r="85" spans="1:11" x14ac:dyDescent="0.25">
      <c r="A85" t="s">
        <v>563</v>
      </c>
      <c r="B85">
        <v>506.16898535866312</v>
      </c>
      <c r="C85">
        <v>31.420960960715266</v>
      </c>
      <c r="D85">
        <v>1</v>
      </c>
      <c r="E85">
        <v>2035</v>
      </c>
      <c r="F85" t="s">
        <v>470</v>
      </c>
      <c r="G85">
        <v>1.530140079981996</v>
      </c>
      <c r="H85">
        <v>36.577354077446216</v>
      </c>
      <c r="I85" t="s">
        <v>469</v>
      </c>
      <c r="J85" t="s">
        <v>468</v>
      </c>
      <c r="K85">
        <v>6</v>
      </c>
    </row>
    <row r="86" spans="1:11" x14ac:dyDescent="0.25">
      <c r="A86" t="s">
        <v>557</v>
      </c>
      <c r="B86">
        <v>414.81420768840519</v>
      </c>
      <c r="C86">
        <v>26.90622729619232</v>
      </c>
      <c r="D86">
        <v>1</v>
      </c>
      <c r="E86">
        <v>2050</v>
      </c>
      <c r="F86" t="s">
        <v>470</v>
      </c>
      <c r="G86">
        <v>0.37215242570830825</v>
      </c>
      <c r="H86">
        <v>28.281905460099608</v>
      </c>
      <c r="I86" t="s">
        <v>466</v>
      </c>
      <c r="J86" t="s">
        <v>467</v>
      </c>
      <c r="K86">
        <v>0</v>
      </c>
    </row>
    <row r="87" spans="1:11" x14ac:dyDescent="0.25">
      <c r="A87" t="s">
        <v>558</v>
      </c>
      <c r="B87">
        <v>463.41890805142924</v>
      </c>
      <c r="C87">
        <v>29.800088671836246</v>
      </c>
      <c r="D87">
        <v>1</v>
      </c>
      <c r="E87">
        <v>2050</v>
      </c>
      <c r="F87" t="s">
        <v>470</v>
      </c>
      <c r="G87">
        <v>0.37215242570830825</v>
      </c>
      <c r="H87">
        <v>28.281905460099608</v>
      </c>
      <c r="I87" t="s">
        <v>466</v>
      </c>
      <c r="J87" t="s">
        <v>467</v>
      </c>
      <c r="K87">
        <v>1</v>
      </c>
    </row>
    <row r="88" spans="1:11" x14ac:dyDescent="0.25">
      <c r="A88" t="s">
        <v>559</v>
      </c>
      <c r="B88">
        <v>582.56939069399493</v>
      </c>
      <c r="C88">
        <v>34.242110437517219</v>
      </c>
      <c r="D88">
        <v>1</v>
      </c>
      <c r="E88">
        <v>2050</v>
      </c>
      <c r="F88" t="s">
        <v>470</v>
      </c>
      <c r="G88">
        <v>0.37215242570830825</v>
      </c>
      <c r="H88">
        <v>28.281905460099608</v>
      </c>
      <c r="I88" t="s">
        <v>466</v>
      </c>
      <c r="J88" t="s">
        <v>467</v>
      </c>
      <c r="K88">
        <v>2</v>
      </c>
    </row>
    <row r="89" spans="1:11" x14ac:dyDescent="0.25">
      <c r="A89" t="s">
        <v>560</v>
      </c>
      <c r="B89">
        <v>509.11927550352044</v>
      </c>
      <c r="C89">
        <v>30.571199389853554</v>
      </c>
      <c r="D89">
        <v>1</v>
      </c>
      <c r="E89">
        <v>2050</v>
      </c>
      <c r="F89" t="s">
        <v>470</v>
      </c>
      <c r="G89">
        <v>0.37215242570830825</v>
      </c>
      <c r="H89">
        <v>28.281905460099608</v>
      </c>
      <c r="I89" t="s">
        <v>466</v>
      </c>
      <c r="J89" t="s">
        <v>467</v>
      </c>
      <c r="K89">
        <v>3</v>
      </c>
    </row>
    <row r="90" spans="1:11" x14ac:dyDescent="0.25">
      <c r="A90" t="s">
        <v>561</v>
      </c>
      <c r="B90">
        <v>483.86255099692983</v>
      </c>
      <c r="C90">
        <v>29.904715148965309</v>
      </c>
      <c r="D90">
        <v>1</v>
      </c>
      <c r="E90">
        <v>2050</v>
      </c>
      <c r="F90" t="s">
        <v>470</v>
      </c>
      <c r="G90">
        <v>0.37215242570830825</v>
      </c>
      <c r="H90">
        <v>28.281905460099608</v>
      </c>
      <c r="I90" t="s">
        <v>466</v>
      </c>
      <c r="J90" t="s">
        <v>467</v>
      </c>
      <c r="K90">
        <v>4</v>
      </c>
    </row>
    <row r="91" spans="1:11" x14ac:dyDescent="0.25">
      <c r="A91" t="s">
        <v>562</v>
      </c>
      <c r="B91">
        <v>549.24066208573299</v>
      </c>
      <c r="C91">
        <v>32.449839421330147</v>
      </c>
      <c r="D91">
        <v>1</v>
      </c>
      <c r="E91">
        <v>2050</v>
      </c>
      <c r="F91" t="s">
        <v>470</v>
      </c>
      <c r="G91">
        <v>0.37215242570830825</v>
      </c>
      <c r="H91">
        <v>28.281905460099608</v>
      </c>
      <c r="I91" t="s">
        <v>466</v>
      </c>
      <c r="J91" t="s">
        <v>467</v>
      </c>
      <c r="K91">
        <v>5</v>
      </c>
    </row>
    <row r="92" spans="1:11" x14ac:dyDescent="0.25">
      <c r="A92" t="s">
        <v>563</v>
      </c>
      <c r="B92">
        <v>497.49322130265654</v>
      </c>
      <c r="C92">
        <v>31.62754649262979</v>
      </c>
      <c r="D92">
        <v>1</v>
      </c>
      <c r="E92">
        <v>2050</v>
      </c>
      <c r="F92" t="s">
        <v>470</v>
      </c>
      <c r="G92">
        <v>0.37215242570830825</v>
      </c>
      <c r="H92">
        <v>28.281905460099608</v>
      </c>
      <c r="I92" t="s">
        <v>466</v>
      </c>
      <c r="J92" t="s">
        <v>467</v>
      </c>
      <c r="K92">
        <v>6</v>
      </c>
    </row>
    <row r="93" spans="1:11" x14ac:dyDescent="0.25">
      <c r="A93" t="s">
        <v>557</v>
      </c>
      <c r="B93">
        <v>342.77064072901084</v>
      </c>
      <c r="C93">
        <v>22.697537708993138</v>
      </c>
      <c r="D93">
        <v>1</v>
      </c>
      <c r="E93">
        <v>2050</v>
      </c>
      <c r="F93" t="s">
        <v>470</v>
      </c>
      <c r="G93">
        <v>1.8266238074543231</v>
      </c>
      <c r="H93">
        <v>28.216789375148068</v>
      </c>
      <c r="I93" t="s">
        <v>466</v>
      </c>
      <c r="J93" t="s">
        <v>468</v>
      </c>
      <c r="K93">
        <v>0</v>
      </c>
    </row>
    <row r="94" spans="1:11" x14ac:dyDescent="0.25">
      <c r="A94" t="s">
        <v>558</v>
      </c>
      <c r="B94">
        <v>424.18270315457329</v>
      </c>
      <c r="C94">
        <v>28.911002109909937</v>
      </c>
      <c r="D94">
        <v>1</v>
      </c>
      <c r="E94">
        <v>2050</v>
      </c>
      <c r="F94" t="s">
        <v>470</v>
      </c>
      <c r="G94">
        <v>1.8266238074543231</v>
      </c>
      <c r="H94">
        <v>28.216789375148068</v>
      </c>
      <c r="I94" t="s">
        <v>466</v>
      </c>
      <c r="J94" t="s">
        <v>468</v>
      </c>
      <c r="K94">
        <v>1</v>
      </c>
    </row>
    <row r="95" spans="1:11" x14ac:dyDescent="0.25">
      <c r="A95" t="s">
        <v>559</v>
      </c>
      <c r="B95">
        <v>532.8614425440976</v>
      </c>
      <c r="C95">
        <v>32.729216289521837</v>
      </c>
      <c r="D95">
        <v>1</v>
      </c>
      <c r="E95">
        <v>2050</v>
      </c>
      <c r="F95" t="s">
        <v>470</v>
      </c>
      <c r="G95">
        <v>1.8266238074543231</v>
      </c>
      <c r="H95">
        <v>28.216789375148068</v>
      </c>
      <c r="I95" t="s">
        <v>466</v>
      </c>
      <c r="J95" t="s">
        <v>468</v>
      </c>
      <c r="K95">
        <v>2</v>
      </c>
    </row>
    <row r="96" spans="1:11" x14ac:dyDescent="0.25">
      <c r="A96" t="s">
        <v>560</v>
      </c>
      <c r="B96">
        <v>514.22987828466228</v>
      </c>
      <c r="C96">
        <v>32.043733583109884</v>
      </c>
      <c r="D96">
        <v>1</v>
      </c>
      <c r="E96">
        <v>2050</v>
      </c>
      <c r="F96" t="s">
        <v>470</v>
      </c>
      <c r="G96">
        <v>1.8266238074543231</v>
      </c>
      <c r="H96">
        <v>28.216789375148068</v>
      </c>
      <c r="I96" t="s">
        <v>466</v>
      </c>
      <c r="J96" t="s">
        <v>468</v>
      </c>
      <c r="K96">
        <v>3</v>
      </c>
    </row>
    <row r="97" spans="1:11" x14ac:dyDescent="0.25">
      <c r="A97" t="s">
        <v>561</v>
      </c>
      <c r="B97">
        <v>446.79540317074731</v>
      </c>
      <c r="C97">
        <v>28.813728750212483</v>
      </c>
      <c r="D97">
        <v>1</v>
      </c>
      <c r="E97">
        <v>2050</v>
      </c>
      <c r="F97" t="s">
        <v>470</v>
      </c>
      <c r="G97">
        <v>1.8266238074543231</v>
      </c>
      <c r="H97">
        <v>28.216789375148068</v>
      </c>
      <c r="I97" t="s">
        <v>466</v>
      </c>
      <c r="J97" t="s">
        <v>468</v>
      </c>
      <c r="K97">
        <v>4</v>
      </c>
    </row>
    <row r="98" spans="1:11" x14ac:dyDescent="0.25">
      <c r="A98" t="s">
        <v>562</v>
      </c>
      <c r="B98">
        <v>543.73564761423472</v>
      </c>
      <c r="C98">
        <v>34.276810056437569</v>
      </c>
      <c r="D98">
        <v>1</v>
      </c>
      <c r="E98">
        <v>2050</v>
      </c>
      <c r="F98" t="s">
        <v>470</v>
      </c>
      <c r="G98">
        <v>1.8266238074543231</v>
      </c>
      <c r="H98">
        <v>28.216789375148068</v>
      </c>
      <c r="I98" t="s">
        <v>466</v>
      </c>
      <c r="J98" t="s">
        <v>468</v>
      </c>
      <c r="K98">
        <v>5</v>
      </c>
    </row>
    <row r="99" spans="1:11" x14ac:dyDescent="0.25">
      <c r="A99" t="s">
        <v>563</v>
      </c>
      <c r="B99">
        <v>515.11563859295097</v>
      </c>
      <c r="C99">
        <v>33.51103450218001</v>
      </c>
      <c r="D99">
        <v>1</v>
      </c>
      <c r="E99">
        <v>2050</v>
      </c>
      <c r="F99" t="s">
        <v>470</v>
      </c>
      <c r="G99">
        <v>1.8266238074543231</v>
      </c>
      <c r="H99">
        <v>28.216789375148068</v>
      </c>
      <c r="I99" t="s">
        <v>466</v>
      </c>
      <c r="J99" t="s">
        <v>468</v>
      </c>
      <c r="K99">
        <v>6</v>
      </c>
    </row>
    <row r="100" spans="1:11" x14ac:dyDescent="0.25">
      <c r="A100" t="s">
        <v>557</v>
      </c>
      <c r="B100">
        <v>392.41911166751885</v>
      </c>
      <c r="C100">
        <v>26.070648979481838</v>
      </c>
      <c r="D100">
        <v>1</v>
      </c>
      <c r="E100">
        <v>2050</v>
      </c>
      <c r="F100" t="s">
        <v>470</v>
      </c>
      <c r="G100">
        <v>0.27799592528378453</v>
      </c>
      <c r="H100">
        <v>37.291430152971628</v>
      </c>
      <c r="I100" t="s">
        <v>469</v>
      </c>
      <c r="J100" t="s">
        <v>467</v>
      </c>
      <c r="K100">
        <v>0</v>
      </c>
    </row>
    <row r="101" spans="1:11" x14ac:dyDescent="0.25">
      <c r="A101" t="s">
        <v>558</v>
      </c>
      <c r="B101">
        <v>473.04326964388883</v>
      </c>
      <c r="C101">
        <v>31.298993838038836</v>
      </c>
      <c r="D101">
        <v>1</v>
      </c>
      <c r="E101">
        <v>2050</v>
      </c>
      <c r="F101" t="s">
        <v>470</v>
      </c>
      <c r="G101">
        <v>0.27799592528378453</v>
      </c>
      <c r="H101">
        <v>37.291430152971628</v>
      </c>
      <c r="I101" t="s">
        <v>469</v>
      </c>
      <c r="J101" t="s">
        <v>467</v>
      </c>
      <c r="K101">
        <v>1</v>
      </c>
    </row>
    <row r="102" spans="1:11" x14ac:dyDescent="0.25">
      <c r="A102" t="s">
        <v>559</v>
      </c>
      <c r="B102">
        <v>548.24200301481449</v>
      </c>
      <c r="C102">
        <v>32.133306753855194</v>
      </c>
      <c r="D102">
        <v>1</v>
      </c>
      <c r="E102">
        <v>2050</v>
      </c>
      <c r="F102" t="s">
        <v>470</v>
      </c>
      <c r="G102">
        <v>0.27799592528378453</v>
      </c>
      <c r="H102">
        <v>37.291430152971628</v>
      </c>
      <c r="I102" t="s">
        <v>469</v>
      </c>
      <c r="J102" t="s">
        <v>467</v>
      </c>
      <c r="K102">
        <v>2</v>
      </c>
    </row>
    <row r="103" spans="1:11" x14ac:dyDescent="0.25">
      <c r="A103" t="s">
        <v>560</v>
      </c>
      <c r="B103">
        <v>494.84050774604952</v>
      </c>
      <c r="C103">
        <v>30.436581604673385</v>
      </c>
      <c r="D103">
        <v>1</v>
      </c>
      <c r="E103">
        <v>2050</v>
      </c>
      <c r="F103" t="s">
        <v>470</v>
      </c>
      <c r="G103">
        <v>0.27799592528378453</v>
      </c>
      <c r="H103">
        <v>37.291430152971628</v>
      </c>
      <c r="I103" t="s">
        <v>469</v>
      </c>
      <c r="J103" t="s">
        <v>467</v>
      </c>
      <c r="K103">
        <v>3</v>
      </c>
    </row>
    <row r="104" spans="1:11" x14ac:dyDescent="0.25">
      <c r="A104" t="s">
        <v>561</v>
      </c>
      <c r="B104">
        <v>489.50498576979913</v>
      </c>
      <c r="C104">
        <v>30.549255828110372</v>
      </c>
      <c r="D104">
        <v>1</v>
      </c>
      <c r="E104">
        <v>2050</v>
      </c>
      <c r="F104" t="s">
        <v>470</v>
      </c>
      <c r="G104">
        <v>0.27799592528378453</v>
      </c>
      <c r="H104">
        <v>37.291430152971628</v>
      </c>
      <c r="I104" t="s">
        <v>469</v>
      </c>
      <c r="J104" t="s">
        <v>467</v>
      </c>
      <c r="K104">
        <v>4</v>
      </c>
    </row>
    <row r="105" spans="1:11" x14ac:dyDescent="0.25">
      <c r="A105" t="s">
        <v>562</v>
      </c>
      <c r="B105">
        <v>513.30798350433417</v>
      </c>
      <c r="C105">
        <v>30.546072178914656</v>
      </c>
      <c r="D105">
        <v>1</v>
      </c>
      <c r="E105">
        <v>2050</v>
      </c>
      <c r="F105" t="s">
        <v>470</v>
      </c>
      <c r="G105">
        <v>0.27799592528378453</v>
      </c>
      <c r="H105">
        <v>37.291430152971628</v>
      </c>
      <c r="I105" t="s">
        <v>469</v>
      </c>
      <c r="J105" t="s">
        <v>467</v>
      </c>
      <c r="K105">
        <v>5</v>
      </c>
    </row>
    <row r="106" spans="1:11" x14ac:dyDescent="0.25">
      <c r="A106" t="s">
        <v>563</v>
      </c>
      <c r="B106">
        <v>519.71771670837347</v>
      </c>
      <c r="C106">
        <v>33.150979374466338</v>
      </c>
      <c r="D106">
        <v>1</v>
      </c>
      <c r="E106">
        <v>2050</v>
      </c>
      <c r="F106" t="s">
        <v>470</v>
      </c>
      <c r="G106">
        <v>0.27799592528378453</v>
      </c>
      <c r="H106">
        <v>37.291430152971628</v>
      </c>
      <c r="I106" t="s">
        <v>469</v>
      </c>
      <c r="J106" t="s">
        <v>467</v>
      </c>
      <c r="K106">
        <v>6</v>
      </c>
    </row>
    <row r="107" spans="1:11" x14ac:dyDescent="0.25">
      <c r="A107" t="s">
        <v>557</v>
      </c>
      <c r="B107" t="e">
        <v>#DIV/0!</v>
      </c>
      <c r="C107">
        <v>4.8893964899130823E-2</v>
      </c>
      <c r="D107">
        <v>1</v>
      </c>
      <c r="E107">
        <v>2050</v>
      </c>
      <c r="F107" t="s">
        <v>470</v>
      </c>
      <c r="G107">
        <v>1.8266238074542565</v>
      </c>
      <c r="H107">
        <v>37.266228026161087</v>
      </c>
      <c r="I107" t="s">
        <v>469</v>
      </c>
      <c r="J107" t="s">
        <v>468</v>
      </c>
      <c r="K107">
        <v>0</v>
      </c>
    </row>
    <row r="108" spans="1:11" x14ac:dyDescent="0.25">
      <c r="A108" t="s">
        <v>558</v>
      </c>
      <c r="B108">
        <v>404.88009044371699</v>
      </c>
      <c r="C108">
        <v>28.097973150095385</v>
      </c>
      <c r="D108">
        <v>1</v>
      </c>
      <c r="E108">
        <v>2050</v>
      </c>
      <c r="F108" t="s">
        <v>470</v>
      </c>
      <c r="G108">
        <v>1.8266238074542565</v>
      </c>
      <c r="H108">
        <v>37.266228026161087</v>
      </c>
      <c r="I108" t="s">
        <v>469</v>
      </c>
      <c r="J108" t="s">
        <v>468</v>
      </c>
      <c r="K108">
        <v>1</v>
      </c>
    </row>
    <row r="109" spans="1:11" x14ac:dyDescent="0.25">
      <c r="A109" t="s">
        <v>559</v>
      </c>
      <c r="B109">
        <v>542.99042935710008</v>
      </c>
      <c r="C109">
        <v>29.343858285001982</v>
      </c>
      <c r="D109">
        <v>1</v>
      </c>
      <c r="E109">
        <v>2050</v>
      </c>
      <c r="F109" t="s">
        <v>470</v>
      </c>
      <c r="G109">
        <v>1.8266238074542565</v>
      </c>
      <c r="H109">
        <v>37.266228026161087</v>
      </c>
      <c r="I109" t="s">
        <v>469</v>
      </c>
      <c r="J109" t="s">
        <v>468</v>
      </c>
      <c r="K109">
        <v>2</v>
      </c>
    </row>
    <row r="110" spans="1:11" x14ac:dyDescent="0.25">
      <c r="A110" t="s">
        <v>560</v>
      </c>
      <c r="B110">
        <v>456.36311063732728</v>
      </c>
      <c r="C110">
        <v>28.582639860398267</v>
      </c>
      <c r="D110">
        <v>1</v>
      </c>
      <c r="E110">
        <v>2050</v>
      </c>
      <c r="F110" t="s">
        <v>470</v>
      </c>
      <c r="G110">
        <v>1.8266238074542565</v>
      </c>
      <c r="H110">
        <v>37.266228026161087</v>
      </c>
      <c r="I110" t="s">
        <v>469</v>
      </c>
      <c r="J110" t="s">
        <v>468</v>
      </c>
      <c r="K110">
        <v>3</v>
      </c>
    </row>
    <row r="111" spans="1:11" x14ac:dyDescent="0.25">
      <c r="A111" t="s">
        <v>561</v>
      </c>
      <c r="B111">
        <v>460.71306003819183</v>
      </c>
      <c r="C111">
        <v>29.727553716306705</v>
      </c>
      <c r="D111">
        <v>1</v>
      </c>
      <c r="E111">
        <v>2050</v>
      </c>
      <c r="F111" t="s">
        <v>470</v>
      </c>
      <c r="G111">
        <v>1.8266238074542565</v>
      </c>
      <c r="H111">
        <v>37.266228026161087</v>
      </c>
      <c r="I111" t="s">
        <v>469</v>
      </c>
      <c r="J111" t="s">
        <v>468</v>
      </c>
      <c r="K111">
        <v>4</v>
      </c>
    </row>
    <row r="112" spans="1:11" x14ac:dyDescent="0.25">
      <c r="A112" t="s">
        <v>562</v>
      </c>
      <c r="B112">
        <v>542.65040054166195</v>
      </c>
      <c r="C112">
        <v>30.801511299616493</v>
      </c>
      <c r="D112">
        <v>1</v>
      </c>
      <c r="E112">
        <v>2050</v>
      </c>
      <c r="F112" t="s">
        <v>470</v>
      </c>
      <c r="G112">
        <v>1.8266238074542565</v>
      </c>
      <c r="H112">
        <v>37.266228026161087</v>
      </c>
      <c r="I112" t="s">
        <v>469</v>
      </c>
      <c r="J112" t="s">
        <v>468</v>
      </c>
      <c r="K112">
        <v>5</v>
      </c>
    </row>
    <row r="113" spans="1:11" x14ac:dyDescent="0.25">
      <c r="A113" t="s">
        <v>563</v>
      </c>
      <c r="B113">
        <v>509.88765749896993</v>
      </c>
      <c r="C113">
        <v>31.32400275366021</v>
      </c>
      <c r="D113">
        <v>1</v>
      </c>
      <c r="E113">
        <v>2050</v>
      </c>
      <c r="F113" t="s">
        <v>470</v>
      </c>
      <c r="G113">
        <v>1.8266238074542565</v>
      </c>
      <c r="H113">
        <v>37.266228026161087</v>
      </c>
      <c r="I113" t="s">
        <v>469</v>
      </c>
      <c r="J113" t="s">
        <v>468</v>
      </c>
      <c r="K113">
        <v>6</v>
      </c>
    </row>
    <row r="114" spans="1:11" x14ac:dyDescent="0.25">
      <c r="A114" t="s">
        <v>557</v>
      </c>
      <c r="B114">
        <v>349.1110998702473</v>
      </c>
      <c r="C114">
        <v>23.324339714362697</v>
      </c>
      <c r="D114">
        <v>1</v>
      </c>
      <c r="E114">
        <v>2035</v>
      </c>
      <c r="F114" t="s">
        <v>471</v>
      </c>
      <c r="G114">
        <v>0.41766843364936823</v>
      </c>
      <c r="H114">
        <v>30.201698658200314</v>
      </c>
      <c r="I114" t="s">
        <v>466</v>
      </c>
      <c r="J114" t="s">
        <v>467</v>
      </c>
      <c r="K114">
        <v>0</v>
      </c>
    </row>
    <row r="115" spans="1:11" x14ac:dyDescent="0.25">
      <c r="A115" t="s">
        <v>558</v>
      </c>
      <c r="B115">
        <v>472.25451959796322</v>
      </c>
      <c r="C115">
        <v>32.375728979665645</v>
      </c>
      <c r="D115">
        <v>1</v>
      </c>
      <c r="E115">
        <v>2035</v>
      </c>
      <c r="F115" t="s">
        <v>471</v>
      </c>
      <c r="G115">
        <v>0.41766843364936823</v>
      </c>
      <c r="H115">
        <v>30.201698658200314</v>
      </c>
      <c r="I115" t="s">
        <v>466</v>
      </c>
      <c r="J115" t="s">
        <v>467</v>
      </c>
      <c r="K115">
        <v>1</v>
      </c>
    </row>
    <row r="116" spans="1:11" x14ac:dyDescent="0.25">
      <c r="A116" t="s">
        <v>559</v>
      </c>
      <c r="B116">
        <v>653.61240998248616</v>
      </c>
      <c r="C116">
        <v>40.988657848604859</v>
      </c>
      <c r="D116">
        <v>1</v>
      </c>
      <c r="E116">
        <v>2035</v>
      </c>
      <c r="F116" t="s">
        <v>471</v>
      </c>
      <c r="G116">
        <v>0.41766843364936823</v>
      </c>
      <c r="H116">
        <v>30.201698658200314</v>
      </c>
      <c r="I116" t="s">
        <v>466</v>
      </c>
      <c r="J116" t="s">
        <v>467</v>
      </c>
      <c r="K116">
        <v>2</v>
      </c>
    </row>
    <row r="117" spans="1:11" x14ac:dyDescent="0.25">
      <c r="A117" t="s">
        <v>560</v>
      </c>
      <c r="B117">
        <v>523.2259252674213</v>
      </c>
      <c r="C117">
        <v>34.465641503501701</v>
      </c>
      <c r="D117">
        <v>1</v>
      </c>
      <c r="E117">
        <v>2035</v>
      </c>
      <c r="F117" t="s">
        <v>471</v>
      </c>
      <c r="G117">
        <v>0.41766843364936823</v>
      </c>
      <c r="H117">
        <v>30.201698658200314</v>
      </c>
      <c r="I117" t="s">
        <v>466</v>
      </c>
      <c r="J117" t="s">
        <v>467</v>
      </c>
      <c r="K117">
        <v>3</v>
      </c>
    </row>
    <row r="118" spans="1:11" x14ac:dyDescent="0.25">
      <c r="A118" t="s">
        <v>561</v>
      </c>
      <c r="B118">
        <v>489.81878647360259</v>
      </c>
      <c r="C118">
        <v>32.379128447147906</v>
      </c>
      <c r="D118">
        <v>1</v>
      </c>
      <c r="E118">
        <v>2035</v>
      </c>
      <c r="F118" t="s">
        <v>471</v>
      </c>
      <c r="G118">
        <v>0.41766843364936823</v>
      </c>
      <c r="H118">
        <v>30.201698658200314</v>
      </c>
      <c r="I118" t="s">
        <v>466</v>
      </c>
      <c r="J118" t="s">
        <v>467</v>
      </c>
      <c r="K118">
        <v>4</v>
      </c>
    </row>
    <row r="119" spans="1:11" x14ac:dyDescent="0.25">
      <c r="A119" t="s">
        <v>562</v>
      </c>
      <c r="B119">
        <v>629.0016589733923</v>
      </c>
      <c r="C119">
        <v>38.96576569200684</v>
      </c>
      <c r="D119">
        <v>1</v>
      </c>
      <c r="E119">
        <v>2035</v>
      </c>
      <c r="F119" t="s">
        <v>471</v>
      </c>
      <c r="G119">
        <v>0.41766843364936823</v>
      </c>
      <c r="H119">
        <v>30.201698658200314</v>
      </c>
      <c r="I119" t="s">
        <v>466</v>
      </c>
      <c r="J119" t="s">
        <v>467</v>
      </c>
      <c r="K119">
        <v>5</v>
      </c>
    </row>
    <row r="120" spans="1:11" x14ac:dyDescent="0.25">
      <c r="A120" t="s">
        <v>563</v>
      </c>
      <c r="B120">
        <v>544.75501891663521</v>
      </c>
      <c r="C120">
        <v>36.842563801589101</v>
      </c>
      <c r="D120">
        <v>1</v>
      </c>
      <c r="E120">
        <v>2035</v>
      </c>
      <c r="F120" t="s">
        <v>471</v>
      </c>
      <c r="G120">
        <v>0.41766843364936823</v>
      </c>
      <c r="H120">
        <v>30.201698658200314</v>
      </c>
      <c r="I120" t="s">
        <v>466</v>
      </c>
      <c r="J120" t="s">
        <v>467</v>
      </c>
      <c r="K120">
        <v>6</v>
      </c>
    </row>
    <row r="121" spans="1:11" x14ac:dyDescent="0.25">
      <c r="A121" t="s">
        <v>557</v>
      </c>
      <c r="B121">
        <v>331.34610836289431</v>
      </c>
      <c r="C121">
        <v>22.70410095948975</v>
      </c>
      <c r="D121">
        <v>1</v>
      </c>
      <c r="E121">
        <v>2035</v>
      </c>
      <c r="F121" t="s">
        <v>471</v>
      </c>
      <c r="G121">
        <v>1.5301400799854921</v>
      </c>
      <c r="H121">
        <v>30.275010249341506</v>
      </c>
      <c r="I121" t="s">
        <v>466</v>
      </c>
      <c r="J121" t="s">
        <v>468</v>
      </c>
      <c r="K121">
        <v>0</v>
      </c>
    </row>
    <row r="122" spans="1:11" x14ac:dyDescent="0.25">
      <c r="A122" t="s">
        <v>558</v>
      </c>
      <c r="B122">
        <v>467.15903164623882</v>
      </c>
      <c r="C122">
        <v>32.171470720862949</v>
      </c>
      <c r="D122">
        <v>1</v>
      </c>
      <c r="E122">
        <v>2035</v>
      </c>
      <c r="F122" t="s">
        <v>471</v>
      </c>
      <c r="G122">
        <v>1.5301400799854921</v>
      </c>
      <c r="H122">
        <v>30.275010249341506</v>
      </c>
      <c r="I122" t="s">
        <v>466</v>
      </c>
      <c r="J122" t="s">
        <v>468</v>
      </c>
      <c r="K122">
        <v>1</v>
      </c>
    </row>
    <row r="123" spans="1:11" x14ac:dyDescent="0.25">
      <c r="A123" t="s">
        <v>559</v>
      </c>
      <c r="B123">
        <v>503.84487055909449</v>
      </c>
      <c r="C123">
        <v>28.802547537097301</v>
      </c>
      <c r="D123">
        <v>1</v>
      </c>
      <c r="E123">
        <v>2035</v>
      </c>
      <c r="F123" t="s">
        <v>471</v>
      </c>
      <c r="G123">
        <v>1.5301400799854921</v>
      </c>
      <c r="H123">
        <v>30.275010249341506</v>
      </c>
      <c r="I123" t="s">
        <v>466</v>
      </c>
      <c r="J123" t="s">
        <v>468</v>
      </c>
      <c r="K123">
        <v>2</v>
      </c>
    </row>
    <row r="124" spans="1:11" x14ac:dyDescent="0.25">
      <c r="A124" t="s">
        <v>560</v>
      </c>
      <c r="B124">
        <v>510.68450350599142</v>
      </c>
      <c r="C124">
        <v>31.509749083284774</v>
      </c>
      <c r="D124">
        <v>1</v>
      </c>
      <c r="E124">
        <v>2035</v>
      </c>
      <c r="F124" t="s">
        <v>471</v>
      </c>
      <c r="G124">
        <v>1.5301400799854921</v>
      </c>
      <c r="H124">
        <v>30.275010249341506</v>
      </c>
      <c r="I124" t="s">
        <v>466</v>
      </c>
      <c r="J124" t="s">
        <v>468</v>
      </c>
      <c r="K124">
        <v>3</v>
      </c>
    </row>
    <row r="125" spans="1:11" x14ac:dyDescent="0.25">
      <c r="A125" t="s">
        <v>561</v>
      </c>
      <c r="B125">
        <v>488.54020157407217</v>
      </c>
      <c r="C125">
        <v>32.132164481049053</v>
      </c>
      <c r="D125">
        <v>1</v>
      </c>
      <c r="E125">
        <v>2035</v>
      </c>
      <c r="F125" t="s">
        <v>471</v>
      </c>
      <c r="G125">
        <v>1.5301400799854921</v>
      </c>
      <c r="H125">
        <v>30.275010249341506</v>
      </c>
      <c r="I125" t="s">
        <v>466</v>
      </c>
      <c r="J125" t="s">
        <v>468</v>
      </c>
      <c r="K125">
        <v>4</v>
      </c>
    </row>
    <row r="126" spans="1:11" x14ac:dyDescent="0.25">
      <c r="A126" t="s">
        <v>562</v>
      </c>
      <c r="B126">
        <v>586.54323189948218</v>
      </c>
      <c r="C126">
        <v>34.309851735685015</v>
      </c>
      <c r="D126">
        <v>1</v>
      </c>
      <c r="E126">
        <v>2035</v>
      </c>
      <c r="F126" t="s">
        <v>471</v>
      </c>
      <c r="G126">
        <v>1.5301400799854921</v>
      </c>
      <c r="H126">
        <v>30.275010249341506</v>
      </c>
      <c r="I126" t="s">
        <v>466</v>
      </c>
      <c r="J126" t="s">
        <v>468</v>
      </c>
      <c r="K126">
        <v>5</v>
      </c>
    </row>
    <row r="127" spans="1:11" x14ac:dyDescent="0.25">
      <c r="A127" t="s">
        <v>563</v>
      </c>
      <c r="B127">
        <v>541.14363725565329</v>
      </c>
      <c r="C127">
        <v>33.83471764532419</v>
      </c>
      <c r="D127">
        <v>1</v>
      </c>
      <c r="E127">
        <v>2035</v>
      </c>
      <c r="F127" t="s">
        <v>471</v>
      </c>
      <c r="G127">
        <v>1.5301400799854921</v>
      </c>
      <c r="H127">
        <v>30.275010249341506</v>
      </c>
      <c r="I127" t="s">
        <v>466</v>
      </c>
      <c r="J127" t="s">
        <v>468</v>
      </c>
      <c r="K127">
        <v>6</v>
      </c>
    </row>
    <row r="128" spans="1:11" x14ac:dyDescent="0.25">
      <c r="A128" t="s">
        <v>557</v>
      </c>
      <c r="B128">
        <v>450.06800120890688</v>
      </c>
      <c r="C128">
        <v>29.747876057191458</v>
      </c>
      <c r="D128">
        <v>1</v>
      </c>
      <c r="E128">
        <v>2035</v>
      </c>
      <c r="F128" t="s">
        <v>471</v>
      </c>
      <c r="G128">
        <v>0.41766743364401515</v>
      </c>
      <c r="H128">
        <v>36.570281490831292</v>
      </c>
      <c r="I128" t="s">
        <v>469</v>
      </c>
      <c r="J128" t="s">
        <v>467</v>
      </c>
      <c r="K128">
        <v>0</v>
      </c>
    </row>
    <row r="129" spans="1:11" x14ac:dyDescent="0.25">
      <c r="A129" t="s">
        <v>558</v>
      </c>
      <c r="B129">
        <v>475.83622418093006</v>
      </c>
      <c r="C129">
        <v>31.772533520548141</v>
      </c>
      <c r="D129">
        <v>1</v>
      </c>
      <c r="E129">
        <v>2035</v>
      </c>
      <c r="F129" t="s">
        <v>471</v>
      </c>
      <c r="G129">
        <v>0.41766743364401515</v>
      </c>
      <c r="H129">
        <v>36.570281490831292</v>
      </c>
      <c r="I129" t="s">
        <v>469</v>
      </c>
      <c r="J129" t="s">
        <v>467</v>
      </c>
      <c r="K129">
        <v>1</v>
      </c>
    </row>
    <row r="130" spans="1:11" x14ac:dyDescent="0.25">
      <c r="A130" t="s">
        <v>559</v>
      </c>
      <c r="B130">
        <v>637.27794196025206</v>
      </c>
      <c r="C130">
        <v>37.003158199274679</v>
      </c>
      <c r="D130">
        <v>1</v>
      </c>
      <c r="E130">
        <v>2035</v>
      </c>
      <c r="F130" t="s">
        <v>471</v>
      </c>
      <c r="G130">
        <v>0.41766743364401515</v>
      </c>
      <c r="H130">
        <v>36.570281490831292</v>
      </c>
      <c r="I130" t="s">
        <v>469</v>
      </c>
      <c r="J130" t="s">
        <v>467</v>
      </c>
      <c r="K130">
        <v>2</v>
      </c>
    </row>
    <row r="131" spans="1:11" x14ac:dyDescent="0.25">
      <c r="A131" t="s">
        <v>560</v>
      </c>
      <c r="B131">
        <v>493.31455288412371</v>
      </c>
      <c r="C131">
        <v>31.671710056096643</v>
      </c>
      <c r="D131">
        <v>1</v>
      </c>
      <c r="E131">
        <v>2035</v>
      </c>
      <c r="F131" t="s">
        <v>471</v>
      </c>
      <c r="G131">
        <v>0.41766743364401515</v>
      </c>
      <c r="H131">
        <v>36.570281490831292</v>
      </c>
      <c r="I131" t="s">
        <v>469</v>
      </c>
      <c r="J131" t="s">
        <v>467</v>
      </c>
      <c r="K131">
        <v>3</v>
      </c>
    </row>
    <row r="132" spans="1:11" x14ac:dyDescent="0.25">
      <c r="A132" t="s">
        <v>561</v>
      </c>
      <c r="B132">
        <v>497.45026161092261</v>
      </c>
      <c r="C132">
        <v>31.661474707422311</v>
      </c>
      <c r="D132">
        <v>1</v>
      </c>
      <c r="E132">
        <v>2035</v>
      </c>
      <c r="F132" t="s">
        <v>471</v>
      </c>
      <c r="G132">
        <v>0.41766743364401515</v>
      </c>
      <c r="H132">
        <v>36.570281490831292</v>
      </c>
      <c r="I132" t="s">
        <v>469</v>
      </c>
      <c r="J132" t="s">
        <v>467</v>
      </c>
      <c r="K132">
        <v>4</v>
      </c>
    </row>
    <row r="133" spans="1:11" x14ac:dyDescent="0.25">
      <c r="A133" t="s">
        <v>562</v>
      </c>
      <c r="B133">
        <v>583.70288837461521</v>
      </c>
      <c r="C133">
        <v>35.183898679563001</v>
      </c>
      <c r="D133">
        <v>1</v>
      </c>
      <c r="E133">
        <v>2035</v>
      </c>
      <c r="F133" t="s">
        <v>471</v>
      </c>
      <c r="G133">
        <v>0.41766743364401515</v>
      </c>
      <c r="H133">
        <v>36.570281490831292</v>
      </c>
      <c r="I133" t="s">
        <v>469</v>
      </c>
      <c r="J133" t="s">
        <v>467</v>
      </c>
      <c r="K133">
        <v>5</v>
      </c>
    </row>
    <row r="134" spans="1:11" x14ac:dyDescent="0.25">
      <c r="A134" t="s">
        <v>563</v>
      </c>
      <c r="B134">
        <v>539.21558318508062</v>
      </c>
      <c r="C134">
        <v>33.725597337180673</v>
      </c>
      <c r="D134">
        <v>1</v>
      </c>
      <c r="E134">
        <v>2035</v>
      </c>
      <c r="F134" t="s">
        <v>471</v>
      </c>
      <c r="G134">
        <v>0.41766743364401515</v>
      </c>
      <c r="H134">
        <v>36.570281490831292</v>
      </c>
      <c r="I134" t="s">
        <v>469</v>
      </c>
      <c r="J134" t="s">
        <v>467</v>
      </c>
      <c r="K134">
        <v>6</v>
      </c>
    </row>
    <row r="135" spans="1:11" x14ac:dyDescent="0.25">
      <c r="A135" t="s">
        <v>557</v>
      </c>
      <c r="B135">
        <v>404.02322647932118</v>
      </c>
      <c r="C135">
        <v>27.144508963714308</v>
      </c>
      <c r="D135">
        <v>1</v>
      </c>
      <c r="E135">
        <v>2035</v>
      </c>
      <c r="F135" t="s">
        <v>471</v>
      </c>
      <c r="G135">
        <v>1.5301400799764187</v>
      </c>
      <c r="H135">
        <v>36.577139789469413</v>
      </c>
      <c r="I135" t="s">
        <v>469</v>
      </c>
      <c r="J135" t="s">
        <v>468</v>
      </c>
      <c r="K135">
        <v>0</v>
      </c>
    </row>
    <row r="136" spans="1:11" x14ac:dyDescent="0.25">
      <c r="A136" t="s">
        <v>558</v>
      </c>
      <c r="B136">
        <v>455.93551309728258</v>
      </c>
      <c r="C136">
        <v>31.426578575910565</v>
      </c>
      <c r="D136">
        <v>1</v>
      </c>
      <c r="E136">
        <v>2035</v>
      </c>
      <c r="F136" t="s">
        <v>471</v>
      </c>
      <c r="G136">
        <v>1.5301400799764187</v>
      </c>
      <c r="H136">
        <v>36.577139789469413</v>
      </c>
      <c r="I136" t="s">
        <v>469</v>
      </c>
      <c r="J136" t="s">
        <v>468</v>
      </c>
      <c r="K136">
        <v>1</v>
      </c>
    </row>
    <row r="137" spans="1:11" x14ac:dyDescent="0.25">
      <c r="A137" t="s">
        <v>559</v>
      </c>
      <c r="B137">
        <v>575.64371921473389</v>
      </c>
      <c r="C137">
        <v>31.14155917266131</v>
      </c>
      <c r="D137">
        <v>1</v>
      </c>
      <c r="E137">
        <v>2035</v>
      </c>
      <c r="F137" t="s">
        <v>471</v>
      </c>
      <c r="G137">
        <v>1.5301400799764187</v>
      </c>
      <c r="H137">
        <v>36.577139789469413</v>
      </c>
      <c r="I137" t="s">
        <v>469</v>
      </c>
      <c r="J137" t="s">
        <v>468</v>
      </c>
      <c r="K137">
        <v>2</v>
      </c>
    </row>
    <row r="138" spans="1:11" x14ac:dyDescent="0.25">
      <c r="A138" t="s">
        <v>560</v>
      </c>
      <c r="B138">
        <v>492.93848711074793</v>
      </c>
      <c r="C138">
        <v>30.303660308883266</v>
      </c>
      <c r="D138">
        <v>1</v>
      </c>
      <c r="E138">
        <v>2035</v>
      </c>
      <c r="F138" t="s">
        <v>471</v>
      </c>
      <c r="G138">
        <v>1.5301400799764187</v>
      </c>
      <c r="H138">
        <v>36.577139789469413</v>
      </c>
      <c r="I138" t="s">
        <v>469</v>
      </c>
      <c r="J138" t="s">
        <v>468</v>
      </c>
      <c r="K138">
        <v>3</v>
      </c>
    </row>
    <row r="139" spans="1:11" x14ac:dyDescent="0.25">
      <c r="A139" t="s">
        <v>561</v>
      </c>
      <c r="B139">
        <v>488.14969912369162</v>
      </c>
      <c r="C139">
        <v>31.846323682091267</v>
      </c>
      <c r="D139">
        <v>1</v>
      </c>
      <c r="E139">
        <v>2035</v>
      </c>
      <c r="F139" t="s">
        <v>471</v>
      </c>
      <c r="G139">
        <v>1.5301400799764187</v>
      </c>
      <c r="H139">
        <v>36.577139789469413</v>
      </c>
      <c r="I139" t="s">
        <v>469</v>
      </c>
      <c r="J139" t="s">
        <v>468</v>
      </c>
      <c r="K139">
        <v>4</v>
      </c>
    </row>
    <row r="140" spans="1:11" x14ac:dyDescent="0.25">
      <c r="A140" t="s">
        <v>562</v>
      </c>
      <c r="B140">
        <v>659.4694612529504</v>
      </c>
      <c r="C140">
        <v>35.412593679683269</v>
      </c>
      <c r="D140">
        <v>1</v>
      </c>
      <c r="E140">
        <v>2035</v>
      </c>
      <c r="F140" t="s">
        <v>471</v>
      </c>
      <c r="G140">
        <v>1.5301400799764187</v>
      </c>
      <c r="H140">
        <v>36.577139789469413</v>
      </c>
      <c r="I140" t="s">
        <v>469</v>
      </c>
      <c r="J140" t="s">
        <v>468</v>
      </c>
      <c r="K140">
        <v>5</v>
      </c>
    </row>
    <row r="141" spans="1:11" x14ac:dyDescent="0.25">
      <c r="A141" t="s">
        <v>563</v>
      </c>
      <c r="B141">
        <v>544.26886901424234</v>
      </c>
      <c r="C141">
        <v>33.924431045964184</v>
      </c>
      <c r="D141">
        <v>1</v>
      </c>
      <c r="E141">
        <v>2035</v>
      </c>
      <c r="F141" t="s">
        <v>471</v>
      </c>
      <c r="G141">
        <v>1.5301400799764187</v>
      </c>
      <c r="H141">
        <v>36.577139789469413</v>
      </c>
      <c r="I141" t="s">
        <v>469</v>
      </c>
      <c r="J141" t="s">
        <v>468</v>
      </c>
      <c r="K141">
        <v>6</v>
      </c>
    </row>
    <row r="142" spans="1:11" x14ac:dyDescent="0.25">
      <c r="A142" t="s">
        <v>557</v>
      </c>
      <c r="B142">
        <v>381.264857078121</v>
      </c>
      <c r="C142">
        <v>24.852664182784558</v>
      </c>
      <c r="D142">
        <v>1</v>
      </c>
      <c r="E142">
        <v>2050</v>
      </c>
      <c r="F142" t="s">
        <v>471</v>
      </c>
      <c r="G142">
        <v>0.37215242568964474</v>
      </c>
      <c r="H142">
        <v>28.281905460099722</v>
      </c>
      <c r="I142" t="s">
        <v>466</v>
      </c>
      <c r="J142" t="s">
        <v>467</v>
      </c>
      <c r="K142">
        <v>0</v>
      </c>
    </row>
    <row r="143" spans="1:11" x14ac:dyDescent="0.25">
      <c r="A143" t="s">
        <v>558</v>
      </c>
      <c r="B143">
        <v>423.71736188927969</v>
      </c>
      <c r="C143">
        <v>27.088439366097749</v>
      </c>
      <c r="D143">
        <v>1</v>
      </c>
      <c r="E143">
        <v>2050</v>
      </c>
      <c r="F143" t="s">
        <v>471</v>
      </c>
      <c r="G143">
        <v>0.37215242568964474</v>
      </c>
      <c r="H143">
        <v>28.281905460099722</v>
      </c>
      <c r="I143" t="s">
        <v>466</v>
      </c>
      <c r="J143" t="s">
        <v>467</v>
      </c>
      <c r="K143">
        <v>1</v>
      </c>
    </row>
    <row r="144" spans="1:11" x14ac:dyDescent="0.25">
      <c r="A144" t="s">
        <v>559</v>
      </c>
      <c r="B144">
        <v>539.56361979725079</v>
      </c>
      <c r="C144">
        <v>32.947368860855889</v>
      </c>
      <c r="D144">
        <v>1</v>
      </c>
      <c r="E144">
        <v>2050</v>
      </c>
      <c r="F144" t="s">
        <v>471</v>
      </c>
      <c r="G144">
        <v>0.37215242568964474</v>
      </c>
      <c r="H144">
        <v>28.281905460099722</v>
      </c>
      <c r="I144" t="s">
        <v>466</v>
      </c>
      <c r="J144" t="s">
        <v>467</v>
      </c>
      <c r="K144">
        <v>2</v>
      </c>
    </row>
    <row r="145" spans="1:11" x14ac:dyDescent="0.25">
      <c r="A145" t="s">
        <v>560</v>
      </c>
      <c r="B145">
        <v>453.81260472971337</v>
      </c>
      <c r="C145">
        <v>28.269905352199828</v>
      </c>
      <c r="D145">
        <v>1</v>
      </c>
      <c r="E145">
        <v>2050</v>
      </c>
      <c r="F145" t="s">
        <v>471</v>
      </c>
      <c r="G145">
        <v>0.37215242568964474</v>
      </c>
      <c r="H145">
        <v>28.281905460099722</v>
      </c>
      <c r="I145" t="s">
        <v>466</v>
      </c>
      <c r="J145" t="s">
        <v>467</v>
      </c>
      <c r="K145">
        <v>3</v>
      </c>
    </row>
    <row r="146" spans="1:11" x14ac:dyDescent="0.25">
      <c r="A146" t="s">
        <v>561</v>
      </c>
      <c r="B146">
        <v>488.05058794966692</v>
      </c>
      <c r="C146">
        <v>30.337615034764944</v>
      </c>
      <c r="D146">
        <v>1</v>
      </c>
      <c r="E146">
        <v>2050</v>
      </c>
      <c r="F146" t="s">
        <v>471</v>
      </c>
      <c r="G146">
        <v>0.37215242568964474</v>
      </c>
      <c r="H146">
        <v>28.281905460099722</v>
      </c>
      <c r="I146" t="s">
        <v>466</v>
      </c>
      <c r="J146" t="s">
        <v>467</v>
      </c>
      <c r="K146">
        <v>4</v>
      </c>
    </row>
    <row r="147" spans="1:11" x14ac:dyDescent="0.25">
      <c r="A147" t="s">
        <v>562</v>
      </c>
      <c r="B147">
        <v>507.03179570209863</v>
      </c>
      <c r="C147">
        <v>30.849264404634155</v>
      </c>
      <c r="D147">
        <v>1</v>
      </c>
      <c r="E147">
        <v>2050</v>
      </c>
      <c r="F147" t="s">
        <v>471</v>
      </c>
      <c r="G147">
        <v>0.37215242568964474</v>
      </c>
      <c r="H147">
        <v>28.281905460099722</v>
      </c>
      <c r="I147" t="s">
        <v>466</v>
      </c>
      <c r="J147" t="s">
        <v>467</v>
      </c>
      <c r="K147">
        <v>5</v>
      </c>
    </row>
    <row r="148" spans="1:11" x14ac:dyDescent="0.25">
      <c r="A148" t="s">
        <v>563</v>
      </c>
      <c r="B148">
        <v>487.42928005607718</v>
      </c>
      <c r="C148">
        <v>32.13045924102957</v>
      </c>
      <c r="D148">
        <v>1</v>
      </c>
      <c r="E148">
        <v>2050</v>
      </c>
      <c r="F148" t="s">
        <v>471</v>
      </c>
      <c r="G148">
        <v>0.37215242568964474</v>
      </c>
      <c r="H148">
        <v>28.281905460099722</v>
      </c>
      <c r="I148" t="s">
        <v>466</v>
      </c>
      <c r="J148" t="s">
        <v>467</v>
      </c>
      <c r="K148">
        <v>6</v>
      </c>
    </row>
    <row r="149" spans="1:11" x14ac:dyDescent="0.25">
      <c r="A149" t="s">
        <v>557</v>
      </c>
      <c r="B149">
        <v>328.61120151487415</v>
      </c>
      <c r="C149">
        <v>21.675002967377324</v>
      </c>
      <c r="D149">
        <v>1</v>
      </c>
      <c r="E149">
        <v>2050</v>
      </c>
      <c r="F149" t="s">
        <v>471</v>
      </c>
      <c r="G149">
        <v>1.8266228074526207</v>
      </c>
      <c r="H149">
        <v>28.216838571182478</v>
      </c>
      <c r="I149" t="s">
        <v>466</v>
      </c>
      <c r="J149" t="s">
        <v>468</v>
      </c>
      <c r="K149">
        <v>0</v>
      </c>
    </row>
    <row r="150" spans="1:11" x14ac:dyDescent="0.25">
      <c r="A150" t="s">
        <v>558</v>
      </c>
      <c r="B150">
        <v>435.17882670189732</v>
      </c>
      <c r="C150">
        <v>29.617038618021812</v>
      </c>
      <c r="D150">
        <v>1</v>
      </c>
      <c r="E150">
        <v>2050</v>
      </c>
      <c r="F150" t="s">
        <v>471</v>
      </c>
      <c r="G150">
        <v>1.8266228074526207</v>
      </c>
      <c r="H150">
        <v>28.216838571182478</v>
      </c>
      <c r="I150" t="s">
        <v>466</v>
      </c>
      <c r="J150" t="s">
        <v>468</v>
      </c>
      <c r="K150">
        <v>1</v>
      </c>
    </row>
    <row r="151" spans="1:11" x14ac:dyDescent="0.25">
      <c r="A151" t="s">
        <v>559</v>
      </c>
      <c r="B151">
        <v>529.74776091356227</v>
      </c>
      <c r="C151">
        <v>32.978149140495667</v>
      </c>
      <c r="D151">
        <v>1</v>
      </c>
      <c r="E151">
        <v>2050</v>
      </c>
      <c r="F151" t="s">
        <v>471</v>
      </c>
      <c r="G151">
        <v>1.8266228074526207</v>
      </c>
      <c r="H151">
        <v>28.216838571182478</v>
      </c>
      <c r="I151" t="s">
        <v>466</v>
      </c>
      <c r="J151" t="s">
        <v>468</v>
      </c>
      <c r="K151">
        <v>2</v>
      </c>
    </row>
    <row r="152" spans="1:11" x14ac:dyDescent="0.25">
      <c r="A152" t="s">
        <v>560</v>
      </c>
      <c r="B152">
        <v>490.69991216761775</v>
      </c>
      <c r="C152">
        <v>31.571157809068104</v>
      </c>
      <c r="D152">
        <v>1</v>
      </c>
      <c r="E152">
        <v>2050</v>
      </c>
      <c r="F152" t="s">
        <v>471</v>
      </c>
      <c r="G152">
        <v>1.8266228074526207</v>
      </c>
      <c r="H152">
        <v>28.216838571182478</v>
      </c>
      <c r="I152" t="s">
        <v>466</v>
      </c>
      <c r="J152" t="s">
        <v>468</v>
      </c>
      <c r="K152">
        <v>3</v>
      </c>
    </row>
    <row r="153" spans="1:11" x14ac:dyDescent="0.25">
      <c r="A153" t="s">
        <v>561</v>
      </c>
      <c r="B153">
        <v>421.5639485781486</v>
      </c>
      <c r="C153">
        <v>29.136068150674944</v>
      </c>
      <c r="D153">
        <v>1</v>
      </c>
      <c r="E153">
        <v>2050</v>
      </c>
      <c r="F153" t="s">
        <v>471</v>
      </c>
      <c r="G153">
        <v>1.8266228074526207</v>
      </c>
      <c r="H153">
        <v>28.216838571182478</v>
      </c>
      <c r="I153" t="s">
        <v>466</v>
      </c>
      <c r="J153" t="s">
        <v>468</v>
      </c>
      <c r="K153">
        <v>4</v>
      </c>
    </row>
    <row r="154" spans="1:11" x14ac:dyDescent="0.25">
      <c r="A154" t="s">
        <v>562</v>
      </c>
      <c r="B154">
        <v>477.4542786417187</v>
      </c>
      <c r="C154">
        <v>30.955934923026291</v>
      </c>
      <c r="D154">
        <v>1</v>
      </c>
      <c r="E154">
        <v>2050</v>
      </c>
      <c r="F154" t="s">
        <v>471</v>
      </c>
      <c r="G154">
        <v>1.8266228074526207</v>
      </c>
      <c r="H154">
        <v>28.216838571182478</v>
      </c>
      <c r="I154" t="s">
        <v>466</v>
      </c>
      <c r="J154" t="s">
        <v>468</v>
      </c>
      <c r="K154">
        <v>5</v>
      </c>
    </row>
    <row r="155" spans="1:11" x14ac:dyDescent="0.25">
      <c r="A155" t="s">
        <v>563</v>
      </c>
      <c r="B155">
        <v>523.79143052746838</v>
      </c>
      <c r="C155">
        <v>35.44437208237165</v>
      </c>
      <c r="D155">
        <v>1</v>
      </c>
      <c r="E155">
        <v>2050</v>
      </c>
      <c r="F155" t="s">
        <v>471</v>
      </c>
      <c r="G155">
        <v>1.8266228074526207</v>
      </c>
      <c r="H155">
        <v>28.216838571182478</v>
      </c>
      <c r="I155" t="s">
        <v>466</v>
      </c>
      <c r="J155" t="s">
        <v>468</v>
      </c>
      <c r="K155">
        <v>6</v>
      </c>
    </row>
    <row r="156" spans="1:11" x14ac:dyDescent="0.25">
      <c r="A156" t="s">
        <v>557</v>
      </c>
      <c r="B156">
        <v>373.97161089700046</v>
      </c>
      <c r="C156">
        <v>24.936390382526195</v>
      </c>
      <c r="D156">
        <v>1</v>
      </c>
      <c r="E156">
        <v>2050</v>
      </c>
      <c r="F156" t="s">
        <v>471</v>
      </c>
      <c r="G156">
        <v>0.27799492561790801</v>
      </c>
      <c r="H156">
        <v>37.291776854523022</v>
      </c>
      <c r="I156" t="s">
        <v>469</v>
      </c>
      <c r="J156" t="s">
        <v>467</v>
      </c>
      <c r="K156">
        <v>0</v>
      </c>
    </row>
    <row r="157" spans="1:11" x14ac:dyDescent="0.25">
      <c r="A157" t="s">
        <v>558</v>
      </c>
      <c r="B157">
        <v>442.09706791996541</v>
      </c>
      <c r="C157">
        <v>29.443780709231813</v>
      </c>
      <c r="D157">
        <v>1</v>
      </c>
      <c r="E157">
        <v>2050</v>
      </c>
      <c r="F157" t="s">
        <v>471</v>
      </c>
      <c r="G157">
        <v>0.27799492561790801</v>
      </c>
      <c r="H157">
        <v>37.291776854523022</v>
      </c>
      <c r="I157" t="s">
        <v>469</v>
      </c>
      <c r="J157" t="s">
        <v>467</v>
      </c>
      <c r="K157">
        <v>1</v>
      </c>
    </row>
    <row r="158" spans="1:11" x14ac:dyDescent="0.25">
      <c r="A158" t="s">
        <v>559</v>
      </c>
      <c r="B158">
        <v>522.48380943018469</v>
      </c>
      <c r="C158">
        <v>31.974343246081922</v>
      </c>
      <c r="D158">
        <v>1</v>
      </c>
      <c r="E158">
        <v>2050</v>
      </c>
      <c r="F158" t="s">
        <v>471</v>
      </c>
      <c r="G158">
        <v>0.27799492561790801</v>
      </c>
      <c r="H158">
        <v>37.291776854523022</v>
      </c>
      <c r="I158" t="s">
        <v>469</v>
      </c>
      <c r="J158" t="s">
        <v>467</v>
      </c>
      <c r="K158">
        <v>2</v>
      </c>
    </row>
    <row r="159" spans="1:11" x14ac:dyDescent="0.25">
      <c r="A159" t="s">
        <v>560</v>
      </c>
      <c r="B159">
        <v>448.82136209733142</v>
      </c>
      <c r="C159">
        <v>28.076445961437344</v>
      </c>
      <c r="D159">
        <v>1</v>
      </c>
      <c r="E159">
        <v>2050</v>
      </c>
      <c r="F159" t="s">
        <v>471</v>
      </c>
      <c r="G159">
        <v>0.27799492561790801</v>
      </c>
      <c r="H159">
        <v>37.291776854523022</v>
      </c>
      <c r="I159" t="s">
        <v>469</v>
      </c>
      <c r="J159" t="s">
        <v>467</v>
      </c>
      <c r="K159">
        <v>3</v>
      </c>
    </row>
    <row r="160" spans="1:11" x14ac:dyDescent="0.25">
      <c r="A160" t="s">
        <v>561</v>
      </c>
      <c r="B160">
        <v>467.30270973998938</v>
      </c>
      <c r="C160">
        <v>29.871272128513883</v>
      </c>
      <c r="D160">
        <v>1</v>
      </c>
      <c r="E160">
        <v>2050</v>
      </c>
      <c r="F160" t="s">
        <v>471</v>
      </c>
      <c r="G160">
        <v>0.27799492561790801</v>
      </c>
      <c r="H160">
        <v>37.291776854523022</v>
      </c>
      <c r="I160" t="s">
        <v>469</v>
      </c>
      <c r="J160" t="s">
        <v>467</v>
      </c>
      <c r="K160">
        <v>4</v>
      </c>
    </row>
    <row r="161" spans="1:11" x14ac:dyDescent="0.25">
      <c r="A161" t="s">
        <v>562</v>
      </c>
      <c r="B161">
        <v>504.72082550999187</v>
      </c>
      <c r="C161">
        <v>30.936635905625153</v>
      </c>
      <c r="D161">
        <v>1</v>
      </c>
      <c r="E161">
        <v>2050</v>
      </c>
      <c r="F161" t="s">
        <v>471</v>
      </c>
      <c r="G161">
        <v>0.27799492561790801</v>
      </c>
      <c r="H161">
        <v>37.291776854523022</v>
      </c>
      <c r="I161" t="s">
        <v>469</v>
      </c>
      <c r="J161" t="s">
        <v>467</v>
      </c>
      <c r="K161">
        <v>5</v>
      </c>
    </row>
    <row r="162" spans="1:11" x14ac:dyDescent="0.25">
      <c r="A162" t="s">
        <v>563</v>
      </c>
      <c r="B162">
        <v>471.00022779502035</v>
      </c>
      <c r="C162">
        <v>30.36743025946928</v>
      </c>
      <c r="D162">
        <v>1</v>
      </c>
      <c r="E162">
        <v>2050</v>
      </c>
      <c r="F162" t="s">
        <v>471</v>
      </c>
      <c r="G162">
        <v>0.27799492561790801</v>
      </c>
      <c r="H162">
        <v>37.291776854523022</v>
      </c>
      <c r="I162" t="s">
        <v>469</v>
      </c>
      <c r="J162" t="s">
        <v>467</v>
      </c>
      <c r="K162">
        <v>6</v>
      </c>
    </row>
    <row r="163" spans="1:11" x14ac:dyDescent="0.25">
      <c r="A163" t="s">
        <v>557</v>
      </c>
      <c r="B163">
        <v>339.34074504252175</v>
      </c>
      <c r="C163">
        <v>22.624465802983224</v>
      </c>
      <c r="D163">
        <v>1</v>
      </c>
      <c r="E163">
        <v>2050</v>
      </c>
      <c r="F163" t="s">
        <v>471</v>
      </c>
      <c r="G163">
        <v>1.826623807454254</v>
      </c>
      <c r="H163">
        <v>37.266228024183221</v>
      </c>
      <c r="I163" t="s">
        <v>469</v>
      </c>
      <c r="J163" t="s">
        <v>468</v>
      </c>
      <c r="K163">
        <v>0</v>
      </c>
    </row>
    <row r="164" spans="1:11" x14ac:dyDescent="0.25">
      <c r="A164" t="s">
        <v>558</v>
      </c>
      <c r="B164">
        <v>419.21431907579012</v>
      </c>
      <c r="C164">
        <v>28.517646886037863</v>
      </c>
      <c r="D164">
        <v>1</v>
      </c>
      <c r="E164">
        <v>2050</v>
      </c>
      <c r="F164" t="s">
        <v>471</v>
      </c>
      <c r="G164">
        <v>1.826623807454254</v>
      </c>
      <c r="H164">
        <v>37.266228024183221</v>
      </c>
      <c r="I164" t="s">
        <v>469</v>
      </c>
      <c r="J164" t="s">
        <v>468</v>
      </c>
      <c r="K164">
        <v>1</v>
      </c>
    </row>
    <row r="165" spans="1:11" x14ac:dyDescent="0.25">
      <c r="A165" t="s">
        <v>559</v>
      </c>
      <c r="B165">
        <v>466.12115122363434</v>
      </c>
      <c r="C165">
        <v>28.03880329151368</v>
      </c>
      <c r="D165">
        <v>1</v>
      </c>
      <c r="E165">
        <v>2050</v>
      </c>
      <c r="F165" t="s">
        <v>471</v>
      </c>
      <c r="G165">
        <v>1.826623807454254</v>
      </c>
      <c r="H165">
        <v>37.266228024183221</v>
      </c>
      <c r="I165" t="s">
        <v>469</v>
      </c>
      <c r="J165" t="s">
        <v>468</v>
      </c>
      <c r="K165">
        <v>2</v>
      </c>
    </row>
    <row r="166" spans="1:11" x14ac:dyDescent="0.25">
      <c r="A166" t="s">
        <v>560</v>
      </c>
      <c r="B166">
        <v>465.87939870805786</v>
      </c>
      <c r="C166">
        <v>28.472410047254417</v>
      </c>
      <c r="D166">
        <v>1</v>
      </c>
      <c r="E166">
        <v>2050</v>
      </c>
      <c r="F166" t="s">
        <v>471</v>
      </c>
      <c r="G166">
        <v>1.826623807454254</v>
      </c>
      <c r="H166">
        <v>37.266228024183221</v>
      </c>
      <c r="I166" t="s">
        <v>469</v>
      </c>
      <c r="J166" t="s">
        <v>468</v>
      </c>
      <c r="K166">
        <v>3</v>
      </c>
    </row>
    <row r="167" spans="1:11" x14ac:dyDescent="0.25">
      <c r="A167" t="s">
        <v>561</v>
      </c>
      <c r="B167">
        <v>438.65138824744758</v>
      </c>
      <c r="C167">
        <v>28.756650821565945</v>
      </c>
      <c r="D167">
        <v>1</v>
      </c>
      <c r="E167">
        <v>2050</v>
      </c>
      <c r="F167" t="s">
        <v>471</v>
      </c>
      <c r="G167">
        <v>1.826623807454254</v>
      </c>
      <c r="H167">
        <v>37.266228024183221</v>
      </c>
      <c r="I167" t="s">
        <v>469</v>
      </c>
      <c r="J167" t="s">
        <v>468</v>
      </c>
      <c r="K167">
        <v>4</v>
      </c>
    </row>
    <row r="168" spans="1:11" x14ac:dyDescent="0.25">
      <c r="A168" t="s">
        <v>562</v>
      </c>
      <c r="B168">
        <v>498.14475361375594</v>
      </c>
      <c r="C168">
        <v>31.470450223267544</v>
      </c>
      <c r="D168">
        <v>1</v>
      </c>
      <c r="E168">
        <v>2050</v>
      </c>
      <c r="F168" t="s">
        <v>471</v>
      </c>
      <c r="G168">
        <v>1.826623807454254</v>
      </c>
      <c r="H168">
        <v>37.266228024183221</v>
      </c>
      <c r="I168" t="s">
        <v>469</v>
      </c>
      <c r="J168" t="s">
        <v>468</v>
      </c>
      <c r="K168">
        <v>5</v>
      </c>
    </row>
    <row r="169" spans="1:11" x14ac:dyDescent="0.25">
      <c r="A169" t="s">
        <v>563</v>
      </c>
      <c r="B169">
        <v>467.82450770534331</v>
      </c>
      <c r="C169">
        <v>29.673720669384704</v>
      </c>
      <c r="D169">
        <v>1</v>
      </c>
      <c r="E169">
        <v>2050</v>
      </c>
      <c r="F169" t="s">
        <v>471</v>
      </c>
      <c r="G169">
        <v>1.826623807454254</v>
      </c>
      <c r="H169">
        <v>37.266228024183221</v>
      </c>
      <c r="I169" t="s">
        <v>469</v>
      </c>
      <c r="J169" t="s">
        <v>468</v>
      </c>
      <c r="K169">
        <v>6</v>
      </c>
    </row>
    <row r="170" spans="1:11" x14ac:dyDescent="0.25">
      <c r="A170" t="s">
        <v>557</v>
      </c>
      <c r="B170">
        <v>354.38889026219789</v>
      </c>
      <c r="C170">
        <v>23.689540094232086</v>
      </c>
      <c r="D170">
        <v>1</v>
      </c>
      <c r="E170">
        <v>2035</v>
      </c>
      <c r="F170" t="s">
        <v>472</v>
      </c>
      <c r="G170">
        <v>0.41766743364402714</v>
      </c>
      <c r="H170">
        <v>30.202061046723799</v>
      </c>
      <c r="I170" t="s">
        <v>466</v>
      </c>
      <c r="J170" t="s">
        <v>467</v>
      </c>
      <c r="K170">
        <v>0</v>
      </c>
    </row>
    <row r="171" spans="1:11" x14ac:dyDescent="0.25">
      <c r="A171" t="s">
        <v>558</v>
      </c>
      <c r="B171">
        <v>496.02171136973692</v>
      </c>
      <c r="C171">
        <v>33.628306203215892</v>
      </c>
      <c r="D171">
        <v>1</v>
      </c>
      <c r="E171">
        <v>2035</v>
      </c>
      <c r="F171" t="s">
        <v>472</v>
      </c>
      <c r="G171">
        <v>0.41766743364402714</v>
      </c>
      <c r="H171">
        <v>30.202061046723799</v>
      </c>
      <c r="I171" t="s">
        <v>466</v>
      </c>
      <c r="J171" t="s">
        <v>467</v>
      </c>
      <c r="K171">
        <v>1</v>
      </c>
    </row>
    <row r="172" spans="1:11" x14ac:dyDescent="0.25">
      <c r="A172" t="s">
        <v>559</v>
      </c>
      <c r="B172">
        <v>624.69453226484859</v>
      </c>
      <c r="C172">
        <v>38.887994025778333</v>
      </c>
      <c r="D172">
        <v>1</v>
      </c>
      <c r="E172">
        <v>2035</v>
      </c>
      <c r="F172" t="s">
        <v>472</v>
      </c>
      <c r="G172">
        <v>0.41766743364402714</v>
      </c>
      <c r="H172">
        <v>30.202061046723799</v>
      </c>
      <c r="I172" t="s">
        <v>466</v>
      </c>
      <c r="J172" t="s">
        <v>467</v>
      </c>
      <c r="K172">
        <v>2</v>
      </c>
    </row>
    <row r="173" spans="1:11" x14ac:dyDescent="0.25">
      <c r="A173" t="s">
        <v>560</v>
      </c>
      <c r="B173">
        <v>538.41082919645055</v>
      </c>
      <c r="C173">
        <v>35.320356441057328</v>
      </c>
      <c r="D173">
        <v>1</v>
      </c>
      <c r="E173">
        <v>2035</v>
      </c>
      <c r="F173" t="s">
        <v>472</v>
      </c>
      <c r="G173">
        <v>0.41766743364402714</v>
      </c>
      <c r="H173">
        <v>30.202061046723799</v>
      </c>
      <c r="I173" t="s">
        <v>466</v>
      </c>
      <c r="J173" t="s">
        <v>467</v>
      </c>
      <c r="K173">
        <v>3</v>
      </c>
    </row>
    <row r="174" spans="1:11" x14ac:dyDescent="0.25">
      <c r="A174" t="s">
        <v>561</v>
      </c>
      <c r="B174">
        <v>500.6536305012994</v>
      </c>
      <c r="C174">
        <v>33.831086766395927</v>
      </c>
      <c r="D174">
        <v>1</v>
      </c>
      <c r="E174">
        <v>2035</v>
      </c>
      <c r="F174" t="s">
        <v>472</v>
      </c>
      <c r="G174">
        <v>0.41766743364402714</v>
      </c>
      <c r="H174">
        <v>30.202061046723799</v>
      </c>
      <c r="I174" t="s">
        <v>466</v>
      </c>
      <c r="J174" t="s">
        <v>467</v>
      </c>
      <c r="K174">
        <v>4</v>
      </c>
    </row>
    <row r="175" spans="1:11" x14ac:dyDescent="0.25">
      <c r="A175" t="s">
        <v>562</v>
      </c>
      <c r="B175">
        <v>572.48093162142698</v>
      </c>
      <c r="C175">
        <v>36.389197525251099</v>
      </c>
      <c r="D175">
        <v>1</v>
      </c>
      <c r="E175">
        <v>2035</v>
      </c>
      <c r="F175" t="s">
        <v>472</v>
      </c>
      <c r="G175">
        <v>0.41766743364402714</v>
      </c>
      <c r="H175">
        <v>30.202061046723799</v>
      </c>
      <c r="I175" t="s">
        <v>466</v>
      </c>
      <c r="J175" t="s">
        <v>467</v>
      </c>
      <c r="K175">
        <v>5</v>
      </c>
    </row>
    <row r="176" spans="1:11" x14ac:dyDescent="0.25">
      <c r="A176" t="s">
        <v>563</v>
      </c>
      <c r="B176">
        <v>565.28990680612719</v>
      </c>
      <c r="C176">
        <v>37.129083076525049</v>
      </c>
      <c r="D176">
        <v>1</v>
      </c>
      <c r="E176">
        <v>2035</v>
      </c>
      <c r="F176" t="s">
        <v>472</v>
      </c>
      <c r="G176">
        <v>0.41766743364402714</v>
      </c>
      <c r="H176">
        <v>30.202061046723799</v>
      </c>
      <c r="I176" t="s">
        <v>466</v>
      </c>
      <c r="J176" t="s">
        <v>467</v>
      </c>
      <c r="K176">
        <v>6</v>
      </c>
    </row>
    <row r="177" spans="1:11" x14ac:dyDescent="0.25">
      <c r="A177" t="s">
        <v>557</v>
      </c>
      <c r="B177">
        <v>377.07506148136332</v>
      </c>
      <c r="C177">
        <v>25.566808013944215</v>
      </c>
      <c r="D177">
        <v>1</v>
      </c>
      <c r="E177">
        <v>2035</v>
      </c>
      <c r="F177" t="s">
        <v>472</v>
      </c>
      <c r="G177">
        <v>1.5301400800069473</v>
      </c>
      <c r="H177">
        <v>30.275057759078408</v>
      </c>
      <c r="I177" t="s">
        <v>466</v>
      </c>
      <c r="J177" t="s">
        <v>468</v>
      </c>
      <c r="K177">
        <v>0</v>
      </c>
    </row>
    <row r="178" spans="1:11" x14ac:dyDescent="0.25">
      <c r="A178" t="s">
        <v>558</v>
      </c>
      <c r="B178">
        <v>471.48408703320064</v>
      </c>
      <c r="C178">
        <v>33.211289953895246</v>
      </c>
      <c r="D178">
        <v>1</v>
      </c>
      <c r="E178">
        <v>2035</v>
      </c>
      <c r="F178" t="s">
        <v>472</v>
      </c>
      <c r="G178">
        <v>1.5301400800069473</v>
      </c>
      <c r="H178">
        <v>30.275057759078408</v>
      </c>
      <c r="I178" t="s">
        <v>466</v>
      </c>
      <c r="J178" t="s">
        <v>468</v>
      </c>
      <c r="K178">
        <v>1</v>
      </c>
    </row>
    <row r="179" spans="1:11" x14ac:dyDescent="0.25">
      <c r="A179" t="s">
        <v>559</v>
      </c>
      <c r="B179">
        <v>611.17836064820062</v>
      </c>
      <c r="C179">
        <v>35.867718497464949</v>
      </c>
      <c r="D179">
        <v>1</v>
      </c>
      <c r="E179">
        <v>2035</v>
      </c>
      <c r="F179" t="s">
        <v>472</v>
      </c>
      <c r="G179">
        <v>1.5301400800069473</v>
      </c>
      <c r="H179">
        <v>30.275057759078408</v>
      </c>
      <c r="I179" t="s">
        <v>466</v>
      </c>
      <c r="J179" t="s">
        <v>468</v>
      </c>
      <c r="K179">
        <v>2</v>
      </c>
    </row>
    <row r="180" spans="1:11" x14ac:dyDescent="0.25">
      <c r="A180" t="s">
        <v>560</v>
      </c>
      <c r="B180">
        <v>547.92428848139559</v>
      </c>
      <c r="C180">
        <v>32.98236201312757</v>
      </c>
      <c r="D180">
        <v>1</v>
      </c>
      <c r="E180">
        <v>2035</v>
      </c>
      <c r="F180" t="s">
        <v>472</v>
      </c>
      <c r="G180">
        <v>1.5301400800069473</v>
      </c>
      <c r="H180">
        <v>30.275057759078408</v>
      </c>
      <c r="I180" t="s">
        <v>466</v>
      </c>
      <c r="J180" t="s">
        <v>468</v>
      </c>
      <c r="K180">
        <v>3</v>
      </c>
    </row>
    <row r="181" spans="1:11" x14ac:dyDescent="0.25">
      <c r="A181" t="s">
        <v>561</v>
      </c>
      <c r="B181">
        <v>516.19388284051354</v>
      </c>
      <c r="C181">
        <v>34.293524126613335</v>
      </c>
      <c r="D181">
        <v>1</v>
      </c>
      <c r="E181">
        <v>2035</v>
      </c>
      <c r="F181" t="s">
        <v>472</v>
      </c>
      <c r="G181">
        <v>1.5301400800069473</v>
      </c>
      <c r="H181">
        <v>30.275057759078408</v>
      </c>
      <c r="I181" t="s">
        <v>466</v>
      </c>
      <c r="J181" t="s">
        <v>468</v>
      </c>
      <c r="K181">
        <v>4</v>
      </c>
    </row>
    <row r="182" spans="1:11" x14ac:dyDescent="0.25">
      <c r="A182" t="s">
        <v>562</v>
      </c>
      <c r="B182">
        <v>620.34537288142394</v>
      </c>
      <c r="C182">
        <v>36.170535124674188</v>
      </c>
      <c r="D182">
        <v>1</v>
      </c>
      <c r="E182">
        <v>2035</v>
      </c>
      <c r="F182" t="s">
        <v>472</v>
      </c>
      <c r="G182">
        <v>1.5301400800069473</v>
      </c>
      <c r="H182">
        <v>30.275057759078408</v>
      </c>
      <c r="I182" t="s">
        <v>466</v>
      </c>
      <c r="J182" t="s">
        <v>468</v>
      </c>
      <c r="K182">
        <v>5</v>
      </c>
    </row>
    <row r="183" spans="1:11" x14ac:dyDescent="0.25">
      <c r="A183" t="s">
        <v>563</v>
      </c>
      <c r="B183">
        <v>570.35908719881695</v>
      </c>
      <c r="C183">
        <v>34.896621350694545</v>
      </c>
      <c r="D183">
        <v>1</v>
      </c>
      <c r="E183">
        <v>2035</v>
      </c>
      <c r="F183" t="s">
        <v>472</v>
      </c>
      <c r="G183">
        <v>1.5301400800069473</v>
      </c>
      <c r="H183">
        <v>30.275057759078408</v>
      </c>
      <c r="I183" t="s">
        <v>466</v>
      </c>
      <c r="J183" t="s">
        <v>468</v>
      </c>
      <c r="K183">
        <v>6</v>
      </c>
    </row>
    <row r="184" spans="1:11" x14ac:dyDescent="0.25">
      <c r="A184" t="s">
        <v>557</v>
      </c>
      <c r="B184">
        <v>391.83134430229438</v>
      </c>
      <c r="C184">
        <v>26.122597836214243</v>
      </c>
      <c r="D184">
        <v>1</v>
      </c>
      <c r="E184">
        <v>2035</v>
      </c>
      <c r="F184" t="s">
        <v>472</v>
      </c>
      <c r="G184">
        <v>0.41766743364404574</v>
      </c>
      <c r="H184">
        <v>36.570381363017304</v>
      </c>
      <c r="I184" t="s">
        <v>469</v>
      </c>
      <c r="J184" t="s">
        <v>467</v>
      </c>
      <c r="K184">
        <v>0</v>
      </c>
    </row>
    <row r="185" spans="1:11" x14ac:dyDescent="0.25">
      <c r="A185" t="s">
        <v>558</v>
      </c>
      <c r="B185">
        <v>525.37910403890305</v>
      </c>
      <c r="C185">
        <v>35.200112987450183</v>
      </c>
      <c r="D185">
        <v>1</v>
      </c>
      <c r="E185">
        <v>2035</v>
      </c>
      <c r="F185" t="s">
        <v>472</v>
      </c>
      <c r="G185">
        <v>0.41766743364404574</v>
      </c>
      <c r="H185">
        <v>36.570381363017304</v>
      </c>
      <c r="I185" t="s">
        <v>469</v>
      </c>
      <c r="J185" t="s">
        <v>467</v>
      </c>
      <c r="K185">
        <v>1</v>
      </c>
    </row>
    <row r="186" spans="1:11" x14ac:dyDescent="0.25">
      <c r="A186" t="s">
        <v>559</v>
      </c>
      <c r="B186">
        <v>643.98301483920989</v>
      </c>
      <c r="C186">
        <v>37.668823376854611</v>
      </c>
      <c r="D186">
        <v>1</v>
      </c>
      <c r="E186">
        <v>2035</v>
      </c>
      <c r="F186" t="s">
        <v>472</v>
      </c>
      <c r="G186">
        <v>0.41766743364404574</v>
      </c>
      <c r="H186">
        <v>36.570381363017304</v>
      </c>
      <c r="I186" t="s">
        <v>469</v>
      </c>
      <c r="J186" t="s">
        <v>467</v>
      </c>
      <c r="K186">
        <v>2</v>
      </c>
    </row>
    <row r="187" spans="1:11" x14ac:dyDescent="0.25">
      <c r="A187" t="s">
        <v>560</v>
      </c>
      <c r="B187">
        <v>571.7764498222557</v>
      </c>
      <c r="C187">
        <v>34.683858483956378</v>
      </c>
      <c r="D187">
        <v>1</v>
      </c>
      <c r="E187">
        <v>2035</v>
      </c>
      <c r="F187" t="s">
        <v>472</v>
      </c>
      <c r="G187">
        <v>0.41766743364404574</v>
      </c>
      <c r="H187">
        <v>36.570381363017304</v>
      </c>
      <c r="I187" t="s">
        <v>469</v>
      </c>
      <c r="J187" t="s">
        <v>467</v>
      </c>
      <c r="K187">
        <v>3</v>
      </c>
    </row>
    <row r="188" spans="1:11" x14ac:dyDescent="0.25">
      <c r="A188" t="s">
        <v>561</v>
      </c>
      <c r="B188">
        <v>538.72031822514907</v>
      </c>
      <c r="C188">
        <v>34.177632510152598</v>
      </c>
      <c r="D188">
        <v>1</v>
      </c>
      <c r="E188">
        <v>2035</v>
      </c>
      <c r="F188" t="s">
        <v>472</v>
      </c>
      <c r="G188">
        <v>0.41766743364404574</v>
      </c>
      <c r="H188">
        <v>36.570381363017304</v>
      </c>
      <c r="I188" t="s">
        <v>469</v>
      </c>
      <c r="J188" t="s">
        <v>467</v>
      </c>
      <c r="K188">
        <v>4</v>
      </c>
    </row>
    <row r="189" spans="1:11" x14ac:dyDescent="0.25">
      <c r="A189" t="s">
        <v>562</v>
      </c>
      <c r="B189">
        <v>671.12812817255929</v>
      </c>
      <c r="C189">
        <v>39.250902392579022</v>
      </c>
      <c r="D189">
        <v>1</v>
      </c>
      <c r="E189">
        <v>2035</v>
      </c>
      <c r="F189" t="s">
        <v>472</v>
      </c>
      <c r="G189">
        <v>0.41766743364404574</v>
      </c>
      <c r="H189">
        <v>36.570381363017304</v>
      </c>
      <c r="I189" t="s">
        <v>469</v>
      </c>
      <c r="J189" t="s">
        <v>467</v>
      </c>
      <c r="K189">
        <v>5</v>
      </c>
    </row>
    <row r="190" spans="1:11" x14ac:dyDescent="0.25">
      <c r="A190" t="s">
        <v>563</v>
      </c>
      <c r="B190">
        <v>555.84166666481246</v>
      </c>
      <c r="C190">
        <v>34.079825742704863</v>
      </c>
      <c r="D190">
        <v>1</v>
      </c>
      <c r="E190">
        <v>2035</v>
      </c>
      <c r="F190" t="s">
        <v>472</v>
      </c>
      <c r="G190">
        <v>0.41766743364404574</v>
      </c>
      <c r="H190">
        <v>36.570381363017304</v>
      </c>
      <c r="I190" t="s">
        <v>469</v>
      </c>
      <c r="J190" t="s">
        <v>467</v>
      </c>
      <c r="K190">
        <v>6</v>
      </c>
    </row>
    <row r="191" spans="1:11" x14ac:dyDescent="0.25">
      <c r="A191" t="s">
        <v>557</v>
      </c>
      <c r="B191">
        <v>398.11876218274585</v>
      </c>
      <c r="C191">
        <v>26.826552095729895</v>
      </c>
      <c r="D191">
        <v>1</v>
      </c>
      <c r="E191">
        <v>2035</v>
      </c>
      <c r="F191" t="s">
        <v>472</v>
      </c>
      <c r="G191">
        <v>1.5301400799723615</v>
      </c>
      <c r="H191">
        <v>36.577104976040147</v>
      </c>
      <c r="I191" t="s">
        <v>469</v>
      </c>
      <c r="J191" t="s">
        <v>468</v>
      </c>
      <c r="K191">
        <v>0</v>
      </c>
    </row>
    <row r="192" spans="1:11" x14ac:dyDescent="0.25">
      <c r="A192" t="s">
        <v>558</v>
      </c>
      <c r="B192">
        <v>477.84175843455159</v>
      </c>
      <c r="C192">
        <v>33.17566529345379</v>
      </c>
      <c r="D192">
        <v>1</v>
      </c>
      <c r="E192">
        <v>2035</v>
      </c>
      <c r="F192" t="s">
        <v>472</v>
      </c>
      <c r="G192">
        <v>1.5301400799723615</v>
      </c>
      <c r="H192">
        <v>36.577104976040147</v>
      </c>
      <c r="I192" t="s">
        <v>469</v>
      </c>
      <c r="J192" t="s">
        <v>468</v>
      </c>
      <c r="K192">
        <v>1</v>
      </c>
    </row>
    <row r="193" spans="1:11" x14ac:dyDescent="0.25">
      <c r="A193" t="s">
        <v>559</v>
      </c>
      <c r="B193">
        <v>621.40482747613328</v>
      </c>
      <c r="C193">
        <v>33.232275103266076</v>
      </c>
      <c r="D193">
        <v>1</v>
      </c>
      <c r="E193">
        <v>2035</v>
      </c>
      <c r="F193" t="s">
        <v>472</v>
      </c>
      <c r="G193">
        <v>1.5301400799723615</v>
      </c>
      <c r="H193">
        <v>36.577104976040147</v>
      </c>
      <c r="I193" t="s">
        <v>469</v>
      </c>
      <c r="J193" t="s">
        <v>468</v>
      </c>
      <c r="K193">
        <v>2</v>
      </c>
    </row>
    <row r="194" spans="1:11" x14ac:dyDescent="0.25">
      <c r="A194" t="s">
        <v>560</v>
      </c>
      <c r="B194">
        <v>510.22591746900252</v>
      </c>
      <c r="C194">
        <v>32.427017885518637</v>
      </c>
      <c r="D194">
        <v>1</v>
      </c>
      <c r="E194">
        <v>2035</v>
      </c>
      <c r="F194" t="s">
        <v>472</v>
      </c>
      <c r="G194">
        <v>1.5301400799723615</v>
      </c>
      <c r="H194">
        <v>36.577104976040147</v>
      </c>
      <c r="I194" t="s">
        <v>469</v>
      </c>
      <c r="J194" t="s">
        <v>468</v>
      </c>
      <c r="K194">
        <v>3</v>
      </c>
    </row>
    <row r="195" spans="1:11" x14ac:dyDescent="0.25">
      <c r="A195" t="s">
        <v>561</v>
      </c>
      <c r="B195">
        <v>525.06609751618998</v>
      </c>
      <c r="C195">
        <v>34.669515391064593</v>
      </c>
      <c r="D195">
        <v>1</v>
      </c>
      <c r="E195">
        <v>2035</v>
      </c>
      <c r="F195" t="s">
        <v>472</v>
      </c>
      <c r="G195">
        <v>1.5301400799723615</v>
      </c>
      <c r="H195">
        <v>36.577104976040147</v>
      </c>
      <c r="I195" t="s">
        <v>469</v>
      </c>
      <c r="J195" t="s">
        <v>468</v>
      </c>
      <c r="K195">
        <v>4</v>
      </c>
    </row>
    <row r="196" spans="1:11" x14ac:dyDescent="0.25">
      <c r="A196" t="s">
        <v>562</v>
      </c>
      <c r="B196">
        <v>664.44001147953009</v>
      </c>
      <c r="C196">
        <v>36.291835109955485</v>
      </c>
      <c r="D196">
        <v>1</v>
      </c>
      <c r="E196">
        <v>2035</v>
      </c>
      <c r="F196" t="s">
        <v>472</v>
      </c>
      <c r="G196">
        <v>1.5301400799723615</v>
      </c>
      <c r="H196">
        <v>36.577104976040147</v>
      </c>
      <c r="I196" t="s">
        <v>469</v>
      </c>
      <c r="J196" t="s">
        <v>468</v>
      </c>
      <c r="K196">
        <v>5</v>
      </c>
    </row>
    <row r="197" spans="1:11" x14ac:dyDescent="0.25">
      <c r="A197" t="s">
        <v>563</v>
      </c>
      <c r="B197">
        <v>556.02483647471058</v>
      </c>
      <c r="C197">
        <v>32.300783568571994</v>
      </c>
      <c r="D197">
        <v>1</v>
      </c>
      <c r="E197">
        <v>2035</v>
      </c>
      <c r="F197" t="s">
        <v>472</v>
      </c>
      <c r="G197">
        <v>1.5301400799723615</v>
      </c>
      <c r="H197">
        <v>36.577104976040147</v>
      </c>
      <c r="I197" t="s">
        <v>469</v>
      </c>
      <c r="J197" t="s">
        <v>468</v>
      </c>
      <c r="K197">
        <v>6</v>
      </c>
    </row>
    <row r="198" spans="1:11" x14ac:dyDescent="0.25">
      <c r="A198" t="s">
        <v>557</v>
      </c>
      <c r="B198">
        <v>450.05732695477769</v>
      </c>
      <c r="C198">
        <v>29.179658066954435</v>
      </c>
      <c r="D198">
        <v>1</v>
      </c>
      <c r="E198">
        <v>2050</v>
      </c>
      <c r="F198" t="s">
        <v>472</v>
      </c>
      <c r="G198">
        <v>0.37215242569519802</v>
      </c>
      <c r="H198">
        <v>28.28190546010029</v>
      </c>
      <c r="I198" t="s">
        <v>466</v>
      </c>
      <c r="J198" t="s">
        <v>467</v>
      </c>
      <c r="K198">
        <v>0</v>
      </c>
    </row>
    <row r="199" spans="1:11" x14ac:dyDescent="0.25">
      <c r="A199" t="s">
        <v>558</v>
      </c>
      <c r="B199">
        <v>532.55744883877719</v>
      </c>
      <c r="C199">
        <v>34.116058676979527</v>
      </c>
      <c r="D199">
        <v>1</v>
      </c>
      <c r="E199">
        <v>2050</v>
      </c>
      <c r="F199" t="s">
        <v>472</v>
      </c>
      <c r="G199">
        <v>0.37215242569519802</v>
      </c>
      <c r="H199">
        <v>28.28190546010029</v>
      </c>
      <c r="I199" t="s">
        <v>466</v>
      </c>
      <c r="J199" t="s">
        <v>467</v>
      </c>
      <c r="K199">
        <v>1</v>
      </c>
    </row>
    <row r="200" spans="1:11" x14ac:dyDescent="0.25">
      <c r="A200" t="s">
        <v>559</v>
      </c>
      <c r="B200">
        <v>612.3217759957015</v>
      </c>
      <c r="C200">
        <v>36.207454789151214</v>
      </c>
      <c r="D200">
        <v>1</v>
      </c>
      <c r="E200">
        <v>2050</v>
      </c>
      <c r="F200" t="s">
        <v>472</v>
      </c>
      <c r="G200">
        <v>0.37215242569519802</v>
      </c>
      <c r="H200">
        <v>28.28190546010029</v>
      </c>
      <c r="I200" t="s">
        <v>466</v>
      </c>
      <c r="J200" t="s">
        <v>467</v>
      </c>
      <c r="K200">
        <v>2</v>
      </c>
    </row>
    <row r="201" spans="1:11" x14ac:dyDescent="0.25">
      <c r="A201" t="s">
        <v>560</v>
      </c>
      <c r="B201">
        <v>557.13882511080874</v>
      </c>
      <c r="C201">
        <v>33.572114799324666</v>
      </c>
      <c r="D201">
        <v>1</v>
      </c>
      <c r="E201">
        <v>2050</v>
      </c>
      <c r="F201" t="s">
        <v>472</v>
      </c>
      <c r="G201">
        <v>0.37215242569519802</v>
      </c>
      <c r="H201">
        <v>28.28190546010029</v>
      </c>
      <c r="I201" t="s">
        <v>466</v>
      </c>
      <c r="J201" t="s">
        <v>467</v>
      </c>
      <c r="K201">
        <v>3</v>
      </c>
    </row>
    <row r="202" spans="1:11" x14ac:dyDescent="0.25">
      <c r="A202" t="s">
        <v>561</v>
      </c>
      <c r="B202">
        <v>543.85517761839242</v>
      </c>
      <c r="C202">
        <v>33.466494628038056</v>
      </c>
      <c r="D202">
        <v>1</v>
      </c>
      <c r="E202">
        <v>2050</v>
      </c>
      <c r="F202" t="s">
        <v>472</v>
      </c>
      <c r="G202">
        <v>0.37215242569519802</v>
      </c>
      <c r="H202">
        <v>28.28190546010029</v>
      </c>
      <c r="I202" t="s">
        <v>466</v>
      </c>
      <c r="J202" t="s">
        <v>467</v>
      </c>
      <c r="K202">
        <v>4</v>
      </c>
    </row>
    <row r="203" spans="1:11" x14ac:dyDescent="0.25">
      <c r="A203" t="s">
        <v>562</v>
      </c>
      <c r="B203">
        <v>610.1063847167228</v>
      </c>
      <c r="C203">
        <v>36.892276045261966</v>
      </c>
      <c r="D203">
        <v>1</v>
      </c>
      <c r="E203">
        <v>2050</v>
      </c>
      <c r="F203" t="s">
        <v>472</v>
      </c>
      <c r="G203">
        <v>0.37215242569519802</v>
      </c>
      <c r="H203">
        <v>28.28190546010029</v>
      </c>
      <c r="I203" t="s">
        <v>466</v>
      </c>
      <c r="J203" t="s">
        <v>467</v>
      </c>
      <c r="K203">
        <v>5</v>
      </c>
    </row>
    <row r="204" spans="1:11" x14ac:dyDescent="0.25">
      <c r="A204" t="s">
        <v>563</v>
      </c>
      <c r="B204">
        <v>589.35824242138142</v>
      </c>
      <c r="C204">
        <v>35.811803978021622</v>
      </c>
      <c r="D204">
        <v>1</v>
      </c>
      <c r="E204">
        <v>2050</v>
      </c>
      <c r="F204" t="s">
        <v>472</v>
      </c>
      <c r="G204">
        <v>0.37215242569519802</v>
      </c>
      <c r="H204">
        <v>28.28190546010029</v>
      </c>
      <c r="I204" t="s">
        <v>466</v>
      </c>
      <c r="J204" t="s">
        <v>467</v>
      </c>
      <c r="K204">
        <v>6</v>
      </c>
    </row>
    <row r="205" spans="1:11" x14ac:dyDescent="0.25">
      <c r="A205" t="s">
        <v>557</v>
      </c>
      <c r="B205">
        <v>327.25837743129819</v>
      </c>
      <c r="C205">
        <v>22.017238671634356</v>
      </c>
      <c r="D205">
        <v>1</v>
      </c>
      <c r="E205">
        <v>2050</v>
      </c>
      <c r="F205" t="s">
        <v>472</v>
      </c>
      <c r="G205">
        <v>1.8266228074521575</v>
      </c>
      <c r="H205">
        <v>28.216846356654827</v>
      </c>
      <c r="I205" t="s">
        <v>466</v>
      </c>
      <c r="J205" t="s">
        <v>468</v>
      </c>
      <c r="K205">
        <v>0</v>
      </c>
    </row>
    <row r="206" spans="1:11" x14ac:dyDescent="0.25">
      <c r="A206" t="s">
        <v>558</v>
      </c>
      <c r="B206">
        <v>503.07191093041723</v>
      </c>
      <c r="C206">
        <v>34.091873241902888</v>
      </c>
      <c r="D206">
        <v>1</v>
      </c>
      <c r="E206">
        <v>2050</v>
      </c>
      <c r="F206" t="s">
        <v>472</v>
      </c>
      <c r="G206">
        <v>1.8266228074521575</v>
      </c>
      <c r="H206">
        <v>28.216846356654827</v>
      </c>
      <c r="I206" t="s">
        <v>466</v>
      </c>
      <c r="J206" t="s">
        <v>468</v>
      </c>
      <c r="K206">
        <v>1</v>
      </c>
    </row>
    <row r="207" spans="1:11" x14ac:dyDescent="0.25">
      <c r="A207" t="s">
        <v>559</v>
      </c>
      <c r="B207">
        <v>635.78884001250492</v>
      </c>
      <c r="C207">
        <v>38.562850883613173</v>
      </c>
      <c r="D207">
        <v>1</v>
      </c>
      <c r="E207">
        <v>2050</v>
      </c>
      <c r="F207" t="s">
        <v>472</v>
      </c>
      <c r="G207">
        <v>1.8266228074521575</v>
      </c>
      <c r="H207">
        <v>28.216846356654827</v>
      </c>
      <c r="I207" t="s">
        <v>466</v>
      </c>
      <c r="J207" t="s">
        <v>468</v>
      </c>
      <c r="K207">
        <v>2</v>
      </c>
    </row>
    <row r="208" spans="1:11" x14ac:dyDescent="0.25">
      <c r="A208" t="s">
        <v>560</v>
      </c>
      <c r="B208">
        <v>529.86824520649975</v>
      </c>
      <c r="C208">
        <v>33.343595523212741</v>
      </c>
      <c r="D208">
        <v>1</v>
      </c>
      <c r="E208">
        <v>2050</v>
      </c>
      <c r="F208" t="s">
        <v>472</v>
      </c>
      <c r="G208">
        <v>1.8266228074521575</v>
      </c>
      <c r="H208">
        <v>28.216846356654827</v>
      </c>
      <c r="I208" t="s">
        <v>466</v>
      </c>
      <c r="J208" t="s">
        <v>468</v>
      </c>
      <c r="K208">
        <v>3</v>
      </c>
    </row>
    <row r="209" spans="1:11" x14ac:dyDescent="0.25">
      <c r="A209" t="s">
        <v>561</v>
      </c>
      <c r="B209">
        <v>488.42498593753027</v>
      </c>
      <c r="C209">
        <v>32.194679711678937</v>
      </c>
      <c r="D209">
        <v>1</v>
      </c>
      <c r="E209">
        <v>2050</v>
      </c>
      <c r="F209" t="s">
        <v>472</v>
      </c>
      <c r="G209">
        <v>1.8266228074521575</v>
      </c>
      <c r="H209">
        <v>28.216846356654827</v>
      </c>
      <c r="I209" t="s">
        <v>466</v>
      </c>
      <c r="J209" t="s">
        <v>468</v>
      </c>
      <c r="K209">
        <v>4</v>
      </c>
    </row>
    <row r="210" spans="1:11" x14ac:dyDescent="0.25">
      <c r="A210" t="s">
        <v>562</v>
      </c>
      <c r="B210">
        <v>584.03481978918717</v>
      </c>
      <c r="C210">
        <v>36.157095896831933</v>
      </c>
      <c r="D210">
        <v>1</v>
      </c>
      <c r="E210">
        <v>2050</v>
      </c>
      <c r="F210" t="s">
        <v>472</v>
      </c>
      <c r="G210">
        <v>1.8266228074521575</v>
      </c>
      <c r="H210">
        <v>28.216846356654827</v>
      </c>
      <c r="I210" t="s">
        <v>466</v>
      </c>
      <c r="J210" t="s">
        <v>468</v>
      </c>
      <c r="K210">
        <v>5</v>
      </c>
    </row>
    <row r="211" spans="1:11" x14ac:dyDescent="0.25">
      <c r="A211" t="s">
        <v>563</v>
      </c>
      <c r="B211">
        <v>542.92179373886199</v>
      </c>
      <c r="C211">
        <v>35.398270703993134</v>
      </c>
      <c r="D211">
        <v>1</v>
      </c>
      <c r="E211">
        <v>2050</v>
      </c>
      <c r="F211" t="s">
        <v>472</v>
      </c>
      <c r="G211">
        <v>1.8266228074521575</v>
      </c>
      <c r="H211">
        <v>28.216846356654827</v>
      </c>
      <c r="I211" t="s">
        <v>466</v>
      </c>
      <c r="J211" t="s">
        <v>468</v>
      </c>
      <c r="K211">
        <v>6</v>
      </c>
    </row>
    <row r="212" spans="1:11" x14ac:dyDescent="0.25">
      <c r="A212" t="s">
        <v>557</v>
      </c>
      <c r="B212">
        <v>428.60336077366497</v>
      </c>
      <c r="C212">
        <v>28.434989761116896</v>
      </c>
      <c r="D212">
        <v>1</v>
      </c>
      <c r="E212">
        <v>2050</v>
      </c>
      <c r="F212" t="s">
        <v>472</v>
      </c>
      <c r="G212">
        <v>0.27799492561791611</v>
      </c>
      <c r="H212">
        <v>37.291776884561301</v>
      </c>
      <c r="I212" t="s">
        <v>469</v>
      </c>
      <c r="J212" t="s">
        <v>467</v>
      </c>
      <c r="K212">
        <v>0</v>
      </c>
    </row>
    <row r="213" spans="1:11" x14ac:dyDescent="0.25">
      <c r="A213" t="s">
        <v>558</v>
      </c>
      <c r="B213">
        <v>507.37047312086463</v>
      </c>
      <c r="C213">
        <v>33.504371099624237</v>
      </c>
      <c r="D213">
        <v>1</v>
      </c>
      <c r="E213">
        <v>2050</v>
      </c>
      <c r="F213" t="s">
        <v>472</v>
      </c>
      <c r="G213">
        <v>0.27799492561791611</v>
      </c>
      <c r="H213">
        <v>37.291776884561301</v>
      </c>
      <c r="I213" t="s">
        <v>469</v>
      </c>
      <c r="J213" t="s">
        <v>467</v>
      </c>
      <c r="K213">
        <v>1</v>
      </c>
    </row>
    <row r="214" spans="1:11" x14ac:dyDescent="0.25">
      <c r="A214" t="s">
        <v>559</v>
      </c>
      <c r="B214">
        <v>643.00031774341915</v>
      </c>
      <c r="C214">
        <v>36.602295546640136</v>
      </c>
      <c r="D214">
        <v>1</v>
      </c>
      <c r="E214">
        <v>2050</v>
      </c>
      <c r="F214" t="s">
        <v>472</v>
      </c>
      <c r="G214">
        <v>0.27799492561791611</v>
      </c>
      <c r="H214">
        <v>37.291776884561301</v>
      </c>
      <c r="I214" t="s">
        <v>469</v>
      </c>
      <c r="J214" t="s">
        <v>467</v>
      </c>
      <c r="K214">
        <v>2</v>
      </c>
    </row>
    <row r="215" spans="1:11" x14ac:dyDescent="0.25">
      <c r="A215" t="s">
        <v>560</v>
      </c>
      <c r="B215">
        <v>518.7453537915751</v>
      </c>
      <c r="C215">
        <v>31.683275276209034</v>
      </c>
      <c r="D215">
        <v>1</v>
      </c>
      <c r="E215">
        <v>2050</v>
      </c>
      <c r="F215" t="s">
        <v>472</v>
      </c>
      <c r="G215">
        <v>0.27799492561791611</v>
      </c>
      <c r="H215">
        <v>37.291776884561301</v>
      </c>
      <c r="I215" t="s">
        <v>469</v>
      </c>
      <c r="J215" t="s">
        <v>467</v>
      </c>
      <c r="K215">
        <v>3</v>
      </c>
    </row>
    <row r="216" spans="1:11" x14ac:dyDescent="0.25">
      <c r="A216" t="s">
        <v>561</v>
      </c>
      <c r="B216">
        <v>509.59995741934745</v>
      </c>
      <c r="C216">
        <v>32.245893315573475</v>
      </c>
      <c r="D216">
        <v>1</v>
      </c>
      <c r="E216">
        <v>2050</v>
      </c>
      <c r="F216" t="s">
        <v>472</v>
      </c>
      <c r="G216">
        <v>0.27799492561791611</v>
      </c>
      <c r="H216">
        <v>37.291776884561301</v>
      </c>
      <c r="I216" t="s">
        <v>469</v>
      </c>
      <c r="J216" t="s">
        <v>467</v>
      </c>
      <c r="K216">
        <v>4</v>
      </c>
    </row>
    <row r="217" spans="1:11" x14ac:dyDescent="0.25">
      <c r="A217" t="s">
        <v>562</v>
      </c>
      <c r="B217">
        <v>637.99087366004449</v>
      </c>
      <c r="C217">
        <v>38.098963040715169</v>
      </c>
      <c r="D217">
        <v>1</v>
      </c>
      <c r="E217">
        <v>2050</v>
      </c>
      <c r="F217" t="s">
        <v>472</v>
      </c>
      <c r="G217">
        <v>0.27799492561791611</v>
      </c>
      <c r="H217">
        <v>37.291776884561301</v>
      </c>
      <c r="I217" t="s">
        <v>469</v>
      </c>
      <c r="J217" t="s">
        <v>467</v>
      </c>
      <c r="K217">
        <v>5</v>
      </c>
    </row>
    <row r="218" spans="1:11" x14ac:dyDescent="0.25">
      <c r="A218" t="s">
        <v>563</v>
      </c>
      <c r="B218">
        <v>555.13601140786284</v>
      </c>
      <c r="C218">
        <v>34.198043157965046</v>
      </c>
      <c r="D218">
        <v>1</v>
      </c>
      <c r="E218">
        <v>2050</v>
      </c>
      <c r="F218" t="s">
        <v>472</v>
      </c>
      <c r="G218">
        <v>0.27799492561791611</v>
      </c>
      <c r="H218">
        <v>37.291776884561301</v>
      </c>
      <c r="I218" t="s">
        <v>469</v>
      </c>
      <c r="J218" t="s">
        <v>467</v>
      </c>
      <c r="K218">
        <v>6</v>
      </c>
    </row>
    <row r="219" spans="1:11" x14ac:dyDescent="0.25">
      <c r="A219" t="s">
        <v>557</v>
      </c>
      <c r="B219">
        <v>401.52698010084066</v>
      </c>
      <c r="C219">
        <v>26.846188218112616</v>
      </c>
      <c r="D219">
        <v>1</v>
      </c>
      <c r="E219">
        <v>2050</v>
      </c>
      <c r="F219" t="s">
        <v>472</v>
      </c>
      <c r="G219">
        <v>1.826623807454254</v>
      </c>
      <c r="H219">
        <v>37.266228024117936</v>
      </c>
      <c r="I219" t="s">
        <v>469</v>
      </c>
      <c r="J219" t="s">
        <v>468</v>
      </c>
      <c r="K219">
        <v>0</v>
      </c>
    </row>
    <row r="220" spans="1:11" x14ac:dyDescent="0.25">
      <c r="A220" t="s">
        <v>558</v>
      </c>
      <c r="B220">
        <v>474.72887275743039</v>
      </c>
      <c r="C220">
        <v>32.531118137943608</v>
      </c>
      <c r="D220">
        <v>1</v>
      </c>
      <c r="E220">
        <v>2050</v>
      </c>
      <c r="F220" t="s">
        <v>472</v>
      </c>
      <c r="G220">
        <v>1.826623807454254</v>
      </c>
      <c r="H220">
        <v>37.266228024117936</v>
      </c>
      <c r="I220" t="s">
        <v>469</v>
      </c>
      <c r="J220" t="s">
        <v>468</v>
      </c>
      <c r="K220">
        <v>1</v>
      </c>
    </row>
    <row r="221" spans="1:11" x14ac:dyDescent="0.25">
      <c r="A221" t="s">
        <v>559</v>
      </c>
      <c r="B221">
        <v>622.02235051230264</v>
      </c>
      <c r="C221">
        <v>32.846884440080039</v>
      </c>
      <c r="D221">
        <v>1</v>
      </c>
      <c r="E221">
        <v>2050</v>
      </c>
      <c r="F221" t="s">
        <v>472</v>
      </c>
      <c r="G221">
        <v>1.826623807454254</v>
      </c>
      <c r="H221">
        <v>37.266228024117936</v>
      </c>
      <c r="I221" t="s">
        <v>469</v>
      </c>
      <c r="J221" t="s">
        <v>468</v>
      </c>
      <c r="K221">
        <v>2</v>
      </c>
    </row>
    <row r="222" spans="1:11" x14ac:dyDescent="0.25">
      <c r="A222" t="s">
        <v>560</v>
      </c>
      <c r="B222">
        <v>496.94284003787681</v>
      </c>
      <c r="C222">
        <v>30.401548386157152</v>
      </c>
      <c r="D222">
        <v>1</v>
      </c>
      <c r="E222">
        <v>2050</v>
      </c>
      <c r="F222" t="s">
        <v>472</v>
      </c>
      <c r="G222">
        <v>1.826623807454254</v>
      </c>
      <c r="H222">
        <v>37.266228024117936</v>
      </c>
      <c r="I222" t="s">
        <v>469</v>
      </c>
      <c r="J222" t="s">
        <v>468</v>
      </c>
      <c r="K222">
        <v>3</v>
      </c>
    </row>
    <row r="223" spans="1:11" x14ac:dyDescent="0.25">
      <c r="A223" t="s">
        <v>561</v>
      </c>
      <c r="B223">
        <v>483.78587419314221</v>
      </c>
      <c r="C223">
        <v>31.859123748036943</v>
      </c>
      <c r="D223">
        <v>1</v>
      </c>
      <c r="E223">
        <v>2050</v>
      </c>
      <c r="F223" t="s">
        <v>472</v>
      </c>
      <c r="G223">
        <v>1.826623807454254</v>
      </c>
      <c r="H223">
        <v>37.266228024117936</v>
      </c>
      <c r="I223" t="s">
        <v>469</v>
      </c>
      <c r="J223" t="s">
        <v>468</v>
      </c>
      <c r="K223">
        <v>4</v>
      </c>
    </row>
    <row r="224" spans="1:11" x14ac:dyDescent="0.25">
      <c r="A224" t="s">
        <v>562</v>
      </c>
      <c r="B224">
        <v>653.62014450466836</v>
      </c>
      <c r="C224">
        <v>35.554608891833844</v>
      </c>
      <c r="D224">
        <v>1</v>
      </c>
      <c r="E224">
        <v>2050</v>
      </c>
      <c r="F224" t="s">
        <v>472</v>
      </c>
      <c r="G224">
        <v>1.826623807454254</v>
      </c>
      <c r="H224">
        <v>37.266228024117936</v>
      </c>
      <c r="I224" t="s">
        <v>469</v>
      </c>
      <c r="J224" t="s">
        <v>468</v>
      </c>
      <c r="K224">
        <v>5</v>
      </c>
    </row>
    <row r="225" spans="1:11" x14ac:dyDescent="0.25">
      <c r="A225" t="s">
        <v>563</v>
      </c>
      <c r="B225">
        <v>513.39873173763272</v>
      </c>
      <c r="C225">
        <v>31.815725971145469</v>
      </c>
      <c r="D225">
        <v>1</v>
      </c>
      <c r="E225">
        <v>2050</v>
      </c>
      <c r="F225" t="s">
        <v>472</v>
      </c>
      <c r="G225">
        <v>1.826623807454254</v>
      </c>
      <c r="H225">
        <v>37.266228024117936</v>
      </c>
      <c r="I225" t="s">
        <v>469</v>
      </c>
      <c r="J225" t="s">
        <v>468</v>
      </c>
      <c r="K225">
        <v>6</v>
      </c>
    </row>
    <row r="226" spans="1:11" x14ac:dyDescent="0.25">
      <c r="A226" t="s">
        <v>557</v>
      </c>
      <c r="B226">
        <v>444.69579598293654</v>
      </c>
      <c r="C226">
        <v>29.34297716985057</v>
      </c>
      <c r="D226">
        <v>2</v>
      </c>
      <c r="E226">
        <v>2035</v>
      </c>
      <c r="F226" t="s">
        <v>465</v>
      </c>
      <c r="G226">
        <v>0.7263120132989267</v>
      </c>
      <c r="H226">
        <v>36.01686112428078</v>
      </c>
      <c r="I226" t="s">
        <v>466</v>
      </c>
      <c r="J226" t="s">
        <v>467</v>
      </c>
      <c r="K226">
        <v>0</v>
      </c>
    </row>
    <row r="227" spans="1:11" x14ac:dyDescent="0.25">
      <c r="A227" t="s">
        <v>558</v>
      </c>
      <c r="B227">
        <v>543.96921076273327</v>
      </c>
      <c r="C227">
        <v>36.029591994926811</v>
      </c>
      <c r="D227">
        <v>2</v>
      </c>
      <c r="E227">
        <v>2035</v>
      </c>
      <c r="F227" t="s">
        <v>465</v>
      </c>
      <c r="G227">
        <v>0.7263120132989267</v>
      </c>
      <c r="H227">
        <v>36.01686112428078</v>
      </c>
      <c r="I227" t="s">
        <v>466</v>
      </c>
      <c r="J227" t="s">
        <v>467</v>
      </c>
      <c r="K227">
        <v>1</v>
      </c>
    </row>
    <row r="228" spans="1:11" x14ac:dyDescent="0.25">
      <c r="A228" t="s">
        <v>559</v>
      </c>
      <c r="B228">
        <v>670.38465021292495</v>
      </c>
      <c r="C228">
        <v>38.425081211686376</v>
      </c>
      <c r="D228">
        <v>2</v>
      </c>
      <c r="E228">
        <v>2035</v>
      </c>
      <c r="F228" t="s">
        <v>465</v>
      </c>
      <c r="G228">
        <v>0.7263120132989267</v>
      </c>
      <c r="H228">
        <v>36.01686112428078</v>
      </c>
      <c r="I228" t="s">
        <v>466</v>
      </c>
      <c r="J228" t="s">
        <v>467</v>
      </c>
      <c r="K228">
        <v>2</v>
      </c>
    </row>
    <row r="229" spans="1:11" x14ac:dyDescent="0.25">
      <c r="A229" t="s">
        <v>560</v>
      </c>
      <c r="B229">
        <v>595.29138087495744</v>
      </c>
      <c r="C229">
        <v>34.707104474166201</v>
      </c>
      <c r="D229">
        <v>2</v>
      </c>
      <c r="E229">
        <v>2035</v>
      </c>
      <c r="F229" t="s">
        <v>465</v>
      </c>
      <c r="G229">
        <v>0.7263120132989267</v>
      </c>
      <c r="H229">
        <v>36.01686112428078</v>
      </c>
      <c r="I229" t="s">
        <v>466</v>
      </c>
      <c r="J229" t="s">
        <v>467</v>
      </c>
      <c r="K229">
        <v>3</v>
      </c>
    </row>
    <row r="230" spans="1:11" x14ac:dyDescent="0.25">
      <c r="A230" t="s">
        <v>561</v>
      </c>
      <c r="B230">
        <v>546.83623472270131</v>
      </c>
      <c r="C230">
        <v>34.895067705878013</v>
      </c>
      <c r="D230">
        <v>2</v>
      </c>
      <c r="E230">
        <v>2035</v>
      </c>
      <c r="F230" t="s">
        <v>465</v>
      </c>
      <c r="G230">
        <v>0.7263120132989267</v>
      </c>
      <c r="H230">
        <v>36.01686112428078</v>
      </c>
      <c r="I230" t="s">
        <v>466</v>
      </c>
      <c r="J230" t="s">
        <v>467</v>
      </c>
      <c r="K230">
        <v>4</v>
      </c>
    </row>
    <row r="231" spans="1:11" x14ac:dyDescent="0.25">
      <c r="A231" t="s">
        <v>562</v>
      </c>
      <c r="B231">
        <v>610.47456269410588</v>
      </c>
      <c r="C231">
        <v>56.22930497565752</v>
      </c>
      <c r="D231">
        <v>2</v>
      </c>
      <c r="E231">
        <v>2035</v>
      </c>
      <c r="F231" t="s">
        <v>465</v>
      </c>
      <c r="G231">
        <v>0.7263120132989267</v>
      </c>
      <c r="H231">
        <v>36.01686112428078</v>
      </c>
      <c r="I231" t="s">
        <v>466</v>
      </c>
      <c r="J231" t="s">
        <v>467</v>
      </c>
      <c r="K231">
        <v>5</v>
      </c>
    </row>
    <row r="232" spans="1:11" x14ac:dyDescent="0.25">
      <c r="A232" t="s">
        <v>563</v>
      </c>
      <c r="B232">
        <v>622.78616795079108</v>
      </c>
      <c r="C232">
        <v>36.99612437457214</v>
      </c>
      <c r="D232">
        <v>2</v>
      </c>
      <c r="E232">
        <v>2035</v>
      </c>
      <c r="F232" t="s">
        <v>465</v>
      </c>
      <c r="G232">
        <v>0.7263120132989267</v>
      </c>
      <c r="H232">
        <v>36.01686112428078</v>
      </c>
      <c r="I232" t="s">
        <v>466</v>
      </c>
      <c r="J232" t="s">
        <v>467</v>
      </c>
      <c r="K232">
        <v>6</v>
      </c>
    </row>
    <row r="233" spans="1:11" x14ac:dyDescent="0.25">
      <c r="A233" t="s">
        <v>557</v>
      </c>
      <c r="B233">
        <v>361.65941957373309</v>
      </c>
      <c r="C233">
        <v>23.886461134873958</v>
      </c>
      <c r="D233">
        <v>2</v>
      </c>
      <c r="E233">
        <v>2035</v>
      </c>
      <c r="F233" t="s">
        <v>465</v>
      </c>
      <c r="G233">
        <v>2.3975946663807854</v>
      </c>
      <c r="H233">
        <v>30.229787315457656</v>
      </c>
      <c r="I233" t="s">
        <v>466</v>
      </c>
      <c r="J233" t="s">
        <v>468</v>
      </c>
      <c r="K233">
        <v>0</v>
      </c>
    </row>
    <row r="234" spans="1:11" x14ac:dyDescent="0.25">
      <c r="A234" t="s">
        <v>558</v>
      </c>
      <c r="B234">
        <v>529.01039479144697</v>
      </c>
      <c r="C234">
        <v>35.285863712923003</v>
      </c>
      <c r="D234">
        <v>2</v>
      </c>
      <c r="E234">
        <v>2035</v>
      </c>
      <c r="F234" t="s">
        <v>465</v>
      </c>
      <c r="G234">
        <v>2.3975946663807854</v>
      </c>
      <c r="H234">
        <v>30.229787315457656</v>
      </c>
      <c r="I234" t="s">
        <v>466</v>
      </c>
      <c r="J234" t="s">
        <v>468</v>
      </c>
      <c r="K234">
        <v>1</v>
      </c>
    </row>
    <row r="235" spans="1:11" x14ac:dyDescent="0.25">
      <c r="A235" t="s">
        <v>559</v>
      </c>
      <c r="B235">
        <v>675.88058247490346</v>
      </c>
      <c r="C235">
        <v>40.614475010327965</v>
      </c>
      <c r="D235">
        <v>2</v>
      </c>
      <c r="E235">
        <v>2035</v>
      </c>
      <c r="F235" t="s">
        <v>465</v>
      </c>
      <c r="G235">
        <v>2.3975946663807854</v>
      </c>
      <c r="H235">
        <v>30.229787315457656</v>
      </c>
      <c r="I235" t="s">
        <v>466</v>
      </c>
      <c r="J235" t="s">
        <v>468</v>
      </c>
      <c r="K235">
        <v>2</v>
      </c>
    </row>
    <row r="236" spans="1:11" x14ac:dyDescent="0.25">
      <c r="A236" t="s">
        <v>560</v>
      </c>
      <c r="B236">
        <v>582.79690029068411</v>
      </c>
      <c r="C236">
        <v>36.199704332611226</v>
      </c>
      <c r="D236">
        <v>2</v>
      </c>
      <c r="E236">
        <v>2035</v>
      </c>
      <c r="F236" t="s">
        <v>465</v>
      </c>
      <c r="G236">
        <v>2.3975946663807854</v>
      </c>
      <c r="H236">
        <v>30.229787315457656</v>
      </c>
      <c r="I236" t="s">
        <v>466</v>
      </c>
      <c r="J236" t="s">
        <v>468</v>
      </c>
      <c r="K236">
        <v>3</v>
      </c>
    </row>
    <row r="237" spans="1:11" x14ac:dyDescent="0.25">
      <c r="A237" t="s">
        <v>561</v>
      </c>
      <c r="B237">
        <v>564.97684255482943</v>
      </c>
      <c r="C237">
        <v>36.002465799033203</v>
      </c>
      <c r="D237">
        <v>2</v>
      </c>
      <c r="E237">
        <v>2035</v>
      </c>
      <c r="F237" t="s">
        <v>465</v>
      </c>
      <c r="G237">
        <v>2.3975946663807854</v>
      </c>
      <c r="H237">
        <v>30.229787315457656</v>
      </c>
      <c r="I237" t="s">
        <v>466</v>
      </c>
      <c r="J237" t="s">
        <v>468</v>
      </c>
      <c r="K237">
        <v>4</v>
      </c>
    </row>
    <row r="238" spans="1:11" x14ac:dyDescent="0.25">
      <c r="A238" t="s">
        <v>562</v>
      </c>
      <c r="B238">
        <v>694.60658654594488</v>
      </c>
      <c r="C238">
        <v>41.706674371037046</v>
      </c>
      <c r="D238">
        <v>2</v>
      </c>
      <c r="E238">
        <v>2035</v>
      </c>
      <c r="F238" t="s">
        <v>465</v>
      </c>
      <c r="G238">
        <v>2.3975946663807854</v>
      </c>
      <c r="H238">
        <v>30.229787315457656</v>
      </c>
      <c r="I238" t="s">
        <v>466</v>
      </c>
      <c r="J238" t="s">
        <v>468</v>
      </c>
      <c r="K238">
        <v>5</v>
      </c>
    </row>
    <row r="239" spans="1:11" x14ac:dyDescent="0.25">
      <c r="A239" t="s">
        <v>563</v>
      </c>
      <c r="B239">
        <v>623.93294088245216</v>
      </c>
      <c r="C239">
        <v>37.11629154520282</v>
      </c>
      <c r="D239">
        <v>2</v>
      </c>
      <c r="E239">
        <v>2035</v>
      </c>
      <c r="F239" t="s">
        <v>465</v>
      </c>
      <c r="G239">
        <v>2.3975946663807854</v>
      </c>
      <c r="H239">
        <v>30.229787315457656</v>
      </c>
      <c r="I239" t="s">
        <v>466</v>
      </c>
      <c r="J239" t="s">
        <v>468</v>
      </c>
      <c r="K239">
        <v>6</v>
      </c>
    </row>
    <row r="240" spans="1:11" x14ac:dyDescent="0.25">
      <c r="A240" t="s">
        <v>557</v>
      </c>
      <c r="B240">
        <v>444.33043013306605</v>
      </c>
      <c r="C240">
        <v>29.136482485762745</v>
      </c>
      <c r="D240">
        <v>2</v>
      </c>
      <c r="E240">
        <v>2035</v>
      </c>
      <c r="F240" t="s">
        <v>465</v>
      </c>
      <c r="G240">
        <v>0.83895232026848332</v>
      </c>
      <c r="H240">
        <v>34.884502926200838</v>
      </c>
      <c r="I240" t="s">
        <v>469</v>
      </c>
      <c r="J240" t="s">
        <v>467</v>
      </c>
      <c r="K240">
        <v>0</v>
      </c>
    </row>
    <row r="241" spans="1:11" x14ac:dyDescent="0.25">
      <c r="A241" t="s">
        <v>558</v>
      </c>
      <c r="B241">
        <v>558.34076963072789</v>
      </c>
      <c r="C241">
        <v>36.548167966553791</v>
      </c>
      <c r="D241">
        <v>2</v>
      </c>
      <c r="E241">
        <v>2035</v>
      </c>
      <c r="F241" t="s">
        <v>465</v>
      </c>
      <c r="G241">
        <v>0.83895232026848332</v>
      </c>
      <c r="H241">
        <v>34.884502926200838</v>
      </c>
      <c r="I241" t="s">
        <v>469</v>
      </c>
      <c r="J241" t="s">
        <v>467</v>
      </c>
      <c r="K241">
        <v>1</v>
      </c>
    </row>
    <row r="242" spans="1:11" x14ac:dyDescent="0.25">
      <c r="A242" t="s">
        <v>559</v>
      </c>
      <c r="B242">
        <v>639.34190708051437</v>
      </c>
      <c r="C242">
        <v>37.54872547167777</v>
      </c>
      <c r="D242">
        <v>2</v>
      </c>
      <c r="E242">
        <v>2035</v>
      </c>
      <c r="F242" t="s">
        <v>465</v>
      </c>
      <c r="G242">
        <v>0.83895232026848332</v>
      </c>
      <c r="H242">
        <v>34.884502926200838</v>
      </c>
      <c r="I242" t="s">
        <v>469</v>
      </c>
      <c r="J242" t="s">
        <v>467</v>
      </c>
      <c r="K242">
        <v>2</v>
      </c>
    </row>
    <row r="243" spans="1:11" x14ac:dyDescent="0.25">
      <c r="A243" t="s">
        <v>560</v>
      </c>
      <c r="B243">
        <v>558.65194824723801</v>
      </c>
      <c r="C243">
        <v>33.838808118818029</v>
      </c>
      <c r="D243">
        <v>2</v>
      </c>
      <c r="E243">
        <v>2035</v>
      </c>
      <c r="F243" t="s">
        <v>465</v>
      </c>
      <c r="G243">
        <v>0.83895232026848332</v>
      </c>
      <c r="H243">
        <v>34.884502926200838</v>
      </c>
      <c r="I243" t="s">
        <v>469</v>
      </c>
      <c r="J243" t="s">
        <v>467</v>
      </c>
      <c r="K243">
        <v>3</v>
      </c>
    </row>
    <row r="244" spans="1:11" x14ac:dyDescent="0.25">
      <c r="A244" t="s">
        <v>561</v>
      </c>
      <c r="B244">
        <v>554.02899894842642</v>
      </c>
      <c r="C244">
        <v>34.5690202814366</v>
      </c>
      <c r="D244">
        <v>2</v>
      </c>
      <c r="E244">
        <v>2035</v>
      </c>
      <c r="F244" t="s">
        <v>465</v>
      </c>
      <c r="G244">
        <v>0.83895232026848332</v>
      </c>
      <c r="H244">
        <v>34.884502926200838</v>
      </c>
      <c r="I244" t="s">
        <v>469</v>
      </c>
      <c r="J244" t="s">
        <v>467</v>
      </c>
      <c r="K244">
        <v>4</v>
      </c>
    </row>
    <row r="245" spans="1:11" x14ac:dyDescent="0.25">
      <c r="A245" t="s">
        <v>562</v>
      </c>
      <c r="B245">
        <v>679.99657586612409</v>
      </c>
      <c r="C245">
        <v>39.824325939791862</v>
      </c>
      <c r="D245">
        <v>2</v>
      </c>
      <c r="E245">
        <v>2035</v>
      </c>
      <c r="F245" t="s">
        <v>465</v>
      </c>
      <c r="G245">
        <v>0.83895232026848332</v>
      </c>
      <c r="H245">
        <v>34.884502926200838</v>
      </c>
      <c r="I245" t="s">
        <v>469</v>
      </c>
      <c r="J245" t="s">
        <v>467</v>
      </c>
      <c r="K245">
        <v>5</v>
      </c>
    </row>
    <row r="246" spans="1:11" x14ac:dyDescent="0.25">
      <c r="A246" t="s">
        <v>563</v>
      </c>
      <c r="B246">
        <v>617.86937137581231</v>
      </c>
      <c r="C246">
        <v>36.962789089974457</v>
      </c>
      <c r="D246">
        <v>2</v>
      </c>
      <c r="E246">
        <v>2035</v>
      </c>
      <c r="F246" t="s">
        <v>465</v>
      </c>
      <c r="G246">
        <v>0.83895232026848332</v>
      </c>
      <c r="H246">
        <v>34.884502926200838</v>
      </c>
      <c r="I246" t="s">
        <v>469</v>
      </c>
      <c r="J246" t="s">
        <v>467</v>
      </c>
      <c r="K246">
        <v>6</v>
      </c>
    </row>
    <row r="247" spans="1:11" x14ac:dyDescent="0.25">
      <c r="A247" t="s">
        <v>557</v>
      </c>
      <c r="B247">
        <v>415.64269207052575</v>
      </c>
      <c r="C247">
        <v>27.375617252289487</v>
      </c>
      <c r="D247">
        <v>2</v>
      </c>
      <c r="E247">
        <v>2035</v>
      </c>
      <c r="F247" t="s">
        <v>465</v>
      </c>
      <c r="G247">
        <v>2.0783050689212432</v>
      </c>
      <c r="H247">
        <v>34.871860748650306</v>
      </c>
      <c r="I247" t="s">
        <v>469</v>
      </c>
      <c r="J247" t="s">
        <v>468</v>
      </c>
      <c r="K247">
        <v>0</v>
      </c>
    </row>
    <row r="248" spans="1:11" x14ac:dyDescent="0.25">
      <c r="A248" t="s">
        <v>558</v>
      </c>
      <c r="B248">
        <v>499.24902888245879</v>
      </c>
      <c r="C248">
        <v>33.718828906626129</v>
      </c>
      <c r="D248">
        <v>2</v>
      </c>
      <c r="E248">
        <v>2035</v>
      </c>
      <c r="F248" t="s">
        <v>465</v>
      </c>
      <c r="G248">
        <v>2.0783050689212432</v>
      </c>
      <c r="H248">
        <v>34.871860748650306</v>
      </c>
      <c r="I248" t="s">
        <v>469</v>
      </c>
      <c r="J248" t="s">
        <v>468</v>
      </c>
      <c r="K248">
        <v>1</v>
      </c>
    </row>
    <row r="249" spans="1:11" x14ac:dyDescent="0.25">
      <c r="A249" t="s">
        <v>559</v>
      </c>
      <c r="B249">
        <v>613.91248529350423</v>
      </c>
      <c r="C249">
        <v>34.593580164613378</v>
      </c>
      <c r="D249">
        <v>2</v>
      </c>
      <c r="E249">
        <v>2035</v>
      </c>
      <c r="F249" t="s">
        <v>465</v>
      </c>
      <c r="G249">
        <v>2.0783050689212432</v>
      </c>
      <c r="H249">
        <v>34.871860748650306</v>
      </c>
      <c r="I249" t="s">
        <v>469</v>
      </c>
      <c r="J249" t="s">
        <v>468</v>
      </c>
      <c r="K249">
        <v>2</v>
      </c>
    </row>
    <row r="250" spans="1:11" x14ac:dyDescent="0.25">
      <c r="A250" t="s">
        <v>560</v>
      </c>
      <c r="B250">
        <v>586.17364825290258</v>
      </c>
      <c r="C250">
        <v>34.853481575510763</v>
      </c>
      <c r="D250">
        <v>2</v>
      </c>
      <c r="E250">
        <v>2035</v>
      </c>
      <c r="F250" t="s">
        <v>465</v>
      </c>
      <c r="G250">
        <v>2.0783050689212432</v>
      </c>
      <c r="H250">
        <v>34.871860748650306</v>
      </c>
      <c r="I250" t="s">
        <v>469</v>
      </c>
      <c r="J250" t="s">
        <v>468</v>
      </c>
      <c r="K250">
        <v>3</v>
      </c>
    </row>
    <row r="251" spans="1:11" x14ac:dyDescent="0.25">
      <c r="A251" t="s">
        <v>561</v>
      </c>
      <c r="B251">
        <v>518.03132475747736</v>
      </c>
      <c r="C251">
        <v>33.455691043460945</v>
      </c>
      <c r="D251">
        <v>2</v>
      </c>
      <c r="E251">
        <v>2035</v>
      </c>
      <c r="F251" t="s">
        <v>465</v>
      </c>
      <c r="G251">
        <v>2.0783050689212432</v>
      </c>
      <c r="H251">
        <v>34.871860748650306</v>
      </c>
      <c r="I251" t="s">
        <v>469</v>
      </c>
      <c r="J251" t="s">
        <v>468</v>
      </c>
      <c r="K251">
        <v>4</v>
      </c>
    </row>
    <row r="252" spans="1:11" x14ac:dyDescent="0.25">
      <c r="A252" t="s">
        <v>562</v>
      </c>
      <c r="B252">
        <v>645.95265527947595</v>
      </c>
      <c r="C252">
        <v>36.204382843639188</v>
      </c>
      <c r="D252">
        <v>2</v>
      </c>
      <c r="E252">
        <v>2035</v>
      </c>
      <c r="F252" t="s">
        <v>465</v>
      </c>
      <c r="G252">
        <v>2.0783050689212432</v>
      </c>
      <c r="H252">
        <v>34.871860748650306</v>
      </c>
      <c r="I252" t="s">
        <v>469</v>
      </c>
      <c r="J252" t="s">
        <v>468</v>
      </c>
      <c r="K252">
        <v>5</v>
      </c>
    </row>
    <row r="253" spans="1:11" x14ac:dyDescent="0.25">
      <c r="A253" t="s">
        <v>563</v>
      </c>
      <c r="B253">
        <v>583.07753366662143</v>
      </c>
      <c r="C253">
        <v>34.104067695003764</v>
      </c>
      <c r="D253">
        <v>2</v>
      </c>
      <c r="E253">
        <v>2035</v>
      </c>
      <c r="F253" t="s">
        <v>465</v>
      </c>
      <c r="G253">
        <v>2.0783050689212432</v>
      </c>
      <c r="H253">
        <v>34.871860748650306</v>
      </c>
      <c r="I253" t="s">
        <v>469</v>
      </c>
      <c r="J253" t="s">
        <v>468</v>
      </c>
      <c r="K253">
        <v>6</v>
      </c>
    </row>
    <row r="254" spans="1:11" x14ac:dyDescent="0.25">
      <c r="A254" t="s">
        <v>557</v>
      </c>
      <c r="B254">
        <v>435.40277392237033</v>
      </c>
      <c r="C254">
        <v>28.958252314275761</v>
      </c>
      <c r="D254">
        <v>2</v>
      </c>
      <c r="E254">
        <v>2050</v>
      </c>
      <c r="F254" t="s">
        <v>465</v>
      </c>
      <c r="G254">
        <v>0.43973356119597057</v>
      </c>
      <c r="H254">
        <v>40.904968451921462</v>
      </c>
      <c r="I254" t="s">
        <v>466</v>
      </c>
      <c r="J254" t="s">
        <v>467</v>
      </c>
      <c r="K254">
        <v>0</v>
      </c>
    </row>
    <row r="255" spans="1:11" x14ac:dyDescent="0.25">
      <c r="A255" t="s">
        <v>558</v>
      </c>
      <c r="B255">
        <v>526.14561872372053</v>
      </c>
      <c r="C255">
        <v>34.967979085182513</v>
      </c>
      <c r="D255">
        <v>2</v>
      </c>
      <c r="E255">
        <v>2050</v>
      </c>
      <c r="F255" t="s">
        <v>465</v>
      </c>
      <c r="G255">
        <v>0.43973356119597057</v>
      </c>
      <c r="H255">
        <v>40.904968451921462</v>
      </c>
      <c r="I255" t="s">
        <v>466</v>
      </c>
      <c r="J255" t="s">
        <v>467</v>
      </c>
      <c r="K255">
        <v>1</v>
      </c>
    </row>
    <row r="256" spans="1:11" x14ac:dyDescent="0.25">
      <c r="A256" t="s">
        <v>559</v>
      </c>
      <c r="B256">
        <v>600.82819377134922</v>
      </c>
      <c r="C256">
        <v>31.910928100193537</v>
      </c>
      <c r="D256">
        <v>2</v>
      </c>
      <c r="E256">
        <v>2050</v>
      </c>
      <c r="F256" t="s">
        <v>465</v>
      </c>
      <c r="G256">
        <v>0.43973356119597057</v>
      </c>
      <c r="H256">
        <v>40.904968451921462</v>
      </c>
      <c r="I256" t="s">
        <v>466</v>
      </c>
      <c r="J256" t="s">
        <v>467</v>
      </c>
      <c r="K256">
        <v>2</v>
      </c>
    </row>
    <row r="257" spans="1:11" x14ac:dyDescent="0.25">
      <c r="A257" t="s">
        <v>560</v>
      </c>
      <c r="B257">
        <v>581.78792088563171</v>
      </c>
      <c r="C257">
        <v>34.183536278236147</v>
      </c>
      <c r="D257">
        <v>2</v>
      </c>
      <c r="E257">
        <v>2050</v>
      </c>
      <c r="F257" t="s">
        <v>465</v>
      </c>
      <c r="G257">
        <v>0.43973356119597057</v>
      </c>
      <c r="H257">
        <v>40.904968451921462</v>
      </c>
      <c r="I257" t="s">
        <v>466</v>
      </c>
      <c r="J257" t="s">
        <v>467</v>
      </c>
      <c r="K257">
        <v>3</v>
      </c>
    </row>
    <row r="258" spans="1:11" x14ac:dyDescent="0.25">
      <c r="A258" t="s">
        <v>561</v>
      </c>
      <c r="B258">
        <v>500.28973259616413</v>
      </c>
      <c r="C258">
        <v>32.221780189242452</v>
      </c>
      <c r="D258">
        <v>2</v>
      </c>
      <c r="E258">
        <v>2050</v>
      </c>
      <c r="F258" t="s">
        <v>465</v>
      </c>
      <c r="G258">
        <v>0.43973356119597057</v>
      </c>
      <c r="H258">
        <v>40.904968451921462</v>
      </c>
      <c r="I258" t="s">
        <v>466</v>
      </c>
      <c r="J258" t="s">
        <v>467</v>
      </c>
      <c r="K258">
        <v>4</v>
      </c>
    </row>
    <row r="259" spans="1:11" x14ac:dyDescent="0.25">
      <c r="A259" t="s">
        <v>562</v>
      </c>
      <c r="B259">
        <v>655.46427916331777</v>
      </c>
      <c r="C259">
        <v>36.270087752277576</v>
      </c>
      <c r="D259">
        <v>2</v>
      </c>
      <c r="E259">
        <v>2050</v>
      </c>
      <c r="F259" t="s">
        <v>465</v>
      </c>
      <c r="G259">
        <v>0.43973356119597057</v>
      </c>
      <c r="H259">
        <v>40.904968451921462</v>
      </c>
      <c r="I259" t="s">
        <v>466</v>
      </c>
      <c r="J259" t="s">
        <v>467</v>
      </c>
      <c r="K259">
        <v>5</v>
      </c>
    </row>
    <row r="260" spans="1:11" x14ac:dyDescent="0.25">
      <c r="A260" t="s">
        <v>563</v>
      </c>
      <c r="B260">
        <v>562.15411689159657</v>
      </c>
      <c r="C260">
        <v>32.958722263440144</v>
      </c>
      <c r="D260">
        <v>2</v>
      </c>
      <c r="E260">
        <v>2050</v>
      </c>
      <c r="F260" t="s">
        <v>465</v>
      </c>
      <c r="G260">
        <v>0.43973356119597057</v>
      </c>
      <c r="H260">
        <v>40.904968451921462</v>
      </c>
      <c r="I260" t="s">
        <v>466</v>
      </c>
      <c r="J260" t="s">
        <v>467</v>
      </c>
      <c r="K260">
        <v>6</v>
      </c>
    </row>
    <row r="261" spans="1:11" x14ac:dyDescent="0.25">
      <c r="A261" t="s">
        <v>557</v>
      </c>
      <c r="B261">
        <v>387.10129631162999</v>
      </c>
      <c r="C261">
        <v>25.26057305189271</v>
      </c>
      <c r="D261">
        <v>2</v>
      </c>
      <c r="E261">
        <v>2050</v>
      </c>
      <c r="F261" t="s">
        <v>465</v>
      </c>
      <c r="G261">
        <v>3.3352549303613053</v>
      </c>
      <c r="H261">
        <v>28.317357654088084</v>
      </c>
      <c r="I261" t="s">
        <v>466</v>
      </c>
      <c r="J261" t="s">
        <v>468</v>
      </c>
      <c r="K261">
        <v>0</v>
      </c>
    </row>
    <row r="262" spans="1:11" x14ac:dyDescent="0.25">
      <c r="A262" t="s">
        <v>558</v>
      </c>
      <c r="B262">
        <v>522.25249144962572</v>
      </c>
      <c r="C262">
        <v>33.829520406336826</v>
      </c>
      <c r="D262">
        <v>2</v>
      </c>
      <c r="E262">
        <v>2050</v>
      </c>
      <c r="F262" t="s">
        <v>465</v>
      </c>
      <c r="G262">
        <v>3.3352549303613053</v>
      </c>
      <c r="H262">
        <v>28.317357654088084</v>
      </c>
      <c r="I262" t="s">
        <v>466</v>
      </c>
      <c r="J262" t="s">
        <v>468</v>
      </c>
      <c r="K262">
        <v>1</v>
      </c>
    </row>
    <row r="263" spans="1:11" x14ac:dyDescent="0.25">
      <c r="A263" t="s">
        <v>559</v>
      </c>
      <c r="B263">
        <v>619.18451375210418</v>
      </c>
      <c r="C263">
        <v>37.317592852811003</v>
      </c>
      <c r="D263">
        <v>2</v>
      </c>
      <c r="E263">
        <v>2050</v>
      </c>
      <c r="F263" t="s">
        <v>465</v>
      </c>
      <c r="G263">
        <v>3.3352549303613053</v>
      </c>
      <c r="H263">
        <v>28.317357654088084</v>
      </c>
      <c r="I263" t="s">
        <v>466</v>
      </c>
      <c r="J263" t="s">
        <v>468</v>
      </c>
      <c r="K263">
        <v>2</v>
      </c>
    </row>
    <row r="264" spans="1:11" x14ac:dyDescent="0.25">
      <c r="A264" t="s">
        <v>560</v>
      </c>
      <c r="B264">
        <v>526.01144283925316</v>
      </c>
      <c r="C264">
        <v>32.801242872246931</v>
      </c>
      <c r="D264">
        <v>2</v>
      </c>
      <c r="E264">
        <v>2050</v>
      </c>
      <c r="F264" t="s">
        <v>465</v>
      </c>
      <c r="G264">
        <v>3.3352549303613053</v>
      </c>
      <c r="H264">
        <v>28.317357654088084</v>
      </c>
      <c r="I264" t="s">
        <v>466</v>
      </c>
      <c r="J264" t="s">
        <v>468</v>
      </c>
      <c r="K264">
        <v>3</v>
      </c>
    </row>
    <row r="265" spans="1:11" x14ac:dyDescent="0.25">
      <c r="A265" t="s">
        <v>561</v>
      </c>
      <c r="B265">
        <v>508.90282988624944</v>
      </c>
      <c r="C265">
        <v>32.822985613311083</v>
      </c>
      <c r="D265">
        <v>2</v>
      </c>
      <c r="E265">
        <v>2050</v>
      </c>
      <c r="F265" t="s">
        <v>465</v>
      </c>
      <c r="G265">
        <v>3.3352549303613053</v>
      </c>
      <c r="H265">
        <v>28.317357654088084</v>
      </c>
      <c r="I265" t="s">
        <v>466</v>
      </c>
      <c r="J265" t="s">
        <v>468</v>
      </c>
      <c r="K265">
        <v>4</v>
      </c>
    </row>
    <row r="266" spans="1:11" x14ac:dyDescent="0.25">
      <c r="A266" t="s">
        <v>562</v>
      </c>
      <c r="B266">
        <v>656.82540214437006</v>
      </c>
      <c r="C266">
        <v>40.105933572622128</v>
      </c>
      <c r="D266">
        <v>2</v>
      </c>
      <c r="E266">
        <v>2050</v>
      </c>
      <c r="F266" t="s">
        <v>465</v>
      </c>
      <c r="G266">
        <v>3.3352549303613053</v>
      </c>
      <c r="H266">
        <v>28.317357654088084</v>
      </c>
      <c r="I266" t="s">
        <v>466</v>
      </c>
      <c r="J266" t="s">
        <v>468</v>
      </c>
      <c r="K266">
        <v>5</v>
      </c>
    </row>
    <row r="267" spans="1:11" x14ac:dyDescent="0.25">
      <c r="A267" t="s">
        <v>563</v>
      </c>
      <c r="B267">
        <v>594.41073203194435</v>
      </c>
      <c r="C267">
        <v>36.932705777426293</v>
      </c>
      <c r="D267">
        <v>2</v>
      </c>
      <c r="E267">
        <v>2050</v>
      </c>
      <c r="F267" t="s">
        <v>465</v>
      </c>
      <c r="G267">
        <v>3.3352549303613053</v>
      </c>
      <c r="H267">
        <v>28.317357654088084</v>
      </c>
      <c r="I267" t="s">
        <v>466</v>
      </c>
      <c r="J267" t="s">
        <v>468</v>
      </c>
      <c r="K267">
        <v>6</v>
      </c>
    </row>
    <row r="268" spans="1:11" x14ac:dyDescent="0.25">
      <c r="A268" t="s">
        <v>557</v>
      </c>
      <c r="B268">
        <v>362.82468712315779</v>
      </c>
      <c r="C268">
        <v>24.073640027688501</v>
      </c>
      <c r="D268">
        <v>2</v>
      </c>
      <c r="E268">
        <v>2050</v>
      </c>
      <c r="F268" t="s">
        <v>465</v>
      </c>
      <c r="G268">
        <v>0.83747709791198865</v>
      </c>
      <c r="H268">
        <v>34.863988395894125</v>
      </c>
      <c r="I268" t="s">
        <v>469</v>
      </c>
      <c r="J268" t="s">
        <v>467</v>
      </c>
      <c r="K268">
        <v>0</v>
      </c>
    </row>
    <row r="269" spans="1:11" x14ac:dyDescent="0.25">
      <c r="A269" t="s">
        <v>558</v>
      </c>
      <c r="B269">
        <v>542.46921628914959</v>
      </c>
      <c r="C269">
        <v>35.319604676552856</v>
      </c>
      <c r="D269">
        <v>2</v>
      </c>
      <c r="E269">
        <v>2050</v>
      </c>
      <c r="F269" t="s">
        <v>465</v>
      </c>
      <c r="G269">
        <v>0.83747709791198865</v>
      </c>
      <c r="H269">
        <v>34.863988395894125</v>
      </c>
      <c r="I269" t="s">
        <v>469</v>
      </c>
      <c r="J269" t="s">
        <v>467</v>
      </c>
      <c r="K269">
        <v>1</v>
      </c>
    </row>
    <row r="270" spans="1:11" x14ac:dyDescent="0.25">
      <c r="A270" t="s">
        <v>559</v>
      </c>
      <c r="B270">
        <v>651.63357895054924</v>
      </c>
      <c r="C270">
        <v>36.999572577541578</v>
      </c>
      <c r="D270">
        <v>2</v>
      </c>
      <c r="E270">
        <v>2050</v>
      </c>
      <c r="F270" t="s">
        <v>465</v>
      </c>
      <c r="G270">
        <v>0.83747709791198865</v>
      </c>
      <c r="H270">
        <v>34.863988395894125</v>
      </c>
      <c r="I270" t="s">
        <v>469</v>
      </c>
      <c r="J270" t="s">
        <v>467</v>
      </c>
      <c r="K270">
        <v>2</v>
      </c>
    </row>
    <row r="271" spans="1:11" x14ac:dyDescent="0.25">
      <c r="A271" t="s">
        <v>560</v>
      </c>
      <c r="B271">
        <v>546.65004001204352</v>
      </c>
      <c r="C271">
        <v>33.435693042798739</v>
      </c>
      <c r="D271">
        <v>2</v>
      </c>
      <c r="E271">
        <v>2050</v>
      </c>
      <c r="F271" t="s">
        <v>465</v>
      </c>
      <c r="G271">
        <v>0.83747709791198865</v>
      </c>
      <c r="H271">
        <v>34.863988395894125</v>
      </c>
      <c r="I271" t="s">
        <v>469</v>
      </c>
      <c r="J271" t="s">
        <v>467</v>
      </c>
      <c r="K271">
        <v>3</v>
      </c>
    </row>
    <row r="272" spans="1:11" x14ac:dyDescent="0.25">
      <c r="A272" t="s">
        <v>561</v>
      </c>
      <c r="B272">
        <v>554.57403280387462</v>
      </c>
      <c r="C272">
        <v>34.38448315457552</v>
      </c>
      <c r="D272">
        <v>2</v>
      </c>
      <c r="E272">
        <v>2050</v>
      </c>
      <c r="F272" t="s">
        <v>465</v>
      </c>
      <c r="G272">
        <v>0.83747709791198865</v>
      </c>
      <c r="H272">
        <v>34.863988395894125</v>
      </c>
      <c r="I272" t="s">
        <v>469</v>
      </c>
      <c r="J272" t="s">
        <v>467</v>
      </c>
      <c r="K272">
        <v>4</v>
      </c>
    </row>
    <row r="273" spans="1:11" x14ac:dyDescent="0.25">
      <c r="A273" t="s">
        <v>562</v>
      </c>
      <c r="B273">
        <v>654.89970080802016</v>
      </c>
      <c r="C273">
        <v>37.413960404226984</v>
      </c>
      <c r="D273">
        <v>2</v>
      </c>
      <c r="E273">
        <v>2050</v>
      </c>
      <c r="F273" t="s">
        <v>465</v>
      </c>
      <c r="G273">
        <v>0.83747709791198865</v>
      </c>
      <c r="H273">
        <v>34.863988395894125</v>
      </c>
      <c r="I273" t="s">
        <v>469</v>
      </c>
      <c r="J273" t="s">
        <v>467</v>
      </c>
      <c r="K273">
        <v>5</v>
      </c>
    </row>
    <row r="274" spans="1:11" x14ac:dyDescent="0.25">
      <c r="A274" t="s">
        <v>563</v>
      </c>
      <c r="B274">
        <v>606.7708736489617</v>
      </c>
      <c r="C274">
        <v>35.834707351424342</v>
      </c>
      <c r="D274">
        <v>2</v>
      </c>
      <c r="E274">
        <v>2050</v>
      </c>
      <c r="F274" t="s">
        <v>465</v>
      </c>
      <c r="G274">
        <v>0.83747709791198865</v>
      </c>
      <c r="H274">
        <v>34.863988395894125</v>
      </c>
      <c r="I274" t="s">
        <v>469</v>
      </c>
      <c r="J274" t="s">
        <v>467</v>
      </c>
      <c r="K274">
        <v>6</v>
      </c>
    </row>
    <row r="275" spans="1:11" x14ac:dyDescent="0.25">
      <c r="A275" t="s">
        <v>557</v>
      </c>
      <c r="B275">
        <v>423.27621376082823</v>
      </c>
      <c r="C275">
        <v>27.851751674868019</v>
      </c>
      <c r="D275">
        <v>2</v>
      </c>
      <c r="E275">
        <v>2050</v>
      </c>
      <c r="F275" t="s">
        <v>465</v>
      </c>
      <c r="G275">
        <v>2.0783015183707194</v>
      </c>
      <c r="H275">
        <v>34.871881216771897</v>
      </c>
      <c r="I275" t="s">
        <v>469</v>
      </c>
      <c r="J275" t="s">
        <v>468</v>
      </c>
      <c r="K275">
        <v>0</v>
      </c>
    </row>
    <row r="276" spans="1:11" x14ac:dyDescent="0.25">
      <c r="A276" t="s">
        <v>558</v>
      </c>
      <c r="B276">
        <v>502.75076109638746</v>
      </c>
      <c r="C276">
        <v>33.698203258333301</v>
      </c>
      <c r="D276">
        <v>2</v>
      </c>
      <c r="E276">
        <v>2050</v>
      </c>
      <c r="F276" t="s">
        <v>465</v>
      </c>
      <c r="G276">
        <v>2.0783015183707194</v>
      </c>
      <c r="H276">
        <v>34.871881216771897</v>
      </c>
      <c r="I276" t="s">
        <v>469</v>
      </c>
      <c r="J276" t="s">
        <v>468</v>
      </c>
      <c r="K276">
        <v>1</v>
      </c>
    </row>
    <row r="277" spans="1:11" x14ac:dyDescent="0.25">
      <c r="A277" t="s">
        <v>559</v>
      </c>
      <c r="B277">
        <v>619.03341685023156</v>
      </c>
      <c r="C277">
        <v>34.883544948100024</v>
      </c>
      <c r="D277">
        <v>2</v>
      </c>
      <c r="E277">
        <v>2050</v>
      </c>
      <c r="F277" t="s">
        <v>465</v>
      </c>
      <c r="G277">
        <v>2.0783015183707194</v>
      </c>
      <c r="H277">
        <v>34.871881216771897</v>
      </c>
      <c r="I277" t="s">
        <v>469</v>
      </c>
      <c r="J277" t="s">
        <v>468</v>
      </c>
      <c r="K277">
        <v>2</v>
      </c>
    </row>
    <row r="278" spans="1:11" x14ac:dyDescent="0.25">
      <c r="A278" t="s">
        <v>560</v>
      </c>
      <c r="B278">
        <v>553.37847976220019</v>
      </c>
      <c r="C278">
        <v>32.869874163013556</v>
      </c>
      <c r="D278">
        <v>2</v>
      </c>
      <c r="E278">
        <v>2050</v>
      </c>
      <c r="F278" t="s">
        <v>465</v>
      </c>
      <c r="G278">
        <v>2.0783015183707194</v>
      </c>
      <c r="H278">
        <v>34.871881216771897</v>
      </c>
      <c r="I278" t="s">
        <v>469</v>
      </c>
      <c r="J278" t="s">
        <v>468</v>
      </c>
      <c r="K278">
        <v>3</v>
      </c>
    </row>
    <row r="279" spans="1:11" x14ac:dyDescent="0.25">
      <c r="A279" t="s">
        <v>561</v>
      </c>
      <c r="B279">
        <v>517.15940532669526</v>
      </c>
      <c r="C279">
        <v>33.275274523789228</v>
      </c>
      <c r="D279">
        <v>2</v>
      </c>
      <c r="E279">
        <v>2050</v>
      </c>
      <c r="F279" t="s">
        <v>465</v>
      </c>
      <c r="G279">
        <v>2.0783015183707194</v>
      </c>
      <c r="H279">
        <v>34.871881216771897</v>
      </c>
      <c r="I279" t="s">
        <v>469</v>
      </c>
      <c r="J279" t="s">
        <v>468</v>
      </c>
      <c r="K279">
        <v>4</v>
      </c>
    </row>
    <row r="280" spans="1:11" x14ac:dyDescent="0.25">
      <c r="A280" t="s">
        <v>562</v>
      </c>
      <c r="B280">
        <v>651.04132538848216</v>
      </c>
      <c r="C280">
        <v>35.146898065213421</v>
      </c>
      <c r="D280">
        <v>2</v>
      </c>
      <c r="E280">
        <v>2050</v>
      </c>
      <c r="F280" t="s">
        <v>465</v>
      </c>
      <c r="G280">
        <v>2.0783015183707194</v>
      </c>
      <c r="H280">
        <v>34.871881216771897</v>
      </c>
      <c r="I280" t="s">
        <v>469</v>
      </c>
      <c r="J280" t="s">
        <v>468</v>
      </c>
      <c r="K280">
        <v>5</v>
      </c>
    </row>
    <row r="281" spans="1:11" x14ac:dyDescent="0.25">
      <c r="A281" t="s">
        <v>563</v>
      </c>
      <c r="B281">
        <v>572.14629342326839</v>
      </c>
      <c r="C281">
        <v>34.099941039375501</v>
      </c>
      <c r="D281">
        <v>2</v>
      </c>
      <c r="E281">
        <v>2050</v>
      </c>
      <c r="F281" t="s">
        <v>465</v>
      </c>
      <c r="G281">
        <v>2.0783015183707194</v>
      </c>
      <c r="H281">
        <v>34.871881216771897</v>
      </c>
      <c r="I281" t="s">
        <v>469</v>
      </c>
      <c r="J281" t="s">
        <v>468</v>
      </c>
      <c r="K281">
        <v>6</v>
      </c>
    </row>
    <row r="282" spans="1:11" x14ac:dyDescent="0.25">
      <c r="A282" t="s">
        <v>557</v>
      </c>
      <c r="B282">
        <v>411.55944234037065</v>
      </c>
      <c r="C282">
        <v>27.2672468447131</v>
      </c>
      <c r="D282">
        <v>2</v>
      </c>
      <c r="E282">
        <v>2035</v>
      </c>
      <c r="F282" t="s">
        <v>470</v>
      </c>
      <c r="G282">
        <v>0.72683162265596446</v>
      </c>
      <c r="H282">
        <v>36.257252586191044</v>
      </c>
      <c r="I282" t="s">
        <v>466</v>
      </c>
      <c r="J282" t="s">
        <v>467</v>
      </c>
      <c r="K282">
        <v>0</v>
      </c>
    </row>
    <row r="283" spans="1:11" x14ac:dyDescent="0.25">
      <c r="A283" t="s">
        <v>558</v>
      </c>
      <c r="B283">
        <v>503.33515989607662</v>
      </c>
      <c r="C283">
        <v>33.38103474872068</v>
      </c>
      <c r="D283">
        <v>2</v>
      </c>
      <c r="E283">
        <v>2035</v>
      </c>
      <c r="F283" t="s">
        <v>470</v>
      </c>
      <c r="G283">
        <v>0.72683162265596446</v>
      </c>
      <c r="H283">
        <v>36.257252586191044</v>
      </c>
      <c r="I283" t="s">
        <v>466</v>
      </c>
      <c r="J283" t="s">
        <v>467</v>
      </c>
      <c r="K283">
        <v>1</v>
      </c>
    </row>
    <row r="284" spans="1:11" x14ac:dyDescent="0.25">
      <c r="A284" t="s">
        <v>559</v>
      </c>
      <c r="B284">
        <v>645.5352621783843</v>
      </c>
      <c r="C284">
        <v>35.785560718573912</v>
      </c>
      <c r="D284">
        <v>2</v>
      </c>
      <c r="E284">
        <v>2035</v>
      </c>
      <c r="F284" t="s">
        <v>470</v>
      </c>
      <c r="G284">
        <v>0.72683162265596446</v>
      </c>
      <c r="H284">
        <v>36.257252586191044</v>
      </c>
      <c r="I284" t="s">
        <v>466</v>
      </c>
      <c r="J284" t="s">
        <v>467</v>
      </c>
      <c r="K284">
        <v>2</v>
      </c>
    </row>
    <row r="285" spans="1:11" x14ac:dyDescent="0.25">
      <c r="A285" t="s">
        <v>560</v>
      </c>
      <c r="B285">
        <v>557.18897907203336</v>
      </c>
      <c r="C285">
        <v>32.3518318265318</v>
      </c>
      <c r="D285">
        <v>2</v>
      </c>
      <c r="E285">
        <v>2035</v>
      </c>
      <c r="F285" t="s">
        <v>470</v>
      </c>
      <c r="G285">
        <v>0.72683162265596446</v>
      </c>
      <c r="H285">
        <v>36.257252586191044</v>
      </c>
      <c r="I285" t="s">
        <v>466</v>
      </c>
      <c r="J285" t="s">
        <v>467</v>
      </c>
      <c r="K285">
        <v>3</v>
      </c>
    </row>
    <row r="286" spans="1:11" x14ac:dyDescent="0.25">
      <c r="A286" t="s">
        <v>561</v>
      </c>
      <c r="B286">
        <v>547.40936747651688</v>
      </c>
      <c r="C286">
        <v>33.510930629398061</v>
      </c>
      <c r="D286">
        <v>2</v>
      </c>
      <c r="E286">
        <v>2035</v>
      </c>
      <c r="F286" t="s">
        <v>470</v>
      </c>
      <c r="G286">
        <v>0.72683162265596446</v>
      </c>
      <c r="H286">
        <v>36.257252586191044</v>
      </c>
      <c r="I286" t="s">
        <v>466</v>
      </c>
      <c r="J286" t="s">
        <v>467</v>
      </c>
      <c r="K286">
        <v>4</v>
      </c>
    </row>
    <row r="287" spans="1:11" x14ac:dyDescent="0.25">
      <c r="A287" t="s">
        <v>562</v>
      </c>
      <c r="B287">
        <v>627.80978749816165</v>
      </c>
      <c r="C287">
        <v>35.583960326250953</v>
      </c>
      <c r="D287">
        <v>2</v>
      </c>
      <c r="E287">
        <v>2035</v>
      </c>
      <c r="F287" t="s">
        <v>470</v>
      </c>
      <c r="G287">
        <v>0.72683162265596446</v>
      </c>
      <c r="H287">
        <v>36.257252586191044</v>
      </c>
      <c r="I287" t="s">
        <v>466</v>
      </c>
      <c r="J287" t="s">
        <v>467</v>
      </c>
      <c r="K287">
        <v>5</v>
      </c>
    </row>
    <row r="288" spans="1:11" x14ac:dyDescent="0.25">
      <c r="A288" t="s">
        <v>563</v>
      </c>
      <c r="B288">
        <v>595.55489337039648</v>
      </c>
      <c r="C288">
        <v>34.999979922658525</v>
      </c>
      <c r="D288">
        <v>2</v>
      </c>
      <c r="E288">
        <v>2035</v>
      </c>
      <c r="F288" t="s">
        <v>470</v>
      </c>
      <c r="G288">
        <v>0.72683162265596446</v>
      </c>
      <c r="H288">
        <v>36.257252586191044</v>
      </c>
      <c r="I288" t="s">
        <v>466</v>
      </c>
      <c r="J288" t="s">
        <v>467</v>
      </c>
      <c r="K288">
        <v>6</v>
      </c>
    </row>
    <row r="289" spans="1:11" x14ac:dyDescent="0.25">
      <c r="A289" t="s">
        <v>557</v>
      </c>
      <c r="B289">
        <v>353.69278912632893</v>
      </c>
      <c r="C289">
        <v>23.680600091025905</v>
      </c>
      <c r="D289">
        <v>2</v>
      </c>
      <c r="E289">
        <v>2035</v>
      </c>
      <c r="F289" t="s">
        <v>470</v>
      </c>
      <c r="G289">
        <v>2.397616118875439</v>
      </c>
      <c r="H289">
        <v>30.228983943627583</v>
      </c>
      <c r="I289" t="s">
        <v>466</v>
      </c>
      <c r="J289" t="s">
        <v>468</v>
      </c>
      <c r="K289">
        <v>0</v>
      </c>
    </row>
    <row r="290" spans="1:11" x14ac:dyDescent="0.25">
      <c r="A290" t="s">
        <v>558</v>
      </c>
      <c r="B290">
        <v>513.96898429458645</v>
      </c>
      <c r="C290">
        <v>34.034244342444488</v>
      </c>
      <c r="D290">
        <v>2</v>
      </c>
      <c r="E290">
        <v>2035</v>
      </c>
      <c r="F290" t="s">
        <v>470</v>
      </c>
      <c r="G290">
        <v>2.397616118875439</v>
      </c>
      <c r="H290">
        <v>30.228983943627583</v>
      </c>
      <c r="I290" t="s">
        <v>466</v>
      </c>
      <c r="J290" t="s">
        <v>468</v>
      </c>
      <c r="K290">
        <v>1</v>
      </c>
    </row>
    <row r="291" spans="1:11" x14ac:dyDescent="0.25">
      <c r="A291" t="s">
        <v>559</v>
      </c>
      <c r="B291">
        <v>648.46058155064907</v>
      </c>
      <c r="C291">
        <v>38.85842167827019</v>
      </c>
      <c r="D291">
        <v>2</v>
      </c>
      <c r="E291">
        <v>2035</v>
      </c>
      <c r="F291" t="s">
        <v>470</v>
      </c>
      <c r="G291">
        <v>2.397616118875439</v>
      </c>
      <c r="H291">
        <v>30.228983943627583</v>
      </c>
      <c r="I291" t="s">
        <v>466</v>
      </c>
      <c r="J291" t="s">
        <v>468</v>
      </c>
      <c r="K291">
        <v>2</v>
      </c>
    </row>
    <row r="292" spans="1:11" x14ac:dyDescent="0.25">
      <c r="A292" t="s">
        <v>560</v>
      </c>
      <c r="B292">
        <v>938.90048178772201</v>
      </c>
      <c r="C292">
        <v>87.205704003232924</v>
      </c>
      <c r="D292">
        <v>2</v>
      </c>
      <c r="E292">
        <v>2035</v>
      </c>
      <c r="F292" t="s">
        <v>470</v>
      </c>
      <c r="G292">
        <v>2.397616118875439</v>
      </c>
      <c r="H292">
        <v>30.228983943627583</v>
      </c>
      <c r="I292" t="s">
        <v>466</v>
      </c>
      <c r="J292" t="s">
        <v>468</v>
      </c>
      <c r="K292">
        <v>3</v>
      </c>
    </row>
    <row r="293" spans="1:11" x14ac:dyDescent="0.25">
      <c r="A293" t="s">
        <v>561</v>
      </c>
      <c r="B293">
        <v>489.1586356200059</v>
      </c>
      <c r="C293">
        <v>32.213689721411683</v>
      </c>
      <c r="D293">
        <v>2</v>
      </c>
      <c r="E293">
        <v>2035</v>
      </c>
      <c r="F293" t="s">
        <v>470</v>
      </c>
      <c r="G293">
        <v>2.397616118875439</v>
      </c>
      <c r="H293">
        <v>30.228983943627583</v>
      </c>
      <c r="I293" t="s">
        <v>466</v>
      </c>
      <c r="J293" t="s">
        <v>468</v>
      </c>
      <c r="K293">
        <v>4</v>
      </c>
    </row>
    <row r="294" spans="1:11" x14ac:dyDescent="0.25">
      <c r="A294" t="s">
        <v>562</v>
      </c>
      <c r="B294">
        <v>637.21900112106994</v>
      </c>
      <c r="C294">
        <v>38.216513192101921</v>
      </c>
      <c r="D294">
        <v>2</v>
      </c>
      <c r="E294">
        <v>2035</v>
      </c>
      <c r="F294" t="s">
        <v>470</v>
      </c>
      <c r="G294">
        <v>2.397616118875439</v>
      </c>
      <c r="H294">
        <v>30.228983943627583</v>
      </c>
      <c r="I294" t="s">
        <v>466</v>
      </c>
      <c r="J294" t="s">
        <v>468</v>
      </c>
      <c r="K294">
        <v>5</v>
      </c>
    </row>
    <row r="295" spans="1:11" x14ac:dyDescent="0.25">
      <c r="A295" t="s">
        <v>563</v>
      </c>
      <c r="B295">
        <v>592.72851528125739</v>
      </c>
      <c r="C295">
        <v>36.783852384619017</v>
      </c>
      <c r="D295">
        <v>2</v>
      </c>
      <c r="E295">
        <v>2035</v>
      </c>
      <c r="F295" t="s">
        <v>470</v>
      </c>
      <c r="G295">
        <v>2.397616118875439</v>
      </c>
      <c r="H295">
        <v>30.228983943627583</v>
      </c>
      <c r="I295" t="s">
        <v>466</v>
      </c>
      <c r="J295" t="s">
        <v>468</v>
      </c>
      <c r="K295">
        <v>6</v>
      </c>
    </row>
    <row r="296" spans="1:11" x14ac:dyDescent="0.25">
      <c r="A296" t="s">
        <v>557</v>
      </c>
      <c r="B296">
        <v>422.78214527519833</v>
      </c>
      <c r="C296">
        <v>27.673198886382625</v>
      </c>
      <c r="D296">
        <v>2</v>
      </c>
      <c r="E296">
        <v>2035</v>
      </c>
      <c r="F296" t="s">
        <v>470</v>
      </c>
      <c r="G296">
        <v>0.83924128681333998</v>
      </c>
      <c r="H296">
        <v>34.884170378716675</v>
      </c>
      <c r="I296" t="s">
        <v>469</v>
      </c>
      <c r="J296" t="s">
        <v>467</v>
      </c>
      <c r="K296">
        <v>0</v>
      </c>
    </row>
    <row r="297" spans="1:11" x14ac:dyDescent="0.25">
      <c r="A297" t="s">
        <v>558</v>
      </c>
      <c r="B297">
        <v>478.83357495764778</v>
      </c>
      <c r="C297">
        <v>31.630482590672869</v>
      </c>
      <c r="D297">
        <v>2</v>
      </c>
      <c r="E297">
        <v>2035</v>
      </c>
      <c r="F297" t="s">
        <v>470</v>
      </c>
      <c r="G297">
        <v>0.83924128681333998</v>
      </c>
      <c r="H297">
        <v>34.884170378716675</v>
      </c>
      <c r="I297" t="s">
        <v>469</v>
      </c>
      <c r="J297" t="s">
        <v>467</v>
      </c>
      <c r="K297">
        <v>1</v>
      </c>
    </row>
    <row r="298" spans="1:11" x14ac:dyDescent="0.25">
      <c r="A298" t="s">
        <v>559</v>
      </c>
      <c r="B298">
        <v>628.23852090071898</v>
      </c>
      <c r="C298">
        <v>36.554600204875463</v>
      </c>
      <c r="D298">
        <v>2</v>
      </c>
      <c r="E298">
        <v>2035</v>
      </c>
      <c r="F298" t="s">
        <v>470</v>
      </c>
      <c r="G298">
        <v>0.83924128681333998</v>
      </c>
      <c r="H298">
        <v>34.884170378716675</v>
      </c>
      <c r="I298" t="s">
        <v>469</v>
      </c>
      <c r="J298" t="s">
        <v>467</v>
      </c>
      <c r="K298">
        <v>2</v>
      </c>
    </row>
    <row r="299" spans="1:11" x14ac:dyDescent="0.25">
      <c r="A299" t="s">
        <v>560</v>
      </c>
      <c r="B299">
        <v>550.93105994118423</v>
      </c>
      <c r="C299">
        <v>33.155880284017002</v>
      </c>
      <c r="D299">
        <v>2</v>
      </c>
      <c r="E299">
        <v>2035</v>
      </c>
      <c r="F299" t="s">
        <v>470</v>
      </c>
      <c r="G299">
        <v>0.83924128681333998</v>
      </c>
      <c r="H299">
        <v>34.884170378716675</v>
      </c>
      <c r="I299" t="s">
        <v>469</v>
      </c>
      <c r="J299" t="s">
        <v>467</v>
      </c>
      <c r="K299">
        <v>3</v>
      </c>
    </row>
    <row r="300" spans="1:11" x14ac:dyDescent="0.25">
      <c r="A300" t="s">
        <v>561</v>
      </c>
      <c r="B300">
        <v>514.98552158642758</v>
      </c>
      <c r="C300">
        <v>32.368885595695147</v>
      </c>
      <c r="D300">
        <v>2</v>
      </c>
      <c r="E300">
        <v>2035</v>
      </c>
      <c r="F300" t="s">
        <v>470</v>
      </c>
      <c r="G300">
        <v>0.83924128681333998</v>
      </c>
      <c r="H300">
        <v>34.884170378716675</v>
      </c>
      <c r="I300" t="s">
        <v>469</v>
      </c>
      <c r="J300" t="s">
        <v>467</v>
      </c>
      <c r="K300">
        <v>4</v>
      </c>
    </row>
    <row r="301" spans="1:11" x14ac:dyDescent="0.25">
      <c r="A301" t="s">
        <v>562</v>
      </c>
      <c r="B301">
        <v>651.89823914613169</v>
      </c>
      <c r="C301">
        <v>38.205322506849896</v>
      </c>
      <c r="D301">
        <v>2</v>
      </c>
      <c r="E301">
        <v>2035</v>
      </c>
      <c r="F301" t="s">
        <v>470</v>
      </c>
      <c r="G301">
        <v>0.83924128681333998</v>
      </c>
      <c r="H301">
        <v>34.884170378716675</v>
      </c>
      <c r="I301" t="s">
        <v>469</v>
      </c>
      <c r="J301" t="s">
        <v>467</v>
      </c>
      <c r="K301">
        <v>5</v>
      </c>
    </row>
    <row r="302" spans="1:11" x14ac:dyDescent="0.25">
      <c r="A302" t="s">
        <v>563</v>
      </c>
      <c r="B302">
        <v>599.25372100801144</v>
      </c>
      <c r="C302">
        <v>36.096633106789632</v>
      </c>
      <c r="D302">
        <v>2</v>
      </c>
      <c r="E302">
        <v>2035</v>
      </c>
      <c r="F302" t="s">
        <v>470</v>
      </c>
      <c r="G302">
        <v>0.83924128681333998</v>
      </c>
      <c r="H302">
        <v>34.884170378716675</v>
      </c>
      <c r="I302" t="s">
        <v>469</v>
      </c>
      <c r="J302" t="s">
        <v>467</v>
      </c>
      <c r="K302">
        <v>6</v>
      </c>
    </row>
    <row r="303" spans="1:11" x14ac:dyDescent="0.25">
      <c r="A303" t="s">
        <v>557</v>
      </c>
      <c r="B303">
        <v>406.21997604800441</v>
      </c>
      <c r="C303">
        <v>26.820118157902598</v>
      </c>
      <c r="D303">
        <v>2</v>
      </c>
      <c r="E303">
        <v>2035</v>
      </c>
      <c r="F303" t="s">
        <v>470</v>
      </c>
      <c r="G303">
        <v>2.0783077145008546</v>
      </c>
      <c r="H303">
        <v>34.871846952984782</v>
      </c>
      <c r="I303" t="s">
        <v>469</v>
      </c>
      <c r="J303" t="s">
        <v>468</v>
      </c>
      <c r="K303">
        <v>0</v>
      </c>
    </row>
    <row r="304" spans="1:11" x14ac:dyDescent="0.25">
      <c r="A304" t="s">
        <v>558</v>
      </c>
      <c r="B304">
        <v>518.42833111387381</v>
      </c>
      <c r="C304">
        <v>34.251441195151784</v>
      </c>
      <c r="D304">
        <v>2</v>
      </c>
      <c r="E304">
        <v>2035</v>
      </c>
      <c r="F304" t="s">
        <v>470</v>
      </c>
      <c r="G304">
        <v>2.0783077145008546</v>
      </c>
      <c r="H304">
        <v>34.871846952984782</v>
      </c>
      <c r="I304" t="s">
        <v>469</v>
      </c>
      <c r="J304" t="s">
        <v>468</v>
      </c>
      <c r="K304">
        <v>1</v>
      </c>
    </row>
    <row r="305" spans="1:11" x14ac:dyDescent="0.25">
      <c r="A305" t="s">
        <v>559</v>
      </c>
      <c r="B305">
        <v>588.05330207426721</v>
      </c>
      <c r="C305">
        <v>33.68302164502343</v>
      </c>
      <c r="D305">
        <v>2</v>
      </c>
      <c r="E305">
        <v>2035</v>
      </c>
      <c r="F305" t="s">
        <v>470</v>
      </c>
      <c r="G305">
        <v>2.0783077145008546</v>
      </c>
      <c r="H305">
        <v>34.871846952984782</v>
      </c>
      <c r="I305" t="s">
        <v>469</v>
      </c>
      <c r="J305" t="s">
        <v>468</v>
      </c>
      <c r="K305">
        <v>2</v>
      </c>
    </row>
    <row r="306" spans="1:11" x14ac:dyDescent="0.25">
      <c r="A306" t="s">
        <v>560</v>
      </c>
      <c r="B306">
        <v>568.6425412812398</v>
      </c>
      <c r="C306">
        <v>33.301485889652312</v>
      </c>
      <c r="D306">
        <v>2</v>
      </c>
      <c r="E306">
        <v>2035</v>
      </c>
      <c r="F306" t="s">
        <v>470</v>
      </c>
      <c r="G306">
        <v>2.0783077145008546</v>
      </c>
      <c r="H306">
        <v>34.871846952984782</v>
      </c>
      <c r="I306" t="s">
        <v>469</v>
      </c>
      <c r="J306" t="s">
        <v>468</v>
      </c>
      <c r="K306">
        <v>3</v>
      </c>
    </row>
    <row r="307" spans="1:11" x14ac:dyDescent="0.25">
      <c r="A307" t="s">
        <v>561</v>
      </c>
      <c r="B307">
        <v>512.74130216416791</v>
      </c>
      <c r="C307">
        <v>32.544352802013343</v>
      </c>
      <c r="D307">
        <v>2</v>
      </c>
      <c r="E307">
        <v>2035</v>
      </c>
      <c r="F307" t="s">
        <v>470</v>
      </c>
      <c r="G307">
        <v>2.0783077145008546</v>
      </c>
      <c r="H307">
        <v>34.871846952984782</v>
      </c>
      <c r="I307" t="s">
        <v>469</v>
      </c>
      <c r="J307" t="s">
        <v>468</v>
      </c>
      <c r="K307">
        <v>4</v>
      </c>
    </row>
    <row r="308" spans="1:11" x14ac:dyDescent="0.25">
      <c r="A308" t="s">
        <v>562</v>
      </c>
      <c r="B308">
        <v>653.27884655969171</v>
      </c>
      <c r="C308">
        <v>36.582927518843363</v>
      </c>
      <c r="D308">
        <v>2</v>
      </c>
      <c r="E308">
        <v>2035</v>
      </c>
      <c r="F308" t="s">
        <v>470</v>
      </c>
      <c r="G308">
        <v>2.0783077145008546</v>
      </c>
      <c r="H308">
        <v>34.871846952984782</v>
      </c>
      <c r="I308" t="s">
        <v>469</v>
      </c>
      <c r="J308" t="s">
        <v>468</v>
      </c>
      <c r="K308">
        <v>5</v>
      </c>
    </row>
    <row r="309" spans="1:11" x14ac:dyDescent="0.25">
      <c r="A309" t="s">
        <v>563</v>
      </c>
      <c r="B309">
        <v>597.51281763030158</v>
      </c>
      <c r="C309">
        <v>34.957543835913107</v>
      </c>
      <c r="D309">
        <v>2</v>
      </c>
      <c r="E309">
        <v>2035</v>
      </c>
      <c r="F309" t="s">
        <v>470</v>
      </c>
      <c r="G309">
        <v>2.0783077145008546</v>
      </c>
      <c r="H309">
        <v>34.871846952984782</v>
      </c>
      <c r="I309" t="s">
        <v>469</v>
      </c>
      <c r="J309" t="s">
        <v>468</v>
      </c>
      <c r="K309">
        <v>6</v>
      </c>
    </row>
    <row r="310" spans="1:11" x14ac:dyDescent="0.25">
      <c r="A310" t="s">
        <v>557</v>
      </c>
      <c r="B310">
        <v>381.02619172571093</v>
      </c>
      <c r="C310">
        <v>25.456586143787746</v>
      </c>
      <c r="D310">
        <v>2</v>
      </c>
      <c r="E310">
        <v>2050</v>
      </c>
      <c r="F310" t="s">
        <v>470</v>
      </c>
      <c r="G310">
        <v>0.43973282281440296</v>
      </c>
      <c r="H310">
        <v>40.904963321839858</v>
      </c>
      <c r="I310" t="s">
        <v>466</v>
      </c>
      <c r="J310" t="s">
        <v>467</v>
      </c>
      <c r="K310">
        <v>0</v>
      </c>
    </row>
    <row r="311" spans="1:11" x14ac:dyDescent="0.25">
      <c r="A311" t="s">
        <v>558</v>
      </c>
      <c r="B311">
        <v>452.78253675175148</v>
      </c>
      <c r="C311">
        <v>30.253055734211674</v>
      </c>
      <c r="D311">
        <v>2</v>
      </c>
      <c r="E311">
        <v>2050</v>
      </c>
      <c r="F311" t="s">
        <v>470</v>
      </c>
      <c r="G311">
        <v>0.43973282281440296</v>
      </c>
      <c r="H311">
        <v>40.904963321839858</v>
      </c>
      <c r="I311" t="s">
        <v>466</v>
      </c>
      <c r="J311" t="s">
        <v>467</v>
      </c>
      <c r="K311">
        <v>1</v>
      </c>
    </row>
    <row r="312" spans="1:11" x14ac:dyDescent="0.25">
      <c r="A312" t="s">
        <v>559</v>
      </c>
      <c r="B312">
        <v>601.80017757881967</v>
      </c>
      <c r="C312">
        <v>32.023135971695112</v>
      </c>
      <c r="D312">
        <v>2</v>
      </c>
      <c r="E312">
        <v>2050</v>
      </c>
      <c r="F312" t="s">
        <v>470</v>
      </c>
      <c r="G312">
        <v>0.43973282281440296</v>
      </c>
      <c r="H312">
        <v>40.904963321839858</v>
      </c>
      <c r="I312" t="s">
        <v>466</v>
      </c>
      <c r="J312" t="s">
        <v>467</v>
      </c>
      <c r="K312">
        <v>2</v>
      </c>
    </row>
    <row r="313" spans="1:11" x14ac:dyDescent="0.25">
      <c r="A313" t="s">
        <v>560</v>
      </c>
      <c r="B313">
        <v>549.44498569551922</v>
      </c>
      <c r="C313">
        <v>32.911763065968898</v>
      </c>
      <c r="D313">
        <v>2</v>
      </c>
      <c r="E313">
        <v>2050</v>
      </c>
      <c r="F313" t="s">
        <v>470</v>
      </c>
      <c r="G313">
        <v>0.43973282281440296</v>
      </c>
      <c r="H313">
        <v>40.904963321839858</v>
      </c>
      <c r="I313" t="s">
        <v>466</v>
      </c>
      <c r="J313" t="s">
        <v>467</v>
      </c>
      <c r="K313">
        <v>3</v>
      </c>
    </row>
    <row r="314" spans="1:11" x14ac:dyDescent="0.25">
      <c r="A314" t="s">
        <v>561</v>
      </c>
      <c r="B314">
        <v>461.47447120241003</v>
      </c>
      <c r="C314">
        <v>29.107584002637182</v>
      </c>
      <c r="D314">
        <v>2</v>
      </c>
      <c r="E314">
        <v>2050</v>
      </c>
      <c r="F314" t="s">
        <v>470</v>
      </c>
      <c r="G314">
        <v>0.43973282281440296</v>
      </c>
      <c r="H314">
        <v>40.904963321839858</v>
      </c>
      <c r="I314" t="s">
        <v>466</v>
      </c>
      <c r="J314" t="s">
        <v>467</v>
      </c>
      <c r="K314">
        <v>4</v>
      </c>
    </row>
    <row r="315" spans="1:11" x14ac:dyDescent="0.25">
      <c r="A315" t="s">
        <v>562</v>
      </c>
      <c r="B315">
        <v>620.12278482375314</v>
      </c>
      <c r="C315">
        <v>34.194481641022627</v>
      </c>
      <c r="D315">
        <v>2</v>
      </c>
      <c r="E315">
        <v>2050</v>
      </c>
      <c r="F315" t="s">
        <v>470</v>
      </c>
      <c r="G315">
        <v>0.43973282281440296</v>
      </c>
      <c r="H315">
        <v>40.904963321839858</v>
      </c>
      <c r="I315" t="s">
        <v>466</v>
      </c>
      <c r="J315" t="s">
        <v>467</v>
      </c>
      <c r="K315">
        <v>5</v>
      </c>
    </row>
    <row r="316" spans="1:11" x14ac:dyDescent="0.25">
      <c r="A316" t="s">
        <v>563</v>
      </c>
      <c r="B316">
        <v>544.98714531254325</v>
      </c>
      <c r="C316">
        <v>32.963746610890354</v>
      </c>
      <c r="D316">
        <v>2</v>
      </c>
      <c r="E316">
        <v>2050</v>
      </c>
      <c r="F316" t="s">
        <v>470</v>
      </c>
      <c r="G316">
        <v>0.43973282281440296</v>
      </c>
      <c r="H316">
        <v>40.904963321839858</v>
      </c>
      <c r="I316" t="s">
        <v>466</v>
      </c>
      <c r="J316" t="s">
        <v>467</v>
      </c>
      <c r="K316">
        <v>6</v>
      </c>
    </row>
    <row r="317" spans="1:11" x14ac:dyDescent="0.25">
      <c r="A317" t="s">
        <v>557</v>
      </c>
      <c r="B317">
        <v>368.49264304649057</v>
      </c>
      <c r="C317">
        <v>24.047229946106935</v>
      </c>
      <c r="D317">
        <v>2</v>
      </c>
      <c r="E317">
        <v>2050</v>
      </c>
      <c r="F317" t="s">
        <v>470</v>
      </c>
      <c r="G317">
        <v>3.3352600505112324</v>
      </c>
      <c r="H317">
        <v>28.317330968290975</v>
      </c>
      <c r="I317" t="s">
        <v>466</v>
      </c>
      <c r="J317" t="s">
        <v>468</v>
      </c>
      <c r="K317">
        <v>0</v>
      </c>
    </row>
    <row r="318" spans="1:11" x14ac:dyDescent="0.25">
      <c r="A318" t="s">
        <v>558</v>
      </c>
      <c r="B318">
        <v>482.77679786033906</v>
      </c>
      <c r="C318">
        <v>31.120218097099865</v>
      </c>
      <c r="D318">
        <v>2</v>
      </c>
      <c r="E318">
        <v>2050</v>
      </c>
      <c r="F318" t="s">
        <v>470</v>
      </c>
      <c r="G318">
        <v>3.3352600505112324</v>
      </c>
      <c r="H318">
        <v>28.317330968290975</v>
      </c>
      <c r="I318" t="s">
        <v>466</v>
      </c>
      <c r="J318" t="s">
        <v>468</v>
      </c>
      <c r="K318">
        <v>1</v>
      </c>
    </row>
    <row r="319" spans="1:11" x14ac:dyDescent="0.25">
      <c r="A319" t="s">
        <v>559</v>
      </c>
      <c r="B319">
        <v>630.74951004584432</v>
      </c>
      <c r="C319">
        <v>37.923750559205821</v>
      </c>
      <c r="D319">
        <v>2</v>
      </c>
      <c r="E319">
        <v>2050</v>
      </c>
      <c r="F319" t="s">
        <v>470</v>
      </c>
      <c r="G319">
        <v>3.3352600505112324</v>
      </c>
      <c r="H319">
        <v>28.317330968290975</v>
      </c>
      <c r="I319" t="s">
        <v>466</v>
      </c>
      <c r="J319" t="s">
        <v>468</v>
      </c>
      <c r="K319">
        <v>2</v>
      </c>
    </row>
    <row r="320" spans="1:11" x14ac:dyDescent="0.25">
      <c r="A320" t="s">
        <v>560</v>
      </c>
      <c r="B320">
        <v>542.6845589744255</v>
      </c>
      <c r="C320">
        <v>34.12243771326618</v>
      </c>
      <c r="D320">
        <v>2</v>
      </c>
      <c r="E320">
        <v>2050</v>
      </c>
      <c r="F320" t="s">
        <v>470</v>
      </c>
      <c r="G320">
        <v>3.3352600505112324</v>
      </c>
      <c r="H320">
        <v>28.317330968290975</v>
      </c>
      <c r="I320" t="s">
        <v>466</v>
      </c>
      <c r="J320" t="s">
        <v>468</v>
      </c>
      <c r="K320">
        <v>3</v>
      </c>
    </row>
    <row r="321" spans="1:11" x14ac:dyDescent="0.25">
      <c r="A321" t="s">
        <v>561</v>
      </c>
      <c r="B321">
        <v>494.86071223701236</v>
      </c>
      <c r="C321">
        <v>31.535184685085028</v>
      </c>
      <c r="D321">
        <v>2</v>
      </c>
      <c r="E321">
        <v>2050</v>
      </c>
      <c r="F321" t="s">
        <v>470</v>
      </c>
      <c r="G321">
        <v>3.3352600505112324</v>
      </c>
      <c r="H321">
        <v>28.317330968290975</v>
      </c>
      <c r="I321" t="s">
        <v>466</v>
      </c>
      <c r="J321" t="s">
        <v>468</v>
      </c>
      <c r="K321">
        <v>4</v>
      </c>
    </row>
    <row r="322" spans="1:11" x14ac:dyDescent="0.25">
      <c r="A322" t="s">
        <v>562</v>
      </c>
      <c r="B322">
        <v>661.34314261285579</v>
      </c>
      <c r="C322">
        <v>38.650853631358338</v>
      </c>
      <c r="D322">
        <v>2</v>
      </c>
      <c r="E322">
        <v>2050</v>
      </c>
      <c r="F322" t="s">
        <v>470</v>
      </c>
      <c r="G322">
        <v>3.3352600505112324</v>
      </c>
      <c r="H322">
        <v>28.317330968290975</v>
      </c>
      <c r="I322" t="s">
        <v>466</v>
      </c>
      <c r="J322" t="s">
        <v>468</v>
      </c>
      <c r="K322">
        <v>5</v>
      </c>
    </row>
    <row r="323" spans="1:11" x14ac:dyDescent="0.25">
      <c r="A323" t="s">
        <v>563</v>
      </c>
      <c r="B323">
        <v>547.83665676023372</v>
      </c>
      <c r="C323">
        <v>35.396175573590327</v>
      </c>
      <c r="D323">
        <v>2</v>
      </c>
      <c r="E323">
        <v>2050</v>
      </c>
      <c r="F323" t="s">
        <v>470</v>
      </c>
      <c r="G323">
        <v>3.3352600505112324</v>
      </c>
      <c r="H323">
        <v>28.317330968290975</v>
      </c>
      <c r="I323" t="s">
        <v>466</v>
      </c>
      <c r="J323" t="s">
        <v>468</v>
      </c>
      <c r="K323">
        <v>6</v>
      </c>
    </row>
    <row r="324" spans="1:11" x14ac:dyDescent="0.25">
      <c r="A324" t="s">
        <v>557</v>
      </c>
      <c r="B324">
        <v>353.09987171595293</v>
      </c>
      <c r="C324">
        <v>23.046296746815678</v>
      </c>
      <c r="D324">
        <v>2</v>
      </c>
      <c r="E324">
        <v>2050</v>
      </c>
      <c r="F324" t="s">
        <v>470</v>
      </c>
      <c r="G324">
        <v>3.3353050828855784</v>
      </c>
      <c r="H324">
        <v>28.317096100750604</v>
      </c>
      <c r="I324" t="s">
        <v>469</v>
      </c>
      <c r="J324" t="s">
        <v>467</v>
      </c>
      <c r="K324">
        <v>0</v>
      </c>
    </row>
    <row r="325" spans="1:11" x14ac:dyDescent="0.25">
      <c r="A325" t="s">
        <v>558</v>
      </c>
      <c r="B325">
        <v>477.20497737631649</v>
      </c>
      <c r="C325">
        <v>31.702673595585608</v>
      </c>
      <c r="D325">
        <v>2</v>
      </c>
      <c r="E325">
        <v>2050</v>
      </c>
      <c r="F325" t="s">
        <v>470</v>
      </c>
      <c r="G325">
        <v>3.3353050828855784</v>
      </c>
      <c r="H325">
        <v>28.317096100750604</v>
      </c>
      <c r="I325" t="s">
        <v>469</v>
      </c>
      <c r="J325" t="s">
        <v>467</v>
      </c>
      <c r="K325">
        <v>1</v>
      </c>
    </row>
    <row r="326" spans="1:11" x14ac:dyDescent="0.25">
      <c r="A326" t="s">
        <v>559</v>
      </c>
      <c r="B326">
        <v>627.13639415648368</v>
      </c>
      <c r="C326">
        <v>38.087137613109711</v>
      </c>
      <c r="D326">
        <v>2</v>
      </c>
      <c r="E326">
        <v>2050</v>
      </c>
      <c r="F326" t="s">
        <v>470</v>
      </c>
      <c r="G326">
        <v>3.3353050828855784</v>
      </c>
      <c r="H326">
        <v>28.317096100750604</v>
      </c>
      <c r="I326" t="s">
        <v>469</v>
      </c>
      <c r="J326" t="s">
        <v>467</v>
      </c>
      <c r="K326">
        <v>2</v>
      </c>
    </row>
    <row r="327" spans="1:11" x14ac:dyDescent="0.25">
      <c r="A327" t="s">
        <v>560</v>
      </c>
      <c r="B327">
        <v>504.83730706753698</v>
      </c>
      <c r="C327">
        <v>32.668213724829045</v>
      </c>
      <c r="D327">
        <v>2</v>
      </c>
      <c r="E327">
        <v>2050</v>
      </c>
      <c r="F327" t="s">
        <v>470</v>
      </c>
      <c r="G327">
        <v>3.3353050828855784</v>
      </c>
      <c r="H327">
        <v>28.317096100750604</v>
      </c>
      <c r="I327" t="s">
        <v>469</v>
      </c>
      <c r="J327" t="s">
        <v>467</v>
      </c>
      <c r="K327">
        <v>3</v>
      </c>
    </row>
    <row r="328" spans="1:11" x14ac:dyDescent="0.25">
      <c r="A328" t="s">
        <v>561</v>
      </c>
      <c r="B328">
        <v>527.94066705085152</v>
      </c>
      <c r="C328">
        <v>32.919162327449371</v>
      </c>
      <c r="D328">
        <v>2</v>
      </c>
      <c r="E328">
        <v>2050</v>
      </c>
      <c r="F328" t="s">
        <v>470</v>
      </c>
      <c r="G328">
        <v>3.3353050828855784</v>
      </c>
      <c r="H328">
        <v>28.317096100750604</v>
      </c>
      <c r="I328" t="s">
        <v>469</v>
      </c>
      <c r="J328" t="s">
        <v>467</v>
      </c>
      <c r="K328">
        <v>4</v>
      </c>
    </row>
    <row r="329" spans="1:11" x14ac:dyDescent="0.25">
      <c r="A329" t="s">
        <v>562</v>
      </c>
      <c r="B329">
        <v>661.4701623922532</v>
      </c>
      <c r="C329">
        <v>38.656522793238338</v>
      </c>
      <c r="D329">
        <v>2</v>
      </c>
      <c r="E329">
        <v>2050</v>
      </c>
      <c r="F329" t="s">
        <v>470</v>
      </c>
      <c r="G329">
        <v>3.3353050828855784</v>
      </c>
      <c r="H329">
        <v>28.317096100750604</v>
      </c>
      <c r="I329" t="s">
        <v>469</v>
      </c>
      <c r="J329" t="s">
        <v>467</v>
      </c>
      <c r="K329">
        <v>5</v>
      </c>
    </row>
    <row r="330" spans="1:11" x14ac:dyDescent="0.25">
      <c r="A330" t="s">
        <v>563</v>
      </c>
      <c r="B330">
        <v>558.06576038965818</v>
      </c>
      <c r="C330">
        <v>34.893413476396084</v>
      </c>
      <c r="D330">
        <v>2</v>
      </c>
      <c r="E330">
        <v>2050</v>
      </c>
      <c r="F330" t="s">
        <v>470</v>
      </c>
      <c r="G330">
        <v>3.3353050828855784</v>
      </c>
      <c r="H330">
        <v>28.317096100750604</v>
      </c>
      <c r="I330" t="s">
        <v>469</v>
      </c>
      <c r="J330" t="s">
        <v>467</v>
      </c>
      <c r="K330">
        <v>6</v>
      </c>
    </row>
    <row r="331" spans="1:11" x14ac:dyDescent="0.25">
      <c r="A331" t="s">
        <v>557</v>
      </c>
      <c r="B331">
        <v>356.35108058447321</v>
      </c>
      <c r="C331">
        <v>23.011736626533143</v>
      </c>
      <c r="D331">
        <v>2</v>
      </c>
      <c r="E331">
        <v>2050</v>
      </c>
      <c r="F331" t="s">
        <v>470</v>
      </c>
      <c r="G331">
        <v>4.4724341190011065</v>
      </c>
      <c r="H331">
        <v>22.387411834093427</v>
      </c>
      <c r="I331" t="s">
        <v>469</v>
      </c>
      <c r="J331" t="s">
        <v>468</v>
      </c>
      <c r="K331">
        <v>0</v>
      </c>
    </row>
    <row r="332" spans="1:11" x14ac:dyDescent="0.25">
      <c r="A332" t="s">
        <v>558</v>
      </c>
      <c r="B332">
        <v>502.33206936398983</v>
      </c>
      <c r="C332">
        <v>32.407994313206743</v>
      </c>
      <c r="D332">
        <v>2</v>
      </c>
      <c r="E332">
        <v>2050</v>
      </c>
      <c r="F332" t="s">
        <v>470</v>
      </c>
      <c r="G332">
        <v>4.4724341190011065</v>
      </c>
      <c r="H332">
        <v>22.387411834093427</v>
      </c>
      <c r="I332" t="s">
        <v>469</v>
      </c>
      <c r="J332" t="s">
        <v>468</v>
      </c>
      <c r="K332">
        <v>1</v>
      </c>
    </row>
    <row r="333" spans="1:11" x14ac:dyDescent="0.25">
      <c r="A333" t="s">
        <v>559</v>
      </c>
      <c r="B333">
        <v>649.87963079443591</v>
      </c>
      <c r="C333">
        <v>41.712174876744051</v>
      </c>
      <c r="D333">
        <v>2</v>
      </c>
      <c r="E333">
        <v>2050</v>
      </c>
      <c r="F333" t="s">
        <v>470</v>
      </c>
      <c r="G333">
        <v>4.4724341190011065</v>
      </c>
      <c r="H333">
        <v>22.387411834093427</v>
      </c>
      <c r="I333" t="s">
        <v>469</v>
      </c>
      <c r="J333" t="s">
        <v>468</v>
      </c>
      <c r="K333">
        <v>2</v>
      </c>
    </row>
    <row r="334" spans="1:11" x14ac:dyDescent="0.25">
      <c r="A334" t="s">
        <v>560</v>
      </c>
      <c r="B334">
        <v>534.74299015231509</v>
      </c>
      <c r="C334">
        <v>35.085958251070544</v>
      </c>
      <c r="D334">
        <v>2</v>
      </c>
      <c r="E334">
        <v>2050</v>
      </c>
      <c r="F334" t="s">
        <v>470</v>
      </c>
      <c r="G334">
        <v>4.4724341190011065</v>
      </c>
      <c r="H334">
        <v>22.387411834093427</v>
      </c>
      <c r="I334" t="s">
        <v>469</v>
      </c>
      <c r="J334" t="s">
        <v>468</v>
      </c>
      <c r="K334">
        <v>3</v>
      </c>
    </row>
    <row r="335" spans="1:11" x14ac:dyDescent="0.25">
      <c r="A335" t="s">
        <v>561</v>
      </c>
      <c r="B335">
        <v>481.11447578890227</v>
      </c>
      <c r="C335">
        <v>31.652403213451983</v>
      </c>
      <c r="D335">
        <v>2</v>
      </c>
      <c r="E335">
        <v>2050</v>
      </c>
      <c r="F335" t="s">
        <v>470</v>
      </c>
      <c r="G335">
        <v>4.4724341190011065</v>
      </c>
      <c r="H335">
        <v>22.387411834093427</v>
      </c>
      <c r="I335" t="s">
        <v>469</v>
      </c>
      <c r="J335" t="s">
        <v>468</v>
      </c>
      <c r="K335">
        <v>4</v>
      </c>
    </row>
    <row r="336" spans="1:11" x14ac:dyDescent="0.25">
      <c r="A336" t="s">
        <v>562</v>
      </c>
      <c r="B336">
        <v>696.35192341016227</v>
      </c>
      <c r="C336">
        <v>43.09023494630501</v>
      </c>
      <c r="D336">
        <v>2</v>
      </c>
      <c r="E336">
        <v>2050</v>
      </c>
      <c r="F336" t="s">
        <v>470</v>
      </c>
      <c r="G336">
        <v>4.4724341190011065</v>
      </c>
      <c r="H336">
        <v>22.387411834093427</v>
      </c>
      <c r="I336" t="s">
        <v>469</v>
      </c>
      <c r="J336" t="s">
        <v>468</v>
      </c>
      <c r="K336">
        <v>5</v>
      </c>
    </row>
    <row r="337" spans="1:11" x14ac:dyDescent="0.25">
      <c r="A337" t="s">
        <v>563</v>
      </c>
      <c r="B337">
        <v>571.23650499110011</v>
      </c>
      <c r="C337">
        <v>38.169744724507531</v>
      </c>
      <c r="D337">
        <v>2</v>
      </c>
      <c r="E337">
        <v>2050</v>
      </c>
      <c r="F337" t="s">
        <v>470</v>
      </c>
      <c r="G337">
        <v>4.4724341190011065</v>
      </c>
      <c r="H337">
        <v>22.387411834093427</v>
      </c>
      <c r="I337" t="s">
        <v>469</v>
      </c>
      <c r="J337" t="s">
        <v>468</v>
      </c>
      <c r="K337">
        <v>6</v>
      </c>
    </row>
    <row r="338" spans="1:11" x14ac:dyDescent="0.25">
      <c r="A338" t="s">
        <v>557</v>
      </c>
      <c r="B338">
        <v>346.00748452336273</v>
      </c>
      <c r="C338">
        <v>22.704999652832313</v>
      </c>
      <c r="D338">
        <v>2</v>
      </c>
      <c r="E338">
        <v>2035</v>
      </c>
      <c r="F338" t="s">
        <v>471</v>
      </c>
      <c r="G338">
        <v>1.1795345918491358</v>
      </c>
      <c r="H338">
        <v>30.218307964786675</v>
      </c>
      <c r="I338" t="s">
        <v>466</v>
      </c>
      <c r="J338" t="s">
        <v>467</v>
      </c>
      <c r="K338">
        <v>0</v>
      </c>
    </row>
    <row r="339" spans="1:11" x14ac:dyDescent="0.25">
      <c r="A339" t="s">
        <v>558</v>
      </c>
      <c r="B339">
        <v>508.35682604356174</v>
      </c>
      <c r="C339">
        <v>33.151916696579399</v>
      </c>
      <c r="D339">
        <v>2</v>
      </c>
      <c r="E339">
        <v>2035</v>
      </c>
      <c r="F339" t="s">
        <v>471</v>
      </c>
      <c r="G339">
        <v>1.1795345918491358</v>
      </c>
      <c r="H339">
        <v>30.218307964786675</v>
      </c>
      <c r="I339" t="s">
        <v>466</v>
      </c>
      <c r="J339" t="s">
        <v>467</v>
      </c>
      <c r="K339">
        <v>1</v>
      </c>
    </row>
    <row r="340" spans="1:11" x14ac:dyDescent="0.25">
      <c r="A340" t="s">
        <v>559</v>
      </c>
      <c r="B340">
        <v>650.17711798986954</v>
      </c>
      <c r="C340">
        <v>39.480306803510508</v>
      </c>
      <c r="D340">
        <v>2</v>
      </c>
      <c r="E340">
        <v>2035</v>
      </c>
      <c r="F340" t="s">
        <v>471</v>
      </c>
      <c r="G340">
        <v>1.1795345918491358</v>
      </c>
      <c r="H340">
        <v>30.218307964786675</v>
      </c>
      <c r="I340" t="s">
        <v>466</v>
      </c>
      <c r="J340" t="s">
        <v>467</v>
      </c>
      <c r="K340">
        <v>2</v>
      </c>
    </row>
    <row r="341" spans="1:11" x14ac:dyDescent="0.25">
      <c r="A341" t="s">
        <v>560</v>
      </c>
      <c r="B341">
        <v>595.67488254720945</v>
      </c>
      <c r="C341">
        <v>37.638206510768441</v>
      </c>
      <c r="D341">
        <v>2</v>
      </c>
      <c r="E341">
        <v>2035</v>
      </c>
      <c r="F341" t="s">
        <v>471</v>
      </c>
      <c r="G341">
        <v>1.1795345918491358</v>
      </c>
      <c r="H341">
        <v>30.218307964786675</v>
      </c>
      <c r="I341" t="s">
        <v>466</v>
      </c>
      <c r="J341" t="s">
        <v>467</v>
      </c>
      <c r="K341">
        <v>3</v>
      </c>
    </row>
    <row r="342" spans="1:11" x14ac:dyDescent="0.25">
      <c r="A342" t="s">
        <v>561</v>
      </c>
      <c r="B342">
        <v>543.41696493822883</v>
      </c>
      <c r="C342">
        <v>33.364549136820756</v>
      </c>
      <c r="D342">
        <v>2</v>
      </c>
      <c r="E342">
        <v>2035</v>
      </c>
      <c r="F342" t="s">
        <v>471</v>
      </c>
      <c r="G342">
        <v>1.1795345918491358</v>
      </c>
      <c r="H342">
        <v>30.218307964786675</v>
      </c>
      <c r="I342" t="s">
        <v>466</v>
      </c>
      <c r="J342" t="s">
        <v>467</v>
      </c>
      <c r="K342">
        <v>4</v>
      </c>
    </row>
    <row r="343" spans="1:11" x14ac:dyDescent="0.25">
      <c r="A343" t="s">
        <v>562</v>
      </c>
      <c r="B343">
        <v>660.12617063722507</v>
      </c>
      <c r="C343">
        <v>39.945986554676033</v>
      </c>
      <c r="D343">
        <v>2</v>
      </c>
      <c r="E343">
        <v>2035</v>
      </c>
      <c r="F343" t="s">
        <v>471</v>
      </c>
      <c r="G343">
        <v>1.1795345918491358</v>
      </c>
      <c r="H343">
        <v>30.218307964786675</v>
      </c>
      <c r="I343" t="s">
        <v>466</v>
      </c>
      <c r="J343" t="s">
        <v>467</v>
      </c>
      <c r="K343">
        <v>5</v>
      </c>
    </row>
    <row r="344" spans="1:11" x14ac:dyDescent="0.25">
      <c r="A344" t="s">
        <v>563</v>
      </c>
      <c r="B344">
        <v>598.10501474550779</v>
      </c>
      <c r="C344">
        <v>37.352717844072828</v>
      </c>
      <c r="D344">
        <v>2</v>
      </c>
      <c r="E344">
        <v>2035</v>
      </c>
      <c r="F344" t="s">
        <v>471</v>
      </c>
      <c r="G344">
        <v>1.1795345918491358</v>
      </c>
      <c r="H344">
        <v>30.218307964786675</v>
      </c>
      <c r="I344" t="s">
        <v>466</v>
      </c>
      <c r="J344" t="s">
        <v>467</v>
      </c>
      <c r="K344">
        <v>6</v>
      </c>
    </row>
    <row r="345" spans="1:11" x14ac:dyDescent="0.25">
      <c r="A345" t="s">
        <v>557</v>
      </c>
      <c r="B345">
        <v>395.18764615185421</v>
      </c>
      <c r="C345">
        <v>25.866723948635347</v>
      </c>
      <c r="D345">
        <v>2</v>
      </c>
      <c r="E345">
        <v>2035</v>
      </c>
      <c r="F345" t="s">
        <v>471</v>
      </c>
      <c r="G345">
        <v>2.3976104661461459</v>
      </c>
      <c r="H345">
        <v>30.229787595850269</v>
      </c>
      <c r="I345" t="s">
        <v>466</v>
      </c>
      <c r="J345" t="s">
        <v>468</v>
      </c>
      <c r="K345">
        <v>0</v>
      </c>
    </row>
    <row r="346" spans="1:11" x14ac:dyDescent="0.25">
      <c r="A346" t="s">
        <v>558</v>
      </c>
      <c r="B346">
        <v>498.04889335897991</v>
      </c>
      <c r="C346">
        <v>33.148544743990627</v>
      </c>
      <c r="D346">
        <v>2</v>
      </c>
      <c r="E346">
        <v>2035</v>
      </c>
      <c r="F346" t="s">
        <v>471</v>
      </c>
      <c r="G346">
        <v>2.3976104661461459</v>
      </c>
      <c r="H346">
        <v>30.229787595850269</v>
      </c>
      <c r="I346" t="s">
        <v>466</v>
      </c>
      <c r="J346" t="s">
        <v>468</v>
      </c>
      <c r="K346">
        <v>1</v>
      </c>
    </row>
    <row r="347" spans="1:11" x14ac:dyDescent="0.25">
      <c r="A347" t="s">
        <v>559</v>
      </c>
      <c r="B347">
        <v>654.74331832684436</v>
      </c>
      <c r="C347">
        <v>38.725797219464923</v>
      </c>
      <c r="D347">
        <v>2</v>
      </c>
      <c r="E347">
        <v>2035</v>
      </c>
      <c r="F347" t="s">
        <v>471</v>
      </c>
      <c r="G347">
        <v>2.3976104661461459</v>
      </c>
      <c r="H347">
        <v>30.229787595850269</v>
      </c>
      <c r="I347" t="s">
        <v>466</v>
      </c>
      <c r="J347" t="s">
        <v>468</v>
      </c>
      <c r="K347">
        <v>2</v>
      </c>
    </row>
    <row r="348" spans="1:11" x14ac:dyDescent="0.25">
      <c r="A348" t="s">
        <v>560</v>
      </c>
      <c r="B348">
        <v>584.6278547200958</v>
      </c>
      <c r="C348">
        <v>35.806188972773434</v>
      </c>
      <c r="D348">
        <v>2</v>
      </c>
      <c r="E348">
        <v>2035</v>
      </c>
      <c r="F348" t="s">
        <v>471</v>
      </c>
      <c r="G348">
        <v>2.3976104661461459</v>
      </c>
      <c r="H348">
        <v>30.229787595850269</v>
      </c>
      <c r="I348" t="s">
        <v>466</v>
      </c>
      <c r="J348" t="s">
        <v>468</v>
      </c>
      <c r="K348">
        <v>3</v>
      </c>
    </row>
    <row r="349" spans="1:11" x14ac:dyDescent="0.25">
      <c r="A349" t="s">
        <v>561</v>
      </c>
      <c r="B349">
        <v>531.44621138638195</v>
      </c>
      <c r="C349">
        <v>33.461128459453278</v>
      </c>
      <c r="D349">
        <v>2</v>
      </c>
      <c r="E349">
        <v>2035</v>
      </c>
      <c r="F349" t="s">
        <v>471</v>
      </c>
      <c r="G349">
        <v>2.3976104661461459</v>
      </c>
      <c r="H349">
        <v>30.229787595850269</v>
      </c>
      <c r="I349" t="s">
        <v>466</v>
      </c>
      <c r="J349" t="s">
        <v>468</v>
      </c>
      <c r="K349">
        <v>4</v>
      </c>
    </row>
    <row r="350" spans="1:11" x14ac:dyDescent="0.25">
      <c r="A350" t="s">
        <v>562</v>
      </c>
      <c r="B350">
        <v>656.79941554415666</v>
      </c>
      <c r="C350">
        <v>39.320364925121204</v>
      </c>
      <c r="D350">
        <v>2</v>
      </c>
      <c r="E350">
        <v>2035</v>
      </c>
      <c r="F350" t="s">
        <v>471</v>
      </c>
      <c r="G350">
        <v>2.3976104661461459</v>
      </c>
      <c r="H350">
        <v>30.229787595850269</v>
      </c>
      <c r="I350" t="s">
        <v>466</v>
      </c>
      <c r="J350" t="s">
        <v>468</v>
      </c>
      <c r="K350">
        <v>5</v>
      </c>
    </row>
    <row r="351" spans="1:11" x14ac:dyDescent="0.25">
      <c r="A351" t="s">
        <v>563</v>
      </c>
      <c r="B351">
        <v>574.21851119118935</v>
      </c>
      <c r="C351">
        <v>35.745555684946204</v>
      </c>
      <c r="D351">
        <v>2</v>
      </c>
      <c r="E351">
        <v>2035</v>
      </c>
      <c r="F351" t="s">
        <v>471</v>
      </c>
      <c r="G351">
        <v>2.3976104661461459</v>
      </c>
      <c r="H351">
        <v>30.229787595850269</v>
      </c>
      <c r="I351" t="s">
        <v>466</v>
      </c>
      <c r="J351" t="s">
        <v>468</v>
      </c>
      <c r="K351">
        <v>6</v>
      </c>
    </row>
    <row r="352" spans="1:11" x14ac:dyDescent="0.25">
      <c r="A352" t="s">
        <v>557</v>
      </c>
      <c r="B352">
        <v>380.35893100357634</v>
      </c>
      <c r="C352">
        <v>25.248510243735787</v>
      </c>
      <c r="D352">
        <v>2</v>
      </c>
      <c r="E352">
        <v>2035</v>
      </c>
      <c r="F352" t="s">
        <v>471</v>
      </c>
      <c r="G352">
        <v>0.83900528233133231</v>
      </c>
      <c r="H352">
        <v>34.884683237612364</v>
      </c>
      <c r="I352" t="s">
        <v>469</v>
      </c>
      <c r="J352" t="s">
        <v>467</v>
      </c>
      <c r="K352">
        <v>0</v>
      </c>
    </row>
    <row r="353" spans="1:11" x14ac:dyDescent="0.25">
      <c r="A353" t="s">
        <v>558</v>
      </c>
      <c r="B353">
        <v>525.31082857355568</v>
      </c>
      <c r="C353">
        <v>34.194619449971398</v>
      </c>
      <c r="D353">
        <v>2</v>
      </c>
      <c r="E353">
        <v>2035</v>
      </c>
      <c r="F353" t="s">
        <v>471</v>
      </c>
      <c r="G353">
        <v>0.83900528233133231</v>
      </c>
      <c r="H353">
        <v>34.884683237612364</v>
      </c>
      <c r="I353" t="s">
        <v>469</v>
      </c>
      <c r="J353" t="s">
        <v>467</v>
      </c>
      <c r="K353">
        <v>1</v>
      </c>
    </row>
    <row r="354" spans="1:11" x14ac:dyDescent="0.25">
      <c r="A354" t="s">
        <v>559</v>
      </c>
      <c r="B354">
        <v>614.38188074148138</v>
      </c>
      <c r="C354">
        <v>36.700606963637483</v>
      </c>
      <c r="D354">
        <v>2</v>
      </c>
      <c r="E354">
        <v>2035</v>
      </c>
      <c r="F354" t="s">
        <v>471</v>
      </c>
      <c r="G354">
        <v>0.83900528233133231</v>
      </c>
      <c r="H354">
        <v>34.884683237612364</v>
      </c>
      <c r="I354" t="s">
        <v>469</v>
      </c>
      <c r="J354" t="s">
        <v>467</v>
      </c>
      <c r="K354">
        <v>2</v>
      </c>
    </row>
    <row r="355" spans="1:11" x14ac:dyDescent="0.25">
      <c r="A355" t="s">
        <v>560</v>
      </c>
      <c r="B355">
        <v>574.25238123234158</v>
      </c>
      <c r="C355">
        <v>35.086686326328959</v>
      </c>
      <c r="D355">
        <v>2</v>
      </c>
      <c r="E355">
        <v>2035</v>
      </c>
      <c r="F355" t="s">
        <v>471</v>
      </c>
      <c r="G355">
        <v>0.83900528233133231</v>
      </c>
      <c r="H355">
        <v>34.884683237612364</v>
      </c>
      <c r="I355" t="s">
        <v>469</v>
      </c>
      <c r="J355" t="s">
        <v>467</v>
      </c>
      <c r="K355">
        <v>3</v>
      </c>
    </row>
    <row r="356" spans="1:11" x14ac:dyDescent="0.25">
      <c r="A356" t="s">
        <v>561</v>
      </c>
      <c r="B356">
        <v>531.40126757543044</v>
      </c>
      <c r="C356">
        <v>33.245198669685081</v>
      </c>
      <c r="D356">
        <v>2</v>
      </c>
      <c r="E356">
        <v>2035</v>
      </c>
      <c r="F356" t="s">
        <v>471</v>
      </c>
      <c r="G356">
        <v>0.83900528233133231</v>
      </c>
      <c r="H356">
        <v>34.884683237612364</v>
      </c>
      <c r="I356" t="s">
        <v>469</v>
      </c>
      <c r="J356" t="s">
        <v>467</v>
      </c>
      <c r="K356">
        <v>4</v>
      </c>
    </row>
    <row r="357" spans="1:11" x14ac:dyDescent="0.25">
      <c r="A357" t="s">
        <v>562</v>
      </c>
      <c r="B357">
        <v>644.45821421342055</v>
      </c>
      <c r="C357">
        <v>37.634177505981398</v>
      </c>
      <c r="D357">
        <v>2</v>
      </c>
      <c r="E357">
        <v>2035</v>
      </c>
      <c r="F357" t="s">
        <v>471</v>
      </c>
      <c r="G357">
        <v>0.83900528233133231</v>
      </c>
      <c r="H357">
        <v>34.884683237612364</v>
      </c>
      <c r="I357" t="s">
        <v>469</v>
      </c>
      <c r="J357" t="s">
        <v>467</v>
      </c>
      <c r="K357">
        <v>5</v>
      </c>
    </row>
    <row r="358" spans="1:11" x14ac:dyDescent="0.25">
      <c r="A358" t="s">
        <v>563</v>
      </c>
      <c r="B358">
        <v>619.05345635187359</v>
      </c>
      <c r="C358">
        <v>37.435321232424364</v>
      </c>
      <c r="D358">
        <v>2</v>
      </c>
      <c r="E358">
        <v>2035</v>
      </c>
      <c r="F358" t="s">
        <v>471</v>
      </c>
      <c r="G358">
        <v>0.83900528233133231</v>
      </c>
      <c r="H358">
        <v>34.884683237612364</v>
      </c>
      <c r="I358" t="s">
        <v>469</v>
      </c>
      <c r="J358" t="s">
        <v>467</v>
      </c>
      <c r="K358">
        <v>6</v>
      </c>
    </row>
    <row r="359" spans="1:11" x14ac:dyDescent="0.25">
      <c r="A359" t="s">
        <v>557</v>
      </c>
      <c r="B359">
        <v>385.23297063911048</v>
      </c>
      <c r="C359">
        <v>25.333572520437187</v>
      </c>
      <c r="D359">
        <v>2</v>
      </c>
      <c r="E359">
        <v>2035</v>
      </c>
      <c r="F359" t="s">
        <v>471</v>
      </c>
      <c r="G359">
        <v>2.078301212178252</v>
      </c>
      <c r="H359">
        <v>34.871881256828516</v>
      </c>
      <c r="I359" t="s">
        <v>469</v>
      </c>
      <c r="J359" t="s">
        <v>468</v>
      </c>
      <c r="K359">
        <v>0</v>
      </c>
    </row>
    <row r="360" spans="1:11" x14ac:dyDescent="0.25">
      <c r="A360" t="s">
        <v>558</v>
      </c>
      <c r="B360">
        <v>503.40456391142442</v>
      </c>
      <c r="C360">
        <v>33.616870982541869</v>
      </c>
      <c r="D360">
        <v>2</v>
      </c>
      <c r="E360">
        <v>2035</v>
      </c>
      <c r="F360" t="s">
        <v>471</v>
      </c>
      <c r="G360">
        <v>2.078301212178252</v>
      </c>
      <c r="H360">
        <v>34.871881256828516</v>
      </c>
      <c r="I360" t="s">
        <v>469</v>
      </c>
      <c r="J360" t="s">
        <v>468</v>
      </c>
      <c r="K360">
        <v>1</v>
      </c>
    </row>
    <row r="361" spans="1:11" x14ac:dyDescent="0.25">
      <c r="A361" t="s">
        <v>559</v>
      </c>
      <c r="B361">
        <v>634.26021338694261</v>
      </c>
      <c r="C361">
        <v>34.653539035110413</v>
      </c>
      <c r="D361">
        <v>2</v>
      </c>
      <c r="E361">
        <v>2035</v>
      </c>
      <c r="F361" t="s">
        <v>471</v>
      </c>
      <c r="G361">
        <v>2.078301212178252</v>
      </c>
      <c r="H361">
        <v>34.871881256828516</v>
      </c>
      <c r="I361" t="s">
        <v>469</v>
      </c>
      <c r="J361" t="s">
        <v>468</v>
      </c>
      <c r="K361">
        <v>2</v>
      </c>
    </row>
    <row r="362" spans="1:11" x14ac:dyDescent="0.25">
      <c r="A362" t="s">
        <v>560</v>
      </c>
      <c r="B362">
        <v>550.98591486511577</v>
      </c>
      <c r="C362">
        <v>33.088323279475802</v>
      </c>
      <c r="D362">
        <v>2</v>
      </c>
      <c r="E362">
        <v>2035</v>
      </c>
      <c r="F362" t="s">
        <v>471</v>
      </c>
      <c r="G362">
        <v>2.078301212178252</v>
      </c>
      <c r="H362">
        <v>34.871881256828516</v>
      </c>
      <c r="I362" t="s">
        <v>469</v>
      </c>
      <c r="J362" t="s">
        <v>468</v>
      </c>
      <c r="K362">
        <v>3</v>
      </c>
    </row>
    <row r="363" spans="1:11" x14ac:dyDescent="0.25">
      <c r="A363" t="s">
        <v>561</v>
      </c>
      <c r="B363">
        <v>500.98798603142529</v>
      </c>
      <c r="C363">
        <v>32.342662800002053</v>
      </c>
      <c r="D363">
        <v>2</v>
      </c>
      <c r="E363">
        <v>2035</v>
      </c>
      <c r="F363" t="s">
        <v>471</v>
      </c>
      <c r="G363">
        <v>2.078301212178252</v>
      </c>
      <c r="H363">
        <v>34.871881256828516</v>
      </c>
      <c r="I363" t="s">
        <v>469</v>
      </c>
      <c r="J363" t="s">
        <v>468</v>
      </c>
      <c r="K363">
        <v>4</v>
      </c>
    </row>
    <row r="364" spans="1:11" x14ac:dyDescent="0.25">
      <c r="A364" t="s">
        <v>562</v>
      </c>
      <c r="B364">
        <v>654.0146054516581</v>
      </c>
      <c r="C364">
        <v>36.233498622423774</v>
      </c>
      <c r="D364">
        <v>2</v>
      </c>
      <c r="E364">
        <v>2035</v>
      </c>
      <c r="F364" t="s">
        <v>471</v>
      </c>
      <c r="G364">
        <v>2.078301212178252</v>
      </c>
      <c r="H364">
        <v>34.871881256828516</v>
      </c>
      <c r="I364" t="s">
        <v>469</v>
      </c>
      <c r="J364" t="s">
        <v>468</v>
      </c>
      <c r="K364">
        <v>5</v>
      </c>
    </row>
    <row r="365" spans="1:11" x14ac:dyDescent="0.25">
      <c r="A365" t="s">
        <v>563</v>
      </c>
      <c r="B365">
        <v>593.03669923546624</v>
      </c>
      <c r="C365">
        <v>34.736453318388271</v>
      </c>
      <c r="D365">
        <v>2</v>
      </c>
      <c r="E365">
        <v>2035</v>
      </c>
      <c r="F365" t="s">
        <v>471</v>
      </c>
      <c r="G365">
        <v>2.078301212178252</v>
      </c>
      <c r="H365">
        <v>34.871881256828516</v>
      </c>
      <c r="I365" t="s">
        <v>469</v>
      </c>
      <c r="J365" t="s">
        <v>468</v>
      </c>
      <c r="K365">
        <v>6</v>
      </c>
    </row>
    <row r="366" spans="1:11" x14ac:dyDescent="0.25">
      <c r="A366" t="s">
        <v>557</v>
      </c>
      <c r="B366">
        <v>335.09576403049965</v>
      </c>
      <c r="C366">
        <v>22.641007945471941</v>
      </c>
      <c r="D366">
        <v>2</v>
      </c>
      <c r="E366">
        <v>2050</v>
      </c>
      <c r="F366" t="s">
        <v>471</v>
      </c>
      <c r="G366">
        <v>0.43904377062082173</v>
      </c>
      <c r="H366">
        <v>40.859369719542144</v>
      </c>
      <c r="I366" t="s">
        <v>466</v>
      </c>
      <c r="J366" t="s">
        <v>467</v>
      </c>
      <c r="K366">
        <v>0</v>
      </c>
    </row>
    <row r="367" spans="1:11" x14ac:dyDescent="0.25">
      <c r="A367" t="s">
        <v>558</v>
      </c>
      <c r="B367">
        <v>430.04838408716427</v>
      </c>
      <c r="C367">
        <v>28.777900243425211</v>
      </c>
      <c r="D367">
        <v>2</v>
      </c>
      <c r="E367">
        <v>2050</v>
      </c>
      <c r="F367" t="s">
        <v>471</v>
      </c>
      <c r="G367">
        <v>0.43904377062082173</v>
      </c>
      <c r="H367">
        <v>40.859369719542144</v>
      </c>
      <c r="I367" t="s">
        <v>466</v>
      </c>
      <c r="J367" t="s">
        <v>467</v>
      </c>
      <c r="K367">
        <v>1</v>
      </c>
    </row>
    <row r="368" spans="1:11" x14ac:dyDescent="0.25">
      <c r="A368" t="s">
        <v>559</v>
      </c>
      <c r="B368">
        <v>556.91402652048612</v>
      </c>
      <c r="C368">
        <v>32.643574902039163</v>
      </c>
      <c r="D368">
        <v>2</v>
      </c>
      <c r="E368">
        <v>2050</v>
      </c>
      <c r="F368" t="s">
        <v>471</v>
      </c>
      <c r="G368">
        <v>0.43904377062082173</v>
      </c>
      <c r="H368">
        <v>40.859369719542144</v>
      </c>
      <c r="I368" t="s">
        <v>466</v>
      </c>
      <c r="J368" t="s">
        <v>467</v>
      </c>
      <c r="K368">
        <v>2</v>
      </c>
    </row>
    <row r="369" spans="1:11" x14ac:dyDescent="0.25">
      <c r="A369" t="s">
        <v>560</v>
      </c>
      <c r="B369">
        <v>502.25271598917567</v>
      </c>
      <c r="C369">
        <v>31.056885879184595</v>
      </c>
      <c r="D369">
        <v>2</v>
      </c>
      <c r="E369">
        <v>2050</v>
      </c>
      <c r="F369" t="s">
        <v>471</v>
      </c>
      <c r="G369">
        <v>0.43904377062082173</v>
      </c>
      <c r="H369">
        <v>40.859369719542144</v>
      </c>
      <c r="I369" t="s">
        <v>466</v>
      </c>
      <c r="J369" t="s">
        <v>467</v>
      </c>
      <c r="K369">
        <v>3</v>
      </c>
    </row>
    <row r="370" spans="1:11" x14ac:dyDescent="0.25">
      <c r="A370" t="s">
        <v>561</v>
      </c>
      <c r="B370">
        <v>462.00839807338986</v>
      </c>
      <c r="C370">
        <v>29.782467368329243</v>
      </c>
      <c r="D370">
        <v>2</v>
      </c>
      <c r="E370">
        <v>2050</v>
      </c>
      <c r="F370" t="s">
        <v>471</v>
      </c>
      <c r="G370">
        <v>0.43904377062082173</v>
      </c>
      <c r="H370">
        <v>40.859369719542144</v>
      </c>
      <c r="I370" t="s">
        <v>466</v>
      </c>
      <c r="J370" t="s">
        <v>467</v>
      </c>
      <c r="K370">
        <v>4</v>
      </c>
    </row>
    <row r="371" spans="1:11" x14ac:dyDescent="0.25">
      <c r="A371" t="s">
        <v>562</v>
      </c>
      <c r="B371">
        <v>594.88300716661104</v>
      </c>
      <c r="C371">
        <v>35.789904102749624</v>
      </c>
      <c r="D371">
        <v>2</v>
      </c>
      <c r="E371">
        <v>2050</v>
      </c>
      <c r="F371" t="s">
        <v>471</v>
      </c>
      <c r="G371">
        <v>0.43904377062082173</v>
      </c>
      <c r="H371">
        <v>40.859369719542144</v>
      </c>
      <c r="I371" t="s">
        <v>466</v>
      </c>
      <c r="J371" t="s">
        <v>467</v>
      </c>
      <c r="K371">
        <v>5</v>
      </c>
    </row>
    <row r="372" spans="1:11" x14ac:dyDescent="0.25">
      <c r="A372" t="s">
        <v>563</v>
      </c>
      <c r="B372">
        <v>555.56922032845716</v>
      </c>
      <c r="C372">
        <v>32.135116129051426</v>
      </c>
      <c r="D372">
        <v>2</v>
      </c>
      <c r="E372">
        <v>2050</v>
      </c>
      <c r="F372" t="s">
        <v>471</v>
      </c>
      <c r="G372">
        <v>0.43904377062082173</v>
      </c>
      <c r="H372">
        <v>40.859369719542144</v>
      </c>
      <c r="I372" t="s">
        <v>466</v>
      </c>
      <c r="J372" t="s">
        <v>467</v>
      </c>
      <c r="K372">
        <v>6</v>
      </c>
    </row>
    <row r="373" spans="1:11" x14ac:dyDescent="0.25">
      <c r="A373" t="s">
        <v>557</v>
      </c>
      <c r="B373">
        <v>325.75737433289913</v>
      </c>
      <c r="C373">
        <v>21.120783957584326</v>
      </c>
      <c r="D373">
        <v>2</v>
      </c>
      <c r="E373">
        <v>2050</v>
      </c>
      <c r="F373" t="s">
        <v>471</v>
      </c>
      <c r="G373">
        <v>3.3352551084662374</v>
      </c>
      <c r="H373">
        <v>28.317357736985599</v>
      </c>
      <c r="I373" t="s">
        <v>466</v>
      </c>
      <c r="J373" t="s">
        <v>468</v>
      </c>
      <c r="K373">
        <v>0</v>
      </c>
    </row>
    <row r="374" spans="1:11" x14ac:dyDescent="0.25">
      <c r="A374" t="s">
        <v>558</v>
      </c>
      <c r="B374">
        <v>472.29505781241534</v>
      </c>
      <c r="C374">
        <v>32.823073883899504</v>
      </c>
      <c r="D374">
        <v>2</v>
      </c>
      <c r="E374">
        <v>2050</v>
      </c>
      <c r="F374" t="s">
        <v>471</v>
      </c>
      <c r="G374">
        <v>3.3352551084662374</v>
      </c>
      <c r="H374">
        <v>28.317357736985599</v>
      </c>
      <c r="I374" t="s">
        <v>466</v>
      </c>
      <c r="J374" t="s">
        <v>468</v>
      </c>
      <c r="K374">
        <v>1</v>
      </c>
    </row>
    <row r="375" spans="1:11" x14ac:dyDescent="0.25">
      <c r="A375" t="s">
        <v>559</v>
      </c>
      <c r="B375">
        <v>598.87769257269815</v>
      </c>
      <c r="C375">
        <v>35.880360804598617</v>
      </c>
      <c r="D375">
        <v>2</v>
      </c>
      <c r="E375">
        <v>2050</v>
      </c>
      <c r="F375" t="s">
        <v>471</v>
      </c>
      <c r="G375">
        <v>3.3352551084662374</v>
      </c>
      <c r="H375">
        <v>28.317357736985599</v>
      </c>
      <c r="I375" t="s">
        <v>466</v>
      </c>
      <c r="J375" t="s">
        <v>468</v>
      </c>
      <c r="K375">
        <v>2</v>
      </c>
    </row>
    <row r="376" spans="1:11" x14ac:dyDescent="0.25">
      <c r="A376" t="s">
        <v>560</v>
      </c>
      <c r="B376">
        <v>536.56088800732005</v>
      </c>
      <c r="C376">
        <v>34.316477662495224</v>
      </c>
      <c r="D376">
        <v>2</v>
      </c>
      <c r="E376">
        <v>2050</v>
      </c>
      <c r="F376" t="s">
        <v>471</v>
      </c>
      <c r="G376">
        <v>3.3352551084662374</v>
      </c>
      <c r="H376">
        <v>28.317357736985599</v>
      </c>
      <c r="I376" t="s">
        <v>466</v>
      </c>
      <c r="J376" t="s">
        <v>468</v>
      </c>
      <c r="K376">
        <v>3</v>
      </c>
    </row>
    <row r="377" spans="1:11" x14ac:dyDescent="0.25">
      <c r="A377" t="s">
        <v>561</v>
      </c>
      <c r="B377">
        <v>454.02687533568616</v>
      </c>
      <c r="C377">
        <v>30.230708198897336</v>
      </c>
      <c r="D377">
        <v>2</v>
      </c>
      <c r="E377">
        <v>2050</v>
      </c>
      <c r="F377" t="s">
        <v>471</v>
      </c>
      <c r="G377">
        <v>3.3352551084662374</v>
      </c>
      <c r="H377">
        <v>28.317357736985599</v>
      </c>
      <c r="I377" t="s">
        <v>466</v>
      </c>
      <c r="J377" t="s">
        <v>468</v>
      </c>
      <c r="K377">
        <v>4</v>
      </c>
    </row>
    <row r="378" spans="1:11" x14ac:dyDescent="0.25">
      <c r="A378" t="s">
        <v>562</v>
      </c>
      <c r="B378">
        <v>628.40330982333671</v>
      </c>
      <c r="C378">
        <v>37.449137487230452</v>
      </c>
      <c r="D378">
        <v>2</v>
      </c>
      <c r="E378">
        <v>2050</v>
      </c>
      <c r="F378" t="s">
        <v>471</v>
      </c>
      <c r="G378">
        <v>3.3352551084662374</v>
      </c>
      <c r="H378">
        <v>28.317357736985599</v>
      </c>
      <c r="I378" t="s">
        <v>466</v>
      </c>
      <c r="J378" t="s">
        <v>468</v>
      </c>
      <c r="K378">
        <v>5</v>
      </c>
    </row>
    <row r="379" spans="1:11" x14ac:dyDescent="0.25">
      <c r="A379" t="s">
        <v>563</v>
      </c>
      <c r="B379">
        <v>517.0490110341575</v>
      </c>
      <c r="C379">
        <v>34.87609074123587</v>
      </c>
      <c r="D379">
        <v>2</v>
      </c>
      <c r="E379">
        <v>2050</v>
      </c>
      <c r="F379" t="s">
        <v>471</v>
      </c>
      <c r="G379">
        <v>3.3352551084662374</v>
      </c>
      <c r="H379">
        <v>28.317357736985599</v>
      </c>
      <c r="I379" t="s">
        <v>466</v>
      </c>
      <c r="J379" t="s">
        <v>468</v>
      </c>
      <c r="K379">
        <v>6</v>
      </c>
    </row>
    <row r="380" spans="1:11" x14ac:dyDescent="0.25">
      <c r="A380" t="s">
        <v>557</v>
      </c>
      <c r="B380">
        <v>375.73186632437199</v>
      </c>
      <c r="C380">
        <v>24.550024227716001</v>
      </c>
      <c r="D380">
        <v>2</v>
      </c>
      <c r="E380">
        <v>2050</v>
      </c>
      <c r="F380" t="s">
        <v>471</v>
      </c>
      <c r="G380">
        <v>0.50988244190436782</v>
      </c>
      <c r="H380">
        <v>34.875644935243912</v>
      </c>
      <c r="I380" t="s">
        <v>469</v>
      </c>
      <c r="J380" t="s">
        <v>467</v>
      </c>
      <c r="K380">
        <v>0</v>
      </c>
    </row>
    <row r="381" spans="1:11" x14ac:dyDescent="0.25">
      <c r="A381" t="s">
        <v>558</v>
      </c>
      <c r="B381">
        <v>437.9288453997786</v>
      </c>
      <c r="C381">
        <v>28.825517904973673</v>
      </c>
      <c r="D381">
        <v>2</v>
      </c>
      <c r="E381">
        <v>2050</v>
      </c>
      <c r="F381" t="s">
        <v>471</v>
      </c>
      <c r="G381">
        <v>0.50988244190436782</v>
      </c>
      <c r="H381">
        <v>34.875644935243912</v>
      </c>
      <c r="I381" t="s">
        <v>469</v>
      </c>
      <c r="J381" t="s">
        <v>467</v>
      </c>
      <c r="K381">
        <v>1</v>
      </c>
    </row>
    <row r="382" spans="1:11" x14ac:dyDescent="0.25">
      <c r="A382" t="s">
        <v>559</v>
      </c>
      <c r="B382">
        <v>608.3597898414065</v>
      </c>
      <c r="C382">
        <v>35.637340867617219</v>
      </c>
      <c r="D382">
        <v>2</v>
      </c>
      <c r="E382">
        <v>2050</v>
      </c>
      <c r="F382" t="s">
        <v>471</v>
      </c>
      <c r="G382">
        <v>0.50988244190436782</v>
      </c>
      <c r="H382">
        <v>34.875644935243912</v>
      </c>
      <c r="I382" t="s">
        <v>469</v>
      </c>
      <c r="J382" t="s">
        <v>467</v>
      </c>
      <c r="K382">
        <v>2</v>
      </c>
    </row>
    <row r="383" spans="1:11" x14ac:dyDescent="0.25">
      <c r="A383" t="s">
        <v>560</v>
      </c>
      <c r="B383">
        <v>507.67551603315775</v>
      </c>
      <c r="C383">
        <v>31.903144695257765</v>
      </c>
      <c r="D383">
        <v>2</v>
      </c>
      <c r="E383">
        <v>2050</v>
      </c>
      <c r="F383" t="s">
        <v>471</v>
      </c>
      <c r="G383">
        <v>0.50988244190436782</v>
      </c>
      <c r="H383">
        <v>34.875644935243912</v>
      </c>
      <c r="I383" t="s">
        <v>469</v>
      </c>
      <c r="J383" t="s">
        <v>467</v>
      </c>
      <c r="K383">
        <v>3</v>
      </c>
    </row>
    <row r="384" spans="1:11" x14ac:dyDescent="0.25">
      <c r="A384" t="s">
        <v>561</v>
      </c>
      <c r="B384">
        <v>496.28474588200686</v>
      </c>
      <c r="C384">
        <v>30.257907320659431</v>
      </c>
      <c r="D384">
        <v>2</v>
      </c>
      <c r="E384">
        <v>2050</v>
      </c>
      <c r="F384" t="s">
        <v>471</v>
      </c>
      <c r="G384">
        <v>0.50988244190436782</v>
      </c>
      <c r="H384">
        <v>34.875644935243912</v>
      </c>
      <c r="I384" t="s">
        <v>469</v>
      </c>
      <c r="J384" t="s">
        <v>467</v>
      </c>
      <c r="K384">
        <v>4</v>
      </c>
    </row>
    <row r="385" spans="1:11" x14ac:dyDescent="0.25">
      <c r="A385" t="s">
        <v>562</v>
      </c>
      <c r="B385">
        <v>606.56735273192078</v>
      </c>
      <c r="C385">
        <v>35.600606275194522</v>
      </c>
      <c r="D385">
        <v>2</v>
      </c>
      <c r="E385">
        <v>2050</v>
      </c>
      <c r="F385" t="s">
        <v>471</v>
      </c>
      <c r="G385">
        <v>0.50988244190436782</v>
      </c>
      <c r="H385">
        <v>34.875644935243912</v>
      </c>
      <c r="I385" t="s">
        <v>469</v>
      </c>
      <c r="J385" t="s">
        <v>467</v>
      </c>
      <c r="K385">
        <v>5</v>
      </c>
    </row>
    <row r="386" spans="1:11" x14ac:dyDescent="0.25">
      <c r="A386" t="s">
        <v>563</v>
      </c>
      <c r="B386">
        <v>523.26781534326892</v>
      </c>
      <c r="C386">
        <v>33.804630353089188</v>
      </c>
      <c r="D386">
        <v>2</v>
      </c>
      <c r="E386">
        <v>2050</v>
      </c>
      <c r="F386" t="s">
        <v>471</v>
      </c>
      <c r="G386">
        <v>0.50988244190436782</v>
      </c>
      <c r="H386">
        <v>34.875644935243912</v>
      </c>
      <c r="I386" t="s">
        <v>469</v>
      </c>
      <c r="J386" t="s">
        <v>467</v>
      </c>
      <c r="K386">
        <v>6</v>
      </c>
    </row>
    <row r="387" spans="1:11" x14ac:dyDescent="0.25">
      <c r="A387" t="s">
        <v>557</v>
      </c>
      <c r="B387">
        <v>330.98128423221414</v>
      </c>
      <c r="C387">
        <v>21.2222566334835</v>
      </c>
      <c r="D387">
        <v>2</v>
      </c>
      <c r="E387">
        <v>2050</v>
      </c>
      <c r="F387" t="s">
        <v>471</v>
      </c>
      <c r="G387">
        <v>4.4724315501479204</v>
      </c>
      <c r="H387">
        <v>22.387423635279646</v>
      </c>
      <c r="I387" t="s">
        <v>469</v>
      </c>
      <c r="J387" t="s">
        <v>468</v>
      </c>
      <c r="K387">
        <v>0</v>
      </c>
    </row>
    <row r="388" spans="1:11" x14ac:dyDescent="0.25">
      <c r="A388" t="s">
        <v>558</v>
      </c>
      <c r="B388">
        <v>481.88248201122536</v>
      </c>
      <c r="C388">
        <v>33.353189232866534</v>
      </c>
      <c r="D388">
        <v>2</v>
      </c>
      <c r="E388">
        <v>2050</v>
      </c>
      <c r="F388" t="s">
        <v>471</v>
      </c>
      <c r="G388">
        <v>4.4724315501479204</v>
      </c>
      <c r="H388">
        <v>22.387423635279646</v>
      </c>
      <c r="I388" t="s">
        <v>469</v>
      </c>
      <c r="J388" t="s">
        <v>468</v>
      </c>
      <c r="K388">
        <v>1</v>
      </c>
    </row>
    <row r="389" spans="1:11" x14ac:dyDescent="0.25">
      <c r="A389" t="s">
        <v>559</v>
      </c>
      <c r="B389">
        <v>618.93699361461654</v>
      </c>
      <c r="C389">
        <v>39.411701970678273</v>
      </c>
      <c r="D389">
        <v>2</v>
      </c>
      <c r="E389">
        <v>2050</v>
      </c>
      <c r="F389" t="s">
        <v>471</v>
      </c>
      <c r="G389">
        <v>4.4724315501479204</v>
      </c>
      <c r="H389">
        <v>22.387423635279646</v>
      </c>
      <c r="I389" t="s">
        <v>469</v>
      </c>
      <c r="J389" t="s">
        <v>468</v>
      </c>
      <c r="K389">
        <v>2</v>
      </c>
    </row>
    <row r="390" spans="1:11" x14ac:dyDescent="0.25">
      <c r="A390" t="s">
        <v>560</v>
      </c>
      <c r="B390">
        <v>516.82737631931127</v>
      </c>
      <c r="C390">
        <v>34.868606715124137</v>
      </c>
      <c r="D390">
        <v>2</v>
      </c>
      <c r="E390">
        <v>2050</v>
      </c>
      <c r="F390" t="s">
        <v>471</v>
      </c>
      <c r="G390">
        <v>4.4724315501479204</v>
      </c>
      <c r="H390">
        <v>22.387423635279646</v>
      </c>
      <c r="I390" t="s">
        <v>469</v>
      </c>
      <c r="J390" t="s">
        <v>468</v>
      </c>
      <c r="K390">
        <v>3</v>
      </c>
    </row>
    <row r="391" spans="1:11" x14ac:dyDescent="0.25">
      <c r="A391" t="s">
        <v>561</v>
      </c>
      <c r="B391">
        <v>459.42786316151228</v>
      </c>
      <c r="C391">
        <v>31.69975563953372</v>
      </c>
      <c r="D391">
        <v>2</v>
      </c>
      <c r="E391">
        <v>2050</v>
      </c>
      <c r="F391" t="s">
        <v>471</v>
      </c>
      <c r="G391">
        <v>4.4724315501479204</v>
      </c>
      <c r="H391">
        <v>22.387423635279646</v>
      </c>
      <c r="I391" t="s">
        <v>469</v>
      </c>
      <c r="J391" t="s">
        <v>468</v>
      </c>
      <c r="K391">
        <v>4</v>
      </c>
    </row>
    <row r="392" spans="1:11" x14ac:dyDescent="0.25">
      <c r="A392" t="s">
        <v>562</v>
      </c>
      <c r="B392">
        <v>667.00883643601151</v>
      </c>
      <c r="C392">
        <v>41.335231947513414</v>
      </c>
      <c r="D392">
        <v>2</v>
      </c>
      <c r="E392">
        <v>2050</v>
      </c>
      <c r="F392" t="s">
        <v>471</v>
      </c>
      <c r="G392">
        <v>4.4724315501479204</v>
      </c>
      <c r="H392">
        <v>22.387423635279646</v>
      </c>
      <c r="I392" t="s">
        <v>469</v>
      </c>
      <c r="J392" t="s">
        <v>468</v>
      </c>
      <c r="K392">
        <v>5</v>
      </c>
    </row>
    <row r="393" spans="1:11" x14ac:dyDescent="0.25">
      <c r="A393" t="s">
        <v>563</v>
      </c>
      <c r="B393">
        <v>548.61605557939788</v>
      </c>
      <c r="C393">
        <v>37.692643991375071</v>
      </c>
      <c r="D393">
        <v>2</v>
      </c>
      <c r="E393">
        <v>2050</v>
      </c>
      <c r="F393" t="s">
        <v>471</v>
      </c>
      <c r="G393">
        <v>4.4724315501479204</v>
      </c>
      <c r="H393">
        <v>22.387423635279646</v>
      </c>
      <c r="I393" t="s">
        <v>469</v>
      </c>
      <c r="J393" t="s">
        <v>468</v>
      </c>
      <c r="K393">
        <v>6</v>
      </c>
    </row>
    <row r="394" spans="1:11" x14ac:dyDescent="0.25">
      <c r="A394" t="s">
        <v>557</v>
      </c>
      <c r="B394">
        <v>348.22924767354323</v>
      </c>
      <c r="C394">
        <v>23.403510560213245</v>
      </c>
      <c r="D394">
        <v>2</v>
      </c>
      <c r="E394">
        <v>2035</v>
      </c>
      <c r="F394" t="s">
        <v>472</v>
      </c>
      <c r="G394">
        <v>1.2997264383854206</v>
      </c>
      <c r="H394">
        <v>30.192394284522607</v>
      </c>
      <c r="I394" t="s">
        <v>466</v>
      </c>
      <c r="J394" t="s">
        <v>467</v>
      </c>
      <c r="K394">
        <v>0</v>
      </c>
    </row>
    <row r="395" spans="1:11" x14ac:dyDescent="0.25">
      <c r="A395" t="s">
        <v>558</v>
      </c>
      <c r="B395">
        <v>547.03102339089969</v>
      </c>
      <c r="C395">
        <v>35.967906562780776</v>
      </c>
      <c r="D395">
        <v>2</v>
      </c>
      <c r="E395">
        <v>2035</v>
      </c>
      <c r="F395" t="s">
        <v>472</v>
      </c>
      <c r="G395">
        <v>1.2997264383854206</v>
      </c>
      <c r="H395">
        <v>30.192394284522607</v>
      </c>
      <c r="I395" t="s">
        <v>466</v>
      </c>
      <c r="J395" t="s">
        <v>467</v>
      </c>
      <c r="K395">
        <v>1</v>
      </c>
    </row>
    <row r="396" spans="1:11" x14ac:dyDescent="0.25">
      <c r="A396" t="s">
        <v>559</v>
      </c>
      <c r="B396">
        <v>661.8687103713246</v>
      </c>
      <c r="C396">
        <v>38.614168664143165</v>
      </c>
      <c r="D396">
        <v>2</v>
      </c>
      <c r="E396">
        <v>2035</v>
      </c>
      <c r="F396" t="s">
        <v>472</v>
      </c>
      <c r="G396">
        <v>1.2997264383854206</v>
      </c>
      <c r="H396">
        <v>30.192394284522607</v>
      </c>
      <c r="I396" t="s">
        <v>466</v>
      </c>
      <c r="J396" t="s">
        <v>467</v>
      </c>
      <c r="K396">
        <v>2</v>
      </c>
    </row>
    <row r="397" spans="1:11" x14ac:dyDescent="0.25">
      <c r="A397" t="s">
        <v>560</v>
      </c>
      <c r="B397">
        <v>550.45839653194685</v>
      </c>
      <c r="C397">
        <v>32.55095960680061</v>
      </c>
      <c r="D397">
        <v>2</v>
      </c>
      <c r="E397">
        <v>2035</v>
      </c>
      <c r="F397" t="s">
        <v>472</v>
      </c>
      <c r="G397">
        <v>1.2997264383854206</v>
      </c>
      <c r="H397">
        <v>30.192394284522607</v>
      </c>
      <c r="I397" t="s">
        <v>466</v>
      </c>
      <c r="J397" t="s">
        <v>467</v>
      </c>
      <c r="K397">
        <v>3</v>
      </c>
    </row>
    <row r="398" spans="1:11" x14ac:dyDescent="0.25">
      <c r="A398" t="s">
        <v>561</v>
      </c>
      <c r="B398">
        <v>536.35571887960896</v>
      </c>
      <c r="C398">
        <v>33.804994252897089</v>
      </c>
      <c r="D398">
        <v>2</v>
      </c>
      <c r="E398">
        <v>2035</v>
      </c>
      <c r="F398" t="s">
        <v>472</v>
      </c>
      <c r="G398">
        <v>1.2997264383854206</v>
      </c>
      <c r="H398">
        <v>30.192394284522607</v>
      </c>
      <c r="I398" t="s">
        <v>466</v>
      </c>
      <c r="J398" t="s">
        <v>467</v>
      </c>
      <c r="K398">
        <v>4</v>
      </c>
    </row>
    <row r="399" spans="1:11" x14ac:dyDescent="0.25">
      <c r="A399" t="s">
        <v>562</v>
      </c>
      <c r="B399">
        <v>708.32975193963011</v>
      </c>
      <c r="C399">
        <v>42.100227969706104</v>
      </c>
      <c r="D399">
        <v>2</v>
      </c>
      <c r="E399">
        <v>2035</v>
      </c>
      <c r="F399" t="s">
        <v>472</v>
      </c>
      <c r="G399">
        <v>1.2997264383854206</v>
      </c>
      <c r="H399">
        <v>30.192394284522607</v>
      </c>
      <c r="I399" t="s">
        <v>466</v>
      </c>
      <c r="J399" t="s">
        <v>467</v>
      </c>
      <c r="K399">
        <v>5</v>
      </c>
    </row>
    <row r="400" spans="1:11" x14ac:dyDescent="0.25">
      <c r="A400" t="s">
        <v>563</v>
      </c>
      <c r="B400">
        <v>613.47292122706961</v>
      </c>
      <c r="C400">
        <v>37.315508316928444</v>
      </c>
      <c r="D400">
        <v>2</v>
      </c>
      <c r="E400">
        <v>2035</v>
      </c>
      <c r="F400" t="s">
        <v>472</v>
      </c>
      <c r="G400">
        <v>1.2997264383854206</v>
      </c>
      <c r="H400">
        <v>30.192394284522607</v>
      </c>
      <c r="I400" t="s">
        <v>466</v>
      </c>
      <c r="J400" t="s">
        <v>467</v>
      </c>
      <c r="K400">
        <v>6</v>
      </c>
    </row>
    <row r="401" spans="1:11" x14ac:dyDescent="0.25">
      <c r="A401" t="s">
        <v>557</v>
      </c>
      <c r="B401">
        <v>395.7544355559541</v>
      </c>
      <c r="C401">
        <v>25.97434048706852</v>
      </c>
      <c r="D401">
        <v>2</v>
      </c>
      <c r="E401">
        <v>2035</v>
      </c>
      <c r="F401" t="s">
        <v>472</v>
      </c>
      <c r="G401">
        <v>2.3979177120182817</v>
      </c>
      <c r="H401">
        <v>30.213810856173041</v>
      </c>
      <c r="I401" t="s">
        <v>466</v>
      </c>
      <c r="J401" t="s">
        <v>468</v>
      </c>
      <c r="K401">
        <v>0</v>
      </c>
    </row>
    <row r="402" spans="1:11" x14ac:dyDescent="0.25">
      <c r="A402" t="s">
        <v>558</v>
      </c>
      <c r="B402">
        <v>518.4383130365178</v>
      </c>
      <c r="C402">
        <v>34.754130274458603</v>
      </c>
      <c r="D402">
        <v>2</v>
      </c>
      <c r="E402">
        <v>2035</v>
      </c>
      <c r="F402" t="s">
        <v>472</v>
      </c>
      <c r="G402">
        <v>2.3979177120182817</v>
      </c>
      <c r="H402">
        <v>30.213810856173041</v>
      </c>
      <c r="I402" t="s">
        <v>466</v>
      </c>
      <c r="J402" t="s">
        <v>468</v>
      </c>
      <c r="K402">
        <v>1</v>
      </c>
    </row>
    <row r="403" spans="1:11" x14ac:dyDescent="0.25">
      <c r="A403" t="s">
        <v>559</v>
      </c>
      <c r="B403">
        <v>606.10519409685651</v>
      </c>
      <c r="C403">
        <v>34.588382043031217</v>
      </c>
      <c r="D403">
        <v>2</v>
      </c>
      <c r="E403">
        <v>2035</v>
      </c>
      <c r="F403" t="s">
        <v>472</v>
      </c>
      <c r="G403">
        <v>2.3979177120182817</v>
      </c>
      <c r="H403">
        <v>30.213810856173041</v>
      </c>
      <c r="I403" t="s">
        <v>466</v>
      </c>
      <c r="J403" t="s">
        <v>468</v>
      </c>
      <c r="K403">
        <v>2</v>
      </c>
    </row>
    <row r="404" spans="1:11" x14ac:dyDescent="0.25">
      <c r="A404" t="s">
        <v>560</v>
      </c>
      <c r="B404">
        <v>582.66092051941189</v>
      </c>
      <c r="C404">
        <v>34.795992920907494</v>
      </c>
      <c r="D404">
        <v>2</v>
      </c>
      <c r="E404">
        <v>2035</v>
      </c>
      <c r="F404" t="s">
        <v>472</v>
      </c>
      <c r="G404">
        <v>2.3979177120182817</v>
      </c>
      <c r="H404">
        <v>30.213810856173041</v>
      </c>
      <c r="I404" t="s">
        <v>466</v>
      </c>
      <c r="J404" t="s">
        <v>468</v>
      </c>
      <c r="K404">
        <v>3</v>
      </c>
    </row>
    <row r="405" spans="1:11" x14ac:dyDescent="0.25">
      <c r="A405" t="s">
        <v>561</v>
      </c>
      <c r="B405">
        <v>533.93950034452973</v>
      </c>
      <c r="C405">
        <v>34.362198191723564</v>
      </c>
      <c r="D405">
        <v>2</v>
      </c>
      <c r="E405">
        <v>2035</v>
      </c>
      <c r="F405" t="s">
        <v>472</v>
      </c>
      <c r="G405">
        <v>2.3979177120182817</v>
      </c>
      <c r="H405">
        <v>30.213810856173041</v>
      </c>
      <c r="I405" t="s">
        <v>466</v>
      </c>
      <c r="J405" t="s">
        <v>468</v>
      </c>
      <c r="K405">
        <v>4</v>
      </c>
    </row>
    <row r="406" spans="1:11" x14ac:dyDescent="0.25">
      <c r="A406" t="s">
        <v>562</v>
      </c>
      <c r="B406">
        <v>679.36832610726015</v>
      </c>
      <c r="C406">
        <v>39.63392810075613</v>
      </c>
      <c r="D406">
        <v>2</v>
      </c>
      <c r="E406">
        <v>2035</v>
      </c>
      <c r="F406" t="s">
        <v>472</v>
      </c>
      <c r="G406">
        <v>2.3979177120182817</v>
      </c>
      <c r="H406">
        <v>30.213810856173041</v>
      </c>
      <c r="I406" t="s">
        <v>466</v>
      </c>
      <c r="J406" t="s">
        <v>468</v>
      </c>
      <c r="K406">
        <v>5</v>
      </c>
    </row>
    <row r="407" spans="1:11" x14ac:dyDescent="0.25">
      <c r="A407" t="s">
        <v>563</v>
      </c>
      <c r="B407">
        <v>608.492398052608</v>
      </c>
      <c r="C407">
        <v>36.715865076798217</v>
      </c>
      <c r="D407">
        <v>2</v>
      </c>
      <c r="E407">
        <v>2035</v>
      </c>
      <c r="F407" t="s">
        <v>472</v>
      </c>
      <c r="G407">
        <v>2.3979177120182817</v>
      </c>
      <c r="H407">
        <v>30.213810856173041</v>
      </c>
      <c r="I407" t="s">
        <v>466</v>
      </c>
      <c r="J407" t="s">
        <v>468</v>
      </c>
      <c r="K407">
        <v>6</v>
      </c>
    </row>
    <row r="408" spans="1:11" x14ac:dyDescent="0.25">
      <c r="A408" t="s">
        <v>557</v>
      </c>
      <c r="B408">
        <v>444.26221101951768</v>
      </c>
      <c r="C408">
        <v>29.128386866930779</v>
      </c>
      <c r="D408">
        <v>2</v>
      </c>
      <c r="E408">
        <v>2035</v>
      </c>
      <c r="F408" t="s">
        <v>472</v>
      </c>
      <c r="G408">
        <v>0.84201332883002822</v>
      </c>
      <c r="H408">
        <v>34.878229154333894</v>
      </c>
      <c r="I408" t="s">
        <v>469</v>
      </c>
      <c r="J408" t="s">
        <v>467</v>
      </c>
      <c r="K408">
        <v>0</v>
      </c>
    </row>
    <row r="409" spans="1:11" x14ac:dyDescent="0.25">
      <c r="A409" t="s">
        <v>558</v>
      </c>
      <c r="B409">
        <v>550.40737389956973</v>
      </c>
      <c r="C409">
        <v>36.276417402361361</v>
      </c>
      <c r="D409">
        <v>2</v>
      </c>
      <c r="E409">
        <v>2035</v>
      </c>
      <c r="F409" t="s">
        <v>472</v>
      </c>
      <c r="G409">
        <v>0.84201332883002822</v>
      </c>
      <c r="H409">
        <v>34.878229154333894</v>
      </c>
      <c r="I409" t="s">
        <v>469</v>
      </c>
      <c r="J409" t="s">
        <v>467</v>
      </c>
      <c r="K409">
        <v>1</v>
      </c>
    </row>
    <row r="410" spans="1:11" x14ac:dyDescent="0.25">
      <c r="A410" t="s">
        <v>559</v>
      </c>
      <c r="B410">
        <v>551.49376033073042</v>
      </c>
      <c r="C410">
        <v>31.256944233269135</v>
      </c>
      <c r="D410">
        <v>2</v>
      </c>
      <c r="E410">
        <v>2035</v>
      </c>
      <c r="F410" t="s">
        <v>472</v>
      </c>
      <c r="G410">
        <v>0.84201332883002822</v>
      </c>
      <c r="H410">
        <v>34.878229154333894</v>
      </c>
      <c r="I410" t="s">
        <v>469</v>
      </c>
      <c r="J410" t="s">
        <v>467</v>
      </c>
      <c r="K410">
        <v>2</v>
      </c>
    </row>
    <row r="411" spans="1:11" x14ac:dyDescent="0.25">
      <c r="A411" t="s">
        <v>560</v>
      </c>
      <c r="B411">
        <v>619.68114271738148</v>
      </c>
      <c r="C411">
        <v>36.746570499594334</v>
      </c>
      <c r="D411">
        <v>2</v>
      </c>
      <c r="E411">
        <v>2035</v>
      </c>
      <c r="F411" t="s">
        <v>472</v>
      </c>
      <c r="G411">
        <v>0.84201332883002822</v>
      </c>
      <c r="H411">
        <v>34.878229154333894</v>
      </c>
      <c r="I411" t="s">
        <v>469</v>
      </c>
      <c r="J411" t="s">
        <v>467</v>
      </c>
      <c r="K411">
        <v>3</v>
      </c>
    </row>
    <row r="412" spans="1:11" x14ac:dyDescent="0.25">
      <c r="A412" t="s">
        <v>561</v>
      </c>
      <c r="B412">
        <v>557.34981993631948</v>
      </c>
      <c r="C412">
        <v>34.879399340554428</v>
      </c>
      <c r="D412">
        <v>2</v>
      </c>
      <c r="E412">
        <v>2035</v>
      </c>
      <c r="F412" t="s">
        <v>472</v>
      </c>
      <c r="G412">
        <v>0.84201332883002822</v>
      </c>
      <c r="H412">
        <v>34.878229154333894</v>
      </c>
      <c r="I412" t="s">
        <v>469</v>
      </c>
      <c r="J412" t="s">
        <v>467</v>
      </c>
      <c r="K412">
        <v>4</v>
      </c>
    </row>
    <row r="413" spans="1:11" x14ac:dyDescent="0.25">
      <c r="A413" t="s">
        <v>562</v>
      </c>
      <c r="B413">
        <v>684.9613466992048</v>
      </c>
      <c r="C413">
        <v>39.674543486599759</v>
      </c>
      <c r="D413">
        <v>2</v>
      </c>
      <c r="E413">
        <v>2035</v>
      </c>
      <c r="F413" t="s">
        <v>472</v>
      </c>
      <c r="G413">
        <v>0.84201332883002822</v>
      </c>
      <c r="H413">
        <v>34.878229154333894</v>
      </c>
      <c r="I413" t="s">
        <v>469</v>
      </c>
      <c r="J413" t="s">
        <v>467</v>
      </c>
      <c r="K413">
        <v>5</v>
      </c>
    </row>
    <row r="414" spans="1:11" x14ac:dyDescent="0.25">
      <c r="A414" t="s">
        <v>563</v>
      </c>
      <c r="B414">
        <v>622.31675680006231</v>
      </c>
      <c r="C414">
        <v>37.183520353368166</v>
      </c>
      <c r="D414">
        <v>2</v>
      </c>
      <c r="E414">
        <v>2035</v>
      </c>
      <c r="F414" t="s">
        <v>472</v>
      </c>
      <c r="G414">
        <v>0.84201332883002822</v>
      </c>
      <c r="H414">
        <v>34.878229154333894</v>
      </c>
      <c r="I414" t="s">
        <v>469</v>
      </c>
      <c r="J414" t="s">
        <v>467</v>
      </c>
      <c r="K414">
        <v>6</v>
      </c>
    </row>
    <row r="415" spans="1:11" x14ac:dyDescent="0.25">
      <c r="A415" t="s">
        <v>557</v>
      </c>
      <c r="B415">
        <v>424.649840351595</v>
      </c>
      <c r="C415">
        <v>27.982755053555994</v>
      </c>
      <c r="D415">
        <v>2</v>
      </c>
      <c r="E415">
        <v>2035</v>
      </c>
      <c r="F415" t="s">
        <v>472</v>
      </c>
      <c r="G415">
        <v>2.0425638573886737</v>
      </c>
      <c r="H415">
        <v>34.872579952693997</v>
      </c>
      <c r="I415" t="s">
        <v>469</v>
      </c>
      <c r="J415" t="s">
        <v>468</v>
      </c>
      <c r="K415">
        <v>0</v>
      </c>
    </row>
    <row r="416" spans="1:11" x14ac:dyDescent="0.25">
      <c r="A416" t="s">
        <v>558</v>
      </c>
      <c r="B416">
        <v>521.14008376884624</v>
      </c>
      <c r="C416">
        <v>35.143046453659103</v>
      </c>
      <c r="D416">
        <v>2</v>
      </c>
      <c r="E416">
        <v>2035</v>
      </c>
      <c r="F416" t="s">
        <v>472</v>
      </c>
      <c r="G416">
        <v>2.0425638573886737</v>
      </c>
      <c r="H416">
        <v>34.872579952693997</v>
      </c>
      <c r="I416" t="s">
        <v>469</v>
      </c>
      <c r="J416" t="s">
        <v>468</v>
      </c>
      <c r="K416">
        <v>1</v>
      </c>
    </row>
    <row r="417" spans="1:11" x14ac:dyDescent="0.25">
      <c r="A417" t="s">
        <v>559</v>
      </c>
      <c r="B417">
        <v>650.8073867116799</v>
      </c>
      <c r="C417">
        <v>36.233312486867327</v>
      </c>
      <c r="D417">
        <v>2</v>
      </c>
      <c r="E417">
        <v>2035</v>
      </c>
      <c r="F417" t="s">
        <v>472</v>
      </c>
      <c r="G417">
        <v>2.0425638573886737</v>
      </c>
      <c r="H417">
        <v>34.872579952693997</v>
      </c>
      <c r="I417" t="s">
        <v>469</v>
      </c>
      <c r="J417" t="s">
        <v>468</v>
      </c>
      <c r="K417">
        <v>2</v>
      </c>
    </row>
    <row r="418" spans="1:11" x14ac:dyDescent="0.25">
      <c r="A418" t="s">
        <v>560</v>
      </c>
      <c r="B418">
        <v>581.94454362389297</v>
      </c>
      <c r="C418">
        <v>34.175244695094271</v>
      </c>
      <c r="D418">
        <v>2</v>
      </c>
      <c r="E418">
        <v>2035</v>
      </c>
      <c r="F418" t="s">
        <v>472</v>
      </c>
      <c r="G418">
        <v>2.0425638573886737</v>
      </c>
      <c r="H418">
        <v>34.872579952693997</v>
      </c>
      <c r="I418" t="s">
        <v>469</v>
      </c>
      <c r="J418" t="s">
        <v>468</v>
      </c>
      <c r="K418">
        <v>3</v>
      </c>
    </row>
    <row r="419" spans="1:11" x14ac:dyDescent="0.25">
      <c r="A419" t="s">
        <v>561</v>
      </c>
      <c r="B419">
        <v>533.70030104921261</v>
      </c>
      <c r="C419">
        <v>34.566320472243575</v>
      </c>
      <c r="D419">
        <v>2</v>
      </c>
      <c r="E419">
        <v>2035</v>
      </c>
      <c r="F419" t="s">
        <v>472</v>
      </c>
      <c r="G419">
        <v>2.0425638573886737</v>
      </c>
      <c r="H419">
        <v>34.872579952693997</v>
      </c>
      <c r="I419" t="s">
        <v>469</v>
      </c>
      <c r="J419" t="s">
        <v>468</v>
      </c>
      <c r="K419">
        <v>4</v>
      </c>
    </row>
    <row r="420" spans="1:11" x14ac:dyDescent="0.25">
      <c r="A420" t="s">
        <v>562</v>
      </c>
      <c r="B420">
        <v>721.90155002927395</v>
      </c>
      <c r="C420">
        <v>40.544890449374648</v>
      </c>
      <c r="D420">
        <v>2</v>
      </c>
      <c r="E420">
        <v>2035</v>
      </c>
      <c r="F420" t="s">
        <v>472</v>
      </c>
      <c r="G420">
        <v>2.0425638573886737</v>
      </c>
      <c r="H420">
        <v>34.872579952693997</v>
      </c>
      <c r="I420" t="s">
        <v>469</v>
      </c>
      <c r="J420" t="s">
        <v>468</v>
      </c>
      <c r="K420">
        <v>5</v>
      </c>
    </row>
    <row r="421" spans="1:11" x14ac:dyDescent="0.25">
      <c r="A421" t="s">
        <v>563</v>
      </c>
      <c r="B421">
        <v>595.27075954100769</v>
      </c>
      <c r="C421">
        <v>34.606767175454543</v>
      </c>
      <c r="D421">
        <v>2</v>
      </c>
      <c r="E421">
        <v>2035</v>
      </c>
      <c r="F421" t="s">
        <v>472</v>
      </c>
      <c r="G421">
        <v>2.0425638573886737</v>
      </c>
      <c r="H421">
        <v>34.872579952693997</v>
      </c>
      <c r="I421" t="s">
        <v>469</v>
      </c>
      <c r="J421" t="s">
        <v>468</v>
      </c>
      <c r="K421">
        <v>6</v>
      </c>
    </row>
    <row r="422" spans="1:11" x14ac:dyDescent="0.25">
      <c r="A422" t="s">
        <v>557</v>
      </c>
      <c r="B422">
        <v>425.89189797079206</v>
      </c>
      <c r="C422">
        <v>28.204499605079292</v>
      </c>
      <c r="D422">
        <v>2</v>
      </c>
      <c r="E422">
        <v>2050</v>
      </c>
      <c r="F422" t="s">
        <v>472</v>
      </c>
      <c r="G422">
        <v>0.46363517130703219</v>
      </c>
      <c r="H422">
        <v>40.418246410966361</v>
      </c>
      <c r="I422" t="s">
        <v>466</v>
      </c>
      <c r="J422" t="s">
        <v>467</v>
      </c>
      <c r="K422">
        <v>0</v>
      </c>
    </row>
    <row r="423" spans="1:11" x14ac:dyDescent="0.25">
      <c r="A423" t="s">
        <v>558</v>
      </c>
      <c r="B423">
        <v>525.97802973236924</v>
      </c>
      <c r="C423">
        <v>34.871823306792741</v>
      </c>
      <c r="D423">
        <v>2</v>
      </c>
      <c r="E423">
        <v>2050</v>
      </c>
      <c r="F423" t="s">
        <v>472</v>
      </c>
      <c r="G423">
        <v>0.46363517130703219</v>
      </c>
      <c r="H423">
        <v>40.418246410966361</v>
      </c>
      <c r="I423" t="s">
        <v>466</v>
      </c>
      <c r="J423" t="s">
        <v>467</v>
      </c>
      <c r="K423">
        <v>1</v>
      </c>
    </row>
    <row r="424" spans="1:11" x14ac:dyDescent="0.25">
      <c r="A424" t="s">
        <v>559</v>
      </c>
      <c r="B424">
        <v>607.94666514022356</v>
      </c>
      <c r="C424">
        <v>32.723906149129931</v>
      </c>
      <c r="D424">
        <v>2</v>
      </c>
      <c r="E424">
        <v>2050</v>
      </c>
      <c r="F424" t="s">
        <v>472</v>
      </c>
      <c r="G424">
        <v>0.46363517130703219</v>
      </c>
      <c r="H424">
        <v>40.418246410966361</v>
      </c>
      <c r="I424" t="s">
        <v>466</v>
      </c>
      <c r="J424" t="s">
        <v>467</v>
      </c>
      <c r="K424">
        <v>2</v>
      </c>
    </row>
    <row r="425" spans="1:11" x14ac:dyDescent="0.25">
      <c r="A425" t="s">
        <v>560</v>
      </c>
      <c r="B425">
        <v>580.60951629538226</v>
      </c>
      <c r="C425">
        <v>34.175801930207641</v>
      </c>
      <c r="D425">
        <v>2</v>
      </c>
      <c r="E425">
        <v>2050</v>
      </c>
      <c r="F425" t="s">
        <v>472</v>
      </c>
      <c r="G425">
        <v>0.46363517130703219</v>
      </c>
      <c r="H425">
        <v>40.418246410966361</v>
      </c>
      <c r="I425" t="s">
        <v>466</v>
      </c>
      <c r="J425" t="s">
        <v>467</v>
      </c>
      <c r="K425">
        <v>3</v>
      </c>
    </row>
    <row r="426" spans="1:11" x14ac:dyDescent="0.25">
      <c r="A426" t="s">
        <v>561</v>
      </c>
      <c r="B426">
        <v>547.00753813268386</v>
      </c>
      <c r="C426">
        <v>34.620592896619407</v>
      </c>
      <c r="D426">
        <v>2</v>
      </c>
      <c r="E426">
        <v>2050</v>
      </c>
      <c r="F426" t="s">
        <v>472</v>
      </c>
      <c r="G426">
        <v>0.46363517130703219</v>
      </c>
      <c r="H426">
        <v>40.418246410966361</v>
      </c>
      <c r="I426" t="s">
        <v>466</v>
      </c>
      <c r="J426" t="s">
        <v>467</v>
      </c>
      <c r="K426">
        <v>4</v>
      </c>
    </row>
    <row r="427" spans="1:11" x14ac:dyDescent="0.25">
      <c r="A427" t="s">
        <v>562</v>
      </c>
      <c r="B427">
        <v>690.18301921446982</v>
      </c>
      <c r="C427">
        <v>36.90472685071061</v>
      </c>
      <c r="D427">
        <v>2</v>
      </c>
      <c r="E427">
        <v>2050</v>
      </c>
      <c r="F427" t="s">
        <v>472</v>
      </c>
      <c r="G427">
        <v>0.46363517130703219</v>
      </c>
      <c r="H427">
        <v>40.418246410966361</v>
      </c>
      <c r="I427" t="s">
        <v>466</v>
      </c>
      <c r="J427" t="s">
        <v>467</v>
      </c>
      <c r="K427">
        <v>5</v>
      </c>
    </row>
    <row r="428" spans="1:11" x14ac:dyDescent="0.25">
      <c r="A428" t="s">
        <v>563</v>
      </c>
      <c r="B428">
        <v>602.19852372888045</v>
      </c>
      <c r="C428">
        <v>34.942971068080418</v>
      </c>
      <c r="D428">
        <v>2</v>
      </c>
      <c r="E428">
        <v>2050</v>
      </c>
      <c r="F428" t="s">
        <v>472</v>
      </c>
      <c r="G428">
        <v>0.46363517130703219</v>
      </c>
      <c r="H428">
        <v>40.418246410966361</v>
      </c>
      <c r="I428" t="s">
        <v>466</v>
      </c>
      <c r="J428" t="s">
        <v>467</v>
      </c>
      <c r="K428">
        <v>6</v>
      </c>
    </row>
    <row r="429" spans="1:11" x14ac:dyDescent="0.25">
      <c r="A429" t="s">
        <v>557</v>
      </c>
      <c r="B429">
        <v>395.17875495267884</v>
      </c>
      <c r="C429">
        <v>25.762830668221234</v>
      </c>
      <c r="D429">
        <v>2</v>
      </c>
      <c r="E429">
        <v>2050</v>
      </c>
      <c r="F429" t="s">
        <v>472</v>
      </c>
      <c r="G429">
        <v>3.3352613210034354</v>
      </c>
      <c r="H429">
        <v>28.317324898587913</v>
      </c>
      <c r="I429" t="s">
        <v>466</v>
      </c>
      <c r="J429" t="s">
        <v>468</v>
      </c>
      <c r="K429">
        <v>0</v>
      </c>
    </row>
    <row r="430" spans="1:11" x14ac:dyDescent="0.25">
      <c r="A430" t="s">
        <v>558</v>
      </c>
      <c r="B430">
        <v>514.51840181652244</v>
      </c>
      <c r="C430">
        <v>34.132189682714952</v>
      </c>
      <c r="D430">
        <v>2</v>
      </c>
      <c r="E430">
        <v>2050</v>
      </c>
      <c r="F430" t="s">
        <v>472</v>
      </c>
      <c r="G430">
        <v>3.3352613210034354</v>
      </c>
      <c r="H430">
        <v>28.317324898587913</v>
      </c>
      <c r="I430" t="s">
        <v>466</v>
      </c>
      <c r="J430" t="s">
        <v>468</v>
      </c>
      <c r="K430">
        <v>1</v>
      </c>
    </row>
    <row r="431" spans="1:11" x14ac:dyDescent="0.25">
      <c r="A431" t="s">
        <v>559</v>
      </c>
      <c r="B431">
        <v>667.0496893020478</v>
      </c>
      <c r="C431">
        <v>40.5967975777098</v>
      </c>
      <c r="D431">
        <v>2</v>
      </c>
      <c r="E431">
        <v>2050</v>
      </c>
      <c r="F431" t="s">
        <v>472</v>
      </c>
      <c r="G431">
        <v>3.3352613210034354</v>
      </c>
      <c r="H431">
        <v>28.317324898587913</v>
      </c>
      <c r="I431" t="s">
        <v>466</v>
      </c>
      <c r="J431" t="s">
        <v>468</v>
      </c>
      <c r="K431">
        <v>2</v>
      </c>
    </row>
    <row r="432" spans="1:11" x14ac:dyDescent="0.25">
      <c r="A432" t="s">
        <v>560</v>
      </c>
      <c r="B432">
        <v>592.47966301293832</v>
      </c>
      <c r="C432">
        <v>36.296822912740097</v>
      </c>
      <c r="D432">
        <v>2</v>
      </c>
      <c r="E432">
        <v>2050</v>
      </c>
      <c r="F432" t="s">
        <v>472</v>
      </c>
      <c r="G432">
        <v>3.3352613210034354</v>
      </c>
      <c r="H432">
        <v>28.317324898587913</v>
      </c>
      <c r="I432" t="s">
        <v>466</v>
      </c>
      <c r="J432" t="s">
        <v>468</v>
      </c>
      <c r="K432">
        <v>3</v>
      </c>
    </row>
    <row r="433" spans="1:11" x14ac:dyDescent="0.25">
      <c r="A433" t="s">
        <v>561</v>
      </c>
      <c r="B433">
        <v>508.15004188188209</v>
      </c>
      <c r="C433">
        <v>32.756168772585056</v>
      </c>
      <c r="D433">
        <v>2</v>
      </c>
      <c r="E433">
        <v>2050</v>
      </c>
      <c r="F433" t="s">
        <v>472</v>
      </c>
      <c r="G433">
        <v>3.3352613210034354</v>
      </c>
      <c r="H433">
        <v>28.317324898587913</v>
      </c>
      <c r="I433" t="s">
        <v>466</v>
      </c>
      <c r="J433" t="s">
        <v>468</v>
      </c>
      <c r="K433">
        <v>4</v>
      </c>
    </row>
    <row r="434" spans="1:11" x14ac:dyDescent="0.25">
      <c r="A434" t="s">
        <v>562</v>
      </c>
      <c r="B434">
        <v>649.24596016572684</v>
      </c>
      <c r="C434">
        <v>39.285760932647335</v>
      </c>
      <c r="D434">
        <v>2</v>
      </c>
      <c r="E434">
        <v>2050</v>
      </c>
      <c r="F434" t="s">
        <v>472</v>
      </c>
      <c r="G434">
        <v>3.3352613210034354</v>
      </c>
      <c r="H434">
        <v>28.317324898587913</v>
      </c>
      <c r="I434" t="s">
        <v>466</v>
      </c>
      <c r="J434" t="s">
        <v>468</v>
      </c>
      <c r="K434">
        <v>5</v>
      </c>
    </row>
    <row r="435" spans="1:11" x14ac:dyDescent="0.25">
      <c r="A435" t="s">
        <v>563</v>
      </c>
      <c r="B435">
        <v>591.91512524288976</v>
      </c>
      <c r="C435">
        <v>36.718681509930342</v>
      </c>
      <c r="D435">
        <v>2</v>
      </c>
      <c r="E435">
        <v>2050</v>
      </c>
      <c r="F435" t="s">
        <v>472</v>
      </c>
      <c r="G435">
        <v>3.3352613210034354</v>
      </c>
      <c r="H435">
        <v>28.317324898587913</v>
      </c>
      <c r="I435" t="s">
        <v>466</v>
      </c>
      <c r="J435" t="s">
        <v>468</v>
      </c>
      <c r="K435">
        <v>6</v>
      </c>
    </row>
    <row r="436" spans="1:11" x14ac:dyDescent="0.25">
      <c r="A436" t="s">
        <v>557</v>
      </c>
      <c r="B436">
        <v>396.18732920249187</v>
      </c>
      <c r="C436">
        <v>25.816213960691805</v>
      </c>
      <c r="D436">
        <v>2</v>
      </c>
      <c r="E436">
        <v>2050</v>
      </c>
      <c r="F436" t="s">
        <v>472</v>
      </c>
      <c r="G436">
        <v>3.3352720745130791</v>
      </c>
      <c r="H436">
        <v>28.317268226438927</v>
      </c>
      <c r="I436" t="s">
        <v>469</v>
      </c>
      <c r="J436" t="s">
        <v>467</v>
      </c>
      <c r="K436">
        <v>0</v>
      </c>
    </row>
    <row r="437" spans="1:11" x14ac:dyDescent="0.25">
      <c r="A437" t="s">
        <v>558</v>
      </c>
      <c r="B437">
        <v>516.40021295223073</v>
      </c>
      <c r="C437">
        <v>34.245770588451137</v>
      </c>
      <c r="D437">
        <v>2</v>
      </c>
      <c r="E437">
        <v>2050</v>
      </c>
      <c r="F437" t="s">
        <v>472</v>
      </c>
      <c r="G437">
        <v>3.3352720745130791</v>
      </c>
      <c r="H437">
        <v>28.317268226438927</v>
      </c>
      <c r="I437" t="s">
        <v>469</v>
      </c>
      <c r="J437" t="s">
        <v>467</v>
      </c>
      <c r="K437">
        <v>1</v>
      </c>
    </row>
    <row r="438" spans="1:11" x14ac:dyDescent="0.25">
      <c r="A438" t="s">
        <v>559</v>
      </c>
      <c r="B438">
        <v>671.44594320960402</v>
      </c>
      <c r="C438">
        <v>40.787834203270691</v>
      </c>
      <c r="D438">
        <v>2</v>
      </c>
      <c r="E438">
        <v>2050</v>
      </c>
      <c r="F438" t="s">
        <v>472</v>
      </c>
      <c r="G438">
        <v>3.3352720745130791</v>
      </c>
      <c r="H438">
        <v>28.317268226438927</v>
      </c>
      <c r="I438" t="s">
        <v>469</v>
      </c>
      <c r="J438" t="s">
        <v>467</v>
      </c>
      <c r="K438">
        <v>2</v>
      </c>
    </row>
    <row r="439" spans="1:11" x14ac:dyDescent="0.25">
      <c r="A439" t="s">
        <v>560</v>
      </c>
      <c r="B439">
        <v>566.11552240362425</v>
      </c>
      <c r="C439">
        <v>34.806418417790411</v>
      </c>
      <c r="D439">
        <v>2</v>
      </c>
      <c r="E439">
        <v>2050</v>
      </c>
      <c r="F439" t="s">
        <v>472</v>
      </c>
      <c r="G439">
        <v>3.3352720745130791</v>
      </c>
      <c r="H439">
        <v>28.317268226438927</v>
      </c>
      <c r="I439" t="s">
        <v>469</v>
      </c>
      <c r="J439" t="s">
        <v>467</v>
      </c>
      <c r="K439">
        <v>3</v>
      </c>
    </row>
    <row r="440" spans="1:11" x14ac:dyDescent="0.25">
      <c r="A440" t="s">
        <v>561</v>
      </c>
      <c r="B440">
        <v>510.35382198169833</v>
      </c>
      <c r="C440">
        <v>32.796395785240811</v>
      </c>
      <c r="D440">
        <v>2</v>
      </c>
      <c r="E440">
        <v>2050</v>
      </c>
      <c r="F440" t="s">
        <v>472</v>
      </c>
      <c r="G440">
        <v>3.3352720745130791</v>
      </c>
      <c r="H440">
        <v>28.317268226438927</v>
      </c>
      <c r="I440" t="s">
        <v>469</v>
      </c>
      <c r="J440" t="s">
        <v>467</v>
      </c>
      <c r="K440">
        <v>4</v>
      </c>
    </row>
    <row r="441" spans="1:11" x14ac:dyDescent="0.25">
      <c r="A441" t="s">
        <v>562</v>
      </c>
      <c r="B441">
        <v>679.28446045798614</v>
      </c>
      <c r="C441">
        <v>41.069805395127389</v>
      </c>
      <c r="D441">
        <v>2</v>
      </c>
      <c r="E441">
        <v>2050</v>
      </c>
      <c r="F441" t="s">
        <v>472</v>
      </c>
      <c r="G441">
        <v>3.3352720745130791</v>
      </c>
      <c r="H441">
        <v>28.317268226438927</v>
      </c>
      <c r="I441" t="s">
        <v>469</v>
      </c>
      <c r="J441" t="s">
        <v>467</v>
      </c>
      <c r="K441">
        <v>5</v>
      </c>
    </row>
    <row r="442" spans="1:11" x14ac:dyDescent="0.25">
      <c r="A442" t="s">
        <v>563</v>
      </c>
      <c r="B442">
        <v>591.27608680087303</v>
      </c>
      <c r="C442">
        <v>36.671462038106149</v>
      </c>
      <c r="D442">
        <v>2</v>
      </c>
      <c r="E442">
        <v>2050</v>
      </c>
      <c r="F442" t="s">
        <v>472</v>
      </c>
      <c r="G442">
        <v>3.3352720745130791</v>
      </c>
      <c r="H442">
        <v>28.317268226438927</v>
      </c>
      <c r="I442" t="s">
        <v>469</v>
      </c>
      <c r="J442" t="s">
        <v>467</v>
      </c>
      <c r="K442">
        <v>6</v>
      </c>
    </row>
    <row r="443" spans="1:11" x14ac:dyDescent="0.25">
      <c r="A443" t="s">
        <v>557</v>
      </c>
      <c r="B443">
        <v>357.33027276712164</v>
      </c>
      <c r="C443">
        <v>23.093186734936566</v>
      </c>
      <c r="D443">
        <v>2</v>
      </c>
      <c r="E443">
        <v>2050</v>
      </c>
      <c r="F443" t="s">
        <v>472</v>
      </c>
      <c r="G443">
        <v>4.4724341817873787</v>
      </c>
      <c r="H443">
        <v>22.387411506595214</v>
      </c>
      <c r="I443" t="s">
        <v>469</v>
      </c>
      <c r="J443" t="s">
        <v>468</v>
      </c>
      <c r="K443">
        <v>0</v>
      </c>
    </row>
    <row r="444" spans="1:11" x14ac:dyDescent="0.25">
      <c r="A444" t="s">
        <v>558</v>
      </c>
      <c r="B444">
        <v>512.17228948519369</v>
      </c>
      <c r="C444">
        <v>34.439899780828597</v>
      </c>
      <c r="D444">
        <v>2</v>
      </c>
      <c r="E444">
        <v>2050</v>
      </c>
      <c r="F444" t="s">
        <v>472</v>
      </c>
      <c r="G444">
        <v>4.4724341817873787</v>
      </c>
      <c r="H444">
        <v>22.387411506595214</v>
      </c>
      <c r="I444" t="s">
        <v>469</v>
      </c>
      <c r="J444" t="s">
        <v>468</v>
      </c>
      <c r="K444">
        <v>1</v>
      </c>
    </row>
    <row r="445" spans="1:11" x14ac:dyDescent="0.25">
      <c r="A445" t="s">
        <v>559</v>
      </c>
      <c r="B445">
        <v>673.40187232432083</v>
      </c>
      <c r="C445">
        <v>43.247009751303509</v>
      </c>
      <c r="D445">
        <v>2</v>
      </c>
      <c r="E445">
        <v>2050</v>
      </c>
      <c r="F445" t="s">
        <v>472</v>
      </c>
      <c r="G445">
        <v>4.4724341817873787</v>
      </c>
      <c r="H445">
        <v>22.387411506595214</v>
      </c>
      <c r="I445" t="s">
        <v>469</v>
      </c>
      <c r="J445" t="s">
        <v>468</v>
      </c>
      <c r="K445">
        <v>2</v>
      </c>
    </row>
    <row r="446" spans="1:11" x14ac:dyDescent="0.25">
      <c r="A446" t="s">
        <v>560</v>
      </c>
      <c r="B446">
        <v>511.9394819438831</v>
      </c>
      <c r="C446">
        <v>33.740102643685013</v>
      </c>
      <c r="D446">
        <v>2</v>
      </c>
      <c r="E446">
        <v>2050</v>
      </c>
      <c r="F446" t="s">
        <v>472</v>
      </c>
      <c r="G446">
        <v>4.4724341817873787</v>
      </c>
      <c r="H446">
        <v>22.387411506595214</v>
      </c>
      <c r="I446" t="s">
        <v>469</v>
      </c>
      <c r="J446" t="s">
        <v>468</v>
      </c>
      <c r="K446">
        <v>3</v>
      </c>
    </row>
    <row r="447" spans="1:11" x14ac:dyDescent="0.25">
      <c r="A447" t="s">
        <v>561</v>
      </c>
      <c r="B447">
        <v>588.2645817361232</v>
      </c>
      <c r="C447">
        <v>37.79842156766415</v>
      </c>
      <c r="D447">
        <v>2</v>
      </c>
      <c r="E447">
        <v>2050</v>
      </c>
      <c r="F447" t="s">
        <v>472</v>
      </c>
      <c r="G447">
        <v>4.4724341817873787</v>
      </c>
      <c r="H447">
        <v>22.387411506595214</v>
      </c>
      <c r="I447" t="s">
        <v>469</v>
      </c>
      <c r="J447" t="s">
        <v>468</v>
      </c>
      <c r="K447">
        <v>4</v>
      </c>
    </row>
    <row r="448" spans="1:11" x14ac:dyDescent="0.25">
      <c r="A448" t="s">
        <v>562</v>
      </c>
      <c r="B448">
        <v>689.1023420493658</v>
      </c>
      <c r="C448">
        <v>44.265876480655976</v>
      </c>
      <c r="D448">
        <v>2</v>
      </c>
      <c r="E448">
        <v>2050</v>
      </c>
      <c r="F448" t="s">
        <v>472</v>
      </c>
      <c r="G448">
        <v>4.4724341817873787</v>
      </c>
      <c r="H448">
        <v>22.387411506595214</v>
      </c>
      <c r="I448" t="s">
        <v>469</v>
      </c>
      <c r="J448" t="s">
        <v>468</v>
      </c>
      <c r="K448">
        <v>5</v>
      </c>
    </row>
    <row r="449" spans="1:11" x14ac:dyDescent="0.25">
      <c r="A449" t="s">
        <v>563</v>
      </c>
      <c r="B449">
        <v>618.10847904315892</v>
      </c>
      <c r="C449">
        <v>40.59030337025321</v>
      </c>
      <c r="D449">
        <v>2</v>
      </c>
      <c r="E449">
        <v>2050</v>
      </c>
      <c r="F449" t="s">
        <v>472</v>
      </c>
      <c r="G449">
        <v>4.4724341817873787</v>
      </c>
      <c r="H449">
        <v>22.387411506595214</v>
      </c>
      <c r="I449" t="s">
        <v>469</v>
      </c>
      <c r="J449" t="s">
        <v>468</v>
      </c>
      <c r="K449">
        <v>6</v>
      </c>
    </row>
    <row r="450" spans="1:11" x14ac:dyDescent="0.25">
      <c r="A450" t="s">
        <v>557</v>
      </c>
      <c r="B450">
        <v>382.49185619725051</v>
      </c>
      <c r="C450">
        <v>25.038832211772341</v>
      </c>
      <c r="D450">
        <v>3</v>
      </c>
      <c r="E450">
        <v>2035</v>
      </c>
      <c r="F450" t="s">
        <v>465</v>
      </c>
      <c r="G450">
        <v>1.0500146869058018</v>
      </c>
      <c r="H450">
        <v>30.255952162958323</v>
      </c>
      <c r="I450" t="s">
        <v>466</v>
      </c>
      <c r="J450" t="s">
        <v>467</v>
      </c>
      <c r="K450">
        <v>0</v>
      </c>
    </row>
    <row r="451" spans="1:11" x14ac:dyDescent="0.25">
      <c r="A451" t="s">
        <v>558</v>
      </c>
      <c r="B451">
        <v>531.47596884551638</v>
      </c>
      <c r="C451">
        <v>35.713528553318099</v>
      </c>
      <c r="D451">
        <v>3</v>
      </c>
      <c r="E451">
        <v>2035</v>
      </c>
      <c r="F451" t="s">
        <v>465</v>
      </c>
      <c r="G451">
        <v>1.0500146869058018</v>
      </c>
      <c r="H451">
        <v>30.255952162958323</v>
      </c>
      <c r="I451" t="s">
        <v>466</v>
      </c>
      <c r="J451" t="s">
        <v>467</v>
      </c>
      <c r="K451">
        <v>1</v>
      </c>
    </row>
    <row r="452" spans="1:11" x14ac:dyDescent="0.25">
      <c r="A452" t="s">
        <v>559</v>
      </c>
      <c r="B452">
        <v>718.00456097734639</v>
      </c>
      <c r="C452">
        <v>45.662588966652137</v>
      </c>
      <c r="D452">
        <v>3</v>
      </c>
      <c r="E452">
        <v>2035</v>
      </c>
      <c r="F452" t="s">
        <v>465</v>
      </c>
      <c r="G452">
        <v>1.0500146869058018</v>
      </c>
      <c r="H452">
        <v>30.255952162958323</v>
      </c>
      <c r="I452" t="s">
        <v>466</v>
      </c>
      <c r="J452" t="s">
        <v>467</v>
      </c>
      <c r="K452">
        <v>2</v>
      </c>
    </row>
    <row r="453" spans="1:11" x14ac:dyDescent="0.25">
      <c r="A453" t="s">
        <v>560</v>
      </c>
      <c r="B453">
        <v>511.30566573692846</v>
      </c>
      <c r="C453">
        <v>34.255504126831241</v>
      </c>
      <c r="D453">
        <v>3</v>
      </c>
      <c r="E453">
        <v>2035</v>
      </c>
      <c r="F453" t="s">
        <v>465</v>
      </c>
      <c r="G453">
        <v>1.0500146869058018</v>
      </c>
      <c r="H453">
        <v>30.255952162958323</v>
      </c>
      <c r="I453" t="s">
        <v>466</v>
      </c>
      <c r="J453" t="s">
        <v>467</v>
      </c>
      <c r="K453">
        <v>3</v>
      </c>
    </row>
    <row r="454" spans="1:11" x14ac:dyDescent="0.25">
      <c r="A454" t="s">
        <v>561</v>
      </c>
      <c r="B454">
        <v>544.40454462909713</v>
      </c>
      <c r="C454">
        <v>35.700097197026693</v>
      </c>
      <c r="D454">
        <v>3</v>
      </c>
      <c r="E454">
        <v>2035</v>
      </c>
      <c r="F454" t="s">
        <v>465</v>
      </c>
      <c r="G454">
        <v>1.0500146869058018</v>
      </c>
      <c r="H454">
        <v>30.255952162958323</v>
      </c>
      <c r="I454" t="s">
        <v>466</v>
      </c>
      <c r="J454" t="s">
        <v>467</v>
      </c>
      <c r="K454">
        <v>4</v>
      </c>
    </row>
    <row r="455" spans="1:11" x14ac:dyDescent="0.25">
      <c r="A455" t="s">
        <v>562</v>
      </c>
      <c r="B455">
        <v>680.83466795157869</v>
      </c>
      <c r="C455">
        <v>43.350579839581833</v>
      </c>
      <c r="D455">
        <v>3</v>
      </c>
      <c r="E455">
        <v>2035</v>
      </c>
      <c r="F455" t="s">
        <v>465</v>
      </c>
      <c r="G455">
        <v>1.0500146869058018</v>
      </c>
      <c r="H455">
        <v>30.255952162958323</v>
      </c>
      <c r="I455" t="s">
        <v>466</v>
      </c>
      <c r="J455" t="s">
        <v>467</v>
      </c>
      <c r="K455">
        <v>5</v>
      </c>
    </row>
    <row r="456" spans="1:11" x14ac:dyDescent="0.25">
      <c r="A456" t="s">
        <v>563</v>
      </c>
      <c r="B456">
        <v>600.51577127564724</v>
      </c>
      <c r="C456">
        <v>39.76640134864504</v>
      </c>
      <c r="D456">
        <v>3</v>
      </c>
      <c r="E456">
        <v>2035</v>
      </c>
      <c r="F456" t="s">
        <v>465</v>
      </c>
      <c r="G456">
        <v>1.0500146869058018</v>
      </c>
      <c r="H456">
        <v>30.255952162958323</v>
      </c>
      <c r="I456" t="s">
        <v>466</v>
      </c>
      <c r="J456" t="s">
        <v>467</v>
      </c>
      <c r="K456">
        <v>6</v>
      </c>
    </row>
    <row r="457" spans="1:11" x14ac:dyDescent="0.25">
      <c r="A457" t="s">
        <v>557</v>
      </c>
      <c r="B457">
        <v>390.91440449397965</v>
      </c>
      <c r="C457">
        <v>25.510132173228044</v>
      </c>
      <c r="D457">
        <v>3</v>
      </c>
      <c r="E457">
        <v>2035</v>
      </c>
      <c r="F457" t="s">
        <v>465</v>
      </c>
      <c r="G457">
        <v>1.9754562129744826</v>
      </c>
      <c r="H457">
        <v>30.091254270190262</v>
      </c>
      <c r="I457" t="s">
        <v>466</v>
      </c>
      <c r="J457" t="s">
        <v>468</v>
      </c>
      <c r="K457">
        <v>0</v>
      </c>
    </row>
    <row r="458" spans="1:11" x14ac:dyDescent="0.25">
      <c r="A458" t="s">
        <v>558</v>
      </c>
      <c r="B458">
        <v>541.19818977822604</v>
      </c>
      <c r="C458">
        <v>35.823937831823869</v>
      </c>
      <c r="D458">
        <v>3</v>
      </c>
      <c r="E458">
        <v>2035</v>
      </c>
      <c r="F458" t="s">
        <v>465</v>
      </c>
      <c r="G458">
        <v>1.9754562129744826</v>
      </c>
      <c r="H458">
        <v>30.091254270190262</v>
      </c>
      <c r="I458" t="s">
        <v>466</v>
      </c>
      <c r="J458" t="s">
        <v>468</v>
      </c>
      <c r="K458">
        <v>1</v>
      </c>
    </row>
    <row r="459" spans="1:11" x14ac:dyDescent="0.25">
      <c r="A459" t="s">
        <v>559</v>
      </c>
      <c r="B459">
        <v>630.83553225556693</v>
      </c>
      <c r="C459">
        <v>39.992586754458337</v>
      </c>
      <c r="D459">
        <v>3</v>
      </c>
      <c r="E459">
        <v>2035</v>
      </c>
      <c r="F459" t="s">
        <v>465</v>
      </c>
      <c r="G459">
        <v>1.9754562129744826</v>
      </c>
      <c r="H459">
        <v>30.091254270190262</v>
      </c>
      <c r="I459" t="s">
        <v>466</v>
      </c>
      <c r="J459" t="s">
        <v>468</v>
      </c>
      <c r="K459">
        <v>2</v>
      </c>
    </row>
    <row r="460" spans="1:11" x14ac:dyDescent="0.25">
      <c r="A460" t="s">
        <v>560</v>
      </c>
      <c r="B460">
        <v>492.70359014915766</v>
      </c>
      <c r="C460">
        <v>32.234953819834729</v>
      </c>
      <c r="D460">
        <v>3</v>
      </c>
      <c r="E460">
        <v>2035</v>
      </c>
      <c r="F460" t="s">
        <v>465</v>
      </c>
      <c r="G460">
        <v>1.9754562129744826</v>
      </c>
      <c r="H460">
        <v>30.091254270190262</v>
      </c>
      <c r="I460" t="s">
        <v>466</v>
      </c>
      <c r="J460" t="s">
        <v>468</v>
      </c>
      <c r="K460">
        <v>3</v>
      </c>
    </row>
    <row r="461" spans="1:11" x14ac:dyDescent="0.25">
      <c r="A461" t="s">
        <v>561</v>
      </c>
      <c r="B461">
        <v>542.34982123683426</v>
      </c>
      <c r="C461">
        <v>36.218668591462368</v>
      </c>
      <c r="D461">
        <v>3</v>
      </c>
      <c r="E461">
        <v>2035</v>
      </c>
      <c r="F461" t="s">
        <v>465</v>
      </c>
      <c r="G461">
        <v>1.9754562129744826</v>
      </c>
      <c r="H461">
        <v>30.091254270190262</v>
      </c>
      <c r="I461" t="s">
        <v>466</v>
      </c>
      <c r="J461" t="s">
        <v>468</v>
      </c>
      <c r="K461">
        <v>4</v>
      </c>
    </row>
    <row r="462" spans="1:11" x14ac:dyDescent="0.25">
      <c r="A462" t="s">
        <v>562</v>
      </c>
      <c r="B462">
        <v>647.01728985590842</v>
      </c>
      <c r="C462">
        <v>41.08325433084179</v>
      </c>
      <c r="D462">
        <v>3</v>
      </c>
      <c r="E462">
        <v>2035</v>
      </c>
      <c r="F462" t="s">
        <v>465</v>
      </c>
      <c r="G462">
        <v>1.9754562129744826</v>
      </c>
      <c r="H462">
        <v>30.091254270190262</v>
      </c>
      <c r="I462" t="s">
        <v>466</v>
      </c>
      <c r="J462" t="s">
        <v>468</v>
      </c>
      <c r="K462">
        <v>5</v>
      </c>
    </row>
    <row r="463" spans="1:11" x14ac:dyDescent="0.25">
      <c r="A463" t="s">
        <v>563</v>
      </c>
      <c r="B463">
        <v>607.3739720319652</v>
      </c>
      <c r="C463">
        <v>39.555055388097486</v>
      </c>
      <c r="D463">
        <v>3</v>
      </c>
      <c r="E463">
        <v>2035</v>
      </c>
      <c r="F463" t="s">
        <v>465</v>
      </c>
      <c r="G463">
        <v>1.9754562129744826</v>
      </c>
      <c r="H463">
        <v>30.091254270190262</v>
      </c>
      <c r="I463" t="s">
        <v>466</v>
      </c>
      <c r="J463" t="s">
        <v>468</v>
      </c>
      <c r="K463">
        <v>6</v>
      </c>
    </row>
    <row r="464" spans="1:11" x14ac:dyDescent="0.25">
      <c r="A464" t="s">
        <v>557</v>
      </c>
      <c r="B464">
        <v>436.49045708121741</v>
      </c>
      <c r="C464">
        <v>28.423347258669136</v>
      </c>
      <c r="D464">
        <v>3</v>
      </c>
      <c r="E464">
        <v>2035</v>
      </c>
      <c r="F464" t="s">
        <v>465</v>
      </c>
      <c r="G464">
        <v>1.0500146885180177</v>
      </c>
      <c r="H464">
        <v>36.11287636408818</v>
      </c>
      <c r="I464" t="s">
        <v>469</v>
      </c>
      <c r="J464" t="s">
        <v>467</v>
      </c>
      <c r="K464">
        <v>0</v>
      </c>
    </row>
    <row r="465" spans="1:11" x14ac:dyDescent="0.25">
      <c r="A465" t="s">
        <v>558</v>
      </c>
      <c r="B465">
        <v>527.0226779668551</v>
      </c>
      <c r="C465">
        <v>34.904217928074665</v>
      </c>
      <c r="D465">
        <v>3</v>
      </c>
      <c r="E465">
        <v>2035</v>
      </c>
      <c r="F465" t="s">
        <v>465</v>
      </c>
      <c r="G465">
        <v>1.0500146885180177</v>
      </c>
      <c r="H465">
        <v>36.11287636408818</v>
      </c>
      <c r="I465" t="s">
        <v>469</v>
      </c>
      <c r="J465" t="s">
        <v>467</v>
      </c>
      <c r="K465">
        <v>1</v>
      </c>
    </row>
    <row r="466" spans="1:11" x14ac:dyDescent="0.25">
      <c r="A466" t="s">
        <v>559</v>
      </c>
      <c r="B466">
        <v>638.51869682459858</v>
      </c>
      <c r="C466">
        <v>40.399694432628493</v>
      </c>
      <c r="D466">
        <v>3</v>
      </c>
      <c r="E466">
        <v>2035</v>
      </c>
      <c r="F466" t="s">
        <v>465</v>
      </c>
      <c r="G466">
        <v>1.0500146885180177</v>
      </c>
      <c r="H466">
        <v>36.11287636408818</v>
      </c>
      <c r="I466" t="s">
        <v>469</v>
      </c>
      <c r="J466" t="s">
        <v>467</v>
      </c>
      <c r="K466">
        <v>2</v>
      </c>
    </row>
    <row r="467" spans="1:11" x14ac:dyDescent="0.25">
      <c r="A467" t="s">
        <v>560</v>
      </c>
      <c r="B467">
        <v>532.51120812821694</v>
      </c>
      <c r="C467">
        <v>35.378060407410572</v>
      </c>
      <c r="D467">
        <v>3</v>
      </c>
      <c r="E467">
        <v>2035</v>
      </c>
      <c r="F467" t="s">
        <v>465</v>
      </c>
      <c r="G467">
        <v>1.0500146885180177</v>
      </c>
      <c r="H467">
        <v>36.11287636408818</v>
      </c>
      <c r="I467" t="s">
        <v>469</v>
      </c>
      <c r="J467" t="s">
        <v>467</v>
      </c>
      <c r="K467">
        <v>3</v>
      </c>
    </row>
    <row r="468" spans="1:11" x14ac:dyDescent="0.25">
      <c r="A468" t="s">
        <v>561</v>
      </c>
      <c r="B468">
        <v>520.52537866437365</v>
      </c>
      <c r="C468">
        <v>34.470334428340095</v>
      </c>
      <c r="D468">
        <v>3</v>
      </c>
      <c r="E468">
        <v>2035</v>
      </c>
      <c r="F468" t="s">
        <v>465</v>
      </c>
      <c r="G468">
        <v>1.0500146885180177</v>
      </c>
      <c r="H468">
        <v>36.11287636408818</v>
      </c>
      <c r="I468" t="s">
        <v>469</v>
      </c>
      <c r="J468" t="s">
        <v>467</v>
      </c>
      <c r="K468">
        <v>4</v>
      </c>
    </row>
    <row r="469" spans="1:11" x14ac:dyDescent="0.25">
      <c r="A469" t="s">
        <v>562</v>
      </c>
      <c r="B469">
        <v>649.69254384701412</v>
      </c>
      <c r="C469">
        <v>40.726025854245549</v>
      </c>
      <c r="D469">
        <v>3</v>
      </c>
      <c r="E469">
        <v>2035</v>
      </c>
      <c r="F469" t="s">
        <v>465</v>
      </c>
      <c r="G469">
        <v>1.0500146885180177</v>
      </c>
      <c r="H469">
        <v>36.11287636408818</v>
      </c>
      <c r="I469" t="s">
        <v>469</v>
      </c>
      <c r="J469" t="s">
        <v>467</v>
      </c>
      <c r="K469">
        <v>5</v>
      </c>
    </row>
    <row r="470" spans="1:11" x14ac:dyDescent="0.25">
      <c r="A470" t="s">
        <v>563</v>
      </c>
      <c r="B470">
        <v>624.12570174169048</v>
      </c>
      <c r="C470">
        <v>40.571097670948305</v>
      </c>
      <c r="D470">
        <v>3</v>
      </c>
      <c r="E470">
        <v>2035</v>
      </c>
      <c r="F470" t="s">
        <v>465</v>
      </c>
      <c r="G470">
        <v>1.0500146885180177</v>
      </c>
      <c r="H470">
        <v>36.11287636408818</v>
      </c>
      <c r="I470" t="s">
        <v>469</v>
      </c>
      <c r="J470" t="s">
        <v>467</v>
      </c>
      <c r="K470">
        <v>6</v>
      </c>
    </row>
    <row r="471" spans="1:11" x14ac:dyDescent="0.25">
      <c r="A471" t="s">
        <v>557</v>
      </c>
      <c r="B471">
        <v>425.07201838706686</v>
      </c>
      <c r="C471">
        <v>27.549322733502095</v>
      </c>
      <c r="D471">
        <v>3</v>
      </c>
      <c r="E471">
        <v>2035</v>
      </c>
      <c r="F471" t="s">
        <v>465</v>
      </c>
      <c r="G471">
        <v>1.9754569689710362</v>
      </c>
      <c r="H471">
        <v>35.926707758637662</v>
      </c>
      <c r="I471" t="s">
        <v>469</v>
      </c>
      <c r="J471" t="s">
        <v>468</v>
      </c>
      <c r="K471">
        <v>0</v>
      </c>
    </row>
    <row r="472" spans="1:11" x14ac:dyDescent="0.25">
      <c r="A472" t="s">
        <v>558</v>
      </c>
      <c r="B472">
        <v>517.92789915566357</v>
      </c>
      <c r="C472">
        <v>35.574124298497466</v>
      </c>
      <c r="D472">
        <v>3</v>
      </c>
      <c r="E472">
        <v>2035</v>
      </c>
      <c r="F472" t="s">
        <v>465</v>
      </c>
      <c r="G472">
        <v>1.9754569689710362</v>
      </c>
      <c r="H472">
        <v>35.926707758637662</v>
      </c>
      <c r="I472" t="s">
        <v>469</v>
      </c>
      <c r="J472" t="s">
        <v>468</v>
      </c>
      <c r="K472">
        <v>1</v>
      </c>
    </row>
    <row r="473" spans="1:11" x14ac:dyDescent="0.25">
      <c r="A473" t="s">
        <v>559</v>
      </c>
      <c r="B473">
        <v>642.73645330557122</v>
      </c>
      <c r="C473">
        <v>41.398396705251344</v>
      </c>
      <c r="D473">
        <v>3</v>
      </c>
      <c r="E473">
        <v>2035</v>
      </c>
      <c r="F473" t="s">
        <v>465</v>
      </c>
      <c r="G473">
        <v>1.9754569689710362</v>
      </c>
      <c r="H473">
        <v>35.926707758637662</v>
      </c>
      <c r="I473" t="s">
        <v>469</v>
      </c>
      <c r="J473" t="s">
        <v>468</v>
      </c>
      <c r="K473">
        <v>2</v>
      </c>
    </row>
    <row r="474" spans="1:11" x14ac:dyDescent="0.25">
      <c r="A474" t="s">
        <v>560</v>
      </c>
      <c r="B474">
        <v>577.56384867044846</v>
      </c>
      <c r="C474">
        <v>38.014827241849211</v>
      </c>
      <c r="D474">
        <v>3</v>
      </c>
      <c r="E474">
        <v>2035</v>
      </c>
      <c r="F474" t="s">
        <v>465</v>
      </c>
      <c r="G474">
        <v>1.9754569689710362</v>
      </c>
      <c r="H474">
        <v>35.926707758637662</v>
      </c>
      <c r="I474" t="s">
        <v>469</v>
      </c>
      <c r="J474" t="s">
        <v>468</v>
      </c>
      <c r="K474">
        <v>3</v>
      </c>
    </row>
    <row r="475" spans="1:11" x14ac:dyDescent="0.25">
      <c r="A475" t="s">
        <v>561</v>
      </c>
      <c r="B475">
        <v>501.31407641489847</v>
      </c>
      <c r="C475">
        <v>33.169823207183903</v>
      </c>
      <c r="D475">
        <v>3</v>
      </c>
      <c r="E475">
        <v>2035</v>
      </c>
      <c r="F475" t="s">
        <v>465</v>
      </c>
      <c r="G475">
        <v>1.9754569689710362</v>
      </c>
      <c r="H475">
        <v>35.926707758637662</v>
      </c>
      <c r="I475" t="s">
        <v>469</v>
      </c>
      <c r="J475" t="s">
        <v>468</v>
      </c>
      <c r="K475">
        <v>4</v>
      </c>
    </row>
    <row r="476" spans="1:11" x14ac:dyDescent="0.25">
      <c r="A476" t="s">
        <v>562</v>
      </c>
      <c r="B476">
        <v>638.03115142136198</v>
      </c>
      <c r="C476">
        <v>40.074716752117808</v>
      </c>
      <c r="D476">
        <v>3</v>
      </c>
      <c r="E476">
        <v>2035</v>
      </c>
      <c r="F476" t="s">
        <v>465</v>
      </c>
      <c r="G476">
        <v>1.9754569689710362</v>
      </c>
      <c r="H476">
        <v>35.926707758637662</v>
      </c>
      <c r="I476" t="s">
        <v>469</v>
      </c>
      <c r="J476" t="s">
        <v>468</v>
      </c>
      <c r="K476">
        <v>5</v>
      </c>
    </row>
    <row r="477" spans="1:11" x14ac:dyDescent="0.25">
      <c r="A477" t="s">
        <v>563</v>
      </c>
      <c r="B477">
        <v>592.53650691630128</v>
      </c>
      <c r="C477">
        <v>39.28255596298149</v>
      </c>
      <c r="D477">
        <v>3</v>
      </c>
      <c r="E477">
        <v>2035</v>
      </c>
      <c r="F477" t="s">
        <v>465</v>
      </c>
      <c r="G477">
        <v>1.9754569689710362</v>
      </c>
      <c r="H477">
        <v>35.926707758637662</v>
      </c>
      <c r="I477" t="s">
        <v>469</v>
      </c>
      <c r="J477" t="s">
        <v>468</v>
      </c>
      <c r="K477">
        <v>6</v>
      </c>
    </row>
    <row r="478" spans="1:11" x14ac:dyDescent="0.25">
      <c r="A478" t="s">
        <v>557</v>
      </c>
      <c r="B478">
        <v>349.60305009608629</v>
      </c>
      <c r="C478">
        <v>22.972748616299327</v>
      </c>
      <c r="D478">
        <v>3</v>
      </c>
      <c r="E478">
        <v>2050</v>
      </c>
      <c r="F478" t="s">
        <v>465</v>
      </c>
      <c r="G478">
        <v>1.0693086584396585</v>
      </c>
      <c r="H478">
        <v>28.254744172672503</v>
      </c>
      <c r="I478" t="s">
        <v>466</v>
      </c>
      <c r="J478" t="s">
        <v>467</v>
      </c>
      <c r="K478">
        <v>0</v>
      </c>
    </row>
    <row r="479" spans="1:11" x14ac:dyDescent="0.25">
      <c r="A479" t="s">
        <v>558</v>
      </c>
      <c r="B479">
        <v>494.99233735981932</v>
      </c>
      <c r="C479">
        <v>34.908488861708861</v>
      </c>
      <c r="D479">
        <v>3</v>
      </c>
      <c r="E479">
        <v>2050</v>
      </c>
      <c r="F479" t="s">
        <v>465</v>
      </c>
      <c r="G479">
        <v>1.0693086584396585</v>
      </c>
      <c r="H479">
        <v>28.254744172672503</v>
      </c>
      <c r="I479" t="s">
        <v>466</v>
      </c>
      <c r="J479" t="s">
        <v>467</v>
      </c>
      <c r="K479">
        <v>1</v>
      </c>
    </row>
    <row r="480" spans="1:11" x14ac:dyDescent="0.25">
      <c r="A480" t="s">
        <v>559</v>
      </c>
      <c r="B480">
        <v>558.616611815488</v>
      </c>
      <c r="C480">
        <v>35.88065812882428</v>
      </c>
      <c r="D480">
        <v>3</v>
      </c>
      <c r="E480">
        <v>2050</v>
      </c>
      <c r="F480" t="s">
        <v>465</v>
      </c>
      <c r="G480">
        <v>1.0693086584396585</v>
      </c>
      <c r="H480">
        <v>28.254744172672503</v>
      </c>
      <c r="I480" t="s">
        <v>466</v>
      </c>
      <c r="J480" t="s">
        <v>467</v>
      </c>
      <c r="K480">
        <v>2</v>
      </c>
    </row>
    <row r="481" spans="1:11" x14ac:dyDescent="0.25">
      <c r="A481" t="s">
        <v>560</v>
      </c>
      <c r="B481">
        <v>550.85545938393261</v>
      </c>
      <c r="C481">
        <v>37.236613539631428</v>
      </c>
      <c r="D481">
        <v>3</v>
      </c>
      <c r="E481">
        <v>2050</v>
      </c>
      <c r="F481" t="s">
        <v>465</v>
      </c>
      <c r="G481">
        <v>1.0693086584396585</v>
      </c>
      <c r="H481">
        <v>28.254744172672503</v>
      </c>
      <c r="I481" t="s">
        <v>466</v>
      </c>
      <c r="J481" t="s">
        <v>467</v>
      </c>
      <c r="K481">
        <v>3</v>
      </c>
    </row>
    <row r="482" spans="1:11" x14ac:dyDescent="0.25">
      <c r="A482" t="s">
        <v>561</v>
      </c>
      <c r="B482">
        <v>512.53006608006672</v>
      </c>
      <c r="C482">
        <v>35.563828736870313</v>
      </c>
      <c r="D482">
        <v>3</v>
      </c>
      <c r="E482">
        <v>2050</v>
      </c>
      <c r="F482" t="s">
        <v>465</v>
      </c>
      <c r="G482">
        <v>1.0693086584396585</v>
      </c>
      <c r="H482">
        <v>28.254744172672503</v>
      </c>
      <c r="I482" t="s">
        <v>466</v>
      </c>
      <c r="J482" t="s">
        <v>467</v>
      </c>
      <c r="K482">
        <v>4</v>
      </c>
    </row>
    <row r="483" spans="1:11" x14ac:dyDescent="0.25">
      <c r="A483" t="s">
        <v>562</v>
      </c>
      <c r="B483">
        <v>679.01076869174904</v>
      </c>
      <c r="C483">
        <v>43.864594412420004</v>
      </c>
      <c r="D483">
        <v>3</v>
      </c>
      <c r="E483">
        <v>2050</v>
      </c>
      <c r="F483" t="s">
        <v>465</v>
      </c>
      <c r="G483">
        <v>1.0693086584396585</v>
      </c>
      <c r="H483">
        <v>28.254744172672503</v>
      </c>
      <c r="I483" t="s">
        <v>466</v>
      </c>
      <c r="J483" t="s">
        <v>467</v>
      </c>
      <c r="K483">
        <v>5</v>
      </c>
    </row>
    <row r="484" spans="1:11" x14ac:dyDescent="0.25">
      <c r="A484" t="s">
        <v>563</v>
      </c>
      <c r="B484">
        <v>576.53815671773475</v>
      </c>
      <c r="C484">
        <v>39.48966016705365</v>
      </c>
      <c r="D484">
        <v>3</v>
      </c>
      <c r="E484">
        <v>2050</v>
      </c>
      <c r="F484" t="s">
        <v>465</v>
      </c>
      <c r="G484">
        <v>1.0693086584396585</v>
      </c>
      <c r="H484">
        <v>28.254744172672503</v>
      </c>
      <c r="I484" t="s">
        <v>466</v>
      </c>
      <c r="J484" t="s">
        <v>467</v>
      </c>
      <c r="K484">
        <v>6</v>
      </c>
    </row>
    <row r="485" spans="1:11" x14ac:dyDescent="0.25">
      <c r="A485" t="s">
        <v>557</v>
      </c>
      <c r="B485">
        <v>355.17741604350334</v>
      </c>
      <c r="C485">
        <v>23.096898469304058</v>
      </c>
      <c r="D485">
        <v>3</v>
      </c>
      <c r="E485">
        <v>2050</v>
      </c>
      <c r="F485" t="s">
        <v>465</v>
      </c>
      <c r="G485">
        <v>2.6734141476308522</v>
      </c>
      <c r="H485">
        <v>28.149520571818698</v>
      </c>
      <c r="I485" t="s">
        <v>466</v>
      </c>
      <c r="J485" t="s">
        <v>468</v>
      </c>
      <c r="K485">
        <v>0</v>
      </c>
    </row>
    <row r="486" spans="1:11" x14ac:dyDescent="0.25">
      <c r="A486" t="s">
        <v>558</v>
      </c>
      <c r="B486">
        <v>505.74829654848605</v>
      </c>
      <c r="C486">
        <v>34.820787864475435</v>
      </c>
      <c r="D486">
        <v>3</v>
      </c>
      <c r="E486">
        <v>2050</v>
      </c>
      <c r="F486" t="s">
        <v>465</v>
      </c>
      <c r="G486">
        <v>2.6734141476308522</v>
      </c>
      <c r="H486">
        <v>28.149520571818698</v>
      </c>
      <c r="I486" t="s">
        <v>466</v>
      </c>
      <c r="J486" t="s">
        <v>468</v>
      </c>
      <c r="K486">
        <v>1</v>
      </c>
    </row>
    <row r="487" spans="1:11" x14ac:dyDescent="0.25">
      <c r="A487" t="s">
        <v>559</v>
      </c>
      <c r="B487">
        <v>672.3912095309181</v>
      </c>
      <c r="C487">
        <v>43.456530493685129</v>
      </c>
      <c r="D487">
        <v>3</v>
      </c>
      <c r="E487">
        <v>2050</v>
      </c>
      <c r="F487" t="s">
        <v>465</v>
      </c>
      <c r="G487">
        <v>2.6734141476308522</v>
      </c>
      <c r="H487">
        <v>28.149520571818698</v>
      </c>
      <c r="I487" t="s">
        <v>466</v>
      </c>
      <c r="J487" t="s">
        <v>468</v>
      </c>
      <c r="K487">
        <v>2</v>
      </c>
    </row>
    <row r="488" spans="1:11" x14ac:dyDescent="0.25">
      <c r="A488" t="s">
        <v>560</v>
      </c>
      <c r="B488">
        <v>504.69592349987533</v>
      </c>
      <c r="C488">
        <v>34.148116387361149</v>
      </c>
      <c r="D488">
        <v>3</v>
      </c>
      <c r="E488">
        <v>2050</v>
      </c>
      <c r="F488" t="s">
        <v>465</v>
      </c>
      <c r="G488">
        <v>2.6734141476308522</v>
      </c>
      <c r="H488">
        <v>28.149520571818698</v>
      </c>
      <c r="I488" t="s">
        <v>466</v>
      </c>
      <c r="J488" t="s">
        <v>468</v>
      </c>
      <c r="K488">
        <v>3</v>
      </c>
    </row>
    <row r="489" spans="1:11" x14ac:dyDescent="0.25">
      <c r="A489" t="s">
        <v>561</v>
      </c>
      <c r="B489">
        <v>513.18774278562125</v>
      </c>
      <c r="C489">
        <v>35.376152796762952</v>
      </c>
      <c r="D489">
        <v>3</v>
      </c>
      <c r="E489">
        <v>2050</v>
      </c>
      <c r="F489" t="s">
        <v>465</v>
      </c>
      <c r="G489">
        <v>2.6734141476308522</v>
      </c>
      <c r="H489">
        <v>28.149520571818698</v>
      </c>
      <c r="I489" t="s">
        <v>466</v>
      </c>
      <c r="J489" t="s">
        <v>468</v>
      </c>
      <c r="K489">
        <v>4</v>
      </c>
    </row>
    <row r="490" spans="1:11" x14ac:dyDescent="0.25">
      <c r="A490" t="s">
        <v>562</v>
      </c>
      <c r="B490">
        <v>642.04767945702622</v>
      </c>
      <c r="C490">
        <v>41.742970015709012</v>
      </c>
      <c r="D490">
        <v>3</v>
      </c>
      <c r="E490">
        <v>2050</v>
      </c>
      <c r="F490" t="s">
        <v>465</v>
      </c>
      <c r="G490">
        <v>2.6734141476308522</v>
      </c>
      <c r="H490">
        <v>28.149520571818698</v>
      </c>
      <c r="I490" t="s">
        <v>466</v>
      </c>
      <c r="J490" t="s">
        <v>468</v>
      </c>
      <c r="K490">
        <v>5</v>
      </c>
    </row>
    <row r="491" spans="1:11" x14ac:dyDescent="0.25">
      <c r="A491" t="s">
        <v>563</v>
      </c>
      <c r="B491">
        <v>591.00795006733756</v>
      </c>
      <c r="C491">
        <v>40.071521580507309</v>
      </c>
      <c r="D491">
        <v>3</v>
      </c>
      <c r="E491">
        <v>2050</v>
      </c>
      <c r="F491" t="s">
        <v>465</v>
      </c>
      <c r="G491">
        <v>2.6734141476308522</v>
      </c>
      <c r="H491">
        <v>28.149520571818698</v>
      </c>
      <c r="I491" t="s">
        <v>466</v>
      </c>
      <c r="J491" t="s">
        <v>468</v>
      </c>
      <c r="K491">
        <v>6</v>
      </c>
    </row>
    <row r="492" spans="1:11" x14ac:dyDescent="0.25">
      <c r="A492" t="s">
        <v>557</v>
      </c>
      <c r="B492">
        <v>419.87087233951678</v>
      </c>
      <c r="C492">
        <v>27.403610460032507</v>
      </c>
      <c r="D492">
        <v>3</v>
      </c>
      <c r="E492">
        <v>2050</v>
      </c>
      <c r="F492" t="s">
        <v>465</v>
      </c>
      <c r="G492">
        <v>1.069308657965528</v>
      </c>
      <c r="H492">
        <v>36.979835374878945</v>
      </c>
      <c r="I492" t="s">
        <v>469</v>
      </c>
      <c r="J492" t="s">
        <v>467</v>
      </c>
      <c r="K492">
        <v>0</v>
      </c>
    </row>
    <row r="493" spans="1:11" x14ac:dyDescent="0.25">
      <c r="A493" t="s">
        <v>558</v>
      </c>
      <c r="B493">
        <v>517.80499108069432</v>
      </c>
      <c r="C493">
        <v>34.540161778704494</v>
      </c>
      <c r="D493">
        <v>3</v>
      </c>
      <c r="E493">
        <v>2050</v>
      </c>
      <c r="F493" t="s">
        <v>465</v>
      </c>
      <c r="G493">
        <v>1.069308657965528</v>
      </c>
      <c r="H493">
        <v>36.979835374878945</v>
      </c>
      <c r="I493" t="s">
        <v>469</v>
      </c>
      <c r="J493" t="s">
        <v>467</v>
      </c>
      <c r="K493">
        <v>1</v>
      </c>
    </row>
    <row r="494" spans="1:11" x14ac:dyDescent="0.25">
      <c r="A494" t="s">
        <v>559</v>
      </c>
      <c r="B494">
        <v>622.16558799655388</v>
      </c>
      <c r="C494">
        <v>39.125629407596257</v>
      </c>
      <c r="D494">
        <v>3</v>
      </c>
      <c r="E494">
        <v>2050</v>
      </c>
      <c r="F494" t="s">
        <v>465</v>
      </c>
      <c r="G494">
        <v>1.069308657965528</v>
      </c>
      <c r="H494">
        <v>36.979835374878945</v>
      </c>
      <c r="I494" t="s">
        <v>469</v>
      </c>
      <c r="J494" t="s">
        <v>467</v>
      </c>
      <c r="K494">
        <v>2</v>
      </c>
    </row>
    <row r="495" spans="1:11" x14ac:dyDescent="0.25">
      <c r="A495" t="s">
        <v>560</v>
      </c>
      <c r="B495">
        <v>563.76206180792815</v>
      </c>
      <c r="C495">
        <v>36.570424009995875</v>
      </c>
      <c r="D495">
        <v>3</v>
      </c>
      <c r="E495">
        <v>2050</v>
      </c>
      <c r="F495" t="s">
        <v>465</v>
      </c>
      <c r="G495">
        <v>1.069308657965528</v>
      </c>
      <c r="H495">
        <v>36.979835374878945</v>
      </c>
      <c r="I495" t="s">
        <v>469</v>
      </c>
      <c r="J495" t="s">
        <v>467</v>
      </c>
      <c r="K495">
        <v>3</v>
      </c>
    </row>
    <row r="496" spans="1:11" x14ac:dyDescent="0.25">
      <c r="A496" t="s">
        <v>561</v>
      </c>
      <c r="B496">
        <v>540.7747551556447</v>
      </c>
      <c r="C496">
        <v>34.901925315694136</v>
      </c>
      <c r="D496">
        <v>3</v>
      </c>
      <c r="E496">
        <v>2050</v>
      </c>
      <c r="F496" t="s">
        <v>465</v>
      </c>
      <c r="G496">
        <v>1.069308657965528</v>
      </c>
      <c r="H496">
        <v>36.979835374878945</v>
      </c>
      <c r="I496" t="s">
        <v>469</v>
      </c>
      <c r="J496" t="s">
        <v>467</v>
      </c>
      <c r="K496">
        <v>4</v>
      </c>
    </row>
    <row r="497" spans="1:11" x14ac:dyDescent="0.25">
      <c r="A497" t="s">
        <v>562</v>
      </c>
      <c r="B497">
        <v>682.67636017215966</v>
      </c>
      <c r="C497">
        <v>42.486749613089358</v>
      </c>
      <c r="D497">
        <v>3</v>
      </c>
      <c r="E497">
        <v>2050</v>
      </c>
      <c r="F497" t="s">
        <v>465</v>
      </c>
      <c r="G497">
        <v>1.069308657965528</v>
      </c>
      <c r="H497">
        <v>36.979835374878945</v>
      </c>
      <c r="I497" t="s">
        <v>469</v>
      </c>
      <c r="J497" t="s">
        <v>467</v>
      </c>
      <c r="K497">
        <v>5</v>
      </c>
    </row>
    <row r="498" spans="1:11" x14ac:dyDescent="0.25">
      <c r="A498" t="s">
        <v>563</v>
      </c>
      <c r="B498">
        <v>597.05751568841572</v>
      </c>
      <c r="C498">
        <v>38.588324516278796</v>
      </c>
      <c r="D498">
        <v>3</v>
      </c>
      <c r="E498">
        <v>2050</v>
      </c>
      <c r="F498" t="s">
        <v>465</v>
      </c>
      <c r="G498">
        <v>1.069308657965528</v>
      </c>
      <c r="H498">
        <v>36.979835374878945</v>
      </c>
      <c r="I498" t="s">
        <v>469</v>
      </c>
      <c r="J498" t="s">
        <v>467</v>
      </c>
      <c r="K498">
        <v>6</v>
      </c>
    </row>
    <row r="499" spans="1:11" x14ac:dyDescent="0.25">
      <c r="A499" t="s">
        <v>557</v>
      </c>
      <c r="B499">
        <v>367.29728316978577</v>
      </c>
      <c r="C499">
        <v>24.028112349978763</v>
      </c>
      <c r="D499">
        <v>3</v>
      </c>
      <c r="E499">
        <v>2050</v>
      </c>
      <c r="F499" t="s">
        <v>465</v>
      </c>
      <c r="G499">
        <v>2.6734142060509587</v>
      </c>
      <c r="H499">
        <v>36.8152516230397</v>
      </c>
      <c r="I499" t="s">
        <v>469</v>
      </c>
      <c r="J499" t="s">
        <v>468</v>
      </c>
      <c r="K499">
        <v>0</v>
      </c>
    </row>
    <row r="500" spans="1:11" x14ac:dyDescent="0.25">
      <c r="A500" t="s">
        <v>558</v>
      </c>
      <c r="B500">
        <v>509.26607486671611</v>
      </c>
      <c r="C500">
        <v>34.310173643676485</v>
      </c>
      <c r="D500">
        <v>3</v>
      </c>
      <c r="E500">
        <v>2050</v>
      </c>
      <c r="F500" t="s">
        <v>465</v>
      </c>
      <c r="G500">
        <v>2.6734142060509587</v>
      </c>
      <c r="H500">
        <v>36.8152516230397</v>
      </c>
      <c r="I500" t="s">
        <v>469</v>
      </c>
      <c r="J500" t="s">
        <v>468</v>
      </c>
      <c r="K500">
        <v>1</v>
      </c>
    </row>
    <row r="501" spans="1:11" x14ac:dyDescent="0.25">
      <c r="A501" t="s">
        <v>559</v>
      </c>
      <c r="B501">
        <v>583.72465636294442</v>
      </c>
      <c r="C501">
        <v>36.954269479362139</v>
      </c>
      <c r="D501">
        <v>3</v>
      </c>
      <c r="E501">
        <v>2050</v>
      </c>
      <c r="F501" t="s">
        <v>465</v>
      </c>
      <c r="G501">
        <v>2.6734142060509587</v>
      </c>
      <c r="H501">
        <v>36.8152516230397</v>
      </c>
      <c r="I501" t="s">
        <v>469</v>
      </c>
      <c r="J501" t="s">
        <v>468</v>
      </c>
      <c r="K501">
        <v>2</v>
      </c>
    </row>
    <row r="502" spans="1:11" x14ac:dyDescent="0.25">
      <c r="A502" t="s">
        <v>560</v>
      </c>
      <c r="B502">
        <v>556.51776537347439</v>
      </c>
      <c r="C502">
        <v>36.160347198754785</v>
      </c>
      <c r="D502">
        <v>3</v>
      </c>
      <c r="E502">
        <v>2050</v>
      </c>
      <c r="F502" t="s">
        <v>465</v>
      </c>
      <c r="G502">
        <v>2.6734142060509587</v>
      </c>
      <c r="H502">
        <v>36.8152516230397</v>
      </c>
      <c r="I502" t="s">
        <v>469</v>
      </c>
      <c r="J502" t="s">
        <v>468</v>
      </c>
      <c r="K502">
        <v>3</v>
      </c>
    </row>
    <row r="503" spans="1:11" x14ac:dyDescent="0.25">
      <c r="A503" t="s">
        <v>561</v>
      </c>
      <c r="B503">
        <v>534.72318729281278</v>
      </c>
      <c r="C503">
        <v>34.973303756207578</v>
      </c>
      <c r="D503">
        <v>3</v>
      </c>
      <c r="E503">
        <v>2050</v>
      </c>
      <c r="F503" t="s">
        <v>465</v>
      </c>
      <c r="G503">
        <v>2.6734142060509587</v>
      </c>
      <c r="H503">
        <v>36.8152516230397</v>
      </c>
      <c r="I503" t="s">
        <v>469</v>
      </c>
      <c r="J503" t="s">
        <v>468</v>
      </c>
      <c r="K503">
        <v>4</v>
      </c>
    </row>
    <row r="504" spans="1:11" x14ac:dyDescent="0.25">
      <c r="A504" t="s">
        <v>562</v>
      </c>
      <c r="B504">
        <v>638.81390066382346</v>
      </c>
      <c r="C504">
        <v>40.637343197817728</v>
      </c>
      <c r="D504">
        <v>3</v>
      </c>
      <c r="E504">
        <v>2050</v>
      </c>
      <c r="F504" t="s">
        <v>465</v>
      </c>
      <c r="G504">
        <v>2.6734142060509587</v>
      </c>
      <c r="H504">
        <v>36.8152516230397</v>
      </c>
      <c r="I504" t="s">
        <v>469</v>
      </c>
      <c r="J504" t="s">
        <v>468</v>
      </c>
      <c r="K504">
        <v>5</v>
      </c>
    </row>
    <row r="505" spans="1:11" x14ac:dyDescent="0.25">
      <c r="A505" t="s">
        <v>563</v>
      </c>
      <c r="B505">
        <v>564.21227147800141</v>
      </c>
      <c r="C505">
        <v>37.530836578159096</v>
      </c>
      <c r="D505">
        <v>3</v>
      </c>
      <c r="E505">
        <v>2050</v>
      </c>
      <c r="F505" t="s">
        <v>465</v>
      </c>
      <c r="G505">
        <v>2.6734142060509587</v>
      </c>
      <c r="H505">
        <v>36.8152516230397</v>
      </c>
      <c r="I505" t="s">
        <v>469</v>
      </c>
      <c r="J505" t="s">
        <v>468</v>
      </c>
      <c r="K505">
        <v>6</v>
      </c>
    </row>
    <row r="506" spans="1:11" x14ac:dyDescent="0.25">
      <c r="A506" t="s">
        <v>557</v>
      </c>
      <c r="B506">
        <v>365.60735051017241</v>
      </c>
      <c r="C506">
        <v>23.994136797857276</v>
      </c>
      <c r="D506">
        <v>3</v>
      </c>
      <c r="E506">
        <v>2035</v>
      </c>
      <c r="F506" t="s">
        <v>470</v>
      </c>
      <c r="G506">
        <v>1.0500146881931376</v>
      </c>
      <c r="H506">
        <v>30.302822932151486</v>
      </c>
      <c r="I506" t="s">
        <v>466</v>
      </c>
      <c r="J506" t="s">
        <v>467</v>
      </c>
      <c r="K506">
        <v>0</v>
      </c>
    </row>
    <row r="507" spans="1:11" x14ac:dyDescent="0.25">
      <c r="A507" t="s">
        <v>558</v>
      </c>
      <c r="B507">
        <v>477.74226181432954</v>
      </c>
      <c r="C507">
        <v>32.081605726363676</v>
      </c>
      <c r="D507">
        <v>3</v>
      </c>
      <c r="E507">
        <v>2035</v>
      </c>
      <c r="F507" t="s">
        <v>470</v>
      </c>
      <c r="G507">
        <v>1.0500146881931376</v>
      </c>
      <c r="H507">
        <v>30.302822932151486</v>
      </c>
      <c r="I507" t="s">
        <v>466</v>
      </c>
      <c r="J507" t="s">
        <v>467</v>
      </c>
      <c r="K507">
        <v>1</v>
      </c>
    </row>
    <row r="508" spans="1:11" x14ac:dyDescent="0.25">
      <c r="A508" t="s">
        <v>559</v>
      </c>
      <c r="B508">
        <v>648.81560651413929</v>
      </c>
      <c r="C508">
        <v>40.10302196478289</v>
      </c>
      <c r="D508">
        <v>3</v>
      </c>
      <c r="E508">
        <v>2035</v>
      </c>
      <c r="F508" t="s">
        <v>470</v>
      </c>
      <c r="G508">
        <v>1.0500146881931376</v>
      </c>
      <c r="H508">
        <v>30.302822932151486</v>
      </c>
      <c r="I508" t="s">
        <v>466</v>
      </c>
      <c r="J508" t="s">
        <v>467</v>
      </c>
      <c r="K508">
        <v>2</v>
      </c>
    </row>
    <row r="509" spans="1:11" x14ac:dyDescent="0.25">
      <c r="A509" t="s">
        <v>560</v>
      </c>
      <c r="B509">
        <v>571.70779687996139</v>
      </c>
      <c r="C509">
        <v>38.13045803340804</v>
      </c>
      <c r="D509">
        <v>3</v>
      </c>
      <c r="E509">
        <v>2035</v>
      </c>
      <c r="F509" t="s">
        <v>470</v>
      </c>
      <c r="G509">
        <v>1.0500146881931376</v>
      </c>
      <c r="H509">
        <v>30.302822932151486</v>
      </c>
      <c r="I509" t="s">
        <v>466</v>
      </c>
      <c r="J509" t="s">
        <v>467</v>
      </c>
      <c r="K509">
        <v>3</v>
      </c>
    </row>
    <row r="510" spans="1:11" x14ac:dyDescent="0.25">
      <c r="A510" t="s">
        <v>561</v>
      </c>
      <c r="B510">
        <v>521.87235188539046</v>
      </c>
      <c r="C510">
        <v>35.779866291596257</v>
      </c>
      <c r="D510">
        <v>3</v>
      </c>
      <c r="E510">
        <v>2035</v>
      </c>
      <c r="F510" t="s">
        <v>470</v>
      </c>
      <c r="G510">
        <v>1.0500146881931376</v>
      </c>
      <c r="H510">
        <v>30.302822932151486</v>
      </c>
      <c r="I510" t="s">
        <v>466</v>
      </c>
      <c r="J510" t="s">
        <v>467</v>
      </c>
      <c r="K510">
        <v>4</v>
      </c>
    </row>
    <row r="511" spans="1:11" x14ac:dyDescent="0.25">
      <c r="A511" t="s">
        <v>562</v>
      </c>
      <c r="B511">
        <v>657.39574506810709</v>
      </c>
      <c r="C511">
        <v>42.025668241492212</v>
      </c>
      <c r="D511">
        <v>3</v>
      </c>
      <c r="E511">
        <v>2035</v>
      </c>
      <c r="F511" t="s">
        <v>470</v>
      </c>
      <c r="G511">
        <v>1.0500146881931376</v>
      </c>
      <c r="H511">
        <v>30.302822932151486</v>
      </c>
      <c r="I511" t="s">
        <v>466</v>
      </c>
      <c r="J511" t="s">
        <v>467</v>
      </c>
      <c r="K511">
        <v>5</v>
      </c>
    </row>
    <row r="512" spans="1:11" x14ac:dyDescent="0.25">
      <c r="A512" t="s">
        <v>563</v>
      </c>
      <c r="B512">
        <v>587.83787048608099</v>
      </c>
      <c r="C512">
        <v>39.58317585086553</v>
      </c>
      <c r="D512">
        <v>3</v>
      </c>
      <c r="E512">
        <v>2035</v>
      </c>
      <c r="F512" t="s">
        <v>470</v>
      </c>
      <c r="G512">
        <v>1.0500146881931376</v>
      </c>
      <c r="H512">
        <v>30.302822932151486</v>
      </c>
      <c r="I512" t="s">
        <v>466</v>
      </c>
      <c r="J512" t="s">
        <v>467</v>
      </c>
      <c r="K512">
        <v>6</v>
      </c>
    </row>
    <row r="513" spans="1:11" x14ac:dyDescent="0.25">
      <c r="A513" t="s">
        <v>557</v>
      </c>
      <c r="B513">
        <v>358.65296812758771</v>
      </c>
      <c r="C513">
        <v>23.467469264479352</v>
      </c>
      <c r="D513">
        <v>3</v>
      </c>
      <c r="E513">
        <v>2035</v>
      </c>
      <c r="F513" t="s">
        <v>470</v>
      </c>
      <c r="G513">
        <v>1.9754559195027277</v>
      </c>
      <c r="H513">
        <v>30.241552722416571</v>
      </c>
      <c r="I513" t="s">
        <v>466</v>
      </c>
      <c r="J513" t="s">
        <v>468</v>
      </c>
      <c r="K513">
        <v>0</v>
      </c>
    </row>
    <row r="514" spans="1:11" x14ac:dyDescent="0.25">
      <c r="A514" t="s">
        <v>558</v>
      </c>
      <c r="B514">
        <v>504.16470871021926</v>
      </c>
      <c r="C514">
        <v>34.914701749233402</v>
      </c>
      <c r="D514">
        <v>3</v>
      </c>
      <c r="E514">
        <v>2035</v>
      </c>
      <c r="F514" t="s">
        <v>470</v>
      </c>
      <c r="G514">
        <v>1.9754559195027277</v>
      </c>
      <c r="H514">
        <v>30.241552722416571</v>
      </c>
      <c r="I514" t="s">
        <v>466</v>
      </c>
      <c r="J514" t="s">
        <v>468</v>
      </c>
      <c r="K514">
        <v>1</v>
      </c>
    </row>
    <row r="515" spans="1:11" x14ac:dyDescent="0.25">
      <c r="A515" t="s">
        <v>559</v>
      </c>
      <c r="B515">
        <v>642.72116636686405</v>
      </c>
      <c r="C515">
        <v>40.892280415574142</v>
      </c>
      <c r="D515">
        <v>3</v>
      </c>
      <c r="E515">
        <v>2035</v>
      </c>
      <c r="F515" t="s">
        <v>470</v>
      </c>
      <c r="G515">
        <v>1.9754559195027277</v>
      </c>
      <c r="H515">
        <v>30.241552722416571</v>
      </c>
      <c r="I515" t="s">
        <v>466</v>
      </c>
      <c r="J515" t="s">
        <v>468</v>
      </c>
      <c r="K515">
        <v>2</v>
      </c>
    </row>
    <row r="516" spans="1:11" x14ac:dyDescent="0.25">
      <c r="A516" t="s">
        <v>560</v>
      </c>
      <c r="B516">
        <v>552.23624834780253</v>
      </c>
      <c r="C516">
        <v>37.088684796021624</v>
      </c>
      <c r="D516">
        <v>3</v>
      </c>
      <c r="E516">
        <v>2035</v>
      </c>
      <c r="F516" t="s">
        <v>470</v>
      </c>
      <c r="G516">
        <v>1.9754559195027277</v>
      </c>
      <c r="H516">
        <v>30.241552722416571</v>
      </c>
      <c r="I516" t="s">
        <v>466</v>
      </c>
      <c r="J516" t="s">
        <v>468</v>
      </c>
      <c r="K516">
        <v>3</v>
      </c>
    </row>
    <row r="517" spans="1:11" x14ac:dyDescent="0.25">
      <c r="A517" t="s">
        <v>561</v>
      </c>
      <c r="B517">
        <v>579.61791993419934</v>
      </c>
      <c r="C517">
        <v>39.052187149551912</v>
      </c>
      <c r="D517">
        <v>3</v>
      </c>
      <c r="E517">
        <v>2035</v>
      </c>
      <c r="F517" t="s">
        <v>470</v>
      </c>
      <c r="G517">
        <v>1.9754559195027277</v>
      </c>
      <c r="H517">
        <v>30.241552722416571</v>
      </c>
      <c r="I517" t="s">
        <v>466</v>
      </c>
      <c r="J517" t="s">
        <v>468</v>
      </c>
      <c r="K517">
        <v>4</v>
      </c>
    </row>
    <row r="518" spans="1:11" x14ac:dyDescent="0.25">
      <c r="A518" t="s">
        <v>562</v>
      </c>
      <c r="B518">
        <v>654.01330375930957</v>
      </c>
      <c r="C518">
        <v>42.002156879274239</v>
      </c>
      <c r="D518">
        <v>3</v>
      </c>
      <c r="E518">
        <v>2035</v>
      </c>
      <c r="F518" t="s">
        <v>470</v>
      </c>
      <c r="G518">
        <v>1.9754559195027277</v>
      </c>
      <c r="H518">
        <v>30.241552722416571</v>
      </c>
      <c r="I518" t="s">
        <v>466</v>
      </c>
      <c r="J518" t="s">
        <v>468</v>
      </c>
      <c r="K518">
        <v>5</v>
      </c>
    </row>
    <row r="519" spans="1:11" x14ac:dyDescent="0.25">
      <c r="A519" t="s">
        <v>563</v>
      </c>
      <c r="B519">
        <v>598.05518606641101</v>
      </c>
      <c r="C519">
        <v>40.750464631115406</v>
      </c>
      <c r="D519">
        <v>3</v>
      </c>
      <c r="E519">
        <v>2035</v>
      </c>
      <c r="F519" t="s">
        <v>470</v>
      </c>
      <c r="G519">
        <v>1.9754559195027277</v>
      </c>
      <c r="H519">
        <v>30.241552722416571</v>
      </c>
      <c r="I519" t="s">
        <v>466</v>
      </c>
      <c r="J519" t="s">
        <v>468</v>
      </c>
      <c r="K519">
        <v>6</v>
      </c>
    </row>
    <row r="520" spans="1:11" x14ac:dyDescent="0.25">
      <c r="A520" t="s">
        <v>557</v>
      </c>
      <c r="B520">
        <v>398.30932406793141</v>
      </c>
      <c r="C520">
        <v>25.958200564279082</v>
      </c>
      <c r="D520">
        <v>3</v>
      </c>
      <c r="E520">
        <v>2035</v>
      </c>
      <c r="F520" t="s">
        <v>470</v>
      </c>
      <c r="G520">
        <v>1.0500146974759794</v>
      </c>
      <c r="H520">
        <v>36.256909162309057</v>
      </c>
      <c r="I520" t="s">
        <v>469</v>
      </c>
      <c r="J520" t="s">
        <v>467</v>
      </c>
      <c r="K520">
        <v>0</v>
      </c>
    </row>
    <row r="521" spans="1:11" x14ac:dyDescent="0.25">
      <c r="A521" t="s">
        <v>558</v>
      </c>
      <c r="B521">
        <v>490.88923675748157</v>
      </c>
      <c r="C521">
        <v>33.36118892331524</v>
      </c>
      <c r="D521">
        <v>3</v>
      </c>
      <c r="E521">
        <v>2035</v>
      </c>
      <c r="F521" t="s">
        <v>470</v>
      </c>
      <c r="G521">
        <v>1.0500146974759794</v>
      </c>
      <c r="H521">
        <v>36.256909162309057</v>
      </c>
      <c r="I521" t="s">
        <v>469</v>
      </c>
      <c r="J521" t="s">
        <v>467</v>
      </c>
      <c r="K521">
        <v>1</v>
      </c>
    </row>
    <row r="522" spans="1:11" x14ac:dyDescent="0.25">
      <c r="A522" t="s">
        <v>559</v>
      </c>
      <c r="B522">
        <v>631.57134628769768</v>
      </c>
      <c r="C522">
        <v>40.321452345613991</v>
      </c>
      <c r="D522">
        <v>3</v>
      </c>
      <c r="E522">
        <v>2035</v>
      </c>
      <c r="F522" t="s">
        <v>470</v>
      </c>
      <c r="G522">
        <v>1.0500146974759794</v>
      </c>
      <c r="H522">
        <v>36.256909162309057</v>
      </c>
      <c r="I522" t="s">
        <v>469</v>
      </c>
      <c r="J522" t="s">
        <v>467</v>
      </c>
      <c r="K522">
        <v>2</v>
      </c>
    </row>
    <row r="523" spans="1:11" x14ac:dyDescent="0.25">
      <c r="A523" t="s">
        <v>560</v>
      </c>
      <c r="B523">
        <v>552.89806696943378</v>
      </c>
      <c r="C523">
        <v>36.506449444467343</v>
      </c>
      <c r="D523">
        <v>3</v>
      </c>
      <c r="E523">
        <v>2035</v>
      </c>
      <c r="F523" t="s">
        <v>470</v>
      </c>
      <c r="G523">
        <v>1.0500146974759794</v>
      </c>
      <c r="H523">
        <v>36.256909162309057</v>
      </c>
      <c r="I523" t="s">
        <v>469</v>
      </c>
      <c r="J523" t="s">
        <v>467</v>
      </c>
      <c r="K523">
        <v>3</v>
      </c>
    </row>
    <row r="524" spans="1:11" x14ac:dyDescent="0.25">
      <c r="A524" t="s">
        <v>561</v>
      </c>
      <c r="B524">
        <v>521.49464439835265</v>
      </c>
      <c r="C524">
        <v>34.702389770067093</v>
      </c>
      <c r="D524">
        <v>3</v>
      </c>
      <c r="E524">
        <v>2035</v>
      </c>
      <c r="F524" t="s">
        <v>470</v>
      </c>
      <c r="G524">
        <v>1.0500146974759794</v>
      </c>
      <c r="H524">
        <v>36.256909162309057</v>
      </c>
      <c r="I524" t="s">
        <v>469</v>
      </c>
      <c r="J524" t="s">
        <v>467</v>
      </c>
      <c r="K524">
        <v>4</v>
      </c>
    </row>
    <row r="525" spans="1:11" x14ac:dyDescent="0.25">
      <c r="A525" t="s">
        <v>562</v>
      </c>
      <c r="B525">
        <v>635.36296879261874</v>
      </c>
      <c r="C525">
        <v>40.365488213430631</v>
      </c>
      <c r="D525">
        <v>3</v>
      </c>
      <c r="E525">
        <v>2035</v>
      </c>
      <c r="F525" t="s">
        <v>470</v>
      </c>
      <c r="G525">
        <v>1.0500146974759794</v>
      </c>
      <c r="H525">
        <v>36.256909162309057</v>
      </c>
      <c r="I525" t="s">
        <v>469</v>
      </c>
      <c r="J525" t="s">
        <v>467</v>
      </c>
      <c r="K525">
        <v>5</v>
      </c>
    </row>
    <row r="526" spans="1:11" x14ac:dyDescent="0.25">
      <c r="A526" t="s">
        <v>563</v>
      </c>
      <c r="B526">
        <v>590.77223774942297</v>
      </c>
      <c r="C526">
        <v>38.914280762676633</v>
      </c>
      <c r="D526">
        <v>3</v>
      </c>
      <c r="E526">
        <v>2035</v>
      </c>
      <c r="F526" t="s">
        <v>470</v>
      </c>
      <c r="G526">
        <v>1.0500146974759794</v>
      </c>
      <c r="H526">
        <v>36.256909162309057</v>
      </c>
      <c r="I526" t="s">
        <v>469</v>
      </c>
      <c r="J526" t="s">
        <v>467</v>
      </c>
      <c r="K526">
        <v>6</v>
      </c>
    </row>
    <row r="527" spans="1:11" x14ac:dyDescent="0.25">
      <c r="A527" t="s">
        <v>557</v>
      </c>
      <c r="B527">
        <v>388.97340788636143</v>
      </c>
      <c r="C527">
        <v>25.318593336261134</v>
      </c>
      <c r="D527">
        <v>3</v>
      </c>
      <c r="E527">
        <v>2035</v>
      </c>
      <c r="F527" t="s">
        <v>470</v>
      </c>
      <c r="G527">
        <v>1.9754569688429124</v>
      </c>
      <c r="H527">
        <v>36.171571966536959</v>
      </c>
      <c r="I527" t="s">
        <v>469</v>
      </c>
      <c r="J527" t="s">
        <v>468</v>
      </c>
      <c r="K527">
        <v>0</v>
      </c>
    </row>
    <row r="528" spans="1:11" x14ac:dyDescent="0.25">
      <c r="A528" t="s">
        <v>558</v>
      </c>
      <c r="B528">
        <v>484.3955607663537</v>
      </c>
      <c r="C528">
        <v>33.415836410486257</v>
      </c>
      <c r="D528">
        <v>3</v>
      </c>
      <c r="E528">
        <v>2035</v>
      </c>
      <c r="F528" t="s">
        <v>470</v>
      </c>
      <c r="G528">
        <v>1.9754569688429124</v>
      </c>
      <c r="H528">
        <v>36.171571966536959</v>
      </c>
      <c r="I528" t="s">
        <v>469</v>
      </c>
      <c r="J528" t="s">
        <v>468</v>
      </c>
      <c r="K528">
        <v>1</v>
      </c>
    </row>
    <row r="529" spans="1:11" x14ac:dyDescent="0.25">
      <c r="A529" t="s">
        <v>559</v>
      </c>
      <c r="B529">
        <v>584.52980541272814</v>
      </c>
      <c r="C529">
        <v>38.135348925988261</v>
      </c>
      <c r="D529">
        <v>3</v>
      </c>
      <c r="E529">
        <v>2035</v>
      </c>
      <c r="F529" t="s">
        <v>470</v>
      </c>
      <c r="G529">
        <v>1.9754569688429124</v>
      </c>
      <c r="H529">
        <v>36.171571966536959</v>
      </c>
      <c r="I529" t="s">
        <v>469</v>
      </c>
      <c r="J529" t="s">
        <v>468</v>
      </c>
      <c r="K529">
        <v>2</v>
      </c>
    </row>
    <row r="530" spans="1:11" x14ac:dyDescent="0.25">
      <c r="A530" t="s">
        <v>560</v>
      </c>
      <c r="B530">
        <v>563.5805729118963</v>
      </c>
      <c r="C530">
        <v>37.517521546499005</v>
      </c>
      <c r="D530">
        <v>3</v>
      </c>
      <c r="E530">
        <v>2035</v>
      </c>
      <c r="F530" t="s">
        <v>470</v>
      </c>
      <c r="G530">
        <v>1.9754569688429124</v>
      </c>
      <c r="H530">
        <v>36.171571966536959</v>
      </c>
      <c r="I530" t="s">
        <v>469</v>
      </c>
      <c r="J530" t="s">
        <v>468</v>
      </c>
      <c r="K530">
        <v>3</v>
      </c>
    </row>
    <row r="531" spans="1:11" x14ac:dyDescent="0.25">
      <c r="A531" t="s">
        <v>561</v>
      </c>
      <c r="B531">
        <v>524.83614211970996</v>
      </c>
      <c r="C531">
        <v>34.823449784759788</v>
      </c>
      <c r="D531">
        <v>3</v>
      </c>
      <c r="E531">
        <v>2035</v>
      </c>
      <c r="F531" t="s">
        <v>470</v>
      </c>
      <c r="G531">
        <v>1.9754569688429124</v>
      </c>
      <c r="H531">
        <v>36.171571966536959</v>
      </c>
      <c r="I531" t="s">
        <v>469</v>
      </c>
      <c r="J531" t="s">
        <v>468</v>
      </c>
      <c r="K531">
        <v>4</v>
      </c>
    </row>
    <row r="532" spans="1:11" x14ac:dyDescent="0.25">
      <c r="A532" t="s">
        <v>562</v>
      </c>
      <c r="B532">
        <v>615.59772437915274</v>
      </c>
      <c r="C532">
        <v>39.058099620964548</v>
      </c>
      <c r="D532">
        <v>3</v>
      </c>
      <c r="E532">
        <v>2035</v>
      </c>
      <c r="F532" t="s">
        <v>470</v>
      </c>
      <c r="G532">
        <v>1.9754569688429124</v>
      </c>
      <c r="H532">
        <v>36.171571966536959</v>
      </c>
      <c r="I532" t="s">
        <v>469</v>
      </c>
      <c r="J532" t="s">
        <v>468</v>
      </c>
      <c r="K532">
        <v>5</v>
      </c>
    </row>
    <row r="533" spans="1:11" x14ac:dyDescent="0.25">
      <c r="A533" t="s">
        <v>563</v>
      </c>
      <c r="B533">
        <v>580.98424769431711</v>
      </c>
      <c r="C533">
        <v>38.530348204269494</v>
      </c>
      <c r="D533">
        <v>3</v>
      </c>
      <c r="E533">
        <v>2035</v>
      </c>
      <c r="F533" t="s">
        <v>470</v>
      </c>
      <c r="G533">
        <v>1.9754569688429124</v>
      </c>
      <c r="H533">
        <v>36.171571966536959</v>
      </c>
      <c r="I533" t="s">
        <v>469</v>
      </c>
      <c r="J533" t="s">
        <v>468</v>
      </c>
      <c r="K533">
        <v>6</v>
      </c>
    </row>
    <row r="534" spans="1:11" x14ac:dyDescent="0.25">
      <c r="A534" t="s">
        <v>557</v>
      </c>
      <c r="B534">
        <v>325.98585489325683</v>
      </c>
      <c r="C534">
        <v>21.736946644537408</v>
      </c>
      <c r="D534">
        <v>3</v>
      </c>
      <c r="E534">
        <v>2050</v>
      </c>
      <c r="F534" t="s">
        <v>470</v>
      </c>
      <c r="G534">
        <v>1.0693086575796402</v>
      </c>
      <c r="H534">
        <v>28.237007830764696</v>
      </c>
      <c r="I534" t="s">
        <v>466</v>
      </c>
      <c r="J534" t="s">
        <v>467</v>
      </c>
      <c r="K534">
        <v>0</v>
      </c>
    </row>
    <row r="535" spans="1:11" x14ac:dyDescent="0.25">
      <c r="A535" t="s">
        <v>558</v>
      </c>
      <c r="B535">
        <v>473.74323940610202</v>
      </c>
      <c r="C535">
        <v>33.101428886457775</v>
      </c>
      <c r="D535">
        <v>3</v>
      </c>
      <c r="E535">
        <v>2050</v>
      </c>
      <c r="F535" t="s">
        <v>470</v>
      </c>
      <c r="G535">
        <v>1.0693086575796402</v>
      </c>
      <c r="H535">
        <v>28.237007830764696</v>
      </c>
      <c r="I535" t="s">
        <v>466</v>
      </c>
      <c r="J535" t="s">
        <v>467</v>
      </c>
      <c r="K535">
        <v>1</v>
      </c>
    </row>
    <row r="536" spans="1:11" x14ac:dyDescent="0.25">
      <c r="A536" t="s">
        <v>559</v>
      </c>
      <c r="B536">
        <v>662.38053561996446</v>
      </c>
      <c r="C536">
        <v>42.725660368709285</v>
      </c>
      <c r="D536">
        <v>3</v>
      </c>
      <c r="E536">
        <v>2050</v>
      </c>
      <c r="F536" t="s">
        <v>470</v>
      </c>
      <c r="G536">
        <v>1.0693086575796402</v>
      </c>
      <c r="H536">
        <v>28.237007830764696</v>
      </c>
      <c r="I536" t="s">
        <v>466</v>
      </c>
      <c r="J536" t="s">
        <v>467</v>
      </c>
      <c r="K536">
        <v>2</v>
      </c>
    </row>
    <row r="537" spans="1:11" x14ac:dyDescent="0.25">
      <c r="A537" t="s">
        <v>560</v>
      </c>
      <c r="B537">
        <v>545.46548067011895</v>
      </c>
      <c r="C537">
        <v>37.578630524173882</v>
      </c>
      <c r="D537">
        <v>3</v>
      </c>
      <c r="E537">
        <v>2050</v>
      </c>
      <c r="F537" t="s">
        <v>470</v>
      </c>
      <c r="G537">
        <v>1.0693086575796402</v>
      </c>
      <c r="H537">
        <v>28.237007830764696</v>
      </c>
      <c r="I537" t="s">
        <v>466</v>
      </c>
      <c r="J537" t="s">
        <v>467</v>
      </c>
      <c r="K537">
        <v>3</v>
      </c>
    </row>
    <row r="538" spans="1:11" x14ac:dyDescent="0.25">
      <c r="A538" t="s">
        <v>561</v>
      </c>
      <c r="B538">
        <v>474.68225265470176</v>
      </c>
      <c r="C538">
        <v>32.936794669372432</v>
      </c>
      <c r="D538">
        <v>3</v>
      </c>
      <c r="E538">
        <v>2050</v>
      </c>
      <c r="F538" t="s">
        <v>470</v>
      </c>
      <c r="G538">
        <v>1.0693086575796402</v>
      </c>
      <c r="H538">
        <v>28.237007830764696</v>
      </c>
      <c r="I538" t="s">
        <v>466</v>
      </c>
      <c r="J538" t="s">
        <v>467</v>
      </c>
      <c r="K538">
        <v>4</v>
      </c>
    </row>
    <row r="539" spans="1:11" x14ac:dyDescent="0.25">
      <c r="A539" t="s">
        <v>562</v>
      </c>
      <c r="B539">
        <v>624.74002698063214</v>
      </c>
      <c r="C539">
        <v>40.160887189848999</v>
      </c>
      <c r="D539">
        <v>3</v>
      </c>
      <c r="E539">
        <v>2050</v>
      </c>
      <c r="F539" t="s">
        <v>470</v>
      </c>
      <c r="G539">
        <v>1.0693086575796402</v>
      </c>
      <c r="H539">
        <v>28.237007830764696</v>
      </c>
      <c r="I539" t="s">
        <v>466</v>
      </c>
      <c r="J539" t="s">
        <v>467</v>
      </c>
      <c r="K539">
        <v>5</v>
      </c>
    </row>
    <row r="540" spans="1:11" x14ac:dyDescent="0.25">
      <c r="A540" t="s">
        <v>563</v>
      </c>
      <c r="B540">
        <v>563.09037662689252</v>
      </c>
      <c r="C540">
        <v>38.280506143894449</v>
      </c>
      <c r="D540">
        <v>3</v>
      </c>
      <c r="E540">
        <v>2050</v>
      </c>
      <c r="F540" t="s">
        <v>470</v>
      </c>
      <c r="G540">
        <v>1.0693086575796402</v>
      </c>
      <c r="H540">
        <v>28.237007830764696</v>
      </c>
      <c r="I540" t="s">
        <v>466</v>
      </c>
      <c r="J540" t="s">
        <v>467</v>
      </c>
      <c r="K540">
        <v>6</v>
      </c>
    </row>
    <row r="541" spans="1:11" x14ac:dyDescent="0.25">
      <c r="A541" t="s">
        <v>557</v>
      </c>
      <c r="B541">
        <v>336.10848557218623</v>
      </c>
      <c r="C541">
        <v>21.838019271787683</v>
      </c>
      <c r="D541">
        <v>3</v>
      </c>
      <c r="E541">
        <v>2050</v>
      </c>
      <c r="F541" t="s">
        <v>470</v>
      </c>
      <c r="G541">
        <v>2.673413137659002</v>
      </c>
      <c r="H541">
        <v>28.130272117336943</v>
      </c>
      <c r="I541" t="s">
        <v>466</v>
      </c>
      <c r="J541" t="s">
        <v>468</v>
      </c>
      <c r="K541">
        <v>0</v>
      </c>
    </row>
    <row r="542" spans="1:11" x14ac:dyDescent="0.25">
      <c r="A542" t="s">
        <v>558</v>
      </c>
      <c r="B542">
        <v>443.72395331712841</v>
      </c>
      <c r="C542">
        <v>31.449327760633835</v>
      </c>
      <c r="D542">
        <v>3</v>
      </c>
      <c r="E542">
        <v>2050</v>
      </c>
      <c r="F542" t="s">
        <v>470</v>
      </c>
      <c r="G542">
        <v>2.673413137659002</v>
      </c>
      <c r="H542">
        <v>28.130272117336943</v>
      </c>
      <c r="I542" t="s">
        <v>466</v>
      </c>
      <c r="J542" t="s">
        <v>468</v>
      </c>
      <c r="K542">
        <v>1</v>
      </c>
    </row>
    <row r="543" spans="1:11" x14ac:dyDescent="0.25">
      <c r="A543" t="s">
        <v>559</v>
      </c>
      <c r="B543">
        <v>602.91697540987093</v>
      </c>
      <c r="C543">
        <v>39.287317581473317</v>
      </c>
      <c r="D543">
        <v>3</v>
      </c>
      <c r="E543">
        <v>2050</v>
      </c>
      <c r="F543" t="s">
        <v>470</v>
      </c>
      <c r="G543">
        <v>2.673413137659002</v>
      </c>
      <c r="H543">
        <v>28.130272117336943</v>
      </c>
      <c r="I543" t="s">
        <v>466</v>
      </c>
      <c r="J543" t="s">
        <v>468</v>
      </c>
      <c r="K543">
        <v>2</v>
      </c>
    </row>
    <row r="544" spans="1:11" x14ac:dyDescent="0.25">
      <c r="A544" t="s">
        <v>560</v>
      </c>
      <c r="B544">
        <v>525.88718926231059</v>
      </c>
      <c r="C544">
        <v>35.593149934266627</v>
      </c>
      <c r="D544">
        <v>3</v>
      </c>
      <c r="E544">
        <v>2050</v>
      </c>
      <c r="F544" t="s">
        <v>470</v>
      </c>
      <c r="G544">
        <v>2.673413137659002</v>
      </c>
      <c r="H544">
        <v>28.130272117336943</v>
      </c>
      <c r="I544" t="s">
        <v>466</v>
      </c>
      <c r="J544" t="s">
        <v>468</v>
      </c>
      <c r="K544">
        <v>3</v>
      </c>
    </row>
    <row r="545" spans="1:11" x14ac:dyDescent="0.25">
      <c r="A545" t="s">
        <v>561</v>
      </c>
      <c r="B545">
        <v>478.99152530779895</v>
      </c>
      <c r="C545">
        <v>32.768329095447008</v>
      </c>
      <c r="D545">
        <v>3</v>
      </c>
      <c r="E545">
        <v>2050</v>
      </c>
      <c r="F545" t="s">
        <v>470</v>
      </c>
      <c r="G545">
        <v>2.673413137659002</v>
      </c>
      <c r="H545">
        <v>28.130272117336943</v>
      </c>
      <c r="I545" t="s">
        <v>466</v>
      </c>
      <c r="J545" t="s">
        <v>468</v>
      </c>
      <c r="K545">
        <v>4</v>
      </c>
    </row>
    <row r="546" spans="1:11" x14ac:dyDescent="0.25">
      <c r="A546" t="s">
        <v>562</v>
      </c>
      <c r="B546">
        <v>635.25354572338892</v>
      </c>
      <c r="C546">
        <v>40.474388480463745</v>
      </c>
      <c r="D546">
        <v>3</v>
      </c>
      <c r="E546">
        <v>2050</v>
      </c>
      <c r="F546" t="s">
        <v>470</v>
      </c>
      <c r="G546">
        <v>2.673413137659002</v>
      </c>
      <c r="H546">
        <v>28.130272117336943</v>
      </c>
      <c r="I546" t="s">
        <v>466</v>
      </c>
      <c r="J546" t="s">
        <v>468</v>
      </c>
      <c r="K546">
        <v>5</v>
      </c>
    </row>
    <row r="547" spans="1:11" x14ac:dyDescent="0.25">
      <c r="A547" t="s">
        <v>563</v>
      </c>
      <c r="B547">
        <v>558.12531174333674</v>
      </c>
      <c r="C547">
        <v>38.569944020623183</v>
      </c>
      <c r="D547">
        <v>3</v>
      </c>
      <c r="E547">
        <v>2050</v>
      </c>
      <c r="F547" t="s">
        <v>470</v>
      </c>
      <c r="G547">
        <v>2.673413137659002</v>
      </c>
      <c r="H547">
        <v>28.130272117336943</v>
      </c>
      <c r="I547" t="s">
        <v>466</v>
      </c>
      <c r="J547" t="s">
        <v>468</v>
      </c>
      <c r="K547">
        <v>6</v>
      </c>
    </row>
    <row r="548" spans="1:11" x14ac:dyDescent="0.25">
      <c r="A548" t="s">
        <v>557</v>
      </c>
      <c r="B548">
        <v>361.03711447826345</v>
      </c>
      <c r="C548">
        <v>23.907574701669692</v>
      </c>
      <c r="D548">
        <v>3</v>
      </c>
      <c r="E548">
        <v>2050</v>
      </c>
      <c r="F548" t="s">
        <v>470</v>
      </c>
      <c r="G548">
        <v>1.0693059847005004</v>
      </c>
      <c r="H548">
        <v>37.301692788717219</v>
      </c>
      <c r="I548" t="s">
        <v>469</v>
      </c>
      <c r="J548" t="s">
        <v>467</v>
      </c>
      <c r="K548">
        <v>0</v>
      </c>
    </row>
    <row r="549" spans="1:11" x14ac:dyDescent="0.25">
      <c r="A549" t="s">
        <v>558</v>
      </c>
      <c r="B549">
        <v>492.53411259032043</v>
      </c>
      <c r="C549">
        <v>31.9344257193262</v>
      </c>
      <c r="D549">
        <v>3</v>
      </c>
      <c r="E549">
        <v>2050</v>
      </c>
      <c r="F549" t="s">
        <v>470</v>
      </c>
      <c r="G549">
        <v>1.0693059847005004</v>
      </c>
      <c r="H549">
        <v>37.301692788717219</v>
      </c>
      <c r="I549" t="s">
        <v>469</v>
      </c>
      <c r="J549" t="s">
        <v>467</v>
      </c>
      <c r="K549">
        <v>1</v>
      </c>
    </row>
    <row r="550" spans="1:11" x14ac:dyDescent="0.25">
      <c r="A550" t="s">
        <v>559</v>
      </c>
      <c r="B550">
        <v>579.42396474199836</v>
      </c>
      <c r="C550">
        <v>35.99693848140781</v>
      </c>
      <c r="D550">
        <v>3</v>
      </c>
      <c r="E550">
        <v>2050</v>
      </c>
      <c r="F550" t="s">
        <v>470</v>
      </c>
      <c r="G550">
        <v>1.0693059847005004</v>
      </c>
      <c r="H550">
        <v>37.301692788717219</v>
      </c>
      <c r="I550" t="s">
        <v>469</v>
      </c>
      <c r="J550" t="s">
        <v>467</v>
      </c>
      <c r="K550">
        <v>2</v>
      </c>
    </row>
    <row r="551" spans="1:11" x14ac:dyDescent="0.25">
      <c r="A551" t="s">
        <v>560</v>
      </c>
      <c r="B551">
        <v>513.59000447936978</v>
      </c>
      <c r="C551">
        <v>34.024254068029386</v>
      </c>
      <c r="D551">
        <v>3</v>
      </c>
      <c r="E551">
        <v>2050</v>
      </c>
      <c r="F551" t="s">
        <v>470</v>
      </c>
      <c r="G551">
        <v>1.0693059847005004</v>
      </c>
      <c r="H551">
        <v>37.301692788717219</v>
      </c>
      <c r="I551" t="s">
        <v>469</v>
      </c>
      <c r="J551" t="s">
        <v>467</v>
      </c>
      <c r="K551">
        <v>3</v>
      </c>
    </row>
    <row r="552" spans="1:11" x14ac:dyDescent="0.25">
      <c r="A552" t="s">
        <v>561</v>
      </c>
      <c r="B552">
        <v>460.00922491341169</v>
      </c>
      <c r="C552">
        <v>31.047277530615155</v>
      </c>
      <c r="D552">
        <v>3</v>
      </c>
      <c r="E552">
        <v>2050</v>
      </c>
      <c r="F552" t="s">
        <v>470</v>
      </c>
      <c r="G552">
        <v>1.0693059847005004</v>
      </c>
      <c r="H552">
        <v>37.301692788717219</v>
      </c>
      <c r="I552" t="s">
        <v>469</v>
      </c>
      <c r="J552" t="s">
        <v>467</v>
      </c>
      <c r="K552">
        <v>4</v>
      </c>
    </row>
    <row r="553" spans="1:11" x14ac:dyDescent="0.25">
      <c r="A553" t="s">
        <v>562</v>
      </c>
      <c r="B553">
        <v>635.52501076631904</v>
      </c>
      <c r="C553">
        <v>39.638337150173349</v>
      </c>
      <c r="D553">
        <v>3</v>
      </c>
      <c r="E553">
        <v>2050</v>
      </c>
      <c r="F553" t="s">
        <v>470</v>
      </c>
      <c r="G553">
        <v>1.0693059847005004</v>
      </c>
      <c r="H553">
        <v>37.301692788717219</v>
      </c>
      <c r="I553" t="s">
        <v>469</v>
      </c>
      <c r="J553" t="s">
        <v>467</v>
      </c>
      <c r="K553">
        <v>5</v>
      </c>
    </row>
    <row r="554" spans="1:11" x14ac:dyDescent="0.25">
      <c r="A554" t="s">
        <v>563</v>
      </c>
      <c r="B554">
        <v>540.98801997000726</v>
      </c>
      <c r="C554">
        <v>36.459416952460678</v>
      </c>
      <c r="D554">
        <v>3</v>
      </c>
      <c r="E554">
        <v>2050</v>
      </c>
      <c r="F554" t="s">
        <v>470</v>
      </c>
      <c r="G554">
        <v>1.0693059847005004</v>
      </c>
      <c r="H554">
        <v>37.301692788717219</v>
      </c>
      <c r="I554" t="s">
        <v>469</v>
      </c>
      <c r="J554" t="s">
        <v>467</v>
      </c>
      <c r="K554">
        <v>6</v>
      </c>
    </row>
    <row r="555" spans="1:11" x14ac:dyDescent="0.25">
      <c r="A555" t="s">
        <v>557</v>
      </c>
      <c r="B555">
        <v>399.21453144223483</v>
      </c>
      <c r="C555">
        <v>26.311464988814429</v>
      </c>
      <c r="D555">
        <v>3</v>
      </c>
      <c r="E555">
        <v>2050</v>
      </c>
      <c r="F555" t="s">
        <v>470</v>
      </c>
      <c r="G555">
        <v>2.6734131909794425</v>
      </c>
      <c r="H555">
        <v>37.251410449413299</v>
      </c>
      <c r="I555" t="s">
        <v>469</v>
      </c>
      <c r="J555" t="s">
        <v>468</v>
      </c>
      <c r="K555">
        <v>0</v>
      </c>
    </row>
    <row r="556" spans="1:11" x14ac:dyDescent="0.25">
      <c r="A556" t="s">
        <v>558</v>
      </c>
      <c r="B556">
        <v>470.61580272240758</v>
      </c>
      <c r="C556">
        <v>32.302594886088677</v>
      </c>
      <c r="D556">
        <v>3</v>
      </c>
      <c r="E556">
        <v>2050</v>
      </c>
      <c r="F556" t="s">
        <v>470</v>
      </c>
      <c r="G556">
        <v>2.6734131909794425</v>
      </c>
      <c r="H556">
        <v>37.251410449413299</v>
      </c>
      <c r="I556" t="s">
        <v>469</v>
      </c>
      <c r="J556" t="s">
        <v>468</v>
      </c>
      <c r="K556">
        <v>1</v>
      </c>
    </row>
    <row r="557" spans="1:11" x14ac:dyDescent="0.25">
      <c r="A557" t="s">
        <v>559</v>
      </c>
      <c r="B557">
        <v>545.7902533701249</v>
      </c>
      <c r="C557">
        <v>36.365657462160264</v>
      </c>
      <c r="D557">
        <v>3</v>
      </c>
      <c r="E557">
        <v>2050</v>
      </c>
      <c r="F557" t="s">
        <v>470</v>
      </c>
      <c r="G557">
        <v>2.6734131909794425</v>
      </c>
      <c r="H557">
        <v>37.251410449413299</v>
      </c>
      <c r="I557" t="s">
        <v>469</v>
      </c>
      <c r="J557" t="s">
        <v>468</v>
      </c>
      <c r="K557">
        <v>2</v>
      </c>
    </row>
    <row r="558" spans="1:11" x14ac:dyDescent="0.25">
      <c r="A558" t="s">
        <v>560</v>
      </c>
      <c r="B558">
        <v>493.59553944286955</v>
      </c>
      <c r="C558">
        <v>33.789100705384541</v>
      </c>
      <c r="D558">
        <v>3</v>
      </c>
      <c r="E558">
        <v>2050</v>
      </c>
      <c r="F558" t="s">
        <v>470</v>
      </c>
      <c r="G558">
        <v>2.6734131909794425</v>
      </c>
      <c r="H558">
        <v>37.251410449413299</v>
      </c>
      <c r="I558" t="s">
        <v>469</v>
      </c>
      <c r="J558" t="s">
        <v>468</v>
      </c>
      <c r="K558">
        <v>3</v>
      </c>
    </row>
    <row r="559" spans="1:11" x14ac:dyDescent="0.25">
      <c r="A559" t="s">
        <v>561</v>
      </c>
      <c r="B559">
        <v>502.88699876015403</v>
      </c>
      <c r="C559">
        <v>34.533119735445219</v>
      </c>
      <c r="D559">
        <v>3</v>
      </c>
      <c r="E559">
        <v>2050</v>
      </c>
      <c r="F559" t="s">
        <v>470</v>
      </c>
      <c r="G559">
        <v>2.6734131909794425</v>
      </c>
      <c r="H559">
        <v>37.251410449413299</v>
      </c>
      <c r="I559" t="s">
        <v>469</v>
      </c>
      <c r="J559" t="s">
        <v>468</v>
      </c>
      <c r="K559">
        <v>4</v>
      </c>
    </row>
    <row r="560" spans="1:11" x14ac:dyDescent="0.25">
      <c r="A560" t="s">
        <v>562</v>
      </c>
      <c r="B560">
        <v>607.49486068904901</v>
      </c>
      <c r="C560">
        <v>39.959382578195402</v>
      </c>
      <c r="D560">
        <v>3</v>
      </c>
      <c r="E560">
        <v>2050</v>
      </c>
      <c r="F560" t="s">
        <v>470</v>
      </c>
      <c r="G560">
        <v>2.6734131909794425</v>
      </c>
      <c r="H560">
        <v>37.251410449413299</v>
      </c>
      <c r="I560" t="s">
        <v>469</v>
      </c>
      <c r="J560" t="s">
        <v>468</v>
      </c>
      <c r="K560">
        <v>5</v>
      </c>
    </row>
    <row r="561" spans="1:11" x14ac:dyDescent="0.25">
      <c r="A561" t="s">
        <v>563</v>
      </c>
      <c r="B561">
        <v>547.48433548247249</v>
      </c>
      <c r="C561">
        <v>36.986659250451325</v>
      </c>
      <c r="D561">
        <v>3</v>
      </c>
      <c r="E561">
        <v>2050</v>
      </c>
      <c r="F561" t="s">
        <v>470</v>
      </c>
      <c r="G561">
        <v>2.6734131909794425</v>
      </c>
      <c r="H561">
        <v>37.251410449413299</v>
      </c>
      <c r="I561" t="s">
        <v>469</v>
      </c>
      <c r="J561" t="s">
        <v>468</v>
      </c>
      <c r="K561">
        <v>6</v>
      </c>
    </row>
    <row r="562" spans="1:11" x14ac:dyDescent="0.25">
      <c r="A562" t="s">
        <v>557</v>
      </c>
      <c r="B562">
        <v>379.83767095621795</v>
      </c>
      <c r="C562">
        <v>24.849934986974432</v>
      </c>
      <c r="D562">
        <v>3</v>
      </c>
      <c r="E562">
        <v>2035</v>
      </c>
      <c r="F562" t="s">
        <v>471</v>
      </c>
      <c r="G562">
        <v>1.0500146884577199</v>
      </c>
      <c r="H562">
        <v>30.245676802209204</v>
      </c>
      <c r="I562" t="s">
        <v>466</v>
      </c>
      <c r="J562" t="s">
        <v>467</v>
      </c>
      <c r="K562">
        <v>0</v>
      </c>
    </row>
    <row r="563" spans="1:11" x14ac:dyDescent="0.25">
      <c r="A563" t="s">
        <v>558</v>
      </c>
      <c r="B563">
        <v>513.97452506626212</v>
      </c>
      <c r="C563">
        <v>34.44892731768126</v>
      </c>
      <c r="D563">
        <v>3</v>
      </c>
      <c r="E563">
        <v>2035</v>
      </c>
      <c r="F563" t="s">
        <v>471</v>
      </c>
      <c r="G563">
        <v>1.0500146884577199</v>
      </c>
      <c r="H563">
        <v>30.245676802209204</v>
      </c>
      <c r="I563" t="s">
        <v>466</v>
      </c>
      <c r="J563" t="s">
        <v>467</v>
      </c>
      <c r="K563">
        <v>1</v>
      </c>
    </row>
    <row r="564" spans="1:11" x14ac:dyDescent="0.25">
      <c r="A564" t="s">
        <v>559</v>
      </c>
      <c r="B564">
        <v>637.75045816409897</v>
      </c>
      <c r="C564">
        <v>40.397973085650918</v>
      </c>
      <c r="D564">
        <v>3</v>
      </c>
      <c r="E564">
        <v>2035</v>
      </c>
      <c r="F564" t="s">
        <v>471</v>
      </c>
      <c r="G564">
        <v>1.0500146884577199</v>
      </c>
      <c r="H564">
        <v>30.245676802209204</v>
      </c>
      <c r="I564" t="s">
        <v>466</v>
      </c>
      <c r="J564" t="s">
        <v>467</v>
      </c>
      <c r="K564">
        <v>2</v>
      </c>
    </row>
    <row r="565" spans="1:11" x14ac:dyDescent="0.25">
      <c r="A565" t="s">
        <v>560</v>
      </c>
      <c r="B565">
        <v>566.04233703928799</v>
      </c>
      <c r="C565">
        <v>37.64300736968444</v>
      </c>
      <c r="D565">
        <v>3</v>
      </c>
      <c r="E565">
        <v>2035</v>
      </c>
      <c r="F565" t="s">
        <v>471</v>
      </c>
      <c r="G565">
        <v>1.0500146884577199</v>
      </c>
      <c r="H565">
        <v>30.245676802209204</v>
      </c>
      <c r="I565" t="s">
        <v>466</v>
      </c>
      <c r="J565" t="s">
        <v>467</v>
      </c>
      <c r="K565">
        <v>3</v>
      </c>
    </row>
    <row r="566" spans="1:11" x14ac:dyDescent="0.25">
      <c r="A566" t="s">
        <v>561</v>
      </c>
      <c r="B566">
        <v>515.58108688852576</v>
      </c>
      <c r="C566">
        <v>34.591312694983934</v>
      </c>
      <c r="D566">
        <v>3</v>
      </c>
      <c r="E566">
        <v>2035</v>
      </c>
      <c r="F566" t="s">
        <v>471</v>
      </c>
      <c r="G566">
        <v>1.0500146884577199</v>
      </c>
      <c r="H566">
        <v>30.245676802209204</v>
      </c>
      <c r="I566" t="s">
        <v>466</v>
      </c>
      <c r="J566" t="s">
        <v>467</v>
      </c>
      <c r="K566">
        <v>4</v>
      </c>
    </row>
    <row r="567" spans="1:11" x14ac:dyDescent="0.25">
      <c r="A567" t="s">
        <v>562</v>
      </c>
      <c r="B567">
        <v>642.53615204591961</v>
      </c>
      <c r="C567">
        <v>40.289863666368277</v>
      </c>
      <c r="D567">
        <v>3</v>
      </c>
      <c r="E567">
        <v>2035</v>
      </c>
      <c r="F567" t="s">
        <v>471</v>
      </c>
      <c r="G567">
        <v>1.0500146884577199</v>
      </c>
      <c r="H567">
        <v>30.245676802209204</v>
      </c>
      <c r="I567" t="s">
        <v>466</v>
      </c>
      <c r="J567" t="s">
        <v>467</v>
      </c>
      <c r="K567">
        <v>5</v>
      </c>
    </row>
    <row r="568" spans="1:11" x14ac:dyDescent="0.25">
      <c r="A568" t="s">
        <v>563</v>
      </c>
      <c r="B568">
        <v>591.34981926956857</v>
      </c>
      <c r="C568">
        <v>39.468290141528058</v>
      </c>
      <c r="D568">
        <v>3</v>
      </c>
      <c r="E568">
        <v>2035</v>
      </c>
      <c r="F568" t="s">
        <v>471</v>
      </c>
      <c r="G568">
        <v>1.0500146884577199</v>
      </c>
      <c r="H568">
        <v>30.245676802209204</v>
      </c>
      <c r="I568" t="s">
        <v>466</v>
      </c>
      <c r="J568" t="s">
        <v>467</v>
      </c>
      <c r="K568">
        <v>6</v>
      </c>
    </row>
    <row r="569" spans="1:11" x14ac:dyDescent="0.25">
      <c r="A569" t="s">
        <v>557</v>
      </c>
      <c r="B569">
        <v>376.19008448991212</v>
      </c>
      <c r="C569">
        <v>24.397607063585813</v>
      </c>
      <c r="D569">
        <v>3</v>
      </c>
      <c r="E569">
        <v>2035</v>
      </c>
      <c r="F569" t="s">
        <v>471</v>
      </c>
      <c r="G569">
        <v>1.975456969510879</v>
      </c>
      <c r="H569">
        <v>30.233569392072127</v>
      </c>
      <c r="I569" t="s">
        <v>466</v>
      </c>
      <c r="J569" t="s">
        <v>468</v>
      </c>
      <c r="K569">
        <v>0</v>
      </c>
    </row>
    <row r="570" spans="1:11" x14ac:dyDescent="0.25">
      <c r="A570" t="s">
        <v>558</v>
      </c>
      <c r="B570">
        <v>492.28305465153085</v>
      </c>
      <c r="C570">
        <v>33.222821615063559</v>
      </c>
      <c r="D570">
        <v>3</v>
      </c>
      <c r="E570">
        <v>2035</v>
      </c>
      <c r="F570" t="s">
        <v>471</v>
      </c>
      <c r="G570">
        <v>1.975456969510879</v>
      </c>
      <c r="H570">
        <v>30.233569392072127</v>
      </c>
      <c r="I570" t="s">
        <v>466</v>
      </c>
      <c r="J570" t="s">
        <v>468</v>
      </c>
      <c r="K570">
        <v>1</v>
      </c>
    </row>
    <row r="571" spans="1:11" x14ac:dyDescent="0.25">
      <c r="A571" t="s">
        <v>559</v>
      </c>
      <c r="B571">
        <v>630.66372237900623</v>
      </c>
      <c r="C571">
        <v>39.10734599513529</v>
      </c>
      <c r="D571">
        <v>3</v>
      </c>
      <c r="E571">
        <v>2035</v>
      </c>
      <c r="F571" t="s">
        <v>471</v>
      </c>
      <c r="G571">
        <v>1.975456969510879</v>
      </c>
      <c r="H571">
        <v>30.233569392072127</v>
      </c>
      <c r="I571" t="s">
        <v>466</v>
      </c>
      <c r="J571" t="s">
        <v>468</v>
      </c>
      <c r="K571">
        <v>2</v>
      </c>
    </row>
    <row r="572" spans="1:11" x14ac:dyDescent="0.25">
      <c r="A572" t="s">
        <v>560</v>
      </c>
      <c r="B572">
        <v>572.54233671997292</v>
      </c>
      <c r="C572">
        <v>36.751177795176147</v>
      </c>
      <c r="D572">
        <v>3</v>
      </c>
      <c r="E572">
        <v>2035</v>
      </c>
      <c r="F572" t="s">
        <v>471</v>
      </c>
      <c r="G572">
        <v>1.975456969510879</v>
      </c>
      <c r="H572">
        <v>30.233569392072127</v>
      </c>
      <c r="I572" t="s">
        <v>466</v>
      </c>
      <c r="J572" t="s">
        <v>468</v>
      </c>
      <c r="K572">
        <v>3</v>
      </c>
    </row>
    <row r="573" spans="1:11" x14ac:dyDescent="0.25">
      <c r="A573" t="s">
        <v>561</v>
      </c>
      <c r="B573">
        <v>524.4365043936823</v>
      </c>
      <c r="C573">
        <v>34.02850039281757</v>
      </c>
      <c r="D573">
        <v>3</v>
      </c>
      <c r="E573">
        <v>2035</v>
      </c>
      <c r="F573" t="s">
        <v>471</v>
      </c>
      <c r="G573">
        <v>1.975456969510879</v>
      </c>
      <c r="H573">
        <v>30.233569392072127</v>
      </c>
      <c r="I573" t="s">
        <v>466</v>
      </c>
      <c r="J573" t="s">
        <v>468</v>
      </c>
      <c r="K573">
        <v>4</v>
      </c>
    </row>
    <row r="574" spans="1:11" x14ac:dyDescent="0.25">
      <c r="A574" t="s">
        <v>562</v>
      </c>
      <c r="B574">
        <v>639.71542700852706</v>
      </c>
      <c r="C574">
        <v>39.088474018675882</v>
      </c>
      <c r="D574">
        <v>3</v>
      </c>
      <c r="E574">
        <v>2035</v>
      </c>
      <c r="F574" t="s">
        <v>471</v>
      </c>
      <c r="G574">
        <v>1.975456969510879</v>
      </c>
      <c r="H574">
        <v>30.233569392072127</v>
      </c>
      <c r="I574" t="s">
        <v>466</v>
      </c>
      <c r="J574" t="s">
        <v>468</v>
      </c>
      <c r="K574">
        <v>5</v>
      </c>
    </row>
    <row r="575" spans="1:11" x14ac:dyDescent="0.25">
      <c r="A575" t="s">
        <v>563</v>
      </c>
      <c r="B575">
        <v>561.13329004863806</v>
      </c>
      <c r="C575">
        <v>37.980959033551372</v>
      </c>
      <c r="D575">
        <v>3</v>
      </c>
      <c r="E575">
        <v>2035</v>
      </c>
      <c r="F575" t="s">
        <v>471</v>
      </c>
      <c r="G575">
        <v>1.975456969510879</v>
      </c>
      <c r="H575">
        <v>30.233569392072127</v>
      </c>
      <c r="I575" t="s">
        <v>466</v>
      </c>
      <c r="J575" t="s">
        <v>468</v>
      </c>
      <c r="K575">
        <v>6</v>
      </c>
    </row>
    <row r="576" spans="1:11" x14ac:dyDescent="0.25">
      <c r="A576" t="s">
        <v>557</v>
      </c>
      <c r="B576">
        <v>391.71438865790083</v>
      </c>
      <c r="C576">
        <v>25.638878793463125</v>
      </c>
      <c r="D576">
        <v>3</v>
      </c>
      <c r="E576">
        <v>2035</v>
      </c>
      <c r="F576" t="s">
        <v>471</v>
      </c>
      <c r="G576">
        <v>1.0500148685119459</v>
      </c>
      <c r="H576">
        <v>36.553526713856968</v>
      </c>
      <c r="I576" t="s">
        <v>469</v>
      </c>
      <c r="J576" t="s">
        <v>467</v>
      </c>
      <c r="K576">
        <v>0</v>
      </c>
    </row>
    <row r="577" spans="1:11" x14ac:dyDescent="0.25">
      <c r="A577" t="s">
        <v>558</v>
      </c>
      <c r="B577">
        <v>494.51501836206887</v>
      </c>
      <c r="C577">
        <v>32.628778897240359</v>
      </c>
      <c r="D577">
        <v>3</v>
      </c>
      <c r="E577">
        <v>2035</v>
      </c>
      <c r="F577" t="s">
        <v>471</v>
      </c>
      <c r="G577">
        <v>1.0500148685119459</v>
      </c>
      <c r="H577">
        <v>36.553526713856968</v>
      </c>
      <c r="I577" t="s">
        <v>469</v>
      </c>
      <c r="J577" t="s">
        <v>467</v>
      </c>
      <c r="K577">
        <v>1</v>
      </c>
    </row>
    <row r="578" spans="1:11" x14ac:dyDescent="0.25">
      <c r="A578" t="s">
        <v>559</v>
      </c>
      <c r="B578">
        <v>580.97188627671426</v>
      </c>
      <c r="C578">
        <v>36.342372195658214</v>
      </c>
      <c r="D578">
        <v>3</v>
      </c>
      <c r="E578">
        <v>2035</v>
      </c>
      <c r="F578" t="s">
        <v>471</v>
      </c>
      <c r="G578">
        <v>1.0500148685119459</v>
      </c>
      <c r="H578">
        <v>36.553526713856968</v>
      </c>
      <c r="I578" t="s">
        <v>469</v>
      </c>
      <c r="J578" t="s">
        <v>467</v>
      </c>
      <c r="K578">
        <v>2</v>
      </c>
    </row>
    <row r="579" spans="1:11" x14ac:dyDescent="0.25">
      <c r="A579" t="s">
        <v>560</v>
      </c>
      <c r="B579">
        <v>538.13999384035264</v>
      </c>
      <c r="C579">
        <v>35.48426434710985</v>
      </c>
      <c r="D579">
        <v>3</v>
      </c>
      <c r="E579">
        <v>2035</v>
      </c>
      <c r="F579" t="s">
        <v>471</v>
      </c>
      <c r="G579">
        <v>1.0500148685119459</v>
      </c>
      <c r="H579">
        <v>36.553526713856968</v>
      </c>
      <c r="I579" t="s">
        <v>469</v>
      </c>
      <c r="J579" t="s">
        <v>467</v>
      </c>
      <c r="K579">
        <v>3</v>
      </c>
    </row>
    <row r="580" spans="1:11" x14ac:dyDescent="0.25">
      <c r="A580" t="s">
        <v>561</v>
      </c>
      <c r="B580">
        <v>520.43395229425823</v>
      </c>
      <c r="C580">
        <v>33.432078503491866</v>
      </c>
      <c r="D580">
        <v>3</v>
      </c>
      <c r="E580">
        <v>2035</v>
      </c>
      <c r="F580" t="s">
        <v>471</v>
      </c>
      <c r="G580">
        <v>1.0500148685119459</v>
      </c>
      <c r="H580">
        <v>36.553526713856968</v>
      </c>
      <c r="I580" t="s">
        <v>469</v>
      </c>
      <c r="J580" t="s">
        <v>467</v>
      </c>
      <c r="K580">
        <v>4</v>
      </c>
    </row>
    <row r="581" spans="1:11" x14ac:dyDescent="0.25">
      <c r="A581" t="s">
        <v>562</v>
      </c>
      <c r="B581">
        <v>633.14509889460703</v>
      </c>
      <c r="C581">
        <v>39.625301109241732</v>
      </c>
      <c r="D581">
        <v>3</v>
      </c>
      <c r="E581">
        <v>2035</v>
      </c>
      <c r="F581" t="s">
        <v>471</v>
      </c>
      <c r="G581">
        <v>1.0500148685119459</v>
      </c>
      <c r="H581">
        <v>36.553526713856968</v>
      </c>
      <c r="I581" t="s">
        <v>469</v>
      </c>
      <c r="J581" t="s">
        <v>467</v>
      </c>
      <c r="K581">
        <v>5</v>
      </c>
    </row>
    <row r="582" spans="1:11" x14ac:dyDescent="0.25">
      <c r="A582" t="s">
        <v>563</v>
      </c>
      <c r="B582">
        <v>568.55478310999649</v>
      </c>
      <c r="C582">
        <v>37.724459990100058</v>
      </c>
      <c r="D582">
        <v>3</v>
      </c>
      <c r="E582">
        <v>2035</v>
      </c>
      <c r="F582" t="s">
        <v>471</v>
      </c>
      <c r="G582">
        <v>1.0500148685119459</v>
      </c>
      <c r="H582">
        <v>36.553526713856968</v>
      </c>
      <c r="I582" t="s">
        <v>469</v>
      </c>
      <c r="J582" t="s">
        <v>467</v>
      </c>
      <c r="K582">
        <v>6</v>
      </c>
    </row>
    <row r="583" spans="1:11" x14ac:dyDescent="0.25">
      <c r="A583" t="s">
        <v>557</v>
      </c>
      <c r="B583">
        <v>430.51179906434248</v>
      </c>
      <c r="C583">
        <v>27.737653363148006</v>
      </c>
      <c r="D583">
        <v>3</v>
      </c>
      <c r="E583">
        <v>2035</v>
      </c>
      <c r="F583" t="s">
        <v>471</v>
      </c>
      <c r="G583">
        <v>1.9754558745009647</v>
      </c>
      <c r="H583">
        <v>36.480317938471842</v>
      </c>
      <c r="I583" t="s">
        <v>469</v>
      </c>
      <c r="J583" t="s">
        <v>468</v>
      </c>
      <c r="K583">
        <v>0</v>
      </c>
    </row>
    <row r="584" spans="1:11" x14ac:dyDescent="0.25">
      <c r="A584" t="s">
        <v>558</v>
      </c>
      <c r="B584">
        <v>493.23717424373649</v>
      </c>
      <c r="C584">
        <v>33.400816348161626</v>
      </c>
      <c r="D584">
        <v>3</v>
      </c>
      <c r="E584">
        <v>2035</v>
      </c>
      <c r="F584" t="s">
        <v>471</v>
      </c>
      <c r="G584">
        <v>1.9754558745009647</v>
      </c>
      <c r="H584">
        <v>36.480317938471842</v>
      </c>
      <c r="I584" t="s">
        <v>469</v>
      </c>
      <c r="J584" t="s">
        <v>468</v>
      </c>
      <c r="K584">
        <v>1</v>
      </c>
    </row>
    <row r="585" spans="1:11" x14ac:dyDescent="0.25">
      <c r="A585" t="s">
        <v>559</v>
      </c>
      <c r="B585">
        <v>567.65767615812024</v>
      </c>
      <c r="C585">
        <v>36.478385382515278</v>
      </c>
      <c r="D585">
        <v>3</v>
      </c>
      <c r="E585">
        <v>2035</v>
      </c>
      <c r="F585" t="s">
        <v>471</v>
      </c>
      <c r="G585">
        <v>1.9754558745009647</v>
      </c>
      <c r="H585">
        <v>36.480317938471842</v>
      </c>
      <c r="I585" t="s">
        <v>469</v>
      </c>
      <c r="J585" t="s">
        <v>468</v>
      </c>
      <c r="K585">
        <v>2</v>
      </c>
    </row>
    <row r="586" spans="1:11" x14ac:dyDescent="0.25">
      <c r="A586" t="s">
        <v>560</v>
      </c>
      <c r="B586">
        <v>545.6929789929668</v>
      </c>
      <c r="C586">
        <v>36.030948261466754</v>
      </c>
      <c r="D586">
        <v>3</v>
      </c>
      <c r="E586">
        <v>2035</v>
      </c>
      <c r="F586" t="s">
        <v>471</v>
      </c>
      <c r="G586">
        <v>1.9754558745009647</v>
      </c>
      <c r="H586">
        <v>36.480317938471842</v>
      </c>
      <c r="I586" t="s">
        <v>469</v>
      </c>
      <c r="J586" t="s">
        <v>468</v>
      </c>
      <c r="K586">
        <v>3</v>
      </c>
    </row>
    <row r="587" spans="1:11" x14ac:dyDescent="0.25">
      <c r="A587" t="s">
        <v>561</v>
      </c>
      <c r="B587">
        <v>492.83375761418762</v>
      </c>
      <c r="C587">
        <v>33.106497462455287</v>
      </c>
      <c r="D587">
        <v>3</v>
      </c>
      <c r="E587">
        <v>2035</v>
      </c>
      <c r="F587" t="s">
        <v>471</v>
      </c>
      <c r="G587">
        <v>1.9754558745009647</v>
      </c>
      <c r="H587">
        <v>36.480317938471842</v>
      </c>
      <c r="I587" t="s">
        <v>469</v>
      </c>
      <c r="J587" t="s">
        <v>468</v>
      </c>
      <c r="K587">
        <v>4</v>
      </c>
    </row>
    <row r="588" spans="1:11" x14ac:dyDescent="0.25">
      <c r="A588" t="s">
        <v>562</v>
      </c>
      <c r="B588">
        <v>606.14720236862365</v>
      </c>
      <c r="C588">
        <v>38.509189987087424</v>
      </c>
      <c r="D588">
        <v>3</v>
      </c>
      <c r="E588">
        <v>2035</v>
      </c>
      <c r="F588" t="s">
        <v>471</v>
      </c>
      <c r="G588">
        <v>1.9754558745009647</v>
      </c>
      <c r="H588">
        <v>36.480317938471842</v>
      </c>
      <c r="I588" t="s">
        <v>469</v>
      </c>
      <c r="J588" t="s">
        <v>468</v>
      </c>
      <c r="K588">
        <v>5</v>
      </c>
    </row>
    <row r="589" spans="1:11" x14ac:dyDescent="0.25">
      <c r="A589" t="s">
        <v>563</v>
      </c>
      <c r="B589">
        <v>561.12820653858682</v>
      </c>
      <c r="C589">
        <v>36.815172637832603</v>
      </c>
      <c r="D589">
        <v>3</v>
      </c>
      <c r="E589">
        <v>2035</v>
      </c>
      <c r="F589" t="s">
        <v>471</v>
      </c>
      <c r="G589">
        <v>1.9754558745009647</v>
      </c>
      <c r="H589">
        <v>36.480317938471842</v>
      </c>
      <c r="I589" t="s">
        <v>469</v>
      </c>
      <c r="J589" t="s">
        <v>468</v>
      </c>
      <c r="K589">
        <v>6</v>
      </c>
    </row>
    <row r="590" spans="1:11" x14ac:dyDescent="0.25">
      <c r="A590" t="s">
        <v>557</v>
      </c>
      <c r="B590">
        <v>296.09171326967402</v>
      </c>
      <c r="C590">
        <v>19.797950795618021</v>
      </c>
      <c r="D590">
        <v>3</v>
      </c>
      <c r="E590">
        <v>2050</v>
      </c>
      <c r="F590" t="s">
        <v>471</v>
      </c>
      <c r="G590">
        <v>1.0693086579276285</v>
      </c>
      <c r="H590">
        <v>28.217047988962378</v>
      </c>
      <c r="I590" t="s">
        <v>466</v>
      </c>
      <c r="J590" t="s">
        <v>467</v>
      </c>
      <c r="K590">
        <v>0</v>
      </c>
    </row>
    <row r="591" spans="1:11" x14ac:dyDescent="0.25">
      <c r="A591" t="s">
        <v>558</v>
      </c>
      <c r="B591">
        <v>453.30086570699103</v>
      </c>
      <c r="C591">
        <v>32.479748455961293</v>
      </c>
      <c r="D591">
        <v>3</v>
      </c>
      <c r="E591">
        <v>2050</v>
      </c>
      <c r="F591" t="s">
        <v>471</v>
      </c>
      <c r="G591">
        <v>1.0693086579276285</v>
      </c>
      <c r="H591">
        <v>28.217047988962378</v>
      </c>
      <c r="I591" t="s">
        <v>466</v>
      </c>
      <c r="J591" t="s">
        <v>467</v>
      </c>
      <c r="K591">
        <v>1</v>
      </c>
    </row>
    <row r="592" spans="1:11" x14ac:dyDescent="0.25">
      <c r="A592" t="s">
        <v>559</v>
      </c>
      <c r="B592">
        <v>623.33919364800818</v>
      </c>
      <c r="C592">
        <v>40.128049743547173</v>
      </c>
      <c r="D592">
        <v>3</v>
      </c>
      <c r="E592">
        <v>2050</v>
      </c>
      <c r="F592" t="s">
        <v>471</v>
      </c>
      <c r="G592">
        <v>1.0693086579276285</v>
      </c>
      <c r="H592">
        <v>28.217047988962378</v>
      </c>
      <c r="I592" t="s">
        <v>466</v>
      </c>
      <c r="J592" t="s">
        <v>467</v>
      </c>
      <c r="K592">
        <v>2</v>
      </c>
    </row>
    <row r="593" spans="1:11" x14ac:dyDescent="0.25">
      <c r="A593" t="s">
        <v>560</v>
      </c>
      <c r="B593">
        <v>520.55134542948406</v>
      </c>
      <c r="C593">
        <v>35.66164404883056</v>
      </c>
      <c r="D593">
        <v>3</v>
      </c>
      <c r="E593">
        <v>2050</v>
      </c>
      <c r="F593" t="s">
        <v>471</v>
      </c>
      <c r="G593">
        <v>1.0693086579276285</v>
      </c>
      <c r="H593">
        <v>28.217047988962378</v>
      </c>
      <c r="I593" t="s">
        <v>466</v>
      </c>
      <c r="J593" t="s">
        <v>467</v>
      </c>
      <c r="K593">
        <v>3</v>
      </c>
    </row>
    <row r="594" spans="1:11" x14ac:dyDescent="0.25">
      <c r="A594" t="s">
        <v>561</v>
      </c>
      <c r="B594">
        <v>503.78694889033</v>
      </c>
      <c r="C594">
        <v>35.283657904357469</v>
      </c>
      <c r="D594">
        <v>3</v>
      </c>
      <c r="E594">
        <v>2050</v>
      </c>
      <c r="F594" t="s">
        <v>471</v>
      </c>
      <c r="G594">
        <v>1.0693086579276285</v>
      </c>
      <c r="H594">
        <v>28.217047988962378</v>
      </c>
      <c r="I594" t="s">
        <v>466</v>
      </c>
      <c r="J594" t="s">
        <v>467</v>
      </c>
      <c r="K594">
        <v>4</v>
      </c>
    </row>
    <row r="595" spans="1:11" x14ac:dyDescent="0.25">
      <c r="A595" t="s">
        <v>562</v>
      </c>
      <c r="B595">
        <v>615.87373799036641</v>
      </c>
      <c r="C595">
        <v>39.210580493207566</v>
      </c>
      <c r="D595">
        <v>3</v>
      </c>
      <c r="E595">
        <v>2050</v>
      </c>
      <c r="F595" t="s">
        <v>471</v>
      </c>
      <c r="G595">
        <v>1.0693086579276285</v>
      </c>
      <c r="H595">
        <v>28.217047988962378</v>
      </c>
      <c r="I595" t="s">
        <v>466</v>
      </c>
      <c r="J595" t="s">
        <v>467</v>
      </c>
      <c r="K595">
        <v>5</v>
      </c>
    </row>
    <row r="596" spans="1:11" x14ac:dyDescent="0.25">
      <c r="A596" t="s">
        <v>563</v>
      </c>
      <c r="B596">
        <v>514.8454021697454</v>
      </c>
      <c r="C596">
        <v>36.257569068625152</v>
      </c>
      <c r="D596">
        <v>3</v>
      </c>
      <c r="E596">
        <v>2050</v>
      </c>
      <c r="F596" t="s">
        <v>471</v>
      </c>
      <c r="G596">
        <v>1.0693086579276285</v>
      </c>
      <c r="H596">
        <v>28.217047988962378</v>
      </c>
      <c r="I596" t="s">
        <v>466</v>
      </c>
      <c r="J596" t="s">
        <v>467</v>
      </c>
      <c r="K596">
        <v>6</v>
      </c>
    </row>
    <row r="597" spans="1:11" x14ac:dyDescent="0.25">
      <c r="A597" t="s">
        <v>557</v>
      </c>
      <c r="B597">
        <v>327.04052161178544</v>
      </c>
      <c r="C597">
        <v>21.263366392135499</v>
      </c>
      <c r="D597">
        <v>3</v>
      </c>
      <c r="E597">
        <v>2050</v>
      </c>
      <c r="F597" t="s">
        <v>471</v>
      </c>
      <c r="G597">
        <v>2.6734131386499667</v>
      </c>
      <c r="H597">
        <v>28.212222294873754</v>
      </c>
      <c r="I597" t="s">
        <v>466</v>
      </c>
      <c r="J597" t="s">
        <v>468</v>
      </c>
      <c r="K597">
        <v>0</v>
      </c>
    </row>
    <row r="598" spans="1:11" x14ac:dyDescent="0.25">
      <c r="A598" t="s">
        <v>558</v>
      </c>
      <c r="B598">
        <v>428.23124449836848</v>
      </c>
      <c r="C598">
        <v>31.452267121700196</v>
      </c>
      <c r="D598">
        <v>3</v>
      </c>
      <c r="E598">
        <v>2050</v>
      </c>
      <c r="F598" t="s">
        <v>471</v>
      </c>
      <c r="G598">
        <v>2.6734131386499667</v>
      </c>
      <c r="H598">
        <v>28.212222294873754</v>
      </c>
      <c r="I598" t="s">
        <v>466</v>
      </c>
      <c r="J598" t="s">
        <v>468</v>
      </c>
      <c r="K598">
        <v>1</v>
      </c>
    </row>
    <row r="599" spans="1:11" x14ac:dyDescent="0.25">
      <c r="A599" t="s">
        <v>559</v>
      </c>
      <c r="B599">
        <v>574.26041671160499</v>
      </c>
      <c r="C599">
        <v>36.680417591175321</v>
      </c>
      <c r="D599">
        <v>3</v>
      </c>
      <c r="E599">
        <v>2050</v>
      </c>
      <c r="F599" t="s">
        <v>471</v>
      </c>
      <c r="G599">
        <v>2.6734131386499667</v>
      </c>
      <c r="H599">
        <v>28.212222294873754</v>
      </c>
      <c r="I599" t="s">
        <v>466</v>
      </c>
      <c r="J599" t="s">
        <v>468</v>
      </c>
      <c r="K599">
        <v>2</v>
      </c>
    </row>
    <row r="600" spans="1:11" x14ac:dyDescent="0.25">
      <c r="A600" t="s">
        <v>560</v>
      </c>
      <c r="B600">
        <v>502.2609030716531</v>
      </c>
      <c r="C600">
        <v>34.872687253099414</v>
      </c>
      <c r="D600">
        <v>3</v>
      </c>
      <c r="E600">
        <v>2050</v>
      </c>
      <c r="F600" t="s">
        <v>471</v>
      </c>
      <c r="G600">
        <v>2.6734131386499667</v>
      </c>
      <c r="H600">
        <v>28.212222294873754</v>
      </c>
      <c r="I600" t="s">
        <v>466</v>
      </c>
      <c r="J600" t="s">
        <v>468</v>
      </c>
      <c r="K600">
        <v>3</v>
      </c>
    </row>
    <row r="601" spans="1:11" x14ac:dyDescent="0.25">
      <c r="A601" t="s">
        <v>561</v>
      </c>
      <c r="B601">
        <v>441.14799188152114</v>
      </c>
      <c r="C601">
        <v>31.82847153763057</v>
      </c>
      <c r="D601">
        <v>3</v>
      </c>
      <c r="E601">
        <v>2050</v>
      </c>
      <c r="F601" t="s">
        <v>471</v>
      </c>
      <c r="G601">
        <v>2.6734131386499667</v>
      </c>
      <c r="H601">
        <v>28.212222294873754</v>
      </c>
      <c r="I601" t="s">
        <v>466</v>
      </c>
      <c r="J601" t="s">
        <v>468</v>
      </c>
      <c r="K601">
        <v>4</v>
      </c>
    </row>
    <row r="602" spans="1:11" x14ac:dyDescent="0.25">
      <c r="A602" t="s">
        <v>562</v>
      </c>
      <c r="B602">
        <v>641.45744448319215</v>
      </c>
      <c r="C602">
        <v>40.842077754610543</v>
      </c>
      <c r="D602">
        <v>3</v>
      </c>
      <c r="E602">
        <v>2050</v>
      </c>
      <c r="F602" t="s">
        <v>471</v>
      </c>
      <c r="G602">
        <v>2.6734131386499667</v>
      </c>
      <c r="H602">
        <v>28.212222294873754</v>
      </c>
      <c r="I602" t="s">
        <v>466</v>
      </c>
      <c r="J602" t="s">
        <v>468</v>
      </c>
      <c r="K602">
        <v>5</v>
      </c>
    </row>
    <row r="603" spans="1:11" x14ac:dyDescent="0.25">
      <c r="A603" t="s">
        <v>563</v>
      </c>
      <c r="B603">
        <v>530.0268834786425</v>
      </c>
      <c r="C603">
        <v>36.982188252236696</v>
      </c>
      <c r="D603">
        <v>3</v>
      </c>
      <c r="E603">
        <v>2050</v>
      </c>
      <c r="F603" t="s">
        <v>471</v>
      </c>
      <c r="G603">
        <v>2.6734131386499667</v>
      </c>
      <c r="H603">
        <v>28.212222294873754</v>
      </c>
      <c r="I603" t="s">
        <v>466</v>
      </c>
      <c r="J603" t="s">
        <v>468</v>
      </c>
      <c r="K603">
        <v>6</v>
      </c>
    </row>
    <row r="604" spans="1:11" x14ac:dyDescent="0.25">
      <c r="A604" t="s">
        <v>557</v>
      </c>
      <c r="B604">
        <v>373.94867967976541</v>
      </c>
      <c r="C604">
        <v>24.35389500138011</v>
      </c>
      <c r="D604">
        <v>3</v>
      </c>
      <c r="E604">
        <v>2050</v>
      </c>
      <c r="F604" t="s">
        <v>471</v>
      </c>
      <c r="G604">
        <v>1.0693059845509445</v>
      </c>
      <c r="H604">
        <v>37.307761123572362</v>
      </c>
      <c r="I604" t="s">
        <v>469</v>
      </c>
      <c r="J604" t="s">
        <v>467</v>
      </c>
      <c r="K604">
        <v>0</v>
      </c>
    </row>
    <row r="605" spans="1:11" x14ac:dyDescent="0.25">
      <c r="A605" t="s">
        <v>558</v>
      </c>
      <c r="B605">
        <v>470.56756586399473</v>
      </c>
      <c r="C605">
        <v>31.974052654780721</v>
      </c>
      <c r="D605">
        <v>3</v>
      </c>
      <c r="E605">
        <v>2050</v>
      </c>
      <c r="F605" t="s">
        <v>471</v>
      </c>
      <c r="G605">
        <v>1.0693059845509445</v>
      </c>
      <c r="H605">
        <v>37.307761123572362</v>
      </c>
      <c r="I605" t="s">
        <v>469</v>
      </c>
      <c r="J605" t="s">
        <v>467</v>
      </c>
      <c r="K605">
        <v>1</v>
      </c>
    </row>
    <row r="606" spans="1:11" x14ac:dyDescent="0.25">
      <c r="A606" t="s">
        <v>559</v>
      </c>
      <c r="B606">
        <v>550.60321545394538</v>
      </c>
      <c r="C606">
        <v>36.56703831421332</v>
      </c>
      <c r="D606">
        <v>3</v>
      </c>
      <c r="E606">
        <v>2050</v>
      </c>
      <c r="F606" t="s">
        <v>471</v>
      </c>
      <c r="G606">
        <v>1.0693059845509445</v>
      </c>
      <c r="H606">
        <v>37.307761123572362</v>
      </c>
      <c r="I606" t="s">
        <v>469</v>
      </c>
      <c r="J606" t="s">
        <v>467</v>
      </c>
      <c r="K606">
        <v>2</v>
      </c>
    </row>
    <row r="607" spans="1:11" x14ac:dyDescent="0.25">
      <c r="A607" t="s">
        <v>560</v>
      </c>
      <c r="B607">
        <v>487.36841012911344</v>
      </c>
      <c r="C607">
        <v>33.135991567076061</v>
      </c>
      <c r="D607">
        <v>3</v>
      </c>
      <c r="E607">
        <v>2050</v>
      </c>
      <c r="F607" t="s">
        <v>471</v>
      </c>
      <c r="G607">
        <v>1.0693059845509445</v>
      </c>
      <c r="H607">
        <v>37.307761123572362</v>
      </c>
      <c r="I607" t="s">
        <v>469</v>
      </c>
      <c r="J607" t="s">
        <v>467</v>
      </c>
      <c r="K607">
        <v>3</v>
      </c>
    </row>
    <row r="608" spans="1:11" x14ac:dyDescent="0.25">
      <c r="A608" t="s">
        <v>561</v>
      </c>
      <c r="B608">
        <v>501.99275246070761</v>
      </c>
      <c r="C608">
        <v>33.618588028689828</v>
      </c>
      <c r="D608">
        <v>3</v>
      </c>
      <c r="E608">
        <v>2050</v>
      </c>
      <c r="F608" t="s">
        <v>471</v>
      </c>
      <c r="G608">
        <v>1.0693059845509445</v>
      </c>
      <c r="H608">
        <v>37.307761123572362</v>
      </c>
      <c r="I608" t="s">
        <v>469</v>
      </c>
      <c r="J608" t="s">
        <v>467</v>
      </c>
      <c r="K608">
        <v>4</v>
      </c>
    </row>
    <row r="609" spans="1:11" x14ac:dyDescent="0.25">
      <c r="A609" t="s">
        <v>562</v>
      </c>
      <c r="B609">
        <v>607.83039973493101</v>
      </c>
      <c r="C609">
        <v>40.583398972931995</v>
      </c>
      <c r="D609">
        <v>3</v>
      </c>
      <c r="E609">
        <v>2050</v>
      </c>
      <c r="F609" t="s">
        <v>471</v>
      </c>
      <c r="G609">
        <v>1.0693059845509445</v>
      </c>
      <c r="H609">
        <v>37.307761123572362</v>
      </c>
      <c r="I609" t="s">
        <v>469</v>
      </c>
      <c r="J609" t="s">
        <v>467</v>
      </c>
      <c r="K609">
        <v>5</v>
      </c>
    </row>
    <row r="610" spans="1:11" x14ac:dyDescent="0.25">
      <c r="A610" t="s">
        <v>563</v>
      </c>
      <c r="B610">
        <v>552.47271971398584</v>
      </c>
      <c r="C610">
        <v>37.587700231973223</v>
      </c>
      <c r="D610">
        <v>3</v>
      </c>
      <c r="E610">
        <v>2050</v>
      </c>
      <c r="F610" t="s">
        <v>471</v>
      </c>
      <c r="G610">
        <v>1.0693059845509445</v>
      </c>
      <c r="H610">
        <v>37.307761123572362</v>
      </c>
      <c r="I610" t="s">
        <v>469</v>
      </c>
      <c r="J610" t="s">
        <v>467</v>
      </c>
      <c r="K610">
        <v>6</v>
      </c>
    </row>
    <row r="611" spans="1:11" x14ac:dyDescent="0.25">
      <c r="A611" t="s">
        <v>557</v>
      </c>
      <c r="B611">
        <v>373.90454228169102</v>
      </c>
      <c r="C611">
        <v>25.585523065610229</v>
      </c>
      <c r="D611">
        <v>3</v>
      </c>
      <c r="E611">
        <v>2050</v>
      </c>
      <c r="F611" t="s">
        <v>471</v>
      </c>
      <c r="G611">
        <v>2.6734131146093931</v>
      </c>
      <c r="H611">
        <v>37.249150232563494</v>
      </c>
      <c r="I611" t="s">
        <v>469</v>
      </c>
      <c r="J611" t="s">
        <v>468</v>
      </c>
      <c r="K611">
        <v>0</v>
      </c>
    </row>
    <row r="612" spans="1:11" x14ac:dyDescent="0.25">
      <c r="A612" t="s">
        <v>558</v>
      </c>
      <c r="B612">
        <v>429.63454804151479</v>
      </c>
      <c r="C612">
        <v>30.994837788371036</v>
      </c>
      <c r="D612">
        <v>3</v>
      </c>
      <c r="E612">
        <v>2050</v>
      </c>
      <c r="F612" t="s">
        <v>471</v>
      </c>
      <c r="G612">
        <v>2.6734131146093931</v>
      </c>
      <c r="H612">
        <v>37.249150232563494</v>
      </c>
      <c r="I612" t="s">
        <v>469</v>
      </c>
      <c r="J612" t="s">
        <v>468</v>
      </c>
      <c r="K612">
        <v>1</v>
      </c>
    </row>
    <row r="613" spans="1:11" x14ac:dyDescent="0.25">
      <c r="A613" t="s">
        <v>559</v>
      </c>
      <c r="B613">
        <v>510.43647722524378</v>
      </c>
      <c r="C613">
        <v>35.270560630184839</v>
      </c>
      <c r="D613">
        <v>3</v>
      </c>
      <c r="E613">
        <v>2050</v>
      </c>
      <c r="F613" t="s">
        <v>471</v>
      </c>
      <c r="G613">
        <v>2.6734131146093931</v>
      </c>
      <c r="H613">
        <v>37.249150232563494</v>
      </c>
      <c r="I613" t="s">
        <v>469</v>
      </c>
      <c r="J613" t="s">
        <v>468</v>
      </c>
      <c r="K613">
        <v>2</v>
      </c>
    </row>
    <row r="614" spans="1:11" x14ac:dyDescent="0.25">
      <c r="A614" t="s">
        <v>560</v>
      </c>
      <c r="B614">
        <v>464.32521904124093</v>
      </c>
      <c r="C614">
        <v>32.877162566581347</v>
      </c>
      <c r="D614">
        <v>3</v>
      </c>
      <c r="E614">
        <v>2050</v>
      </c>
      <c r="F614" t="s">
        <v>471</v>
      </c>
      <c r="G614">
        <v>2.6734131146093931</v>
      </c>
      <c r="H614">
        <v>37.249150232563494</v>
      </c>
      <c r="I614" t="s">
        <v>469</v>
      </c>
      <c r="J614" t="s">
        <v>468</v>
      </c>
      <c r="K614">
        <v>3</v>
      </c>
    </row>
    <row r="615" spans="1:11" x14ac:dyDescent="0.25">
      <c r="A615" t="s">
        <v>561</v>
      </c>
      <c r="B615">
        <v>453.77672292835894</v>
      </c>
      <c r="C615">
        <v>32.322876223438882</v>
      </c>
      <c r="D615">
        <v>3</v>
      </c>
      <c r="E615">
        <v>2050</v>
      </c>
      <c r="F615" t="s">
        <v>471</v>
      </c>
      <c r="G615">
        <v>2.6734131146093931</v>
      </c>
      <c r="H615">
        <v>37.249150232563494</v>
      </c>
      <c r="I615" t="s">
        <v>469</v>
      </c>
      <c r="J615" t="s">
        <v>468</v>
      </c>
      <c r="K615">
        <v>4</v>
      </c>
    </row>
    <row r="616" spans="1:11" x14ac:dyDescent="0.25">
      <c r="A616" t="s">
        <v>562</v>
      </c>
      <c r="B616">
        <v>522.1138349277029</v>
      </c>
      <c r="C616">
        <v>36.005965503225831</v>
      </c>
      <c r="D616">
        <v>3</v>
      </c>
      <c r="E616">
        <v>2050</v>
      </c>
      <c r="F616" t="s">
        <v>471</v>
      </c>
      <c r="G616">
        <v>2.6734131146093931</v>
      </c>
      <c r="H616">
        <v>37.249150232563494</v>
      </c>
      <c r="I616" t="s">
        <v>469</v>
      </c>
      <c r="J616" t="s">
        <v>468</v>
      </c>
      <c r="K616">
        <v>5</v>
      </c>
    </row>
    <row r="617" spans="1:11" x14ac:dyDescent="0.25">
      <c r="A617" t="s">
        <v>563</v>
      </c>
      <c r="B617">
        <v>521.55038815969249</v>
      </c>
      <c r="C617">
        <v>36.69219112171362</v>
      </c>
      <c r="D617">
        <v>3</v>
      </c>
      <c r="E617">
        <v>2050</v>
      </c>
      <c r="F617" t="s">
        <v>471</v>
      </c>
      <c r="G617">
        <v>2.6734131146093931</v>
      </c>
      <c r="H617">
        <v>37.249150232563494</v>
      </c>
      <c r="I617" t="s">
        <v>469</v>
      </c>
      <c r="J617" t="s">
        <v>468</v>
      </c>
      <c r="K617">
        <v>6</v>
      </c>
    </row>
    <row r="618" spans="1:11" x14ac:dyDescent="0.25">
      <c r="A618" t="s">
        <v>557</v>
      </c>
      <c r="B618">
        <v>392.45572157270936</v>
      </c>
      <c r="C618">
        <v>25.749291271212133</v>
      </c>
      <c r="D618">
        <v>3</v>
      </c>
      <c r="E618">
        <v>2035</v>
      </c>
      <c r="F618" t="s">
        <v>472</v>
      </c>
      <c r="G618">
        <v>1.0500146884717654</v>
      </c>
      <c r="H618">
        <v>30.22719680927446</v>
      </c>
      <c r="I618" t="s">
        <v>466</v>
      </c>
      <c r="J618" t="s">
        <v>467</v>
      </c>
      <c r="K618">
        <v>0</v>
      </c>
    </row>
    <row r="619" spans="1:11" x14ac:dyDescent="0.25">
      <c r="A619" t="s">
        <v>558</v>
      </c>
      <c r="B619">
        <v>531.51322326364777</v>
      </c>
      <c r="C619">
        <v>35.619092889516025</v>
      </c>
      <c r="D619">
        <v>3</v>
      </c>
      <c r="E619">
        <v>2035</v>
      </c>
      <c r="F619" t="s">
        <v>472</v>
      </c>
      <c r="G619">
        <v>1.0500146884717654</v>
      </c>
      <c r="H619">
        <v>30.22719680927446</v>
      </c>
      <c r="I619" t="s">
        <v>466</v>
      </c>
      <c r="J619" t="s">
        <v>467</v>
      </c>
      <c r="K619">
        <v>1</v>
      </c>
    </row>
    <row r="620" spans="1:11" x14ac:dyDescent="0.25">
      <c r="A620" t="s">
        <v>559</v>
      </c>
      <c r="B620">
        <v>667.59024053596386</v>
      </c>
      <c r="C620">
        <v>41.920139553665294</v>
      </c>
      <c r="D620">
        <v>3</v>
      </c>
      <c r="E620">
        <v>2035</v>
      </c>
      <c r="F620" t="s">
        <v>472</v>
      </c>
      <c r="G620">
        <v>1.0500146884717654</v>
      </c>
      <c r="H620">
        <v>30.22719680927446</v>
      </c>
      <c r="I620" t="s">
        <v>466</v>
      </c>
      <c r="J620" t="s">
        <v>467</v>
      </c>
      <c r="K620">
        <v>2</v>
      </c>
    </row>
    <row r="621" spans="1:11" x14ac:dyDescent="0.25">
      <c r="A621" t="s">
        <v>560</v>
      </c>
      <c r="B621">
        <v>589.72816086547675</v>
      </c>
      <c r="C621">
        <v>38.632938622244829</v>
      </c>
      <c r="D621">
        <v>3</v>
      </c>
      <c r="E621">
        <v>2035</v>
      </c>
      <c r="F621" t="s">
        <v>472</v>
      </c>
      <c r="G621">
        <v>1.0500146884717654</v>
      </c>
      <c r="H621">
        <v>30.22719680927446</v>
      </c>
      <c r="I621" t="s">
        <v>466</v>
      </c>
      <c r="J621" t="s">
        <v>467</v>
      </c>
      <c r="K621">
        <v>3</v>
      </c>
    </row>
    <row r="622" spans="1:11" x14ac:dyDescent="0.25">
      <c r="A622" t="s">
        <v>561</v>
      </c>
      <c r="B622">
        <v>560.29814911647077</v>
      </c>
      <c r="C622">
        <v>36.706651255812069</v>
      </c>
      <c r="D622">
        <v>3</v>
      </c>
      <c r="E622">
        <v>2035</v>
      </c>
      <c r="F622" t="s">
        <v>472</v>
      </c>
      <c r="G622">
        <v>1.0500146884717654</v>
      </c>
      <c r="H622">
        <v>30.22719680927446</v>
      </c>
      <c r="I622" t="s">
        <v>466</v>
      </c>
      <c r="J622" t="s">
        <v>467</v>
      </c>
      <c r="K622">
        <v>4</v>
      </c>
    </row>
    <row r="623" spans="1:11" x14ac:dyDescent="0.25">
      <c r="A623" t="s">
        <v>562</v>
      </c>
      <c r="B623">
        <v>698.57590372245784</v>
      </c>
      <c r="C623">
        <v>43.915592419843165</v>
      </c>
      <c r="D623">
        <v>3</v>
      </c>
      <c r="E623">
        <v>2035</v>
      </c>
      <c r="F623" t="s">
        <v>472</v>
      </c>
      <c r="G623">
        <v>1.0500146884717654</v>
      </c>
      <c r="H623">
        <v>30.22719680927446</v>
      </c>
      <c r="I623" t="s">
        <v>466</v>
      </c>
      <c r="J623" t="s">
        <v>467</v>
      </c>
      <c r="K623">
        <v>5</v>
      </c>
    </row>
    <row r="624" spans="1:11" x14ac:dyDescent="0.25">
      <c r="A624" t="s">
        <v>563</v>
      </c>
      <c r="B624">
        <v>592.31872345440661</v>
      </c>
      <c r="C624">
        <v>39.23953927618664</v>
      </c>
      <c r="D624">
        <v>3</v>
      </c>
      <c r="E624">
        <v>2035</v>
      </c>
      <c r="F624" t="s">
        <v>472</v>
      </c>
      <c r="G624">
        <v>1.0500146884717654</v>
      </c>
      <c r="H624">
        <v>30.22719680927446</v>
      </c>
      <c r="I624" t="s">
        <v>466</v>
      </c>
      <c r="J624" t="s">
        <v>467</v>
      </c>
      <c r="K624">
        <v>6</v>
      </c>
    </row>
    <row r="625" spans="1:11" x14ac:dyDescent="0.25">
      <c r="A625" t="s">
        <v>557</v>
      </c>
      <c r="B625">
        <v>353.76704474695384</v>
      </c>
      <c r="C625">
        <v>23.347841650202476</v>
      </c>
      <c r="D625">
        <v>3</v>
      </c>
      <c r="E625">
        <v>2035</v>
      </c>
      <c r="F625" t="s">
        <v>472</v>
      </c>
      <c r="G625">
        <v>1.9754559213310836</v>
      </c>
      <c r="H625">
        <v>30.162831592025668</v>
      </c>
      <c r="I625" t="s">
        <v>466</v>
      </c>
      <c r="J625" t="s">
        <v>468</v>
      </c>
      <c r="K625">
        <v>0</v>
      </c>
    </row>
    <row r="626" spans="1:11" x14ac:dyDescent="0.25">
      <c r="A626" t="s">
        <v>558</v>
      </c>
      <c r="B626">
        <v>498.48827575632714</v>
      </c>
      <c r="C626">
        <v>33.630512508712769</v>
      </c>
      <c r="D626">
        <v>3</v>
      </c>
      <c r="E626">
        <v>2035</v>
      </c>
      <c r="F626" t="s">
        <v>472</v>
      </c>
      <c r="G626">
        <v>1.9754559213310836</v>
      </c>
      <c r="H626">
        <v>30.162831592025668</v>
      </c>
      <c r="I626" t="s">
        <v>466</v>
      </c>
      <c r="J626" t="s">
        <v>468</v>
      </c>
      <c r="K626">
        <v>1</v>
      </c>
    </row>
    <row r="627" spans="1:11" x14ac:dyDescent="0.25">
      <c r="A627" t="s">
        <v>559</v>
      </c>
      <c r="B627">
        <v>700.09856850327151</v>
      </c>
      <c r="C627">
        <v>44.051625731291068</v>
      </c>
      <c r="D627">
        <v>3</v>
      </c>
      <c r="E627">
        <v>2035</v>
      </c>
      <c r="F627" t="s">
        <v>472</v>
      </c>
      <c r="G627">
        <v>1.9754559213310836</v>
      </c>
      <c r="H627">
        <v>30.162831592025668</v>
      </c>
      <c r="I627" t="s">
        <v>466</v>
      </c>
      <c r="J627" t="s">
        <v>468</v>
      </c>
      <c r="K627">
        <v>2</v>
      </c>
    </row>
    <row r="628" spans="1:11" x14ac:dyDescent="0.25">
      <c r="A628" t="s">
        <v>560</v>
      </c>
      <c r="B628">
        <v>589.75401426122323</v>
      </c>
      <c r="C628">
        <v>38.189712756759803</v>
      </c>
      <c r="D628">
        <v>3</v>
      </c>
      <c r="E628">
        <v>2035</v>
      </c>
      <c r="F628" t="s">
        <v>472</v>
      </c>
      <c r="G628">
        <v>1.9754559213310836</v>
      </c>
      <c r="H628">
        <v>30.162831592025668</v>
      </c>
      <c r="I628" t="s">
        <v>466</v>
      </c>
      <c r="J628" t="s">
        <v>468</v>
      </c>
      <c r="K628">
        <v>3</v>
      </c>
    </row>
    <row r="629" spans="1:11" x14ac:dyDescent="0.25">
      <c r="A629" t="s">
        <v>561</v>
      </c>
      <c r="B629">
        <v>546.66265878185504</v>
      </c>
      <c r="C629">
        <v>35.785720368627324</v>
      </c>
      <c r="D629">
        <v>3</v>
      </c>
      <c r="E629">
        <v>2035</v>
      </c>
      <c r="F629" t="s">
        <v>472</v>
      </c>
      <c r="G629">
        <v>1.9754559213310836</v>
      </c>
      <c r="H629">
        <v>30.162831592025668</v>
      </c>
      <c r="I629" t="s">
        <v>466</v>
      </c>
      <c r="J629" t="s">
        <v>468</v>
      </c>
      <c r="K629">
        <v>4</v>
      </c>
    </row>
    <row r="630" spans="1:11" x14ac:dyDescent="0.25">
      <c r="A630" t="s">
        <v>562</v>
      </c>
      <c r="B630">
        <v>709.4287435536985</v>
      </c>
      <c r="C630">
        <v>44.639408766061081</v>
      </c>
      <c r="D630">
        <v>3</v>
      </c>
      <c r="E630">
        <v>2035</v>
      </c>
      <c r="F630" t="s">
        <v>472</v>
      </c>
      <c r="G630">
        <v>1.9754559213310836</v>
      </c>
      <c r="H630">
        <v>30.162831592025668</v>
      </c>
      <c r="I630" t="s">
        <v>466</v>
      </c>
      <c r="J630" t="s">
        <v>468</v>
      </c>
      <c r="K630">
        <v>5</v>
      </c>
    </row>
    <row r="631" spans="1:11" x14ac:dyDescent="0.25">
      <c r="A631" t="s">
        <v>563</v>
      </c>
      <c r="B631">
        <v>596.3483993324661</v>
      </c>
      <c r="C631">
        <v>38.967985416950512</v>
      </c>
      <c r="D631">
        <v>3</v>
      </c>
      <c r="E631">
        <v>2035</v>
      </c>
      <c r="F631" t="s">
        <v>472</v>
      </c>
      <c r="G631">
        <v>1.9754559213310836</v>
      </c>
      <c r="H631">
        <v>30.162831592025668</v>
      </c>
      <c r="I631" t="s">
        <v>466</v>
      </c>
      <c r="J631" t="s">
        <v>468</v>
      </c>
      <c r="K631">
        <v>6</v>
      </c>
    </row>
    <row r="632" spans="1:11" x14ac:dyDescent="0.25">
      <c r="A632" t="s">
        <v>557</v>
      </c>
      <c r="B632">
        <v>430.72114767043172</v>
      </c>
      <c r="C632">
        <v>28.052305951297399</v>
      </c>
      <c r="D632">
        <v>3</v>
      </c>
      <c r="E632">
        <v>2035</v>
      </c>
      <c r="F632" t="s">
        <v>472</v>
      </c>
      <c r="G632">
        <v>1.0500146998316837</v>
      </c>
      <c r="H632">
        <v>36.513531013341719</v>
      </c>
      <c r="I632" t="s">
        <v>469</v>
      </c>
      <c r="J632" t="s">
        <v>467</v>
      </c>
      <c r="K632">
        <v>0</v>
      </c>
    </row>
    <row r="633" spans="1:11" x14ac:dyDescent="0.25">
      <c r="A633" t="s">
        <v>558</v>
      </c>
      <c r="B633">
        <v>531.6518429510046</v>
      </c>
      <c r="C633">
        <v>34.54582331887238</v>
      </c>
      <c r="D633">
        <v>3</v>
      </c>
      <c r="E633">
        <v>2035</v>
      </c>
      <c r="F633" t="s">
        <v>472</v>
      </c>
      <c r="G633">
        <v>1.0500146998316837</v>
      </c>
      <c r="H633">
        <v>36.513531013341719</v>
      </c>
      <c r="I633" t="s">
        <v>469</v>
      </c>
      <c r="J633" t="s">
        <v>467</v>
      </c>
      <c r="K633">
        <v>1</v>
      </c>
    </row>
    <row r="634" spans="1:11" x14ac:dyDescent="0.25">
      <c r="A634" t="s">
        <v>559</v>
      </c>
      <c r="B634">
        <v>600.32089606701641</v>
      </c>
      <c r="C634">
        <v>38.346020754263371</v>
      </c>
      <c r="D634">
        <v>3</v>
      </c>
      <c r="E634">
        <v>2035</v>
      </c>
      <c r="F634" t="s">
        <v>472</v>
      </c>
      <c r="G634">
        <v>1.0500146998316837</v>
      </c>
      <c r="H634">
        <v>36.513531013341719</v>
      </c>
      <c r="I634" t="s">
        <v>469</v>
      </c>
      <c r="J634" t="s">
        <v>467</v>
      </c>
      <c r="K634">
        <v>2</v>
      </c>
    </row>
    <row r="635" spans="1:11" x14ac:dyDescent="0.25">
      <c r="A635" t="s">
        <v>560</v>
      </c>
      <c r="B635">
        <v>563.13401088872456</v>
      </c>
      <c r="C635">
        <v>36.169329850649973</v>
      </c>
      <c r="D635">
        <v>3</v>
      </c>
      <c r="E635">
        <v>2035</v>
      </c>
      <c r="F635" t="s">
        <v>472</v>
      </c>
      <c r="G635">
        <v>1.0500146998316837</v>
      </c>
      <c r="H635">
        <v>36.513531013341719</v>
      </c>
      <c r="I635" t="s">
        <v>469</v>
      </c>
      <c r="J635" t="s">
        <v>467</v>
      </c>
      <c r="K635">
        <v>3</v>
      </c>
    </row>
    <row r="636" spans="1:11" x14ac:dyDescent="0.25">
      <c r="A636" t="s">
        <v>561</v>
      </c>
      <c r="B636">
        <v>559.71096383486747</v>
      </c>
      <c r="C636">
        <v>35.573182640282837</v>
      </c>
      <c r="D636">
        <v>3</v>
      </c>
      <c r="E636">
        <v>2035</v>
      </c>
      <c r="F636" t="s">
        <v>472</v>
      </c>
      <c r="G636">
        <v>1.0500146998316837</v>
      </c>
      <c r="H636">
        <v>36.513531013341719</v>
      </c>
      <c r="I636" t="s">
        <v>469</v>
      </c>
      <c r="J636" t="s">
        <v>467</v>
      </c>
      <c r="K636">
        <v>4</v>
      </c>
    </row>
    <row r="637" spans="1:11" x14ac:dyDescent="0.25">
      <c r="A637" t="s">
        <v>562</v>
      </c>
      <c r="B637">
        <v>634.97461572754071</v>
      </c>
      <c r="C637">
        <v>39.227236199124697</v>
      </c>
      <c r="D637">
        <v>3</v>
      </c>
      <c r="E637">
        <v>2035</v>
      </c>
      <c r="F637" t="s">
        <v>472</v>
      </c>
      <c r="G637">
        <v>1.0500146998316837</v>
      </c>
      <c r="H637">
        <v>36.513531013341719</v>
      </c>
      <c r="I637" t="s">
        <v>469</v>
      </c>
      <c r="J637" t="s">
        <v>467</v>
      </c>
      <c r="K637">
        <v>5</v>
      </c>
    </row>
    <row r="638" spans="1:11" x14ac:dyDescent="0.25">
      <c r="A638" t="s">
        <v>563</v>
      </c>
      <c r="B638">
        <v>603.20708256669798</v>
      </c>
      <c r="C638">
        <v>38.556517165923722</v>
      </c>
      <c r="D638">
        <v>3</v>
      </c>
      <c r="E638">
        <v>2035</v>
      </c>
      <c r="F638" t="s">
        <v>472</v>
      </c>
      <c r="G638">
        <v>1.0500146998316837</v>
      </c>
      <c r="H638">
        <v>36.513531013341719</v>
      </c>
      <c r="I638" t="s">
        <v>469</v>
      </c>
      <c r="J638" t="s">
        <v>467</v>
      </c>
      <c r="K638">
        <v>6</v>
      </c>
    </row>
    <row r="639" spans="1:11" x14ac:dyDescent="0.25">
      <c r="A639" t="s">
        <v>557</v>
      </c>
      <c r="B639">
        <v>413.75227175480512</v>
      </c>
      <c r="C639">
        <v>27.346594476409781</v>
      </c>
      <c r="D639">
        <v>3</v>
      </c>
      <c r="E639">
        <v>2035</v>
      </c>
      <c r="F639" t="s">
        <v>472</v>
      </c>
      <c r="G639">
        <v>1.9754569690525523</v>
      </c>
      <c r="H639">
        <v>36.443887935639282</v>
      </c>
      <c r="I639" t="s">
        <v>469</v>
      </c>
      <c r="J639" t="s">
        <v>468</v>
      </c>
      <c r="K639">
        <v>0</v>
      </c>
    </row>
    <row r="640" spans="1:11" x14ac:dyDescent="0.25">
      <c r="A640" t="s">
        <v>558</v>
      </c>
      <c r="B640">
        <v>523.9191772614912</v>
      </c>
      <c r="C640">
        <v>34.609920545095115</v>
      </c>
      <c r="D640">
        <v>3</v>
      </c>
      <c r="E640">
        <v>2035</v>
      </c>
      <c r="F640" t="s">
        <v>472</v>
      </c>
      <c r="G640">
        <v>1.9754569690525523</v>
      </c>
      <c r="H640">
        <v>36.443887935639282</v>
      </c>
      <c r="I640" t="s">
        <v>469</v>
      </c>
      <c r="J640" t="s">
        <v>468</v>
      </c>
      <c r="K640">
        <v>1</v>
      </c>
    </row>
    <row r="641" spans="1:11" x14ac:dyDescent="0.25">
      <c r="A641" t="s">
        <v>559</v>
      </c>
      <c r="B641">
        <v>536.2957635910825</v>
      </c>
      <c r="C641">
        <v>34.873484699701798</v>
      </c>
      <c r="D641">
        <v>3</v>
      </c>
      <c r="E641">
        <v>2035</v>
      </c>
      <c r="F641" t="s">
        <v>472</v>
      </c>
      <c r="G641">
        <v>1.9754569690525523</v>
      </c>
      <c r="H641">
        <v>36.443887935639282</v>
      </c>
      <c r="I641" t="s">
        <v>469</v>
      </c>
      <c r="J641" t="s">
        <v>468</v>
      </c>
      <c r="K641">
        <v>2</v>
      </c>
    </row>
    <row r="642" spans="1:11" x14ac:dyDescent="0.25">
      <c r="A642" t="s">
        <v>560</v>
      </c>
      <c r="B642">
        <v>536.89148868533846</v>
      </c>
      <c r="C642">
        <v>37.146415967634482</v>
      </c>
      <c r="D642">
        <v>3</v>
      </c>
      <c r="E642">
        <v>2035</v>
      </c>
      <c r="F642" t="s">
        <v>472</v>
      </c>
      <c r="G642">
        <v>1.9754569690525523</v>
      </c>
      <c r="H642">
        <v>36.443887935639282</v>
      </c>
      <c r="I642" t="s">
        <v>469</v>
      </c>
      <c r="J642" t="s">
        <v>468</v>
      </c>
      <c r="K642">
        <v>3</v>
      </c>
    </row>
    <row r="643" spans="1:11" x14ac:dyDescent="0.25">
      <c r="A643" t="s">
        <v>561</v>
      </c>
      <c r="B643">
        <v>551.82854923101831</v>
      </c>
      <c r="C643">
        <v>35.614628650517517</v>
      </c>
      <c r="D643">
        <v>3</v>
      </c>
      <c r="E643">
        <v>2035</v>
      </c>
      <c r="F643" t="s">
        <v>472</v>
      </c>
      <c r="G643">
        <v>1.9754569690525523</v>
      </c>
      <c r="H643">
        <v>36.443887935639282</v>
      </c>
      <c r="I643" t="s">
        <v>469</v>
      </c>
      <c r="J643" t="s">
        <v>468</v>
      </c>
      <c r="K643">
        <v>4</v>
      </c>
    </row>
    <row r="644" spans="1:11" x14ac:dyDescent="0.25">
      <c r="A644" t="s">
        <v>562</v>
      </c>
      <c r="B644">
        <v>627.44958142323378</v>
      </c>
      <c r="C644">
        <v>39.65428224816543</v>
      </c>
      <c r="D644">
        <v>3</v>
      </c>
      <c r="E644">
        <v>2035</v>
      </c>
      <c r="F644" t="s">
        <v>472</v>
      </c>
      <c r="G644">
        <v>1.9754569690525523</v>
      </c>
      <c r="H644">
        <v>36.443887935639282</v>
      </c>
      <c r="I644" t="s">
        <v>469</v>
      </c>
      <c r="J644" t="s">
        <v>468</v>
      </c>
      <c r="K644">
        <v>5</v>
      </c>
    </row>
    <row r="645" spans="1:11" x14ac:dyDescent="0.25">
      <c r="A645" t="s">
        <v>563</v>
      </c>
      <c r="B645">
        <v>585.4863245172121</v>
      </c>
      <c r="C645">
        <v>38.206210403675065</v>
      </c>
      <c r="D645">
        <v>3</v>
      </c>
      <c r="E645">
        <v>2035</v>
      </c>
      <c r="F645" t="s">
        <v>472</v>
      </c>
      <c r="G645">
        <v>1.9754569690525523</v>
      </c>
      <c r="H645">
        <v>36.443887935639282</v>
      </c>
      <c r="I645" t="s">
        <v>469</v>
      </c>
      <c r="J645" t="s">
        <v>468</v>
      </c>
      <c r="K645">
        <v>6</v>
      </c>
    </row>
    <row r="646" spans="1:11" x14ac:dyDescent="0.25">
      <c r="A646" t="s">
        <v>557</v>
      </c>
      <c r="B646">
        <v>378.79515480310454</v>
      </c>
      <c r="C646">
        <v>24.881126221525488</v>
      </c>
      <c r="D646">
        <v>3</v>
      </c>
      <c r="E646">
        <v>2050</v>
      </c>
      <c r="F646" t="s">
        <v>472</v>
      </c>
      <c r="G646">
        <v>1.0693086580620683</v>
      </c>
      <c r="H646">
        <v>28.201749495787766</v>
      </c>
      <c r="I646" t="s">
        <v>466</v>
      </c>
      <c r="J646" t="s">
        <v>467</v>
      </c>
      <c r="K646">
        <v>0</v>
      </c>
    </row>
    <row r="647" spans="1:11" x14ac:dyDescent="0.25">
      <c r="A647" t="s">
        <v>558</v>
      </c>
      <c r="B647">
        <v>509.01328731368517</v>
      </c>
      <c r="C647">
        <v>33.943099727441975</v>
      </c>
      <c r="D647">
        <v>3</v>
      </c>
      <c r="E647">
        <v>2050</v>
      </c>
      <c r="F647" t="s">
        <v>472</v>
      </c>
      <c r="G647">
        <v>1.0693086580620683</v>
      </c>
      <c r="H647">
        <v>28.201749495787766</v>
      </c>
      <c r="I647" t="s">
        <v>466</v>
      </c>
      <c r="J647" t="s">
        <v>467</v>
      </c>
      <c r="K647">
        <v>1</v>
      </c>
    </row>
    <row r="648" spans="1:11" x14ac:dyDescent="0.25">
      <c r="A648" t="s">
        <v>559</v>
      </c>
      <c r="B648">
        <v>674.4754614290232</v>
      </c>
      <c r="C648">
        <v>42.789042256929818</v>
      </c>
      <c r="D648">
        <v>3</v>
      </c>
      <c r="E648">
        <v>2050</v>
      </c>
      <c r="F648" t="s">
        <v>472</v>
      </c>
      <c r="G648">
        <v>1.0693086580620683</v>
      </c>
      <c r="H648">
        <v>28.201749495787766</v>
      </c>
      <c r="I648" t="s">
        <v>466</v>
      </c>
      <c r="J648" t="s">
        <v>467</v>
      </c>
      <c r="K648">
        <v>2</v>
      </c>
    </row>
    <row r="649" spans="1:11" x14ac:dyDescent="0.25">
      <c r="A649" t="s">
        <v>560</v>
      </c>
      <c r="B649">
        <v>563.79207209337596</v>
      </c>
      <c r="C649">
        <v>36.801508333165359</v>
      </c>
      <c r="D649">
        <v>3</v>
      </c>
      <c r="E649">
        <v>2050</v>
      </c>
      <c r="F649" t="s">
        <v>472</v>
      </c>
      <c r="G649">
        <v>1.0693086580620683</v>
      </c>
      <c r="H649">
        <v>28.201749495787766</v>
      </c>
      <c r="I649" t="s">
        <v>466</v>
      </c>
      <c r="J649" t="s">
        <v>467</v>
      </c>
      <c r="K649">
        <v>3</v>
      </c>
    </row>
    <row r="650" spans="1:11" x14ac:dyDescent="0.25">
      <c r="A650" t="s">
        <v>561</v>
      </c>
      <c r="B650">
        <v>507.88068242277797</v>
      </c>
      <c r="C650">
        <v>34.029320430066129</v>
      </c>
      <c r="D650">
        <v>3</v>
      </c>
      <c r="E650">
        <v>2050</v>
      </c>
      <c r="F650" t="s">
        <v>472</v>
      </c>
      <c r="G650">
        <v>1.0693086580620683</v>
      </c>
      <c r="H650">
        <v>28.201749495787766</v>
      </c>
      <c r="I650" t="s">
        <v>466</v>
      </c>
      <c r="J650" t="s">
        <v>467</v>
      </c>
      <c r="K650">
        <v>4</v>
      </c>
    </row>
    <row r="651" spans="1:11" x14ac:dyDescent="0.25">
      <c r="A651" t="s">
        <v>562</v>
      </c>
      <c r="B651">
        <v>658.38009069178713</v>
      </c>
      <c r="C651">
        <v>41.512649789067197</v>
      </c>
      <c r="D651">
        <v>3</v>
      </c>
      <c r="E651">
        <v>2050</v>
      </c>
      <c r="F651" t="s">
        <v>472</v>
      </c>
      <c r="G651">
        <v>1.0693086580620683</v>
      </c>
      <c r="H651">
        <v>28.201749495787766</v>
      </c>
      <c r="I651" t="s">
        <v>466</v>
      </c>
      <c r="J651" t="s">
        <v>467</v>
      </c>
      <c r="K651">
        <v>5</v>
      </c>
    </row>
    <row r="652" spans="1:11" x14ac:dyDescent="0.25">
      <c r="A652" t="s">
        <v>563</v>
      </c>
      <c r="B652">
        <v>567.90142531044489</v>
      </c>
      <c r="C652">
        <v>38.303282433269395</v>
      </c>
      <c r="D652">
        <v>3</v>
      </c>
      <c r="E652">
        <v>2050</v>
      </c>
      <c r="F652" t="s">
        <v>472</v>
      </c>
      <c r="G652">
        <v>1.0693086580620683</v>
      </c>
      <c r="H652">
        <v>28.201749495787766</v>
      </c>
      <c r="I652" t="s">
        <v>466</v>
      </c>
      <c r="J652" t="s">
        <v>467</v>
      </c>
      <c r="K652">
        <v>6</v>
      </c>
    </row>
    <row r="653" spans="1:11" x14ac:dyDescent="0.25">
      <c r="A653" t="s">
        <v>557</v>
      </c>
      <c r="B653">
        <v>370.44629436376113</v>
      </c>
      <c r="C653">
        <v>24.094328009038083</v>
      </c>
      <c r="D653">
        <v>3</v>
      </c>
      <c r="E653">
        <v>2050</v>
      </c>
      <c r="F653" t="s">
        <v>472</v>
      </c>
      <c r="G653">
        <v>2.6734131587134646</v>
      </c>
      <c r="H653">
        <v>28.083049945775315</v>
      </c>
      <c r="I653" t="s">
        <v>466</v>
      </c>
      <c r="J653" t="s">
        <v>468</v>
      </c>
      <c r="K653">
        <v>0</v>
      </c>
    </row>
    <row r="654" spans="1:11" x14ac:dyDescent="0.25">
      <c r="A654" t="s">
        <v>558</v>
      </c>
      <c r="B654">
        <v>505.10689410983218</v>
      </c>
      <c r="C654">
        <v>34.42333436428499</v>
      </c>
      <c r="D654">
        <v>3</v>
      </c>
      <c r="E654">
        <v>2050</v>
      </c>
      <c r="F654" t="s">
        <v>472</v>
      </c>
      <c r="G654">
        <v>2.6734131587134646</v>
      </c>
      <c r="H654">
        <v>28.083049945775315</v>
      </c>
      <c r="I654" t="s">
        <v>466</v>
      </c>
      <c r="J654" t="s">
        <v>468</v>
      </c>
      <c r="K654">
        <v>1</v>
      </c>
    </row>
    <row r="655" spans="1:11" x14ac:dyDescent="0.25">
      <c r="A655" t="s">
        <v>559</v>
      </c>
      <c r="B655">
        <v>679.72833623236249</v>
      </c>
      <c r="C655">
        <v>43.403508281907087</v>
      </c>
      <c r="D655">
        <v>3</v>
      </c>
      <c r="E655">
        <v>2050</v>
      </c>
      <c r="F655" t="s">
        <v>472</v>
      </c>
      <c r="G655">
        <v>2.6734131587134646</v>
      </c>
      <c r="H655">
        <v>28.083049945775315</v>
      </c>
      <c r="I655" t="s">
        <v>466</v>
      </c>
      <c r="J655" t="s">
        <v>468</v>
      </c>
      <c r="K655">
        <v>2</v>
      </c>
    </row>
    <row r="656" spans="1:11" x14ac:dyDescent="0.25">
      <c r="A656" t="s">
        <v>560</v>
      </c>
      <c r="B656">
        <v>555.49161972902255</v>
      </c>
      <c r="C656">
        <v>37.431352452399636</v>
      </c>
      <c r="D656">
        <v>3</v>
      </c>
      <c r="E656">
        <v>2050</v>
      </c>
      <c r="F656" t="s">
        <v>472</v>
      </c>
      <c r="G656">
        <v>2.6734131587134646</v>
      </c>
      <c r="H656">
        <v>28.083049945775315</v>
      </c>
      <c r="I656" t="s">
        <v>466</v>
      </c>
      <c r="J656" t="s">
        <v>468</v>
      </c>
      <c r="K656">
        <v>3</v>
      </c>
    </row>
    <row r="657" spans="1:11" x14ac:dyDescent="0.25">
      <c r="A657" t="s">
        <v>561</v>
      </c>
      <c r="B657">
        <v>522.87854202793721</v>
      </c>
      <c r="C657">
        <v>35.089118194595351</v>
      </c>
      <c r="D657">
        <v>3</v>
      </c>
      <c r="E657">
        <v>2050</v>
      </c>
      <c r="F657" t="s">
        <v>472</v>
      </c>
      <c r="G657">
        <v>2.6734131587134646</v>
      </c>
      <c r="H657">
        <v>28.083049945775315</v>
      </c>
      <c r="I657" t="s">
        <v>466</v>
      </c>
      <c r="J657" t="s">
        <v>468</v>
      </c>
      <c r="K657">
        <v>4</v>
      </c>
    </row>
    <row r="658" spans="1:11" x14ac:dyDescent="0.25">
      <c r="A658" t="s">
        <v>562</v>
      </c>
      <c r="B658">
        <v>649.5694015440522</v>
      </c>
      <c r="C658">
        <v>41.229816966773342</v>
      </c>
      <c r="D658">
        <v>3</v>
      </c>
      <c r="E658">
        <v>2050</v>
      </c>
      <c r="F658" t="s">
        <v>472</v>
      </c>
      <c r="G658">
        <v>2.6734131587134646</v>
      </c>
      <c r="H658">
        <v>28.083049945775315</v>
      </c>
      <c r="I658" t="s">
        <v>466</v>
      </c>
      <c r="J658" t="s">
        <v>468</v>
      </c>
      <c r="K658">
        <v>5</v>
      </c>
    </row>
    <row r="659" spans="1:11" x14ac:dyDescent="0.25">
      <c r="A659" t="s">
        <v>563</v>
      </c>
      <c r="B659">
        <v>618.0052333780402</v>
      </c>
      <c r="C659">
        <v>41.180993935142759</v>
      </c>
      <c r="D659">
        <v>3</v>
      </c>
      <c r="E659">
        <v>2050</v>
      </c>
      <c r="F659" t="s">
        <v>472</v>
      </c>
      <c r="G659">
        <v>2.6734131587134646</v>
      </c>
      <c r="H659">
        <v>28.083049945775315</v>
      </c>
      <c r="I659" t="s">
        <v>466</v>
      </c>
      <c r="J659" t="s">
        <v>468</v>
      </c>
      <c r="K659">
        <v>6</v>
      </c>
    </row>
    <row r="660" spans="1:11" x14ac:dyDescent="0.25">
      <c r="A660" t="s">
        <v>557</v>
      </c>
      <c r="B660">
        <v>450.29242668311639</v>
      </c>
      <c r="C660">
        <v>29.139752110261174</v>
      </c>
      <c r="D660">
        <v>3</v>
      </c>
      <c r="E660">
        <v>2050</v>
      </c>
      <c r="F660" t="s">
        <v>472</v>
      </c>
      <c r="G660">
        <v>1.0693086579711535</v>
      </c>
      <c r="H660">
        <v>37.204155925769953</v>
      </c>
      <c r="I660" t="s">
        <v>469</v>
      </c>
      <c r="J660" t="s">
        <v>467</v>
      </c>
      <c r="K660">
        <v>0</v>
      </c>
    </row>
    <row r="661" spans="1:11" x14ac:dyDescent="0.25">
      <c r="A661" t="s">
        <v>558</v>
      </c>
      <c r="B661">
        <v>518.03058253500456</v>
      </c>
      <c r="C661">
        <v>34.301954190420979</v>
      </c>
      <c r="D661">
        <v>3</v>
      </c>
      <c r="E661">
        <v>2050</v>
      </c>
      <c r="F661" t="s">
        <v>472</v>
      </c>
      <c r="G661">
        <v>1.0693086579711535</v>
      </c>
      <c r="H661">
        <v>37.204155925769953</v>
      </c>
      <c r="I661" t="s">
        <v>469</v>
      </c>
      <c r="J661" t="s">
        <v>467</v>
      </c>
      <c r="K661">
        <v>1</v>
      </c>
    </row>
    <row r="662" spans="1:11" x14ac:dyDescent="0.25">
      <c r="A662" t="s">
        <v>559</v>
      </c>
      <c r="B662">
        <v>616.47823358794324</v>
      </c>
      <c r="C662">
        <v>39.784876454886813</v>
      </c>
      <c r="D662">
        <v>3</v>
      </c>
      <c r="E662">
        <v>2050</v>
      </c>
      <c r="F662" t="s">
        <v>472</v>
      </c>
      <c r="G662">
        <v>1.0693086579711535</v>
      </c>
      <c r="H662">
        <v>37.204155925769953</v>
      </c>
      <c r="I662" t="s">
        <v>469</v>
      </c>
      <c r="J662" t="s">
        <v>467</v>
      </c>
      <c r="K662">
        <v>2</v>
      </c>
    </row>
    <row r="663" spans="1:11" x14ac:dyDescent="0.25">
      <c r="A663" t="s">
        <v>560</v>
      </c>
      <c r="B663">
        <v>540.68810926567812</v>
      </c>
      <c r="C663">
        <v>35.896397156572412</v>
      </c>
      <c r="D663">
        <v>3</v>
      </c>
      <c r="E663">
        <v>2050</v>
      </c>
      <c r="F663" t="s">
        <v>472</v>
      </c>
      <c r="G663">
        <v>1.0693086579711535</v>
      </c>
      <c r="H663">
        <v>37.204155925769953</v>
      </c>
      <c r="I663" t="s">
        <v>469</v>
      </c>
      <c r="J663" t="s">
        <v>467</v>
      </c>
      <c r="K663">
        <v>3</v>
      </c>
    </row>
    <row r="664" spans="1:11" x14ac:dyDescent="0.25">
      <c r="A664" t="s">
        <v>561</v>
      </c>
      <c r="B664">
        <v>559.44595465758812</v>
      </c>
      <c r="C664">
        <v>36.338726681282111</v>
      </c>
      <c r="D664">
        <v>3</v>
      </c>
      <c r="E664">
        <v>2050</v>
      </c>
      <c r="F664" t="s">
        <v>472</v>
      </c>
      <c r="G664">
        <v>1.0693086579711535</v>
      </c>
      <c r="H664">
        <v>37.204155925769953</v>
      </c>
      <c r="I664" t="s">
        <v>469</v>
      </c>
      <c r="J664" t="s">
        <v>467</v>
      </c>
      <c r="K664">
        <v>4</v>
      </c>
    </row>
    <row r="665" spans="1:11" x14ac:dyDescent="0.25">
      <c r="A665" t="s">
        <v>562</v>
      </c>
      <c r="B665">
        <v>653.1248806133367</v>
      </c>
      <c r="C665">
        <v>41.533127963699663</v>
      </c>
      <c r="D665">
        <v>3</v>
      </c>
      <c r="E665">
        <v>2050</v>
      </c>
      <c r="F665" t="s">
        <v>472</v>
      </c>
      <c r="G665">
        <v>1.0693086579711535</v>
      </c>
      <c r="H665">
        <v>37.204155925769953</v>
      </c>
      <c r="I665" t="s">
        <v>469</v>
      </c>
      <c r="J665" t="s">
        <v>467</v>
      </c>
      <c r="K665">
        <v>5</v>
      </c>
    </row>
    <row r="666" spans="1:11" x14ac:dyDescent="0.25">
      <c r="A666" t="s">
        <v>563</v>
      </c>
      <c r="B666">
        <v>561.10121415725189</v>
      </c>
      <c r="C666">
        <v>37.96595604421077</v>
      </c>
      <c r="D666">
        <v>3</v>
      </c>
      <c r="E666">
        <v>2050</v>
      </c>
      <c r="F666" t="s">
        <v>472</v>
      </c>
      <c r="G666">
        <v>1.0693086579711535</v>
      </c>
      <c r="H666">
        <v>37.204155925769953</v>
      </c>
      <c r="I666" t="s">
        <v>469</v>
      </c>
      <c r="J666" t="s">
        <v>467</v>
      </c>
      <c r="K666">
        <v>6</v>
      </c>
    </row>
    <row r="667" spans="1:11" x14ac:dyDescent="0.25">
      <c r="A667" t="s">
        <v>557</v>
      </c>
      <c r="B667">
        <v>445.37850444152048</v>
      </c>
      <c r="C667">
        <v>28.588941970156139</v>
      </c>
      <c r="D667">
        <v>3</v>
      </c>
      <c r="E667">
        <v>2050</v>
      </c>
      <c r="F667" t="s">
        <v>472</v>
      </c>
      <c r="G667">
        <v>2.6734131435437631</v>
      </c>
      <c r="H667">
        <v>37.225919086428661</v>
      </c>
      <c r="I667" t="s">
        <v>469</v>
      </c>
      <c r="J667" t="s">
        <v>468</v>
      </c>
      <c r="K667">
        <v>0</v>
      </c>
    </row>
    <row r="668" spans="1:11" x14ac:dyDescent="0.25">
      <c r="A668" t="s">
        <v>558</v>
      </c>
      <c r="B668">
        <v>506.02879088801222</v>
      </c>
      <c r="C668">
        <v>33.723510198268031</v>
      </c>
      <c r="D668">
        <v>3</v>
      </c>
      <c r="E668">
        <v>2050</v>
      </c>
      <c r="F668" t="s">
        <v>472</v>
      </c>
      <c r="G668">
        <v>2.6734131435437631</v>
      </c>
      <c r="H668">
        <v>37.225919086428661</v>
      </c>
      <c r="I668" t="s">
        <v>469</v>
      </c>
      <c r="J668" t="s">
        <v>468</v>
      </c>
      <c r="K668">
        <v>1</v>
      </c>
    </row>
    <row r="669" spans="1:11" x14ac:dyDescent="0.25">
      <c r="A669" t="s">
        <v>559</v>
      </c>
      <c r="B669">
        <v>611.11270919469655</v>
      </c>
      <c r="C669">
        <v>39.514002954819915</v>
      </c>
      <c r="D669">
        <v>3</v>
      </c>
      <c r="E669">
        <v>2050</v>
      </c>
      <c r="F669" t="s">
        <v>472</v>
      </c>
      <c r="G669">
        <v>2.6734131435437631</v>
      </c>
      <c r="H669">
        <v>37.225919086428661</v>
      </c>
      <c r="I669" t="s">
        <v>469</v>
      </c>
      <c r="J669" t="s">
        <v>468</v>
      </c>
      <c r="K669">
        <v>2</v>
      </c>
    </row>
    <row r="670" spans="1:11" x14ac:dyDescent="0.25">
      <c r="A670" t="s">
        <v>560</v>
      </c>
      <c r="B670">
        <v>560.05958098049211</v>
      </c>
      <c r="C670">
        <v>36.764754481961525</v>
      </c>
      <c r="D670">
        <v>3</v>
      </c>
      <c r="E670">
        <v>2050</v>
      </c>
      <c r="F670" t="s">
        <v>472</v>
      </c>
      <c r="G670">
        <v>2.6734131435437631</v>
      </c>
      <c r="H670">
        <v>37.225919086428661</v>
      </c>
      <c r="I670" t="s">
        <v>469</v>
      </c>
      <c r="J670" t="s">
        <v>468</v>
      </c>
      <c r="K670">
        <v>3</v>
      </c>
    </row>
    <row r="671" spans="1:11" x14ac:dyDescent="0.25">
      <c r="A671" t="s">
        <v>561</v>
      </c>
      <c r="B671">
        <v>553.66403302275796</v>
      </c>
      <c r="C671">
        <v>35.746523922190363</v>
      </c>
      <c r="D671">
        <v>3</v>
      </c>
      <c r="E671">
        <v>2050</v>
      </c>
      <c r="F671" t="s">
        <v>472</v>
      </c>
      <c r="G671">
        <v>2.6734131435437631</v>
      </c>
      <c r="H671">
        <v>37.225919086428661</v>
      </c>
      <c r="I671" t="s">
        <v>469</v>
      </c>
      <c r="J671" t="s">
        <v>468</v>
      </c>
      <c r="K671">
        <v>4</v>
      </c>
    </row>
    <row r="672" spans="1:11" x14ac:dyDescent="0.25">
      <c r="A672" t="s">
        <v>562</v>
      </c>
      <c r="B672">
        <v>591.84024181783639</v>
      </c>
      <c r="C672">
        <v>38.129035105879794</v>
      </c>
      <c r="D672">
        <v>3</v>
      </c>
      <c r="E672">
        <v>2050</v>
      </c>
      <c r="F672" t="s">
        <v>472</v>
      </c>
      <c r="G672">
        <v>2.6734131435437631</v>
      </c>
      <c r="H672">
        <v>37.225919086428661</v>
      </c>
      <c r="I672" t="s">
        <v>469</v>
      </c>
      <c r="J672" t="s">
        <v>468</v>
      </c>
      <c r="K672">
        <v>5</v>
      </c>
    </row>
    <row r="673" spans="1:11" x14ac:dyDescent="0.25">
      <c r="A673" t="s">
        <v>563</v>
      </c>
      <c r="B673">
        <v>577.08158272760636</v>
      </c>
      <c r="C673">
        <v>38.327457518939042</v>
      </c>
      <c r="D673">
        <v>3</v>
      </c>
      <c r="E673">
        <v>2050</v>
      </c>
      <c r="F673" t="s">
        <v>472</v>
      </c>
      <c r="G673">
        <v>2.6734131435437631</v>
      </c>
      <c r="H673">
        <v>37.225919086428661</v>
      </c>
      <c r="I673" t="s">
        <v>469</v>
      </c>
      <c r="J673" t="s">
        <v>468</v>
      </c>
      <c r="K673">
        <v>6</v>
      </c>
    </row>
    <row r="674" spans="1:11" x14ac:dyDescent="0.25">
      <c r="A674" t="s">
        <v>557</v>
      </c>
      <c r="B674">
        <v>378.16946676023213</v>
      </c>
      <c r="C674">
        <v>24.843072935880112</v>
      </c>
      <c r="D674">
        <v>4</v>
      </c>
      <c r="E674">
        <v>2035</v>
      </c>
      <c r="F674" t="s">
        <v>465</v>
      </c>
      <c r="G674">
        <v>1.2312927890518222</v>
      </c>
      <c r="H674">
        <v>29.27501661745822</v>
      </c>
      <c r="I674" t="s">
        <v>466</v>
      </c>
      <c r="J674" t="s">
        <v>467</v>
      </c>
      <c r="K674">
        <v>0</v>
      </c>
    </row>
    <row r="675" spans="1:11" x14ac:dyDescent="0.25">
      <c r="A675" t="s">
        <v>558</v>
      </c>
      <c r="B675">
        <v>526.86044730381161</v>
      </c>
      <c r="C675">
        <v>34.639645870524994</v>
      </c>
      <c r="D675">
        <v>4</v>
      </c>
      <c r="E675">
        <v>2035</v>
      </c>
      <c r="F675" t="s">
        <v>465</v>
      </c>
      <c r="G675">
        <v>1.2312927890518222</v>
      </c>
      <c r="H675">
        <v>29.27501661745822</v>
      </c>
      <c r="I675" t="s">
        <v>466</v>
      </c>
      <c r="J675" t="s">
        <v>467</v>
      </c>
      <c r="K675">
        <v>1</v>
      </c>
    </row>
    <row r="676" spans="1:11" x14ac:dyDescent="0.25">
      <c r="A676" t="s">
        <v>559</v>
      </c>
      <c r="B676">
        <v>718.58487566502743</v>
      </c>
      <c r="C676">
        <v>44.335020306522452</v>
      </c>
      <c r="D676">
        <v>4</v>
      </c>
      <c r="E676">
        <v>2035</v>
      </c>
      <c r="F676" t="s">
        <v>465</v>
      </c>
      <c r="G676">
        <v>1.2312927890518222</v>
      </c>
      <c r="H676">
        <v>29.27501661745822</v>
      </c>
      <c r="I676" t="s">
        <v>466</v>
      </c>
      <c r="J676" t="s">
        <v>467</v>
      </c>
      <c r="K676">
        <v>2</v>
      </c>
    </row>
    <row r="677" spans="1:11" x14ac:dyDescent="0.25">
      <c r="A677" t="s">
        <v>560</v>
      </c>
      <c r="B677">
        <v>608.67988312421323</v>
      </c>
      <c r="C677">
        <v>38.5094997471315</v>
      </c>
      <c r="D677">
        <v>4</v>
      </c>
      <c r="E677">
        <v>2035</v>
      </c>
      <c r="F677" t="s">
        <v>465</v>
      </c>
      <c r="G677">
        <v>1.2312927890518222</v>
      </c>
      <c r="H677">
        <v>29.27501661745822</v>
      </c>
      <c r="I677" t="s">
        <v>466</v>
      </c>
      <c r="J677" t="s">
        <v>467</v>
      </c>
      <c r="K677">
        <v>3</v>
      </c>
    </row>
    <row r="678" spans="1:11" x14ac:dyDescent="0.25">
      <c r="A678" t="s">
        <v>561</v>
      </c>
      <c r="B678">
        <v>569.970940578046</v>
      </c>
      <c r="C678">
        <v>35.658197666643197</v>
      </c>
      <c r="D678">
        <v>4</v>
      </c>
      <c r="E678">
        <v>2035</v>
      </c>
      <c r="F678" t="s">
        <v>465</v>
      </c>
      <c r="G678">
        <v>1.2312927890518222</v>
      </c>
      <c r="H678">
        <v>29.27501661745822</v>
      </c>
      <c r="I678" t="s">
        <v>466</v>
      </c>
      <c r="J678" t="s">
        <v>467</v>
      </c>
      <c r="K678">
        <v>4</v>
      </c>
    </row>
    <row r="679" spans="1:11" x14ac:dyDescent="0.25">
      <c r="A679" t="s">
        <v>562</v>
      </c>
      <c r="B679">
        <v>684.32325045021628</v>
      </c>
      <c r="C679">
        <v>42.142638188829039</v>
      </c>
      <c r="D679">
        <v>4</v>
      </c>
      <c r="E679">
        <v>2035</v>
      </c>
      <c r="F679" t="s">
        <v>465</v>
      </c>
      <c r="G679">
        <v>1.2312927890518222</v>
      </c>
      <c r="H679">
        <v>29.27501661745822</v>
      </c>
      <c r="I679" t="s">
        <v>466</v>
      </c>
      <c r="J679" t="s">
        <v>467</v>
      </c>
      <c r="K679">
        <v>5</v>
      </c>
    </row>
    <row r="680" spans="1:11" x14ac:dyDescent="0.25">
      <c r="A680" t="s">
        <v>563</v>
      </c>
      <c r="B680">
        <v>624.89424552106868</v>
      </c>
      <c r="C680">
        <v>39.898827630994852</v>
      </c>
      <c r="D680">
        <v>4</v>
      </c>
      <c r="E680">
        <v>2035</v>
      </c>
      <c r="F680" t="s">
        <v>465</v>
      </c>
      <c r="G680">
        <v>1.2312927890518222</v>
      </c>
      <c r="H680">
        <v>29.27501661745822</v>
      </c>
      <c r="I680" t="s">
        <v>466</v>
      </c>
      <c r="J680" t="s">
        <v>467</v>
      </c>
      <c r="K680">
        <v>6</v>
      </c>
    </row>
    <row r="681" spans="1:11" x14ac:dyDescent="0.25">
      <c r="A681" t="s">
        <v>557</v>
      </c>
      <c r="B681">
        <v>392.23844004988473</v>
      </c>
      <c r="C681">
        <v>25.589117221718443</v>
      </c>
      <c r="D681">
        <v>4</v>
      </c>
      <c r="E681">
        <v>2035</v>
      </c>
      <c r="F681" t="s">
        <v>465</v>
      </c>
      <c r="G681">
        <v>2.5483163521658807</v>
      </c>
      <c r="H681">
        <v>29.287062536589787</v>
      </c>
      <c r="I681" t="s">
        <v>466</v>
      </c>
      <c r="J681" t="s">
        <v>468</v>
      </c>
      <c r="K681">
        <v>0</v>
      </c>
    </row>
    <row r="682" spans="1:11" x14ac:dyDescent="0.25">
      <c r="A682" t="s">
        <v>558</v>
      </c>
      <c r="B682">
        <v>532.07256695018691</v>
      </c>
      <c r="C682">
        <v>35.782296208620153</v>
      </c>
      <c r="D682">
        <v>4</v>
      </c>
      <c r="E682">
        <v>2035</v>
      </c>
      <c r="F682" t="s">
        <v>465</v>
      </c>
      <c r="G682">
        <v>2.5483163521658807</v>
      </c>
      <c r="H682">
        <v>29.287062536589787</v>
      </c>
      <c r="I682" t="s">
        <v>466</v>
      </c>
      <c r="J682" t="s">
        <v>468</v>
      </c>
      <c r="K682">
        <v>1</v>
      </c>
    </row>
    <row r="683" spans="1:11" x14ac:dyDescent="0.25">
      <c r="A683" t="s">
        <v>559</v>
      </c>
      <c r="B683">
        <v>685.9129684201805</v>
      </c>
      <c r="C683">
        <v>41.354028995003141</v>
      </c>
      <c r="D683">
        <v>4</v>
      </c>
      <c r="E683">
        <v>2035</v>
      </c>
      <c r="F683" t="s">
        <v>465</v>
      </c>
      <c r="G683">
        <v>2.5483163521658807</v>
      </c>
      <c r="H683">
        <v>29.287062536589787</v>
      </c>
      <c r="I683" t="s">
        <v>466</v>
      </c>
      <c r="J683" t="s">
        <v>468</v>
      </c>
      <c r="K683">
        <v>2</v>
      </c>
    </row>
    <row r="684" spans="1:11" x14ac:dyDescent="0.25">
      <c r="A684" t="s">
        <v>560</v>
      </c>
      <c r="B684">
        <v>508.29525288707902</v>
      </c>
      <c r="C684">
        <v>31.165434294397624</v>
      </c>
      <c r="D684">
        <v>4</v>
      </c>
      <c r="E684">
        <v>2035</v>
      </c>
      <c r="F684" t="s">
        <v>465</v>
      </c>
      <c r="G684">
        <v>2.5483163521658807</v>
      </c>
      <c r="H684">
        <v>29.287062536589787</v>
      </c>
      <c r="I684" t="s">
        <v>466</v>
      </c>
      <c r="J684" t="s">
        <v>468</v>
      </c>
      <c r="K684">
        <v>3</v>
      </c>
    </row>
    <row r="685" spans="1:11" x14ac:dyDescent="0.25">
      <c r="A685" t="s">
        <v>561</v>
      </c>
      <c r="B685">
        <v>492.73700012402514</v>
      </c>
      <c r="C685">
        <v>32.602272485353716</v>
      </c>
      <c r="D685">
        <v>4</v>
      </c>
      <c r="E685">
        <v>2035</v>
      </c>
      <c r="F685" t="s">
        <v>465</v>
      </c>
      <c r="G685">
        <v>2.5483163521658807</v>
      </c>
      <c r="H685">
        <v>29.287062536589787</v>
      </c>
      <c r="I685" t="s">
        <v>466</v>
      </c>
      <c r="J685" t="s">
        <v>468</v>
      </c>
      <c r="K685">
        <v>4</v>
      </c>
    </row>
    <row r="686" spans="1:11" x14ac:dyDescent="0.25">
      <c r="A686" t="s">
        <v>562</v>
      </c>
      <c r="B686">
        <v>700.86213578849663</v>
      </c>
      <c r="C686">
        <v>42.396967583779734</v>
      </c>
      <c r="D686">
        <v>4</v>
      </c>
      <c r="E686">
        <v>2035</v>
      </c>
      <c r="F686" t="s">
        <v>465</v>
      </c>
      <c r="G686">
        <v>2.5483163521658807</v>
      </c>
      <c r="H686">
        <v>29.287062536589787</v>
      </c>
      <c r="I686" t="s">
        <v>466</v>
      </c>
      <c r="J686" t="s">
        <v>468</v>
      </c>
      <c r="K686">
        <v>5</v>
      </c>
    </row>
    <row r="687" spans="1:11" x14ac:dyDescent="0.25">
      <c r="A687" t="s">
        <v>563</v>
      </c>
      <c r="B687">
        <v>618.45019612451165</v>
      </c>
      <c r="C687">
        <v>38.871675388713101</v>
      </c>
      <c r="D687">
        <v>4</v>
      </c>
      <c r="E687">
        <v>2035</v>
      </c>
      <c r="F687" t="s">
        <v>465</v>
      </c>
      <c r="G687">
        <v>2.5483163521658807</v>
      </c>
      <c r="H687">
        <v>29.287062536589787</v>
      </c>
      <c r="I687" t="s">
        <v>466</v>
      </c>
      <c r="J687" t="s">
        <v>468</v>
      </c>
      <c r="K687">
        <v>6</v>
      </c>
    </row>
    <row r="688" spans="1:11" x14ac:dyDescent="0.25">
      <c r="A688" t="s">
        <v>557</v>
      </c>
      <c r="B688">
        <v>433.02431718379449</v>
      </c>
      <c r="C688">
        <v>28.37901383499743</v>
      </c>
      <c r="D688">
        <v>4</v>
      </c>
      <c r="E688">
        <v>2035</v>
      </c>
      <c r="F688" t="s">
        <v>465</v>
      </c>
      <c r="G688">
        <v>1.1149555535223561</v>
      </c>
      <c r="H688">
        <v>33.977547814097079</v>
      </c>
      <c r="I688" t="s">
        <v>469</v>
      </c>
      <c r="J688" t="s">
        <v>467</v>
      </c>
      <c r="K688">
        <v>0</v>
      </c>
    </row>
    <row r="689" spans="1:11" x14ac:dyDescent="0.25">
      <c r="A689" t="s">
        <v>558</v>
      </c>
      <c r="B689">
        <v>564.17095207743523</v>
      </c>
      <c r="C689">
        <v>36.967473570505966</v>
      </c>
      <c r="D689">
        <v>4</v>
      </c>
      <c r="E689">
        <v>2035</v>
      </c>
      <c r="F689" t="s">
        <v>465</v>
      </c>
      <c r="G689">
        <v>1.1149555535223561</v>
      </c>
      <c r="H689">
        <v>33.977547814097079</v>
      </c>
      <c r="I689" t="s">
        <v>469</v>
      </c>
      <c r="J689" t="s">
        <v>467</v>
      </c>
      <c r="K689">
        <v>1</v>
      </c>
    </row>
    <row r="690" spans="1:11" x14ac:dyDescent="0.25">
      <c r="A690" t="s">
        <v>559</v>
      </c>
      <c r="B690">
        <v>661.00880936233659</v>
      </c>
      <c r="C690">
        <v>39.33748833159359</v>
      </c>
      <c r="D690">
        <v>4</v>
      </c>
      <c r="E690">
        <v>2035</v>
      </c>
      <c r="F690" t="s">
        <v>465</v>
      </c>
      <c r="G690">
        <v>1.1149555535223561</v>
      </c>
      <c r="H690">
        <v>33.977547814097079</v>
      </c>
      <c r="I690" t="s">
        <v>469</v>
      </c>
      <c r="J690" t="s">
        <v>467</v>
      </c>
      <c r="K690">
        <v>2</v>
      </c>
    </row>
    <row r="691" spans="1:11" x14ac:dyDescent="0.25">
      <c r="A691" t="s">
        <v>560</v>
      </c>
      <c r="B691">
        <v>608.20675972420099</v>
      </c>
      <c r="C691">
        <v>37.325557220194476</v>
      </c>
      <c r="D691">
        <v>4</v>
      </c>
      <c r="E691">
        <v>2035</v>
      </c>
      <c r="F691" t="s">
        <v>465</v>
      </c>
      <c r="G691">
        <v>1.1149555535223561</v>
      </c>
      <c r="H691">
        <v>33.977547814097079</v>
      </c>
      <c r="I691" t="s">
        <v>469</v>
      </c>
      <c r="J691" t="s">
        <v>467</v>
      </c>
      <c r="K691">
        <v>3</v>
      </c>
    </row>
    <row r="692" spans="1:11" x14ac:dyDescent="0.25">
      <c r="A692" t="s">
        <v>561</v>
      </c>
      <c r="B692">
        <v>582.14670276117113</v>
      </c>
      <c r="C692">
        <v>36.563110448099749</v>
      </c>
      <c r="D692">
        <v>4</v>
      </c>
      <c r="E692">
        <v>2035</v>
      </c>
      <c r="F692" t="s">
        <v>465</v>
      </c>
      <c r="G692">
        <v>1.1149555535223561</v>
      </c>
      <c r="H692">
        <v>33.977547814097079</v>
      </c>
      <c r="I692" t="s">
        <v>469</v>
      </c>
      <c r="J692" t="s">
        <v>467</v>
      </c>
      <c r="K692">
        <v>4</v>
      </c>
    </row>
    <row r="693" spans="1:11" x14ac:dyDescent="0.25">
      <c r="A693" t="s">
        <v>562</v>
      </c>
      <c r="B693">
        <v>698.53786084928709</v>
      </c>
      <c r="C693">
        <v>41.495989055987948</v>
      </c>
      <c r="D693">
        <v>4</v>
      </c>
      <c r="E693">
        <v>2035</v>
      </c>
      <c r="F693" t="s">
        <v>465</v>
      </c>
      <c r="G693">
        <v>1.1149555535223561</v>
      </c>
      <c r="H693">
        <v>33.977547814097079</v>
      </c>
      <c r="I693" t="s">
        <v>469</v>
      </c>
      <c r="J693" t="s">
        <v>467</v>
      </c>
      <c r="K693">
        <v>5</v>
      </c>
    </row>
    <row r="694" spans="1:11" x14ac:dyDescent="0.25">
      <c r="A694" t="s">
        <v>563</v>
      </c>
      <c r="B694">
        <v>623.40936745881788</v>
      </c>
      <c r="C694">
        <v>37.94712257976164</v>
      </c>
      <c r="D694">
        <v>4</v>
      </c>
      <c r="E694">
        <v>2035</v>
      </c>
      <c r="F694" t="s">
        <v>465</v>
      </c>
      <c r="G694">
        <v>1.1149555535223561</v>
      </c>
      <c r="H694">
        <v>33.977547814097079</v>
      </c>
      <c r="I694" t="s">
        <v>469</v>
      </c>
      <c r="J694" t="s">
        <v>467</v>
      </c>
      <c r="K694">
        <v>6</v>
      </c>
    </row>
    <row r="695" spans="1:11" x14ac:dyDescent="0.25">
      <c r="A695" t="s">
        <v>557</v>
      </c>
      <c r="B695">
        <v>419.11844911987879</v>
      </c>
      <c r="C695">
        <v>27.586933568452785</v>
      </c>
      <c r="D695">
        <v>4</v>
      </c>
      <c r="E695">
        <v>2035</v>
      </c>
      <c r="F695" t="s">
        <v>465</v>
      </c>
      <c r="G695">
        <v>2.2126368894986461</v>
      </c>
      <c r="H695">
        <v>33.949708753699667</v>
      </c>
      <c r="I695" t="s">
        <v>469</v>
      </c>
      <c r="J695" t="s">
        <v>468</v>
      </c>
      <c r="K695">
        <v>0</v>
      </c>
    </row>
    <row r="696" spans="1:11" x14ac:dyDescent="0.25">
      <c r="A696" t="s">
        <v>558</v>
      </c>
      <c r="B696">
        <v>521.92779007860076</v>
      </c>
      <c r="C696">
        <v>35.087443564274551</v>
      </c>
      <c r="D696">
        <v>4</v>
      </c>
      <c r="E696">
        <v>2035</v>
      </c>
      <c r="F696" t="s">
        <v>465</v>
      </c>
      <c r="G696">
        <v>2.2126368894986461</v>
      </c>
      <c r="H696">
        <v>33.949708753699667</v>
      </c>
      <c r="I696" t="s">
        <v>469</v>
      </c>
      <c r="J696" t="s">
        <v>468</v>
      </c>
      <c r="K696">
        <v>1</v>
      </c>
    </row>
    <row r="697" spans="1:11" x14ac:dyDescent="0.25">
      <c r="A697" t="s">
        <v>559</v>
      </c>
      <c r="B697">
        <v>661.11378890833782</v>
      </c>
      <c r="C697">
        <v>37.236397058632569</v>
      </c>
      <c r="D697">
        <v>4</v>
      </c>
      <c r="E697">
        <v>2035</v>
      </c>
      <c r="F697" t="s">
        <v>465</v>
      </c>
      <c r="G697">
        <v>2.2126368894986461</v>
      </c>
      <c r="H697">
        <v>33.949708753699667</v>
      </c>
      <c r="I697" t="s">
        <v>469</v>
      </c>
      <c r="J697" t="s">
        <v>468</v>
      </c>
      <c r="K697">
        <v>2</v>
      </c>
    </row>
    <row r="698" spans="1:11" x14ac:dyDescent="0.25">
      <c r="A698" t="s">
        <v>560</v>
      </c>
      <c r="B698">
        <v>547.58896084725916</v>
      </c>
      <c r="C698">
        <v>32.555457404767651</v>
      </c>
      <c r="D698">
        <v>4</v>
      </c>
      <c r="E698">
        <v>2035</v>
      </c>
      <c r="F698" t="s">
        <v>465</v>
      </c>
      <c r="G698">
        <v>2.2126368894986461</v>
      </c>
      <c r="H698">
        <v>33.949708753699667</v>
      </c>
      <c r="I698" t="s">
        <v>469</v>
      </c>
      <c r="J698" t="s">
        <v>468</v>
      </c>
      <c r="K698">
        <v>3</v>
      </c>
    </row>
    <row r="699" spans="1:11" x14ac:dyDescent="0.25">
      <c r="A699" t="s">
        <v>561</v>
      </c>
      <c r="B699">
        <v>550.90671408550475</v>
      </c>
      <c r="C699">
        <v>35.002932347498728</v>
      </c>
      <c r="D699">
        <v>4</v>
      </c>
      <c r="E699">
        <v>2035</v>
      </c>
      <c r="F699" t="s">
        <v>465</v>
      </c>
      <c r="G699">
        <v>2.2126368894986461</v>
      </c>
      <c r="H699">
        <v>33.949708753699667</v>
      </c>
      <c r="I699" t="s">
        <v>469</v>
      </c>
      <c r="J699" t="s">
        <v>468</v>
      </c>
      <c r="K699">
        <v>4</v>
      </c>
    </row>
    <row r="700" spans="1:11" x14ac:dyDescent="0.25">
      <c r="A700" t="s">
        <v>562</v>
      </c>
      <c r="B700">
        <v>678.4734206508474</v>
      </c>
      <c r="C700">
        <v>38.192087438050102</v>
      </c>
      <c r="D700">
        <v>4</v>
      </c>
      <c r="E700">
        <v>2035</v>
      </c>
      <c r="F700" t="s">
        <v>465</v>
      </c>
      <c r="G700">
        <v>2.2126368894986461</v>
      </c>
      <c r="H700">
        <v>33.949708753699667</v>
      </c>
      <c r="I700" t="s">
        <v>469</v>
      </c>
      <c r="J700" t="s">
        <v>468</v>
      </c>
      <c r="K700">
        <v>5</v>
      </c>
    </row>
    <row r="701" spans="1:11" x14ac:dyDescent="0.25">
      <c r="A701" t="s">
        <v>563</v>
      </c>
      <c r="B701">
        <v>599.89155261925282</v>
      </c>
      <c r="C701">
        <v>37.222147475406445</v>
      </c>
      <c r="D701">
        <v>4</v>
      </c>
      <c r="E701">
        <v>2035</v>
      </c>
      <c r="F701" t="s">
        <v>465</v>
      </c>
      <c r="G701">
        <v>2.2126368894986461</v>
      </c>
      <c r="H701">
        <v>33.949708753699667</v>
      </c>
      <c r="I701" t="s">
        <v>469</v>
      </c>
      <c r="J701" t="s">
        <v>468</v>
      </c>
      <c r="K701">
        <v>6</v>
      </c>
    </row>
    <row r="702" spans="1:11" x14ac:dyDescent="0.25">
      <c r="A702" t="s">
        <v>557</v>
      </c>
      <c r="B702">
        <v>368.37531893252401</v>
      </c>
      <c r="C702">
        <v>24.70161019331092</v>
      </c>
      <c r="D702">
        <v>4</v>
      </c>
      <c r="E702">
        <v>2050</v>
      </c>
      <c r="F702" t="s">
        <v>465</v>
      </c>
      <c r="G702">
        <v>1.0813952504256958</v>
      </c>
      <c r="H702">
        <v>31.382921509627664</v>
      </c>
      <c r="I702" t="s">
        <v>466</v>
      </c>
      <c r="J702" t="s">
        <v>467</v>
      </c>
      <c r="K702">
        <v>0</v>
      </c>
    </row>
    <row r="703" spans="1:11" x14ac:dyDescent="0.25">
      <c r="A703" t="s">
        <v>558</v>
      </c>
      <c r="B703">
        <v>527.06681604546861</v>
      </c>
      <c r="C703">
        <v>34.829227756655904</v>
      </c>
      <c r="D703">
        <v>4</v>
      </c>
      <c r="E703">
        <v>2050</v>
      </c>
      <c r="F703" t="s">
        <v>465</v>
      </c>
      <c r="G703">
        <v>1.0813952504256958</v>
      </c>
      <c r="H703">
        <v>31.382921509627664</v>
      </c>
      <c r="I703" t="s">
        <v>466</v>
      </c>
      <c r="J703" t="s">
        <v>467</v>
      </c>
      <c r="K703">
        <v>1</v>
      </c>
    </row>
    <row r="704" spans="1:11" x14ac:dyDescent="0.25">
      <c r="A704" t="s">
        <v>559</v>
      </c>
      <c r="B704">
        <v>683.11693260916661</v>
      </c>
      <c r="C704">
        <v>41.139513900033705</v>
      </c>
      <c r="D704">
        <v>4</v>
      </c>
      <c r="E704">
        <v>2050</v>
      </c>
      <c r="F704" t="s">
        <v>465</v>
      </c>
      <c r="G704">
        <v>1.0813952504256958</v>
      </c>
      <c r="H704">
        <v>31.382921509627664</v>
      </c>
      <c r="I704" t="s">
        <v>466</v>
      </c>
      <c r="J704" t="s">
        <v>467</v>
      </c>
      <c r="K704">
        <v>2</v>
      </c>
    </row>
    <row r="705" spans="1:11" x14ac:dyDescent="0.25">
      <c r="A705" t="s">
        <v>560</v>
      </c>
      <c r="B705">
        <v>602.49209402148824</v>
      </c>
      <c r="C705">
        <v>37.330674127254561</v>
      </c>
      <c r="D705">
        <v>4</v>
      </c>
      <c r="E705">
        <v>2050</v>
      </c>
      <c r="F705" t="s">
        <v>465</v>
      </c>
      <c r="G705">
        <v>1.0813952504256958</v>
      </c>
      <c r="H705">
        <v>31.382921509627664</v>
      </c>
      <c r="I705" t="s">
        <v>466</v>
      </c>
      <c r="J705" t="s">
        <v>467</v>
      </c>
      <c r="K705">
        <v>3</v>
      </c>
    </row>
    <row r="706" spans="1:11" x14ac:dyDescent="0.25">
      <c r="A706" t="s">
        <v>561</v>
      </c>
      <c r="B706">
        <v>577.78111669676457</v>
      </c>
      <c r="C706">
        <v>36.348048274196785</v>
      </c>
      <c r="D706">
        <v>4</v>
      </c>
      <c r="E706">
        <v>2050</v>
      </c>
      <c r="F706" t="s">
        <v>465</v>
      </c>
      <c r="G706">
        <v>1.0813952504256958</v>
      </c>
      <c r="H706">
        <v>31.382921509627664</v>
      </c>
      <c r="I706" t="s">
        <v>466</v>
      </c>
      <c r="J706" t="s">
        <v>467</v>
      </c>
      <c r="K706">
        <v>4</v>
      </c>
    </row>
    <row r="707" spans="1:11" x14ac:dyDescent="0.25">
      <c r="A707" t="s">
        <v>562</v>
      </c>
      <c r="B707">
        <v>694.80959937166904</v>
      </c>
      <c r="C707">
        <v>41.736822108930063</v>
      </c>
      <c r="D707">
        <v>4</v>
      </c>
      <c r="E707">
        <v>2050</v>
      </c>
      <c r="F707" t="s">
        <v>465</v>
      </c>
      <c r="G707">
        <v>1.0813952504256958</v>
      </c>
      <c r="H707">
        <v>31.382921509627664</v>
      </c>
      <c r="I707" t="s">
        <v>466</v>
      </c>
      <c r="J707" t="s">
        <v>467</v>
      </c>
      <c r="K707">
        <v>5</v>
      </c>
    </row>
    <row r="708" spans="1:11" x14ac:dyDescent="0.25">
      <c r="A708" t="s">
        <v>563</v>
      </c>
      <c r="B708">
        <v>614.3255979017315</v>
      </c>
      <c r="C708">
        <v>38.106638550842881</v>
      </c>
      <c r="D708">
        <v>4</v>
      </c>
      <c r="E708">
        <v>2050</v>
      </c>
      <c r="F708" t="s">
        <v>465</v>
      </c>
      <c r="G708">
        <v>1.0813952504256958</v>
      </c>
      <c r="H708">
        <v>31.382921509627664</v>
      </c>
      <c r="I708" t="s">
        <v>466</v>
      </c>
      <c r="J708" t="s">
        <v>467</v>
      </c>
      <c r="K708">
        <v>6</v>
      </c>
    </row>
    <row r="709" spans="1:11" x14ac:dyDescent="0.25">
      <c r="A709" t="s">
        <v>557</v>
      </c>
      <c r="B709">
        <v>387.02650726730531</v>
      </c>
      <c r="C709">
        <v>25.16945784074127</v>
      </c>
      <c r="D709">
        <v>4</v>
      </c>
      <c r="E709">
        <v>2050</v>
      </c>
      <c r="F709" t="s">
        <v>465</v>
      </c>
      <c r="G709">
        <v>3.6073712931005293</v>
      </c>
      <c r="H709">
        <v>26.898377542051122</v>
      </c>
      <c r="I709" t="s">
        <v>466</v>
      </c>
      <c r="J709" t="s">
        <v>468</v>
      </c>
      <c r="K709">
        <v>0</v>
      </c>
    </row>
    <row r="710" spans="1:11" x14ac:dyDescent="0.25">
      <c r="A710" t="s">
        <v>558</v>
      </c>
      <c r="B710">
        <v>530.32666120656449</v>
      </c>
      <c r="C710">
        <v>35.066984709753456</v>
      </c>
      <c r="D710">
        <v>4</v>
      </c>
      <c r="E710">
        <v>2050</v>
      </c>
      <c r="F710" t="s">
        <v>465</v>
      </c>
      <c r="G710">
        <v>3.6073712931005293</v>
      </c>
      <c r="H710">
        <v>26.898377542051122</v>
      </c>
      <c r="I710" t="s">
        <v>466</v>
      </c>
      <c r="J710" t="s">
        <v>468</v>
      </c>
      <c r="K710">
        <v>1</v>
      </c>
    </row>
    <row r="711" spans="1:11" x14ac:dyDescent="0.25">
      <c r="A711" t="s">
        <v>559</v>
      </c>
      <c r="B711">
        <v>708.57431588322652</v>
      </c>
      <c r="C711">
        <v>43.524359002346912</v>
      </c>
      <c r="D711">
        <v>4</v>
      </c>
      <c r="E711">
        <v>2050</v>
      </c>
      <c r="F711" t="s">
        <v>465</v>
      </c>
      <c r="G711">
        <v>3.6073712931005293</v>
      </c>
      <c r="H711">
        <v>26.898377542051122</v>
      </c>
      <c r="I711" t="s">
        <v>466</v>
      </c>
      <c r="J711" t="s">
        <v>468</v>
      </c>
      <c r="K711">
        <v>2</v>
      </c>
    </row>
    <row r="712" spans="1:11" x14ac:dyDescent="0.25">
      <c r="A712" t="s">
        <v>560</v>
      </c>
      <c r="B712">
        <v>553.57533834797528</v>
      </c>
      <c r="C712">
        <v>34.679195686255326</v>
      </c>
      <c r="D712">
        <v>4</v>
      </c>
      <c r="E712">
        <v>2050</v>
      </c>
      <c r="F712" t="s">
        <v>465</v>
      </c>
      <c r="G712">
        <v>3.6073712931005293</v>
      </c>
      <c r="H712">
        <v>26.898377542051122</v>
      </c>
      <c r="I712" t="s">
        <v>466</v>
      </c>
      <c r="J712" t="s">
        <v>468</v>
      </c>
      <c r="K712">
        <v>3</v>
      </c>
    </row>
    <row r="713" spans="1:11" x14ac:dyDescent="0.25">
      <c r="A713" t="s">
        <v>561</v>
      </c>
      <c r="B713">
        <v>566.15322699967055</v>
      </c>
      <c r="C713">
        <v>36.163495453479811</v>
      </c>
      <c r="D713">
        <v>4</v>
      </c>
      <c r="E713">
        <v>2050</v>
      </c>
      <c r="F713" t="s">
        <v>465</v>
      </c>
      <c r="G713">
        <v>3.6073712931005293</v>
      </c>
      <c r="H713">
        <v>26.898377542051122</v>
      </c>
      <c r="I713" t="s">
        <v>466</v>
      </c>
      <c r="J713" t="s">
        <v>468</v>
      </c>
      <c r="K713">
        <v>4</v>
      </c>
    </row>
    <row r="714" spans="1:11" x14ac:dyDescent="0.25">
      <c r="A714" t="s">
        <v>562</v>
      </c>
      <c r="B714">
        <v>678.93948396097039</v>
      </c>
      <c r="C714">
        <v>41.899762223517946</v>
      </c>
      <c r="D714">
        <v>4</v>
      </c>
      <c r="E714">
        <v>2050</v>
      </c>
      <c r="F714" t="s">
        <v>465</v>
      </c>
      <c r="G714">
        <v>3.6073712931005293</v>
      </c>
      <c r="H714">
        <v>26.898377542051122</v>
      </c>
      <c r="I714" t="s">
        <v>466</v>
      </c>
      <c r="J714" t="s">
        <v>468</v>
      </c>
      <c r="K714">
        <v>5</v>
      </c>
    </row>
    <row r="715" spans="1:11" x14ac:dyDescent="0.25">
      <c r="A715" t="s">
        <v>563</v>
      </c>
      <c r="B715">
        <v>605.24528729147278</v>
      </c>
      <c r="C715">
        <v>37.932965787358825</v>
      </c>
      <c r="D715">
        <v>4</v>
      </c>
      <c r="E715">
        <v>2050</v>
      </c>
      <c r="F715" t="s">
        <v>465</v>
      </c>
      <c r="G715">
        <v>3.6073712931005293</v>
      </c>
      <c r="H715">
        <v>26.898377542051122</v>
      </c>
      <c r="I715" t="s">
        <v>466</v>
      </c>
      <c r="J715" t="s">
        <v>468</v>
      </c>
      <c r="K715">
        <v>6</v>
      </c>
    </row>
    <row r="716" spans="1:11" x14ac:dyDescent="0.25">
      <c r="A716" t="s">
        <v>557</v>
      </c>
      <c r="B716">
        <v>429.17691878415457</v>
      </c>
      <c r="C716">
        <v>28.190609995795917</v>
      </c>
      <c r="D716">
        <v>4</v>
      </c>
      <c r="E716">
        <v>2050</v>
      </c>
      <c r="F716" t="s">
        <v>465</v>
      </c>
      <c r="G716">
        <v>1.1516224059331899</v>
      </c>
      <c r="H716">
        <v>33.535764740914544</v>
      </c>
      <c r="I716" t="s">
        <v>469</v>
      </c>
      <c r="J716" t="s">
        <v>467</v>
      </c>
      <c r="K716">
        <v>0</v>
      </c>
    </row>
    <row r="717" spans="1:11" x14ac:dyDescent="0.25">
      <c r="A717" t="s">
        <v>558</v>
      </c>
      <c r="B717">
        <v>515.31316269489048</v>
      </c>
      <c r="C717">
        <v>33.807544510441815</v>
      </c>
      <c r="D717">
        <v>4</v>
      </c>
      <c r="E717">
        <v>2050</v>
      </c>
      <c r="F717" t="s">
        <v>465</v>
      </c>
      <c r="G717">
        <v>1.1516224059331899</v>
      </c>
      <c r="H717">
        <v>33.535764740914544</v>
      </c>
      <c r="I717" t="s">
        <v>469</v>
      </c>
      <c r="J717" t="s">
        <v>467</v>
      </c>
      <c r="K717">
        <v>1</v>
      </c>
    </row>
    <row r="718" spans="1:11" x14ac:dyDescent="0.25">
      <c r="A718" t="s">
        <v>559</v>
      </c>
      <c r="B718">
        <v>619.139629154315</v>
      </c>
      <c r="C718">
        <v>36.704376059925877</v>
      </c>
      <c r="D718">
        <v>4</v>
      </c>
      <c r="E718">
        <v>2050</v>
      </c>
      <c r="F718" t="s">
        <v>465</v>
      </c>
      <c r="G718">
        <v>1.1516224059331899</v>
      </c>
      <c r="H718">
        <v>33.535764740914544</v>
      </c>
      <c r="I718" t="s">
        <v>469</v>
      </c>
      <c r="J718" t="s">
        <v>467</v>
      </c>
      <c r="K718">
        <v>2</v>
      </c>
    </row>
    <row r="719" spans="1:11" x14ac:dyDescent="0.25">
      <c r="A719" t="s">
        <v>560</v>
      </c>
      <c r="B719">
        <v>476.88434244379613</v>
      </c>
      <c r="C719">
        <v>29.381404146432345</v>
      </c>
      <c r="D719">
        <v>4</v>
      </c>
      <c r="E719">
        <v>2050</v>
      </c>
      <c r="F719" t="s">
        <v>465</v>
      </c>
      <c r="G719">
        <v>1.1516224059331899</v>
      </c>
      <c r="H719">
        <v>33.535764740914544</v>
      </c>
      <c r="I719" t="s">
        <v>469</v>
      </c>
      <c r="J719" t="s">
        <v>467</v>
      </c>
      <c r="K719">
        <v>3</v>
      </c>
    </row>
    <row r="720" spans="1:11" x14ac:dyDescent="0.25">
      <c r="A720" t="s">
        <v>561</v>
      </c>
      <c r="B720">
        <v>574.04665828059478</v>
      </c>
      <c r="C720">
        <v>36.122708690001815</v>
      </c>
      <c r="D720">
        <v>4</v>
      </c>
      <c r="E720">
        <v>2050</v>
      </c>
      <c r="F720" t="s">
        <v>465</v>
      </c>
      <c r="G720">
        <v>1.1516224059331899</v>
      </c>
      <c r="H720">
        <v>33.535764740914544</v>
      </c>
      <c r="I720" t="s">
        <v>469</v>
      </c>
      <c r="J720" t="s">
        <v>467</v>
      </c>
      <c r="K720">
        <v>4</v>
      </c>
    </row>
    <row r="721" spans="1:11" x14ac:dyDescent="0.25">
      <c r="A721" t="s">
        <v>562</v>
      </c>
      <c r="B721">
        <v>708.53702995739729</v>
      </c>
      <c r="C721">
        <v>41.406500658726152</v>
      </c>
      <c r="D721">
        <v>4</v>
      </c>
      <c r="E721">
        <v>2050</v>
      </c>
      <c r="F721" t="s">
        <v>465</v>
      </c>
      <c r="G721">
        <v>1.1516224059331899</v>
      </c>
      <c r="H721">
        <v>33.535764740914544</v>
      </c>
      <c r="I721" t="s">
        <v>469</v>
      </c>
      <c r="J721" t="s">
        <v>467</v>
      </c>
      <c r="K721">
        <v>5</v>
      </c>
    </row>
    <row r="722" spans="1:11" x14ac:dyDescent="0.25">
      <c r="A722" t="s">
        <v>563</v>
      </c>
      <c r="B722">
        <v>612.65427076464346</v>
      </c>
      <c r="C722">
        <v>36.690446434031827</v>
      </c>
      <c r="D722">
        <v>4</v>
      </c>
      <c r="E722">
        <v>2050</v>
      </c>
      <c r="F722" t="s">
        <v>465</v>
      </c>
      <c r="G722">
        <v>1.1516224059331899</v>
      </c>
      <c r="H722">
        <v>33.535764740914544</v>
      </c>
      <c r="I722" t="s">
        <v>469</v>
      </c>
      <c r="J722" t="s">
        <v>467</v>
      </c>
      <c r="K722">
        <v>6</v>
      </c>
    </row>
    <row r="723" spans="1:11" x14ac:dyDescent="0.25">
      <c r="A723" t="s">
        <v>557</v>
      </c>
      <c r="B723">
        <v>420.19250333869644</v>
      </c>
      <c r="C723">
        <v>27.56468853100133</v>
      </c>
      <c r="D723">
        <v>4</v>
      </c>
      <c r="E723">
        <v>2050</v>
      </c>
      <c r="F723" t="s">
        <v>465</v>
      </c>
      <c r="G723">
        <v>2.3348917113282037</v>
      </c>
      <c r="H723">
        <v>33.533861509832633</v>
      </c>
      <c r="I723" t="s">
        <v>469</v>
      </c>
      <c r="J723" t="s">
        <v>468</v>
      </c>
      <c r="K723">
        <v>0</v>
      </c>
    </row>
    <row r="724" spans="1:11" x14ac:dyDescent="0.25">
      <c r="A724" t="s">
        <v>558</v>
      </c>
      <c r="B724">
        <v>521.53238291498656</v>
      </c>
      <c r="C724">
        <v>35.170294470313699</v>
      </c>
      <c r="D724">
        <v>4</v>
      </c>
      <c r="E724">
        <v>2050</v>
      </c>
      <c r="F724" t="s">
        <v>465</v>
      </c>
      <c r="G724">
        <v>2.3348917113282037</v>
      </c>
      <c r="H724">
        <v>33.533861509832633</v>
      </c>
      <c r="I724" t="s">
        <v>469</v>
      </c>
      <c r="J724" t="s">
        <v>468</v>
      </c>
      <c r="K724">
        <v>1</v>
      </c>
    </row>
    <row r="725" spans="1:11" x14ac:dyDescent="0.25">
      <c r="A725" t="s">
        <v>559</v>
      </c>
      <c r="B725">
        <v>677.20981097148672</v>
      </c>
      <c r="C725">
        <v>38.822635446544417</v>
      </c>
      <c r="D725">
        <v>4</v>
      </c>
      <c r="E725">
        <v>2050</v>
      </c>
      <c r="F725" t="s">
        <v>465</v>
      </c>
      <c r="G725">
        <v>2.3348917113282037</v>
      </c>
      <c r="H725">
        <v>33.533861509832633</v>
      </c>
      <c r="I725" t="s">
        <v>469</v>
      </c>
      <c r="J725" t="s">
        <v>468</v>
      </c>
      <c r="K725">
        <v>2</v>
      </c>
    </row>
    <row r="726" spans="1:11" x14ac:dyDescent="0.25">
      <c r="A726" t="s">
        <v>560</v>
      </c>
      <c r="B726">
        <v>567.98970802970814</v>
      </c>
      <c r="C726">
        <v>33.753493013464961</v>
      </c>
      <c r="D726">
        <v>4</v>
      </c>
      <c r="E726">
        <v>2050</v>
      </c>
      <c r="F726" t="s">
        <v>465</v>
      </c>
      <c r="G726">
        <v>2.3348917113282037</v>
      </c>
      <c r="H726">
        <v>33.533861509832633</v>
      </c>
      <c r="I726" t="s">
        <v>469</v>
      </c>
      <c r="J726" t="s">
        <v>468</v>
      </c>
      <c r="K726">
        <v>3</v>
      </c>
    </row>
    <row r="727" spans="1:11" x14ac:dyDescent="0.25">
      <c r="A727" t="s">
        <v>561</v>
      </c>
      <c r="B727">
        <v>542.57141984463817</v>
      </c>
      <c r="C727">
        <v>34.992101020763812</v>
      </c>
      <c r="D727">
        <v>4</v>
      </c>
      <c r="E727">
        <v>2050</v>
      </c>
      <c r="F727" t="s">
        <v>465</v>
      </c>
      <c r="G727">
        <v>2.3348917113282037</v>
      </c>
      <c r="H727">
        <v>33.533861509832633</v>
      </c>
      <c r="I727" t="s">
        <v>469</v>
      </c>
      <c r="J727" t="s">
        <v>468</v>
      </c>
      <c r="K727">
        <v>4</v>
      </c>
    </row>
    <row r="728" spans="1:11" x14ac:dyDescent="0.25">
      <c r="A728" t="s">
        <v>562</v>
      </c>
      <c r="B728">
        <v>670.38417251663134</v>
      </c>
      <c r="C728">
        <v>38.531886627543457</v>
      </c>
      <c r="D728">
        <v>4</v>
      </c>
      <c r="E728">
        <v>2050</v>
      </c>
      <c r="F728" t="s">
        <v>465</v>
      </c>
      <c r="G728">
        <v>2.3348917113282037</v>
      </c>
      <c r="H728">
        <v>33.533861509832633</v>
      </c>
      <c r="I728" t="s">
        <v>469</v>
      </c>
      <c r="J728" t="s">
        <v>468</v>
      </c>
      <c r="K728">
        <v>5</v>
      </c>
    </row>
    <row r="729" spans="1:11" x14ac:dyDescent="0.25">
      <c r="A729" t="s">
        <v>563</v>
      </c>
      <c r="B729">
        <v>597.49052109159391</v>
      </c>
      <c r="C729">
        <v>35.770986093561788</v>
      </c>
      <c r="D729">
        <v>4</v>
      </c>
      <c r="E729">
        <v>2050</v>
      </c>
      <c r="F729" t="s">
        <v>465</v>
      </c>
      <c r="G729">
        <v>2.3348917113282037</v>
      </c>
      <c r="H729">
        <v>33.533861509832633</v>
      </c>
      <c r="I729" t="s">
        <v>469</v>
      </c>
      <c r="J729" t="s">
        <v>468</v>
      </c>
      <c r="K729">
        <v>6</v>
      </c>
    </row>
    <row r="730" spans="1:11" x14ac:dyDescent="0.25">
      <c r="A730" t="s">
        <v>557</v>
      </c>
      <c r="B730">
        <v>79064.377851154961</v>
      </c>
      <c r="C730">
        <v>6364.0106579850863</v>
      </c>
      <c r="D730">
        <v>4</v>
      </c>
      <c r="E730">
        <v>2035</v>
      </c>
      <c r="F730" t="s">
        <v>470</v>
      </c>
      <c r="G730">
        <v>0.94216157665202194</v>
      </c>
      <c r="H730">
        <v>31.535007936633548</v>
      </c>
      <c r="I730" t="s">
        <v>466</v>
      </c>
      <c r="J730" t="s">
        <v>467</v>
      </c>
      <c r="K730">
        <v>0</v>
      </c>
    </row>
    <row r="731" spans="1:11" x14ac:dyDescent="0.25">
      <c r="A731" t="s">
        <v>558</v>
      </c>
      <c r="B731">
        <v>509.27957241328824</v>
      </c>
      <c r="C731">
        <v>33.534031648296335</v>
      </c>
      <c r="D731">
        <v>4</v>
      </c>
      <c r="E731">
        <v>2035</v>
      </c>
      <c r="F731" t="s">
        <v>470</v>
      </c>
      <c r="G731">
        <v>0.94216157665202194</v>
      </c>
      <c r="H731">
        <v>31.535007936633548</v>
      </c>
      <c r="I731" t="s">
        <v>466</v>
      </c>
      <c r="J731" t="s">
        <v>467</v>
      </c>
      <c r="K731">
        <v>1</v>
      </c>
    </row>
    <row r="732" spans="1:11" x14ac:dyDescent="0.25">
      <c r="A732" t="s">
        <v>559</v>
      </c>
      <c r="B732">
        <v>645.1266465012294</v>
      </c>
      <c r="C732">
        <v>38.529308289344669</v>
      </c>
      <c r="D732">
        <v>4</v>
      </c>
      <c r="E732">
        <v>2035</v>
      </c>
      <c r="F732" t="s">
        <v>470</v>
      </c>
      <c r="G732">
        <v>0.94216157665202194</v>
      </c>
      <c r="H732">
        <v>31.535007936633548</v>
      </c>
      <c r="I732" t="s">
        <v>466</v>
      </c>
      <c r="J732" t="s">
        <v>467</v>
      </c>
      <c r="K732">
        <v>2</v>
      </c>
    </row>
    <row r="733" spans="1:11" x14ac:dyDescent="0.25">
      <c r="A733" t="s">
        <v>560</v>
      </c>
      <c r="B733">
        <v>596.6573648513488</v>
      </c>
      <c r="C733">
        <v>37.232332375567367</v>
      </c>
      <c r="D733">
        <v>4</v>
      </c>
      <c r="E733">
        <v>2035</v>
      </c>
      <c r="F733" t="s">
        <v>470</v>
      </c>
      <c r="G733">
        <v>0.94216157665202194</v>
      </c>
      <c r="H733">
        <v>31.535007936633548</v>
      </c>
      <c r="I733" t="s">
        <v>466</v>
      </c>
      <c r="J733" t="s">
        <v>467</v>
      </c>
      <c r="K733">
        <v>3</v>
      </c>
    </row>
    <row r="734" spans="1:11" x14ac:dyDescent="0.25">
      <c r="A734" t="s">
        <v>561</v>
      </c>
      <c r="B734">
        <v>566.9739350384599</v>
      </c>
      <c r="C734">
        <v>34.63764708904872</v>
      </c>
      <c r="D734">
        <v>4</v>
      </c>
      <c r="E734">
        <v>2035</v>
      </c>
      <c r="F734" t="s">
        <v>470</v>
      </c>
      <c r="G734">
        <v>0.94216157665202194</v>
      </c>
      <c r="H734">
        <v>31.535007936633548</v>
      </c>
      <c r="I734" t="s">
        <v>466</v>
      </c>
      <c r="J734" t="s">
        <v>467</v>
      </c>
      <c r="K734">
        <v>4</v>
      </c>
    </row>
    <row r="735" spans="1:11" x14ac:dyDescent="0.25">
      <c r="A735" t="s">
        <v>562</v>
      </c>
      <c r="B735">
        <v>687.88378506938784</v>
      </c>
      <c r="C735">
        <v>41.068900203161469</v>
      </c>
      <c r="D735">
        <v>4</v>
      </c>
      <c r="E735">
        <v>2035</v>
      </c>
      <c r="F735" t="s">
        <v>470</v>
      </c>
      <c r="G735">
        <v>0.94216157665202194</v>
      </c>
      <c r="H735">
        <v>31.535007936633548</v>
      </c>
      <c r="I735" t="s">
        <v>466</v>
      </c>
      <c r="J735" t="s">
        <v>467</v>
      </c>
      <c r="K735">
        <v>5</v>
      </c>
    </row>
    <row r="736" spans="1:11" x14ac:dyDescent="0.25">
      <c r="A736" t="s">
        <v>563</v>
      </c>
      <c r="B736">
        <v>583.86842978011202</v>
      </c>
      <c r="C736">
        <v>36.713989365548628</v>
      </c>
      <c r="D736">
        <v>4</v>
      </c>
      <c r="E736">
        <v>2035</v>
      </c>
      <c r="F736" t="s">
        <v>470</v>
      </c>
      <c r="G736">
        <v>0.94216157665202194</v>
      </c>
      <c r="H736">
        <v>31.535007936633548</v>
      </c>
      <c r="I736" t="s">
        <v>466</v>
      </c>
      <c r="J736" t="s">
        <v>467</v>
      </c>
      <c r="K736">
        <v>6</v>
      </c>
    </row>
    <row r="737" spans="1:11" x14ac:dyDescent="0.25">
      <c r="A737" t="s">
        <v>557</v>
      </c>
      <c r="B737">
        <v>391.38545839893806</v>
      </c>
      <c r="C737">
        <v>25.627528555580319</v>
      </c>
      <c r="D737">
        <v>4</v>
      </c>
      <c r="E737">
        <v>2035</v>
      </c>
      <c r="F737" t="s">
        <v>470</v>
      </c>
      <c r="G737">
        <v>2.5482849791779518</v>
      </c>
      <c r="H737">
        <v>29.290856681908622</v>
      </c>
      <c r="I737" t="s">
        <v>466</v>
      </c>
      <c r="J737" t="s">
        <v>468</v>
      </c>
      <c r="K737">
        <v>0</v>
      </c>
    </row>
    <row r="738" spans="1:11" x14ac:dyDescent="0.25">
      <c r="A738" t="s">
        <v>558</v>
      </c>
      <c r="B738">
        <v>510.24631581180063</v>
      </c>
      <c r="C738">
        <v>33.904151113584547</v>
      </c>
      <c r="D738">
        <v>4</v>
      </c>
      <c r="E738">
        <v>2035</v>
      </c>
      <c r="F738" t="s">
        <v>470</v>
      </c>
      <c r="G738">
        <v>2.5482849791779518</v>
      </c>
      <c r="H738">
        <v>29.290856681908622</v>
      </c>
      <c r="I738" t="s">
        <v>466</v>
      </c>
      <c r="J738" t="s">
        <v>468</v>
      </c>
      <c r="K738">
        <v>1</v>
      </c>
    </row>
    <row r="739" spans="1:11" x14ac:dyDescent="0.25">
      <c r="A739" t="s">
        <v>559</v>
      </c>
      <c r="B739">
        <v>657.68664250227778</v>
      </c>
      <c r="C739">
        <v>38.933677163600436</v>
      </c>
      <c r="D739">
        <v>4</v>
      </c>
      <c r="E739">
        <v>2035</v>
      </c>
      <c r="F739" t="s">
        <v>470</v>
      </c>
      <c r="G739">
        <v>2.5482849791779518</v>
      </c>
      <c r="H739">
        <v>29.290856681908622</v>
      </c>
      <c r="I739" t="s">
        <v>466</v>
      </c>
      <c r="J739" t="s">
        <v>468</v>
      </c>
      <c r="K739">
        <v>2</v>
      </c>
    </row>
    <row r="740" spans="1:11" x14ac:dyDescent="0.25">
      <c r="A740" t="s">
        <v>560</v>
      </c>
      <c r="B740">
        <v>601.76751030277887</v>
      </c>
      <c r="C740">
        <v>36.580009943757766</v>
      </c>
      <c r="D740">
        <v>4</v>
      </c>
      <c r="E740">
        <v>2035</v>
      </c>
      <c r="F740" t="s">
        <v>470</v>
      </c>
      <c r="G740">
        <v>2.5482849791779518</v>
      </c>
      <c r="H740">
        <v>29.290856681908622</v>
      </c>
      <c r="I740" t="s">
        <v>466</v>
      </c>
      <c r="J740" t="s">
        <v>468</v>
      </c>
      <c r="K740">
        <v>3</v>
      </c>
    </row>
    <row r="741" spans="1:11" x14ac:dyDescent="0.25">
      <c r="A741" t="s">
        <v>561</v>
      </c>
      <c r="B741">
        <v>544.27168728027982</v>
      </c>
      <c r="C741">
        <v>35.02047048482013</v>
      </c>
      <c r="D741">
        <v>4</v>
      </c>
      <c r="E741">
        <v>2035</v>
      </c>
      <c r="F741" t="s">
        <v>470</v>
      </c>
      <c r="G741">
        <v>2.5482849791779518</v>
      </c>
      <c r="H741">
        <v>29.290856681908622</v>
      </c>
      <c r="I741" t="s">
        <v>466</v>
      </c>
      <c r="J741" t="s">
        <v>468</v>
      </c>
      <c r="K741">
        <v>4</v>
      </c>
    </row>
    <row r="742" spans="1:11" x14ac:dyDescent="0.25">
      <c r="A742" t="s">
        <v>562</v>
      </c>
      <c r="B742">
        <v>669.18637721125674</v>
      </c>
      <c r="C742">
        <v>40.06320755143922</v>
      </c>
      <c r="D742">
        <v>4</v>
      </c>
      <c r="E742">
        <v>2035</v>
      </c>
      <c r="F742" t="s">
        <v>470</v>
      </c>
      <c r="G742">
        <v>2.5482849791779518</v>
      </c>
      <c r="H742">
        <v>29.290856681908622</v>
      </c>
      <c r="I742" t="s">
        <v>466</v>
      </c>
      <c r="J742" t="s">
        <v>468</v>
      </c>
      <c r="K742">
        <v>5</v>
      </c>
    </row>
    <row r="743" spans="1:11" x14ac:dyDescent="0.25">
      <c r="A743" t="s">
        <v>563</v>
      </c>
      <c r="B743">
        <v>605.52471906660037</v>
      </c>
      <c r="C743">
        <v>37.159091912186383</v>
      </c>
      <c r="D743">
        <v>4</v>
      </c>
      <c r="E743">
        <v>2035</v>
      </c>
      <c r="F743" t="s">
        <v>470</v>
      </c>
      <c r="G743">
        <v>2.5482849791779518</v>
      </c>
      <c r="H743">
        <v>29.290856681908622</v>
      </c>
      <c r="I743" t="s">
        <v>466</v>
      </c>
      <c r="J743" t="s">
        <v>468</v>
      </c>
      <c r="K743">
        <v>6</v>
      </c>
    </row>
    <row r="744" spans="1:11" x14ac:dyDescent="0.25">
      <c r="A744" t="s">
        <v>557</v>
      </c>
      <c r="B744">
        <v>404.04129360078667</v>
      </c>
      <c r="C744">
        <v>26.609203134514281</v>
      </c>
      <c r="D744">
        <v>4</v>
      </c>
      <c r="E744">
        <v>2035</v>
      </c>
      <c r="F744" t="s">
        <v>470</v>
      </c>
      <c r="G744">
        <v>1.1330799371268667</v>
      </c>
      <c r="H744">
        <v>33.944107662189992</v>
      </c>
      <c r="I744" t="s">
        <v>469</v>
      </c>
      <c r="J744" t="s">
        <v>467</v>
      </c>
      <c r="K744">
        <v>0</v>
      </c>
    </row>
    <row r="745" spans="1:11" x14ac:dyDescent="0.25">
      <c r="A745" t="s">
        <v>558</v>
      </c>
      <c r="B745">
        <v>506.64112006352133</v>
      </c>
      <c r="C745">
        <v>33.642260179111361</v>
      </c>
      <c r="D745">
        <v>4</v>
      </c>
      <c r="E745">
        <v>2035</v>
      </c>
      <c r="F745" t="s">
        <v>470</v>
      </c>
      <c r="G745">
        <v>1.1330799371268667</v>
      </c>
      <c r="H745">
        <v>33.944107662189992</v>
      </c>
      <c r="I745" t="s">
        <v>469</v>
      </c>
      <c r="J745" t="s">
        <v>467</v>
      </c>
      <c r="K745">
        <v>1</v>
      </c>
    </row>
    <row r="746" spans="1:11" x14ac:dyDescent="0.25">
      <c r="A746" t="s">
        <v>559</v>
      </c>
      <c r="B746">
        <v>600.3752010956872</v>
      </c>
      <c r="C746">
        <v>34.648511215646948</v>
      </c>
      <c r="D746">
        <v>4</v>
      </c>
      <c r="E746">
        <v>2035</v>
      </c>
      <c r="F746" t="s">
        <v>470</v>
      </c>
      <c r="G746">
        <v>1.1330799371268667</v>
      </c>
      <c r="H746">
        <v>33.944107662189992</v>
      </c>
      <c r="I746" t="s">
        <v>469</v>
      </c>
      <c r="J746" t="s">
        <v>467</v>
      </c>
      <c r="K746">
        <v>2</v>
      </c>
    </row>
    <row r="747" spans="1:11" x14ac:dyDescent="0.25">
      <c r="A747" t="s">
        <v>560</v>
      </c>
      <c r="B747">
        <v>580.58307519481934</v>
      </c>
      <c r="C747">
        <v>34.803172229449792</v>
      </c>
      <c r="D747">
        <v>4</v>
      </c>
      <c r="E747">
        <v>2035</v>
      </c>
      <c r="F747" t="s">
        <v>470</v>
      </c>
      <c r="G747">
        <v>1.1330799371268667</v>
      </c>
      <c r="H747">
        <v>33.944107662189992</v>
      </c>
      <c r="I747" t="s">
        <v>469</v>
      </c>
      <c r="J747" t="s">
        <v>467</v>
      </c>
      <c r="K747">
        <v>3</v>
      </c>
    </row>
    <row r="748" spans="1:11" x14ac:dyDescent="0.25">
      <c r="A748" t="s">
        <v>561</v>
      </c>
      <c r="B748">
        <v>549.94554062264274</v>
      </c>
      <c r="C748">
        <v>34.130652001977666</v>
      </c>
      <c r="D748">
        <v>4</v>
      </c>
      <c r="E748">
        <v>2035</v>
      </c>
      <c r="F748" t="s">
        <v>470</v>
      </c>
      <c r="G748">
        <v>1.1330799371268667</v>
      </c>
      <c r="H748">
        <v>33.944107662189992</v>
      </c>
      <c r="I748" t="s">
        <v>469</v>
      </c>
      <c r="J748" t="s">
        <v>467</v>
      </c>
      <c r="K748">
        <v>4</v>
      </c>
    </row>
    <row r="749" spans="1:11" x14ac:dyDescent="0.25">
      <c r="A749" t="s">
        <v>562</v>
      </c>
      <c r="B749">
        <v>651.95557542578206</v>
      </c>
      <c r="C749">
        <v>37.961796337511856</v>
      </c>
      <c r="D749">
        <v>4</v>
      </c>
      <c r="E749">
        <v>2035</v>
      </c>
      <c r="F749" t="s">
        <v>470</v>
      </c>
      <c r="G749">
        <v>1.1330799371268667</v>
      </c>
      <c r="H749">
        <v>33.944107662189992</v>
      </c>
      <c r="I749" t="s">
        <v>469</v>
      </c>
      <c r="J749" t="s">
        <v>467</v>
      </c>
      <c r="K749">
        <v>5</v>
      </c>
    </row>
    <row r="750" spans="1:11" x14ac:dyDescent="0.25">
      <c r="A750" t="s">
        <v>563</v>
      </c>
      <c r="B750">
        <v>600.57389620709171</v>
      </c>
      <c r="C750">
        <v>36.277604661509244</v>
      </c>
      <c r="D750">
        <v>4</v>
      </c>
      <c r="E750">
        <v>2035</v>
      </c>
      <c r="F750" t="s">
        <v>470</v>
      </c>
      <c r="G750">
        <v>1.1330799371268667</v>
      </c>
      <c r="H750">
        <v>33.944107662189992</v>
      </c>
      <c r="I750" t="s">
        <v>469</v>
      </c>
      <c r="J750" t="s">
        <v>467</v>
      </c>
      <c r="K750">
        <v>6</v>
      </c>
    </row>
    <row r="751" spans="1:11" x14ac:dyDescent="0.25">
      <c r="A751" t="s">
        <v>557</v>
      </c>
      <c r="B751">
        <v>415.92565920017972</v>
      </c>
      <c r="C751">
        <v>27.430804801061921</v>
      </c>
      <c r="D751">
        <v>4</v>
      </c>
      <c r="E751">
        <v>2035</v>
      </c>
      <c r="F751" t="s">
        <v>470</v>
      </c>
      <c r="G751">
        <v>2.1377869634693059</v>
      </c>
      <c r="H751">
        <v>33.942182113474928</v>
      </c>
      <c r="I751" t="s">
        <v>469</v>
      </c>
      <c r="J751" t="s">
        <v>468</v>
      </c>
      <c r="K751">
        <v>0</v>
      </c>
    </row>
    <row r="752" spans="1:11" x14ac:dyDescent="0.25">
      <c r="A752" t="s">
        <v>558</v>
      </c>
      <c r="B752">
        <v>488.32955033583778</v>
      </c>
      <c r="C752">
        <v>32.731490102531467</v>
      </c>
      <c r="D752">
        <v>4</v>
      </c>
      <c r="E752">
        <v>2035</v>
      </c>
      <c r="F752" t="s">
        <v>470</v>
      </c>
      <c r="G752">
        <v>2.1377869634693059</v>
      </c>
      <c r="H752">
        <v>33.942182113474928</v>
      </c>
      <c r="I752" t="s">
        <v>469</v>
      </c>
      <c r="J752" t="s">
        <v>468</v>
      </c>
      <c r="K752">
        <v>1</v>
      </c>
    </row>
    <row r="753" spans="1:11" x14ac:dyDescent="0.25">
      <c r="A753" t="s">
        <v>559</v>
      </c>
      <c r="B753">
        <v>637.54087175679661</v>
      </c>
      <c r="C753">
        <v>35.41387489117983</v>
      </c>
      <c r="D753">
        <v>4</v>
      </c>
      <c r="E753">
        <v>2035</v>
      </c>
      <c r="F753" t="s">
        <v>470</v>
      </c>
      <c r="G753">
        <v>2.1377869634693059</v>
      </c>
      <c r="H753">
        <v>33.942182113474928</v>
      </c>
      <c r="I753" t="s">
        <v>469</v>
      </c>
      <c r="J753" t="s">
        <v>468</v>
      </c>
      <c r="K753">
        <v>2</v>
      </c>
    </row>
    <row r="754" spans="1:11" x14ac:dyDescent="0.25">
      <c r="A754" t="s">
        <v>560</v>
      </c>
      <c r="B754">
        <v>574.41594522130299</v>
      </c>
      <c r="C754">
        <v>33.733414916501886</v>
      </c>
      <c r="D754">
        <v>4</v>
      </c>
      <c r="E754">
        <v>2035</v>
      </c>
      <c r="F754" t="s">
        <v>470</v>
      </c>
      <c r="G754">
        <v>2.1377869634693059</v>
      </c>
      <c r="H754">
        <v>33.942182113474928</v>
      </c>
      <c r="I754" t="s">
        <v>469</v>
      </c>
      <c r="J754" t="s">
        <v>468</v>
      </c>
      <c r="K754">
        <v>3</v>
      </c>
    </row>
    <row r="755" spans="1:11" x14ac:dyDescent="0.25">
      <c r="A755" t="s">
        <v>561</v>
      </c>
      <c r="B755">
        <v>545.22209179637946</v>
      </c>
      <c r="C755">
        <v>34.19331289357234</v>
      </c>
      <c r="D755">
        <v>4</v>
      </c>
      <c r="E755">
        <v>2035</v>
      </c>
      <c r="F755" t="s">
        <v>470</v>
      </c>
      <c r="G755">
        <v>2.1377869634693059</v>
      </c>
      <c r="H755">
        <v>33.942182113474928</v>
      </c>
      <c r="I755" t="s">
        <v>469</v>
      </c>
      <c r="J755" t="s">
        <v>468</v>
      </c>
      <c r="K755">
        <v>4</v>
      </c>
    </row>
    <row r="756" spans="1:11" x14ac:dyDescent="0.25">
      <c r="A756" t="s">
        <v>562</v>
      </c>
      <c r="B756">
        <v>634.9049966230707</v>
      </c>
      <c r="C756">
        <v>35.794289833344642</v>
      </c>
      <c r="D756">
        <v>4</v>
      </c>
      <c r="E756">
        <v>2035</v>
      </c>
      <c r="F756" t="s">
        <v>470</v>
      </c>
      <c r="G756">
        <v>2.1377869634693059</v>
      </c>
      <c r="H756">
        <v>33.942182113474928</v>
      </c>
      <c r="I756" t="s">
        <v>469</v>
      </c>
      <c r="J756" t="s">
        <v>468</v>
      </c>
      <c r="K756">
        <v>5</v>
      </c>
    </row>
    <row r="757" spans="1:11" x14ac:dyDescent="0.25">
      <c r="A757" t="s">
        <v>563</v>
      </c>
      <c r="B757">
        <v>570.20573306664346</v>
      </c>
      <c r="C757">
        <v>34.448040518567147</v>
      </c>
      <c r="D757">
        <v>4</v>
      </c>
      <c r="E757">
        <v>2035</v>
      </c>
      <c r="F757" t="s">
        <v>470</v>
      </c>
      <c r="G757">
        <v>2.1377869634693059</v>
      </c>
      <c r="H757">
        <v>33.942182113474928</v>
      </c>
      <c r="I757" t="s">
        <v>469</v>
      </c>
      <c r="J757" t="s">
        <v>468</v>
      </c>
      <c r="K757">
        <v>6</v>
      </c>
    </row>
    <row r="758" spans="1:11" x14ac:dyDescent="0.25">
      <c r="A758" t="s">
        <v>557</v>
      </c>
      <c r="B758">
        <v>391.46799394560799</v>
      </c>
      <c r="C758">
        <v>25.366375025382009</v>
      </c>
      <c r="D758">
        <v>4</v>
      </c>
      <c r="E758">
        <v>2050</v>
      </c>
      <c r="F758" t="s">
        <v>470</v>
      </c>
      <c r="G758">
        <v>1.1335815458655787</v>
      </c>
      <c r="H758">
        <v>26.903864989626157</v>
      </c>
      <c r="I758" t="s">
        <v>466</v>
      </c>
      <c r="J758" t="s">
        <v>467</v>
      </c>
      <c r="K758">
        <v>0</v>
      </c>
    </row>
    <row r="759" spans="1:11" x14ac:dyDescent="0.25">
      <c r="A759" t="s">
        <v>558</v>
      </c>
      <c r="B759">
        <v>472.13437921028361</v>
      </c>
      <c r="C759">
        <v>32.277335148720155</v>
      </c>
      <c r="D759">
        <v>4</v>
      </c>
      <c r="E759">
        <v>2050</v>
      </c>
      <c r="F759" t="s">
        <v>470</v>
      </c>
      <c r="G759">
        <v>1.1335815458655787</v>
      </c>
      <c r="H759">
        <v>26.903864989626157</v>
      </c>
      <c r="I759" t="s">
        <v>466</v>
      </c>
      <c r="J759" t="s">
        <v>467</v>
      </c>
      <c r="K759">
        <v>1</v>
      </c>
    </row>
    <row r="760" spans="1:11" x14ac:dyDescent="0.25">
      <c r="A760" t="s">
        <v>559</v>
      </c>
      <c r="B760">
        <v>661.72418928925504</v>
      </c>
      <c r="C760">
        <v>42.909298669019158</v>
      </c>
      <c r="D760">
        <v>4</v>
      </c>
      <c r="E760">
        <v>2050</v>
      </c>
      <c r="F760" t="s">
        <v>470</v>
      </c>
      <c r="G760">
        <v>1.1335815458655787</v>
      </c>
      <c r="H760">
        <v>26.903864989626157</v>
      </c>
      <c r="I760" t="s">
        <v>466</v>
      </c>
      <c r="J760" t="s">
        <v>467</v>
      </c>
      <c r="K760">
        <v>2</v>
      </c>
    </row>
    <row r="761" spans="1:11" x14ac:dyDescent="0.25">
      <c r="A761" t="s">
        <v>560</v>
      </c>
      <c r="B761">
        <v>530.13691981831698</v>
      </c>
      <c r="C761">
        <v>35.264079507998474</v>
      </c>
      <c r="D761">
        <v>4</v>
      </c>
      <c r="E761">
        <v>2050</v>
      </c>
      <c r="F761" t="s">
        <v>470</v>
      </c>
      <c r="G761">
        <v>1.1335815458655787</v>
      </c>
      <c r="H761">
        <v>26.903864989626157</v>
      </c>
      <c r="I761" t="s">
        <v>466</v>
      </c>
      <c r="J761" t="s">
        <v>467</v>
      </c>
      <c r="K761">
        <v>3</v>
      </c>
    </row>
    <row r="762" spans="1:11" x14ac:dyDescent="0.25">
      <c r="A762" t="s">
        <v>561</v>
      </c>
      <c r="B762">
        <v>537.30041952549493</v>
      </c>
      <c r="C762">
        <v>36.363249312972144</v>
      </c>
      <c r="D762">
        <v>4</v>
      </c>
      <c r="E762">
        <v>2050</v>
      </c>
      <c r="F762" t="s">
        <v>470</v>
      </c>
      <c r="G762">
        <v>1.1335815458655787</v>
      </c>
      <c r="H762">
        <v>26.903864989626157</v>
      </c>
      <c r="I762" t="s">
        <v>466</v>
      </c>
      <c r="J762" t="s">
        <v>467</v>
      </c>
      <c r="K762">
        <v>4</v>
      </c>
    </row>
    <row r="763" spans="1:11" x14ac:dyDescent="0.25">
      <c r="A763" t="s">
        <v>562</v>
      </c>
      <c r="B763">
        <v>676.83468316608548</v>
      </c>
      <c r="C763">
        <v>43.603915419723322</v>
      </c>
      <c r="D763">
        <v>4</v>
      </c>
      <c r="E763">
        <v>2050</v>
      </c>
      <c r="F763" t="s">
        <v>470</v>
      </c>
      <c r="G763">
        <v>1.1335815458655787</v>
      </c>
      <c r="H763">
        <v>26.903864989626157</v>
      </c>
      <c r="I763" t="s">
        <v>466</v>
      </c>
      <c r="J763" t="s">
        <v>467</v>
      </c>
      <c r="K763">
        <v>5</v>
      </c>
    </row>
    <row r="764" spans="1:11" x14ac:dyDescent="0.25">
      <c r="A764" t="s">
        <v>563</v>
      </c>
      <c r="B764">
        <v>598.15448676462495</v>
      </c>
      <c r="C764">
        <v>39.678890510038542</v>
      </c>
      <c r="D764">
        <v>4</v>
      </c>
      <c r="E764">
        <v>2050</v>
      </c>
      <c r="F764" t="s">
        <v>470</v>
      </c>
      <c r="G764">
        <v>1.1335815458655787</v>
      </c>
      <c r="H764">
        <v>26.903864989626157</v>
      </c>
      <c r="I764" t="s">
        <v>466</v>
      </c>
      <c r="J764" t="s">
        <v>467</v>
      </c>
      <c r="K764">
        <v>6</v>
      </c>
    </row>
    <row r="765" spans="1:11" x14ac:dyDescent="0.25">
      <c r="A765" t="s">
        <v>557</v>
      </c>
      <c r="B765">
        <v>358.85479636027168</v>
      </c>
      <c r="C765">
        <v>23.498286783995592</v>
      </c>
      <c r="D765">
        <v>4</v>
      </c>
      <c r="E765">
        <v>2050</v>
      </c>
      <c r="F765" t="s">
        <v>470</v>
      </c>
      <c r="G765">
        <v>3.5381575352211314</v>
      </c>
      <c r="H765">
        <v>26.899839182967298</v>
      </c>
      <c r="I765" t="s">
        <v>466</v>
      </c>
      <c r="J765" t="s">
        <v>468</v>
      </c>
      <c r="K765">
        <v>0</v>
      </c>
    </row>
    <row r="766" spans="1:11" x14ac:dyDescent="0.25">
      <c r="A766" t="s">
        <v>558</v>
      </c>
      <c r="B766">
        <v>473.65264011714447</v>
      </c>
      <c r="C766">
        <v>31.107374319405697</v>
      </c>
      <c r="D766">
        <v>4</v>
      </c>
      <c r="E766">
        <v>2050</v>
      </c>
      <c r="F766" t="s">
        <v>470</v>
      </c>
      <c r="G766">
        <v>3.5381575352211314</v>
      </c>
      <c r="H766">
        <v>26.899839182967298</v>
      </c>
      <c r="I766" t="s">
        <v>466</v>
      </c>
      <c r="J766" t="s">
        <v>468</v>
      </c>
      <c r="K766">
        <v>1</v>
      </c>
    </row>
    <row r="767" spans="1:11" x14ac:dyDescent="0.25">
      <c r="A767" t="s">
        <v>559</v>
      </c>
      <c r="B767">
        <v>650.20796059079942</v>
      </c>
      <c r="C767">
        <v>38.998037062653005</v>
      </c>
      <c r="D767">
        <v>4</v>
      </c>
      <c r="E767">
        <v>2050</v>
      </c>
      <c r="F767" t="s">
        <v>470</v>
      </c>
      <c r="G767">
        <v>3.5381575352211314</v>
      </c>
      <c r="H767">
        <v>26.899839182967298</v>
      </c>
      <c r="I767" t="s">
        <v>466</v>
      </c>
      <c r="J767" t="s">
        <v>468</v>
      </c>
      <c r="K767">
        <v>2</v>
      </c>
    </row>
    <row r="768" spans="1:11" x14ac:dyDescent="0.25">
      <c r="A768" t="s">
        <v>560</v>
      </c>
      <c r="B768">
        <v>577.23490454319574</v>
      </c>
      <c r="C768">
        <v>35.769113816119074</v>
      </c>
      <c r="D768">
        <v>4</v>
      </c>
      <c r="E768">
        <v>2050</v>
      </c>
      <c r="F768" t="s">
        <v>470</v>
      </c>
      <c r="G768">
        <v>3.5381575352211314</v>
      </c>
      <c r="H768">
        <v>26.899839182967298</v>
      </c>
      <c r="I768" t="s">
        <v>466</v>
      </c>
      <c r="J768" t="s">
        <v>468</v>
      </c>
      <c r="K768">
        <v>3</v>
      </c>
    </row>
    <row r="769" spans="1:11" x14ac:dyDescent="0.25">
      <c r="A769" t="s">
        <v>561</v>
      </c>
      <c r="B769">
        <v>487.94318597387007</v>
      </c>
      <c r="C769">
        <v>31.354340978132083</v>
      </c>
      <c r="D769">
        <v>4</v>
      </c>
      <c r="E769">
        <v>2050</v>
      </c>
      <c r="F769" t="s">
        <v>470</v>
      </c>
      <c r="G769">
        <v>3.5381575352211314</v>
      </c>
      <c r="H769">
        <v>26.899839182967298</v>
      </c>
      <c r="I769" t="s">
        <v>466</v>
      </c>
      <c r="J769" t="s">
        <v>468</v>
      </c>
      <c r="K769">
        <v>4</v>
      </c>
    </row>
    <row r="770" spans="1:11" x14ac:dyDescent="0.25">
      <c r="A770" t="s">
        <v>562</v>
      </c>
      <c r="B770">
        <v>690.28828342690224</v>
      </c>
      <c r="C770">
        <v>39.548522694713043</v>
      </c>
      <c r="D770">
        <v>4</v>
      </c>
      <c r="E770">
        <v>2050</v>
      </c>
      <c r="F770" t="s">
        <v>470</v>
      </c>
      <c r="G770">
        <v>3.5381575352211314</v>
      </c>
      <c r="H770">
        <v>26.899839182967298</v>
      </c>
      <c r="I770" t="s">
        <v>466</v>
      </c>
      <c r="J770" t="s">
        <v>468</v>
      </c>
      <c r="K770">
        <v>5</v>
      </c>
    </row>
    <row r="771" spans="1:11" x14ac:dyDescent="0.25">
      <c r="A771" t="s">
        <v>563</v>
      </c>
      <c r="B771">
        <v>581.2502038117043</v>
      </c>
      <c r="C771">
        <v>36.412249423406934</v>
      </c>
      <c r="D771">
        <v>4</v>
      </c>
      <c r="E771">
        <v>2050</v>
      </c>
      <c r="F771" t="s">
        <v>470</v>
      </c>
      <c r="G771">
        <v>3.5381575352211314</v>
      </c>
      <c r="H771">
        <v>26.899839182967298</v>
      </c>
      <c r="I771" t="s">
        <v>466</v>
      </c>
      <c r="J771" t="s">
        <v>468</v>
      </c>
      <c r="K771">
        <v>6</v>
      </c>
    </row>
    <row r="772" spans="1:11" x14ac:dyDescent="0.25">
      <c r="A772" t="s">
        <v>557</v>
      </c>
      <c r="B772">
        <v>414.93655963405121</v>
      </c>
      <c r="C772">
        <v>27.218944609022337</v>
      </c>
      <c r="D772">
        <v>4</v>
      </c>
      <c r="E772">
        <v>2050</v>
      </c>
      <c r="F772" t="s">
        <v>470</v>
      </c>
      <c r="G772">
        <v>1.1162777641523576</v>
      </c>
      <c r="H772">
        <v>33.53334493806841</v>
      </c>
      <c r="I772" t="s">
        <v>469</v>
      </c>
      <c r="J772" t="s">
        <v>467</v>
      </c>
      <c r="K772">
        <v>0</v>
      </c>
    </row>
    <row r="773" spans="1:11" x14ac:dyDescent="0.25">
      <c r="A773" t="s">
        <v>558</v>
      </c>
      <c r="B773">
        <v>512.19072412024104</v>
      </c>
      <c r="C773">
        <v>32.848920716698046</v>
      </c>
      <c r="D773">
        <v>4</v>
      </c>
      <c r="E773">
        <v>2050</v>
      </c>
      <c r="F773" t="s">
        <v>470</v>
      </c>
      <c r="G773">
        <v>1.1162777641523576</v>
      </c>
      <c r="H773">
        <v>33.53334493806841</v>
      </c>
      <c r="I773" t="s">
        <v>469</v>
      </c>
      <c r="J773" t="s">
        <v>467</v>
      </c>
      <c r="K773">
        <v>1</v>
      </c>
    </row>
    <row r="774" spans="1:11" x14ac:dyDescent="0.25">
      <c r="A774" t="s">
        <v>559</v>
      </c>
      <c r="B774">
        <v>591.83575882365324</v>
      </c>
      <c r="C774">
        <v>33.846260749866843</v>
      </c>
      <c r="D774">
        <v>4</v>
      </c>
      <c r="E774">
        <v>2050</v>
      </c>
      <c r="F774" t="s">
        <v>470</v>
      </c>
      <c r="G774">
        <v>1.1162777641523576</v>
      </c>
      <c r="H774">
        <v>33.53334493806841</v>
      </c>
      <c r="I774" t="s">
        <v>469</v>
      </c>
      <c r="J774" t="s">
        <v>467</v>
      </c>
      <c r="K774">
        <v>2</v>
      </c>
    </row>
    <row r="775" spans="1:11" x14ac:dyDescent="0.25">
      <c r="A775" t="s">
        <v>560</v>
      </c>
      <c r="B775">
        <v>549.06433429663821</v>
      </c>
      <c r="C775">
        <v>34.076342665766227</v>
      </c>
      <c r="D775">
        <v>4</v>
      </c>
      <c r="E775">
        <v>2050</v>
      </c>
      <c r="F775" t="s">
        <v>470</v>
      </c>
      <c r="G775">
        <v>1.1162777641523576</v>
      </c>
      <c r="H775">
        <v>33.53334493806841</v>
      </c>
      <c r="I775" t="s">
        <v>469</v>
      </c>
      <c r="J775" t="s">
        <v>467</v>
      </c>
      <c r="K775">
        <v>3</v>
      </c>
    </row>
    <row r="776" spans="1:11" x14ac:dyDescent="0.25">
      <c r="A776" t="s">
        <v>561</v>
      </c>
      <c r="B776">
        <v>526.25901332175226</v>
      </c>
      <c r="C776">
        <v>32.815203808482288</v>
      </c>
      <c r="D776">
        <v>4</v>
      </c>
      <c r="E776">
        <v>2050</v>
      </c>
      <c r="F776" t="s">
        <v>470</v>
      </c>
      <c r="G776">
        <v>1.1162777641523576</v>
      </c>
      <c r="H776">
        <v>33.53334493806841</v>
      </c>
      <c r="I776" t="s">
        <v>469</v>
      </c>
      <c r="J776" t="s">
        <v>467</v>
      </c>
      <c r="K776">
        <v>4</v>
      </c>
    </row>
    <row r="777" spans="1:11" x14ac:dyDescent="0.25">
      <c r="A777" t="s">
        <v>562</v>
      </c>
      <c r="B777">
        <v>632.7041754165748</v>
      </c>
      <c r="C777">
        <v>37.58724650764654</v>
      </c>
      <c r="D777">
        <v>4</v>
      </c>
      <c r="E777">
        <v>2050</v>
      </c>
      <c r="F777" t="s">
        <v>470</v>
      </c>
      <c r="G777">
        <v>1.1162777641523576</v>
      </c>
      <c r="H777">
        <v>33.53334493806841</v>
      </c>
      <c r="I777" t="s">
        <v>469</v>
      </c>
      <c r="J777" t="s">
        <v>467</v>
      </c>
      <c r="K777">
        <v>5</v>
      </c>
    </row>
    <row r="778" spans="1:11" x14ac:dyDescent="0.25">
      <c r="A778" t="s">
        <v>563</v>
      </c>
      <c r="B778">
        <v>586.99439785170364</v>
      </c>
      <c r="C778">
        <v>36.124591534857359</v>
      </c>
      <c r="D778">
        <v>4</v>
      </c>
      <c r="E778">
        <v>2050</v>
      </c>
      <c r="F778" t="s">
        <v>470</v>
      </c>
      <c r="G778">
        <v>1.1162777641523576</v>
      </c>
      <c r="H778">
        <v>33.53334493806841</v>
      </c>
      <c r="I778" t="s">
        <v>469</v>
      </c>
      <c r="J778" t="s">
        <v>467</v>
      </c>
      <c r="K778">
        <v>6</v>
      </c>
    </row>
    <row r="779" spans="1:11" x14ac:dyDescent="0.25">
      <c r="A779" t="s">
        <v>557</v>
      </c>
      <c r="B779">
        <v>348.83159247531904</v>
      </c>
      <c r="C779">
        <v>23.409679081405489</v>
      </c>
      <c r="D779">
        <v>4</v>
      </c>
      <c r="E779">
        <v>2050</v>
      </c>
      <c r="F779" t="s">
        <v>470</v>
      </c>
      <c r="G779">
        <v>2.101928995864335</v>
      </c>
      <c r="H779">
        <v>33.536328794330387</v>
      </c>
      <c r="I779" t="s">
        <v>469</v>
      </c>
      <c r="J779" t="s">
        <v>468</v>
      </c>
      <c r="K779">
        <v>0</v>
      </c>
    </row>
    <row r="780" spans="1:11" x14ac:dyDescent="0.25">
      <c r="A780" t="s">
        <v>558</v>
      </c>
      <c r="B780">
        <v>506.75831414774876</v>
      </c>
      <c r="C780">
        <v>33.984042776494164</v>
      </c>
      <c r="D780">
        <v>4</v>
      </c>
      <c r="E780">
        <v>2050</v>
      </c>
      <c r="F780" t="s">
        <v>470</v>
      </c>
      <c r="G780">
        <v>2.101928995864335</v>
      </c>
      <c r="H780">
        <v>33.536328794330387</v>
      </c>
      <c r="I780" t="s">
        <v>469</v>
      </c>
      <c r="J780" t="s">
        <v>468</v>
      </c>
      <c r="K780">
        <v>1</v>
      </c>
    </row>
    <row r="781" spans="1:11" x14ac:dyDescent="0.25">
      <c r="A781" t="s">
        <v>559</v>
      </c>
      <c r="B781">
        <v>628.18662489431949</v>
      </c>
      <c r="C781">
        <v>34.526735990755299</v>
      </c>
      <c r="D781">
        <v>4</v>
      </c>
      <c r="E781">
        <v>2050</v>
      </c>
      <c r="F781" t="s">
        <v>470</v>
      </c>
      <c r="G781">
        <v>2.101928995864335</v>
      </c>
      <c r="H781">
        <v>33.536328794330387</v>
      </c>
      <c r="I781" t="s">
        <v>469</v>
      </c>
      <c r="J781" t="s">
        <v>468</v>
      </c>
      <c r="K781">
        <v>2</v>
      </c>
    </row>
    <row r="782" spans="1:11" x14ac:dyDescent="0.25">
      <c r="A782" t="s">
        <v>560</v>
      </c>
      <c r="B782">
        <v>558.70921351489505</v>
      </c>
      <c r="C782">
        <v>32.292374606654775</v>
      </c>
      <c r="D782">
        <v>4</v>
      </c>
      <c r="E782">
        <v>2050</v>
      </c>
      <c r="F782" t="s">
        <v>470</v>
      </c>
      <c r="G782">
        <v>2.101928995864335</v>
      </c>
      <c r="H782">
        <v>33.536328794330387</v>
      </c>
      <c r="I782" t="s">
        <v>469</v>
      </c>
      <c r="J782" t="s">
        <v>468</v>
      </c>
      <c r="K782">
        <v>3</v>
      </c>
    </row>
    <row r="783" spans="1:11" x14ac:dyDescent="0.25">
      <c r="A783" t="s">
        <v>561</v>
      </c>
      <c r="B783">
        <v>486.53824784146349</v>
      </c>
      <c r="C783">
        <v>31.443952568190745</v>
      </c>
      <c r="D783">
        <v>4</v>
      </c>
      <c r="E783">
        <v>2050</v>
      </c>
      <c r="F783" t="s">
        <v>470</v>
      </c>
      <c r="G783">
        <v>2.101928995864335</v>
      </c>
      <c r="H783">
        <v>33.536328794330387</v>
      </c>
      <c r="I783" t="s">
        <v>469</v>
      </c>
      <c r="J783" t="s">
        <v>468</v>
      </c>
      <c r="K783">
        <v>4</v>
      </c>
    </row>
    <row r="784" spans="1:11" x14ac:dyDescent="0.25">
      <c r="A784" t="s">
        <v>562</v>
      </c>
      <c r="B784">
        <v>650.4687531104413</v>
      </c>
      <c r="C784">
        <v>34.129756398724219</v>
      </c>
      <c r="D784">
        <v>4</v>
      </c>
      <c r="E784">
        <v>2050</v>
      </c>
      <c r="F784" t="s">
        <v>470</v>
      </c>
      <c r="G784">
        <v>2.101928995864335</v>
      </c>
      <c r="H784">
        <v>33.536328794330387</v>
      </c>
      <c r="I784" t="s">
        <v>469</v>
      </c>
      <c r="J784" t="s">
        <v>468</v>
      </c>
      <c r="K784">
        <v>5</v>
      </c>
    </row>
    <row r="785" spans="1:11" x14ac:dyDescent="0.25">
      <c r="A785" t="s">
        <v>563</v>
      </c>
      <c r="B785">
        <v>599.84259189795216</v>
      </c>
      <c r="C785">
        <v>34.839375148709784</v>
      </c>
      <c r="D785">
        <v>4</v>
      </c>
      <c r="E785">
        <v>2050</v>
      </c>
      <c r="F785" t="s">
        <v>470</v>
      </c>
      <c r="G785">
        <v>2.101928995864335</v>
      </c>
      <c r="H785">
        <v>33.536328794330387</v>
      </c>
      <c r="I785" t="s">
        <v>469</v>
      </c>
      <c r="J785" t="s">
        <v>468</v>
      </c>
      <c r="K785">
        <v>6</v>
      </c>
    </row>
    <row r="786" spans="1:11" x14ac:dyDescent="0.25">
      <c r="A786" t="s">
        <v>557</v>
      </c>
      <c r="B786">
        <v>396.50585182130976</v>
      </c>
      <c r="C786">
        <v>25.535859637779243</v>
      </c>
      <c r="D786">
        <v>4</v>
      </c>
      <c r="E786">
        <v>2035</v>
      </c>
      <c r="F786" t="s">
        <v>471</v>
      </c>
      <c r="G786">
        <v>0.99409737507363616</v>
      </c>
      <c r="H786">
        <v>29.281338992020522</v>
      </c>
      <c r="I786" t="s">
        <v>466</v>
      </c>
      <c r="J786" t="s">
        <v>467</v>
      </c>
      <c r="K786">
        <v>0</v>
      </c>
    </row>
    <row r="787" spans="1:11" x14ac:dyDescent="0.25">
      <c r="A787" t="s">
        <v>558</v>
      </c>
      <c r="B787">
        <v>501.65259295432185</v>
      </c>
      <c r="C787">
        <v>33.352620285770698</v>
      </c>
      <c r="D787">
        <v>4</v>
      </c>
      <c r="E787">
        <v>2035</v>
      </c>
      <c r="F787" t="s">
        <v>471</v>
      </c>
      <c r="G787">
        <v>0.99409737507363616</v>
      </c>
      <c r="H787">
        <v>29.281338992020522</v>
      </c>
      <c r="I787" t="s">
        <v>466</v>
      </c>
      <c r="J787" t="s">
        <v>467</v>
      </c>
      <c r="K787">
        <v>1</v>
      </c>
    </row>
    <row r="788" spans="1:11" x14ac:dyDescent="0.25">
      <c r="A788" t="s">
        <v>559</v>
      </c>
      <c r="B788">
        <v>671.20333260953498</v>
      </c>
      <c r="C788">
        <v>41.806581727166709</v>
      </c>
      <c r="D788">
        <v>4</v>
      </c>
      <c r="E788">
        <v>2035</v>
      </c>
      <c r="F788" t="s">
        <v>471</v>
      </c>
      <c r="G788">
        <v>0.99409737507363616</v>
      </c>
      <c r="H788">
        <v>29.281338992020522</v>
      </c>
      <c r="I788" t="s">
        <v>466</v>
      </c>
      <c r="J788" t="s">
        <v>467</v>
      </c>
      <c r="K788">
        <v>2</v>
      </c>
    </row>
    <row r="789" spans="1:11" x14ac:dyDescent="0.25">
      <c r="A789" t="s">
        <v>560</v>
      </c>
      <c r="B789">
        <v>585.76221528700034</v>
      </c>
      <c r="C789">
        <v>37.466086856450254</v>
      </c>
      <c r="D789">
        <v>4</v>
      </c>
      <c r="E789">
        <v>2035</v>
      </c>
      <c r="F789" t="s">
        <v>471</v>
      </c>
      <c r="G789">
        <v>0.99409737507363616</v>
      </c>
      <c r="H789">
        <v>29.281338992020522</v>
      </c>
      <c r="I789" t="s">
        <v>466</v>
      </c>
      <c r="J789" t="s">
        <v>467</v>
      </c>
      <c r="K789">
        <v>3</v>
      </c>
    </row>
    <row r="790" spans="1:11" x14ac:dyDescent="0.25">
      <c r="A790" t="s">
        <v>561</v>
      </c>
      <c r="B790">
        <v>528.65158060542899</v>
      </c>
      <c r="C790">
        <v>34.427334913197754</v>
      </c>
      <c r="D790">
        <v>4</v>
      </c>
      <c r="E790">
        <v>2035</v>
      </c>
      <c r="F790" t="s">
        <v>471</v>
      </c>
      <c r="G790">
        <v>0.99409737507363616</v>
      </c>
      <c r="H790">
        <v>29.281338992020522</v>
      </c>
      <c r="I790" t="s">
        <v>466</v>
      </c>
      <c r="J790" t="s">
        <v>467</v>
      </c>
      <c r="K790">
        <v>4</v>
      </c>
    </row>
    <row r="791" spans="1:11" x14ac:dyDescent="0.25">
      <c r="A791" t="s">
        <v>562</v>
      </c>
      <c r="B791">
        <v>692.95959071552193</v>
      </c>
      <c r="C791">
        <v>42.995783006080693</v>
      </c>
      <c r="D791">
        <v>4</v>
      </c>
      <c r="E791">
        <v>2035</v>
      </c>
      <c r="F791" t="s">
        <v>471</v>
      </c>
      <c r="G791">
        <v>0.99409737507363616</v>
      </c>
      <c r="H791">
        <v>29.281338992020522</v>
      </c>
      <c r="I791" t="s">
        <v>466</v>
      </c>
      <c r="J791" t="s">
        <v>467</v>
      </c>
      <c r="K791">
        <v>5</v>
      </c>
    </row>
    <row r="792" spans="1:11" x14ac:dyDescent="0.25">
      <c r="A792" t="s">
        <v>563</v>
      </c>
      <c r="B792">
        <v>606.89847393219929</v>
      </c>
      <c r="C792">
        <v>38.584467315770816</v>
      </c>
      <c r="D792">
        <v>4</v>
      </c>
      <c r="E792">
        <v>2035</v>
      </c>
      <c r="F792" t="s">
        <v>471</v>
      </c>
      <c r="G792">
        <v>0.99409737507363616</v>
      </c>
      <c r="H792">
        <v>29.281338992020522</v>
      </c>
      <c r="I792" t="s">
        <v>466</v>
      </c>
      <c r="J792" t="s">
        <v>467</v>
      </c>
      <c r="K792">
        <v>6</v>
      </c>
    </row>
    <row r="793" spans="1:11" x14ac:dyDescent="0.25">
      <c r="A793" t="s">
        <v>557</v>
      </c>
      <c r="B793">
        <v>391.21921700033266</v>
      </c>
      <c r="C793">
        <v>25.59095911211476</v>
      </c>
      <c r="D793">
        <v>4</v>
      </c>
      <c r="E793">
        <v>2035</v>
      </c>
      <c r="F793" t="s">
        <v>471</v>
      </c>
      <c r="G793">
        <v>2.5483378988707637</v>
      </c>
      <c r="H793">
        <v>29.28296523612255</v>
      </c>
      <c r="I793" t="s">
        <v>466</v>
      </c>
      <c r="J793" t="s">
        <v>468</v>
      </c>
      <c r="K793">
        <v>0</v>
      </c>
    </row>
    <row r="794" spans="1:11" x14ac:dyDescent="0.25">
      <c r="A794" t="s">
        <v>558</v>
      </c>
      <c r="B794">
        <v>509.13392267681877</v>
      </c>
      <c r="C794">
        <v>34.007372385277719</v>
      </c>
      <c r="D794">
        <v>4</v>
      </c>
      <c r="E794">
        <v>2035</v>
      </c>
      <c r="F794" t="s">
        <v>471</v>
      </c>
      <c r="G794">
        <v>2.5483378988707637</v>
      </c>
      <c r="H794">
        <v>29.28296523612255</v>
      </c>
      <c r="I794" t="s">
        <v>466</v>
      </c>
      <c r="J794" t="s">
        <v>468</v>
      </c>
      <c r="K794">
        <v>1</v>
      </c>
    </row>
    <row r="795" spans="1:11" x14ac:dyDescent="0.25">
      <c r="A795" t="s">
        <v>559</v>
      </c>
      <c r="B795">
        <v>673.63937207662161</v>
      </c>
      <c r="C795">
        <v>40.436392861040773</v>
      </c>
      <c r="D795">
        <v>4</v>
      </c>
      <c r="E795">
        <v>2035</v>
      </c>
      <c r="F795" t="s">
        <v>471</v>
      </c>
      <c r="G795">
        <v>2.5483378988707637</v>
      </c>
      <c r="H795">
        <v>29.28296523612255</v>
      </c>
      <c r="I795" t="s">
        <v>466</v>
      </c>
      <c r="J795" t="s">
        <v>468</v>
      </c>
      <c r="K795">
        <v>2</v>
      </c>
    </row>
    <row r="796" spans="1:11" x14ac:dyDescent="0.25">
      <c r="A796" t="s">
        <v>560</v>
      </c>
      <c r="B796">
        <v>578.38062872463365</v>
      </c>
      <c r="C796">
        <v>36.301871591048211</v>
      </c>
      <c r="D796">
        <v>4</v>
      </c>
      <c r="E796">
        <v>2035</v>
      </c>
      <c r="F796" t="s">
        <v>471</v>
      </c>
      <c r="G796">
        <v>2.5483378988707637</v>
      </c>
      <c r="H796">
        <v>29.28296523612255</v>
      </c>
      <c r="I796" t="s">
        <v>466</v>
      </c>
      <c r="J796" t="s">
        <v>468</v>
      </c>
      <c r="K796">
        <v>3</v>
      </c>
    </row>
    <row r="797" spans="1:11" x14ac:dyDescent="0.25">
      <c r="A797" t="s">
        <v>561</v>
      </c>
      <c r="B797">
        <v>541.74407112039546</v>
      </c>
      <c r="C797">
        <v>35.174640079046036</v>
      </c>
      <c r="D797">
        <v>4</v>
      </c>
      <c r="E797">
        <v>2035</v>
      </c>
      <c r="F797" t="s">
        <v>471</v>
      </c>
      <c r="G797">
        <v>2.5483378988707637</v>
      </c>
      <c r="H797">
        <v>29.28296523612255</v>
      </c>
      <c r="I797" t="s">
        <v>466</v>
      </c>
      <c r="J797" t="s">
        <v>468</v>
      </c>
      <c r="K797">
        <v>4</v>
      </c>
    </row>
    <row r="798" spans="1:11" x14ac:dyDescent="0.25">
      <c r="A798" t="s">
        <v>562</v>
      </c>
      <c r="B798">
        <v>694.66948949102891</v>
      </c>
      <c r="C798">
        <v>41.683217868122881</v>
      </c>
      <c r="D798">
        <v>4</v>
      </c>
      <c r="E798">
        <v>2035</v>
      </c>
      <c r="F798" t="s">
        <v>471</v>
      </c>
      <c r="G798">
        <v>2.5483378988707637</v>
      </c>
      <c r="H798">
        <v>29.28296523612255</v>
      </c>
      <c r="I798" t="s">
        <v>466</v>
      </c>
      <c r="J798" t="s">
        <v>468</v>
      </c>
      <c r="K798">
        <v>5</v>
      </c>
    </row>
    <row r="799" spans="1:11" x14ac:dyDescent="0.25">
      <c r="A799" t="s">
        <v>563</v>
      </c>
      <c r="B799">
        <v>621.42420687612059</v>
      </c>
      <c r="C799">
        <v>37.31583230467502</v>
      </c>
      <c r="D799">
        <v>4</v>
      </c>
      <c r="E799">
        <v>2035</v>
      </c>
      <c r="F799" t="s">
        <v>471</v>
      </c>
      <c r="G799">
        <v>2.5483378988707637</v>
      </c>
      <c r="H799">
        <v>29.28296523612255</v>
      </c>
      <c r="I799" t="s">
        <v>466</v>
      </c>
      <c r="J799" t="s">
        <v>468</v>
      </c>
      <c r="K799">
        <v>6</v>
      </c>
    </row>
    <row r="800" spans="1:11" x14ac:dyDescent="0.25">
      <c r="A800" t="s">
        <v>557</v>
      </c>
      <c r="B800">
        <v>424.03110646357311</v>
      </c>
      <c r="C800">
        <v>27.852446586770917</v>
      </c>
      <c r="D800">
        <v>4</v>
      </c>
      <c r="E800">
        <v>2035</v>
      </c>
      <c r="F800" t="s">
        <v>471</v>
      </c>
      <c r="G800">
        <v>1.1173604520619291</v>
      </c>
      <c r="H800">
        <v>33.94773008209836</v>
      </c>
      <c r="I800" t="s">
        <v>469</v>
      </c>
      <c r="J800" t="s">
        <v>467</v>
      </c>
      <c r="K800">
        <v>0</v>
      </c>
    </row>
    <row r="801" spans="1:11" x14ac:dyDescent="0.25">
      <c r="A801" t="s">
        <v>558</v>
      </c>
      <c r="B801">
        <v>521.04097542769773</v>
      </c>
      <c r="C801">
        <v>34.059170887031975</v>
      </c>
      <c r="D801">
        <v>4</v>
      </c>
      <c r="E801">
        <v>2035</v>
      </c>
      <c r="F801" t="s">
        <v>471</v>
      </c>
      <c r="G801">
        <v>1.1173604520619291</v>
      </c>
      <c r="H801">
        <v>33.94773008209836</v>
      </c>
      <c r="I801" t="s">
        <v>469</v>
      </c>
      <c r="J801" t="s">
        <v>467</v>
      </c>
      <c r="K801">
        <v>1</v>
      </c>
    </row>
    <row r="802" spans="1:11" x14ac:dyDescent="0.25">
      <c r="A802" t="s">
        <v>559</v>
      </c>
      <c r="B802">
        <v>649.18137324259692</v>
      </c>
      <c r="C802">
        <v>37.479056726237452</v>
      </c>
      <c r="D802">
        <v>4</v>
      </c>
      <c r="E802">
        <v>2035</v>
      </c>
      <c r="F802" t="s">
        <v>471</v>
      </c>
      <c r="G802">
        <v>1.1173604520619291</v>
      </c>
      <c r="H802">
        <v>33.94773008209836</v>
      </c>
      <c r="I802" t="s">
        <v>469</v>
      </c>
      <c r="J802" t="s">
        <v>467</v>
      </c>
      <c r="K802">
        <v>2</v>
      </c>
    </row>
    <row r="803" spans="1:11" x14ac:dyDescent="0.25">
      <c r="A803" t="s">
        <v>560</v>
      </c>
      <c r="B803">
        <v>571.61872908648627</v>
      </c>
      <c r="C803">
        <v>33.966154481122274</v>
      </c>
      <c r="D803">
        <v>4</v>
      </c>
      <c r="E803">
        <v>2035</v>
      </c>
      <c r="F803" t="s">
        <v>471</v>
      </c>
      <c r="G803">
        <v>1.1173604520619291</v>
      </c>
      <c r="H803">
        <v>33.94773008209836</v>
      </c>
      <c r="I803" t="s">
        <v>469</v>
      </c>
      <c r="J803" t="s">
        <v>467</v>
      </c>
      <c r="K803">
        <v>3</v>
      </c>
    </row>
    <row r="804" spans="1:11" x14ac:dyDescent="0.25">
      <c r="A804" t="s">
        <v>561</v>
      </c>
      <c r="B804">
        <v>525.54158434861733</v>
      </c>
      <c r="C804">
        <v>33.354102338218908</v>
      </c>
      <c r="D804">
        <v>4</v>
      </c>
      <c r="E804">
        <v>2035</v>
      </c>
      <c r="F804" t="s">
        <v>471</v>
      </c>
      <c r="G804">
        <v>1.1173604520619291</v>
      </c>
      <c r="H804">
        <v>33.94773008209836</v>
      </c>
      <c r="I804" t="s">
        <v>469</v>
      </c>
      <c r="J804" t="s">
        <v>467</v>
      </c>
      <c r="K804">
        <v>4</v>
      </c>
    </row>
    <row r="805" spans="1:11" x14ac:dyDescent="0.25">
      <c r="A805" t="s">
        <v>562</v>
      </c>
      <c r="B805">
        <v>680.600205899515</v>
      </c>
      <c r="C805">
        <v>39.471550507864841</v>
      </c>
      <c r="D805">
        <v>4</v>
      </c>
      <c r="E805">
        <v>2035</v>
      </c>
      <c r="F805" t="s">
        <v>471</v>
      </c>
      <c r="G805">
        <v>1.1173604520619291</v>
      </c>
      <c r="H805">
        <v>33.94773008209836</v>
      </c>
      <c r="I805" t="s">
        <v>469</v>
      </c>
      <c r="J805" t="s">
        <v>467</v>
      </c>
      <c r="K805">
        <v>5</v>
      </c>
    </row>
    <row r="806" spans="1:11" x14ac:dyDescent="0.25">
      <c r="A806" t="s">
        <v>563</v>
      </c>
      <c r="B806">
        <v>604.49712868377617</v>
      </c>
      <c r="C806">
        <v>36.087369146053113</v>
      </c>
      <c r="D806">
        <v>4</v>
      </c>
      <c r="E806">
        <v>2035</v>
      </c>
      <c r="F806" t="s">
        <v>471</v>
      </c>
      <c r="G806">
        <v>1.1173604520619291</v>
      </c>
      <c r="H806">
        <v>33.94773008209836</v>
      </c>
      <c r="I806" t="s">
        <v>469</v>
      </c>
      <c r="J806" t="s">
        <v>467</v>
      </c>
      <c r="K806">
        <v>6</v>
      </c>
    </row>
    <row r="807" spans="1:11" x14ac:dyDescent="0.25">
      <c r="A807" t="s">
        <v>557</v>
      </c>
      <c r="B807">
        <v>412.13682524459392</v>
      </c>
      <c r="C807">
        <v>27.183389527620225</v>
      </c>
      <c r="D807">
        <v>4</v>
      </c>
      <c r="E807">
        <v>2035</v>
      </c>
      <c r="F807" t="s">
        <v>471</v>
      </c>
      <c r="G807">
        <v>2.2104025468120296</v>
      </c>
      <c r="H807">
        <v>33.949734825586773</v>
      </c>
      <c r="I807" t="s">
        <v>469</v>
      </c>
      <c r="J807" t="s">
        <v>468</v>
      </c>
      <c r="K807">
        <v>0</v>
      </c>
    </row>
    <row r="808" spans="1:11" x14ac:dyDescent="0.25">
      <c r="A808" t="s">
        <v>558</v>
      </c>
      <c r="B808">
        <v>492.6877909117469</v>
      </c>
      <c r="C808">
        <v>33.265673377339965</v>
      </c>
      <c r="D808">
        <v>4</v>
      </c>
      <c r="E808">
        <v>2035</v>
      </c>
      <c r="F808" t="s">
        <v>471</v>
      </c>
      <c r="G808">
        <v>2.2104025468120296</v>
      </c>
      <c r="H808">
        <v>33.949734825586773</v>
      </c>
      <c r="I808" t="s">
        <v>469</v>
      </c>
      <c r="J808" t="s">
        <v>468</v>
      </c>
      <c r="K808">
        <v>1</v>
      </c>
    </row>
    <row r="809" spans="1:11" x14ac:dyDescent="0.25">
      <c r="A809" t="s">
        <v>559</v>
      </c>
      <c r="B809">
        <v>597.9763626630031</v>
      </c>
      <c r="C809">
        <v>32.406366410941729</v>
      </c>
      <c r="D809">
        <v>4</v>
      </c>
      <c r="E809">
        <v>2035</v>
      </c>
      <c r="F809" t="s">
        <v>471</v>
      </c>
      <c r="G809">
        <v>2.2104025468120296</v>
      </c>
      <c r="H809">
        <v>33.949734825586773</v>
      </c>
      <c r="I809" t="s">
        <v>469</v>
      </c>
      <c r="J809" t="s">
        <v>468</v>
      </c>
      <c r="K809">
        <v>2</v>
      </c>
    </row>
    <row r="810" spans="1:11" x14ac:dyDescent="0.25">
      <c r="A810" t="s">
        <v>560</v>
      </c>
      <c r="B810">
        <v>550.47805877836947</v>
      </c>
      <c r="C810">
        <v>32.175035278304669</v>
      </c>
      <c r="D810">
        <v>4</v>
      </c>
      <c r="E810">
        <v>2035</v>
      </c>
      <c r="F810" t="s">
        <v>471</v>
      </c>
      <c r="G810">
        <v>2.2104025468120296</v>
      </c>
      <c r="H810">
        <v>33.949734825586773</v>
      </c>
      <c r="I810" t="s">
        <v>469</v>
      </c>
      <c r="J810" t="s">
        <v>468</v>
      </c>
      <c r="K810">
        <v>3</v>
      </c>
    </row>
    <row r="811" spans="1:11" x14ac:dyDescent="0.25">
      <c r="A811" t="s">
        <v>561</v>
      </c>
      <c r="B811">
        <v>499.62392632997552</v>
      </c>
      <c r="C811">
        <v>31.806615381354863</v>
      </c>
      <c r="D811">
        <v>4</v>
      </c>
      <c r="E811">
        <v>2035</v>
      </c>
      <c r="F811" t="s">
        <v>471</v>
      </c>
      <c r="G811">
        <v>2.2104025468120296</v>
      </c>
      <c r="H811">
        <v>33.949734825586773</v>
      </c>
      <c r="I811" t="s">
        <v>469</v>
      </c>
      <c r="J811" t="s">
        <v>468</v>
      </c>
      <c r="K811">
        <v>4</v>
      </c>
    </row>
    <row r="812" spans="1:11" x14ac:dyDescent="0.25">
      <c r="A812" t="s">
        <v>562</v>
      </c>
      <c r="B812">
        <v>646.40106301271067</v>
      </c>
      <c r="C812">
        <v>36.566728182700004</v>
      </c>
      <c r="D812">
        <v>4</v>
      </c>
      <c r="E812">
        <v>2035</v>
      </c>
      <c r="F812" t="s">
        <v>471</v>
      </c>
      <c r="G812">
        <v>2.2104025468120296</v>
      </c>
      <c r="H812">
        <v>33.949734825586773</v>
      </c>
      <c r="I812" t="s">
        <v>469</v>
      </c>
      <c r="J812" t="s">
        <v>468</v>
      </c>
      <c r="K812">
        <v>5</v>
      </c>
    </row>
    <row r="813" spans="1:11" x14ac:dyDescent="0.25">
      <c r="A813" t="s">
        <v>563</v>
      </c>
      <c r="B813">
        <v>592.43121041698907</v>
      </c>
      <c r="C813">
        <v>34.643077616652398</v>
      </c>
      <c r="D813">
        <v>4</v>
      </c>
      <c r="E813">
        <v>2035</v>
      </c>
      <c r="F813" t="s">
        <v>471</v>
      </c>
      <c r="G813">
        <v>2.2104025468120296</v>
      </c>
      <c r="H813">
        <v>33.949734825586773</v>
      </c>
      <c r="I813" t="s">
        <v>469</v>
      </c>
      <c r="J813" t="s">
        <v>468</v>
      </c>
      <c r="K813">
        <v>6</v>
      </c>
    </row>
    <row r="814" spans="1:11" x14ac:dyDescent="0.25">
      <c r="A814" t="s">
        <v>557</v>
      </c>
      <c r="B814">
        <v>356.61307433226091</v>
      </c>
      <c r="C814">
        <v>23.102021724285933</v>
      </c>
      <c r="D814">
        <v>4</v>
      </c>
      <c r="E814">
        <v>2050</v>
      </c>
      <c r="F814" t="s">
        <v>471</v>
      </c>
      <c r="G814">
        <v>0.97617333515242066</v>
      </c>
      <c r="H814">
        <v>30.029654366431146</v>
      </c>
      <c r="I814" t="s">
        <v>466</v>
      </c>
      <c r="J814" t="s">
        <v>467</v>
      </c>
      <c r="K814">
        <v>0</v>
      </c>
    </row>
    <row r="815" spans="1:11" x14ac:dyDescent="0.25">
      <c r="A815" t="s">
        <v>558</v>
      </c>
      <c r="B815">
        <v>491.63731406144581</v>
      </c>
      <c r="C815">
        <v>31.768483174302915</v>
      </c>
      <c r="D815">
        <v>4</v>
      </c>
      <c r="E815">
        <v>2050</v>
      </c>
      <c r="F815" t="s">
        <v>471</v>
      </c>
      <c r="G815">
        <v>0.97617333515242066</v>
      </c>
      <c r="H815">
        <v>30.029654366431146</v>
      </c>
      <c r="I815" t="s">
        <v>466</v>
      </c>
      <c r="J815" t="s">
        <v>467</v>
      </c>
      <c r="K815">
        <v>1</v>
      </c>
    </row>
    <row r="816" spans="1:11" x14ac:dyDescent="0.25">
      <c r="A816" t="s">
        <v>559</v>
      </c>
      <c r="B816">
        <v>597.05721575747702</v>
      </c>
      <c r="C816">
        <v>36.994569664075968</v>
      </c>
      <c r="D816">
        <v>4</v>
      </c>
      <c r="E816">
        <v>2050</v>
      </c>
      <c r="F816" t="s">
        <v>471</v>
      </c>
      <c r="G816">
        <v>0.97617333515242066</v>
      </c>
      <c r="H816">
        <v>30.029654366431146</v>
      </c>
      <c r="I816" t="s">
        <v>466</v>
      </c>
      <c r="J816" t="s">
        <v>467</v>
      </c>
      <c r="K816">
        <v>2</v>
      </c>
    </row>
    <row r="817" spans="1:11" x14ac:dyDescent="0.25">
      <c r="A817" t="s">
        <v>560</v>
      </c>
      <c r="B817">
        <v>532.72536769907254</v>
      </c>
      <c r="C817">
        <v>34.6315950659707</v>
      </c>
      <c r="D817">
        <v>4</v>
      </c>
      <c r="E817">
        <v>2050</v>
      </c>
      <c r="F817" t="s">
        <v>471</v>
      </c>
      <c r="G817">
        <v>0.97617333515242066</v>
      </c>
      <c r="H817">
        <v>30.029654366431146</v>
      </c>
      <c r="I817" t="s">
        <v>466</v>
      </c>
      <c r="J817" t="s">
        <v>467</v>
      </c>
      <c r="K817">
        <v>3</v>
      </c>
    </row>
    <row r="818" spans="1:11" x14ac:dyDescent="0.25">
      <c r="A818" t="s">
        <v>561</v>
      </c>
      <c r="B818">
        <v>495.15678366737507</v>
      </c>
      <c r="C818">
        <v>32.196351313225975</v>
      </c>
      <c r="D818">
        <v>4</v>
      </c>
      <c r="E818">
        <v>2050</v>
      </c>
      <c r="F818" t="s">
        <v>471</v>
      </c>
      <c r="G818">
        <v>0.97617333515242066</v>
      </c>
      <c r="H818">
        <v>30.029654366431146</v>
      </c>
      <c r="I818" t="s">
        <v>466</v>
      </c>
      <c r="J818" t="s">
        <v>467</v>
      </c>
      <c r="K818">
        <v>4</v>
      </c>
    </row>
    <row r="819" spans="1:11" x14ac:dyDescent="0.25">
      <c r="A819" t="s">
        <v>562</v>
      </c>
      <c r="B819">
        <v>628.76115075425093</v>
      </c>
      <c r="C819">
        <v>38.887144814987828</v>
      </c>
      <c r="D819">
        <v>4</v>
      </c>
      <c r="E819">
        <v>2050</v>
      </c>
      <c r="F819" t="s">
        <v>471</v>
      </c>
      <c r="G819">
        <v>0.97617333515242066</v>
      </c>
      <c r="H819">
        <v>30.029654366431146</v>
      </c>
      <c r="I819" t="s">
        <v>466</v>
      </c>
      <c r="J819" t="s">
        <v>467</v>
      </c>
      <c r="K819">
        <v>5</v>
      </c>
    </row>
    <row r="820" spans="1:11" x14ac:dyDescent="0.25">
      <c r="A820" t="s">
        <v>563</v>
      </c>
      <c r="B820">
        <v>566.4640062315691</v>
      </c>
      <c r="C820">
        <v>36.640813537538762</v>
      </c>
      <c r="D820">
        <v>4</v>
      </c>
      <c r="E820">
        <v>2050</v>
      </c>
      <c r="F820" t="s">
        <v>471</v>
      </c>
      <c r="G820">
        <v>0.97617333515242066</v>
      </c>
      <c r="H820">
        <v>30.029654366431146</v>
      </c>
      <c r="I820" t="s">
        <v>466</v>
      </c>
      <c r="J820" t="s">
        <v>467</v>
      </c>
      <c r="K820">
        <v>6</v>
      </c>
    </row>
    <row r="821" spans="1:11" x14ac:dyDescent="0.25">
      <c r="A821" t="s">
        <v>557</v>
      </c>
      <c r="B821">
        <v>320.14932732937814</v>
      </c>
      <c r="C821">
        <v>20.840660843442539</v>
      </c>
      <c r="D821">
        <v>4</v>
      </c>
      <c r="E821">
        <v>2050</v>
      </c>
      <c r="F821" t="s">
        <v>471</v>
      </c>
      <c r="G821">
        <v>3.5274554144748791</v>
      </c>
      <c r="H821">
        <v>26.899854102552638</v>
      </c>
      <c r="I821" t="s">
        <v>466</v>
      </c>
      <c r="J821" t="s">
        <v>468</v>
      </c>
      <c r="K821">
        <v>0</v>
      </c>
    </row>
    <row r="822" spans="1:11" x14ac:dyDescent="0.25">
      <c r="A822" t="s">
        <v>558</v>
      </c>
      <c r="B822">
        <v>455.25084059768716</v>
      </c>
      <c r="C822">
        <v>30.046413202460307</v>
      </c>
      <c r="D822">
        <v>4</v>
      </c>
      <c r="E822">
        <v>2050</v>
      </c>
      <c r="F822" t="s">
        <v>471</v>
      </c>
      <c r="G822">
        <v>3.5274554144748791</v>
      </c>
      <c r="H822">
        <v>26.899854102552638</v>
      </c>
      <c r="I822" t="s">
        <v>466</v>
      </c>
      <c r="J822" t="s">
        <v>468</v>
      </c>
      <c r="K822">
        <v>1</v>
      </c>
    </row>
    <row r="823" spans="1:11" x14ac:dyDescent="0.25">
      <c r="A823" t="s">
        <v>559</v>
      </c>
      <c r="B823">
        <v>635.60656650459555</v>
      </c>
      <c r="C823">
        <v>37.757600501002194</v>
      </c>
      <c r="D823">
        <v>4</v>
      </c>
      <c r="E823">
        <v>2050</v>
      </c>
      <c r="F823" t="s">
        <v>471</v>
      </c>
      <c r="G823">
        <v>3.5274554144748791</v>
      </c>
      <c r="H823">
        <v>26.899854102552638</v>
      </c>
      <c r="I823" t="s">
        <v>466</v>
      </c>
      <c r="J823" t="s">
        <v>468</v>
      </c>
      <c r="K823">
        <v>2</v>
      </c>
    </row>
    <row r="824" spans="1:11" x14ac:dyDescent="0.25">
      <c r="A824" t="s">
        <v>560</v>
      </c>
      <c r="B824">
        <v>575.20362837597361</v>
      </c>
      <c r="C824">
        <v>36.193920196600935</v>
      </c>
      <c r="D824">
        <v>4</v>
      </c>
      <c r="E824">
        <v>2050</v>
      </c>
      <c r="F824" t="s">
        <v>471</v>
      </c>
      <c r="G824">
        <v>3.5274554144748791</v>
      </c>
      <c r="H824">
        <v>26.899854102552638</v>
      </c>
      <c r="I824" t="s">
        <v>466</v>
      </c>
      <c r="J824" t="s">
        <v>468</v>
      </c>
      <c r="K824">
        <v>3</v>
      </c>
    </row>
    <row r="825" spans="1:11" x14ac:dyDescent="0.25">
      <c r="A825" t="s">
        <v>561</v>
      </c>
      <c r="B825">
        <v>467.45022195350043</v>
      </c>
      <c r="C825">
        <v>30.531393716545175</v>
      </c>
      <c r="D825">
        <v>4</v>
      </c>
      <c r="E825">
        <v>2050</v>
      </c>
      <c r="F825" t="s">
        <v>471</v>
      </c>
      <c r="G825">
        <v>3.5274554144748791</v>
      </c>
      <c r="H825">
        <v>26.899854102552638</v>
      </c>
      <c r="I825" t="s">
        <v>466</v>
      </c>
      <c r="J825" t="s">
        <v>468</v>
      </c>
      <c r="K825">
        <v>4</v>
      </c>
    </row>
    <row r="826" spans="1:11" x14ac:dyDescent="0.25">
      <c r="A826" t="s">
        <v>562</v>
      </c>
      <c r="B826">
        <v>664.03849318036725</v>
      </c>
      <c r="C826">
        <v>38.564175647806231</v>
      </c>
      <c r="D826">
        <v>4</v>
      </c>
      <c r="E826">
        <v>2050</v>
      </c>
      <c r="F826" t="s">
        <v>471</v>
      </c>
      <c r="G826">
        <v>3.5274554144748791</v>
      </c>
      <c r="H826">
        <v>26.899854102552638</v>
      </c>
      <c r="I826" t="s">
        <v>466</v>
      </c>
      <c r="J826" t="s">
        <v>468</v>
      </c>
      <c r="K826">
        <v>5</v>
      </c>
    </row>
    <row r="827" spans="1:11" x14ac:dyDescent="0.25">
      <c r="A827" t="s">
        <v>563</v>
      </c>
      <c r="B827">
        <v>549.33530828075959</v>
      </c>
      <c r="C827">
        <v>36.084866728748231</v>
      </c>
      <c r="D827">
        <v>4</v>
      </c>
      <c r="E827">
        <v>2050</v>
      </c>
      <c r="F827" t="s">
        <v>471</v>
      </c>
      <c r="G827">
        <v>3.5274554144748791</v>
      </c>
      <c r="H827">
        <v>26.899854102552638</v>
      </c>
      <c r="I827" t="s">
        <v>466</v>
      </c>
      <c r="J827" t="s">
        <v>468</v>
      </c>
      <c r="K827">
        <v>6</v>
      </c>
    </row>
    <row r="828" spans="1:11" x14ac:dyDescent="0.25">
      <c r="A828" t="s">
        <v>557</v>
      </c>
      <c r="B828">
        <v>350.85661176731401</v>
      </c>
      <c r="C828">
        <v>23.258365687428466</v>
      </c>
      <c r="D828">
        <v>4</v>
      </c>
      <c r="E828">
        <v>2050</v>
      </c>
      <c r="F828" t="s">
        <v>471</v>
      </c>
      <c r="G828">
        <v>1.1529418022877209</v>
      </c>
      <c r="H828">
        <v>33.536592090333386</v>
      </c>
      <c r="I828" t="s">
        <v>469</v>
      </c>
      <c r="J828" t="s">
        <v>467</v>
      </c>
      <c r="K828">
        <v>0</v>
      </c>
    </row>
    <row r="829" spans="1:11" x14ac:dyDescent="0.25">
      <c r="A829" t="s">
        <v>558</v>
      </c>
      <c r="B829">
        <v>457.44766310579939</v>
      </c>
      <c r="C829">
        <v>30.252035210434943</v>
      </c>
      <c r="D829">
        <v>4</v>
      </c>
      <c r="E829">
        <v>2050</v>
      </c>
      <c r="F829" t="s">
        <v>471</v>
      </c>
      <c r="G829">
        <v>1.1529418022877209</v>
      </c>
      <c r="H829">
        <v>33.536592090333386</v>
      </c>
      <c r="I829" t="s">
        <v>469</v>
      </c>
      <c r="J829" t="s">
        <v>467</v>
      </c>
      <c r="K829">
        <v>1</v>
      </c>
    </row>
    <row r="830" spans="1:11" x14ac:dyDescent="0.25">
      <c r="A830" t="s">
        <v>559</v>
      </c>
      <c r="B830">
        <v>587.15817405906489</v>
      </c>
      <c r="C830">
        <v>34.349391349552384</v>
      </c>
      <c r="D830">
        <v>4</v>
      </c>
      <c r="E830">
        <v>2050</v>
      </c>
      <c r="F830" t="s">
        <v>471</v>
      </c>
      <c r="G830">
        <v>1.1529418022877209</v>
      </c>
      <c r="H830">
        <v>33.536592090333386</v>
      </c>
      <c r="I830" t="s">
        <v>469</v>
      </c>
      <c r="J830" t="s">
        <v>467</v>
      </c>
      <c r="K830">
        <v>2</v>
      </c>
    </row>
    <row r="831" spans="1:11" x14ac:dyDescent="0.25">
      <c r="A831" t="s">
        <v>560</v>
      </c>
      <c r="B831">
        <v>526.11305784115586</v>
      </c>
      <c r="C831">
        <v>33.387113108555766</v>
      </c>
      <c r="D831">
        <v>4</v>
      </c>
      <c r="E831">
        <v>2050</v>
      </c>
      <c r="F831" t="s">
        <v>471</v>
      </c>
      <c r="G831">
        <v>1.1529418022877209</v>
      </c>
      <c r="H831">
        <v>33.536592090333386</v>
      </c>
      <c r="I831" t="s">
        <v>469</v>
      </c>
      <c r="J831" t="s">
        <v>467</v>
      </c>
      <c r="K831">
        <v>3</v>
      </c>
    </row>
    <row r="832" spans="1:11" x14ac:dyDescent="0.25">
      <c r="A832" t="s">
        <v>561</v>
      </c>
      <c r="B832">
        <v>463.19730772072433</v>
      </c>
      <c r="C832">
        <v>31.769073984182683</v>
      </c>
      <c r="D832">
        <v>4</v>
      </c>
      <c r="E832">
        <v>2050</v>
      </c>
      <c r="F832" t="s">
        <v>471</v>
      </c>
      <c r="G832">
        <v>1.1529418022877209</v>
      </c>
      <c r="H832">
        <v>33.536592090333386</v>
      </c>
      <c r="I832" t="s">
        <v>469</v>
      </c>
      <c r="J832" t="s">
        <v>467</v>
      </c>
      <c r="K832">
        <v>4</v>
      </c>
    </row>
    <row r="833" spans="1:11" x14ac:dyDescent="0.25">
      <c r="A833" t="s">
        <v>562</v>
      </c>
      <c r="B833">
        <v>615.272023859265</v>
      </c>
      <c r="C833">
        <v>36.08976951020049</v>
      </c>
      <c r="D833">
        <v>4</v>
      </c>
      <c r="E833">
        <v>2050</v>
      </c>
      <c r="F833" t="s">
        <v>471</v>
      </c>
      <c r="G833">
        <v>1.1529418022877209</v>
      </c>
      <c r="H833">
        <v>33.536592090333386</v>
      </c>
      <c r="I833" t="s">
        <v>469</v>
      </c>
      <c r="J833" t="s">
        <v>467</v>
      </c>
      <c r="K833">
        <v>5</v>
      </c>
    </row>
    <row r="834" spans="1:11" x14ac:dyDescent="0.25">
      <c r="A834" t="s">
        <v>563</v>
      </c>
      <c r="B834">
        <v>551.59309334907971</v>
      </c>
      <c r="C834">
        <v>35.417932379924451</v>
      </c>
      <c r="D834">
        <v>4</v>
      </c>
      <c r="E834">
        <v>2050</v>
      </c>
      <c r="F834" t="s">
        <v>471</v>
      </c>
      <c r="G834">
        <v>1.1529418022877209</v>
      </c>
      <c r="H834">
        <v>33.536592090333386</v>
      </c>
      <c r="I834" t="s">
        <v>469</v>
      </c>
      <c r="J834" t="s">
        <v>467</v>
      </c>
      <c r="K834">
        <v>6</v>
      </c>
    </row>
    <row r="835" spans="1:11" x14ac:dyDescent="0.25">
      <c r="A835" t="s">
        <v>557</v>
      </c>
      <c r="B835">
        <v>329.82901973649899</v>
      </c>
      <c r="C835">
        <v>21.736689949882262</v>
      </c>
      <c r="D835">
        <v>4</v>
      </c>
      <c r="E835">
        <v>2050</v>
      </c>
      <c r="F835" t="s">
        <v>471</v>
      </c>
      <c r="G835">
        <v>2.3348955169844801</v>
      </c>
      <c r="H835">
        <v>33.533836482377978</v>
      </c>
      <c r="I835" t="s">
        <v>469</v>
      </c>
      <c r="J835" t="s">
        <v>468</v>
      </c>
      <c r="K835">
        <v>0</v>
      </c>
    </row>
    <row r="836" spans="1:11" x14ac:dyDescent="0.25">
      <c r="A836" t="s">
        <v>558</v>
      </c>
      <c r="B836">
        <v>427.96286396942088</v>
      </c>
      <c r="C836">
        <v>28.51088606302363</v>
      </c>
      <c r="D836">
        <v>4</v>
      </c>
      <c r="E836">
        <v>2050</v>
      </c>
      <c r="F836" t="s">
        <v>471</v>
      </c>
      <c r="G836">
        <v>2.3348955169844801</v>
      </c>
      <c r="H836">
        <v>33.533836482377978</v>
      </c>
      <c r="I836" t="s">
        <v>469</v>
      </c>
      <c r="J836" t="s">
        <v>468</v>
      </c>
      <c r="K836">
        <v>1</v>
      </c>
    </row>
    <row r="837" spans="1:11" x14ac:dyDescent="0.25">
      <c r="A837" t="s">
        <v>559</v>
      </c>
      <c r="B837">
        <v>621.2254148377001</v>
      </c>
      <c r="C837">
        <v>37.234550463904363</v>
      </c>
      <c r="D837">
        <v>4</v>
      </c>
      <c r="E837">
        <v>2050</v>
      </c>
      <c r="F837" t="s">
        <v>471</v>
      </c>
      <c r="G837">
        <v>2.3348955169844801</v>
      </c>
      <c r="H837">
        <v>33.533836482377978</v>
      </c>
      <c r="I837" t="s">
        <v>469</v>
      </c>
      <c r="J837" t="s">
        <v>468</v>
      </c>
      <c r="K837">
        <v>2</v>
      </c>
    </row>
    <row r="838" spans="1:11" x14ac:dyDescent="0.25">
      <c r="A838" t="s">
        <v>560</v>
      </c>
      <c r="B838">
        <v>513.70766214755997</v>
      </c>
      <c r="C838">
        <v>31.560478338659053</v>
      </c>
      <c r="D838">
        <v>4</v>
      </c>
      <c r="E838">
        <v>2050</v>
      </c>
      <c r="F838" t="s">
        <v>471</v>
      </c>
      <c r="G838">
        <v>2.3348955169844801</v>
      </c>
      <c r="H838">
        <v>33.533836482377978</v>
      </c>
      <c r="I838" t="s">
        <v>469</v>
      </c>
      <c r="J838" t="s">
        <v>468</v>
      </c>
      <c r="K838">
        <v>3</v>
      </c>
    </row>
    <row r="839" spans="1:11" x14ac:dyDescent="0.25">
      <c r="A839" t="s">
        <v>561</v>
      </c>
      <c r="B839">
        <v>487.22223728343562</v>
      </c>
      <c r="C839">
        <v>31.044587651468628</v>
      </c>
      <c r="D839">
        <v>4</v>
      </c>
      <c r="E839">
        <v>2050</v>
      </c>
      <c r="F839" t="s">
        <v>471</v>
      </c>
      <c r="G839">
        <v>2.3348955169844801</v>
      </c>
      <c r="H839">
        <v>33.533836482377978</v>
      </c>
      <c r="I839" t="s">
        <v>469</v>
      </c>
      <c r="J839" t="s">
        <v>468</v>
      </c>
      <c r="K839">
        <v>4</v>
      </c>
    </row>
    <row r="840" spans="1:11" x14ac:dyDescent="0.25">
      <c r="A840" t="s">
        <v>562</v>
      </c>
      <c r="B840">
        <v>601.85166303935307</v>
      </c>
      <c r="C840">
        <v>35.184669707402946</v>
      </c>
      <c r="D840">
        <v>4</v>
      </c>
      <c r="E840">
        <v>2050</v>
      </c>
      <c r="F840" t="s">
        <v>471</v>
      </c>
      <c r="G840">
        <v>2.3348955169844801</v>
      </c>
      <c r="H840">
        <v>33.533836482377978</v>
      </c>
      <c r="I840" t="s">
        <v>469</v>
      </c>
      <c r="J840" t="s">
        <v>468</v>
      </c>
      <c r="K840">
        <v>5</v>
      </c>
    </row>
    <row r="841" spans="1:11" x14ac:dyDescent="0.25">
      <c r="A841" t="s">
        <v>563</v>
      </c>
      <c r="B841">
        <v>533.8561777525249</v>
      </c>
      <c r="C841">
        <v>34.216456910245711</v>
      </c>
      <c r="D841">
        <v>4</v>
      </c>
      <c r="E841">
        <v>2050</v>
      </c>
      <c r="F841" t="s">
        <v>471</v>
      </c>
      <c r="G841">
        <v>2.3348955169844801</v>
      </c>
      <c r="H841">
        <v>33.533836482377978</v>
      </c>
      <c r="I841" t="s">
        <v>469</v>
      </c>
      <c r="J841" t="s">
        <v>468</v>
      </c>
      <c r="K841">
        <v>6</v>
      </c>
    </row>
    <row r="842" spans="1:11" x14ac:dyDescent="0.25">
      <c r="A842" t="s">
        <v>557</v>
      </c>
      <c r="B842">
        <v>375.51204292088545</v>
      </c>
      <c r="C842">
        <v>24.741954140537359</v>
      </c>
      <c r="D842">
        <v>4</v>
      </c>
      <c r="E842">
        <v>2035</v>
      </c>
      <c r="F842" t="s">
        <v>472</v>
      </c>
      <c r="G842">
        <v>1.3188929269891994</v>
      </c>
      <c r="H842">
        <v>29.283809471076125</v>
      </c>
      <c r="I842" t="s">
        <v>466</v>
      </c>
      <c r="J842" t="s">
        <v>467</v>
      </c>
      <c r="K842">
        <v>0</v>
      </c>
    </row>
    <row r="843" spans="1:11" x14ac:dyDescent="0.25">
      <c r="A843" t="s">
        <v>558</v>
      </c>
      <c r="B843">
        <v>547.14666399467478</v>
      </c>
      <c r="C843">
        <v>35.749081929169122</v>
      </c>
      <c r="D843">
        <v>4</v>
      </c>
      <c r="E843">
        <v>2035</v>
      </c>
      <c r="F843" t="s">
        <v>472</v>
      </c>
      <c r="G843">
        <v>1.3188929269891994</v>
      </c>
      <c r="H843">
        <v>29.283809471076125</v>
      </c>
      <c r="I843" t="s">
        <v>466</v>
      </c>
      <c r="J843" t="s">
        <v>467</v>
      </c>
      <c r="K843">
        <v>1</v>
      </c>
    </row>
    <row r="844" spans="1:11" x14ac:dyDescent="0.25">
      <c r="A844" t="s">
        <v>559</v>
      </c>
      <c r="B844">
        <v>687.51657105071763</v>
      </c>
      <c r="C844">
        <v>42.259142395670374</v>
      </c>
      <c r="D844">
        <v>4</v>
      </c>
      <c r="E844">
        <v>2035</v>
      </c>
      <c r="F844" t="s">
        <v>472</v>
      </c>
      <c r="G844">
        <v>1.3188929269891994</v>
      </c>
      <c r="H844">
        <v>29.283809471076125</v>
      </c>
      <c r="I844" t="s">
        <v>466</v>
      </c>
      <c r="J844" t="s">
        <v>467</v>
      </c>
      <c r="K844">
        <v>2</v>
      </c>
    </row>
    <row r="845" spans="1:11" x14ac:dyDescent="0.25">
      <c r="A845" t="s">
        <v>560</v>
      </c>
      <c r="B845">
        <v>588.85191504229806</v>
      </c>
      <c r="C845">
        <v>37.157525166305206</v>
      </c>
      <c r="D845">
        <v>4</v>
      </c>
      <c r="E845">
        <v>2035</v>
      </c>
      <c r="F845" t="s">
        <v>472</v>
      </c>
      <c r="G845">
        <v>1.3188929269891994</v>
      </c>
      <c r="H845">
        <v>29.283809471076125</v>
      </c>
      <c r="I845" t="s">
        <v>466</v>
      </c>
      <c r="J845" t="s">
        <v>467</v>
      </c>
      <c r="K845">
        <v>3</v>
      </c>
    </row>
    <row r="846" spans="1:11" x14ac:dyDescent="0.25">
      <c r="A846" t="s">
        <v>561</v>
      </c>
      <c r="B846">
        <v>538.2709528763429</v>
      </c>
      <c r="C846">
        <v>34.469437045273679</v>
      </c>
      <c r="D846">
        <v>4</v>
      </c>
      <c r="E846">
        <v>2035</v>
      </c>
      <c r="F846" t="s">
        <v>472</v>
      </c>
      <c r="G846">
        <v>1.3188929269891994</v>
      </c>
      <c r="H846">
        <v>29.283809471076125</v>
      </c>
      <c r="I846" t="s">
        <v>466</v>
      </c>
      <c r="J846" t="s">
        <v>467</v>
      </c>
      <c r="K846">
        <v>4</v>
      </c>
    </row>
    <row r="847" spans="1:11" x14ac:dyDescent="0.25">
      <c r="A847" t="s">
        <v>562</v>
      </c>
      <c r="B847">
        <v>694.73745704532746</v>
      </c>
      <c r="C847">
        <v>42.751046169572248</v>
      </c>
      <c r="D847">
        <v>4</v>
      </c>
      <c r="E847">
        <v>2035</v>
      </c>
      <c r="F847" t="s">
        <v>472</v>
      </c>
      <c r="G847">
        <v>1.3188929269891994</v>
      </c>
      <c r="H847">
        <v>29.283809471076125</v>
      </c>
      <c r="I847" t="s">
        <v>466</v>
      </c>
      <c r="J847" t="s">
        <v>467</v>
      </c>
      <c r="K847">
        <v>5</v>
      </c>
    </row>
    <row r="848" spans="1:11" x14ac:dyDescent="0.25">
      <c r="A848" t="s">
        <v>563</v>
      </c>
      <c r="B848">
        <v>626.20493092311483</v>
      </c>
      <c r="C848">
        <v>39.718041148356917</v>
      </c>
      <c r="D848">
        <v>4</v>
      </c>
      <c r="E848">
        <v>2035</v>
      </c>
      <c r="F848" t="s">
        <v>472</v>
      </c>
      <c r="G848">
        <v>1.3188929269891994</v>
      </c>
      <c r="H848">
        <v>29.283809471076125</v>
      </c>
      <c r="I848" t="s">
        <v>466</v>
      </c>
      <c r="J848" t="s">
        <v>467</v>
      </c>
      <c r="K848">
        <v>6</v>
      </c>
    </row>
    <row r="849" spans="1:11" x14ac:dyDescent="0.25">
      <c r="A849" t="s">
        <v>557</v>
      </c>
      <c r="B849">
        <v>373.5024489051853</v>
      </c>
      <c r="C849">
        <v>24.936600002279516</v>
      </c>
      <c r="D849">
        <v>4</v>
      </c>
      <c r="E849">
        <v>2035</v>
      </c>
      <c r="F849" t="s">
        <v>472</v>
      </c>
      <c r="G849">
        <v>2.5483088432680927</v>
      </c>
      <c r="H849">
        <v>29.285115749138356</v>
      </c>
      <c r="I849" t="s">
        <v>466</v>
      </c>
      <c r="J849" t="s">
        <v>468</v>
      </c>
      <c r="K849">
        <v>0</v>
      </c>
    </row>
    <row r="850" spans="1:11" x14ac:dyDescent="0.25">
      <c r="A850" t="s">
        <v>558</v>
      </c>
      <c r="B850">
        <v>528.54360940416882</v>
      </c>
      <c r="C850">
        <v>35.81928237835659</v>
      </c>
      <c r="D850">
        <v>4</v>
      </c>
      <c r="E850">
        <v>2035</v>
      </c>
      <c r="F850" t="s">
        <v>472</v>
      </c>
      <c r="G850">
        <v>2.5483088432680927</v>
      </c>
      <c r="H850">
        <v>29.285115749138356</v>
      </c>
      <c r="I850" t="s">
        <v>466</v>
      </c>
      <c r="J850" t="s">
        <v>468</v>
      </c>
      <c r="K850">
        <v>1</v>
      </c>
    </row>
    <row r="851" spans="1:11" x14ac:dyDescent="0.25">
      <c r="A851" t="s">
        <v>559</v>
      </c>
      <c r="B851">
        <v>675.01044137635336</v>
      </c>
      <c r="C851">
        <v>40.562506489315993</v>
      </c>
      <c r="D851">
        <v>4</v>
      </c>
      <c r="E851">
        <v>2035</v>
      </c>
      <c r="F851" t="s">
        <v>472</v>
      </c>
      <c r="G851">
        <v>2.5483088432680927</v>
      </c>
      <c r="H851">
        <v>29.285115749138356</v>
      </c>
      <c r="I851" t="s">
        <v>466</v>
      </c>
      <c r="J851" t="s">
        <v>468</v>
      </c>
      <c r="K851">
        <v>2</v>
      </c>
    </row>
    <row r="852" spans="1:11" x14ac:dyDescent="0.25">
      <c r="A852" t="s">
        <v>560</v>
      </c>
      <c r="B852">
        <v>579.55166337180401</v>
      </c>
      <c r="C852">
        <v>35.768799582434852</v>
      </c>
      <c r="D852">
        <v>4</v>
      </c>
      <c r="E852">
        <v>2035</v>
      </c>
      <c r="F852" t="s">
        <v>472</v>
      </c>
      <c r="G852">
        <v>2.5483088432680927</v>
      </c>
      <c r="H852">
        <v>29.285115749138356</v>
      </c>
      <c r="I852" t="s">
        <v>466</v>
      </c>
      <c r="J852" t="s">
        <v>468</v>
      </c>
      <c r="K852">
        <v>3</v>
      </c>
    </row>
    <row r="853" spans="1:11" x14ac:dyDescent="0.25">
      <c r="A853" t="s">
        <v>561</v>
      </c>
      <c r="B853">
        <v>545.62667170171358</v>
      </c>
      <c r="C853">
        <v>35.079844273785724</v>
      </c>
      <c r="D853">
        <v>4</v>
      </c>
      <c r="E853">
        <v>2035</v>
      </c>
      <c r="F853" t="s">
        <v>472</v>
      </c>
      <c r="G853">
        <v>2.5483088432680927</v>
      </c>
      <c r="H853">
        <v>29.285115749138356</v>
      </c>
      <c r="I853" t="s">
        <v>466</v>
      </c>
      <c r="J853" t="s">
        <v>468</v>
      </c>
      <c r="K853">
        <v>4</v>
      </c>
    </row>
    <row r="854" spans="1:11" x14ac:dyDescent="0.25">
      <c r="A854" t="s">
        <v>562</v>
      </c>
      <c r="B854">
        <v>681.65961295158581</v>
      </c>
      <c r="C854">
        <v>41.200919758977399</v>
      </c>
      <c r="D854">
        <v>4</v>
      </c>
      <c r="E854">
        <v>2035</v>
      </c>
      <c r="F854" t="s">
        <v>472</v>
      </c>
      <c r="G854">
        <v>2.5483088432680927</v>
      </c>
      <c r="H854">
        <v>29.285115749138356</v>
      </c>
      <c r="I854" t="s">
        <v>466</v>
      </c>
      <c r="J854" t="s">
        <v>468</v>
      </c>
      <c r="K854">
        <v>5</v>
      </c>
    </row>
    <row r="855" spans="1:11" x14ac:dyDescent="0.25">
      <c r="A855" t="s">
        <v>563</v>
      </c>
      <c r="B855">
        <v>614.25562795445467</v>
      </c>
      <c r="C855">
        <v>38.32390250490856</v>
      </c>
      <c r="D855">
        <v>4</v>
      </c>
      <c r="E855">
        <v>2035</v>
      </c>
      <c r="F855" t="s">
        <v>472</v>
      </c>
      <c r="G855">
        <v>2.5483088432680927</v>
      </c>
      <c r="H855">
        <v>29.285115749138356</v>
      </c>
      <c r="I855" t="s">
        <v>466</v>
      </c>
      <c r="J855" t="s">
        <v>468</v>
      </c>
      <c r="K855">
        <v>6</v>
      </c>
    </row>
    <row r="856" spans="1:11" x14ac:dyDescent="0.25">
      <c r="A856" t="s">
        <v>557</v>
      </c>
      <c r="B856">
        <v>433.93478332100102</v>
      </c>
      <c r="C856">
        <v>28.399048548318849</v>
      </c>
      <c r="D856">
        <v>4</v>
      </c>
      <c r="E856">
        <v>2035</v>
      </c>
      <c r="F856" t="s">
        <v>472</v>
      </c>
      <c r="G856">
        <v>1.1328403911702309</v>
      </c>
      <c r="H856">
        <v>33.958855380273178</v>
      </c>
      <c r="I856" t="s">
        <v>469</v>
      </c>
      <c r="J856" t="s">
        <v>467</v>
      </c>
      <c r="K856">
        <v>0</v>
      </c>
    </row>
    <row r="857" spans="1:11" x14ac:dyDescent="0.25">
      <c r="A857" t="s">
        <v>558</v>
      </c>
      <c r="B857">
        <v>541.84560558921874</v>
      </c>
      <c r="C857">
        <v>36.035959177708733</v>
      </c>
      <c r="D857">
        <v>4</v>
      </c>
      <c r="E857">
        <v>2035</v>
      </c>
      <c r="F857" t="s">
        <v>472</v>
      </c>
      <c r="G857">
        <v>1.1328403911702309</v>
      </c>
      <c r="H857">
        <v>33.958855380273178</v>
      </c>
      <c r="I857" t="s">
        <v>469</v>
      </c>
      <c r="J857" t="s">
        <v>467</v>
      </c>
      <c r="K857">
        <v>1</v>
      </c>
    </row>
    <row r="858" spans="1:11" x14ac:dyDescent="0.25">
      <c r="A858" t="s">
        <v>559</v>
      </c>
      <c r="B858">
        <v>687.61046465907793</v>
      </c>
      <c r="C858">
        <v>40.669946588977815</v>
      </c>
      <c r="D858">
        <v>4</v>
      </c>
      <c r="E858">
        <v>2035</v>
      </c>
      <c r="F858" t="s">
        <v>472</v>
      </c>
      <c r="G858">
        <v>1.1328403911702309</v>
      </c>
      <c r="H858">
        <v>33.958855380273178</v>
      </c>
      <c r="I858" t="s">
        <v>469</v>
      </c>
      <c r="J858" t="s">
        <v>467</v>
      </c>
      <c r="K858">
        <v>2</v>
      </c>
    </row>
    <row r="859" spans="1:11" x14ac:dyDescent="0.25">
      <c r="A859" t="s">
        <v>560</v>
      </c>
      <c r="B859">
        <v>591.49094211376075</v>
      </c>
      <c r="C859">
        <v>36.544660702009111</v>
      </c>
      <c r="D859">
        <v>4</v>
      </c>
      <c r="E859">
        <v>2035</v>
      </c>
      <c r="F859" t="s">
        <v>472</v>
      </c>
      <c r="G859">
        <v>1.1328403911702309</v>
      </c>
      <c r="H859">
        <v>33.958855380273178</v>
      </c>
      <c r="I859" t="s">
        <v>469</v>
      </c>
      <c r="J859" t="s">
        <v>467</v>
      </c>
      <c r="K859">
        <v>3</v>
      </c>
    </row>
    <row r="860" spans="1:11" x14ac:dyDescent="0.25">
      <c r="A860" t="s">
        <v>561</v>
      </c>
      <c r="B860">
        <v>660.13408583479952</v>
      </c>
      <c r="C860">
        <v>43.852393660288499</v>
      </c>
      <c r="D860">
        <v>4</v>
      </c>
      <c r="E860">
        <v>2035</v>
      </c>
      <c r="F860" t="s">
        <v>472</v>
      </c>
      <c r="G860">
        <v>1.1328403911702309</v>
      </c>
      <c r="H860">
        <v>33.958855380273178</v>
      </c>
      <c r="I860" t="s">
        <v>469</v>
      </c>
      <c r="J860" t="s">
        <v>467</v>
      </c>
      <c r="K860">
        <v>4</v>
      </c>
    </row>
    <row r="861" spans="1:11" x14ac:dyDescent="0.25">
      <c r="A861" t="s">
        <v>562</v>
      </c>
      <c r="B861">
        <v>712.22127447370372</v>
      </c>
      <c r="C861">
        <v>41.980779139384921</v>
      </c>
      <c r="D861">
        <v>4</v>
      </c>
      <c r="E861">
        <v>2035</v>
      </c>
      <c r="F861" t="s">
        <v>472</v>
      </c>
      <c r="G861">
        <v>1.1328403911702309</v>
      </c>
      <c r="H861">
        <v>33.958855380273178</v>
      </c>
      <c r="I861" t="s">
        <v>469</v>
      </c>
      <c r="J861" t="s">
        <v>467</v>
      </c>
      <c r="K861">
        <v>5</v>
      </c>
    </row>
    <row r="862" spans="1:11" x14ac:dyDescent="0.25">
      <c r="A862" t="s">
        <v>563</v>
      </c>
      <c r="B862">
        <v>621.27104610889035</v>
      </c>
      <c r="C862">
        <v>37.792068750797242</v>
      </c>
      <c r="D862">
        <v>4</v>
      </c>
      <c r="E862">
        <v>2035</v>
      </c>
      <c r="F862" t="s">
        <v>472</v>
      </c>
      <c r="G862">
        <v>1.1328403911702309</v>
      </c>
      <c r="H862">
        <v>33.958855380273178</v>
      </c>
      <c r="I862" t="s">
        <v>469</v>
      </c>
      <c r="J862" t="s">
        <v>467</v>
      </c>
      <c r="K862">
        <v>6</v>
      </c>
    </row>
    <row r="863" spans="1:11" x14ac:dyDescent="0.25">
      <c r="A863" t="s">
        <v>557</v>
      </c>
      <c r="B863">
        <v>420.82030770003155</v>
      </c>
      <c r="C863">
        <v>27.633169976979453</v>
      </c>
      <c r="D863">
        <v>4</v>
      </c>
      <c r="E863">
        <v>2035</v>
      </c>
      <c r="F863" t="s">
        <v>472</v>
      </c>
      <c r="G863">
        <v>2.2553009320666733</v>
      </c>
      <c r="H863">
        <v>33.948897619135295</v>
      </c>
      <c r="I863" t="s">
        <v>469</v>
      </c>
      <c r="J863" t="s">
        <v>468</v>
      </c>
      <c r="K863">
        <v>0</v>
      </c>
    </row>
    <row r="864" spans="1:11" x14ac:dyDescent="0.25">
      <c r="A864" t="s">
        <v>558</v>
      </c>
      <c r="B864">
        <v>513.05711919337034</v>
      </c>
      <c r="C864">
        <v>34.31923498901196</v>
      </c>
      <c r="D864">
        <v>4</v>
      </c>
      <c r="E864">
        <v>2035</v>
      </c>
      <c r="F864" t="s">
        <v>472</v>
      </c>
      <c r="G864">
        <v>2.2553009320666733</v>
      </c>
      <c r="H864">
        <v>33.948897619135295</v>
      </c>
      <c r="I864" t="s">
        <v>469</v>
      </c>
      <c r="J864" t="s">
        <v>468</v>
      </c>
      <c r="K864">
        <v>1</v>
      </c>
    </row>
    <row r="865" spans="1:11" x14ac:dyDescent="0.25">
      <c r="A865" t="s">
        <v>559</v>
      </c>
      <c r="B865">
        <v>668.1950578266044</v>
      </c>
      <c r="C865">
        <v>38.27571801452045</v>
      </c>
      <c r="D865">
        <v>4</v>
      </c>
      <c r="E865">
        <v>2035</v>
      </c>
      <c r="F865" t="s">
        <v>472</v>
      </c>
      <c r="G865">
        <v>2.2553009320666733</v>
      </c>
      <c r="H865">
        <v>33.948897619135295</v>
      </c>
      <c r="I865" t="s">
        <v>469</v>
      </c>
      <c r="J865" t="s">
        <v>468</v>
      </c>
      <c r="K865">
        <v>2</v>
      </c>
    </row>
    <row r="866" spans="1:11" x14ac:dyDescent="0.25">
      <c r="A866" t="s">
        <v>560</v>
      </c>
      <c r="B866">
        <v>535.98010465696825</v>
      </c>
      <c r="C866">
        <v>31.680837555603286</v>
      </c>
      <c r="D866">
        <v>4</v>
      </c>
      <c r="E866">
        <v>2035</v>
      </c>
      <c r="F866" t="s">
        <v>472</v>
      </c>
      <c r="G866">
        <v>2.2553009320666733</v>
      </c>
      <c r="H866">
        <v>33.948897619135295</v>
      </c>
      <c r="I866" t="s">
        <v>469</v>
      </c>
      <c r="J866" t="s">
        <v>468</v>
      </c>
      <c r="K866">
        <v>3</v>
      </c>
    </row>
    <row r="867" spans="1:11" x14ac:dyDescent="0.25">
      <c r="A867" t="s">
        <v>561</v>
      </c>
      <c r="B867">
        <v>552.10923486092452</v>
      </c>
      <c r="C867">
        <v>35.45841439997664</v>
      </c>
      <c r="D867">
        <v>4</v>
      </c>
      <c r="E867">
        <v>2035</v>
      </c>
      <c r="F867" t="s">
        <v>472</v>
      </c>
      <c r="G867">
        <v>2.2553009320666733</v>
      </c>
      <c r="H867">
        <v>33.948897619135295</v>
      </c>
      <c r="I867" t="s">
        <v>469</v>
      </c>
      <c r="J867" t="s">
        <v>468</v>
      </c>
      <c r="K867">
        <v>4</v>
      </c>
    </row>
    <row r="868" spans="1:11" x14ac:dyDescent="0.25">
      <c r="A868" t="s">
        <v>562</v>
      </c>
      <c r="B868">
        <v>672.11539778984945</v>
      </c>
      <c r="C868">
        <v>38.864653217041578</v>
      </c>
      <c r="D868">
        <v>4</v>
      </c>
      <c r="E868">
        <v>2035</v>
      </c>
      <c r="F868" t="s">
        <v>472</v>
      </c>
      <c r="G868">
        <v>2.2553009320666733</v>
      </c>
      <c r="H868">
        <v>33.948897619135295</v>
      </c>
      <c r="I868" t="s">
        <v>469</v>
      </c>
      <c r="J868" t="s">
        <v>468</v>
      </c>
      <c r="K868">
        <v>5</v>
      </c>
    </row>
    <row r="869" spans="1:11" x14ac:dyDescent="0.25">
      <c r="A869" t="s">
        <v>563</v>
      </c>
      <c r="B869">
        <v>622.24827266553473</v>
      </c>
      <c r="C869">
        <v>37.246097267895813</v>
      </c>
      <c r="D869">
        <v>4</v>
      </c>
      <c r="E869">
        <v>2035</v>
      </c>
      <c r="F869" t="s">
        <v>472</v>
      </c>
      <c r="G869">
        <v>2.2553009320666733</v>
      </c>
      <c r="H869">
        <v>33.948897619135295</v>
      </c>
      <c r="I869" t="s">
        <v>469</v>
      </c>
      <c r="J869" t="s">
        <v>468</v>
      </c>
      <c r="K869">
        <v>6</v>
      </c>
    </row>
    <row r="870" spans="1:11" x14ac:dyDescent="0.25">
      <c r="A870" t="s">
        <v>557</v>
      </c>
      <c r="B870">
        <v>388.8866787348328</v>
      </c>
      <c r="C870">
        <v>25.271110938055365</v>
      </c>
      <c r="D870">
        <v>4</v>
      </c>
      <c r="E870">
        <v>2050</v>
      </c>
      <c r="F870" t="s">
        <v>472</v>
      </c>
      <c r="G870">
        <v>3.6073654087845659</v>
      </c>
      <c r="H870">
        <v>26.898407643298867</v>
      </c>
      <c r="I870" t="s">
        <v>466</v>
      </c>
      <c r="J870" t="s">
        <v>467</v>
      </c>
      <c r="K870">
        <v>0</v>
      </c>
    </row>
    <row r="871" spans="1:11" x14ac:dyDescent="0.25">
      <c r="A871" t="s">
        <v>558</v>
      </c>
      <c r="B871">
        <v>527.92157151974118</v>
      </c>
      <c r="C871">
        <v>34.894131988317653</v>
      </c>
      <c r="D871">
        <v>4</v>
      </c>
      <c r="E871">
        <v>2050</v>
      </c>
      <c r="F871" t="s">
        <v>472</v>
      </c>
      <c r="G871">
        <v>3.6073654087845659</v>
      </c>
      <c r="H871">
        <v>26.898407643298867</v>
      </c>
      <c r="I871" t="s">
        <v>466</v>
      </c>
      <c r="J871" t="s">
        <v>467</v>
      </c>
      <c r="K871">
        <v>1</v>
      </c>
    </row>
    <row r="872" spans="1:11" x14ac:dyDescent="0.25">
      <c r="A872" t="s">
        <v>559</v>
      </c>
      <c r="B872">
        <v>672.49891808286122</v>
      </c>
      <c r="C872">
        <v>41.51649185154043</v>
      </c>
      <c r="D872">
        <v>4</v>
      </c>
      <c r="E872">
        <v>2050</v>
      </c>
      <c r="F872" t="s">
        <v>472</v>
      </c>
      <c r="G872">
        <v>3.6073654087845659</v>
      </c>
      <c r="H872">
        <v>26.898407643298867</v>
      </c>
      <c r="I872" t="s">
        <v>466</v>
      </c>
      <c r="J872" t="s">
        <v>467</v>
      </c>
      <c r="K872">
        <v>2</v>
      </c>
    </row>
    <row r="873" spans="1:11" x14ac:dyDescent="0.25">
      <c r="A873" t="s">
        <v>560</v>
      </c>
      <c r="B873">
        <v>560.5819838198654</v>
      </c>
      <c r="C873">
        <v>35.183983005544022</v>
      </c>
      <c r="D873">
        <v>4</v>
      </c>
      <c r="E873">
        <v>2050</v>
      </c>
      <c r="F873" t="s">
        <v>472</v>
      </c>
      <c r="G873">
        <v>3.6073654087845659</v>
      </c>
      <c r="H873">
        <v>26.898407643298867</v>
      </c>
      <c r="I873" t="s">
        <v>466</v>
      </c>
      <c r="J873" t="s">
        <v>467</v>
      </c>
      <c r="K873">
        <v>3</v>
      </c>
    </row>
    <row r="874" spans="1:11" x14ac:dyDescent="0.25">
      <c r="A874" t="s">
        <v>561</v>
      </c>
      <c r="B874">
        <v>498.87439903795126</v>
      </c>
      <c r="C874">
        <v>32.574652810961524</v>
      </c>
      <c r="D874">
        <v>4</v>
      </c>
      <c r="E874">
        <v>2050</v>
      </c>
      <c r="F874" t="s">
        <v>472</v>
      </c>
      <c r="G874">
        <v>3.6073654087845659</v>
      </c>
      <c r="H874">
        <v>26.898407643298867</v>
      </c>
      <c r="I874" t="s">
        <v>466</v>
      </c>
      <c r="J874" t="s">
        <v>467</v>
      </c>
      <c r="K874">
        <v>4</v>
      </c>
    </row>
    <row r="875" spans="1:11" x14ac:dyDescent="0.25">
      <c r="A875" t="s">
        <v>562</v>
      </c>
      <c r="B875">
        <v>679.09218746966644</v>
      </c>
      <c r="C875">
        <v>41.843783764758321</v>
      </c>
      <c r="D875">
        <v>4</v>
      </c>
      <c r="E875">
        <v>2050</v>
      </c>
      <c r="F875" t="s">
        <v>472</v>
      </c>
      <c r="G875">
        <v>3.6073654087845659</v>
      </c>
      <c r="H875">
        <v>26.898407643298867</v>
      </c>
      <c r="I875" t="s">
        <v>466</v>
      </c>
      <c r="J875" t="s">
        <v>467</v>
      </c>
      <c r="K875">
        <v>5</v>
      </c>
    </row>
    <row r="876" spans="1:11" x14ac:dyDescent="0.25">
      <c r="A876" t="s">
        <v>563</v>
      </c>
      <c r="B876">
        <v>608.72103541069157</v>
      </c>
      <c r="C876">
        <v>38.661502175765648</v>
      </c>
      <c r="D876">
        <v>4</v>
      </c>
      <c r="E876">
        <v>2050</v>
      </c>
      <c r="F876" t="s">
        <v>472</v>
      </c>
      <c r="G876">
        <v>3.6073654087845659</v>
      </c>
      <c r="H876">
        <v>26.898407643298867</v>
      </c>
      <c r="I876" t="s">
        <v>466</v>
      </c>
      <c r="J876" t="s">
        <v>467</v>
      </c>
      <c r="K876">
        <v>6</v>
      </c>
    </row>
    <row r="877" spans="1:11" x14ac:dyDescent="0.25">
      <c r="A877" t="s">
        <v>557</v>
      </c>
      <c r="B877">
        <v>385.8340867982435</v>
      </c>
      <c r="C877">
        <v>24.995791748243139</v>
      </c>
      <c r="D877">
        <v>4</v>
      </c>
      <c r="E877">
        <v>2050</v>
      </c>
      <c r="F877" t="s">
        <v>472</v>
      </c>
      <c r="G877">
        <v>3.7889552031705169</v>
      </c>
      <c r="H877">
        <v>25.9514877141944</v>
      </c>
      <c r="I877" t="s">
        <v>466</v>
      </c>
      <c r="J877" t="s">
        <v>468</v>
      </c>
      <c r="K877">
        <v>0</v>
      </c>
    </row>
    <row r="878" spans="1:11" x14ac:dyDescent="0.25">
      <c r="A878" t="s">
        <v>558</v>
      </c>
      <c r="B878">
        <v>519.30718613381873</v>
      </c>
      <c r="C878">
        <v>34.322206979435663</v>
      </c>
      <c r="D878">
        <v>4</v>
      </c>
      <c r="E878">
        <v>2050</v>
      </c>
      <c r="F878" t="s">
        <v>472</v>
      </c>
      <c r="G878">
        <v>3.7889552031705169</v>
      </c>
      <c r="H878">
        <v>25.9514877141944</v>
      </c>
      <c r="I878" t="s">
        <v>466</v>
      </c>
      <c r="J878" t="s">
        <v>468</v>
      </c>
      <c r="K878">
        <v>1</v>
      </c>
    </row>
    <row r="879" spans="1:11" x14ac:dyDescent="0.25">
      <c r="A879" t="s">
        <v>559</v>
      </c>
      <c r="B879">
        <v>693.24706512652017</v>
      </c>
      <c r="C879">
        <v>42.932779877558758</v>
      </c>
      <c r="D879">
        <v>4</v>
      </c>
      <c r="E879">
        <v>2050</v>
      </c>
      <c r="F879" t="s">
        <v>472</v>
      </c>
      <c r="G879">
        <v>3.7889552031705169</v>
      </c>
      <c r="H879">
        <v>25.9514877141944</v>
      </c>
      <c r="I879" t="s">
        <v>466</v>
      </c>
      <c r="J879" t="s">
        <v>468</v>
      </c>
      <c r="K879">
        <v>2</v>
      </c>
    </row>
    <row r="880" spans="1:11" x14ac:dyDescent="0.25">
      <c r="A880" t="s">
        <v>560</v>
      </c>
      <c r="B880">
        <v>537.71784827826093</v>
      </c>
      <c r="C880">
        <v>34.334933914708557</v>
      </c>
      <c r="D880">
        <v>4</v>
      </c>
      <c r="E880">
        <v>2050</v>
      </c>
      <c r="F880" t="s">
        <v>472</v>
      </c>
      <c r="G880">
        <v>3.7889552031705169</v>
      </c>
      <c r="H880">
        <v>25.9514877141944</v>
      </c>
      <c r="I880" t="s">
        <v>466</v>
      </c>
      <c r="J880" t="s">
        <v>468</v>
      </c>
      <c r="K880">
        <v>3</v>
      </c>
    </row>
    <row r="881" spans="1:11" x14ac:dyDescent="0.25">
      <c r="A881" t="s">
        <v>561</v>
      </c>
      <c r="B881">
        <v>515.28602324290398</v>
      </c>
      <c r="C881">
        <v>33.616424057023686</v>
      </c>
      <c r="D881">
        <v>4</v>
      </c>
      <c r="E881">
        <v>2050</v>
      </c>
      <c r="F881" t="s">
        <v>472</v>
      </c>
      <c r="G881">
        <v>3.7889552031705169</v>
      </c>
      <c r="H881">
        <v>25.9514877141944</v>
      </c>
      <c r="I881" t="s">
        <v>466</v>
      </c>
      <c r="J881" t="s">
        <v>468</v>
      </c>
      <c r="K881">
        <v>4</v>
      </c>
    </row>
    <row r="882" spans="1:11" x14ac:dyDescent="0.25">
      <c r="A882" t="s">
        <v>562</v>
      </c>
      <c r="B882">
        <v>641.06495634325438</v>
      </c>
      <c r="C882">
        <v>40.007010329623448</v>
      </c>
      <c r="D882">
        <v>4</v>
      </c>
      <c r="E882">
        <v>2050</v>
      </c>
      <c r="F882" t="s">
        <v>472</v>
      </c>
      <c r="G882">
        <v>3.7889552031705169</v>
      </c>
      <c r="H882">
        <v>25.9514877141944</v>
      </c>
      <c r="I882" t="s">
        <v>466</v>
      </c>
      <c r="J882" t="s">
        <v>468</v>
      </c>
      <c r="K882">
        <v>5</v>
      </c>
    </row>
    <row r="883" spans="1:11" x14ac:dyDescent="0.25">
      <c r="A883" t="s">
        <v>563</v>
      </c>
      <c r="B883">
        <v>610.66018517845737</v>
      </c>
      <c r="C883">
        <v>39.14620012083185</v>
      </c>
      <c r="D883">
        <v>4</v>
      </c>
      <c r="E883">
        <v>2050</v>
      </c>
      <c r="F883" t="s">
        <v>472</v>
      </c>
      <c r="G883">
        <v>3.7889552031705169</v>
      </c>
      <c r="H883">
        <v>25.9514877141944</v>
      </c>
      <c r="I883" t="s">
        <v>466</v>
      </c>
      <c r="J883" t="s">
        <v>468</v>
      </c>
      <c r="K883">
        <v>6</v>
      </c>
    </row>
    <row r="884" spans="1:11" x14ac:dyDescent="0.25">
      <c r="A884" t="s">
        <v>557</v>
      </c>
      <c r="B884">
        <v>427.37047242421039</v>
      </c>
      <c r="C884">
        <v>28.064440687585883</v>
      </c>
      <c r="D884">
        <v>4</v>
      </c>
      <c r="E884">
        <v>2050</v>
      </c>
      <c r="F884" t="s">
        <v>472</v>
      </c>
      <c r="G884">
        <v>1.1537954439546976</v>
      </c>
      <c r="H884">
        <v>33.531915042134671</v>
      </c>
      <c r="I884" t="s">
        <v>469</v>
      </c>
      <c r="J884" t="s">
        <v>467</v>
      </c>
      <c r="K884">
        <v>0</v>
      </c>
    </row>
    <row r="885" spans="1:11" x14ac:dyDescent="0.25">
      <c r="A885" t="s">
        <v>558</v>
      </c>
      <c r="B885">
        <v>542.84165613852576</v>
      </c>
      <c r="C885">
        <v>35.463460692635778</v>
      </c>
      <c r="D885">
        <v>4</v>
      </c>
      <c r="E885">
        <v>2050</v>
      </c>
      <c r="F885" t="s">
        <v>472</v>
      </c>
      <c r="G885">
        <v>1.1537954439546976</v>
      </c>
      <c r="H885">
        <v>33.531915042134671</v>
      </c>
      <c r="I885" t="s">
        <v>469</v>
      </c>
      <c r="J885" t="s">
        <v>467</v>
      </c>
      <c r="K885">
        <v>1</v>
      </c>
    </row>
    <row r="886" spans="1:11" x14ac:dyDescent="0.25">
      <c r="A886" t="s">
        <v>559</v>
      </c>
      <c r="B886">
        <v>669.46014251084102</v>
      </c>
      <c r="C886">
        <v>39.148469914792862</v>
      </c>
      <c r="D886">
        <v>4</v>
      </c>
      <c r="E886">
        <v>2050</v>
      </c>
      <c r="F886" t="s">
        <v>472</v>
      </c>
      <c r="G886">
        <v>1.1537954439546976</v>
      </c>
      <c r="H886">
        <v>33.531915042134671</v>
      </c>
      <c r="I886" t="s">
        <v>469</v>
      </c>
      <c r="J886" t="s">
        <v>467</v>
      </c>
      <c r="K886">
        <v>2</v>
      </c>
    </row>
    <row r="887" spans="1:11" x14ac:dyDescent="0.25">
      <c r="A887" t="s">
        <v>560</v>
      </c>
      <c r="B887">
        <v>610.09951551868846</v>
      </c>
      <c r="C887">
        <v>36.63027984057851</v>
      </c>
      <c r="D887">
        <v>4</v>
      </c>
      <c r="E887">
        <v>2050</v>
      </c>
      <c r="F887" t="s">
        <v>472</v>
      </c>
      <c r="G887">
        <v>1.1537954439546976</v>
      </c>
      <c r="H887">
        <v>33.531915042134671</v>
      </c>
      <c r="I887" t="s">
        <v>469</v>
      </c>
      <c r="J887" t="s">
        <v>467</v>
      </c>
      <c r="K887">
        <v>3</v>
      </c>
    </row>
    <row r="888" spans="1:11" x14ac:dyDescent="0.25">
      <c r="A888" t="s">
        <v>561</v>
      </c>
      <c r="B888">
        <v>521.71084173472161</v>
      </c>
      <c r="C888">
        <v>33.325220483262882</v>
      </c>
      <c r="D888">
        <v>4</v>
      </c>
      <c r="E888">
        <v>2050</v>
      </c>
      <c r="F888" t="s">
        <v>472</v>
      </c>
      <c r="G888">
        <v>1.1537954439546976</v>
      </c>
      <c r="H888">
        <v>33.531915042134671</v>
      </c>
      <c r="I888" t="s">
        <v>469</v>
      </c>
      <c r="J888" t="s">
        <v>467</v>
      </c>
      <c r="K888">
        <v>4</v>
      </c>
    </row>
    <row r="889" spans="1:11" x14ac:dyDescent="0.25">
      <c r="A889" t="s">
        <v>562</v>
      </c>
      <c r="B889">
        <v>701.11904768393777</v>
      </c>
      <c r="C889">
        <v>41.080736500940276</v>
      </c>
      <c r="D889">
        <v>4</v>
      </c>
      <c r="E889">
        <v>2050</v>
      </c>
      <c r="F889" t="s">
        <v>472</v>
      </c>
      <c r="G889">
        <v>1.1537954439546976</v>
      </c>
      <c r="H889">
        <v>33.531915042134671</v>
      </c>
      <c r="I889" t="s">
        <v>469</v>
      </c>
      <c r="J889" t="s">
        <v>467</v>
      </c>
      <c r="K889">
        <v>5</v>
      </c>
    </row>
    <row r="890" spans="1:11" x14ac:dyDescent="0.25">
      <c r="A890" t="s">
        <v>563</v>
      </c>
      <c r="B890">
        <v>616.97451905965295</v>
      </c>
      <c r="C890">
        <v>37.25426332500669</v>
      </c>
      <c r="D890">
        <v>4</v>
      </c>
      <c r="E890">
        <v>2050</v>
      </c>
      <c r="F890" t="s">
        <v>472</v>
      </c>
      <c r="G890">
        <v>1.1537954439546976</v>
      </c>
      <c r="H890">
        <v>33.531915042134671</v>
      </c>
      <c r="I890" t="s">
        <v>469</v>
      </c>
      <c r="J890" t="s">
        <v>467</v>
      </c>
      <c r="K890">
        <v>6</v>
      </c>
    </row>
    <row r="891" spans="1:11" x14ac:dyDescent="0.25">
      <c r="A891" t="s">
        <v>557</v>
      </c>
      <c r="B891">
        <v>418.04861162295163</v>
      </c>
      <c r="C891">
        <v>27.471437686783428</v>
      </c>
      <c r="D891">
        <v>4</v>
      </c>
      <c r="E891">
        <v>2050</v>
      </c>
      <c r="F891" t="s">
        <v>472</v>
      </c>
      <c r="G891">
        <v>2.3348956914965759</v>
      </c>
      <c r="H891">
        <v>33.533840974831548</v>
      </c>
      <c r="I891" t="s">
        <v>469</v>
      </c>
      <c r="J891" t="s">
        <v>468</v>
      </c>
      <c r="K891">
        <v>0</v>
      </c>
    </row>
    <row r="892" spans="1:11" x14ac:dyDescent="0.25">
      <c r="A892" t="s">
        <v>558</v>
      </c>
      <c r="B892">
        <v>500.97103904034276</v>
      </c>
      <c r="C892">
        <v>33.88997561342903</v>
      </c>
      <c r="D892">
        <v>4</v>
      </c>
      <c r="E892">
        <v>2050</v>
      </c>
      <c r="F892" t="s">
        <v>472</v>
      </c>
      <c r="G892">
        <v>2.3348956914965759</v>
      </c>
      <c r="H892">
        <v>33.533840974831548</v>
      </c>
      <c r="I892" t="s">
        <v>469</v>
      </c>
      <c r="J892" t="s">
        <v>468</v>
      </c>
      <c r="K892">
        <v>1</v>
      </c>
    </row>
    <row r="893" spans="1:11" x14ac:dyDescent="0.25">
      <c r="A893" t="s">
        <v>559</v>
      </c>
      <c r="B893">
        <v>664.36973040734904</v>
      </c>
      <c r="C893">
        <v>38.224318350658713</v>
      </c>
      <c r="D893">
        <v>4</v>
      </c>
      <c r="E893">
        <v>2050</v>
      </c>
      <c r="F893" t="s">
        <v>472</v>
      </c>
      <c r="G893">
        <v>2.3348956914965759</v>
      </c>
      <c r="H893">
        <v>33.533840974831548</v>
      </c>
      <c r="I893" t="s">
        <v>469</v>
      </c>
      <c r="J893" t="s">
        <v>468</v>
      </c>
      <c r="K893">
        <v>2</v>
      </c>
    </row>
    <row r="894" spans="1:11" x14ac:dyDescent="0.25">
      <c r="A894" t="s">
        <v>560</v>
      </c>
      <c r="B894">
        <v>546.60245423370804</v>
      </c>
      <c r="C894">
        <v>32.870613441025668</v>
      </c>
      <c r="D894">
        <v>4</v>
      </c>
      <c r="E894">
        <v>2050</v>
      </c>
      <c r="F894" t="s">
        <v>472</v>
      </c>
      <c r="G894">
        <v>2.3348956914965759</v>
      </c>
      <c r="H894">
        <v>33.533840974831548</v>
      </c>
      <c r="I894" t="s">
        <v>469</v>
      </c>
      <c r="J894" t="s">
        <v>468</v>
      </c>
      <c r="K894">
        <v>3</v>
      </c>
    </row>
    <row r="895" spans="1:11" x14ac:dyDescent="0.25">
      <c r="A895" t="s">
        <v>561</v>
      </c>
      <c r="B895">
        <v>533.92567324721574</v>
      </c>
      <c r="C895">
        <v>34.238518924280832</v>
      </c>
      <c r="D895">
        <v>4</v>
      </c>
      <c r="E895">
        <v>2050</v>
      </c>
      <c r="F895" t="s">
        <v>472</v>
      </c>
      <c r="G895">
        <v>2.3348956914965759</v>
      </c>
      <c r="H895">
        <v>33.533840974831548</v>
      </c>
      <c r="I895" t="s">
        <v>469</v>
      </c>
      <c r="J895" t="s">
        <v>468</v>
      </c>
      <c r="K895">
        <v>4</v>
      </c>
    </row>
    <row r="896" spans="1:11" x14ac:dyDescent="0.25">
      <c r="A896" t="s">
        <v>562</v>
      </c>
      <c r="B896">
        <v>668.74641258971292</v>
      </c>
      <c r="C896">
        <v>38.858251376277728</v>
      </c>
      <c r="D896">
        <v>4</v>
      </c>
      <c r="E896">
        <v>2050</v>
      </c>
      <c r="F896" t="s">
        <v>472</v>
      </c>
      <c r="G896">
        <v>2.3348956914965759</v>
      </c>
      <c r="H896">
        <v>33.533840974831548</v>
      </c>
      <c r="I896" t="s">
        <v>469</v>
      </c>
      <c r="J896" t="s">
        <v>468</v>
      </c>
      <c r="K896">
        <v>5</v>
      </c>
    </row>
    <row r="897" spans="1:11" x14ac:dyDescent="0.25">
      <c r="A897" t="s">
        <v>563</v>
      </c>
      <c r="B897">
        <v>615.48187757700578</v>
      </c>
      <c r="C897">
        <v>37.488978153420319</v>
      </c>
      <c r="D897">
        <v>4</v>
      </c>
      <c r="E897">
        <v>2050</v>
      </c>
      <c r="F897" t="s">
        <v>472</v>
      </c>
      <c r="G897">
        <v>2.3348956914965759</v>
      </c>
      <c r="H897">
        <v>33.533840974831548</v>
      </c>
      <c r="I897" t="s">
        <v>469</v>
      </c>
      <c r="J897" t="s">
        <v>468</v>
      </c>
      <c r="K897">
        <v>6</v>
      </c>
    </row>
    <row r="898" spans="1:11" x14ac:dyDescent="0.25">
      <c r="A898" t="s">
        <v>557</v>
      </c>
      <c r="B898">
        <v>354.62562502022524</v>
      </c>
      <c r="C898">
        <v>23.481728486496134</v>
      </c>
      <c r="D898">
        <v>5</v>
      </c>
      <c r="E898">
        <v>2035</v>
      </c>
      <c r="F898" t="s">
        <v>465</v>
      </c>
      <c r="G898">
        <v>1.4390268731966451</v>
      </c>
      <c r="H898">
        <v>28.757172757480589</v>
      </c>
      <c r="I898" t="s">
        <v>466</v>
      </c>
      <c r="J898" t="s">
        <v>467</v>
      </c>
      <c r="K898">
        <v>0</v>
      </c>
    </row>
    <row r="899" spans="1:11" x14ac:dyDescent="0.25">
      <c r="A899" t="s">
        <v>558</v>
      </c>
      <c r="B899">
        <v>520.83715682482091</v>
      </c>
      <c r="C899">
        <v>34.986801409071298</v>
      </c>
      <c r="D899">
        <v>5</v>
      </c>
      <c r="E899">
        <v>2035</v>
      </c>
      <c r="F899" t="s">
        <v>465</v>
      </c>
      <c r="G899">
        <v>1.4390268731966451</v>
      </c>
      <c r="H899">
        <v>28.757172757480589</v>
      </c>
      <c r="I899" t="s">
        <v>466</v>
      </c>
      <c r="J899" t="s">
        <v>467</v>
      </c>
      <c r="K899">
        <v>1</v>
      </c>
    </row>
    <row r="900" spans="1:11" x14ac:dyDescent="0.25">
      <c r="A900" t="s">
        <v>559</v>
      </c>
      <c r="B900">
        <v>709.27677263076794</v>
      </c>
      <c r="C900">
        <v>43.801654995113893</v>
      </c>
      <c r="D900">
        <v>5</v>
      </c>
      <c r="E900">
        <v>2035</v>
      </c>
      <c r="F900" t="s">
        <v>465</v>
      </c>
      <c r="G900">
        <v>1.4390268731966451</v>
      </c>
      <c r="H900">
        <v>28.757172757480589</v>
      </c>
      <c r="I900" t="s">
        <v>466</v>
      </c>
      <c r="J900" t="s">
        <v>467</v>
      </c>
      <c r="K900">
        <v>2</v>
      </c>
    </row>
    <row r="901" spans="1:11" x14ac:dyDescent="0.25">
      <c r="A901" t="s">
        <v>560</v>
      </c>
      <c r="B901">
        <v>529.66943425003228</v>
      </c>
      <c r="C901">
        <v>34.666090802768629</v>
      </c>
      <c r="D901">
        <v>5</v>
      </c>
      <c r="E901">
        <v>2035</v>
      </c>
      <c r="F901" t="s">
        <v>465</v>
      </c>
      <c r="G901">
        <v>1.4390268731966451</v>
      </c>
      <c r="H901">
        <v>28.757172757480589</v>
      </c>
      <c r="I901" t="s">
        <v>466</v>
      </c>
      <c r="J901" t="s">
        <v>467</v>
      </c>
      <c r="K901">
        <v>3</v>
      </c>
    </row>
    <row r="902" spans="1:11" x14ac:dyDescent="0.25">
      <c r="A902" t="s">
        <v>561</v>
      </c>
      <c r="B902">
        <v>572.4834152886217</v>
      </c>
      <c r="C902">
        <v>37.665405179660034</v>
      </c>
      <c r="D902">
        <v>5</v>
      </c>
      <c r="E902">
        <v>2035</v>
      </c>
      <c r="F902" t="s">
        <v>465</v>
      </c>
      <c r="G902">
        <v>1.4390268731966451</v>
      </c>
      <c r="H902">
        <v>28.757172757480589</v>
      </c>
      <c r="I902" t="s">
        <v>466</v>
      </c>
      <c r="J902" t="s">
        <v>467</v>
      </c>
      <c r="K902">
        <v>4</v>
      </c>
    </row>
    <row r="903" spans="1:11" x14ac:dyDescent="0.25">
      <c r="A903" t="s">
        <v>562</v>
      </c>
      <c r="B903">
        <v>675.36997486761447</v>
      </c>
      <c r="C903">
        <v>42.443198983673057</v>
      </c>
      <c r="D903">
        <v>5</v>
      </c>
      <c r="E903">
        <v>2035</v>
      </c>
      <c r="F903" t="s">
        <v>465</v>
      </c>
      <c r="G903">
        <v>1.4390268731966451</v>
      </c>
      <c r="H903">
        <v>28.757172757480589</v>
      </c>
      <c r="I903" t="s">
        <v>466</v>
      </c>
      <c r="J903" t="s">
        <v>467</v>
      </c>
      <c r="K903">
        <v>5</v>
      </c>
    </row>
    <row r="904" spans="1:11" x14ac:dyDescent="0.25">
      <c r="A904" t="s">
        <v>563</v>
      </c>
      <c r="B904">
        <v>601.54232532891922</v>
      </c>
      <c r="C904">
        <v>39.004896121858607</v>
      </c>
      <c r="D904">
        <v>5</v>
      </c>
      <c r="E904">
        <v>2035</v>
      </c>
      <c r="F904" t="s">
        <v>465</v>
      </c>
      <c r="G904">
        <v>1.4390268731966451</v>
      </c>
      <c r="H904">
        <v>28.757172757480589</v>
      </c>
      <c r="I904" t="s">
        <v>466</v>
      </c>
      <c r="J904" t="s">
        <v>467</v>
      </c>
      <c r="K904">
        <v>6</v>
      </c>
    </row>
    <row r="905" spans="1:11" x14ac:dyDescent="0.25">
      <c r="A905" t="s">
        <v>557</v>
      </c>
      <c r="B905">
        <v>367.33324855944994</v>
      </c>
      <c r="C905">
        <v>24.223780463552014</v>
      </c>
      <c r="D905">
        <v>5</v>
      </c>
      <c r="E905">
        <v>2035</v>
      </c>
      <c r="F905" t="s">
        <v>465</v>
      </c>
      <c r="G905">
        <v>1.6640307374730925</v>
      </c>
      <c r="H905">
        <v>28.756242853930331</v>
      </c>
      <c r="I905" t="s">
        <v>466</v>
      </c>
      <c r="J905" t="s">
        <v>468</v>
      </c>
      <c r="K905">
        <v>0</v>
      </c>
    </row>
    <row r="906" spans="1:11" x14ac:dyDescent="0.25">
      <c r="A906" t="s">
        <v>558</v>
      </c>
      <c r="B906">
        <v>530.55620986322174</v>
      </c>
      <c r="C906">
        <v>35.703797226564994</v>
      </c>
      <c r="D906">
        <v>5</v>
      </c>
      <c r="E906">
        <v>2035</v>
      </c>
      <c r="F906" t="s">
        <v>465</v>
      </c>
      <c r="G906">
        <v>1.6640307374730925</v>
      </c>
      <c r="H906">
        <v>28.756242853930331</v>
      </c>
      <c r="I906" t="s">
        <v>466</v>
      </c>
      <c r="J906" t="s">
        <v>468</v>
      </c>
      <c r="K906">
        <v>1</v>
      </c>
    </row>
    <row r="907" spans="1:11" x14ac:dyDescent="0.25">
      <c r="A907" t="s">
        <v>559</v>
      </c>
      <c r="B907">
        <v>656.59470803357101</v>
      </c>
      <c r="C907">
        <v>40.898890346954175</v>
      </c>
      <c r="D907">
        <v>5</v>
      </c>
      <c r="E907">
        <v>2035</v>
      </c>
      <c r="F907" t="s">
        <v>465</v>
      </c>
      <c r="G907">
        <v>1.6640307374730925</v>
      </c>
      <c r="H907">
        <v>28.756242853930331</v>
      </c>
      <c r="I907" t="s">
        <v>466</v>
      </c>
      <c r="J907" t="s">
        <v>468</v>
      </c>
      <c r="K907">
        <v>2</v>
      </c>
    </row>
    <row r="908" spans="1:11" x14ac:dyDescent="0.25">
      <c r="A908" t="s">
        <v>560</v>
      </c>
      <c r="B908">
        <v>556.42808515067873</v>
      </c>
      <c r="C908">
        <v>36.085685234131901</v>
      </c>
      <c r="D908">
        <v>5</v>
      </c>
      <c r="E908">
        <v>2035</v>
      </c>
      <c r="F908" t="s">
        <v>465</v>
      </c>
      <c r="G908">
        <v>1.6640307374730925</v>
      </c>
      <c r="H908">
        <v>28.756242853930331</v>
      </c>
      <c r="I908" t="s">
        <v>466</v>
      </c>
      <c r="J908" t="s">
        <v>468</v>
      </c>
      <c r="K908">
        <v>3</v>
      </c>
    </row>
    <row r="909" spans="1:11" x14ac:dyDescent="0.25">
      <c r="A909" t="s">
        <v>561</v>
      </c>
      <c r="B909">
        <v>512.68577114177958</v>
      </c>
      <c r="C909">
        <v>34.114758324614513</v>
      </c>
      <c r="D909">
        <v>5</v>
      </c>
      <c r="E909">
        <v>2035</v>
      </c>
      <c r="F909" t="s">
        <v>465</v>
      </c>
      <c r="G909">
        <v>1.6640307374730925</v>
      </c>
      <c r="H909">
        <v>28.756242853930331</v>
      </c>
      <c r="I909" t="s">
        <v>466</v>
      </c>
      <c r="J909" t="s">
        <v>468</v>
      </c>
      <c r="K909">
        <v>4</v>
      </c>
    </row>
    <row r="910" spans="1:11" x14ac:dyDescent="0.25">
      <c r="A910" t="s">
        <v>562</v>
      </c>
      <c r="B910">
        <v>687.74484439811113</v>
      </c>
      <c r="C910">
        <v>43.032887831805546</v>
      </c>
      <c r="D910">
        <v>5</v>
      </c>
      <c r="E910">
        <v>2035</v>
      </c>
      <c r="F910" t="s">
        <v>465</v>
      </c>
      <c r="G910">
        <v>1.6640307374730925</v>
      </c>
      <c r="H910">
        <v>28.756242853930331</v>
      </c>
      <c r="I910" t="s">
        <v>466</v>
      </c>
      <c r="J910" t="s">
        <v>468</v>
      </c>
      <c r="K910">
        <v>5</v>
      </c>
    </row>
    <row r="911" spans="1:11" x14ac:dyDescent="0.25">
      <c r="A911" t="s">
        <v>563</v>
      </c>
      <c r="B911">
        <v>601.13225753229528</v>
      </c>
      <c r="C911">
        <v>38.731053939801917</v>
      </c>
      <c r="D911">
        <v>5</v>
      </c>
      <c r="E911">
        <v>2035</v>
      </c>
      <c r="F911" t="s">
        <v>465</v>
      </c>
      <c r="G911">
        <v>1.6640307374730925</v>
      </c>
      <c r="H911">
        <v>28.756242853930331</v>
      </c>
      <c r="I911" t="s">
        <v>466</v>
      </c>
      <c r="J911" t="s">
        <v>468</v>
      </c>
      <c r="K911">
        <v>6</v>
      </c>
    </row>
    <row r="912" spans="1:11" x14ac:dyDescent="0.25">
      <c r="A912" t="s">
        <v>557</v>
      </c>
      <c r="B912">
        <v>375.53246131303291</v>
      </c>
      <c r="C912">
        <v>24.819317614894814</v>
      </c>
      <c r="D912">
        <v>5</v>
      </c>
      <c r="E912">
        <v>2035</v>
      </c>
      <c r="F912" t="s">
        <v>465</v>
      </c>
      <c r="G912">
        <v>1.4390268490075655</v>
      </c>
      <c r="H912">
        <v>31.95720583156853</v>
      </c>
      <c r="I912" t="s">
        <v>469</v>
      </c>
      <c r="J912" t="s">
        <v>467</v>
      </c>
      <c r="K912">
        <v>0</v>
      </c>
    </row>
    <row r="913" spans="1:11" x14ac:dyDescent="0.25">
      <c r="A913" t="s">
        <v>558</v>
      </c>
      <c r="B913">
        <v>504.90915398479007</v>
      </c>
      <c r="C913">
        <v>34.274017701246123</v>
      </c>
      <c r="D913">
        <v>5</v>
      </c>
      <c r="E913">
        <v>2035</v>
      </c>
      <c r="F913" t="s">
        <v>465</v>
      </c>
      <c r="G913">
        <v>1.4390268490075655</v>
      </c>
      <c r="H913">
        <v>31.95720583156853</v>
      </c>
      <c r="I913" t="s">
        <v>469</v>
      </c>
      <c r="J913" t="s">
        <v>467</v>
      </c>
      <c r="K913">
        <v>1</v>
      </c>
    </row>
    <row r="914" spans="1:11" x14ac:dyDescent="0.25">
      <c r="A914" t="s">
        <v>559</v>
      </c>
      <c r="B914">
        <v>652.87920942824405</v>
      </c>
      <c r="C914">
        <v>39.296935074314923</v>
      </c>
      <c r="D914">
        <v>5</v>
      </c>
      <c r="E914">
        <v>2035</v>
      </c>
      <c r="F914" t="s">
        <v>465</v>
      </c>
      <c r="G914">
        <v>1.4390268490075655</v>
      </c>
      <c r="H914">
        <v>31.95720583156853</v>
      </c>
      <c r="I914" t="s">
        <v>469</v>
      </c>
      <c r="J914" t="s">
        <v>467</v>
      </c>
      <c r="K914">
        <v>2</v>
      </c>
    </row>
    <row r="915" spans="1:11" x14ac:dyDescent="0.25">
      <c r="A915" t="s">
        <v>560</v>
      </c>
      <c r="B915">
        <v>593.80836780105392</v>
      </c>
      <c r="C915">
        <v>37.570689945644254</v>
      </c>
      <c r="D915">
        <v>5</v>
      </c>
      <c r="E915">
        <v>2035</v>
      </c>
      <c r="F915" t="s">
        <v>465</v>
      </c>
      <c r="G915">
        <v>1.4390268490075655</v>
      </c>
      <c r="H915">
        <v>31.95720583156853</v>
      </c>
      <c r="I915" t="s">
        <v>469</v>
      </c>
      <c r="J915" t="s">
        <v>467</v>
      </c>
      <c r="K915">
        <v>3</v>
      </c>
    </row>
    <row r="916" spans="1:11" x14ac:dyDescent="0.25">
      <c r="A916" t="s">
        <v>561</v>
      </c>
      <c r="B916">
        <v>521.27019612985907</v>
      </c>
      <c r="C916">
        <v>34.514268643520069</v>
      </c>
      <c r="D916">
        <v>5</v>
      </c>
      <c r="E916">
        <v>2035</v>
      </c>
      <c r="F916" t="s">
        <v>465</v>
      </c>
      <c r="G916">
        <v>1.4390268490075655</v>
      </c>
      <c r="H916">
        <v>31.95720583156853</v>
      </c>
      <c r="I916" t="s">
        <v>469</v>
      </c>
      <c r="J916" t="s">
        <v>467</v>
      </c>
      <c r="K916">
        <v>4</v>
      </c>
    </row>
    <row r="917" spans="1:11" x14ac:dyDescent="0.25">
      <c r="A917" t="s">
        <v>562</v>
      </c>
      <c r="B917">
        <v>679.81503910344827</v>
      </c>
      <c r="C917">
        <v>41.676354510554674</v>
      </c>
      <c r="D917">
        <v>5</v>
      </c>
      <c r="E917">
        <v>2035</v>
      </c>
      <c r="F917" t="s">
        <v>465</v>
      </c>
      <c r="G917">
        <v>1.4390268490075655</v>
      </c>
      <c r="H917">
        <v>31.95720583156853</v>
      </c>
      <c r="I917" t="s">
        <v>469</v>
      </c>
      <c r="J917" t="s">
        <v>467</v>
      </c>
      <c r="K917">
        <v>5</v>
      </c>
    </row>
    <row r="918" spans="1:11" x14ac:dyDescent="0.25">
      <c r="A918" t="s">
        <v>563</v>
      </c>
      <c r="B918">
        <v>598.32043258587896</v>
      </c>
      <c r="C918">
        <v>37.81614412175874</v>
      </c>
      <c r="D918">
        <v>5</v>
      </c>
      <c r="E918">
        <v>2035</v>
      </c>
      <c r="F918" t="s">
        <v>465</v>
      </c>
      <c r="G918">
        <v>1.4390268490075655</v>
      </c>
      <c r="H918">
        <v>31.95720583156853</v>
      </c>
      <c r="I918" t="s">
        <v>469</v>
      </c>
      <c r="J918" t="s">
        <v>467</v>
      </c>
      <c r="K918">
        <v>6</v>
      </c>
    </row>
    <row r="919" spans="1:11" x14ac:dyDescent="0.25">
      <c r="A919" t="s">
        <v>557</v>
      </c>
      <c r="B919">
        <v>388.61659771481237</v>
      </c>
      <c r="C919">
        <v>25.644351630103355</v>
      </c>
      <c r="D919">
        <v>5</v>
      </c>
      <c r="E919">
        <v>2035</v>
      </c>
      <c r="F919" t="s">
        <v>465</v>
      </c>
      <c r="G919">
        <v>1.6640306890102956</v>
      </c>
      <c r="H919">
        <v>31.896032158854666</v>
      </c>
      <c r="I919" t="s">
        <v>469</v>
      </c>
      <c r="J919" t="s">
        <v>468</v>
      </c>
      <c r="K919">
        <v>0</v>
      </c>
    </row>
    <row r="920" spans="1:11" x14ac:dyDescent="0.25">
      <c r="A920" t="s">
        <v>558</v>
      </c>
      <c r="B920">
        <v>526.77682515074775</v>
      </c>
      <c r="C920">
        <v>35.375350387348149</v>
      </c>
      <c r="D920">
        <v>5</v>
      </c>
      <c r="E920">
        <v>2035</v>
      </c>
      <c r="F920" t="s">
        <v>465</v>
      </c>
      <c r="G920">
        <v>1.6640306890102956</v>
      </c>
      <c r="H920">
        <v>31.896032158854666</v>
      </c>
      <c r="I920" t="s">
        <v>469</v>
      </c>
      <c r="J920" t="s">
        <v>468</v>
      </c>
      <c r="K920">
        <v>1</v>
      </c>
    </row>
    <row r="921" spans="1:11" x14ac:dyDescent="0.25">
      <c r="A921" t="s">
        <v>559</v>
      </c>
      <c r="B921">
        <v>694.01373464165238</v>
      </c>
      <c r="C921">
        <v>42.083873461137486</v>
      </c>
      <c r="D921">
        <v>5</v>
      </c>
      <c r="E921">
        <v>2035</v>
      </c>
      <c r="F921" t="s">
        <v>465</v>
      </c>
      <c r="G921">
        <v>1.6640306890102956</v>
      </c>
      <c r="H921">
        <v>31.896032158854666</v>
      </c>
      <c r="I921" t="s">
        <v>469</v>
      </c>
      <c r="J921" t="s">
        <v>468</v>
      </c>
      <c r="K921">
        <v>2</v>
      </c>
    </row>
    <row r="922" spans="1:11" x14ac:dyDescent="0.25">
      <c r="A922" t="s">
        <v>560</v>
      </c>
      <c r="B922">
        <v>578.10666136066538</v>
      </c>
      <c r="C922">
        <v>36.179945477835922</v>
      </c>
      <c r="D922">
        <v>5</v>
      </c>
      <c r="E922">
        <v>2035</v>
      </c>
      <c r="F922" t="s">
        <v>465</v>
      </c>
      <c r="G922">
        <v>1.6640306890102956</v>
      </c>
      <c r="H922">
        <v>31.896032158854666</v>
      </c>
      <c r="I922" t="s">
        <v>469</v>
      </c>
      <c r="J922" t="s">
        <v>468</v>
      </c>
      <c r="K922">
        <v>3</v>
      </c>
    </row>
    <row r="923" spans="1:11" x14ac:dyDescent="0.25">
      <c r="A923" t="s">
        <v>561</v>
      </c>
      <c r="B923">
        <v>548.98178277228192</v>
      </c>
      <c r="C923">
        <v>35.215593093071185</v>
      </c>
      <c r="D923">
        <v>5</v>
      </c>
      <c r="E923">
        <v>2035</v>
      </c>
      <c r="F923" t="s">
        <v>465</v>
      </c>
      <c r="G923">
        <v>1.6640306890102956</v>
      </c>
      <c r="H923">
        <v>31.896032158854666</v>
      </c>
      <c r="I923" t="s">
        <v>469</v>
      </c>
      <c r="J923" t="s">
        <v>468</v>
      </c>
      <c r="K923">
        <v>4</v>
      </c>
    </row>
    <row r="924" spans="1:11" x14ac:dyDescent="0.25">
      <c r="A924" t="s">
        <v>562</v>
      </c>
      <c r="B924">
        <v>674.63583966589636</v>
      </c>
      <c r="C924">
        <v>41.215750628737226</v>
      </c>
      <c r="D924">
        <v>5</v>
      </c>
      <c r="E924">
        <v>2035</v>
      </c>
      <c r="F924" t="s">
        <v>465</v>
      </c>
      <c r="G924">
        <v>1.6640306890102956</v>
      </c>
      <c r="H924">
        <v>31.896032158854666</v>
      </c>
      <c r="I924" t="s">
        <v>469</v>
      </c>
      <c r="J924" t="s">
        <v>468</v>
      </c>
      <c r="K924">
        <v>5</v>
      </c>
    </row>
    <row r="925" spans="1:11" x14ac:dyDescent="0.25">
      <c r="A925" t="s">
        <v>563</v>
      </c>
      <c r="B925">
        <v>593.97541107054712</v>
      </c>
      <c r="C925">
        <v>37.55282388122464</v>
      </c>
      <c r="D925">
        <v>5</v>
      </c>
      <c r="E925">
        <v>2035</v>
      </c>
      <c r="F925" t="s">
        <v>465</v>
      </c>
      <c r="G925">
        <v>1.6640306890102956</v>
      </c>
      <c r="H925">
        <v>31.896032158854666</v>
      </c>
      <c r="I925" t="s">
        <v>469</v>
      </c>
      <c r="J925" t="s">
        <v>468</v>
      </c>
      <c r="K925">
        <v>6</v>
      </c>
    </row>
    <row r="926" spans="1:11" x14ac:dyDescent="0.25">
      <c r="A926" t="s">
        <v>557</v>
      </c>
      <c r="B926">
        <v>370.32214376170373</v>
      </c>
      <c r="C926">
        <v>24.502059198202353</v>
      </c>
      <c r="D926">
        <v>5</v>
      </c>
      <c r="E926">
        <v>2050</v>
      </c>
      <c r="F926" t="s">
        <v>465</v>
      </c>
      <c r="G926">
        <v>1.5923770953152836</v>
      </c>
      <c r="H926">
        <v>29.829646972301333</v>
      </c>
      <c r="I926" t="s">
        <v>466</v>
      </c>
      <c r="J926" t="s">
        <v>467</v>
      </c>
      <c r="K926">
        <v>0</v>
      </c>
    </row>
    <row r="927" spans="1:11" x14ac:dyDescent="0.25">
      <c r="A927" t="s">
        <v>558</v>
      </c>
      <c r="B927">
        <v>541.23197138468265</v>
      </c>
      <c r="C927">
        <v>35.654507842087241</v>
      </c>
      <c r="D927">
        <v>5</v>
      </c>
      <c r="E927">
        <v>2050</v>
      </c>
      <c r="F927" t="s">
        <v>465</v>
      </c>
      <c r="G927">
        <v>1.5923770953152836</v>
      </c>
      <c r="H927">
        <v>29.829646972301333</v>
      </c>
      <c r="I927" t="s">
        <v>466</v>
      </c>
      <c r="J927" t="s">
        <v>467</v>
      </c>
      <c r="K927">
        <v>1</v>
      </c>
    </row>
    <row r="928" spans="1:11" x14ac:dyDescent="0.25">
      <c r="A928" t="s">
        <v>559</v>
      </c>
      <c r="B928">
        <v>644.27697019409175</v>
      </c>
      <c r="C928">
        <v>39.9614517003833</v>
      </c>
      <c r="D928">
        <v>5</v>
      </c>
      <c r="E928">
        <v>2050</v>
      </c>
      <c r="F928" t="s">
        <v>465</v>
      </c>
      <c r="G928">
        <v>1.5923770953152836</v>
      </c>
      <c r="H928">
        <v>29.829646972301333</v>
      </c>
      <c r="I928" t="s">
        <v>466</v>
      </c>
      <c r="J928" t="s">
        <v>467</v>
      </c>
      <c r="K928">
        <v>2</v>
      </c>
    </row>
    <row r="929" spans="1:11" x14ac:dyDescent="0.25">
      <c r="A929" t="s">
        <v>560</v>
      </c>
      <c r="B929">
        <v>585.04771119705219</v>
      </c>
      <c r="C929">
        <v>37.582935863206998</v>
      </c>
      <c r="D929">
        <v>5</v>
      </c>
      <c r="E929">
        <v>2050</v>
      </c>
      <c r="F929" t="s">
        <v>465</v>
      </c>
      <c r="G929">
        <v>1.5923770953152836</v>
      </c>
      <c r="H929">
        <v>29.829646972301333</v>
      </c>
      <c r="I929" t="s">
        <v>466</v>
      </c>
      <c r="J929" t="s">
        <v>467</v>
      </c>
      <c r="K929">
        <v>3</v>
      </c>
    </row>
    <row r="930" spans="1:11" x14ac:dyDescent="0.25">
      <c r="A930" t="s">
        <v>561</v>
      </c>
      <c r="B930">
        <v>504.78389877345654</v>
      </c>
      <c r="C930">
        <v>33.03306056094587</v>
      </c>
      <c r="D930">
        <v>5</v>
      </c>
      <c r="E930">
        <v>2050</v>
      </c>
      <c r="F930" t="s">
        <v>465</v>
      </c>
      <c r="G930">
        <v>1.5923770953152836</v>
      </c>
      <c r="H930">
        <v>29.829646972301333</v>
      </c>
      <c r="I930" t="s">
        <v>466</v>
      </c>
      <c r="J930" t="s">
        <v>467</v>
      </c>
      <c r="K930">
        <v>4</v>
      </c>
    </row>
    <row r="931" spans="1:11" x14ac:dyDescent="0.25">
      <c r="A931" t="s">
        <v>562</v>
      </c>
      <c r="B931">
        <v>671.50022220109258</v>
      </c>
      <c r="C931">
        <v>41.69608263382186</v>
      </c>
      <c r="D931">
        <v>5</v>
      </c>
      <c r="E931">
        <v>2050</v>
      </c>
      <c r="F931" t="s">
        <v>465</v>
      </c>
      <c r="G931">
        <v>1.5923770953152836</v>
      </c>
      <c r="H931">
        <v>29.829646972301333</v>
      </c>
      <c r="I931" t="s">
        <v>466</v>
      </c>
      <c r="J931" t="s">
        <v>467</v>
      </c>
      <c r="K931">
        <v>5</v>
      </c>
    </row>
    <row r="932" spans="1:11" x14ac:dyDescent="0.25">
      <c r="A932" t="s">
        <v>563</v>
      </c>
      <c r="B932">
        <v>592.52094191838739</v>
      </c>
      <c r="C932">
        <v>38.226576921544513</v>
      </c>
      <c r="D932">
        <v>5</v>
      </c>
      <c r="E932">
        <v>2050</v>
      </c>
      <c r="F932" t="s">
        <v>465</v>
      </c>
      <c r="G932">
        <v>1.5923770953152836</v>
      </c>
      <c r="H932">
        <v>29.829646972301333</v>
      </c>
      <c r="I932" t="s">
        <v>466</v>
      </c>
      <c r="J932" t="s">
        <v>467</v>
      </c>
      <c r="K932">
        <v>6</v>
      </c>
    </row>
    <row r="933" spans="1:11" x14ac:dyDescent="0.25">
      <c r="A933" t="s">
        <v>557</v>
      </c>
      <c r="B933">
        <v>367.01929699611071</v>
      </c>
      <c r="C933">
        <v>24.153992482505299</v>
      </c>
      <c r="D933">
        <v>5</v>
      </c>
      <c r="E933">
        <v>2050</v>
      </c>
      <c r="F933" t="s">
        <v>465</v>
      </c>
      <c r="G933">
        <v>1.8660007077516783</v>
      </c>
      <c r="H933">
        <v>29.828506253038626</v>
      </c>
      <c r="I933" t="s">
        <v>466</v>
      </c>
      <c r="J933" t="s">
        <v>468</v>
      </c>
      <c r="K933">
        <v>0</v>
      </c>
    </row>
    <row r="934" spans="1:11" x14ac:dyDescent="0.25">
      <c r="A934" t="s">
        <v>558</v>
      </c>
      <c r="B934">
        <v>497.50614532090191</v>
      </c>
      <c r="C934">
        <v>33.470772110137482</v>
      </c>
      <c r="D934">
        <v>5</v>
      </c>
      <c r="E934">
        <v>2050</v>
      </c>
      <c r="F934" t="s">
        <v>465</v>
      </c>
      <c r="G934">
        <v>1.8660007077516783</v>
      </c>
      <c r="H934">
        <v>29.828506253038626</v>
      </c>
      <c r="I934" t="s">
        <v>466</v>
      </c>
      <c r="J934" t="s">
        <v>468</v>
      </c>
      <c r="K934">
        <v>1</v>
      </c>
    </row>
    <row r="935" spans="1:11" x14ac:dyDescent="0.25">
      <c r="A935" t="s">
        <v>559</v>
      </c>
      <c r="B935">
        <v>683.72411968830352</v>
      </c>
      <c r="C935">
        <v>42.105261843750029</v>
      </c>
      <c r="D935">
        <v>5</v>
      </c>
      <c r="E935">
        <v>2050</v>
      </c>
      <c r="F935" t="s">
        <v>465</v>
      </c>
      <c r="G935">
        <v>1.8660007077516783</v>
      </c>
      <c r="H935">
        <v>29.828506253038626</v>
      </c>
      <c r="I935" t="s">
        <v>466</v>
      </c>
      <c r="J935" t="s">
        <v>468</v>
      </c>
      <c r="K935">
        <v>2</v>
      </c>
    </row>
    <row r="936" spans="1:11" x14ac:dyDescent="0.25">
      <c r="A936" t="s">
        <v>560</v>
      </c>
      <c r="B936">
        <v>591.24952193274373</v>
      </c>
      <c r="C936">
        <v>37.6973928795746</v>
      </c>
      <c r="D936">
        <v>5</v>
      </c>
      <c r="E936">
        <v>2050</v>
      </c>
      <c r="F936" t="s">
        <v>465</v>
      </c>
      <c r="G936">
        <v>1.8660007077516783</v>
      </c>
      <c r="H936">
        <v>29.828506253038626</v>
      </c>
      <c r="I936" t="s">
        <v>466</v>
      </c>
      <c r="J936" t="s">
        <v>468</v>
      </c>
      <c r="K936">
        <v>3</v>
      </c>
    </row>
    <row r="937" spans="1:11" x14ac:dyDescent="0.25">
      <c r="A937" t="s">
        <v>561</v>
      </c>
      <c r="B937">
        <v>520.72609228850081</v>
      </c>
      <c r="C937">
        <v>35.316528383146746</v>
      </c>
      <c r="D937">
        <v>5</v>
      </c>
      <c r="E937">
        <v>2050</v>
      </c>
      <c r="F937" t="s">
        <v>465</v>
      </c>
      <c r="G937">
        <v>1.8660007077516783</v>
      </c>
      <c r="H937">
        <v>29.828506253038626</v>
      </c>
      <c r="I937" t="s">
        <v>466</v>
      </c>
      <c r="J937" t="s">
        <v>468</v>
      </c>
      <c r="K937">
        <v>4</v>
      </c>
    </row>
    <row r="938" spans="1:11" x14ac:dyDescent="0.25">
      <c r="A938" t="s">
        <v>562</v>
      </c>
      <c r="B938">
        <v>669.36433100011743</v>
      </c>
      <c r="C938">
        <v>41.404459623559731</v>
      </c>
      <c r="D938">
        <v>5</v>
      </c>
      <c r="E938">
        <v>2050</v>
      </c>
      <c r="F938" t="s">
        <v>465</v>
      </c>
      <c r="G938">
        <v>1.8660007077516783</v>
      </c>
      <c r="H938">
        <v>29.828506253038626</v>
      </c>
      <c r="I938" t="s">
        <v>466</v>
      </c>
      <c r="J938" t="s">
        <v>468</v>
      </c>
      <c r="K938">
        <v>5</v>
      </c>
    </row>
    <row r="939" spans="1:11" x14ac:dyDescent="0.25">
      <c r="A939" t="s">
        <v>563</v>
      </c>
      <c r="B939">
        <v>592.92835997042243</v>
      </c>
      <c r="C939">
        <v>37.947730148609871</v>
      </c>
      <c r="D939">
        <v>5</v>
      </c>
      <c r="E939">
        <v>2050</v>
      </c>
      <c r="F939" t="s">
        <v>465</v>
      </c>
      <c r="G939">
        <v>1.8660007077516783</v>
      </c>
      <c r="H939">
        <v>29.828506253038626</v>
      </c>
      <c r="I939" t="s">
        <v>466</v>
      </c>
      <c r="J939" t="s">
        <v>468</v>
      </c>
      <c r="K939">
        <v>6</v>
      </c>
    </row>
    <row r="940" spans="1:11" x14ac:dyDescent="0.25">
      <c r="A940" t="s">
        <v>557</v>
      </c>
      <c r="B940">
        <v>409.95566406001592</v>
      </c>
      <c r="C940">
        <v>26.750982862599059</v>
      </c>
      <c r="D940">
        <v>5</v>
      </c>
      <c r="E940">
        <v>2050</v>
      </c>
      <c r="F940" t="s">
        <v>465</v>
      </c>
      <c r="G940">
        <v>1.592377095928708</v>
      </c>
      <c r="H940">
        <v>33.800918867771685</v>
      </c>
      <c r="I940" t="s">
        <v>469</v>
      </c>
      <c r="J940" t="s">
        <v>467</v>
      </c>
      <c r="K940">
        <v>0</v>
      </c>
    </row>
    <row r="941" spans="1:11" x14ac:dyDescent="0.25">
      <c r="A941" t="s">
        <v>558</v>
      </c>
      <c r="B941">
        <v>510.93635365706808</v>
      </c>
      <c r="C941">
        <v>34.235384638158536</v>
      </c>
      <c r="D941">
        <v>5</v>
      </c>
      <c r="E941">
        <v>2050</v>
      </c>
      <c r="F941" t="s">
        <v>465</v>
      </c>
      <c r="G941">
        <v>1.592377095928708</v>
      </c>
      <c r="H941">
        <v>33.800918867771685</v>
      </c>
      <c r="I941" t="s">
        <v>469</v>
      </c>
      <c r="J941" t="s">
        <v>467</v>
      </c>
      <c r="K941">
        <v>1</v>
      </c>
    </row>
    <row r="942" spans="1:11" x14ac:dyDescent="0.25">
      <c r="A942" t="s">
        <v>559</v>
      </c>
      <c r="B942">
        <v>659.11353926831009</v>
      </c>
      <c r="C942">
        <v>39.809562312798754</v>
      </c>
      <c r="D942">
        <v>5</v>
      </c>
      <c r="E942">
        <v>2050</v>
      </c>
      <c r="F942" t="s">
        <v>465</v>
      </c>
      <c r="G942">
        <v>1.592377095928708</v>
      </c>
      <c r="H942">
        <v>33.800918867771685</v>
      </c>
      <c r="I942" t="s">
        <v>469</v>
      </c>
      <c r="J942" t="s">
        <v>467</v>
      </c>
      <c r="K942">
        <v>2</v>
      </c>
    </row>
    <row r="943" spans="1:11" x14ac:dyDescent="0.25">
      <c r="A943" t="s">
        <v>560</v>
      </c>
      <c r="B943">
        <v>579.80434588168703</v>
      </c>
      <c r="C943">
        <v>35.662518918430308</v>
      </c>
      <c r="D943">
        <v>5</v>
      </c>
      <c r="E943">
        <v>2050</v>
      </c>
      <c r="F943" t="s">
        <v>465</v>
      </c>
      <c r="G943">
        <v>1.592377095928708</v>
      </c>
      <c r="H943">
        <v>33.800918867771685</v>
      </c>
      <c r="I943" t="s">
        <v>469</v>
      </c>
      <c r="J943" t="s">
        <v>467</v>
      </c>
      <c r="K943">
        <v>3</v>
      </c>
    </row>
    <row r="944" spans="1:11" x14ac:dyDescent="0.25">
      <c r="A944" t="s">
        <v>561</v>
      </c>
      <c r="B944">
        <v>553.75591234419335</v>
      </c>
      <c r="C944">
        <v>34.966314741449821</v>
      </c>
      <c r="D944">
        <v>5</v>
      </c>
      <c r="E944">
        <v>2050</v>
      </c>
      <c r="F944" t="s">
        <v>465</v>
      </c>
      <c r="G944">
        <v>1.592377095928708</v>
      </c>
      <c r="H944">
        <v>33.800918867771685</v>
      </c>
      <c r="I944" t="s">
        <v>469</v>
      </c>
      <c r="J944" t="s">
        <v>467</v>
      </c>
      <c r="K944">
        <v>4</v>
      </c>
    </row>
    <row r="945" spans="1:11" x14ac:dyDescent="0.25">
      <c r="A945" t="s">
        <v>562</v>
      </c>
      <c r="B945">
        <v>656.57221377496376</v>
      </c>
      <c r="C945">
        <v>39.464947832919158</v>
      </c>
      <c r="D945">
        <v>5</v>
      </c>
      <c r="E945">
        <v>2050</v>
      </c>
      <c r="F945" t="s">
        <v>465</v>
      </c>
      <c r="G945">
        <v>1.592377095928708</v>
      </c>
      <c r="H945">
        <v>33.800918867771685</v>
      </c>
      <c r="I945" t="s">
        <v>469</v>
      </c>
      <c r="J945" t="s">
        <v>467</v>
      </c>
      <c r="K945">
        <v>5</v>
      </c>
    </row>
    <row r="946" spans="1:11" x14ac:dyDescent="0.25">
      <c r="A946" t="s">
        <v>563</v>
      </c>
      <c r="B946">
        <v>600.50947685749065</v>
      </c>
      <c r="C946">
        <v>37.651729167025032</v>
      </c>
      <c r="D946">
        <v>5</v>
      </c>
      <c r="E946">
        <v>2050</v>
      </c>
      <c r="F946" t="s">
        <v>465</v>
      </c>
      <c r="G946">
        <v>1.592377095928708</v>
      </c>
      <c r="H946">
        <v>33.800918867771685</v>
      </c>
      <c r="I946" t="s">
        <v>469</v>
      </c>
      <c r="J946" t="s">
        <v>467</v>
      </c>
      <c r="K946">
        <v>6</v>
      </c>
    </row>
    <row r="947" spans="1:11" x14ac:dyDescent="0.25">
      <c r="A947" t="s">
        <v>557</v>
      </c>
      <c r="B947">
        <v>442.97260684359861</v>
      </c>
      <c r="C947">
        <v>28.851208806544385</v>
      </c>
      <c r="D947">
        <v>5</v>
      </c>
      <c r="E947">
        <v>2050</v>
      </c>
      <c r="F947" t="s">
        <v>465</v>
      </c>
      <c r="G947">
        <v>1.8660007077152501</v>
      </c>
      <c r="H947">
        <v>33.749105880046386</v>
      </c>
      <c r="I947" t="s">
        <v>469</v>
      </c>
      <c r="J947" t="s">
        <v>468</v>
      </c>
      <c r="K947">
        <v>0</v>
      </c>
    </row>
    <row r="948" spans="1:11" x14ac:dyDescent="0.25">
      <c r="A948" t="s">
        <v>558</v>
      </c>
      <c r="B948">
        <v>518.94319568030971</v>
      </c>
      <c r="C948">
        <v>34.599609614588353</v>
      </c>
      <c r="D948">
        <v>5</v>
      </c>
      <c r="E948">
        <v>2050</v>
      </c>
      <c r="F948" t="s">
        <v>465</v>
      </c>
      <c r="G948">
        <v>1.8660007077152501</v>
      </c>
      <c r="H948">
        <v>33.749105880046386</v>
      </c>
      <c r="I948" t="s">
        <v>469</v>
      </c>
      <c r="J948" t="s">
        <v>468</v>
      </c>
      <c r="K948">
        <v>1</v>
      </c>
    </row>
    <row r="949" spans="1:11" x14ac:dyDescent="0.25">
      <c r="A949" t="s">
        <v>559</v>
      </c>
      <c r="B949">
        <v>631.91134669063399</v>
      </c>
      <c r="C949">
        <v>38.141090772739624</v>
      </c>
      <c r="D949">
        <v>5</v>
      </c>
      <c r="E949">
        <v>2050</v>
      </c>
      <c r="F949" t="s">
        <v>465</v>
      </c>
      <c r="G949">
        <v>1.8660007077152501</v>
      </c>
      <c r="H949">
        <v>33.749105880046386</v>
      </c>
      <c r="I949" t="s">
        <v>469</v>
      </c>
      <c r="J949" t="s">
        <v>468</v>
      </c>
      <c r="K949">
        <v>2</v>
      </c>
    </row>
    <row r="950" spans="1:11" x14ac:dyDescent="0.25">
      <c r="A950" t="s">
        <v>560</v>
      </c>
      <c r="B950">
        <v>593.20365938910447</v>
      </c>
      <c r="C950">
        <v>36.243101204467422</v>
      </c>
      <c r="D950">
        <v>5</v>
      </c>
      <c r="E950">
        <v>2050</v>
      </c>
      <c r="F950" t="s">
        <v>465</v>
      </c>
      <c r="G950">
        <v>1.8660007077152501</v>
      </c>
      <c r="H950">
        <v>33.749105880046386</v>
      </c>
      <c r="I950" t="s">
        <v>469</v>
      </c>
      <c r="J950" t="s">
        <v>468</v>
      </c>
      <c r="K950">
        <v>3</v>
      </c>
    </row>
    <row r="951" spans="1:11" x14ac:dyDescent="0.25">
      <c r="A951" t="s">
        <v>561</v>
      </c>
      <c r="B951">
        <v>567.35005080924941</v>
      </c>
      <c r="C951">
        <v>35.724171722554978</v>
      </c>
      <c r="D951">
        <v>5</v>
      </c>
      <c r="E951">
        <v>2050</v>
      </c>
      <c r="F951" t="s">
        <v>465</v>
      </c>
      <c r="G951">
        <v>1.8660007077152501</v>
      </c>
      <c r="H951">
        <v>33.749105880046386</v>
      </c>
      <c r="I951" t="s">
        <v>469</v>
      </c>
      <c r="J951" t="s">
        <v>468</v>
      </c>
      <c r="K951">
        <v>4</v>
      </c>
    </row>
    <row r="952" spans="1:11" x14ac:dyDescent="0.25">
      <c r="A952" t="s">
        <v>562</v>
      </c>
      <c r="B952">
        <v>679.16951350654278</v>
      </c>
      <c r="C952">
        <v>40.582497257936765</v>
      </c>
      <c r="D952">
        <v>5</v>
      </c>
      <c r="E952">
        <v>2050</v>
      </c>
      <c r="F952" t="s">
        <v>465</v>
      </c>
      <c r="G952">
        <v>1.8660007077152501</v>
      </c>
      <c r="H952">
        <v>33.749105880046386</v>
      </c>
      <c r="I952" t="s">
        <v>469</v>
      </c>
      <c r="J952" t="s">
        <v>468</v>
      </c>
      <c r="K952">
        <v>5</v>
      </c>
    </row>
    <row r="953" spans="1:11" x14ac:dyDescent="0.25">
      <c r="A953" t="s">
        <v>563</v>
      </c>
      <c r="B953">
        <v>597.94541267841021</v>
      </c>
      <c r="C953">
        <v>36.933648476696099</v>
      </c>
      <c r="D953">
        <v>5</v>
      </c>
      <c r="E953">
        <v>2050</v>
      </c>
      <c r="F953" t="s">
        <v>465</v>
      </c>
      <c r="G953">
        <v>1.8660007077152501</v>
      </c>
      <c r="H953">
        <v>33.749105880046386</v>
      </c>
      <c r="I953" t="s">
        <v>469</v>
      </c>
      <c r="J953" t="s">
        <v>468</v>
      </c>
      <c r="K953">
        <v>6</v>
      </c>
    </row>
    <row r="954" spans="1:11" x14ac:dyDescent="0.25">
      <c r="A954" t="s">
        <v>557</v>
      </c>
      <c r="B954">
        <v>346.76390905820136</v>
      </c>
      <c r="C954">
        <v>22.876656074201691</v>
      </c>
      <c r="D954">
        <v>5</v>
      </c>
      <c r="E954">
        <v>2035</v>
      </c>
      <c r="F954" t="s">
        <v>470</v>
      </c>
      <c r="G954">
        <v>1.4390268733678158</v>
      </c>
      <c r="H954">
        <v>28.757174436543266</v>
      </c>
      <c r="I954" t="s">
        <v>466</v>
      </c>
      <c r="J954" t="s">
        <v>467</v>
      </c>
      <c r="K954">
        <v>0</v>
      </c>
    </row>
    <row r="955" spans="1:11" x14ac:dyDescent="0.25">
      <c r="A955" t="s">
        <v>558</v>
      </c>
      <c r="B955">
        <v>490.43084168299202</v>
      </c>
      <c r="C955">
        <v>33.469921225140844</v>
      </c>
      <c r="D955">
        <v>5</v>
      </c>
      <c r="E955">
        <v>2035</v>
      </c>
      <c r="F955" t="s">
        <v>470</v>
      </c>
      <c r="G955">
        <v>1.4390268733678158</v>
      </c>
      <c r="H955">
        <v>28.757174436543266</v>
      </c>
      <c r="I955" t="s">
        <v>466</v>
      </c>
      <c r="J955" t="s">
        <v>467</v>
      </c>
      <c r="K955">
        <v>1</v>
      </c>
    </row>
    <row r="956" spans="1:11" x14ac:dyDescent="0.25">
      <c r="A956" t="s">
        <v>559</v>
      </c>
      <c r="B956">
        <v>699.40727381948648</v>
      </c>
      <c r="C956">
        <v>43.348465633989754</v>
      </c>
      <c r="D956">
        <v>5</v>
      </c>
      <c r="E956">
        <v>2035</v>
      </c>
      <c r="F956" t="s">
        <v>470</v>
      </c>
      <c r="G956">
        <v>1.4390268733678158</v>
      </c>
      <c r="H956">
        <v>28.757174436543266</v>
      </c>
      <c r="I956" t="s">
        <v>466</v>
      </c>
      <c r="J956" t="s">
        <v>467</v>
      </c>
      <c r="K956">
        <v>2</v>
      </c>
    </row>
    <row r="957" spans="1:11" x14ac:dyDescent="0.25">
      <c r="A957" t="s">
        <v>560</v>
      </c>
      <c r="B957">
        <v>574.95811343905291</v>
      </c>
      <c r="C957">
        <v>37.903191839375786</v>
      </c>
      <c r="D957">
        <v>5</v>
      </c>
      <c r="E957">
        <v>2035</v>
      </c>
      <c r="F957" t="s">
        <v>470</v>
      </c>
      <c r="G957">
        <v>1.4390268733678158</v>
      </c>
      <c r="H957">
        <v>28.757174436543266</v>
      </c>
      <c r="I957" t="s">
        <v>466</v>
      </c>
      <c r="J957" t="s">
        <v>467</v>
      </c>
      <c r="K957">
        <v>3</v>
      </c>
    </row>
    <row r="958" spans="1:11" x14ac:dyDescent="0.25">
      <c r="A958" t="s">
        <v>561</v>
      </c>
      <c r="B958">
        <v>508.15960980890952</v>
      </c>
      <c r="C958">
        <v>34.692919762666889</v>
      </c>
      <c r="D958">
        <v>5</v>
      </c>
      <c r="E958">
        <v>2035</v>
      </c>
      <c r="F958" t="s">
        <v>470</v>
      </c>
      <c r="G958">
        <v>1.4390268733678158</v>
      </c>
      <c r="H958">
        <v>28.757174436543266</v>
      </c>
      <c r="I958" t="s">
        <v>466</v>
      </c>
      <c r="J958" t="s">
        <v>467</v>
      </c>
      <c r="K958">
        <v>4</v>
      </c>
    </row>
    <row r="959" spans="1:11" x14ac:dyDescent="0.25">
      <c r="A959" t="s">
        <v>562</v>
      </c>
      <c r="B959">
        <v>693.67998609736424</v>
      </c>
      <c r="C959">
        <v>43.35479546529357</v>
      </c>
      <c r="D959">
        <v>5</v>
      </c>
      <c r="E959">
        <v>2035</v>
      </c>
      <c r="F959" t="s">
        <v>470</v>
      </c>
      <c r="G959">
        <v>1.4390268733678158</v>
      </c>
      <c r="H959">
        <v>28.757174436543266</v>
      </c>
      <c r="I959" t="s">
        <v>466</v>
      </c>
      <c r="J959" t="s">
        <v>467</v>
      </c>
      <c r="K959">
        <v>5</v>
      </c>
    </row>
    <row r="960" spans="1:11" x14ac:dyDescent="0.25">
      <c r="A960" t="s">
        <v>563</v>
      </c>
      <c r="B960">
        <v>552.43893503636741</v>
      </c>
      <c r="C960">
        <v>36.766869700694123</v>
      </c>
      <c r="D960">
        <v>5</v>
      </c>
      <c r="E960">
        <v>2035</v>
      </c>
      <c r="F960" t="s">
        <v>470</v>
      </c>
      <c r="G960">
        <v>1.4390268733678158</v>
      </c>
      <c r="H960">
        <v>28.757174436543266</v>
      </c>
      <c r="I960" t="s">
        <v>466</v>
      </c>
      <c r="J960" t="s">
        <v>467</v>
      </c>
      <c r="K960">
        <v>6</v>
      </c>
    </row>
    <row r="961" spans="1:11" x14ac:dyDescent="0.25">
      <c r="A961" t="s">
        <v>557</v>
      </c>
      <c r="B961">
        <v>354.53021576838728</v>
      </c>
      <c r="C961">
        <v>23.391740776919754</v>
      </c>
      <c r="D961">
        <v>5</v>
      </c>
      <c r="E961">
        <v>2035</v>
      </c>
      <c r="F961" t="s">
        <v>470</v>
      </c>
      <c r="G961">
        <v>1.6640307362798623</v>
      </c>
      <c r="H961">
        <v>28.75624449828635</v>
      </c>
      <c r="I961" t="s">
        <v>466</v>
      </c>
      <c r="J961" t="s">
        <v>468</v>
      </c>
      <c r="K961">
        <v>0</v>
      </c>
    </row>
    <row r="962" spans="1:11" x14ac:dyDescent="0.25">
      <c r="A962" t="s">
        <v>558</v>
      </c>
      <c r="B962">
        <v>471.38212467008492</v>
      </c>
      <c r="C962">
        <v>32.85767442785027</v>
      </c>
      <c r="D962">
        <v>5</v>
      </c>
      <c r="E962">
        <v>2035</v>
      </c>
      <c r="F962" t="s">
        <v>470</v>
      </c>
      <c r="G962">
        <v>1.6640307362798623</v>
      </c>
      <c r="H962">
        <v>28.75624449828635</v>
      </c>
      <c r="I962" t="s">
        <v>466</v>
      </c>
      <c r="J962" t="s">
        <v>468</v>
      </c>
      <c r="K962">
        <v>1</v>
      </c>
    </row>
    <row r="963" spans="1:11" x14ac:dyDescent="0.25">
      <c r="A963" t="s">
        <v>559</v>
      </c>
      <c r="B963">
        <v>683.05243521259627</v>
      </c>
      <c r="C963">
        <v>42.82668843226007</v>
      </c>
      <c r="D963">
        <v>5</v>
      </c>
      <c r="E963">
        <v>2035</v>
      </c>
      <c r="F963" t="s">
        <v>470</v>
      </c>
      <c r="G963">
        <v>1.6640307362798623</v>
      </c>
      <c r="H963">
        <v>28.75624449828635</v>
      </c>
      <c r="I963" t="s">
        <v>466</v>
      </c>
      <c r="J963" t="s">
        <v>468</v>
      </c>
      <c r="K963">
        <v>2</v>
      </c>
    </row>
    <row r="964" spans="1:11" x14ac:dyDescent="0.25">
      <c r="A964" t="s">
        <v>560</v>
      </c>
      <c r="B964">
        <v>577.58393245141224</v>
      </c>
      <c r="C964">
        <v>37.551859593156678</v>
      </c>
      <c r="D964">
        <v>5</v>
      </c>
      <c r="E964">
        <v>2035</v>
      </c>
      <c r="F964" t="s">
        <v>470</v>
      </c>
      <c r="G964">
        <v>1.6640307362798623</v>
      </c>
      <c r="H964">
        <v>28.75624449828635</v>
      </c>
      <c r="I964" t="s">
        <v>466</v>
      </c>
      <c r="J964" t="s">
        <v>468</v>
      </c>
      <c r="K964">
        <v>3</v>
      </c>
    </row>
    <row r="965" spans="1:11" x14ac:dyDescent="0.25">
      <c r="A965" t="s">
        <v>561</v>
      </c>
      <c r="B965">
        <v>502.57553028162101</v>
      </c>
      <c r="C965">
        <v>33.608904737003854</v>
      </c>
      <c r="D965">
        <v>5</v>
      </c>
      <c r="E965">
        <v>2035</v>
      </c>
      <c r="F965" t="s">
        <v>470</v>
      </c>
      <c r="G965">
        <v>1.6640307362798623</v>
      </c>
      <c r="H965">
        <v>28.75624449828635</v>
      </c>
      <c r="I965" t="s">
        <v>466</v>
      </c>
      <c r="J965" t="s">
        <v>468</v>
      </c>
      <c r="K965">
        <v>4</v>
      </c>
    </row>
    <row r="966" spans="1:11" x14ac:dyDescent="0.25">
      <c r="A966" t="s">
        <v>562</v>
      </c>
      <c r="B966">
        <v>682.07780696659245</v>
      </c>
      <c r="C966">
        <v>42.557409558441726</v>
      </c>
      <c r="D966">
        <v>5</v>
      </c>
      <c r="E966">
        <v>2035</v>
      </c>
      <c r="F966" t="s">
        <v>470</v>
      </c>
      <c r="G966">
        <v>1.6640307362798623</v>
      </c>
      <c r="H966">
        <v>28.75624449828635</v>
      </c>
      <c r="I966" t="s">
        <v>466</v>
      </c>
      <c r="J966" t="s">
        <v>468</v>
      </c>
      <c r="K966">
        <v>5</v>
      </c>
    </row>
    <row r="967" spans="1:11" x14ac:dyDescent="0.25">
      <c r="A967" t="s">
        <v>563</v>
      </c>
      <c r="B967">
        <v>555.45672938086864</v>
      </c>
      <c r="C967">
        <v>36.759991145194007</v>
      </c>
      <c r="D967">
        <v>5</v>
      </c>
      <c r="E967">
        <v>2035</v>
      </c>
      <c r="F967" t="s">
        <v>470</v>
      </c>
      <c r="G967">
        <v>1.6640307362798623</v>
      </c>
      <c r="H967">
        <v>28.75624449828635</v>
      </c>
      <c r="I967" t="s">
        <v>466</v>
      </c>
      <c r="J967" t="s">
        <v>468</v>
      </c>
      <c r="K967">
        <v>6</v>
      </c>
    </row>
    <row r="968" spans="1:11" x14ac:dyDescent="0.25">
      <c r="A968" t="s">
        <v>557</v>
      </c>
      <c r="B968">
        <v>367.55053936977367</v>
      </c>
      <c r="C968">
        <v>24.225970176719638</v>
      </c>
      <c r="D968">
        <v>5</v>
      </c>
      <c r="E968">
        <v>2035</v>
      </c>
      <c r="F968" t="s">
        <v>470</v>
      </c>
      <c r="G968">
        <v>1.4390268470063852</v>
      </c>
      <c r="H968">
        <v>31.957206842507389</v>
      </c>
      <c r="I968" t="s">
        <v>469</v>
      </c>
      <c r="J968" t="s">
        <v>467</v>
      </c>
      <c r="K968">
        <v>0</v>
      </c>
    </row>
    <row r="969" spans="1:11" x14ac:dyDescent="0.25">
      <c r="A969" t="s">
        <v>558</v>
      </c>
      <c r="B969">
        <v>481.15022647531214</v>
      </c>
      <c r="C969">
        <v>32.851306408226677</v>
      </c>
      <c r="D969">
        <v>5</v>
      </c>
      <c r="E969">
        <v>2035</v>
      </c>
      <c r="F969" t="s">
        <v>470</v>
      </c>
      <c r="G969">
        <v>1.4390268470063852</v>
      </c>
      <c r="H969">
        <v>31.957206842507389</v>
      </c>
      <c r="I969" t="s">
        <v>469</v>
      </c>
      <c r="J969" t="s">
        <v>467</v>
      </c>
      <c r="K969">
        <v>1</v>
      </c>
    </row>
    <row r="970" spans="1:11" x14ac:dyDescent="0.25">
      <c r="A970" t="s">
        <v>559</v>
      </c>
      <c r="B970">
        <v>679.32472871630353</v>
      </c>
      <c r="C970">
        <v>41.477562838647124</v>
      </c>
      <c r="D970">
        <v>5</v>
      </c>
      <c r="E970">
        <v>2035</v>
      </c>
      <c r="F970" t="s">
        <v>470</v>
      </c>
      <c r="G970">
        <v>1.4390268470063852</v>
      </c>
      <c r="H970">
        <v>31.957206842507389</v>
      </c>
      <c r="I970" t="s">
        <v>469</v>
      </c>
      <c r="J970" t="s">
        <v>467</v>
      </c>
      <c r="K970">
        <v>2</v>
      </c>
    </row>
    <row r="971" spans="1:11" x14ac:dyDescent="0.25">
      <c r="A971" t="s">
        <v>560</v>
      </c>
      <c r="B971">
        <v>562.75416809307865</v>
      </c>
      <c r="C971">
        <v>35.685955234336326</v>
      </c>
      <c r="D971">
        <v>5</v>
      </c>
      <c r="E971">
        <v>2035</v>
      </c>
      <c r="F971" t="s">
        <v>470</v>
      </c>
      <c r="G971">
        <v>1.4390268470063852</v>
      </c>
      <c r="H971">
        <v>31.957206842507389</v>
      </c>
      <c r="I971" t="s">
        <v>469</v>
      </c>
      <c r="J971" t="s">
        <v>467</v>
      </c>
      <c r="K971">
        <v>3</v>
      </c>
    </row>
    <row r="972" spans="1:11" x14ac:dyDescent="0.25">
      <c r="A972" t="s">
        <v>561</v>
      </c>
      <c r="B972">
        <v>499.19932710088187</v>
      </c>
      <c r="C972">
        <v>32.857322924810447</v>
      </c>
      <c r="D972">
        <v>5</v>
      </c>
      <c r="E972">
        <v>2035</v>
      </c>
      <c r="F972" t="s">
        <v>470</v>
      </c>
      <c r="G972">
        <v>1.4390268470063852</v>
      </c>
      <c r="H972">
        <v>31.957206842507389</v>
      </c>
      <c r="I972" t="s">
        <v>469</v>
      </c>
      <c r="J972" t="s">
        <v>467</v>
      </c>
      <c r="K972">
        <v>4</v>
      </c>
    </row>
    <row r="973" spans="1:11" x14ac:dyDescent="0.25">
      <c r="A973" t="s">
        <v>562</v>
      </c>
      <c r="B973">
        <v>662.44540580900423</v>
      </c>
      <c r="C973">
        <v>40.518179504785721</v>
      </c>
      <c r="D973">
        <v>5</v>
      </c>
      <c r="E973">
        <v>2035</v>
      </c>
      <c r="F973" t="s">
        <v>470</v>
      </c>
      <c r="G973">
        <v>1.4390268470063852</v>
      </c>
      <c r="H973">
        <v>31.957206842507389</v>
      </c>
      <c r="I973" t="s">
        <v>469</v>
      </c>
      <c r="J973" t="s">
        <v>467</v>
      </c>
      <c r="K973">
        <v>5</v>
      </c>
    </row>
    <row r="974" spans="1:11" x14ac:dyDescent="0.25">
      <c r="A974" t="s">
        <v>563</v>
      </c>
      <c r="B974">
        <v>566.76221192725654</v>
      </c>
      <c r="C974">
        <v>37.239861945070245</v>
      </c>
      <c r="D974">
        <v>5</v>
      </c>
      <c r="E974">
        <v>2035</v>
      </c>
      <c r="F974" t="s">
        <v>470</v>
      </c>
      <c r="G974">
        <v>1.4390268470063852</v>
      </c>
      <c r="H974">
        <v>31.957206842507389</v>
      </c>
      <c r="I974" t="s">
        <v>469</v>
      </c>
      <c r="J974" t="s">
        <v>467</v>
      </c>
      <c r="K974">
        <v>6</v>
      </c>
    </row>
    <row r="975" spans="1:11" x14ac:dyDescent="0.25">
      <c r="A975" t="s">
        <v>557</v>
      </c>
      <c r="B975">
        <v>342.64677408225907</v>
      </c>
      <c r="C975">
        <v>22.599280585493396</v>
      </c>
      <c r="D975">
        <v>5</v>
      </c>
      <c r="E975">
        <v>2035</v>
      </c>
      <c r="F975" t="s">
        <v>470</v>
      </c>
      <c r="G975">
        <v>1.6640306982111934</v>
      </c>
      <c r="H975">
        <v>31.896030349400974</v>
      </c>
      <c r="I975" t="s">
        <v>469</v>
      </c>
      <c r="J975" t="s">
        <v>468</v>
      </c>
      <c r="K975">
        <v>0</v>
      </c>
    </row>
    <row r="976" spans="1:11" x14ac:dyDescent="0.25">
      <c r="A976" t="s">
        <v>558</v>
      </c>
      <c r="B976">
        <v>468.63200453445603</v>
      </c>
      <c r="C976">
        <v>32.246374878324389</v>
      </c>
      <c r="D976">
        <v>5</v>
      </c>
      <c r="E976">
        <v>2035</v>
      </c>
      <c r="F976" t="s">
        <v>470</v>
      </c>
      <c r="G976">
        <v>1.6640306982111934</v>
      </c>
      <c r="H976">
        <v>31.896030349400974</v>
      </c>
      <c r="I976" t="s">
        <v>469</v>
      </c>
      <c r="J976" t="s">
        <v>468</v>
      </c>
      <c r="K976">
        <v>1</v>
      </c>
    </row>
    <row r="977" spans="1:11" x14ac:dyDescent="0.25">
      <c r="A977" t="s">
        <v>559</v>
      </c>
      <c r="B977">
        <v>679.57428809287376</v>
      </c>
      <c r="C977">
        <v>41.265472910938087</v>
      </c>
      <c r="D977">
        <v>5</v>
      </c>
      <c r="E977">
        <v>2035</v>
      </c>
      <c r="F977" t="s">
        <v>470</v>
      </c>
      <c r="G977">
        <v>1.6640306982111934</v>
      </c>
      <c r="H977">
        <v>31.896030349400974</v>
      </c>
      <c r="I977" t="s">
        <v>469</v>
      </c>
      <c r="J977" t="s">
        <v>468</v>
      </c>
      <c r="K977">
        <v>2</v>
      </c>
    </row>
    <row r="978" spans="1:11" x14ac:dyDescent="0.25">
      <c r="A978" t="s">
        <v>560</v>
      </c>
      <c r="B978">
        <v>576.28442004987426</v>
      </c>
      <c r="C978">
        <v>36.702865885898682</v>
      </c>
      <c r="D978">
        <v>5</v>
      </c>
      <c r="E978">
        <v>2035</v>
      </c>
      <c r="F978" t="s">
        <v>470</v>
      </c>
      <c r="G978">
        <v>1.6640306982111934</v>
      </c>
      <c r="H978">
        <v>31.896030349400974</v>
      </c>
      <c r="I978" t="s">
        <v>469</v>
      </c>
      <c r="J978" t="s">
        <v>468</v>
      </c>
      <c r="K978">
        <v>3</v>
      </c>
    </row>
    <row r="979" spans="1:11" x14ac:dyDescent="0.25">
      <c r="A979" t="s">
        <v>561</v>
      </c>
      <c r="B979">
        <v>528.38487047759747</v>
      </c>
      <c r="C979">
        <v>34.074828036978495</v>
      </c>
      <c r="D979">
        <v>5</v>
      </c>
      <c r="E979">
        <v>2035</v>
      </c>
      <c r="F979" t="s">
        <v>470</v>
      </c>
      <c r="G979">
        <v>1.6640306982111934</v>
      </c>
      <c r="H979">
        <v>31.896030349400974</v>
      </c>
      <c r="I979" t="s">
        <v>469</v>
      </c>
      <c r="J979" t="s">
        <v>468</v>
      </c>
      <c r="K979">
        <v>4</v>
      </c>
    </row>
    <row r="980" spans="1:11" x14ac:dyDescent="0.25">
      <c r="A980" t="s">
        <v>562</v>
      </c>
      <c r="B980">
        <v>653.2699355317468</v>
      </c>
      <c r="C980">
        <v>39.944886732178034</v>
      </c>
      <c r="D980">
        <v>5</v>
      </c>
      <c r="E980">
        <v>2035</v>
      </c>
      <c r="F980" t="s">
        <v>470</v>
      </c>
      <c r="G980">
        <v>1.6640306982111934</v>
      </c>
      <c r="H980">
        <v>31.896030349400974</v>
      </c>
      <c r="I980" t="s">
        <v>469</v>
      </c>
      <c r="J980" t="s">
        <v>468</v>
      </c>
      <c r="K980">
        <v>5</v>
      </c>
    </row>
    <row r="981" spans="1:11" x14ac:dyDescent="0.25">
      <c r="A981" t="s">
        <v>563</v>
      </c>
      <c r="B981">
        <v>564.49373284592843</v>
      </c>
      <c r="C981">
        <v>37.295710741513822</v>
      </c>
      <c r="D981">
        <v>5</v>
      </c>
      <c r="E981">
        <v>2035</v>
      </c>
      <c r="F981" t="s">
        <v>470</v>
      </c>
      <c r="G981">
        <v>1.6640306982111934</v>
      </c>
      <c r="H981">
        <v>31.896030349400974</v>
      </c>
      <c r="I981" t="s">
        <v>469</v>
      </c>
      <c r="J981" t="s">
        <v>468</v>
      </c>
      <c r="K981">
        <v>6</v>
      </c>
    </row>
    <row r="982" spans="1:11" x14ac:dyDescent="0.25">
      <c r="A982" t="s">
        <v>557</v>
      </c>
      <c r="B982">
        <v>333.14736244556502</v>
      </c>
      <c r="C982">
        <v>22.00155313715322</v>
      </c>
      <c r="D982">
        <v>5</v>
      </c>
      <c r="E982">
        <v>2050</v>
      </c>
      <c r="F982" t="s">
        <v>470</v>
      </c>
      <c r="G982">
        <v>1.5923770960187478</v>
      </c>
      <c r="H982">
        <v>29.829647379173849</v>
      </c>
      <c r="I982" t="s">
        <v>466</v>
      </c>
      <c r="J982" t="s">
        <v>467</v>
      </c>
      <c r="K982">
        <v>0</v>
      </c>
    </row>
    <row r="983" spans="1:11" x14ac:dyDescent="0.25">
      <c r="A983" t="s">
        <v>558</v>
      </c>
      <c r="B983">
        <v>474.47015585850238</v>
      </c>
      <c r="C983">
        <v>33.303548756242151</v>
      </c>
      <c r="D983">
        <v>5</v>
      </c>
      <c r="E983">
        <v>2050</v>
      </c>
      <c r="F983" t="s">
        <v>470</v>
      </c>
      <c r="G983">
        <v>1.5923770960187478</v>
      </c>
      <c r="H983">
        <v>29.829647379173849</v>
      </c>
      <c r="I983" t="s">
        <v>466</v>
      </c>
      <c r="J983" t="s">
        <v>467</v>
      </c>
      <c r="K983">
        <v>1</v>
      </c>
    </row>
    <row r="984" spans="1:11" x14ac:dyDescent="0.25">
      <c r="A984" t="s">
        <v>559</v>
      </c>
      <c r="B984">
        <v>657.58599941907084</v>
      </c>
      <c r="C984">
        <v>41.298318166895783</v>
      </c>
      <c r="D984">
        <v>5</v>
      </c>
      <c r="E984">
        <v>2050</v>
      </c>
      <c r="F984" t="s">
        <v>470</v>
      </c>
      <c r="G984">
        <v>1.5923770960187478</v>
      </c>
      <c r="H984">
        <v>29.829647379173849</v>
      </c>
      <c r="I984" t="s">
        <v>466</v>
      </c>
      <c r="J984" t="s">
        <v>467</v>
      </c>
      <c r="K984">
        <v>2</v>
      </c>
    </row>
    <row r="985" spans="1:11" x14ac:dyDescent="0.25">
      <c r="A985" t="s">
        <v>560</v>
      </c>
      <c r="B985">
        <v>549.2864522605197</v>
      </c>
      <c r="C985">
        <v>37.003845633691569</v>
      </c>
      <c r="D985">
        <v>5</v>
      </c>
      <c r="E985">
        <v>2050</v>
      </c>
      <c r="F985" t="s">
        <v>470</v>
      </c>
      <c r="G985">
        <v>1.5923770960187478</v>
      </c>
      <c r="H985">
        <v>29.829647379173849</v>
      </c>
      <c r="I985" t="s">
        <v>466</v>
      </c>
      <c r="J985" t="s">
        <v>467</v>
      </c>
      <c r="K985">
        <v>3</v>
      </c>
    </row>
    <row r="986" spans="1:11" x14ac:dyDescent="0.25">
      <c r="A986" t="s">
        <v>561</v>
      </c>
      <c r="B986">
        <v>473.81164841013759</v>
      </c>
      <c r="C986">
        <v>32.82681753849468</v>
      </c>
      <c r="D986">
        <v>5</v>
      </c>
      <c r="E986">
        <v>2050</v>
      </c>
      <c r="F986" t="s">
        <v>470</v>
      </c>
      <c r="G986">
        <v>1.5923770960187478</v>
      </c>
      <c r="H986">
        <v>29.829647379173849</v>
      </c>
      <c r="I986" t="s">
        <v>466</v>
      </c>
      <c r="J986" t="s">
        <v>467</v>
      </c>
      <c r="K986">
        <v>4</v>
      </c>
    </row>
    <row r="987" spans="1:11" x14ac:dyDescent="0.25">
      <c r="A987" t="s">
        <v>562</v>
      </c>
      <c r="B987">
        <v>601.74364666205543</v>
      </c>
      <c r="C987">
        <v>38.681085556646899</v>
      </c>
      <c r="D987">
        <v>5</v>
      </c>
      <c r="E987">
        <v>2050</v>
      </c>
      <c r="F987" t="s">
        <v>470</v>
      </c>
      <c r="G987">
        <v>1.5923770960187478</v>
      </c>
      <c r="H987">
        <v>29.829647379173849</v>
      </c>
      <c r="I987" t="s">
        <v>466</v>
      </c>
      <c r="J987" t="s">
        <v>467</v>
      </c>
      <c r="K987">
        <v>5</v>
      </c>
    </row>
    <row r="988" spans="1:11" x14ac:dyDescent="0.25">
      <c r="A988" t="s">
        <v>563</v>
      </c>
      <c r="B988">
        <v>552.89969889933957</v>
      </c>
      <c r="C988">
        <v>37.960680126997133</v>
      </c>
      <c r="D988">
        <v>5</v>
      </c>
      <c r="E988">
        <v>2050</v>
      </c>
      <c r="F988" t="s">
        <v>470</v>
      </c>
      <c r="G988">
        <v>1.5923770960187478</v>
      </c>
      <c r="H988">
        <v>29.829647379173849</v>
      </c>
      <c r="I988" t="s">
        <v>466</v>
      </c>
      <c r="J988" t="s">
        <v>467</v>
      </c>
      <c r="K988">
        <v>6</v>
      </c>
    </row>
    <row r="989" spans="1:11" x14ac:dyDescent="0.25">
      <c r="A989" t="s">
        <v>557</v>
      </c>
      <c r="B989">
        <v>333.03870300519412</v>
      </c>
      <c r="C989">
        <v>21.880321974995205</v>
      </c>
      <c r="D989">
        <v>5</v>
      </c>
      <c r="E989">
        <v>2050</v>
      </c>
      <c r="F989" t="s">
        <v>470</v>
      </c>
      <c r="G989">
        <v>1.8660007076802188</v>
      </c>
      <c r="H989">
        <v>29.828506607148398</v>
      </c>
      <c r="I989" t="s">
        <v>466</v>
      </c>
      <c r="J989" t="s">
        <v>468</v>
      </c>
      <c r="K989">
        <v>0</v>
      </c>
    </row>
    <row r="990" spans="1:11" x14ac:dyDescent="0.25">
      <c r="A990" t="s">
        <v>558</v>
      </c>
      <c r="B990">
        <v>467.22149166928017</v>
      </c>
      <c r="C990">
        <v>32.250552341393096</v>
      </c>
      <c r="D990">
        <v>5</v>
      </c>
      <c r="E990">
        <v>2050</v>
      </c>
      <c r="F990" t="s">
        <v>470</v>
      </c>
      <c r="G990">
        <v>1.8660007076802188</v>
      </c>
      <c r="H990">
        <v>29.828506607148398</v>
      </c>
      <c r="I990" t="s">
        <v>466</v>
      </c>
      <c r="J990" t="s">
        <v>468</v>
      </c>
      <c r="K990">
        <v>1</v>
      </c>
    </row>
    <row r="991" spans="1:11" x14ac:dyDescent="0.25">
      <c r="A991" t="s">
        <v>559</v>
      </c>
      <c r="B991">
        <v>607.44896163248404</v>
      </c>
      <c r="C991">
        <v>38.503581822577452</v>
      </c>
      <c r="D991">
        <v>5</v>
      </c>
      <c r="E991">
        <v>2050</v>
      </c>
      <c r="F991" t="s">
        <v>470</v>
      </c>
      <c r="G991">
        <v>1.8660007076802188</v>
      </c>
      <c r="H991">
        <v>29.828506607148398</v>
      </c>
      <c r="I991" t="s">
        <v>466</v>
      </c>
      <c r="J991" t="s">
        <v>468</v>
      </c>
      <c r="K991">
        <v>2</v>
      </c>
    </row>
    <row r="992" spans="1:11" x14ac:dyDescent="0.25">
      <c r="A992" t="s">
        <v>560</v>
      </c>
      <c r="B992">
        <v>521.37876782906278</v>
      </c>
      <c r="C992">
        <v>34.707601385141899</v>
      </c>
      <c r="D992">
        <v>5</v>
      </c>
      <c r="E992">
        <v>2050</v>
      </c>
      <c r="F992" t="s">
        <v>470</v>
      </c>
      <c r="G992">
        <v>1.8660007076802188</v>
      </c>
      <c r="H992">
        <v>29.828506607148398</v>
      </c>
      <c r="I992" t="s">
        <v>466</v>
      </c>
      <c r="J992" t="s">
        <v>468</v>
      </c>
      <c r="K992">
        <v>3</v>
      </c>
    </row>
    <row r="993" spans="1:11" x14ac:dyDescent="0.25">
      <c r="A993" t="s">
        <v>561</v>
      </c>
      <c r="B993">
        <v>505.99972843788879</v>
      </c>
      <c r="C993">
        <v>33.61551488308239</v>
      </c>
      <c r="D993">
        <v>5</v>
      </c>
      <c r="E993">
        <v>2050</v>
      </c>
      <c r="F993" t="s">
        <v>470</v>
      </c>
      <c r="G993">
        <v>1.8660007076802188</v>
      </c>
      <c r="H993">
        <v>29.828506607148398</v>
      </c>
      <c r="I993" t="s">
        <v>466</v>
      </c>
      <c r="J993" t="s">
        <v>468</v>
      </c>
      <c r="K993">
        <v>4</v>
      </c>
    </row>
    <row r="994" spans="1:11" x14ac:dyDescent="0.25">
      <c r="A994" t="s">
        <v>562</v>
      </c>
      <c r="B994">
        <v>624.65093292279562</v>
      </c>
      <c r="C994">
        <v>39.870762217384033</v>
      </c>
      <c r="D994">
        <v>5</v>
      </c>
      <c r="E994">
        <v>2050</v>
      </c>
      <c r="F994" t="s">
        <v>470</v>
      </c>
      <c r="G994">
        <v>1.8660007076802188</v>
      </c>
      <c r="H994">
        <v>29.828506607148398</v>
      </c>
      <c r="I994" t="s">
        <v>466</v>
      </c>
      <c r="J994" t="s">
        <v>468</v>
      </c>
      <c r="K994">
        <v>5</v>
      </c>
    </row>
    <row r="995" spans="1:11" x14ac:dyDescent="0.25">
      <c r="A995" t="s">
        <v>563</v>
      </c>
      <c r="B995">
        <v>538.62210653143302</v>
      </c>
      <c r="C995">
        <v>36.657644323656548</v>
      </c>
      <c r="D995">
        <v>5</v>
      </c>
      <c r="E995">
        <v>2050</v>
      </c>
      <c r="F995" t="s">
        <v>470</v>
      </c>
      <c r="G995">
        <v>1.8660007076802188</v>
      </c>
      <c r="H995">
        <v>29.828506607148398</v>
      </c>
      <c r="I995" t="s">
        <v>466</v>
      </c>
      <c r="J995" t="s">
        <v>468</v>
      </c>
      <c r="K995">
        <v>6</v>
      </c>
    </row>
    <row r="996" spans="1:11" x14ac:dyDescent="0.25">
      <c r="A996" t="s">
        <v>557</v>
      </c>
      <c r="B996">
        <v>367.48883493850076</v>
      </c>
      <c r="C996">
        <v>24.037803806168231</v>
      </c>
      <c r="D996">
        <v>5</v>
      </c>
      <c r="E996">
        <v>2050</v>
      </c>
      <c r="F996" t="s">
        <v>470</v>
      </c>
      <c r="G996">
        <v>1.592377096679356</v>
      </c>
      <c r="H996">
        <v>33.800946286246159</v>
      </c>
      <c r="I996" t="s">
        <v>469</v>
      </c>
      <c r="J996" t="s">
        <v>467</v>
      </c>
      <c r="K996">
        <v>0</v>
      </c>
    </row>
    <row r="997" spans="1:11" x14ac:dyDescent="0.25">
      <c r="A997" t="s">
        <v>558</v>
      </c>
      <c r="B997">
        <v>447.76964612920528</v>
      </c>
      <c r="C997">
        <v>30.78412275727139</v>
      </c>
      <c r="D997">
        <v>5</v>
      </c>
      <c r="E997">
        <v>2050</v>
      </c>
      <c r="F997" t="s">
        <v>470</v>
      </c>
      <c r="G997">
        <v>1.592377096679356</v>
      </c>
      <c r="H997">
        <v>33.800946286246159</v>
      </c>
      <c r="I997" t="s">
        <v>469</v>
      </c>
      <c r="J997" t="s">
        <v>467</v>
      </c>
      <c r="K997">
        <v>1</v>
      </c>
    </row>
    <row r="998" spans="1:11" x14ac:dyDescent="0.25">
      <c r="A998" t="s">
        <v>559</v>
      </c>
      <c r="B998">
        <v>621.1022318682584</v>
      </c>
      <c r="C998">
        <v>38.392495904335505</v>
      </c>
      <c r="D998">
        <v>5</v>
      </c>
      <c r="E998">
        <v>2050</v>
      </c>
      <c r="F998" t="s">
        <v>470</v>
      </c>
      <c r="G998">
        <v>1.592377096679356</v>
      </c>
      <c r="H998">
        <v>33.800946286246159</v>
      </c>
      <c r="I998" t="s">
        <v>469</v>
      </c>
      <c r="J998" t="s">
        <v>467</v>
      </c>
      <c r="K998">
        <v>2</v>
      </c>
    </row>
    <row r="999" spans="1:11" x14ac:dyDescent="0.25">
      <c r="A999" t="s">
        <v>560</v>
      </c>
      <c r="B999">
        <v>512.859929893566</v>
      </c>
      <c r="C999">
        <v>33.535617536982379</v>
      </c>
      <c r="D999">
        <v>5</v>
      </c>
      <c r="E999">
        <v>2050</v>
      </c>
      <c r="F999" t="s">
        <v>470</v>
      </c>
      <c r="G999">
        <v>1.592377096679356</v>
      </c>
      <c r="H999">
        <v>33.800946286246159</v>
      </c>
      <c r="I999" t="s">
        <v>469</v>
      </c>
      <c r="J999" t="s">
        <v>467</v>
      </c>
      <c r="K999">
        <v>3</v>
      </c>
    </row>
    <row r="1000" spans="1:11" x14ac:dyDescent="0.25">
      <c r="A1000" t="s">
        <v>561</v>
      </c>
      <c r="B1000">
        <v>513.10527484860745</v>
      </c>
      <c r="C1000">
        <v>32.126734575211458</v>
      </c>
      <c r="D1000">
        <v>5</v>
      </c>
      <c r="E1000">
        <v>2050</v>
      </c>
      <c r="F1000" t="s">
        <v>470</v>
      </c>
      <c r="G1000">
        <v>1.592377096679356</v>
      </c>
      <c r="H1000">
        <v>33.800946286246159</v>
      </c>
      <c r="I1000" t="s">
        <v>469</v>
      </c>
      <c r="J1000" t="s">
        <v>467</v>
      </c>
      <c r="K1000">
        <v>4</v>
      </c>
    </row>
    <row r="1001" spans="1:11" x14ac:dyDescent="0.25">
      <c r="A1001" t="s">
        <v>562</v>
      </c>
      <c r="B1001">
        <v>615.63067333381775</v>
      </c>
      <c r="C1001">
        <v>38.694787862924784</v>
      </c>
      <c r="D1001">
        <v>5</v>
      </c>
      <c r="E1001">
        <v>2050</v>
      </c>
      <c r="F1001" t="s">
        <v>470</v>
      </c>
      <c r="G1001">
        <v>1.592377096679356</v>
      </c>
      <c r="H1001">
        <v>33.800946286246159</v>
      </c>
      <c r="I1001" t="s">
        <v>469</v>
      </c>
      <c r="J1001" t="s">
        <v>467</v>
      </c>
      <c r="K1001">
        <v>5</v>
      </c>
    </row>
    <row r="1002" spans="1:11" x14ac:dyDescent="0.25">
      <c r="A1002" t="s">
        <v>563</v>
      </c>
      <c r="B1002">
        <v>536.08316281569273</v>
      </c>
      <c r="C1002">
        <v>36.913579755967277</v>
      </c>
      <c r="D1002">
        <v>5</v>
      </c>
      <c r="E1002">
        <v>2050</v>
      </c>
      <c r="F1002" t="s">
        <v>470</v>
      </c>
      <c r="G1002">
        <v>1.592377096679356</v>
      </c>
      <c r="H1002">
        <v>33.800946286246159</v>
      </c>
      <c r="I1002" t="s">
        <v>469</v>
      </c>
      <c r="J1002" t="s">
        <v>467</v>
      </c>
      <c r="K1002">
        <v>6</v>
      </c>
    </row>
    <row r="1003" spans="1:11" x14ac:dyDescent="0.25">
      <c r="A1003" t="s">
        <v>557</v>
      </c>
      <c r="B1003">
        <v>374.83490774160543</v>
      </c>
      <c r="C1003">
        <v>24.34879463465186</v>
      </c>
      <c r="D1003">
        <v>5</v>
      </c>
      <c r="E1003">
        <v>2050</v>
      </c>
      <c r="F1003" t="s">
        <v>470</v>
      </c>
      <c r="G1003">
        <v>1.8660007077550174</v>
      </c>
      <c r="H1003">
        <v>33.749132389492729</v>
      </c>
      <c r="I1003" t="s">
        <v>469</v>
      </c>
      <c r="J1003" t="s">
        <v>468</v>
      </c>
      <c r="K1003">
        <v>0</v>
      </c>
    </row>
    <row r="1004" spans="1:11" x14ac:dyDescent="0.25">
      <c r="A1004" t="s">
        <v>558</v>
      </c>
      <c r="B1004">
        <v>460.85575611976066</v>
      </c>
      <c r="C1004">
        <v>30.468046694920545</v>
      </c>
      <c r="D1004">
        <v>5</v>
      </c>
      <c r="E1004">
        <v>2050</v>
      </c>
      <c r="F1004" t="s">
        <v>470</v>
      </c>
      <c r="G1004">
        <v>1.8660007077550174</v>
      </c>
      <c r="H1004">
        <v>33.749132389492729</v>
      </c>
      <c r="I1004" t="s">
        <v>469</v>
      </c>
      <c r="J1004" t="s">
        <v>468</v>
      </c>
      <c r="K1004">
        <v>1</v>
      </c>
    </row>
    <row r="1005" spans="1:11" x14ac:dyDescent="0.25">
      <c r="A1005" t="s">
        <v>559</v>
      </c>
      <c r="B1005">
        <v>604.32454811283685</v>
      </c>
      <c r="C1005">
        <v>37.287490467145744</v>
      </c>
      <c r="D1005">
        <v>5</v>
      </c>
      <c r="E1005">
        <v>2050</v>
      </c>
      <c r="F1005" t="s">
        <v>470</v>
      </c>
      <c r="G1005">
        <v>1.8660007077550174</v>
      </c>
      <c r="H1005">
        <v>33.749132389492729</v>
      </c>
      <c r="I1005" t="s">
        <v>469</v>
      </c>
      <c r="J1005" t="s">
        <v>468</v>
      </c>
      <c r="K1005">
        <v>2</v>
      </c>
    </row>
    <row r="1006" spans="1:11" x14ac:dyDescent="0.25">
      <c r="A1006" t="s">
        <v>560</v>
      </c>
      <c r="B1006">
        <v>519.38961175971849</v>
      </c>
      <c r="C1006">
        <v>32.859649145679292</v>
      </c>
      <c r="D1006">
        <v>5</v>
      </c>
      <c r="E1006">
        <v>2050</v>
      </c>
      <c r="F1006" t="s">
        <v>470</v>
      </c>
      <c r="G1006">
        <v>1.8660007077550174</v>
      </c>
      <c r="H1006">
        <v>33.749132389492729</v>
      </c>
      <c r="I1006" t="s">
        <v>469</v>
      </c>
      <c r="J1006" t="s">
        <v>468</v>
      </c>
      <c r="K1006">
        <v>3</v>
      </c>
    </row>
    <row r="1007" spans="1:11" x14ac:dyDescent="0.25">
      <c r="A1007" t="s">
        <v>561</v>
      </c>
      <c r="B1007">
        <v>477.37599046839216</v>
      </c>
      <c r="C1007">
        <v>31.773155426748389</v>
      </c>
      <c r="D1007">
        <v>5</v>
      </c>
      <c r="E1007">
        <v>2050</v>
      </c>
      <c r="F1007" t="s">
        <v>470</v>
      </c>
      <c r="G1007">
        <v>1.8660007077550174</v>
      </c>
      <c r="H1007">
        <v>33.749132389492729</v>
      </c>
      <c r="I1007" t="s">
        <v>469</v>
      </c>
      <c r="J1007" t="s">
        <v>468</v>
      </c>
      <c r="K1007">
        <v>4</v>
      </c>
    </row>
    <row r="1008" spans="1:11" x14ac:dyDescent="0.25">
      <c r="A1008" t="s">
        <v>562</v>
      </c>
      <c r="B1008">
        <v>599.92380536742905</v>
      </c>
      <c r="C1008">
        <v>37.065563577231991</v>
      </c>
      <c r="D1008">
        <v>5</v>
      </c>
      <c r="E1008">
        <v>2050</v>
      </c>
      <c r="F1008" t="s">
        <v>470</v>
      </c>
      <c r="G1008">
        <v>1.8660007077550174</v>
      </c>
      <c r="H1008">
        <v>33.749132389492729</v>
      </c>
      <c r="I1008" t="s">
        <v>469</v>
      </c>
      <c r="J1008" t="s">
        <v>468</v>
      </c>
      <c r="K1008">
        <v>5</v>
      </c>
    </row>
    <row r="1009" spans="1:11" x14ac:dyDescent="0.25">
      <c r="A1009" t="s">
        <v>563</v>
      </c>
      <c r="B1009">
        <v>548.00372899905983</v>
      </c>
      <c r="C1009">
        <v>35.326868111453038</v>
      </c>
      <c r="D1009">
        <v>5</v>
      </c>
      <c r="E1009">
        <v>2050</v>
      </c>
      <c r="F1009" t="s">
        <v>470</v>
      </c>
      <c r="G1009">
        <v>1.8660007077550174</v>
      </c>
      <c r="H1009">
        <v>33.749132389492729</v>
      </c>
      <c r="I1009" t="s">
        <v>469</v>
      </c>
      <c r="J1009" t="s">
        <v>468</v>
      </c>
      <c r="K1009">
        <v>6</v>
      </c>
    </row>
    <row r="1010" spans="1:11" x14ac:dyDescent="0.25">
      <c r="A1010" t="s">
        <v>557</v>
      </c>
      <c r="B1010">
        <v>350.63466952022276</v>
      </c>
      <c r="C1010">
        <v>23.188941045052456</v>
      </c>
      <c r="D1010">
        <v>5</v>
      </c>
      <c r="E1010">
        <v>2035</v>
      </c>
      <c r="F1010" t="s">
        <v>471</v>
      </c>
      <c r="G1010">
        <v>1.4390268733533258</v>
      </c>
      <c r="H1010">
        <v>28.75717346922201</v>
      </c>
      <c r="I1010" t="s">
        <v>466</v>
      </c>
      <c r="J1010" t="s">
        <v>467</v>
      </c>
      <c r="K1010">
        <v>0</v>
      </c>
    </row>
    <row r="1011" spans="1:11" x14ac:dyDescent="0.25">
      <c r="A1011" t="s">
        <v>558</v>
      </c>
      <c r="B1011">
        <v>483.02572079838956</v>
      </c>
      <c r="C1011">
        <v>33.493954983900515</v>
      </c>
      <c r="D1011">
        <v>5</v>
      </c>
      <c r="E1011">
        <v>2035</v>
      </c>
      <c r="F1011" t="s">
        <v>471</v>
      </c>
      <c r="G1011">
        <v>1.4390268733533258</v>
      </c>
      <c r="H1011">
        <v>28.75717346922201</v>
      </c>
      <c r="I1011" t="s">
        <v>466</v>
      </c>
      <c r="J1011" t="s">
        <v>467</v>
      </c>
      <c r="K1011">
        <v>1</v>
      </c>
    </row>
    <row r="1012" spans="1:11" x14ac:dyDescent="0.25">
      <c r="A1012" t="s">
        <v>559</v>
      </c>
      <c r="B1012">
        <v>685.73637868368269</v>
      </c>
      <c r="C1012">
        <v>42.654047485684536</v>
      </c>
      <c r="D1012">
        <v>5</v>
      </c>
      <c r="E1012">
        <v>2035</v>
      </c>
      <c r="F1012" t="s">
        <v>471</v>
      </c>
      <c r="G1012">
        <v>1.4390268733533258</v>
      </c>
      <c r="H1012">
        <v>28.75717346922201</v>
      </c>
      <c r="I1012" t="s">
        <v>466</v>
      </c>
      <c r="J1012" t="s">
        <v>467</v>
      </c>
      <c r="K1012">
        <v>2</v>
      </c>
    </row>
    <row r="1013" spans="1:11" x14ac:dyDescent="0.25">
      <c r="A1013" t="s">
        <v>560</v>
      </c>
      <c r="B1013">
        <v>581.15028945328675</v>
      </c>
      <c r="C1013">
        <v>38.121926364625367</v>
      </c>
      <c r="D1013">
        <v>5</v>
      </c>
      <c r="E1013">
        <v>2035</v>
      </c>
      <c r="F1013" t="s">
        <v>471</v>
      </c>
      <c r="G1013">
        <v>1.4390268733533258</v>
      </c>
      <c r="H1013">
        <v>28.75717346922201</v>
      </c>
      <c r="I1013" t="s">
        <v>466</v>
      </c>
      <c r="J1013" t="s">
        <v>467</v>
      </c>
      <c r="K1013">
        <v>3</v>
      </c>
    </row>
    <row r="1014" spans="1:11" x14ac:dyDescent="0.25">
      <c r="A1014" t="s">
        <v>561</v>
      </c>
      <c r="B1014">
        <v>525.75204737911099</v>
      </c>
      <c r="C1014">
        <v>35.270782254325745</v>
      </c>
      <c r="D1014">
        <v>5</v>
      </c>
      <c r="E1014">
        <v>2035</v>
      </c>
      <c r="F1014" t="s">
        <v>471</v>
      </c>
      <c r="G1014">
        <v>1.4390268733533258</v>
      </c>
      <c r="H1014">
        <v>28.75717346922201</v>
      </c>
      <c r="I1014" t="s">
        <v>466</v>
      </c>
      <c r="J1014" t="s">
        <v>467</v>
      </c>
      <c r="K1014">
        <v>4</v>
      </c>
    </row>
    <row r="1015" spans="1:11" x14ac:dyDescent="0.25">
      <c r="A1015" t="s">
        <v>562</v>
      </c>
      <c r="B1015">
        <v>698.50677167906656</v>
      </c>
      <c r="C1015">
        <v>43.921572135637732</v>
      </c>
      <c r="D1015">
        <v>5</v>
      </c>
      <c r="E1015">
        <v>2035</v>
      </c>
      <c r="F1015" t="s">
        <v>471</v>
      </c>
      <c r="G1015">
        <v>1.4390268733533258</v>
      </c>
      <c r="H1015">
        <v>28.75717346922201</v>
      </c>
      <c r="I1015" t="s">
        <v>466</v>
      </c>
      <c r="J1015" t="s">
        <v>467</v>
      </c>
      <c r="K1015">
        <v>5</v>
      </c>
    </row>
    <row r="1016" spans="1:11" x14ac:dyDescent="0.25">
      <c r="A1016" t="s">
        <v>563</v>
      </c>
      <c r="B1016">
        <v>570.71969381135432</v>
      </c>
      <c r="C1016">
        <v>37.636819806633916</v>
      </c>
      <c r="D1016">
        <v>5</v>
      </c>
      <c r="E1016">
        <v>2035</v>
      </c>
      <c r="F1016" t="s">
        <v>471</v>
      </c>
      <c r="G1016">
        <v>1.4390268733533258</v>
      </c>
      <c r="H1016">
        <v>28.75717346922201</v>
      </c>
      <c r="I1016" t="s">
        <v>466</v>
      </c>
      <c r="J1016" t="s">
        <v>467</v>
      </c>
      <c r="K1016">
        <v>6</v>
      </c>
    </row>
    <row r="1017" spans="1:11" x14ac:dyDescent="0.25">
      <c r="A1017" t="s">
        <v>557</v>
      </c>
      <c r="B1017">
        <v>346.67384371020222</v>
      </c>
      <c r="C1017">
        <v>22.921439817685801</v>
      </c>
      <c r="D1017">
        <v>5</v>
      </c>
      <c r="E1017">
        <v>2035</v>
      </c>
      <c r="F1017" t="s">
        <v>471</v>
      </c>
      <c r="G1017">
        <v>1.6640307359184805</v>
      </c>
      <c r="H1017">
        <v>28.75624353238635</v>
      </c>
      <c r="I1017" t="s">
        <v>466</v>
      </c>
      <c r="J1017" t="s">
        <v>468</v>
      </c>
      <c r="K1017">
        <v>0</v>
      </c>
    </row>
    <row r="1018" spans="1:11" x14ac:dyDescent="0.25">
      <c r="A1018" t="s">
        <v>558</v>
      </c>
      <c r="B1018">
        <v>487.3144416355758</v>
      </c>
      <c r="C1018">
        <v>33.120116233856571</v>
      </c>
      <c r="D1018">
        <v>5</v>
      </c>
      <c r="E1018">
        <v>2035</v>
      </c>
      <c r="F1018" t="s">
        <v>471</v>
      </c>
      <c r="G1018">
        <v>1.6640307359184805</v>
      </c>
      <c r="H1018">
        <v>28.75624353238635</v>
      </c>
      <c r="I1018" t="s">
        <v>466</v>
      </c>
      <c r="J1018" t="s">
        <v>468</v>
      </c>
      <c r="K1018">
        <v>1</v>
      </c>
    </row>
    <row r="1019" spans="1:11" x14ac:dyDescent="0.25">
      <c r="A1019" t="s">
        <v>559</v>
      </c>
      <c r="B1019">
        <v>642.23385106695252</v>
      </c>
      <c r="C1019">
        <v>40.864897435818648</v>
      </c>
      <c r="D1019">
        <v>5</v>
      </c>
      <c r="E1019">
        <v>2035</v>
      </c>
      <c r="F1019" t="s">
        <v>471</v>
      </c>
      <c r="G1019">
        <v>1.6640307359184805</v>
      </c>
      <c r="H1019">
        <v>28.75624353238635</v>
      </c>
      <c r="I1019" t="s">
        <v>466</v>
      </c>
      <c r="J1019" t="s">
        <v>468</v>
      </c>
      <c r="K1019">
        <v>2</v>
      </c>
    </row>
    <row r="1020" spans="1:11" x14ac:dyDescent="0.25">
      <c r="A1020" t="s">
        <v>560</v>
      </c>
      <c r="B1020">
        <v>529.76797810811945</v>
      </c>
      <c r="C1020">
        <v>34.349148529423374</v>
      </c>
      <c r="D1020">
        <v>5</v>
      </c>
      <c r="E1020">
        <v>2035</v>
      </c>
      <c r="F1020" t="s">
        <v>471</v>
      </c>
      <c r="G1020">
        <v>1.6640307359184805</v>
      </c>
      <c r="H1020">
        <v>28.75624353238635</v>
      </c>
      <c r="I1020" t="s">
        <v>466</v>
      </c>
      <c r="J1020" t="s">
        <v>468</v>
      </c>
      <c r="K1020">
        <v>3</v>
      </c>
    </row>
    <row r="1021" spans="1:11" x14ac:dyDescent="0.25">
      <c r="A1021" t="s">
        <v>561</v>
      </c>
      <c r="B1021">
        <v>491.93438251048639</v>
      </c>
      <c r="C1021">
        <v>33.376352817923717</v>
      </c>
      <c r="D1021">
        <v>5</v>
      </c>
      <c r="E1021">
        <v>2035</v>
      </c>
      <c r="F1021" t="s">
        <v>471</v>
      </c>
      <c r="G1021">
        <v>1.6640307359184805</v>
      </c>
      <c r="H1021">
        <v>28.75624353238635</v>
      </c>
      <c r="I1021" t="s">
        <v>466</v>
      </c>
      <c r="J1021" t="s">
        <v>468</v>
      </c>
      <c r="K1021">
        <v>4</v>
      </c>
    </row>
    <row r="1022" spans="1:11" x14ac:dyDescent="0.25">
      <c r="A1022" t="s">
        <v>562</v>
      </c>
      <c r="B1022">
        <v>715.80979561093773</v>
      </c>
      <c r="C1022">
        <v>44.333508709239617</v>
      </c>
      <c r="D1022">
        <v>5</v>
      </c>
      <c r="E1022">
        <v>2035</v>
      </c>
      <c r="F1022" t="s">
        <v>471</v>
      </c>
      <c r="G1022">
        <v>1.6640307359184805</v>
      </c>
      <c r="H1022">
        <v>28.75624353238635</v>
      </c>
      <c r="I1022" t="s">
        <v>466</v>
      </c>
      <c r="J1022" t="s">
        <v>468</v>
      </c>
      <c r="K1022">
        <v>5</v>
      </c>
    </row>
    <row r="1023" spans="1:11" x14ac:dyDescent="0.25">
      <c r="A1023" t="s">
        <v>563</v>
      </c>
      <c r="B1023">
        <v>554.35610900668519</v>
      </c>
      <c r="C1023">
        <v>36.71969047005291</v>
      </c>
      <c r="D1023">
        <v>5</v>
      </c>
      <c r="E1023">
        <v>2035</v>
      </c>
      <c r="F1023" t="s">
        <v>471</v>
      </c>
      <c r="G1023">
        <v>1.6640307359184805</v>
      </c>
      <c r="H1023">
        <v>28.75624353238635</v>
      </c>
      <c r="I1023" t="s">
        <v>466</v>
      </c>
      <c r="J1023" t="s">
        <v>468</v>
      </c>
      <c r="K1023">
        <v>6</v>
      </c>
    </row>
    <row r="1024" spans="1:11" x14ac:dyDescent="0.25">
      <c r="A1024" t="s">
        <v>557</v>
      </c>
      <c r="B1024">
        <v>316.34520016898091</v>
      </c>
      <c r="C1024">
        <v>21.260113940338154</v>
      </c>
      <c r="D1024">
        <v>5</v>
      </c>
      <c r="E1024">
        <v>2035</v>
      </c>
      <c r="F1024" t="s">
        <v>471</v>
      </c>
      <c r="G1024">
        <v>1.4390268412319123</v>
      </c>
      <c r="H1024">
        <v>31.957206520959971</v>
      </c>
      <c r="I1024" t="s">
        <v>469</v>
      </c>
      <c r="J1024" t="s">
        <v>467</v>
      </c>
      <c r="K1024">
        <v>0</v>
      </c>
    </row>
    <row r="1025" spans="1:11" x14ac:dyDescent="0.25">
      <c r="A1025" t="s">
        <v>558</v>
      </c>
      <c r="B1025">
        <v>481.5269504123192</v>
      </c>
      <c r="C1025">
        <v>32.833878490736979</v>
      </c>
      <c r="D1025">
        <v>5</v>
      </c>
      <c r="E1025">
        <v>2035</v>
      </c>
      <c r="F1025" t="s">
        <v>471</v>
      </c>
      <c r="G1025">
        <v>1.4390268412319123</v>
      </c>
      <c r="H1025">
        <v>31.957206520959971</v>
      </c>
      <c r="I1025" t="s">
        <v>469</v>
      </c>
      <c r="J1025" t="s">
        <v>467</v>
      </c>
      <c r="K1025">
        <v>1</v>
      </c>
    </row>
    <row r="1026" spans="1:11" x14ac:dyDescent="0.25">
      <c r="A1026" t="s">
        <v>559</v>
      </c>
      <c r="B1026">
        <v>698.31202673524706</v>
      </c>
      <c r="C1026">
        <v>42.60004245331092</v>
      </c>
      <c r="D1026">
        <v>5</v>
      </c>
      <c r="E1026">
        <v>2035</v>
      </c>
      <c r="F1026" t="s">
        <v>471</v>
      </c>
      <c r="G1026">
        <v>1.4390268412319123</v>
      </c>
      <c r="H1026">
        <v>31.957206520959971</v>
      </c>
      <c r="I1026" t="s">
        <v>469</v>
      </c>
      <c r="J1026" t="s">
        <v>467</v>
      </c>
      <c r="K1026">
        <v>2</v>
      </c>
    </row>
    <row r="1027" spans="1:11" x14ac:dyDescent="0.25">
      <c r="A1027" t="s">
        <v>560</v>
      </c>
      <c r="B1027">
        <v>553.28017505945741</v>
      </c>
      <c r="C1027">
        <v>35.572543493112114</v>
      </c>
      <c r="D1027">
        <v>5</v>
      </c>
      <c r="E1027">
        <v>2035</v>
      </c>
      <c r="F1027" t="s">
        <v>471</v>
      </c>
      <c r="G1027">
        <v>1.4390268412319123</v>
      </c>
      <c r="H1027">
        <v>31.957206520959971</v>
      </c>
      <c r="I1027" t="s">
        <v>469</v>
      </c>
      <c r="J1027" t="s">
        <v>467</v>
      </c>
      <c r="K1027">
        <v>3</v>
      </c>
    </row>
    <row r="1028" spans="1:11" x14ac:dyDescent="0.25">
      <c r="A1028" t="s">
        <v>561</v>
      </c>
      <c r="B1028">
        <v>482.21206594914946</v>
      </c>
      <c r="C1028">
        <v>32.362649032032003</v>
      </c>
      <c r="D1028">
        <v>5</v>
      </c>
      <c r="E1028">
        <v>2035</v>
      </c>
      <c r="F1028" t="s">
        <v>471</v>
      </c>
      <c r="G1028">
        <v>1.4390268412319123</v>
      </c>
      <c r="H1028">
        <v>31.957206520959971</v>
      </c>
      <c r="I1028" t="s">
        <v>469</v>
      </c>
      <c r="J1028" t="s">
        <v>467</v>
      </c>
      <c r="K1028">
        <v>4</v>
      </c>
    </row>
    <row r="1029" spans="1:11" x14ac:dyDescent="0.25">
      <c r="A1029" t="s">
        <v>562</v>
      </c>
      <c r="B1029">
        <v>634.38835175899703</v>
      </c>
      <c r="C1029">
        <v>39.539934581895686</v>
      </c>
      <c r="D1029">
        <v>5</v>
      </c>
      <c r="E1029">
        <v>2035</v>
      </c>
      <c r="F1029" t="s">
        <v>471</v>
      </c>
      <c r="G1029">
        <v>1.4390268412319123</v>
      </c>
      <c r="H1029">
        <v>31.957206520959971</v>
      </c>
      <c r="I1029" t="s">
        <v>469</v>
      </c>
      <c r="J1029" t="s">
        <v>467</v>
      </c>
      <c r="K1029">
        <v>5</v>
      </c>
    </row>
    <row r="1030" spans="1:11" x14ac:dyDescent="0.25">
      <c r="A1030" t="s">
        <v>563</v>
      </c>
      <c r="B1030">
        <v>571.49288745420097</v>
      </c>
      <c r="C1030">
        <v>36.823195549388437</v>
      </c>
      <c r="D1030">
        <v>5</v>
      </c>
      <c r="E1030">
        <v>2035</v>
      </c>
      <c r="F1030" t="s">
        <v>471</v>
      </c>
      <c r="G1030">
        <v>1.4390268412319123</v>
      </c>
      <c r="H1030">
        <v>31.957206520959971</v>
      </c>
      <c r="I1030" t="s">
        <v>469</v>
      </c>
      <c r="J1030" t="s">
        <v>467</v>
      </c>
      <c r="K1030">
        <v>6</v>
      </c>
    </row>
    <row r="1031" spans="1:11" x14ac:dyDescent="0.25">
      <c r="A1031" t="s">
        <v>557</v>
      </c>
      <c r="B1031">
        <v>373.44441045968932</v>
      </c>
      <c r="C1031">
        <v>24.551782001853123</v>
      </c>
      <c r="D1031">
        <v>5</v>
      </c>
      <c r="E1031">
        <v>2035</v>
      </c>
      <c r="F1031" t="s">
        <v>471</v>
      </c>
      <c r="G1031">
        <v>1.6640321368819277</v>
      </c>
      <c r="H1031">
        <v>31.896034382703249</v>
      </c>
      <c r="I1031" t="s">
        <v>469</v>
      </c>
      <c r="J1031" t="s">
        <v>468</v>
      </c>
      <c r="K1031">
        <v>0</v>
      </c>
    </row>
    <row r="1032" spans="1:11" x14ac:dyDescent="0.25">
      <c r="A1032" t="s">
        <v>558</v>
      </c>
      <c r="B1032">
        <v>473.87664958861546</v>
      </c>
      <c r="C1032">
        <v>32.202753229173453</v>
      </c>
      <c r="D1032">
        <v>5</v>
      </c>
      <c r="E1032">
        <v>2035</v>
      </c>
      <c r="F1032" t="s">
        <v>471</v>
      </c>
      <c r="G1032">
        <v>1.6640321368819277</v>
      </c>
      <c r="H1032">
        <v>31.896034382703249</v>
      </c>
      <c r="I1032" t="s">
        <v>469</v>
      </c>
      <c r="J1032" t="s">
        <v>468</v>
      </c>
      <c r="K1032">
        <v>1</v>
      </c>
    </row>
    <row r="1033" spans="1:11" x14ac:dyDescent="0.25">
      <c r="A1033" t="s">
        <v>559</v>
      </c>
      <c r="B1033">
        <v>676.19142929090015</v>
      </c>
      <c r="C1033">
        <v>41.309075268531771</v>
      </c>
      <c r="D1033">
        <v>5</v>
      </c>
      <c r="E1033">
        <v>2035</v>
      </c>
      <c r="F1033" t="s">
        <v>471</v>
      </c>
      <c r="G1033">
        <v>1.6640321368819277</v>
      </c>
      <c r="H1033">
        <v>31.896034382703249</v>
      </c>
      <c r="I1033" t="s">
        <v>469</v>
      </c>
      <c r="J1033" t="s">
        <v>468</v>
      </c>
      <c r="K1033">
        <v>2</v>
      </c>
    </row>
    <row r="1034" spans="1:11" x14ac:dyDescent="0.25">
      <c r="A1034" t="s">
        <v>560</v>
      </c>
      <c r="B1034">
        <v>530.74883555435508</v>
      </c>
      <c r="C1034">
        <v>33.907998813760067</v>
      </c>
      <c r="D1034">
        <v>5</v>
      </c>
      <c r="E1034">
        <v>2035</v>
      </c>
      <c r="F1034" t="s">
        <v>471</v>
      </c>
      <c r="G1034">
        <v>1.6640321368819277</v>
      </c>
      <c r="H1034">
        <v>31.896034382703249</v>
      </c>
      <c r="I1034" t="s">
        <v>469</v>
      </c>
      <c r="J1034" t="s">
        <v>468</v>
      </c>
      <c r="K1034">
        <v>3</v>
      </c>
    </row>
    <row r="1035" spans="1:11" x14ac:dyDescent="0.25">
      <c r="A1035" t="s">
        <v>561</v>
      </c>
      <c r="B1035">
        <v>529.57542084158945</v>
      </c>
      <c r="C1035">
        <v>35.428398161018741</v>
      </c>
      <c r="D1035">
        <v>5</v>
      </c>
      <c r="E1035">
        <v>2035</v>
      </c>
      <c r="F1035" t="s">
        <v>471</v>
      </c>
      <c r="G1035">
        <v>1.6640321368819277</v>
      </c>
      <c r="H1035">
        <v>31.896034382703249</v>
      </c>
      <c r="I1035" t="s">
        <v>469</v>
      </c>
      <c r="J1035" t="s">
        <v>468</v>
      </c>
      <c r="K1035">
        <v>4</v>
      </c>
    </row>
    <row r="1036" spans="1:11" x14ac:dyDescent="0.25">
      <c r="A1036" t="s">
        <v>562</v>
      </c>
      <c r="B1036">
        <v>646.88174104807433</v>
      </c>
      <c r="C1036">
        <v>40.309534075387624</v>
      </c>
      <c r="D1036">
        <v>5</v>
      </c>
      <c r="E1036">
        <v>2035</v>
      </c>
      <c r="F1036" t="s">
        <v>471</v>
      </c>
      <c r="G1036">
        <v>1.6640321368819277</v>
      </c>
      <c r="H1036">
        <v>31.896034382703249</v>
      </c>
      <c r="I1036" t="s">
        <v>469</v>
      </c>
      <c r="J1036" t="s">
        <v>468</v>
      </c>
      <c r="K1036">
        <v>5</v>
      </c>
    </row>
    <row r="1037" spans="1:11" x14ac:dyDescent="0.25">
      <c r="A1037" t="s">
        <v>563</v>
      </c>
      <c r="B1037">
        <v>553.68572817822701</v>
      </c>
      <c r="C1037">
        <v>36.308029185782118</v>
      </c>
      <c r="D1037">
        <v>5</v>
      </c>
      <c r="E1037">
        <v>2035</v>
      </c>
      <c r="F1037" t="s">
        <v>471</v>
      </c>
      <c r="G1037">
        <v>1.6640321368819277</v>
      </c>
      <c r="H1037">
        <v>31.896034382703249</v>
      </c>
      <c r="I1037" t="s">
        <v>469</v>
      </c>
      <c r="J1037" t="s">
        <v>468</v>
      </c>
      <c r="K1037">
        <v>6</v>
      </c>
    </row>
    <row r="1038" spans="1:11" x14ac:dyDescent="0.25">
      <c r="A1038" t="s">
        <v>557</v>
      </c>
      <c r="B1038">
        <v>292.5729258411921</v>
      </c>
      <c r="C1038">
        <v>19.348061786908985</v>
      </c>
      <c r="D1038">
        <v>5</v>
      </c>
      <c r="E1038">
        <v>2050</v>
      </c>
      <c r="F1038" t="s">
        <v>471</v>
      </c>
      <c r="G1038">
        <v>1.5923770960124362</v>
      </c>
      <c r="H1038">
        <v>29.829647472266032</v>
      </c>
      <c r="I1038" t="s">
        <v>466</v>
      </c>
      <c r="J1038" t="s">
        <v>467</v>
      </c>
      <c r="K1038">
        <v>0</v>
      </c>
    </row>
    <row r="1039" spans="1:11" x14ac:dyDescent="0.25">
      <c r="A1039" t="s">
        <v>558</v>
      </c>
      <c r="B1039">
        <v>472.46439176805001</v>
      </c>
      <c r="C1039">
        <v>32.28991016918922</v>
      </c>
      <c r="D1039">
        <v>5</v>
      </c>
      <c r="E1039">
        <v>2050</v>
      </c>
      <c r="F1039" t="s">
        <v>471</v>
      </c>
      <c r="G1039">
        <v>1.5923770960124362</v>
      </c>
      <c r="H1039">
        <v>29.829647472266032</v>
      </c>
      <c r="I1039" t="s">
        <v>466</v>
      </c>
      <c r="J1039" t="s">
        <v>467</v>
      </c>
      <c r="K1039">
        <v>1</v>
      </c>
    </row>
    <row r="1040" spans="1:11" x14ac:dyDescent="0.25">
      <c r="A1040" t="s">
        <v>559</v>
      </c>
      <c r="B1040">
        <v>627.20670968395382</v>
      </c>
      <c r="C1040">
        <v>40.389567994544898</v>
      </c>
      <c r="D1040">
        <v>5</v>
      </c>
      <c r="E1040">
        <v>2050</v>
      </c>
      <c r="F1040" t="s">
        <v>471</v>
      </c>
      <c r="G1040">
        <v>1.5923770960124362</v>
      </c>
      <c r="H1040">
        <v>29.829647472266032</v>
      </c>
      <c r="I1040" t="s">
        <v>466</v>
      </c>
      <c r="J1040" t="s">
        <v>467</v>
      </c>
      <c r="K1040">
        <v>2</v>
      </c>
    </row>
    <row r="1041" spans="1:11" x14ac:dyDescent="0.25">
      <c r="A1041" t="s">
        <v>560</v>
      </c>
      <c r="B1041">
        <v>551.55235514818287</v>
      </c>
      <c r="C1041">
        <v>36.465884175943735</v>
      </c>
      <c r="D1041">
        <v>5</v>
      </c>
      <c r="E1041">
        <v>2050</v>
      </c>
      <c r="F1041" t="s">
        <v>471</v>
      </c>
      <c r="G1041">
        <v>1.5923770960124362</v>
      </c>
      <c r="H1041">
        <v>29.829647472266032</v>
      </c>
      <c r="I1041" t="s">
        <v>466</v>
      </c>
      <c r="J1041" t="s">
        <v>467</v>
      </c>
      <c r="K1041">
        <v>3</v>
      </c>
    </row>
    <row r="1042" spans="1:11" x14ac:dyDescent="0.25">
      <c r="A1042" t="s">
        <v>561</v>
      </c>
      <c r="B1042">
        <v>480.2798627463049</v>
      </c>
      <c r="C1042">
        <v>32.840542483026383</v>
      </c>
      <c r="D1042">
        <v>5</v>
      </c>
      <c r="E1042">
        <v>2050</v>
      </c>
      <c r="F1042" t="s">
        <v>471</v>
      </c>
      <c r="G1042">
        <v>1.5923770960124362</v>
      </c>
      <c r="H1042">
        <v>29.829647472266032</v>
      </c>
      <c r="I1042" t="s">
        <v>466</v>
      </c>
      <c r="J1042" t="s">
        <v>467</v>
      </c>
      <c r="K1042">
        <v>4</v>
      </c>
    </row>
    <row r="1043" spans="1:11" x14ac:dyDescent="0.25">
      <c r="A1043" t="s">
        <v>562</v>
      </c>
      <c r="B1043">
        <v>605.16947872228047</v>
      </c>
      <c r="C1043">
        <v>40.188896865306212</v>
      </c>
      <c r="D1043">
        <v>5</v>
      </c>
      <c r="E1043">
        <v>2050</v>
      </c>
      <c r="F1043" t="s">
        <v>471</v>
      </c>
      <c r="G1043">
        <v>1.5923770960124362</v>
      </c>
      <c r="H1043">
        <v>29.829647472266032</v>
      </c>
      <c r="I1043" t="s">
        <v>466</v>
      </c>
      <c r="J1043" t="s">
        <v>467</v>
      </c>
      <c r="K1043">
        <v>5</v>
      </c>
    </row>
    <row r="1044" spans="1:11" x14ac:dyDescent="0.25">
      <c r="A1044" t="s">
        <v>563</v>
      </c>
      <c r="B1044">
        <v>516.5117445112536</v>
      </c>
      <c r="C1044">
        <v>34.889298348559024</v>
      </c>
      <c r="D1044">
        <v>5</v>
      </c>
      <c r="E1044">
        <v>2050</v>
      </c>
      <c r="F1044" t="s">
        <v>471</v>
      </c>
      <c r="G1044">
        <v>1.5923770960124362</v>
      </c>
      <c r="H1044">
        <v>29.829647472266032</v>
      </c>
      <c r="I1044" t="s">
        <v>466</v>
      </c>
      <c r="J1044" t="s">
        <v>467</v>
      </c>
      <c r="K1044">
        <v>6</v>
      </c>
    </row>
    <row r="1045" spans="1:11" x14ac:dyDescent="0.25">
      <c r="A1045" t="s">
        <v>557</v>
      </c>
      <c r="B1045">
        <v>277.91280218648541</v>
      </c>
      <c r="C1045">
        <v>18.623388754010207</v>
      </c>
      <c r="D1045">
        <v>5</v>
      </c>
      <c r="E1045">
        <v>2050</v>
      </c>
      <c r="F1045" t="s">
        <v>471</v>
      </c>
      <c r="G1045">
        <v>1.8660007074939828</v>
      </c>
      <c r="H1045">
        <v>29.828506716734324</v>
      </c>
      <c r="I1045" t="s">
        <v>466</v>
      </c>
      <c r="J1045" t="s">
        <v>468</v>
      </c>
      <c r="K1045">
        <v>0</v>
      </c>
    </row>
    <row r="1046" spans="1:11" x14ac:dyDescent="0.25">
      <c r="A1046" t="s">
        <v>558</v>
      </c>
      <c r="B1046">
        <v>483.72611703050478</v>
      </c>
      <c r="C1046">
        <v>32.479841455714165</v>
      </c>
      <c r="D1046">
        <v>5</v>
      </c>
      <c r="E1046">
        <v>2050</v>
      </c>
      <c r="F1046" t="s">
        <v>471</v>
      </c>
      <c r="G1046">
        <v>1.8660007074939828</v>
      </c>
      <c r="H1046">
        <v>29.828506716734324</v>
      </c>
      <c r="I1046" t="s">
        <v>466</v>
      </c>
      <c r="J1046" t="s">
        <v>468</v>
      </c>
      <c r="K1046">
        <v>1</v>
      </c>
    </row>
    <row r="1047" spans="1:11" x14ac:dyDescent="0.25">
      <c r="A1047" t="s">
        <v>559</v>
      </c>
      <c r="B1047">
        <v>612.18300458082149</v>
      </c>
      <c r="C1047">
        <v>39.281123871775698</v>
      </c>
      <c r="D1047">
        <v>5</v>
      </c>
      <c r="E1047">
        <v>2050</v>
      </c>
      <c r="F1047" t="s">
        <v>471</v>
      </c>
      <c r="G1047">
        <v>1.8660007074939828</v>
      </c>
      <c r="H1047">
        <v>29.828506716734324</v>
      </c>
      <c r="I1047" t="s">
        <v>466</v>
      </c>
      <c r="J1047" t="s">
        <v>468</v>
      </c>
      <c r="K1047">
        <v>2</v>
      </c>
    </row>
    <row r="1048" spans="1:11" x14ac:dyDescent="0.25">
      <c r="A1048" t="s">
        <v>560</v>
      </c>
      <c r="B1048">
        <v>514.91013663134117</v>
      </c>
      <c r="C1048">
        <v>34.219895318298562</v>
      </c>
      <c r="D1048">
        <v>5</v>
      </c>
      <c r="E1048">
        <v>2050</v>
      </c>
      <c r="F1048" t="s">
        <v>471</v>
      </c>
      <c r="G1048">
        <v>1.8660007074939828</v>
      </c>
      <c r="H1048">
        <v>29.828506716734324</v>
      </c>
      <c r="I1048" t="s">
        <v>466</v>
      </c>
      <c r="J1048" t="s">
        <v>468</v>
      </c>
      <c r="K1048">
        <v>3</v>
      </c>
    </row>
    <row r="1049" spans="1:11" x14ac:dyDescent="0.25">
      <c r="A1049" t="s">
        <v>561</v>
      </c>
      <c r="B1049">
        <v>478.01597327857968</v>
      </c>
      <c r="C1049">
        <v>33.364012438477424</v>
      </c>
      <c r="D1049">
        <v>5</v>
      </c>
      <c r="E1049">
        <v>2050</v>
      </c>
      <c r="F1049" t="s">
        <v>471</v>
      </c>
      <c r="G1049">
        <v>1.8660007074939828</v>
      </c>
      <c r="H1049">
        <v>29.828506716734324</v>
      </c>
      <c r="I1049" t="s">
        <v>466</v>
      </c>
      <c r="J1049" t="s">
        <v>468</v>
      </c>
      <c r="K1049">
        <v>4</v>
      </c>
    </row>
    <row r="1050" spans="1:11" x14ac:dyDescent="0.25">
      <c r="A1050" t="s">
        <v>562</v>
      </c>
      <c r="B1050">
        <v>604.25442292096852</v>
      </c>
      <c r="C1050">
        <v>38.430820222754534</v>
      </c>
      <c r="D1050">
        <v>5</v>
      </c>
      <c r="E1050">
        <v>2050</v>
      </c>
      <c r="F1050" t="s">
        <v>471</v>
      </c>
      <c r="G1050">
        <v>1.8660007074939828</v>
      </c>
      <c r="H1050">
        <v>29.828506716734324</v>
      </c>
      <c r="I1050" t="s">
        <v>466</v>
      </c>
      <c r="J1050" t="s">
        <v>468</v>
      </c>
      <c r="K1050">
        <v>5</v>
      </c>
    </row>
    <row r="1051" spans="1:11" x14ac:dyDescent="0.25">
      <c r="A1051" t="s">
        <v>563</v>
      </c>
      <c r="B1051">
        <v>546.40318322349322</v>
      </c>
      <c r="C1051">
        <v>37.423415719020241</v>
      </c>
      <c r="D1051">
        <v>5</v>
      </c>
      <c r="E1051">
        <v>2050</v>
      </c>
      <c r="F1051" t="s">
        <v>471</v>
      </c>
      <c r="G1051">
        <v>1.8660007074939828</v>
      </c>
      <c r="H1051">
        <v>29.828506716734324</v>
      </c>
      <c r="I1051" t="s">
        <v>466</v>
      </c>
      <c r="J1051" t="s">
        <v>468</v>
      </c>
      <c r="K1051">
        <v>6</v>
      </c>
    </row>
    <row r="1052" spans="1:11" x14ac:dyDescent="0.25">
      <c r="A1052" t="s">
        <v>557</v>
      </c>
      <c r="B1052">
        <v>326.86220907802749</v>
      </c>
      <c r="C1052">
        <v>21.391939507100862</v>
      </c>
      <c r="D1052">
        <v>5</v>
      </c>
      <c r="E1052">
        <v>2050</v>
      </c>
      <c r="F1052" t="s">
        <v>471</v>
      </c>
      <c r="G1052">
        <v>1.5923770970124682</v>
      </c>
      <c r="H1052">
        <v>33.800937577833565</v>
      </c>
      <c r="I1052" t="s">
        <v>469</v>
      </c>
      <c r="J1052" t="s">
        <v>467</v>
      </c>
      <c r="K1052">
        <v>0</v>
      </c>
    </row>
    <row r="1053" spans="1:11" x14ac:dyDescent="0.25">
      <c r="A1053" t="s">
        <v>558</v>
      </c>
      <c r="B1053">
        <v>490.94666065357285</v>
      </c>
      <c r="C1053">
        <v>32.189329952154019</v>
      </c>
      <c r="D1053">
        <v>5</v>
      </c>
      <c r="E1053">
        <v>2050</v>
      </c>
      <c r="F1053" t="s">
        <v>471</v>
      </c>
      <c r="G1053">
        <v>1.5923770970124682</v>
      </c>
      <c r="H1053">
        <v>33.800937577833565</v>
      </c>
      <c r="I1053" t="s">
        <v>469</v>
      </c>
      <c r="J1053" t="s">
        <v>467</v>
      </c>
      <c r="K1053">
        <v>1</v>
      </c>
    </row>
    <row r="1054" spans="1:11" x14ac:dyDescent="0.25">
      <c r="A1054" t="s">
        <v>559</v>
      </c>
      <c r="B1054">
        <v>609.22562009398064</v>
      </c>
      <c r="C1054">
        <v>38.175957134875041</v>
      </c>
      <c r="D1054">
        <v>5</v>
      </c>
      <c r="E1054">
        <v>2050</v>
      </c>
      <c r="F1054" t="s">
        <v>471</v>
      </c>
      <c r="G1054">
        <v>1.5923770970124682</v>
      </c>
      <c r="H1054">
        <v>33.800937577833565</v>
      </c>
      <c r="I1054" t="s">
        <v>469</v>
      </c>
      <c r="J1054" t="s">
        <v>467</v>
      </c>
      <c r="K1054">
        <v>2</v>
      </c>
    </row>
    <row r="1055" spans="1:11" x14ac:dyDescent="0.25">
      <c r="A1055" t="s">
        <v>560</v>
      </c>
      <c r="B1055">
        <v>523.3093176007651</v>
      </c>
      <c r="C1055">
        <v>33.76565357510983</v>
      </c>
      <c r="D1055">
        <v>5</v>
      </c>
      <c r="E1055">
        <v>2050</v>
      </c>
      <c r="F1055" t="s">
        <v>471</v>
      </c>
      <c r="G1055">
        <v>1.5923770970124682</v>
      </c>
      <c r="H1055">
        <v>33.800937577833565</v>
      </c>
      <c r="I1055" t="s">
        <v>469</v>
      </c>
      <c r="J1055" t="s">
        <v>467</v>
      </c>
      <c r="K1055">
        <v>3</v>
      </c>
    </row>
    <row r="1056" spans="1:11" x14ac:dyDescent="0.25">
      <c r="A1056" t="s">
        <v>561</v>
      </c>
      <c r="B1056">
        <v>496.82069812721534</v>
      </c>
      <c r="C1056">
        <v>32.724783576999165</v>
      </c>
      <c r="D1056">
        <v>5</v>
      </c>
      <c r="E1056">
        <v>2050</v>
      </c>
      <c r="F1056" t="s">
        <v>471</v>
      </c>
      <c r="G1056">
        <v>1.5923770970124682</v>
      </c>
      <c r="H1056">
        <v>33.800937577833565</v>
      </c>
      <c r="I1056" t="s">
        <v>469</v>
      </c>
      <c r="J1056" t="s">
        <v>467</v>
      </c>
      <c r="K1056">
        <v>4</v>
      </c>
    </row>
    <row r="1057" spans="1:11" x14ac:dyDescent="0.25">
      <c r="A1057" t="s">
        <v>562</v>
      </c>
      <c r="B1057">
        <v>600.86951873569728</v>
      </c>
      <c r="C1057">
        <v>37.765921827154713</v>
      </c>
      <c r="D1057">
        <v>5</v>
      </c>
      <c r="E1057">
        <v>2050</v>
      </c>
      <c r="F1057" t="s">
        <v>471</v>
      </c>
      <c r="G1057">
        <v>1.5923770970124682</v>
      </c>
      <c r="H1057">
        <v>33.800937577833565</v>
      </c>
      <c r="I1057" t="s">
        <v>469</v>
      </c>
      <c r="J1057" t="s">
        <v>467</v>
      </c>
      <c r="K1057">
        <v>5</v>
      </c>
    </row>
    <row r="1058" spans="1:11" x14ac:dyDescent="0.25">
      <c r="A1058" t="s">
        <v>563</v>
      </c>
      <c r="B1058">
        <v>524.78185316903409</v>
      </c>
      <c r="C1058">
        <v>34.293529117781425</v>
      </c>
      <c r="D1058">
        <v>5</v>
      </c>
      <c r="E1058">
        <v>2050</v>
      </c>
      <c r="F1058" t="s">
        <v>471</v>
      </c>
      <c r="G1058">
        <v>1.5923770970124682</v>
      </c>
      <c r="H1058">
        <v>33.800937577833565</v>
      </c>
      <c r="I1058" t="s">
        <v>469</v>
      </c>
      <c r="J1058" t="s">
        <v>467</v>
      </c>
      <c r="K1058">
        <v>6</v>
      </c>
    </row>
    <row r="1059" spans="1:11" x14ac:dyDescent="0.25">
      <c r="A1059" t="s">
        <v>557</v>
      </c>
      <c r="B1059">
        <v>343.91478962399623</v>
      </c>
      <c r="C1059">
        <v>22.488120718256379</v>
      </c>
      <c r="D1059">
        <v>5</v>
      </c>
      <c r="E1059">
        <v>2050</v>
      </c>
      <c r="F1059" t="s">
        <v>471</v>
      </c>
      <c r="G1059">
        <v>1.8659991228844059</v>
      </c>
      <c r="H1059">
        <v>33.749125281547862</v>
      </c>
      <c r="I1059" t="s">
        <v>469</v>
      </c>
      <c r="J1059" t="s">
        <v>468</v>
      </c>
      <c r="K1059">
        <v>0</v>
      </c>
    </row>
    <row r="1060" spans="1:11" x14ac:dyDescent="0.25">
      <c r="A1060" t="s">
        <v>558</v>
      </c>
      <c r="B1060">
        <v>487.34315347133372</v>
      </c>
      <c r="C1060">
        <v>32.273581525363596</v>
      </c>
      <c r="D1060">
        <v>5</v>
      </c>
      <c r="E1060">
        <v>2050</v>
      </c>
      <c r="F1060" t="s">
        <v>471</v>
      </c>
      <c r="G1060">
        <v>1.8659991228844059</v>
      </c>
      <c r="H1060">
        <v>33.749125281547862</v>
      </c>
      <c r="I1060" t="s">
        <v>469</v>
      </c>
      <c r="J1060" t="s">
        <v>468</v>
      </c>
      <c r="K1060">
        <v>1</v>
      </c>
    </row>
    <row r="1061" spans="1:11" x14ac:dyDescent="0.25">
      <c r="A1061" t="s">
        <v>559</v>
      </c>
      <c r="B1061">
        <v>606.23584919790346</v>
      </c>
      <c r="C1061">
        <v>37.484395832772002</v>
      </c>
      <c r="D1061">
        <v>5</v>
      </c>
      <c r="E1061">
        <v>2050</v>
      </c>
      <c r="F1061" t="s">
        <v>471</v>
      </c>
      <c r="G1061">
        <v>1.8659991228844059</v>
      </c>
      <c r="H1061">
        <v>33.749125281547862</v>
      </c>
      <c r="I1061" t="s">
        <v>469</v>
      </c>
      <c r="J1061" t="s">
        <v>468</v>
      </c>
      <c r="K1061">
        <v>2</v>
      </c>
    </row>
    <row r="1062" spans="1:11" x14ac:dyDescent="0.25">
      <c r="A1062" t="s">
        <v>560</v>
      </c>
      <c r="B1062">
        <v>499.73433889380397</v>
      </c>
      <c r="C1062">
        <v>33.341764315606163</v>
      </c>
      <c r="D1062">
        <v>5</v>
      </c>
      <c r="E1062">
        <v>2050</v>
      </c>
      <c r="F1062" t="s">
        <v>471</v>
      </c>
      <c r="G1062">
        <v>1.8659991228844059</v>
      </c>
      <c r="H1062">
        <v>33.749125281547862</v>
      </c>
      <c r="I1062" t="s">
        <v>469</v>
      </c>
      <c r="J1062" t="s">
        <v>468</v>
      </c>
      <c r="K1062">
        <v>3</v>
      </c>
    </row>
    <row r="1063" spans="1:11" x14ac:dyDescent="0.25">
      <c r="A1063" t="s">
        <v>561</v>
      </c>
      <c r="B1063">
        <v>505.36923292231131</v>
      </c>
      <c r="C1063">
        <v>33.539485202935225</v>
      </c>
      <c r="D1063">
        <v>5</v>
      </c>
      <c r="E1063">
        <v>2050</v>
      </c>
      <c r="F1063" t="s">
        <v>471</v>
      </c>
      <c r="G1063">
        <v>1.8659991228844059</v>
      </c>
      <c r="H1063">
        <v>33.749125281547862</v>
      </c>
      <c r="I1063" t="s">
        <v>469</v>
      </c>
      <c r="J1063" t="s">
        <v>468</v>
      </c>
      <c r="K1063">
        <v>4</v>
      </c>
    </row>
    <row r="1064" spans="1:11" x14ac:dyDescent="0.25">
      <c r="A1064" t="s">
        <v>562</v>
      </c>
      <c r="B1064">
        <v>607.06015908964298</v>
      </c>
      <c r="C1064">
        <v>38.88458180697404</v>
      </c>
      <c r="D1064">
        <v>5</v>
      </c>
      <c r="E1064">
        <v>2050</v>
      </c>
      <c r="F1064" t="s">
        <v>471</v>
      </c>
      <c r="G1064">
        <v>1.8659991228844059</v>
      </c>
      <c r="H1064">
        <v>33.749125281547862</v>
      </c>
      <c r="I1064" t="s">
        <v>469</v>
      </c>
      <c r="J1064" t="s">
        <v>468</v>
      </c>
      <c r="K1064">
        <v>5</v>
      </c>
    </row>
    <row r="1065" spans="1:11" x14ac:dyDescent="0.25">
      <c r="A1065" t="s">
        <v>563</v>
      </c>
      <c r="B1065">
        <v>526.76578045509586</v>
      </c>
      <c r="C1065">
        <v>34.718629185373416</v>
      </c>
      <c r="D1065">
        <v>5</v>
      </c>
      <c r="E1065">
        <v>2050</v>
      </c>
      <c r="F1065" t="s">
        <v>471</v>
      </c>
      <c r="G1065">
        <v>1.8659991228844059</v>
      </c>
      <c r="H1065">
        <v>33.749125281547862</v>
      </c>
      <c r="I1065" t="s">
        <v>469</v>
      </c>
      <c r="J1065" t="s">
        <v>468</v>
      </c>
      <c r="K1065">
        <v>6</v>
      </c>
    </row>
    <row r="1066" spans="1:11" x14ac:dyDescent="0.25">
      <c r="A1066" t="s">
        <v>557</v>
      </c>
      <c r="B1066">
        <v>357.14803408591911</v>
      </c>
      <c r="C1066">
        <v>23.650690456223575</v>
      </c>
      <c r="D1066">
        <v>5</v>
      </c>
      <c r="E1066">
        <v>2035</v>
      </c>
      <c r="F1066" t="s">
        <v>472</v>
      </c>
      <c r="G1066">
        <v>1.4390268736697893</v>
      </c>
      <c r="H1066">
        <v>28.757173673231534</v>
      </c>
      <c r="I1066" t="s">
        <v>466</v>
      </c>
      <c r="J1066" t="s">
        <v>467</v>
      </c>
      <c r="K1066">
        <v>0</v>
      </c>
    </row>
    <row r="1067" spans="1:11" x14ac:dyDescent="0.25">
      <c r="A1067" t="s">
        <v>558</v>
      </c>
      <c r="B1067">
        <v>447.05170466308959</v>
      </c>
      <c r="C1067">
        <v>30.811664044657064</v>
      </c>
      <c r="D1067">
        <v>5</v>
      </c>
      <c r="E1067">
        <v>2035</v>
      </c>
      <c r="F1067" t="s">
        <v>472</v>
      </c>
      <c r="G1067">
        <v>1.4390268736697893</v>
      </c>
      <c r="H1067">
        <v>28.757173673231534</v>
      </c>
      <c r="I1067" t="s">
        <v>466</v>
      </c>
      <c r="J1067" t="s">
        <v>467</v>
      </c>
      <c r="K1067">
        <v>1</v>
      </c>
    </row>
    <row r="1068" spans="1:11" x14ac:dyDescent="0.25">
      <c r="A1068" t="s">
        <v>559</v>
      </c>
      <c r="B1068">
        <v>697.64447177680177</v>
      </c>
      <c r="C1068">
        <v>43.274665133202184</v>
      </c>
      <c r="D1068">
        <v>5</v>
      </c>
      <c r="E1068">
        <v>2035</v>
      </c>
      <c r="F1068" t="s">
        <v>472</v>
      </c>
      <c r="G1068">
        <v>1.4390268736697893</v>
      </c>
      <c r="H1068">
        <v>28.757173673231534</v>
      </c>
      <c r="I1068" t="s">
        <v>466</v>
      </c>
      <c r="J1068" t="s">
        <v>467</v>
      </c>
      <c r="K1068">
        <v>2</v>
      </c>
    </row>
    <row r="1069" spans="1:11" x14ac:dyDescent="0.25">
      <c r="A1069" t="s">
        <v>560</v>
      </c>
      <c r="B1069">
        <v>570.86320139400925</v>
      </c>
      <c r="C1069">
        <v>37.059983818041673</v>
      </c>
      <c r="D1069">
        <v>5</v>
      </c>
      <c r="E1069">
        <v>2035</v>
      </c>
      <c r="F1069" t="s">
        <v>472</v>
      </c>
      <c r="G1069">
        <v>1.4390268736697893</v>
      </c>
      <c r="H1069">
        <v>28.757173673231534</v>
      </c>
      <c r="I1069" t="s">
        <v>466</v>
      </c>
      <c r="J1069" t="s">
        <v>467</v>
      </c>
      <c r="K1069">
        <v>3</v>
      </c>
    </row>
    <row r="1070" spans="1:11" x14ac:dyDescent="0.25">
      <c r="A1070" t="s">
        <v>561</v>
      </c>
      <c r="B1070">
        <v>513.20556713431858</v>
      </c>
      <c r="C1070">
        <v>33.342842026730231</v>
      </c>
      <c r="D1070">
        <v>5</v>
      </c>
      <c r="E1070">
        <v>2035</v>
      </c>
      <c r="F1070" t="s">
        <v>472</v>
      </c>
      <c r="G1070">
        <v>1.4390268736697893</v>
      </c>
      <c r="H1070">
        <v>28.757173673231534</v>
      </c>
      <c r="I1070" t="s">
        <v>466</v>
      </c>
      <c r="J1070" t="s">
        <v>467</v>
      </c>
      <c r="K1070">
        <v>4</v>
      </c>
    </row>
    <row r="1071" spans="1:11" x14ac:dyDescent="0.25">
      <c r="A1071" t="s">
        <v>562</v>
      </c>
      <c r="B1071">
        <v>694.02969999196125</v>
      </c>
      <c r="C1071">
        <v>43.551208623082346</v>
      </c>
      <c r="D1071">
        <v>5</v>
      </c>
      <c r="E1071">
        <v>2035</v>
      </c>
      <c r="F1071" t="s">
        <v>472</v>
      </c>
      <c r="G1071">
        <v>1.4390268736697893</v>
      </c>
      <c r="H1071">
        <v>28.757173673231534</v>
      </c>
      <c r="I1071" t="s">
        <v>466</v>
      </c>
      <c r="J1071" t="s">
        <v>467</v>
      </c>
      <c r="K1071">
        <v>5</v>
      </c>
    </row>
    <row r="1072" spans="1:11" x14ac:dyDescent="0.25">
      <c r="A1072" t="s">
        <v>563</v>
      </c>
      <c r="B1072">
        <v>595.08960145198728</v>
      </c>
      <c r="C1072">
        <v>38.81211830814857</v>
      </c>
      <c r="D1072">
        <v>5</v>
      </c>
      <c r="E1072">
        <v>2035</v>
      </c>
      <c r="F1072" t="s">
        <v>472</v>
      </c>
      <c r="G1072">
        <v>1.4390268736697893</v>
      </c>
      <c r="H1072">
        <v>28.757173673231534</v>
      </c>
      <c r="I1072" t="s">
        <v>466</v>
      </c>
      <c r="J1072" t="s">
        <v>467</v>
      </c>
      <c r="K1072">
        <v>6</v>
      </c>
    </row>
    <row r="1073" spans="1:11" x14ac:dyDescent="0.25">
      <c r="A1073" t="s">
        <v>557</v>
      </c>
      <c r="B1073">
        <v>349.83738835416978</v>
      </c>
      <c r="C1073">
        <v>23.176569258364736</v>
      </c>
      <c r="D1073">
        <v>5</v>
      </c>
      <c r="E1073">
        <v>2035</v>
      </c>
      <c r="F1073" t="s">
        <v>472</v>
      </c>
      <c r="G1073">
        <v>1.664032163303361</v>
      </c>
      <c r="H1073">
        <v>28.756235597599215</v>
      </c>
      <c r="I1073" t="s">
        <v>466</v>
      </c>
      <c r="J1073" t="s">
        <v>468</v>
      </c>
      <c r="K1073">
        <v>0</v>
      </c>
    </row>
    <row r="1074" spans="1:11" x14ac:dyDescent="0.25">
      <c r="A1074" t="s">
        <v>558</v>
      </c>
      <c r="B1074">
        <v>509.15040714515334</v>
      </c>
      <c r="C1074">
        <v>34.388221505081127</v>
      </c>
      <c r="D1074">
        <v>5</v>
      </c>
      <c r="E1074">
        <v>2035</v>
      </c>
      <c r="F1074" t="s">
        <v>472</v>
      </c>
      <c r="G1074">
        <v>1.664032163303361</v>
      </c>
      <c r="H1074">
        <v>28.756235597599215</v>
      </c>
      <c r="I1074" t="s">
        <v>466</v>
      </c>
      <c r="J1074" t="s">
        <v>468</v>
      </c>
      <c r="K1074">
        <v>1</v>
      </c>
    </row>
    <row r="1075" spans="1:11" x14ac:dyDescent="0.25">
      <c r="A1075" t="s">
        <v>559</v>
      </c>
      <c r="B1075">
        <v>698.78927392739786</v>
      </c>
      <c r="C1075">
        <v>43.478876037091609</v>
      </c>
      <c r="D1075">
        <v>5</v>
      </c>
      <c r="E1075">
        <v>2035</v>
      </c>
      <c r="F1075" t="s">
        <v>472</v>
      </c>
      <c r="G1075">
        <v>1.664032163303361</v>
      </c>
      <c r="H1075">
        <v>28.756235597599215</v>
      </c>
      <c r="I1075" t="s">
        <v>466</v>
      </c>
      <c r="J1075" t="s">
        <v>468</v>
      </c>
      <c r="K1075">
        <v>2</v>
      </c>
    </row>
    <row r="1076" spans="1:11" x14ac:dyDescent="0.25">
      <c r="A1076" t="s">
        <v>560</v>
      </c>
      <c r="B1076">
        <v>593.87170872331842</v>
      </c>
      <c r="C1076">
        <v>38.544339850860005</v>
      </c>
      <c r="D1076">
        <v>5</v>
      </c>
      <c r="E1076">
        <v>2035</v>
      </c>
      <c r="F1076" t="s">
        <v>472</v>
      </c>
      <c r="G1076">
        <v>1.664032163303361</v>
      </c>
      <c r="H1076">
        <v>28.756235597599215</v>
      </c>
      <c r="I1076" t="s">
        <v>466</v>
      </c>
      <c r="J1076" t="s">
        <v>468</v>
      </c>
      <c r="K1076">
        <v>3</v>
      </c>
    </row>
    <row r="1077" spans="1:11" x14ac:dyDescent="0.25">
      <c r="A1077" t="s">
        <v>561</v>
      </c>
      <c r="B1077">
        <v>553.19539207946639</v>
      </c>
      <c r="C1077">
        <v>36.118379364640361</v>
      </c>
      <c r="D1077">
        <v>5</v>
      </c>
      <c r="E1077">
        <v>2035</v>
      </c>
      <c r="F1077" t="s">
        <v>472</v>
      </c>
      <c r="G1077">
        <v>1.664032163303361</v>
      </c>
      <c r="H1077">
        <v>28.756235597599215</v>
      </c>
      <c r="I1077" t="s">
        <v>466</v>
      </c>
      <c r="J1077" t="s">
        <v>468</v>
      </c>
      <c r="K1077">
        <v>4</v>
      </c>
    </row>
    <row r="1078" spans="1:11" x14ac:dyDescent="0.25">
      <c r="A1078" t="s">
        <v>562</v>
      </c>
      <c r="B1078">
        <v>691.40397864592956</v>
      </c>
      <c r="C1078">
        <v>43.2562085406637</v>
      </c>
      <c r="D1078">
        <v>5</v>
      </c>
      <c r="E1078">
        <v>2035</v>
      </c>
      <c r="F1078" t="s">
        <v>472</v>
      </c>
      <c r="G1078">
        <v>1.664032163303361</v>
      </c>
      <c r="H1078">
        <v>28.756235597599215</v>
      </c>
      <c r="I1078" t="s">
        <v>466</v>
      </c>
      <c r="J1078" t="s">
        <v>468</v>
      </c>
      <c r="K1078">
        <v>5</v>
      </c>
    </row>
    <row r="1079" spans="1:11" x14ac:dyDescent="0.25">
      <c r="A1079" t="s">
        <v>563</v>
      </c>
      <c r="B1079">
        <v>589.42345912197857</v>
      </c>
      <c r="C1079">
        <v>38.222731315858695</v>
      </c>
      <c r="D1079">
        <v>5</v>
      </c>
      <c r="E1079">
        <v>2035</v>
      </c>
      <c r="F1079" t="s">
        <v>472</v>
      </c>
      <c r="G1079">
        <v>1.664032163303361</v>
      </c>
      <c r="H1079">
        <v>28.756235597599215</v>
      </c>
      <c r="I1079" t="s">
        <v>466</v>
      </c>
      <c r="J1079" t="s">
        <v>468</v>
      </c>
      <c r="K1079">
        <v>6</v>
      </c>
    </row>
    <row r="1080" spans="1:11" x14ac:dyDescent="0.25">
      <c r="A1080" t="s">
        <v>557</v>
      </c>
      <c r="B1080">
        <v>380.19453922184908</v>
      </c>
      <c r="C1080">
        <v>25.17642539803467</v>
      </c>
      <c r="D1080">
        <v>5</v>
      </c>
      <c r="E1080">
        <v>2035</v>
      </c>
      <c r="F1080" t="s">
        <v>472</v>
      </c>
      <c r="G1080">
        <v>1.4390268447846697</v>
      </c>
      <c r="H1080">
        <v>31.957206884966979</v>
      </c>
      <c r="I1080" t="s">
        <v>469</v>
      </c>
      <c r="J1080" t="s">
        <v>467</v>
      </c>
      <c r="K1080">
        <v>0</v>
      </c>
    </row>
    <row r="1081" spans="1:11" x14ac:dyDescent="0.25">
      <c r="A1081" t="s">
        <v>558</v>
      </c>
      <c r="B1081">
        <v>483.43543785707271</v>
      </c>
      <c r="C1081">
        <v>33.313305852638102</v>
      </c>
      <c r="D1081">
        <v>5</v>
      </c>
      <c r="E1081">
        <v>2035</v>
      </c>
      <c r="F1081" t="s">
        <v>472</v>
      </c>
      <c r="G1081">
        <v>1.4390268447846697</v>
      </c>
      <c r="H1081">
        <v>31.957206884966979</v>
      </c>
      <c r="I1081" t="s">
        <v>469</v>
      </c>
      <c r="J1081" t="s">
        <v>467</v>
      </c>
      <c r="K1081">
        <v>1</v>
      </c>
    </row>
    <row r="1082" spans="1:11" x14ac:dyDescent="0.25">
      <c r="A1082" t="s">
        <v>559</v>
      </c>
      <c r="B1082">
        <v>616.29851142298696</v>
      </c>
      <c r="C1082">
        <v>37.663640641845625</v>
      </c>
      <c r="D1082">
        <v>5</v>
      </c>
      <c r="E1082">
        <v>2035</v>
      </c>
      <c r="F1082" t="s">
        <v>472</v>
      </c>
      <c r="G1082">
        <v>1.4390268447846697</v>
      </c>
      <c r="H1082">
        <v>31.957206884966979</v>
      </c>
      <c r="I1082" t="s">
        <v>469</v>
      </c>
      <c r="J1082" t="s">
        <v>467</v>
      </c>
      <c r="K1082">
        <v>2</v>
      </c>
    </row>
    <row r="1083" spans="1:11" x14ac:dyDescent="0.25">
      <c r="A1083" t="s">
        <v>560</v>
      </c>
      <c r="B1083">
        <v>531.43271704010397</v>
      </c>
      <c r="C1083">
        <v>34.740582627419172</v>
      </c>
      <c r="D1083">
        <v>5</v>
      </c>
      <c r="E1083">
        <v>2035</v>
      </c>
      <c r="F1083" t="s">
        <v>472</v>
      </c>
      <c r="G1083">
        <v>1.4390268447846697</v>
      </c>
      <c r="H1083">
        <v>31.957206884966979</v>
      </c>
      <c r="I1083" t="s">
        <v>469</v>
      </c>
      <c r="J1083" t="s">
        <v>467</v>
      </c>
      <c r="K1083">
        <v>3</v>
      </c>
    </row>
    <row r="1084" spans="1:11" x14ac:dyDescent="0.25">
      <c r="A1084" t="s">
        <v>561</v>
      </c>
      <c r="B1084">
        <v>513.45401266319413</v>
      </c>
      <c r="C1084">
        <v>34.294110439706714</v>
      </c>
      <c r="D1084">
        <v>5</v>
      </c>
      <c r="E1084">
        <v>2035</v>
      </c>
      <c r="F1084" t="s">
        <v>472</v>
      </c>
      <c r="G1084">
        <v>1.4390268447846697</v>
      </c>
      <c r="H1084">
        <v>31.957206884966979</v>
      </c>
      <c r="I1084" t="s">
        <v>469</v>
      </c>
      <c r="J1084" t="s">
        <v>467</v>
      </c>
      <c r="K1084">
        <v>4</v>
      </c>
    </row>
    <row r="1085" spans="1:11" x14ac:dyDescent="0.25">
      <c r="A1085" t="s">
        <v>562</v>
      </c>
      <c r="B1085">
        <v>685.93719125637244</v>
      </c>
      <c r="C1085">
        <v>42.075914854951826</v>
      </c>
      <c r="D1085">
        <v>5</v>
      </c>
      <c r="E1085">
        <v>2035</v>
      </c>
      <c r="F1085" t="s">
        <v>472</v>
      </c>
      <c r="G1085">
        <v>1.4390268447846697</v>
      </c>
      <c r="H1085">
        <v>31.957206884966979</v>
      </c>
      <c r="I1085" t="s">
        <v>469</v>
      </c>
      <c r="J1085" t="s">
        <v>467</v>
      </c>
      <c r="K1085">
        <v>5</v>
      </c>
    </row>
    <row r="1086" spans="1:11" x14ac:dyDescent="0.25">
      <c r="A1086" t="s">
        <v>563</v>
      </c>
      <c r="B1086">
        <v>603.43346447082547</v>
      </c>
      <c r="C1086">
        <v>38.328502571059786</v>
      </c>
      <c r="D1086">
        <v>5</v>
      </c>
      <c r="E1086">
        <v>2035</v>
      </c>
      <c r="F1086" t="s">
        <v>472</v>
      </c>
      <c r="G1086">
        <v>1.4390268447846697</v>
      </c>
      <c r="H1086">
        <v>31.957206884966979</v>
      </c>
      <c r="I1086" t="s">
        <v>469</v>
      </c>
      <c r="J1086" t="s">
        <v>467</v>
      </c>
      <c r="K1086">
        <v>6</v>
      </c>
    </row>
    <row r="1087" spans="1:11" x14ac:dyDescent="0.25">
      <c r="A1087" t="s">
        <v>557</v>
      </c>
      <c r="B1087">
        <v>387.54642591741367</v>
      </c>
      <c r="C1087">
        <v>25.57116943603522</v>
      </c>
      <c r="D1087">
        <v>5</v>
      </c>
      <c r="E1087">
        <v>2035</v>
      </c>
      <c r="F1087" t="s">
        <v>472</v>
      </c>
      <c r="G1087">
        <v>1.6640321613077746</v>
      </c>
      <c r="H1087">
        <v>31.89603919435848</v>
      </c>
      <c r="I1087" t="s">
        <v>469</v>
      </c>
      <c r="J1087" t="s">
        <v>468</v>
      </c>
      <c r="K1087">
        <v>0</v>
      </c>
    </row>
    <row r="1088" spans="1:11" x14ac:dyDescent="0.25">
      <c r="A1088" t="s">
        <v>558</v>
      </c>
      <c r="B1088">
        <v>494.26429666712011</v>
      </c>
      <c r="C1088">
        <v>33.768726799147387</v>
      </c>
      <c r="D1088">
        <v>5</v>
      </c>
      <c r="E1088">
        <v>2035</v>
      </c>
      <c r="F1088" t="s">
        <v>472</v>
      </c>
      <c r="G1088">
        <v>1.6640321613077746</v>
      </c>
      <c r="H1088">
        <v>31.89603919435848</v>
      </c>
      <c r="I1088" t="s">
        <v>469</v>
      </c>
      <c r="J1088" t="s">
        <v>468</v>
      </c>
      <c r="K1088">
        <v>1</v>
      </c>
    </row>
    <row r="1089" spans="1:11" x14ac:dyDescent="0.25">
      <c r="A1089" t="s">
        <v>559</v>
      </c>
      <c r="B1089">
        <v>693.53697635766639</v>
      </c>
      <c r="C1089">
        <v>42.115921351305659</v>
      </c>
      <c r="D1089">
        <v>5</v>
      </c>
      <c r="E1089">
        <v>2035</v>
      </c>
      <c r="F1089" t="s">
        <v>472</v>
      </c>
      <c r="G1089">
        <v>1.6640321613077746</v>
      </c>
      <c r="H1089">
        <v>31.89603919435848</v>
      </c>
      <c r="I1089" t="s">
        <v>469</v>
      </c>
      <c r="J1089" t="s">
        <v>468</v>
      </c>
      <c r="K1089">
        <v>2</v>
      </c>
    </row>
    <row r="1090" spans="1:11" x14ac:dyDescent="0.25">
      <c r="A1090" t="s">
        <v>560</v>
      </c>
      <c r="B1090">
        <v>589.36964595155871</v>
      </c>
      <c r="C1090">
        <v>37.104688023885203</v>
      </c>
      <c r="D1090">
        <v>5</v>
      </c>
      <c r="E1090">
        <v>2035</v>
      </c>
      <c r="F1090" t="s">
        <v>472</v>
      </c>
      <c r="G1090">
        <v>1.6640321613077746</v>
      </c>
      <c r="H1090">
        <v>31.89603919435848</v>
      </c>
      <c r="I1090" t="s">
        <v>469</v>
      </c>
      <c r="J1090" t="s">
        <v>468</v>
      </c>
      <c r="K1090">
        <v>3</v>
      </c>
    </row>
    <row r="1091" spans="1:11" x14ac:dyDescent="0.25">
      <c r="A1091" t="s">
        <v>561</v>
      </c>
      <c r="B1091">
        <v>526.10633033432578</v>
      </c>
      <c r="C1091">
        <v>34.509756551453606</v>
      </c>
      <c r="D1091">
        <v>5</v>
      </c>
      <c r="E1091">
        <v>2035</v>
      </c>
      <c r="F1091" t="s">
        <v>472</v>
      </c>
      <c r="G1091">
        <v>1.6640321613077746</v>
      </c>
      <c r="H1091">
        <v>31.89603919435848</v>
      </c>
      <c r="I1091" t="s">
        <v>469</v>
      </c>
      <c r="J1091" t="s">
        <v>468</v>
      </c>
      <c r="K1091">
        <v>4</v>
      </c>
    </row>
    <row r="1092" spans="1:11" x14ac:dyDescent="0.25">
      <c r="A1092" t="s">
        <v>562</v>
      </c>
      <c r="B1092">
        <v>701.69264196961478</v>
      </c>
      <c r="C1092">
        <v>42.834653439648491</v>
      </c>
      <c r="D1092">
        <v>5</v>
      </c>
      <c r="E1092">
        <v>2035</v>
      </c>
      <c r="F1092" t="s">
        <v>472</v>
      </c>
      <c r="G1092">
        <v>1.6640321613077746</v>
      </c>
      <c r="H1092">
        <v>31.89603919435848</v>
      </c>
      <c r="I1092" t="s">
        <v>469</v>
      </c>
      <c r="J1092" t="s">
        <v>468</v>
      </c>
      <c r="K1092">
        <v>5</v>
      </c>
    </row>
    <row r="1093" spans="1:11" x14ac:dyDescent="0.25">
      <c r="A1093" t="s">
        <v>563</v>
      </c>
      <c r="B1093">
        <v>581.90135147013802</v>
      </c>
      <c r="C1093">
        <v>37.654940993408523</v>
      </c>
      <c r="D1093">
        <v>5</v>
      </c>
      <c r="E1093">
        <v>2035</v>
      </c>
      <c r="F1093" t="s">
        <v>472</v>
      </c>
      <c r="G1093">
        <v>1.6640321613077746</v>
      </c>
      <c r="H1093">
        <v>31.89603919435848</v>
      </c>
      <c r="I1093" t="s">
        <v>469</v>
      </c>
      <c r="J1093" t="s">
        <v>468</v>
      </c>
      <c r="K1093">
        <v>6</v>
      </c>
    </row>
    <row r="1094" spans="1:11" x14ac:dyDescent="0.25">
      <c r="A1094" t="s">
        <v>557</v>
      </c>
      <c r="B1094">
        <v>371.51682419932166</v>
      </c>
      <c r="C1094">
        <v>24.505813935626893</v>
      </c>
      <c r="D1094">
        <v>5</v>
      </c>
      <c r="E1094">
        <v>2050</v>
      </c>
      <c r="F1094" t="s">
        <v>472</v>
      </c>
      <c r="G1094">
        <v>1.5923770950704055</v>
      </c>
      <c r="H1094">
        <v>29.82964701339958</v>
      </c>
      <c r="I1094" t="s">
        <v>466</v>
      </c>
      <c r="J1094" t="s">
        <v>467</v>
      </c>
      <c r="K1094">
        <v>0</v>
      </c>
    </row>
    <row r="1095" spans="1:11" x14ac:dyDescent="0.25">
      <c r="A1095" t="s">
        <v>558</v>
      </c>
      <c r="B1095">
        <v>478.06431178093311</v>
      </c>
      <c r="C1095">
        <v>32.355775310036464</v>
      </c>
      <c r="D1095">
        <v>5</v>
      </c>
      <c r="E1095">
        <v>2050</v>
      </c>
      <c r="F1095" t="s">
        <v>472</v>
      </c>
      <c r="G1095">
        <v>1.5923770950704055</v>
      </c>
      <c r="H1095">
        <v>29.82964701339958</v>
      </c>
      <c r="I1095" t="s">
        <v>466</v>
      </c>
      <c r="J1095" t="s">
        <v>467</v>
      </c>
      <c r="K1095">
        <v>1</v>
      </c>
    </row>
    <row r="1096" spans="1:11" x14ac:dyDescent="0.25">
      <c r="A1096" t="s">
        <v>559</v>
      </c>
      <c r="B1096">
        <v>683.90000701772158</v>
      </c>
      <c r="C1096">
        <v>42.21379255295372</v>
      </c>
      <c r="D1096">
        <v>5</v>
      </c>
      <c r="E1096">
        <v>2050</v>
      </c>
      <c r="F1096" t="s">
        <v>472</v>
      </c>
      <c r="G1096">
        <v>1.5923770950704055</v>
      </c>
      <c r="H1096">
        <v>29.82964701339958</v>
      </c>
      <c r="I1096" t="s">
        <v>466</v>
      </c>
      <c r="J1096" t="s">
        <v>467</v>
      </c>
      <c r="K1096">
        <v>2</v>
      </c>
    </row>
    <row r="1097" spans="1:11" x14ac:dyDescent="0.25">
      <c r="A1097" t="s">
        <v>560</v>
      </c>
      <c r="B1097">
        <v>573.71816177484163</v>
      </c>
      <c r="C1097">
        <v>36.980883573306301</v>
      </c>
      <c r="D1097">
        <v>5</v>
      </c>
      <c r="E1097">
        <v>2050</v>
      </c>
      <c r="F1097" t="s">
        <v>472</v>
      </c>
      <c r="G1097">
        <v>1.5923770950704055</v>
      </c>
      <c r="H1097">
        <v>29.82964701339958</v>
      </c>
      <c r="I1097" t="s">
        <v>466</v>
      </c>
      <c r="J1097" t="s">
        <v>467</v>
      </c>
      <c r="K1097">
        <v>3</v>
      </c>
    </row>
    <row r="1098" spans="1:11" x14ac:dyDescent="0.25">
      <c r="A1098" t="s">
        <v>561</v>
      </c>
      <c r="B1098">
        <v>521.78856635622753</v>
      </c>
      <c r="C1098">
        <v>34.969520277795709</v>
      </c>
      <c r="D1098">
        <v>5</v>
      </c>
      <c r="E1098">
        <v>2050</v>
      </c>
      <c r="F1098" t="s">
        <v>472</v>
      </c>
      <c r="G1098">
        <v>1.5923770950704055</v>
      </c>
      <c r="H1098">
        <v>29.82964701339958</v>
      </c>
      <c r="I1098" t="s">
        <v>466</v>
      </c>
      <c r="J1098" t="s">
        <v>467</v>
      </c>
      <c r="K1098">
        <v>4</v>
      </c>
    </row>
    <row r="1099" spans="1:11" x14ac:dyDescent="0.25">
      <c r="A1099" t="s">
        <v>562</v>
      </c>
      <c r="B1099">
        <v>710.19328294542868</v>
      </c>
      <c r="C1099">
        <v>44.330099286600834</v>
      </c>
      <c r="D1099">
        <v>5</v>
      </c>
      <c r="E1099">
        <v>2050</v>
      </c>
      <c r="F1099" t="s">
        <v>472</v>
      </c>
      <c r="G1099">
        <v>1.5923770950704055</v>
      </c>
      <c r="H1099">
        <v>29.82964701339958</v>
      </c>
      <c r="I1099" t="s">
        <v>466</v>
      </c>
      <c r="J1099" t="s">
        <v>467</v>
      </c>
      <c r="K1099">
        <v>5</v>
      </c>
    </row>
    <row r="1100" spans="1:11" x14ac:dyDescent="0.25">
      <c r="A1100" t="s">
        <v>563</v>
      </c>
      <c r="B1100">
        <v>552.05496489353766</v>
      </c>
      <c r="C1100">
        <v>36.778699840515621</v>
      </c>
      <c r="D1100">
        <v>5</v>
      </c>
      <c r="E1100">
        <v>2050</v>
      </c>
      <c r="F1100" t="s">
        <v>472</v>
      </c>
      <c r="G1100">
        <v>1.5923770950704055</v>
      </c>
      <c r="H1100">
        <v>29.82964701339958</v>
      </c>
      <c r="I1100" t="s">
        <v>466</v>
      </c>
      <c r="J1100" t="s">
        <v>467</v>
      </c>
      <c r="K1100">
        <v>6</v>
      </c>
    </row>
    <row r="1101" spans="1:11" x14ac:dyDescent="0.25">
      <c r="A1101" t="s">
        <v>557</v>
      </c>
      <c r="B1101">
        <v>374.69374536060053</v>
      </c>
      <c r="C1101">
        <v>24.621330941930811</v>
      </c>
      <c r="D1101">
        <v>5</v>
      </c>
      <c r="E1101">
        <v>2050</v>
      </c>
      <c r="F1101" t="s">
        <v>472</v>
      </c>
      <c r="G1101">
        <v>1.8659991351172645</v>
      </c>
      <c r="H1101">
        <v>29.828517308478041</v>
      </c>
      <c r="I1101" t="s">
        <v>466</v>
      </c>
      <c r="J1101" t="s">
        <v>468</v>
      </c>
      <c r="K1101">
        <v>0</v>
      </c>
    </row>
    <row r="1102" spans="1:11" x14ac:dyDescent="0.25">
      <c r="A1102" t="s">
        <v>558</v>
      </c>
      <c r="B1102">
        <v>484.59603829125496</v>
      </c>
      <c r="C1102">
        <v>32.812175542860096</v>
      </c>
      <c r="D1102">
        <v>5</v>
      </c>
      <c r="E1102">
        <v>2050</v>
      </c>
      <c r="F1102" t="s">
        <v>472</v>
      </c>
      <c r="G1102">
        <v>1.8659991351172645</v>
      </c>
      <c r="H1102">
        <v>29.828517308478041</v>
      </c>
      <c r="I1102" t="s">
        <v>466</v>
      </c>
      <c r="J1102" t="s">
        <v>468</v>
      </c>
      <c r="K1102">
        <v>1</v>
      </c>
    </row>
    <row r="1103" spans="1:11" x14ac:dyDescent="0.25">
      <c r="A1103" t="s">
        <v>559</v>
      </c>
      <c r="B1103">
        <v>691.99696506341695</v>
      </c>
      <c r="C1103">
        <v>42.702724525212155</v>
      </c>
      <c r="D1103">
        <v>5</v>
      </c>
      <c r="E1103">
        <v>2050</v>
      </c>
      <c r="F1103" t="s">
        <v>472</v>
      </c>
      <c r="G1103">
        <v>1.8659991351172645</v>
      </c>
      <c r="H1103">
        <v>29.828517308478041</v>
      </c>
      <c r="I1103" t="s">
        <v>466</v>
      </c>
      <c r="J1103" t="s">
        <v>468</v>
      </c>
      <c r="K1103">
        <v>2</v>
      </c>
    </row>
    <row r="1104" spans="1:11" x14ac:dyDescent="0.25">
      <c r="A1104" t="s">
        <v>560</v>
      </c>
      <c r="B1104">
        <v>559.45240295051201</v>
      </c>
      <c r="C1104">
        <v>36.824429551023933</v>
      </c>
      <c r="D1104">
        <v>5</v>
      </c>
      <c r="E1104">
        <v>2050</v>
      </c>
      <c r="F1104" t="s">
        <v>472</v>
      </c>
      <c r="G1104">
        <v>1.8659991351172645</v>
      </c>
      <c r="H1104">
        <v>29.828517308478041</v>
      </c>
      <c r="I1104" t="s">
        <v>466</v>
      </c>
      <c r="J1104" t="s">
        <v>468</v>
      </c>
      <c r="K1104">
        <v>3</v>
      </c>
    </row>
    <row r="1105" spans="1:11" x14ac:dyDescent="0.25">
      <c r="A1105" t="s">
        <v>561</v>
      </c>
      <c r="B1105">
        <v>520.50864767572671</v>
      </c>
      <c r="C1105">
        <v>33.523106737401548</v>
      </c>
      <c r="D1105">
        <v>5</v>
      </c>
      <c r="E1105">
        <v>2050</v>
      </c>
      <c r="F1105" t="s">
        <v>472</v>
      </c>
      <c r="G1105">
        <v>1.8659991351172645</v>
      </c>
      <c r="H1105">
        <v>29.828517308478041</v>
      </c>
      <c r="I1105" t="s">
        <v>466</v>
      </c>
      <c r="J1105" t="s">
        <v>468</v>
      </c>
      <c r="K1105">
        <v>4</v>
      </c>
    </row>
    <row r="1106" spans="1:11" x14ac:dyDescent="0.25">
      <c r="A1106" t="s">
        <v>562</v>
      </c>
      <c r="B1106">
        <v>674.1222146775898</v>
      </c>
      <c r="C1106">
        <v>42.167025593522538</v>
      </c>
      <c r="D1106">
        <v>5</v>
      </c>
      <c r="E1106">
        <v>2050</v>
      </c>
      <c r="F1106" t="s">
        <v>472</v>
      </c>
      <c r="G1106">
        <v>1.8659991351172645</v>
      </c>
      <c r="H1106">
        <v>29.828517308478041</v>
      </c>
      <c r="I1106" t="s">
        <v>466</v>
      </c>
      <c r="J1106" t="s">
        <v>468</v>
      </c>
      <c r="K1106">
        <v>5</v>
      </c>
    </row>
    <row r="1107" spans="1:11" x14ac:dyDescent="0.25">
      <c r="A1107" t="s">
        <v>563</v>
      </c>
      <c r="B1107">
        <v>577.46812754211703</v>
      </c>
      <c r="C1107">
        <v>37.508278749962642</v>
      </c>
      <c r="D1107">
        <v>5</v>
      </c>
      <c r="E1107">
        <v>2050</v>
      </c>
      <c r="F1107" t="s">
        <v>472</v>
      </c>
      <c r="G1107">
        <v>1.8659991351172645</v>
      </c>
      <c r="H1107">
        <v>29.828517308478041</v>
      </c>
      <c r="I1107" t="s">
        <v>466</v>
      </c>
      <c r="J1107" t="s">
        <v>468</v>
      </c>
      <c r="K1107">
        <v>6</v>
      </c>
    </row>
    <row r="1108" spans="1:11" x14ac:dyDescent="0.25">
      <c r="A1108" t="s">
        <v>557</v>
      </c>
      <c r="B1108">
        <v>430.59703088790008</v>
      </c>
      <c r="C1108">
        <v>28.187464921989758</v>
      </c>
      <c r="D1108">
        <v>5</v>
      </c>
      <c r="E1108">
        <v>2050</v>
      </c>
      <c r="F1108" t="s">
        <v>472</v>
      </c>
      <c r="G1108">
        <v>1.5923770964127537</v>
      </c>
      <c r="H1108">
        <v>33.800906295494116</v>
      </c>
      <c r="I1108" t="s">
        <v>469</v>
      </c>
      <c r="J1108" t="s">
        <v>467</v>
      </c>
      <c r="K1108">
        <v>0</v>
      </c>
    </row>
    <row r="1109" spans="1:11" x14ac:dyDescent="0.25">
      <c r="A1109" t="s">
        <v>558</v>
      </c>
      <c r="B1109">
        <v>493.12272734396345</v>
      </c>
      <c r="C1109">
        <v>33.514552463284744</v>
      </c>
      <c r="D1109">
        <v>5</v>
      </c>
      <c r="E1109">
        <v>2050</v>
      </c>
      <c r="F1109" t="s">
        <v>472</v>
      </c>
      <c r="G1109">
        <v>1.5923770964127537</v>
      </c>
      <c r="H1109">
        <v>33.800906295494116</v>
      </c>
      <c r="I1109" t="s">
        <v>469</v>
      </c>
      <c r="J1109" t="s">
        <v>467</v>
      </c>
      <c r="K1109">
        <v>1</v>
      </c>
    </row>
    <row r="1110" spans="1:11" x14ac:dyDescent="0.25">
      <c r="A1110" t="s">
        <v>559</v>
      </c>
      <c r="B1110">
        <v>677.88525751247982</v>
      </c>
      <c r="C1110">
        <v>41.18793263879892</v>
      </c>
      <c r="D1110">
        <v>5</v>
      </c>
      <c r="E1110">
        <v>2050</v>
      </c>
      <c r="F1110" t="s">
        <v>472</v>
      </c>
      <c r="G1110">
        <v>1.5923770964127537</v>
      </c>
      <c r="H1110">
        <v>33.800906295494116</v>
      </c>
      <c r="I1110" t="s">
        <v>469</v>
      </c>
      <c r="J1110" t="s">
        <v>467</v>
      </c>
      <c r="K1110">
        <v>2</v>
      </c>
    </row>
    <row r="1111" spans="1:11" x14ac:dyDescent="0.25">
      <c r="A1111" t="s">
        <v>560</v>
      </c>
      <c r="B1111">
        <v>533.04728967796007</v>
      </c>
      <c r="C1111">
        <v>33.090351145274916</v>
      </c>
      <c r="D1111">
        <v>5</v>
      </c>
      <c r="E1111">
        <v>2050</v>
      </c>
      <c r="F1111" t="s">
        <v>472</v>
      </c>
      <c r="G1111">
        <v>1.5923770964127537</v>
      </c>
      <c r="H1111">
        <v>33.800906295494116</v>
      </c>
      <c r="I1111" t="s">
        <v>469</v>
      </c>
      <c r="J1111" t="s">
        <v>467</v>
      </c>
      <c r="K1111">
        <v>3</v>
      </c>
    </row>
    <row r="1112" spans="1:11" x14ac:dyDescent="0.25">
      <c r="A1112" t="s">
        <v>561</v>
      </c>
      <c r="B1112">
        <v>523.38149927869699</v>
      </c>
      <c r="C1112">
        <v>33.426542066964473</v>
      </c>
      <c r="D1112">
        <v>5</v>
      </c>
      <c r="E1112">
        <v>2050</v>
      </c>
      <c r="F1112" t="s">
        <v>472</v>
      </c>
      <c r="G1112">
        <v>1.5923770964127537</v>
      </c>
      <c r="H1112">
        <v>33.800906295494116</v>
      </c>
      <c r="I1112" t="s">
        <v>469</v>
      </c>
      <c r="J1112" t="s">
        <v>467</v>
      </c>
      <c r="K1112">
        <v>4</v>
      </c>
    </row>
    <row r="1113" spans="1:11" x14ac:dyDescent="0.25">
      <c r="A1113" t="s">
        <v>562</v>
      </c>
      <c r="B1113">
        <v>645.76486471795295</v>
      </c>
      <c r="C1113">
        <v>39.256563251794553</v>
      </c>
      <c r="D1113">
        <v>5</v>
      </c>
      <c r="E1113">
        <v>2050</v>
      </c>
      <c r="F1113" t="s">
        <v>472</v>
      </c>
      <c r="G1113">
        <v>1.5923770964127537</v>
      </c>
      <c r="H1113">
        <v>33.800906295494116</v>
      </c>
      <c r="I1113" t="s">
        <v>469</v>
      </c>
      <c r="J1113" t="s">
        <v>467</v>
      </c>
      <c r="K1113">
        <v>5</v>
      </c>
    </row>
    <row r="1114" spans="1:11" x14ac:dyDescent="0.25">
      <c r="A1114" t="s">
        <v>563</v>
      </c>
      <c r="B1114">
        <v>571.40423813941379</v>
      </c>
      <c r="C1114">
        <v>36.559698568911344</v>
      </c>
      <c r="D1114">
        <v>5</v>
      </c>
      <c r="E1114">
        <v>2050</v>
      </c>
      <c r="F1114" t="s">
        <v>472</v>
      </c>
      <c r="G1114">
        <v>1.5923770964127537</v>
      </c>
      <c r="H1114">
        <v>33.800906295494116</v>
      </c>
      <c r="I1114" t="s">
        <v>469</v>
      </c>
      <c r="J1114" t="s">
        <v>467</v>
      </c>
      <c r="K1114">
        <v>6</v>
      </c>
    </row>
    <row r="1115" spans="1:11" x14ac:dyDescent="0.25">
      <c r="A1115" t="s">
        <v>557</v>
      </c>
      <c r="B1115">
        <v>434.46998878052437</v>
      </c>
      <c r="C1115">
        <v>28.319725966910475</v>
      </c>
      <c r="D1115">
        <v>5</v>
      </c>
      <c r="E1115">
        <v>2050</v>
      </c>
      <c r="F1115" t="s">
        <v>472</v>
      </c>
      <c r="G1115">
        <v>1.8660007077216318</v>
      </c>
      <c r="H1115">
        <v>33.74908567878245</v>
      </c>
      <c r="I1115" t="s">
        <v>469</v>
      </c>
      <c r="J1115" t="s">
        <v>468</v>
      </c>
      <c r="K1115">
        <v>0</v>
      </c>
    </row>
    <row r="1116" spans="1:11" x14ac:dyDescent="0.25">
      <c r="A1116" t="s">
        <v>558</v>
      </c>
      <c r="B1116">
        <v>508.97908896619145</v>
      </c>
      <c r="C1116">
        <v>34.09037600006576</v>
      </c>
      <c r="D1116">
        <v>5</v>
      </c>
      <c r="E1116">
        <v>2050</v>
      </c>
      <c r="F1116" t="s">
        <v>472</v>
      </c>
      <c r="G1116">
        <v>1.8660007077216318</v>
      </c>
      <c r="H1116">
        <v>33.74908567878245</v>
      </c>
      <c r="I1116" t="s">
        <v>469</v>
      </c>
      <c r="J1116" t="s">
        <v>468</v>
      </c>
      <c r="K1116">
        <v>1</v>
      </c>
    </row>
    <row r="1117" spans="1:11" x14ac:dyDescent="0.25">
      <c r="A1117" t="s">
        <v>559</v>
      </c>
      <c r="B1117">
        <v>625.40385172208391</v>
      </c>
      <c r="C1117">
        <v>37.938563743100303</v>
      </c>
      <c r="D1117">
        <v>5</v>
      </c>
      <c r="E1117">
        <v>2050</v>
      </c>
      <c r="F1117" t="s">
        <v>472</v>
      </c>
      <c r="G1117">
        <v>1.8660007077216318</v>
      </c>
      <c r="H1117">
        <v>33.74908567878245</v>
      </c>
      <c r="I1117" t="s">
        <v>469</v>
      </c>
      <c r="J1117" t="s">
        <v>468</v>
      </c>
      <c r="K1117">
        <v>2</v>
      </c>
    </row>
    <row r="1118" spans="1:11" x14ac:dyDescent="0.25">
      <c r="A1118" t="s">
        <v>560</v>
      </c>
      <c r="B1118">
        <v>574.08994587907227</v>
      </c>
      <c r="C1118">
        <v>35.91700553114547</v>
      </c>
      <c r="D1118">
        <v>5</v>
      </c>
      <c r="E1118">
        <v>2050</v>
      </c>
      <c r="F1118" t="s">
        <v>472</v>
      </c>
      <c r="G1118">
        <v>1.8660007077216318</v>
      </c>
      <c r="H1118">
        <v>33.74908567878245</v>
      </c>
      <c r="I1118" t="s">
        <v>469</v>
      </c>
      <c r="J1118" t="s">
        <v>468</v>
      </c>
      <c r="K1118">
        <v>3</v>
      </c>
    </row>
    <row r="1119" spans="1:11" x14ac:dyDescent="0.25">
      <c r="A1119" t="s">
        <v>561</v>
      </c>
      <c r="B1119">
        <v>535.79507259401191</v>
      </c>
      <c r="C1119">
        <v>34.105401976373741</v>
      </c>
      <c r="D1119">
        <v>5</v>
      </c>
      <c r="E1119">
        <v>2050</v>
      </c>
      <c r="F1119" t="s">
        <v>472</v>
      </c>
      <c r="G1119">
        <v>1.8660007077216318</v>
      </c>
      <c r="H1119">
        <v>33.74908567878245</v>
      </c>
      <c r="I1119" t="s">
        <v>469</v>
      </c>
      <c r="J1119" t="s">
        <v>468</v>
      </c>
      <c r="K1119">
        <v>4</v>
      </c>
    </row>
    <row r="1120" spans="1:11" x14ac:dyDescent="0.25">
      <c r="A1120" t="s">
        <v>562</v>
      </c>
      <c r="B1120">
        <v>656.64038936341308</v>
      </c>
      <c r="C1120">
        <v>39.979166498893605</v>
      </c>
      <c r="D1120">
        <v>5</v>
      </c>
      <c r="E1120">
        <v>2050</v>
      </c>
      <c r="F1120" t="s">
        <v>472</v>
      </c>
      <c r="G1120">
        <v>1.8660007077216318</v>
      </c>
      <c r="H1120">
        <v>33.74908567878245</v>
      </c>
      <c r="I1120" t="s">
        <v>469</v>
      </c>
      <c r="J1120" t="s">
        <v>468</v>
      </c>
      <c r="K1120">
        <v>5</v>
      </c>
    </row>
    <row r="1121" spans="1:11" x14ac:dyDescent="0.25">
      <c r="A1121" t="s">
        <v>563</v>
      </c>
      <c r="B1121">
        <v>592.02793088426313</v>
      </c>
      <c r="C1121">
        <v>36.37925336679934</v>
      </c>
      <c r="D1121">
        <v>5</v>
      </c>
      <c r="E1121">
        <v>2050</v>
      </c>
      <c r="F1121" t="s">
        <v>472</v>
      </c>
      <c r="G1121">
        <v>1.8660007077216318</v>
      </c>
      <c r="H1121">
        <v>33.74908567878245</v>
      </c>
      <c r="I1121" t="s">
        <v>469</v>
      </c>
      <c r="J1121" t="s">
        <v>468</v>
      </c>
      <c r="K1121">
        <v>6</v>
      </c>
    </row>
    <row r="1122" spans="1:11" x14ac:dyDescent="0.25">
      <c r="A1122" t="s">
        <v>557</v>
      </c>
      <c r="B1122">
        <v>391.11339694690355</v>
      </c>
      <c r="C1122">
        <v>25.791277997944608</v>
      </c>
      <c r="D1122">
        <v>1</v>
      </c>
      <c r="E1122">
        <v>2019</v>
      </c>
      <c r="F1122" t="s">
        <v>536</v>
      </c>
      <c r="G1122">
        <v>1.0732221035544665</v>
      </c>
      <c r="H1122">
        <v>33.819726076246809</v>
      </c>
      <c r="I1122" t="s">
        <v>537</v>
      </c>
      <c r="J1122" t="s">
        <v>537</v>
      </c>
      <c r="K1122">
        <v>0</v>
      </c>
    </row>
    <row r="1123" spans="1:11" x14ac:dyDescent="0.25">
      <c r="A1123" t="s">
        <v>558</v>
      </c>
      <c r="B1123">
        <v>539.11913364951897</v>
      </c>
      <c r="C1123">
        <v>36.427848035176297</v>
      </c>
      <c r="D1123">
        <v>1</v>
      </c>
      <c r="E1123">
        <v>2019</v>
      </c>
      <c r="F1123" t="s">
        <v>536</v>
      </c>
      <c r="G1123">
        <v>1.0732221035544665</v>
      </c>
      <c r="H1123">
        <v>33.819726076246809</v>
      </c>
      <c r="I1123" t="s">
        <v>537</v>
      </c>
      <c r="J1123" t="s">
        <v>537</v>
      </c>
      <c r="K1123">
        <v>1</v>
      </c>
    </row>
    <row r="1124" spans="1:11" x14ac:dyDescent="0.25">
      <c r="A1124" t="s">
        <v>559</v>
      </c>
      <c r="B1124">
        <v>635.29961437755037</v>
      </c>
      <c r="C1124">
        <v>41.055336393667446</v>
      </c>
      <c r="D1124">
        <v>1</v>
      </c>
      <c r="E1124">
        <v>2019</v>
      </c>
      <c r="F1124" t="s">
        <v>536</v>
      </c>
      <c r="G1124">
        <v>1.0732221035544665</v>
      </c>
      <c r="H1124">
        <v>33.819726076246809</v>
      </c>
      <c r="I1124" t="s">
        <v>537</v>
      </c>
      <c r="J1124" t="s">
        <v>537</v>
      </c>
      <c r="K1124">
        <v>2</v>
      </c>
    </row>
    <row r="1125" spans="1:11" x14ac:dyDescent="0.25">
      <c r="A1125" t="s">
        <v>560</v>
      </c>
      <c r="B1125">
        <v>562.96445748740916</v>
      </c>
      <c r="C1125">
        <v>37.542704196313601</v>
      </c>
      <c r="D1125">
        <v>1</v>
      </c>
      <c r="E1125">
        <v>2019</v>
      </c>
      <c r="F1125" t="s">
        <v>536</v>
      </c>
      <c r="G1125">
        <v>1.0732221035544665</v>
      </c>
      <c r="H1125">
        <v>33.819726076246809</v>
      </c>
      <c r="I1125" t="s">
        <v>537</v>
      </c>
      <c r="J1125" t="s">
        <v>537</v>
      </c>
      <c r="K1125">
        <v>3</v>
      </c>
    </row>
    <row r="1126" spans="1:11" x14ac:dyDescent="0.25">
      <c r="A1126" t="s">
        <v>561</v>
      </c>
      <c r="B1126">
        <v>560.82345667877576</v>
      </c>
      <c r="C1126">
        <v>36.731668359132797</v>
      </c>
      <c r="D1126">
        <v>1</v>
      </c>
      <c r="E1126">
        <v>2019</v>
      </c>
      <c r="F1126" t="s">
        <v>536</v>
      </c>
      <c r="G1126">
        <v>1.0732221035544665</v>
      </c>
      <c r="H1126">
        <v>33.819726076246809</v>
      </c>
      <c r="I1126" t="s">
        <v>537</v>
      </c>
      <c r="J1126" t="s">
        <v>537</v>
      </c>
      <c r="K1126">
        <v>4</v>
      </c>
    </row>
    <row r="1127" spans="1:11" x14ac:dyDescent="0.25">
      <c r="A1127" t="s">
        <v>562</v>
      </c>
      <c r="B1127">
        <v>637.47771680813139</v>
      </c>
      <c r="C1127">
        <v>40.452010301262128</v>
      </c>
      <c r="D1127">
        <v>1</v>
      </c>
      <c r="E1127">
        <v>2019</v>
      </c>
      <c r="F1127" t="s">
        <v>536</v>
      </c>
      <c r="G1127">
        <v>1.0732221035544665</v>
      </c>
      <c r="H1127">
        <v>33.819726076246809</v>
      </c>
      <c r="I1127" t="s">
        <v>537</v>
      </c>
      <c r="J1127" t="s">
        <v>537</v>
      </c>
      <c r="K1127">
        <v>5</v>
      </c>
    </row>
    <row r="1128" spans="1:11" x14ac:dyDescent="0.25">
      <c r="A1128" t="s">
        <v>563</v>
      </c>
      <c r="B1128">
        <v>589.0587961713187</v>
      </c>
      <c r="C1128">
        <v>38.5358600348507</v>
      </c>
      <c r="D1128">
        <v>1</v>
      </c>
      <c r="E1128">
        <v>2019</v>
      </c>
      <c r="F1128" t="s">
        <v>536</v>
      </c>
      <c r="G1128">
        <v>1.0732221035544665</v>
      </c>
      <c r="H1128">
        <v>33.819726076246809</v>
      </c>
      <c r="I1128" t="s">
        <v>537</v>
      </c>
      <c r="J1128" t="s">
        <v>537</v>
      </c>
      <c r="K1128">
        <v>6</v>
      </c>
    </row>
    <row r="1129" spans="1:11" x14ac:dyDescent="0.25">
      <c r="A1129" t="s">
        <v>557</v>
      </c>
      <c r="B1129">
        <v>399.1268286717164</v>
      </c>
      <c r="C1129">
        <v>26.406862042794796</v>
      </c>
      <c r="D1129">
        <v>2</v>
      </c>
      <c r="E1129">
        <v>2019</v>
      </c>
      <c r="F1129" t="s">
        <v>536</v>
      </c>
      <c r="G1129">
        <v>2.0008586725456583</v>
      </c>
      <c r="H1129">
        <v>28.692497650047869</v>
      </c>
      <c r="I1129" t="s">
        <v>537</v>
      </c>
      <c r="J1129" t="s">
        <v>537</v>
      </c>
      <c r="K1129">
        <v>0</v>
      </c>
    </row>
    <row r="1130" spans="1:11" x14ac:dyDescent="0.25">
      <c r="A1130" t="s">
        <v>558</v>
      </c>
      <c r="B1130">
        <v>543.78823050689118</v>
      </c>
      <c r="C1130">
        <v>38.411080123887928</v>
      </c>
      <c r="D1130">
        <v>2</v>
      </c>
      <c r="E1130">
        <v>2019</v>
      </c>
      <c r="F1130" t="s">
        <v>536</v>
      </c>
      <c r="G1130">
        <v>2.0008586725456583</v>
      </c>
      <c r="H1130">
        <v>28.692497650047869</v>
      </c>
      <c r="I1130" t="s">
        <v>537</v>
      </c>
      <c r="J1130" t="s">
        <v>537</v>
      </c>
      <c r="K1130">
        <v>1</v>
      </c>
    </row>
    <row r="1131" spans="1:11" x14ac:dyDescent="0.25">
      <c r="A1131" t="s">
        <v>559</v>
      </c>
      <c r="B1131">
        <v>672.74581267382598</v>
      </c>
      <c r="C1131">
        <v>44.977964736763006</v>
      </c>
      <c r="D1131">
        <v>2</v>
      </c>
      <c r="E1131">
        <v>2019</v>
      </c>
      <c r="F1131" t="s">
        <v>536</v>
      </c>
      <c r="G1131">
        <v>2.0008586725456583</v>
      </c>
      <c r="H1131">
        <v>28.692497650047869</v>
      </c>
      <c r="I1131" t="s">
        <v>537</v>
      </c>
      <c r="J1131" t="s">
        <v>537</v>
      </c>
      <c r="K1131">
        <v>2</v>
      </c>
    </row>
    <row r="1132" spans="1:11" x14ac:dyDescent="0.25">
      <c r="A1132" t="s">
        <v>560</v>
      </c>
      <c r="B1132">
        <v>592.11336886126742</v>
      </c>
      <c r="C1132">
        <v>40.817208131736088</v>
      </c>
      <c r="D1132">
        <v>2</v>
      </c>
      <c r="E1132">
        <v>2019</v>
      </c>
      <c r="F1132" t="s">
        <v>536</v>
      </c>
      <c r="G1132">
        <v>2.0008586725456583</v>
      </c>
      <c r="H1132">
        <v>28.692497650047869</v>
      </c>
      <c r="I1132" t="s">
        <v>537</v>
      </c>
      <c r="J1132" t="s">
        <v>537</v>
      </c>
      <c r="K1132">
        <v>3</v>
      </c>
    </row>
    <row r="1133" spans="1:11" x14ac:dyDescent="0.25">
      <c r="A1133" t="s">
        <v>561</v>
      </c>
      <c r="B1133">
        <v>578.8972763222788</v>
      </c>
      <c r="C1133">
        <v>39.497105599696653</v>
      </c>
      <c r="D1133">
        <v>2</v>
      </c>
      <c r="E1133">
        <v>2019</v>
      </c>
      <c r="F1133" t="s">
        <v>536</v>
      </c>
      <c r="G1133">
        <v>2.0008586725456583</v>
      </c>
      <c r="H1133">
        <v>28.692497650047869</v>
      </c>
      <c r="I1133" t="s">
        <v>537</v>
      </c>
      <c r="J1133" t="s">
        <v>537</v>
      </c>
      <c r="K1133">
        <v>4</v>
      </c>
    </row>
    <row r="1134" spans="1:11" x14ac:dyDescent="0.25">
      <c r="A1134" t="s">
        <v>562</v>
      </c>
      <c r="B1134">
        <v>678.18981088256305</v>
      </c>
      <c r="C1134">
        <v>44.538864273298607</v>
      </c>
      <c r="D1134">
        <v>2</v>
      </c>
      <c r="E1134">
        <v>2019</v>
      </c>
      <c r="F1134" t="s">
        <v>536</v>
      </c>
      <c r="G1134">
        <v>2.0008586725456583</v>
      </c>
      <c r="H1134">
        <v>28.692497650047869</v>
      </c>
      <c r="I1134" t="s">
        <v>537</v>
      </c>
      <c r="J1134" t="s">
        <v>537</v>
      </c>
      <c r="K1134">
        <v>5</v>
      </c>
    </row>
    <row r="1135" spans="1:11" x14ac:dyDescent="0.25">
      <c r="A1135" t="s">
        <v>563</v>
      </c>
      <c r="B1135">
        <v>622.91733963262686</v>
      </c>
      <c r="C1135">
        <v>42.031220094974806</v>
      </c>
      <c r="D1135">
        <v>2</v>
      </c>
      <c r="E1135">
        <v>2019</v>
      </c>
      <c r="F1135" t="s">
        <v>536</v>
      </c>
      <c r="G1135">
        <v>2.0008586725456583</v>
      </c>
      <c r="H1135">
        <v>28.692497650047869</v>
      </c>
      <c r="I1135" t="s">
        <v>537</v>
      </c>
      <c r="J1135" t="s">
        <v>537</v>
      </c>
      <c r="K1135">
        <v>6</v>
      </c>
    </row>
    <row r="1136" spans="1:11" x14ac:dyDescent="0.25">
      <c r="A1136" t="s">
        <v>557</v>
      </c>
      <c r="B1136">
        <v>377.64549124917954</v>
      </c>
      <c r="C1136">
        <v>25.000942253226903</v>
      </c>
      <c r="D1136">
        <v>3</v>
      </c>
      <c r="E1136">
        <v>2019</v>
      </c>
      <c r="F1136" t="s">
        <v>536</v>
      </c>
      <c r="G1136">
        <v>1.1152906968888503</v>
      </c>
      <c r="H1136">
        <v>30.250819083421675</v>
      </c>
      <c r="I1136" t="s">
        <v>537</v>
      </c>
      <c r="J1136" t="s">
        <v>537</v>
      </c>
      <c r="K1136">
        <v>0</v>
      </c>
    </row>
    <row r="1137" spans="1:11" x14ac:dyDescent="0.25">
      <c r="A1137" t="s">
        <v>558</v>
      </c>
      <c r="B1137">
        <v>489.71698760184728</v>
      </c>
      <c r="C1137">
        <v>33.384659161005388</v>
      </c>
      <c r="D1137">
        <v>3</v>
      </c>
      <c r="E1137">
        <v>2019</v>
      </c>
      <c r="F1137" t="s">
        <v>536</v>
      </c>
      <c r="G1137">
        <v>1.1152906968888503</v>
      </c>
      <c r="H1137">
        <v>30.250819083421675</v>
      </c>
      <c r="I1137" t="s">
        <v>537</v>
      </c>
      <c r="J1137" t="s">
        <v>537</v>
      </c>
      <c r="K1137">
        <v>1</v>
      </c>
    </row>
    <row r="1138" spans="1:11" x14ac:dyDescent="0.25">
      <c r="A1138" t="s">
        <v>559</v>
      </c>
      <c r="B1138">
        <v>623.71590246723599</v>
      </c>
      <c r="C1138">
        <v>39.361029587597379</v>
      </c>
      <c r="D1138">
        <v>3</v>
      </c>
      <c r="E1138">
        <v>2019</v>
      </c>
      <c r="F1138" t="s">
        <v>536</v>
      </c>
      <c r="G1138">
        <v>1.1152906968888503</v>
      </c>
      <c r="H1138">
        <v>30.250819083421675</v>
      </c>
      <c r="I1138" t="s">
        <v>537</v>
      </c>
      <c r="J1138" t="s">
        <v>537</v>
      </c>
      <c r="K1138">
        <v>2</v>
      </c>
    </row>
    <row r="1139" spans="1:11" x14ac:dyDescent="0.25">
      <c r="A1139" t="s">
        <v>560</v>
      </c>
      <c r="B1139">
        <v>552.16084585794169</v>
      </c>
      <c r="C1139">
        <v>36.209548620291692</v>
      </c>
      <c r="D1139">
        <v>3</v>
      </c>
      <c r="E1139">
        <v>2019</v>
      </c>
      <c r="F1139" t="s">
        <v>536</v>
      </c>
      <c r="G1139">
        <v>1.1152906968888503</v>
      </c>
      <c r="H1139">
        <v>30.250819083421675</v>
      </c>
      <c r="I1139" t="s">
        <v>537</v>
      </c>
      <c r="J1139" t="s">
        <v>537</v>
      </c>
      <c r="K1139">
        <v>3</v>
      </c>
    </row>
    <row r="1140" spans="1:11" x14ac:dyDescent="0.25">
      <c r="A1140" t="s">
        <v>561</v>
      </c>
      <c r="B1140">
        <v>531.7586262324329</v>
      </c>
      <c r="C1140">
        <v>35.273743872831076</v>
      </c>
      <c r="D1140">
        <v>3</v>
      </c>
      <c r="E1140">
        <v>2019</v>
      </c>
      <c r="F1140" t="s">
        <v>536</v>
      </c>
      <c r="G1140">
        <v>1.1152906968888503</v>
      </c>
      <c r="H1140">
        <v>30.250819083421675</v>
      </c>
      <c r="I1140" t="s">
        <v>537</v>
      </c>
      <c r="J1140" t="s">
        <v>537</v>
      </c>
      <c r="K1140">
        <v>4</v>
      </c>
    </row>
    <row r="1141" spans="1:11" x14ac:dyDescent="0.25">
      <c r="A1141" t="s">
        <v>562</v>
      </c>
      <c r="B1141">
        <v>637.23602845747018</v>
      </c>
      <c r="C1141">
        <v>39.429939980000853</v>
      </c>
      <c r="D1141">
        <v>3</v>
      </c>
      <c r="E1141">
        <v>2019</v>
      </c>
      <c r="F1141" t="s">
        <v>536</v>
      </c>
      <c r="G1141">
        <v>1.1152906968888503</v>
      </c>
      <c r="H1141">
        <v>30.250819083421675</v>
      </c>
      <c r="I1141" t="s">
        <v>537</v>
      </c>
      <c r="J1141" t="s">
        <v>537</v>
      </c>
      <c r="K1141">
        <v>5</v>
      </c>
    </row>
    <row r="1142" spans="1:11" x14ac:dyDescent="0.25">
      <c r="A1142" t="s">
        <v>563</v>
      </c>
      <c r="B1142">
        <v>593.89272927032653</v>
      </c>
      <c r="C1142">
        <v>39.081470282133665</v>
      </c>
      <c r="D1142">
        <v>3</v>
      </c>
      <c r="E1142">
        <v>2019</v>
      </c>
      <c r="F1142" t="s">
        <v>536</v>
      </c>
      <c r="G1142">
        <v>1.1152906968888503</v>
      </c>
      <c r="H1142">
        <v>30.250819083421675</v>
      </c>
      <c r="I1142" t="s">
        <v>537</v>
      </c>
      <c r="J1142" t="s">
        <v>537</v>
      </c>
      <c r="K1142">
        <v>6</v>
      </c>
    </row>
    <row r="1143" spans="1:11" x14ac:dyDescent="0.25">
      <c r="A1143" t="s">
        <v>557</v>
      </c>
      <c r="B1143">
        <v>386.88422594735806</v>
      </c>
      <c r="C1143">
        <v>25.529379922576705</v>
      </c>
      <c r="D1143">
        <v>4</v>
      </c>
      <c r="E1143">
        <v>2019</v>
      </c>
      <c r="F1143" t="s">
        <v>536</v>
      </c>
      <c r="G1143">
        <v>1.6208626079030704</v>
      </c>
      <c r="H1143">
        <v>30.750290194352402</v>
      </c>
      <c r="I1143" t="s">
        <v>537</v>
      </c>
      <c r="J1143" t="s">
        <v>537</v>
      </c>
      <c r="K1143">
        <v>0</v>
      </c>
    </row>
    <row r="1144" spans="1:11" x14ac:dyDescent="0.25">
      <c r="A1144" t="s">
        <v>558</v>
      </c>
      <c r="B1144">
        <v>550.22293372105992</v>
      </c>
      <c r="C1144">
        <v>37.622780875621963</v>
      </c>
      <c r="D1144">
        <v>4</v>
      </c>
      <c r="E1144">
        <v>2019</v>
      </c>
      <c r="F1144" t="s">
        <v>536</v>
      </c>
      <c r="G1144">
        <v>1.6208626079030704</v>
      </c>
      <c r="H1144">
        <v>30.750290194352402</v>
      </c>
      <c r="I1144" t="s">
        <v>537</v>
      </c>
      <c r="J1144" t="s">
        <v>537</v>
      </c>
      <c r="K1144">
        <v>1</v>
      </c>
    </row>
    <row r="1145" spans="1:11" x14ac:dyDescent="0.25">
      <c r="A1145" t="s">
        <v>559</v>
      </c>
      <c r="B1145">
        <v>677.4388555771543</v>
      </c>
      <c r="C1145">
        <v>43.948215337129866</v>
      </c>
      <c r="D1145">
        <v>4</v>
      </c>
      <c r="E1145">
        <v>2019</v>
      </c>
      <c r="F1145" t="s">
        <v>536</v>
      </c>
      <c r="G1145">
        <v>1.6208626079030704</v>
      </c>
      <c r="H1145">
        <v>30.750290194352402</v>
      </c>
      <c r="I1145" t="s">
        <v>537</v>
      </c>
      <c r="J1145" t="s">
        <v>537</v>
      </c>
      <c r="K1145">
        <v>2</v>
      </c>
    </row>
    <row r="1146" spans="1:11" x14ac:dyDescent="0.25">
      <c r="A1146" t="s">
        <v>560</v>
      </c>
      <c r="B1146">
        <v>598.15306609372351</v>
      </c>
      <c r="C1146">
        <v>39.713702105973802</v>
      </c>
      <c r="D1146">
        <v>4</v>
      </c>
      <c r="E1146">
        <v>2019</v>
      </c>
      <c r="F1146" t="s">
        <v>536</v>
      </c>
      <c r="G1146">
        <v>1.6208626079030704</v>
      </c>
      <c r="H1146">
        <v>30.750290194352402</v>
      </c>
      <c r="I1146" t="s">
        <v>537</v>
      </c>
      <c r="J1146" t="s">
        <v>537</v>
      </c>
      <c r="K1146">
        <v>3</v>
      </c>
    </row>
    <row r="1147" spans="1:11" x14ac:dyDescent="0.25">
      <c r="A1147" t="s">
        <v>561</v>
      </c>
      <c r="B1147">
        <v>609.80498041053113</v>
      </c>
      <c r="C1147">
        <v>41.360875058562293</v>
      </c>
      <c r="D1147">
        <v>4</v>
      </c>
      <c r="E1147">
        <v>2019</v>
      </c>
      <c r="F1147" t="s">
        <v>536</v>
      </c>
      <c r="G1147">
        <v>1.6208626079030704</v>
      </c>
      <c r="H1147">
        <v>30.750290194352402</v>
      </c>
      <c r="I1147" t="s">
        <v>537</v>
      </c>
      <c r="J1147" t="s">
        <v>537</v>
      </c>
      <c r="K1147">
        <v>4</v>
      </c>
    </row>
    <row r="1148" spans="1:11" x14ac:dyDescent="0.25">
      <c r="A1148" t="s">
        <v>562</v>
      </c>
      <c r="B1148">
        <v>689.63348018137822</v>
      </c>
      <c r="C1148">
        <v>43.781859583598553</v>
      </c>
      <c r="D1148">
        <v>4</v>
      </c>
      <c r="E1148">
        <v>2019</v>
      </c>
      <c r="F1148" t="s">
        <v>536</v>
      </c>
      <c r="G1148">
        <v>1.6208626079030704</v>
      </c>
      <c r="H1148">
        <v>30.750290194352402</v>
      </c>
      <c r="I1148" t="s">
        <v>537</v>
      </c>
      <c r="J1148" t="s">
        <v>537</v>
      </c>
      <c r="K1148">
        <v>5</v>
      </c>
    </row>
    <row r="1149" spans="1:11" x14ac:dyDescent="0.25">
      <c r="A1149" t="s">
        <v>563</v>
      </c>
      <c r="B1149">
        <v>625.69264672750069</v>
      </c>
      <c r="C1149">
        <v>40.590214389574797</v>
      </c>
      <c r="D1149">
        <v>4</v>
      </c>
      <c r="E1149">
        <v>2019</v>
      </c>
      <c r="F1149" t="s">
        <v>536</v>
      </c>
      <c r="G1149">
        <v>1.6208626079030704</v>
      </c>
      <c r="H1149">
        <v>30.750290194352402</v>
      </c>
      <c r="I1149" t="s">
        <v>537</v>
      </c>
      <c r="J1149" t="s">
        <v>537</v>
      </c>
      <c r="K1149">
        <v>6</v>
      </c>
    </row>
    <row r="1150" spans="1:11" x14ac:dyDescent="0.25">
      <c r="A1150" t="s">
        <v>557</v>
      </c>
      <c r="B1150">
        <v>354.70404399997335</v>
      </c>
      <c r="C1150">
        <v>23.424918005113824</v>
      </c>
      <c r="D1150">
        <v>5</v>
      </c>
      <c r="E1150">
        <v>2019</v>
      </c>
      <c r="F1150" t="s">
        <v>536</v>
      </c>
      <c r="G1150">
        <v>1.3148799593858884</v>
      </c>
      <c r="H1150">
        <v>27.063229560963549</v>
      </c>
      <c r="I1150" t="s">
        <v>537</v>
      </c>
      <c r="J1150" t="s">
        <v>537</v>
      </c>
      <c r="K1150">
        <v>0</v>
      </c>
    </row>
    <row r="1151" spans="1:11" x14ac:dyDescent="0.25">
      <c r="A1151" t="s">
        <v>558</v>
      </c>
      <c r="B1151">
        <v>535.85764114347205</v>
      </c>
      <c r="C1151">
        <v>36.281556376929089</v>
      </c>
      <c r="D1151">
        <v>5</v>
      </c>
      <c r="E1151">
        <v>2019</v>
      </c>
      <c r="F1151" t="s">
        <v>536</v>
      </c>
      <c r="G1151">
        <v>1.3148799593858884</v>
      </c>
      <c r="H1151">
        <v>27.063229560963549</v>
      </c>
      <c r="I1151" t="s">
        <v>537</v>
      </c>
      <c r="J1151" t="s">
        <v>537</v>
      </c>
      <c r="K1151">
        <v>1</v>
      </c>
    </row>
    <row r="1152" spans="1:11" x14ac:dyDescent="0.25">
      <c r="A1152" t="s">
        <v>559</v>
      </c>
      <c r="B1152">
        <v>661.97264770676327</v>
      </c>
      <c r="C1152">
        <v>42.876542468617103</v>
      </c>
      <c r="D1152">
        <v>5</v>
      </c>
      <c r="E1152">
        <v>2019</v>
      </c>
      <c r="F1152" t="s">
        <v>536</v>
      </c>
      <c r="G1152">
        <v>1.3148799593858884</v>
      </c>
      <c r="H1152">
        <v>27.063229560963549</v>
      </c>
      <c r="I1152" t="s">
        <v>537</v>
      </c>
      <c r="J1152" t="s">
        <v>537</v>
      </c>
      <c r="K1152">
        <v>2</v>
      </c>
    </row>
    <row r="1153" spans="1:11" x14ac:dyDescent="0.25">
      <c r="A1153" t="s">
        <v>560</v>
      </c>
      <c r="B1153">
        <v>580.05797502117889</v>
      </c>
      <c r="C1153">
        <v>38.886362911582296</v>
      </c>
      <c r="D1153">
        <v>5</v>
      </c>
      <c r="E1153">
        <v>2019</v>
      </c>
      <c r="F1153" t="s">
        <v>536</v>
      </c>
      <c r="G1153">
        <v>1.3148799593858884</v>
      </c>
      <c r="H1153">
        <v>27.063229560963549</v>
      </c>
      <c r="I1153" t="s">
        <v>537</v>
      </c>
      <c r="J1153" t="s">
        <v>537</v>
      </c>
      <c r="K1153">
        <v>3</v>
      </c>
    </row>
    <row r="1154" spans="1:11" x14ac:dyDescent="0.25">
      <c r="A1154" t="s">
        <v>561</v>
      </c>
      <c r="B1154">
        <v>562.19883910203032</v>
      </c>
      <c r="C1154">
        <v>38.090902726880721</v>
      </c>
      <c r="D1154">
        <v>5</v>
      </c>
      <c r="E1154">
        <v>2019</v>
      </c>
      <c r="F1154" t="s">
        <v>536</v>
      </c>
      <c r="G1154">
        <v>1.3148799593858884</v>
      </c>
      <c r="H1154">
        <v>27.063229560963549</v>
      </c>
      <c r="I1154" t="s">
        <v>537</v>
      </c>
      <c r="J1154" t="s">
        <v>537</v>
      </c>
      <c r="K1154">
        <v>4</v>
      </c>
    </row>
    <row r="1155" spans="1:11" x14ac:dyDescent="0.25">
      <c r="A1155" t="s">
        <v>562</v>
      </c>
      <c r="B1155">
        <v>665.58443340118367</v>
      </c>
      <c r="C1155">
        <v>42.518317576337516</v>
      </c>
      <c r="D1155">
        <v>5</v>
      </c>
      <c r="E1155">
        <v>2019</v>
      </c>
      <c r="F1155" t="s">
        <v>536</v>
      </c>
      <c r="G1155">
        <v>1.3148799593858884</v>
      </c>
      <c r="H1155">
        <v>27.063229560963549</v>
      </c>
      <c r="I1155" t="s">
        <v>537</v>
      </c>
      <c r="J1155" t="s">
        <v>537</v>
      </c>
      <c r="K1155">
        <v>5</v>
      </c>
    </row>
    <row r="1156" spans="1:11" x14ac:dyDescent="0.25">
      <c r="A1156" t="s">
        <v>563</v>
      </c>
      <c r="B1156">
        <v>610.09414328332878</v>
      </c>
      <c r="C1156">
        <v>39.967324631531383</v>
      </c>
      <c r="D1156">
        <v>5</v>
      </c>
      <c r="E1156">
        <v>2019</v>
      </c>
      <c r="F1156" t="s">
        <v>536</v>
      </c>
      <c r="G1156">
        <v>1.3148799593858884</v>
      </c>
      <c r="H1156">
        <v>27.063229560963549</v>
      </c>
      <c r="I1156" t="s">
        <v>537</v>
      </c>
      <c r="J1156" t="s">
        <v>537</v>
      </c>
      <c r="K1156">
        <v>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1B5D67-1615-4D91-84D0-43F52970D2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Nelson Factor_2019</vt:lpstr>
      <vt:lpstr>Refinery Summary</vt:lpstr>
      <vt:lpstr>Avg CI Index</vt:lpstr>
      <vt:lpstr>RefCapacity</vt:lpstr>
      <vt:lpstr>MultiRegModel Validation</vt:lpstr>
      <vt:lpstr>MultiReg Model</vt:lpstr>
      <vt:lpstr>Ref Pro&amp;Input_RAW</vt:lpstr>
      <vt:lpstr>LinearReg Model</vt:lpstr>
      <vt:lpstr>RefCapacityProj</vt:lpstr>
      <vt:lpstr>Results</vt:lpstr>
      <vt:lpstr>Sheet1</vt:lpstr>
      <vt:lpstr>GHG Emission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Fang Li</dc:creator>
  <cp:lastModifiedBy>Fang Li</cp:lastModifiedBy>
  <dcterms:created xsi:type="dcterms:W3CDTF">2023-01-25T18:01:07Z</dcterms:created>
  <dcterms:modified xsi:type="dcterms:W3CDTF">2025-02-26T22:49:30Z</dcterms:modified>
</cp:coreProperties>
</file>